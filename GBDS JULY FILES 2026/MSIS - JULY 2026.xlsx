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624B283-4D9A-45F1-9C3C-63CDE52D3020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1231" i="2" l="1"/>
  <c r="AI1231" i="2" s="1"/>
  <c r="AB1231" i="2"/>
  <c r="AG1230" i="2"/>
  <c r="AB1230" i="2"/>
  <c r="AC1229" i="2"/>
  <c r="AB1229" i="2"/>
  <c r="AB1228" i="2"/>
  <c r="AE1228" i="2" s="1"/>
  <c r="AI1228" i="2" s="1"/>
  <c r="AB1227" i="2"/>
  <c r="AE1227" i="2" s="1"/>
  <c r="AI1227" i="2" s="1"/>
  <c r="AG1226" i="2"/>
  <c r="AC1226" i="2"/>
  <c r="AE1226" i="2" s="1"/>
  <c r="AB1226" i="2"/>
  <c r="AB1225" i="2"/>
  <c r="AE1225" i="2" s="1"/>
  <c r="AI1225" i="2" s="1"/>
  <c r="AG1224" i="2"/>
  <c r="AB1224" i="2"/>
  <c r="AE1224" i="2" s="1"/>
  <c r="AI1224" i="2" s="1"/>
  <c r="AB1223" i="2"/>
  <c r="AB1222" i="2"/>
  <c r="AA1227" i="2"/>
  <c r="AA1228" i="2" s="1"/>
  <c r="AA1229" i="2" s="1"/>
  <c r="AA1230" i="2" s="1"/>
  <c r="AA1231" i="2" s="1"/>
  <c r="AE1222" i="2"/>
  <c r="AA1223" i="2"/>
  <c r="AE1223" i="2"/>
  <c r="AI1223" i="2" s="1"/>
  <c r="AA1224" i="2"/>
  <c r="AA1225" i="2" s="1"/>
  <c r="AA1226" i="2" s="1"/>
  <c r="AE1230" i="2"/>
  <c r="AI1230" i="2"/>
  <c r="AE1231" i="2"/>
  <c r="AE1232" i="2"/>
  <c r="AI1232" i="2"/>
  <c r="AE1233" i="2"/>
  <c r="AI1233" i="2" s="1"/>
  <c r="AE1234" i="2"/>
  <c r="AI1234" i="2"/>
  <c r="AE1235" i="2"/>
  <c r="AI1235" i="2"/>
  <c r="AE1236" i="2"/>
  <c r="AI1236" i="2"/>
  <c r="AE1237" i="2"/>
  <c r="AI1237" i="2"/>
  <c r="AE1238" i="2"/>
  <c r="AI1238" i="2"/>
  <c r="AE1239" i="2"/>
  <c r="AI1239" i="2"/>
  <c r="AE1240" i="2"/>
  <c r="AI1240" i="2"/>
  <c r="AE1241" i="2"/>
  <c r="AI1241" i="2" s="1"/>
  <c r="AE1242" i="2"/>
  <c r="AI1242" i="2"/>
  <c r="AE1243" i="2"/>
  <c r="AI1243" i="2"/>
  <c r="AE1244" i="2"/>
  <c r="AI1244" i="2"/>
  <c r="AE1245" i="2"/>
  <c r="AI1245" i="2"/>
  <c r="AE1246" i="2"/>
  <c r="AI1246" i="2" s="1"/>
  <c r="AE1247" i="2"/>
  <c r="AI1247" i="2"/>
  <c r="AE1248" i="2"/>
  <c r="AI1248" i="2"/>
  <c r="AE1249" i="2"/>
  <c r="AI1249" i="2" s="1"/>
  <c r="AE1250" i="2"/>
  <c r="AI1250" i="2"/>
  <c r="AE1251" i="2"/>
  <c r="AI1251" i="2"/>
  <c r="AE1252" i="2"/>
  <c r="AI1252" i="2"/>
  <c r="AE1253" i="2"/>
  <c r="AI1253" i="2"/>
  <c r="AE1254" i="2"/>
  <c r="AI1254" i="2"/>
  <c r="AE1255" i="2"/>
  <c r="AI1255" i="2"/>
  <c r="AE1256" i="2"/>
  <c r="AI1256" i="2"/>
  <c r="AE1257" i="2"/>
  <c r="AI1257" i="2" s="1"/>
  <c r="AE1258" i="2"/>
  <c r="AI1258" i="2"/>
  <c r="AE1259" i="2"/>
  <c r="AI1259" i="2"/>
  <c r="AE1260" i="2"/>
  <c r="AI1260" i="2"/>
  <c r="AI1261" i="2"/>
  <c r="AE1262" i="2"/>
  <c r="AI1262" i="2"/>
  <c r="AI1263" i="2"/>
  <c r="AD1265" i="2"/>
  <c r="AH1265" i="2"/>
  <c r="P1232" i="2"/>
  <c r="S1232" i="2" s="1"/>
  <c r="W1232" i="2" s="1"/>
  <c r="P1231" i="2"/>
  <c r="S1231" i="2" s="1"/>
  <c r="W1231" i="2" s="1"/>
  <c r="P1230" i="2"/>
  <c r="S1230" i="2" s="1"/>
  <c r="W1230" i="2" s="1"/>
  <c r="U1229" i="2"/>
  <c r="W1229" i="2" s="1"/>
  <c r="P1229" i="2"/>
  <c r="P1228" i="2"/>
  <c r="P1227" i="2"/>
  <c r="U1226" i="2"/>
  <c r="P1226" i="2"/>
  <c r="S1226" i="2" s="1"/>
  <c r="V1225" i="2"/>
  <c r="P1225" i="2"/>
  <c r="V1224" i="2"/>
  <c r="V1265" i="2" s="1"/>
  <c r="U1224" i="2"/>
  <c r="Q1224" i="2"/>
  <c r="Q1265" i="2" s="1"/>
  <c r="P1224" i="2"/>
  <c r="P1223" i="2"/>
  <c r="P1222" i="2"/>
  <c r="S1222" i="2" s="1"/>
  <c r="W1222" i="2" s="1"/>
  <c r="O1231" i="2"/>
  <c r="O1232" i="2"/>
  <c r="O1223" i="2"/>
  <c r="O1224" i="2" s="1"/>
  <c r="O1225" i="2" s="1"/>
  <c r="O1226" i="2" s="1"/>
  <c r="O1227" i="2" s="1"/>
  <c r="O1228" i="2" s="1"/>
  <c r="O1229" i="2" s="1"/>
  <c r="O1230" i="2" s="1"/>
  <c r="S1223" i="2"/>
  <c r="W1223" i="2" s="1"/>
  <c r="S1225" i="2"/>
  <c r="W1225" i="2" s="1"/>
  <c r="S1227" i="2"/>
  <c r="W1227" i="2" s="1"/>
  <c r="S1228" i="2"/>
  <c r="W1228" i="2" s="1"/>
  <c r="S1229" i="2"/>
  <c r="S1233" i="2"/>
  <c r="W1233" i="2"/>
  <c r="S1234" i="2"/>
  <c r="W1234" i="2"/>
  <c r="S1235" i="2"/>
  <c r="W1235" i="2"/>
  <c r="S1236" i="2"/>
  <c r="W1236" i="2" s="1"/>
  <c r="S1237" i="2"/>
  <c r="W1237" i="2" s="1"/>
  <c r="S1238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S1252" i="2"/>
  <c r="W1252" i="2"/>
  <c r="S1253" i="2"/>
  <c r="W1253" i="2" s="1"/>
  <c r="S1254" i="2"/>
  <c r="W1254" i="2"/>
  <c r="S1255" i="2"/>
  <c r="W1255" i="2"/>
  <c r="S1256" i="2"/>
  <c r="W1256" i="2" s="1"/>
  <c r="S1257" i="2"/>
  <c r="W1257" i="2"/>
  <c r="S1258" i="2"/>
  <c r="W1258" i="2"/>
  <c r="S1259" i="2"/>
  <c r="W1259" i="2"/>
  <c r="S1260" i="2"/>
  <c r="W1260" i="2"/>
  <c r="W1261" i="2"/>
  <c r="S1262" i="2"/>
  <c r="W1262" i="2"/>
  <c r="W1263" i="2"/>
  <c r="R1265" i="2"/>
  <c r="D1227" i="2"/>
  <c r="D1226" i="2"/>
  <c r="G1226" i="2" s="1"/>
  <c r="K1226" i="2" s="1"/>
  <c r="D1225" i="2"/>
  <c r="D1224" i="2"/>
  <c r="G1224" i="2" s="1"/>
  <c r="K1224" i="2" s="1"/>
  <c r="C1226" i="2"/>
  <c r="C1227" i="2" s="1"/>
  <c r="D1223" i="2"/>
  <c r="G1223" i="2" s="1"/>
  <c r="K1223" i="2" s="1"/>
  <c r="I1222" i="2"/>
  <c r="I1265" i="2" s="1"/>
  <c r="D1222" i="2"/>
  <c r="C1225" i="2"/>
  <c r="J1265" i="2"/>
  <c r="C1223" i="2"/>
  <c r="G1225" i="2"/>
  <c r="K1225" i="2" s="1"/>
  <c r="G1227" i="2"/>
  <c r="K1227" i="2" s="1"/>
  <c r="G1228" i="2"/>
  <c r="K1228" i="2"/>
  <c r="G1229" i="2"/>
  <c r="K1229" i="2"/>
  <c r="G1230" i="2"/>
  <c r="K1230" i="2" s="1"/>
  <c r="G1231" i="2"/>
  <c r="K1231" i="2"/>
  <c r="G1232" i="2"/>
  <c r="K1232" i="2"/>
  <c r="G1233" i="2"/>
  <c r="K1233" i="2"/>
  <c r="G1234" i="2"/>
  <c r="K1234" i="2" s="1"/>
  <c r="G1235" i="2"/>
  <c r="K1235" i="2"/>
  <c r="G1236" i="2"/>
  <c r="K1236" i="2"/>
  <c r="G1237" i="2"/>
  <c r="K1237" i="2"/>
  <c r="G1238" i="2"/>
  <c r="K1238" i="2" s="1"/>
  <c r="G1239" i="2"/>
  <c r="K1239" i="2"/>
  <c r="G1240" i="2"/>
  <c r="K1240" i="2"/>
  <c r="G1241" i="2"/>
  <c r="K1241" i="2"/>
  <c r="G1242" i="2"/>
  <c r="K1242" i="2" s="1"/>
  <c r="G1243" i="2"/>
  <c r="K1243" i="2"/>
  <c r="G1244" i="2"/>
  <c r="K1244" i="2"/>
  <c r="G1245" i="2"/>
  <c r="K1245" i="2"/>
  <c r="G1246" i="2"/>
  <c r="K1246" i="2" s="1"/>
  <c r="G1247" i="2"/>
  <c r="K1247" i="2"/>
  <c r="G1248" i="2"/>
  <c r="K1248" i="2"/>
  <c r="G1249" i="2"/>
  <c r="K1249" i="2"/>
  <c r="G1250" i="2"/>
  <c r="K1250" i="2" s="1"/>
  <c r="G1251" i="2"/>
  <c r="K1251" i="2"/>
  <c r="G1252" i="2"/>
  <c r="K1252" i="2"/>
  <c r="G1253" i="2"/>
  <c r="K1253" i="2"/>
  <c r="G1254" i="2"/>
  <c r="K1254" i="2" s="1"/>
  <c r="G1255" i="2"/>
  <c r="K1255" i="2"/>
  <c r="G1262" i="2"/>
  <c r="K1262" i="2"/>
  <c r="E1265" i="2"/>
  <c r="F1265" i="2"/>
  <c r="AG1265" i="2" l="1"/>
  <c r="AE1229" i="2"/>
  <c r="AI1229" i="2" s="1"/>
  <c r="AI1226" i="2"/>
  <c r="AC1265" i="2"/>
  <c r="AB1265" i="2"/>
  <c r="AE1265" i="2"/>
  <c r="AI1222" i="2"/>
  <c r="AI1265" i="2" s="1"/>
  <c r="W1226" i="2"/>
  <c r="U1265" i="2"/>
  <c r="S1224" i="2"/>
  <c r="W1224" i="2" s="1"/>
  <c r="S1265" i="2"/>
  <c r="P1265" i="2"/>
  <c r="D1265" i="2"/>
  <c r="G1222" i="2"/>
  <c r="J40" i="1"/>
  <c r="D40" i="1" s="1"/>
  <c r="AG1171" i="2"/>
  <c r="AB1171" i="2"/>
  <c r="AE1171" i="2" s="1"/>
  <c r="AI1171" i="2" s="1"/>
  <c r="AB1170" i="2"/>
  <c r="AC1169" i="2"/>
  <c r="AE1169" i="2" s="1"/>
  <c r="AI1169" i="2" s="1"/>
  <c r="AB1169" i="2"/>
  <c r="AB1168" i="2"/>
  <c r="AB1167" i="2"/>
  <c r="AC1167" i="2"/>
  <c r="AA1170" i="2"/>
  <c r="AA1171" i="2"/>
  <c r="AE1167" i="2"/>
  <c r="AA1168" i="2"/>
  <c r="AA1169" i="2" s="1"/>
  <c r="AE1168" i="2"/>
  <c r="AI1168" i="2" s="1"/>
  <c r="AE1170" i="2"/>
  <c r="AI1170" i="2" s="1"/>
  <c r="AE1172" i="2"/>
  <c r="AI1172" i="2"/>
  <c r="AE1173" i="2"/>
  <c r="AI1173" i="2"/>
  <c r="AE1174" i="2"/>
  <c r="AI1174" i="2"/>
  <c r="AE1175" i="2"/>
  <c r="AI1175" i="2" s="1"/>
  <c r="AE1176" i="2"/>
  <c r="AI1176" i="2"/>
  <c r="AE1177" i="2"/>
  <c r="AI1177" i="2"/>
  <c r="AE1178" i="2"/>
  <c r="AI1178" i="2"/>
  <c r="AE1179" i="2"/>
  <c r="AI1179" i="2" s="1"/>
  <c r="AE1180" i="2"/>
  <c r="AI1180" i="2"/>
  <c r="AE1181" i="2"/>
  <c r="AI1181" i="2"/>
  <c r="AE1182" i="2"/>
  <c r="AI1182" i="2"/>
  <c r="AE1183" i="2"/>
  <c r="AI1183" i="2" s="1"/>
  <c r="AE1184" i="2"/>
  <c r="AI1184" i="2"/>
  <c r="AE1185" i="2"/>
  <c r="AI1185" i="2"/>
  <c r="AE1186" i="2"/>
  <c r="AI1186" i="2"/>
  <c r="AE1187" i="2"/>
  <c r="AI1187" i="2" s="1"/>
  <c r="AE1188" i="2"/>
  <c r="AI1188" i="2"/>
  <c r="AE1189" i="2"/>
  <c r="AI1189" i="2"/>
  <c r="AE1190" i="2"/>
  <c r="AI1190" i="2"/>
  <c r="AE1191" i="2"/>
  <c r="AI1191" i="2" s="1"/>
  <c r="AE1192" i="2"/>
  <c r="AI1192" i="2"/>
  <c r="AE1193" i="2"/>
  <c r="AI1193" i="2"/>
  <c r="AE1194" i="2"/>
  <c r="AI1194" i="2"/>
  <c r="AE1195" i="2"/>
  <c r="AI1195" i="2" s="1"/>
  <c r="AE1196" i="2"/>
  <c r="AI1196" i="2"/>
  <c r="AE1197" i="2"/>
  <c r="AI1197" i="2"/>
  <c r="AE1198" i="2"/>
  <c r="AI1198" i="2"/>
  <c r="AE1199" i="2"/>
  <c r="AI1199" i="2" s="1"/>
  <c r="AE1200" i="2"/>
  <c r="AI1200" i="2"/>
  <c r="AE1201" i="2"/>
  <c r="AI1201" i="2"/>
  <c r="AE1202" i="2"/>
  <c r="AI1202" i="2"/>
  <c r="AE1203" i="2"/>
  <c r="AI1203" i="2" s="1"/>
  <c r="AE1204" i="2"/>
  <c r="AI1204" i="2"/>
  <c r="AE1205" i="2"/>
  <c r="AI1205" i="2"/>
  <c r="AI1206" i="2"/>
  <c r="AE1207" i="2"/>
  <c r="AI1207" i="2"/>
  <c r="AI1208" i="2"/>
  <c r="AD1210" i="2"/>
  <c r="AG1210" i="2"/>
  <c r="AH1210" i="2"/>
  <c r="P1175" i="2"/>
  <c r="S1175" i="2" s="1"/>
  <c r="W1175" i="2" s="1"/>
  <c r="V1174" i="2"/>
  <c r="P1174" i="2"/>
  <c r="V1173" i="2"/>
  <c r="P1173" i="2"/>
  <c r="P1172" i="2"/>
  <c r="U1171" i="2"/>
  <c r="P1171" i="2"/>
  <c r="V1170" i="2"/>
  <c r="W1170" i="2" s="1"/>
  <c r="P1170" i="2"/>
  <c r="P1169" i="2"/>
  <c r="S1169" i="2" s="1"/>
  <c r="W1169" i="2" s="1"/>
  <c r="V1168" i="2"/>
  <c r="P1168" i="2"/>
  <c r="U1167" i="2"/>
  <c r="Q1167" i="2"/>
  <c r="P1167" i="2"/>
  <c r="O1168" i="2"/>
  <c r="O1169" i="2" s="1"/>
  <c r="O1170" i="2" s="1"/>
  <c r="O1171" i="2" s="1"/>
  <c r="O1172" i="2" s="1"/>
  <c r="O1173" i="2" s="1"/>
  <c r="O1174" i="2" s="1"/>
  <c r="O1175" i="2" s="1"/>
  <c r="S1168" i="2"/>
  <c r="S1170" i="2"/>
  <c r="S1171" i="2"/>
  <c r="W1171" i="2"/>
  <c r="S1172" i="2"/>
  <c r="W1172" i="2" s="1"/>
  <c r="S1173" i="2"/>
  <c r="S1174" i="2"/>
  <c r="S1176" i="2"/>
  <c r="U1210" i="2"/>
  <c r="W1176" i="2"/>
  <c r="S1177" i="2"/>
  <c r="W1177" i="2"/>
  <c r="S1178" i="2"/>
  <c r="W1178" i="2" s="1"/>
  <c r="S1179" i="2"/>
  <c r="W1179" i="2" s="1"/>
  <c r="S1180" i="2"/>
  <c r="W1180" i="2"/>
  <c r="S1181" i="2"/>
  <c r="W1181" i="2"/>
  <c r="S1182" i="2"/>
  <c r="W1182" i="2" s="1"/>
  <c r="S1183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S1197" i="2"/>
  <c r="W1197" i="2"/>
  <c r="S1198" i="2"/>
  <c r="W1198" i="2"/>
  <c r="S1199" i="2"/>
  <c r="W1199" i="2" s="1"/>
  <c r="S1200" i="2"/>
  <c r="W1200" i="2" s="1"/>
  <c r="S1201" i="2"/>
  <c r="W1201" i="2"/>
  <c r="S1202" i="2"/>
  <c r="W1202" i="2" s="1"/>
  <c r="S1203" i="2"/>
  <c r="W1203" i="2"/>
  <c r="S1204" i="2"/>
  <c r="W1204" i="2"/>
  <c r="S1205" i="2"/>
  <c r="W1205" i="2"/>
  <c r="W1206" i="2"/>
  <c r="S1207" i="2"/>
  <c r="W1207" i="2"/>
  <c r="W1208" i="2"/>
  <c r="Q1210" i="2"/>
  <c r="R1210" i="2"/>
  <c r="I1168" i="2"/>
  <c r="J1168" i="2"/>
  <c r="J1210" i="2" s="1"/>
  <c r="I1210" i="2"/>
  <c r="D1168" i="2"/>
  <c r="D1167" i="2"/>
  <c r="J1167" i="2"/>
  <c r="I1167" i="2"/>
  <c r="E1167" i="2"/>
  <c r="C1168" i="2"/>
  <c r="E1210" i="2"/>
  <c r="G1169" i="2"/>
  <c r="K1169" i="2" s="1"/>
  <c r="G1170" i="2"/>
  <c r="K1170" i="2"/>
  <c r="G1171" i="2"/>
  <c r="K1171" i="2"/>
  <c r="G1172" i="2"/>
  <c r="K1172" i="2"/>
  <c r="G1173" i="2"/>
  <c r="K1173" i="2"/>
  <c r="G1174" i="2"/>
  <c r="K1174" i="2"/>
  <c r="G1175" i="2"/>
  <c r="K1175" i="2"/>
  <c r="G1176" i="2"/>
  <c r="K1176" i="2"/>
  <c r="G1177" i="2"/>
  <c r="K1177" i="2"/>
  <c r="G1178" i="2"/>
  <c r="K1178" i="2"/>
  <c r="G1179" i="2"/>
  <c r="K1179" i="2"/>
  <c r="G1180" i="2"/>
  <c r="K1180" i="2"/>
  <c r="G1181" i="2"/>
  <c r="K1181" i="2"/>
  <c r="G1182" i="2"/>
  <c r="K1182" i="2"/>
  <c r="G1183" i="2"/>
  <c r="K1183" i="2" s="1"/>
  <c r="G1184" i="2"/>
  <c r="K1184" i="2"/>
  <c r="G1185" i="2"/>
  <c r="K1185" i="2"/>
  <c r="G1186" i="2"/>
  <c r="K1186" i="2"/>
  <c r="G1187" i="2"/>
  <c r="K1187" i="2"/>
  <c r="G1188" i="2"/>
  <c r="K1188" i="2"/>
  <c r="G1189" i="2"/>
  <c r="K1189" i="2"/>
  <c r="G1190" i="2"/>
  <c r="K1190" i="2"/>
  <c r="G1191" i="2"/>
  <c r="K1191" i="2"/>
  <c r="G1192" i="2"/>
  <c r="K1192" i="2"/>
  <c r="G1193" i="2"/>
  <c r="K1193" i="2"/>
  <c r="G1194" i="2"/>
  <c r="K1194" i="2"/>
  <c r="G1195" i="2"/>
  <c r="K1195" i="2"/>
  <c r="G1196" i="2"/>
  <c r="K1196" i="2"/>
  <c r="G1197" i="2"/>
  <c r="K1197" i="2"/>
  <c r="G1198" i="2"/>
  <c r="K1198" i="2"/>
  <c r="G1199" i="2"/>
  <c r="K1199" i="2"/>
  <c r="G1200" i="2"/>
  <c r="K1200" i="2"/>
  <c r="G1207" i="2"/>
  <c r="K1207" i="2"/>
  <c r="F1210" i="2"/>
  <c r="W1265" i="2" l="1"/>
  <c r="G1265" i="2"/>
  <c r="K1222" i="2"/>
  <c r="K1265" i="2" s="1"/>
  <c r="AC1210" i="2"/>
  <c r="AI1167" i="2"/>
  <c r="AI1210" i="2" s="1"/>
  <c r="AE1210" i="2"/>
  <c r="AB1210" i="2"/>
  <c r="W1174" i="2"/>
  <c r="W1173" i="2"/>
  <c r="V1210" i="2"/>
  <c r="P1210" i="2"/>
  <c r="W1168" i="2"/>
  <c r="S1167" i="2"/>
  <c r="W1167" i="2" s="1"/>
  <c r="S1210" i="2"/>
  <c r="D1210" i="2"/>
  <c r="G1167" i="2"/>
  <c r="K1167" i="2" s="1"/>
  <c r="G1168" i="2"/>
  <c r="AC1114" i="2"/>
  <c r="AB1114" i="2"/>
  <c r="AC1113" i="2"/>
  <c r="AB1113" i="2"/>
  <c r="AC1112" i="2"/>
  <c r="AE1112" i="2" s="1"/>
  <c r="AB1112" i="2"/>
  <c r="AA1113" i="2"/>
  <c r="AA1114" i="2" s="1"/>
  <c r="AE1115" i="2"/>
  <c r="AI1115" i="2" s="1"/>
  <c r="AE1116" i="2"/>
  <c r="AI1116" i="2" s="1"/>
  <c r="AE1117" i="2"/>
  <c r="AI1117" i="2"/>
  <c r="AE1118" i="2"/>
  <c r="AI1118" i="2" s="1"/>
  <c r="AE1119" i="2"/>
  <c r="AI1119" i="2"/>
  <c r="AE1120" i="2"/>
  <c r="AI1120" i="2" s="1"/>
  <c r="AE1121" i="2"/>
  <c r="AI1121" i="2" s="1"/>
  <c r="AE1122" i="2"/>
  <c r="AI1122" i="2"/>
  <c r="AE1123" i="2"/>
  <c r="AI1123" i="2"/>
  <c r="AE1124" i="2"/>
  <c r="AI1124" i="2" s="1"/>
  <c r="AE1125" i="2"/>
  <c r="AI1125" i="2" s="1"/>
  <c r="AE1126" i="2"/>
  <c r="AI1126" i="2"/>
  <c r="AE1127" i="2"/>
  <c r="AI1127" i="2"/>
  <c r="AE1128" i="2"/>
  <c r="AI1128" i="2" s="1"/>
  <c r="AE1129" i="2"/>
  <c r="AI1129" i="2" s="1"/>
  <c r="AE1130" i="2"/>
  <c r="AI1130" i="2"/>
  <c r="AE1131" i="2"/>
  <c r="AI1131" i="2"/>
  <c r="AE1132" i="2"/>
  <c r="AI1132" i="2"/>
  <c r="AE1133" i="2"/>
  <c r="AI1133" i="2" s="1"/>
  <c r="AE1134" i="2"/>
  <c r="AI1134" i="2" s="1"/>
  <c r="AE1135" i="2"/>
  <c r="AI1135" i="2"/>
  <c r="AE1136" i="2"/>
  <c r="AI1136" i="2" s="1"/>
  <c r="AE1137" i="2"/>
  <c r="AI1137" i="2" s="1"/>
  <c r="AE1138" i="2"/>
  <c r="AI1138" i="2"/>
  <c r="AE1139" i="2"/>
  <c r="AI1139" i="2"/>
  <c r="AE1140" i="2"/>
  <c r="AI1140" i="2"/>
  <c r="AE1141" i="2"/>
  <c r="AI1141" i="2" s="1"/>
  <c r="AE1142" i="2"/>
  <c r="AI1142" i="2" s="1"/>
  <c r="AE1143" i="2"/>
  <c r="AI1143" i="2"/>
  <c r="AE1144" i="2"/>
  <c r="AI1144" i="2" s="1"/>
  <c r="AE1145" i="2"/>
  <c r="AI1145" i="2" s="1"/>
  <c r="AE1146" i="2"/>
  <c r="AI1146" i="2"/>
  <c r="AE1147" i="2"/>
  <c r="AI1147" i="2"/>
  <c r="AE1148" i="2"/>
  <c r="AI1148" i="2"/>
  <c r="AE1149" i="2"/>
  <c r="AI1149" i="2" s="1"/>
  <c r="AE1150" i="2"/>
  <c r="AI1150" i="2" s="1"/>
  <c r="AI1151" i="2"/>
  <c r="AE1152" i="2"/>
  <c r="AI1152" i="2" s="1"/>
  <c r="AI1153" i="2"/>
  <c r="AD1155" i="2"/>
  <c r="AG1155" i="2"/>
  <c r="AH1155" i="2"/>
  <c r="P1124" i="2"/>
  <c r="P1123" i="2"/>
  <c r="S1123" i="2" s="1"/>
  <c r="W1123" i="2" s="1"/>
  <c r="V1122" i="2"/>
  <c r="V1155" i="2" s="1"/>
  <c r="P1122" i="2"/>
  <c r="S1122" i="2" s="1"/>
  <c r="U1121" i="2"/>
  <c r="P1121" i="2"/>
  <c r="S1121" i="2" s="1"/>
  <c r="W1121" i="2" s="1"/>
  <c r="P1120" i="2"/>
  <c r="S1120" i="2" s="1"/>
  <c r="W1120" i="2" s="1"/>
  <c r="P1119" i="2"/>
  <c r="O1119" i="2"/>
  <c r="O1120" i="2" s="1"/>
  <c r="O1121" i="2" s="1"/>
  <c r="O1122" i="2" s="1"/>
  <c r="O1123" i="2" s="1"/>
  <c r="O1124" i="2" s="1"/>
  <c r="P1118" i="2"/>
  <c r="S1118" i="2" s="1"/>
  <c r="W1118" i="2" s="1"/>
  <c r="P1117" i="2"/>
  <c r="U1116" i="2"/>
  <c r="P1116" i="2"/>
  <c r="P1115" i="2"/>
  <c r="S1115" i="2" s="1"/>
  <c r="W1115" i="2" s="1"/>
  <c r="P1114" i="2"/>
  <c r="P1113" i="2"/>
  <c r="P1112" i="2"/>
  <c r="O1115" i="2"/>
  <c r="O1116" i="2" s="1"/>
  <c r="O1117" i="2" s="1"/>
  <c r="O1118" i="2" s="1"/>
  <c r="S1112" i="2"/>
  <c r="O1113" i="2"/>
  <c r="O1114" i="2" s="1"/>
  <c r="S1113" i="2"/>
  <c r="W1113" i="2" s="1"/>
  <c r="S1114" i="2"/>
  <c r="W1114" i="2"/>
  <c r="S1116" i="2"/>
  <c r="S1119" i="2"/>
  <c r="W1119" i="2" s="1"/>
  <c r="S1124" i="2"/>
  <c r="W1124" i="2" s="1"/>
  <c r="S1125" i="2"/>
  <c r="W1125" i="2"/>
  <c r="S1126" i="2"/>
  <c r="W1126" i="2"/>
  <c r="S1127" i="2"/>
  <c r="W1127" i="2" s="1"/>
  <c r="S1128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J1115" i="2"/>
  <c r="D1115" i="2"/>
  <c r="G1115" i="2" s="1"/>
  <c r="K1115" i="2" s="1"/>
  <c r="D1114" i="2"/>
  <c r="I1113" i="2"/>
  <c r="I1155" i="2" s="1"/>
  <c r="E1113" i="2"/>
  <c r="G1113" i="2" s="1"/>
  <c r="D1113" i="2"/>
  <c r="I1112" i="2"/>
  <c r="E1112" i="2"/>
  <c r="D1112" i="2"/>
  <c r="G1112" i="2" s="1"/>
  <c r="K1112" i="2" s="1"/>
  <c r="C1113" i="2"/>
  <c r="C1114" i="2" s="1"/>
  <c r="C1115" i="2" s="1"/>
  <c r="J1155" i="2"/>
  <c r="G1116" i="2"/>
  <c r="K1116" i="2" s="1"/>
  <c r="G1117" i="2"/>
  <c r="K1117" i="2"/>
  <c r="G1118" i="2"/>
  <c r="K1118" i="2"/>
  <c r="G1119" i="2"/>
  <c r="K1119" i="2"/>
  <c r="G1120" i="2"/>
  <c r="K1120" i="2"/>
  <c r="G1121" i="2"/>
  <c r="K1121" i="2"/>
  <c r="G1122" i="2"/>
  <c r="K1122" i="2" s="1"/>
  <c r="G1123" i="2"/>
  <c r="K1123" i="2"/>
  <c r="G1124" i="2"/>
  <c r="K1124" i="2"/>
  <c r="G1125" i="2"/>
  <c r="K1125" i="2"/>
  <c r="G1126" i="2"/>
  <c r="K1126" i="2"/>
  <c r="G1127" i="2"/>
  <c r="K1127" i="2"/>
  <c r="G1128" i="2"/>
  <c r="K1128" i="2" s="1"/>
  <c r="G1129" i="2"/>
  <c r="K1129" i="2"/>
  <c r="G1130" i="2"/>
  <c r="K1130" i="2" s="1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 s="1"/>
  <c r="G1139" i="2"/>
  <c r="K1139" i="2"/>
  <c r="G1140" i="2"/>
  <c r="K1140" i="2"/>
  <c r="G1141" i="2"/>
  <c r="K1141" i="2"/>
  <c r="G1142" i="2"/>
  <c r="K1142" i="2"/>
  <c r="G1143" i="2"/>
  <c r="K1143" i="2"/>
  <c r="G1144" i="2"/>
  <c r="K1144" i="2"/>
  <c r="G1145" i="2"/>
  <c r="K1145" i="2"/>
  <c r="G1152" i="2"/>
  <c r="K1152" i="2" s="1"/>
  <c r="F1155" i="2"/>
  <c r="W1210" i="2" l="1"/>
  <c r="G1210" i="2"/>
  <c r="K1168" i="2"/>
  <c r="K1210" i="2" s="1"/>
  <c r="AE1114" i="2"/>
  <c r="AI1114" i="2" s="1"/>
  <c r="AE1113" i="2"/>
  <c r="AI1113" i="2" s="1"/>
  <c r="AB1155" i="2"/>
  <c r="AC1155" i="2"/>
  <c r="AI1112" i="2"/>
  <c r="AI1155" i="2" s="1"/>
  <c r="AE1155" i="2"/>
  <c r="W1122" i="2"/>
  <c r="U1155" i="2"/>
  <c r="W1116" i="2"/>
  <c r="P1155" i="2"/>
  <c r="W1112" i="2"/>
  <c r="S1117" i="2"/>
  <c r="W1117" i="2" s="1"/>
  <c r="E1155" i="2"/>
  <c r="D1155" i="2"/>
  <c r="K1113" i="2"/>
  <c r="G1114" i="2"/>
  <c r="K1114" i="2" s="1"/>
  <c r="AG1064" i="2"/>
  <c r="AB1064" i="2"/>
  <c r="AE1064" i="2" s="1"/>
  <c r="AB1063" i="2"/>
  <c r="AB1062" i="2"/>
  <c r="AE1062" i="2" s="1"/>
  <c r="AI1062" i="2" s="1"/>
  <c r="AG1061" i="2"/>
  <c r="AB1061" i="2"/>
  <c r="AG1060" i="2"/>
  <c r="AC1060" i="2"/>
  <c r="AB1060" i="2"/>
  <c r="AB1059" i="2"/>
  <c r="AG1058" i="2"/>
  <c r="AC1058" i="2"/>
  <c r="AB1058" i="2"/>
  <c r="AB1057" i="2"/>
  <c r="AE1057" i="2" s="1"/>
  <c r="AA1059" i="2"/>
  <c r="AA1060" i="2"/>
  <c r="AA1061" i="2"/>
  <c r="AA1062" i="2"/>
  <c r="AA1063" i="2" s="1"/>
  <c r="AA1064" i="2" s="1"/>
  <c r="AA1058" i="2"/>
  <c r="AE1061" i="2"/>
  <c r="AE1063" i="2"/>
  <c r="AI1063" i="2" s="1"/>
  <c r="AE1065" i="2"/>
  <c r="AI1065" i="2" s="1"/>
  <c r="AE1066" i="2"/>
  <c r="AI1066" i="2" s="1"/>
  <c r="AE1067" i="2"/>
  <c r="AI1067" i="2"/>
  <c r="AE1068" i="2"/>
  <c r="AI1068" i="2" s="1"/>
  <c r="AE1069" i="2"/>
  <c r="AI1069" i="2"/>
  <c r="AE1070" i="2"/>
  <c r="AI1070" i="2" s="1"/>
  <c r="AE1071" i="2"/>
  <c r="AI1071" i="2"/>
  <c r="AE1072" i="2"/>
  <c r="AI1072" i="2"/>
  <c r="AE1073" i="2"/>
  <c r="AI1073" i="2" s="1"/>
  <c r="AE1074" i="2"/>
  <c r="AI1074" i="2" s="1"/>
  <c r="AE1075" i="2"/>
  <c r="AI1075" i="2"/>
  <c r="AE1076" i="2"/>
  <c r="AI1076" i="2" s="1"/>
  <c r="AE1077" i="2"/>
  <c r="AI1077" i="2"/>
  <c r="AE1078" i="2"/>
  <c r="AI1078" i="2" s="1"/>
  <c r="AE1079" i="2"/>
  <c r="AI1079" i="2"/>
  <c r="AE1080" i="2"/>
  <c r="AI1080" i="2"/>
  <c r="AE1081" i="2"/>
  <c r="AI1081" i="2" s="1"/>
  <c r="AE1082" i="2"/>
  <c r="AI1082" i="2" s="1"/>
  <c r="AE1083" i="2"/>
  <c r="AI1083" i="2"/>
  <c r="AE1084" i="2"/>
  <c r="AI1084" i="2" s="1"/>
  <c r="AE1085" i="2"/>
  <c r="AI1085" i="2"/>
  <c r="AE1086" i="2"/>
  <c r="AI1086" i="2" s="1"/>
  <c r="AE1087" i="2"/>
  <c r="AI1087" i="2"/>
  <c r="AE1088" i="2"/>
  <c r="AI1088" i="2"/>
  <c r="AE1089" i="2"/>
  <c r="AI1089" i="2" s="1"/>
  <c r="AE1090" i="2"/>
  <c r="AI1090" i="2"/>
  <c r="AE1091" i="2"/>
  <c r="AI1091" i="2"/>
  <c r="AE1092" i="2"/>
  <c r="AI1092" i="2" s="1"/>
  <c r="AE1093" i="2"/>
  <c r="AI1093" i="2"/>
  <c r="AE1094" i="2"/>
  <c r="AI1094" i="2" s="1"/>
  <c r="AE1095" i="2"/>
  <c r="AI1095" i="2"/>
  <c r="AI1096" i="2"/>
  <c r="AE1097" i="2"/>
  <c r="AI1097" i="2"/>
  <c r="AI1098" i="2"/>
  <c r="AD1100" i="2"/>
  <c r="AH1100" i="2"/>
  <c r="P1063" i="2"/>
  <c r="S1063" i="2" s="1"/>
  <c r="W1063" i="2" s="1"/>
  <c r="V1062" i="2"/>
  <c r="P1062" i="2"/>
  <c r="V1061" i="2"/>
  <c r="P1061" i="2"/>
  <c r="V1060" i="2"/>
  <c r="Q1060" i="2"/>
  <c r="P1060" i="2"/>
  <c r="S1060" i="2" s="1"/>
  <c r="P1059" i="2"/>
  <c r="P1058" i="2"/>
  <c r="U1057" i="2"/>
  <c r="U1100" i="2" s="1"/>
  <c r="P1057" i="2"/>
  <c r="S1057" i="2" s="1"/>
  <c r="R1100" i="2"/>
  <c r="W1098" i="2"/>
  <c r="S1097" i="2"/>
  <c r="W1097" i="2" s="1"/>
  <c r="W1096" i="2"/>
  <c r="S1095" i="2"/>
  <c r="W1095" i="2" s="1"/>
  <c r="S1094" i="2"/>
  <c r="W1094" i="2" s="1"/>
  <c r="W1093" i="2"/>
  <c r="S1093" i="2"/>
  <c r="S1092" i="2"/>
  <c r="W1092" i="2" s="1"/>
  <c r="S1091" i="2"/>
  <c r="W1091" i="2" s="1"/>
  <c r="W1090" i="2"/>
  <c r="S1090" i="2"/>
  <c r="S1089" i="2"/>
  <c r="W1089" i="2" s="1"/>
  <c r="W1088" i="2"/>
  <c r="S1088" i="2"/>
  <c r="S1087" i="2"/>
  <c r="W1087" i="2" s="1"/>
  <c r="W1086" i="2"/>
  <c r="W1085" i="2"/>
  <c r="W1084" i="2"/>
  <c r="W1083" i="2"/>
  <c r="W1082" i="2"/>
  <c r="W1081" i="2"/>
  <c r="W1080" i="2"/>
  <c r="W1079" i="2"/>
  <c r="W1078" i="2"/>
  <c r="W1077" i="2"/>
  <c r="W1076" i="2"/>
  <c r="W1075" i="2"/>
  <c r="W1074" i="2"/>
  <c r="S1073" i="2"/>
  <c r="W1073" i="2" s="1"/>
  <c r="S1072" i="2"/>
  <c r="W1072" i="2" s="1"/>
  <c r="S1071" i="2"/>
  <c r="W1071" i="2" s="1"/>
  <c r="W1070" i="2"/>
  <c r="S1070" i="2"/>
  <c r="S1069" i="2"/>
  <c r="W1069" i="2" s="1"/>
  <c r="W1068" i="2"/>
  <c r="S1068" i="2"/>
  <c r="S1067" i="2"/>
  <c r="W1067" i="2" s="1"/>
  <c r="S1066" i="2"/>
  <c r="W1066" i="2" s="1"/>
  <c r="S1065" i="2"/>
  <c r="W1065" i="2" s="1"/>
  <c r="S1064" i="2"/>
  <c r="W1064" i="2" s="1"/>
  <c r="S1062" i="2"/>
  <c r="S1061" i="2"/>
  <c r="S1059" i="2"/>
  <c r="W1059" i="2" s="1"/>
  <c r="S1058" i="2"/>
  <c r="W1058" i="2" s="1"/>
  <c r="O1058" i="2"/>
  <c r="O1059" i="2" s="1"/>
  <c r="O1061" i="2" s="1"/>
  <c r="O1062" i="2" s="1"/>
  <c r="O1063" i="2" s="1"/>
  <c r="Q1100" i="2"/>
  <c r="J1061" i="2"/>
  <c r="I1061" i="2"/>
  <c r="E1061" i="2"/>
  <c r="D1061" i="2"/>
  <c r="J1060" i="2"/>
  <c r="D1060" i="2"/>
  <c r="G1060" i="2" s="1"/>
  <c r="K1060" i="2" s="1"/>
  <c r="D1059" i="2"/>
  <c r="E1058" i="2"/>
  <c r="G1058" i="2" s="1"/>
  <c r="K1058" i="2" s="1"/>
  <c r="D1058" i="2"/>
  <c r="D1057" i="2"/>
  <c r="C1060" i="2"/>
  <c r="C1061" i="2" s="1"/>
  <c r="C1058" i="2"/>
  <c r="C1059" i="2" s="1"/>
  <c r="F1100" i="2"/>
  <c r="G1097" i="2"/>
  <c r="K1097" i="2" s="1"/>
  <c r="G1090" i="2"/>
  <c r="K1090" i="2" s="1"/>
  <c r="G1089" i="2"/>
  <c r="K1089" i="2" s="1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G1081" i="2"/>
  <c r="K1081" i="2" s="1"/>
  <c r="K1080" i="2"/>
  <c r="G1080" i="2"/>
  <c r="G1079" i="2"/>
  <c r="K1079" i="2" s="1"/>
  <c r="G1078" i="2"/>
  <c r="K1078" i="2" s="1"/>
  <c r="G1077" i="2"/>
  <c r="K1077" i="2" s="1"/>
  <c r="G1076" i="2"/>
  <c r="K1076" i="2" s="1"/>
  <c r="G1075" i="2"/>
  <c r="K1075" i="2" s="1"/>
  <c r="G1074" i="2"/>
  <c r="K1074" i="2" s="1"/>
  <c r="G1073" i="2"/>
  <c r="K1073" i="2" s="1"/>
  <c r="K1072" i="2"/>
  <c r="G1072" i="2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K1064" i="2"/>
  <c r="G1064" i="2"/>
  <c r="G1063" i="2"/>
  <c r="K1063" i="2" s="1"/>
  <c r="G1062" i="2"/>
  <c r="K1062" i="2" s="1"/>
  <c r="G1059" i="2"/>
  <c r="K1059" i="2" s="1"/>
  <c r="I1100" i="2"/>
  <c r="S1155" i="2" l="1"/>
  <c r="W1155" i="2"/>
  <c r="K1155" i="2"/>
  <c r="G1155" i="2"/>
  <c r="AI1064" i="2"/>
  <c r="AI1061" i="2"/>
  <c r="AG1100" i="2"/>
  <c r="AE1060" i="2"/>
  <c r="AI1060" i="2" s="1"/>
  <c r="AC1100" i="2"/>
  <c r="AB1100" i="2"/>
  <c r="AI1057" i="2"/>
  <c r="AE1058" i="2"/>
  <c r="AI1058" i="2" s="1"/>
  <c r="AE1059" i="2"/>
  <c r="AI1059" i="2" s="1"/>
  <c r="V1100" i="2"/>
  <c r="W1062" i="2"/>
  <c r="W1061" i="2"/>
  <c r="W1060" i="2"/>
  <c r="W1057" i="2"/>
  <c r="S1100" i="2"/>
  <c r="P1100" i="2"/>
  <c r="J1100" i="2"/>
  <c r="G1061" i="2"/>
  <c r="K1061" i="2" s="1"/>
  <c r="D1100" i="2"/>
  <c r="E1100" i="2"/>
  <c r="G1057" i="2"/>
  <c r="AC1006" i="2"/>
  <c r="AB1006" i="2"/>
  <c r="AH1005" i="2"/>
  <c r="AB1005" i="2"/>
  <c r="AG1004" i="2"/>
  <c r="AB1004" i="2"/>
  <c r="AC1004" i="2"/>
  <c r="AC1045" i="2" s="1"/>
  <c r="AG1003" i="2"/>
  <c r="AB1003" i="2"/>
  <c r="AG1002" i="2"/>
  <c r="AB1002" i="2"/>
  <c r="AE1002" i="2"/>
  <c r="AA1003" i="2"/>
  <c r="AA1004" i="2"/>
  <c r="AA1005" i="2" s="1"/>
  <c r="AA1006" i="2" s="1"/>
  <c r="AE1004" i="2"/>
  <c r="AH1045" i="2"/>
  <c r="AE1005" i="2"/>
  <c r="AI1005" i="2" s="1"/>
  <c r="AE1006" i="2"/>
  <c r="AI1006" i="2" s="1"/>
  <c r="AE1007" i="2"/>
  <c r="AI1007" i="2" s="1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/>
  <c r="AE1015" i="2"/>
  <c r="AI1015" i="2"/>
  <c r="AE1016" i="2"/>
  <c r="AI1016" i="2" s="1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/>
  <c r="AE1023" i="2"/>
  <c r="AI1023" i="2"/>
  <c r="AE1024" i="2"/>
  <c r="AI1024" i="2" s="1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/>
  <c r="AE1031" i="2"/>
  <c r="AI1031" i="2"/>
  <c r="AE1032" i="2"/>
  <c r="AI1032" i="2" s="1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/>
  <c r="AE1039" i="2"/>
  <c r="AI1039" i="2"/>
  <c r="AE1040" i="2"/>
  <c r="AI1040" i="2" s="1"/>
  <c r="AI1041" i="2"/>
  <c r="AE1042" i="2"/>
  <c r="AI1042" i="2"/>
  <c r="AI1043" i="2"/>
  <c r="AD1045" i="2"/>
  <c r="AE1100" i="2" l="1"/>
  <c r="AI1100" i="2"/>
  <c r="W1100" i="2"/>
  <c r="K1057" i="2"/>
  <c r="K1100" i="2" s="1"/>
  <c r="G1100" i="2"/>
  <c r="AB1045" i="2"/>
  <c r="AE1003" i="2"/>
  <c r="AI1003" i="2" s="1"/>
  <c r="AI1002" i="2"/>
  <c r="AE1045" i="2"/>
  <c r="AI1004" i="2"/>
  <c r="AG1045" i="2"/>
  <c r="P910" i="2"/>
  <c r="S909" i="2"/>
  <c r="W909" i="2" s="1"/>
  <c r="S910" i="2"/>
  <c r="W910" i="2" s="1"/>
  <c r="W911" i="2"/>
  <c r="P895" i="2"/>
  <c r="AG953" i="2"/>
  <c r="AC952" i="2"/>
  <c r="AB952" i="2"/>
  <c r="AE952" i="2" s="1"/>
  <c r="AI952" i="2" s="1"/>
  <c r="AB951" i="2"/>
  <c r="AE951" i="2" s="1"/>
  <c r="AI951" i="2" s="1"/>
  <c r="AB950" i="2"/>
  <c r="AH949" i="2"/>
  <c r="AG949" i="2"/>
  <c r="AB949" i="2"/>
  <c r="AB948" i="2"/>
  <c r="AH947" i="2"/>
  <c r="AH990" i="2" s="1"/>
  <c r="AG947" i="2"/>
  <c r="AC947" i="2"/>
  <c r="AC990" i="2" s="1"/>
  <c r="AB947" i="2"/>
  <c r="AE947" i="2" s="1"/>
  <c r="AA948" i="2"/>
  <c r="AA949" i="2" s="1"/>
  <c r="AA950" i="2" s="1"/>
  <c r="AA951" i="2" s="1"/>
  <c r="AA952" i="2" s="1"/>
  <c r="AA953" i="2" s="1"/>
  <c r="AE949" i="2"/>
  <c r="AI949" i="2" s="1"/>
  <c r="AE950" i="2"/>
  <c r="AI950" i="2" s="1"/>
  <c r="AE953" i="2"/>
  <c r="AE954" i="2"/>
  <c r="AI954" i="2" s="1"/>
  <c r="AE955" i="2"/>
  <c r="AI955" i="2" s="1"/>
  <c r="AE956" i="2"/>
  <c r="AI956" i="2" s="1"/>
  <c r="AE957" i="2"/>
  <c r="AI957" i="2" s="1"/>
  <c r="AE958" i="2"/>
  <c r="AI958" i="2" s="1"/>
  <c r="AE959" i="2"/>
  <c r="AI959" i="2"/>
  <c r="AE960" i="2"/>
  <c r="AI960" i="2"/>
  <c r="AE961" i="2"/>
  <c r="AI961" i="2" s="1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 s="1"/>
  <c r="AE968" i="2"/>
  <c r="AI968" i="2"/>
  <c r="AE969" i="2"/>
  <c r="AI969" i="2" s="1"/>
  <c r="AE970" i="2"/>
  <c r="AI970" i="2"/>
  <c r="AE971" i="2"/>
  <c r="AI971" i="2"/>
  <c r="AE972" i="2"/>
  <c r="AI972" i="2" s="1"/>
  <c r="AE973" i="2"/>
  <c r="AI973" i="2"/>
  <c r="AE974" i="2"/>
  <c r="AI974" i="2" s="1"/>
  <c r="AE975" i="2"/>
  <c r="AI975" i="2"/>
  <c r="AE976" i="2"/>
  <c r="AI976" i="2"/>
  <c r="AE977" i="2"/>
  <c r="AI977" i="2" s="1"/>
  <c r="AE978" i="2"/>
  <c r="AI978" i="2"/>
  <c r="AE979" i="2"/>
  <c r="AI979" i="2"/>
  <c r="AE980" i="2"/>
  <c r="AI980" i="2" s="1"/>
  <c r="AE981" i="2"/>
  <c r="AI981" i="2"/>
  <c r="AE982" i="2"/>
  <c r="AI982" i="2" s="1"/>
  <c r="AE983" i="2"/>
  <c r="AI983" i="2"/>
  <c r="AE984" i="2"/>
  <c r="AI984" i="2"/>
  <c r="AE985" i="2"/>
  <c r="AI985" i="2" s="1"/>
  <c r="AI986" i="2"/>
  <c r="AE987" i="2"/>
  <c r="AI987" i="2"/>
  <c r="AI988" i="2"/>
  <c r="AD990" i="2"/>
  <c r="V955" i="2"/>
  <c r="P955" i="2"/>
  <c r="S955" i="2" s="1"/>
  <c r="P954" i="2"/>
  <c r="S954" i="2" s="1"/>
  <c r="W954" i="2" s="1"/>
  <c r="P953" i="2"/>
  <c r="S953" i="2" s="1"/>
  <c r="W953" i="2" s="1"/>
  <c r="P952" i="2"/>
  <c r="S952" i="2" s="1"/>
  <c r="W952" i="2" s="1"/>
  <c r="P951" i="2"/>
  <c r="S951" i="2" s="1"/>
  <c r="W951" i="2" s="1"/>
  <c r="V950" i="2"/>
  <c r="P950" i="2"/>
  <c r="S950" i="2" s="1"/>
  <c r="P949" i="2"/>
  <c r="U948" i="2"/>
  <c r="Q948" i="2"/>
  <c r="P948" i="2"/>
  <c r="V947" i="2"/>
  <c r="U947" i="2"/>
  <c r="Q947" i="2"/>
  <c r="P947" i="2"/>
  <c r="O948" i="2"/>
  <c r="O949" i="2" s="1"/>
  <c r="O950" i="2" s="1"/>
  <c r="O951" i="2" s="1"/>
  <c r="O952" i="2" s="1"/>
  <c r="O953" i="2" s="1"/>
  <c r="O954" i="2" s="1"/>
  <c r="O955" i="2" s="1"/>
  <c r="S949" i="2"/>
  <c r="W949" i="2" s="1"/>
  <c r="S956" i="2"/>
  <c r="W956" i="2" s="1"/>
  <c r="S957" i="2"/>
  <c r="W957" i="2"/>
  <c r="S958" i="2"/>
  <c r="W958" i="2" s="1"/>
  <c r="S959" i="2"/>
  <c r="W959" i="2" s="1"/>
  <c r="S960" i="2"/>
  <c r="W960" i="2"/>
  <c r="S961" i="2"/>
  <c r="W961" i="2" s="1"/>
  <c r="S962" i="2"/>
  <c r="W962" i="2" s="1"/>
  <c r="S963" i="2"/>
  <c r="W963" i="2" s="1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S977" i="2"/>
  <c r="W977" i="2"/>
  <c r="S978" i="2"/>
  <c r="W978" i="2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W986" i="2"/>
  <c r="S987" i="2"/>
  <c r="W987" i="2"/>
  <c r="W988" i="2"/>
  <c r="R990" i="2"/>
  <c r="D949" i="2"/>
  <c r="G949" i="2" s="1"/>
  <c r="K949" i="2" s="1"/>
  <c r="J948" i="2"/>
  <c r="D948" i="2"/>
  <c r="D990" i="2" s="1"/>
  <c r="J947" i="2"/>
  <c r="I947" i="2"/>
  <c r="D947" i="2"/>
  <c r="E947" i="2"/>
  <c r="E990" i="2" s="1"/>
  <c r="C949" i="2"/>
  <c r="G950" i="2"/>
  <c r="K950" i="2" s="1"/>
  <c r="G951" i="2"/>
  <c r="K951" i="2"/>
  <c r="G952" i="2"/>
  <c r="K952" i="2" s="1"/>
  <c r="G953" i="2"/>
  <c r="K953" i="2" s="1"/>
  <c r="G954" i="2"/>
  <c r="K954" i="2"/>
  <c r="G955" i="2"/>
  <c r="K955" i="2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G962" i="2"/>
  <c r="K962" i="2"/>
  <c r="G963" i="2"/>
  <c r="K963" i="2"/>
  <c r="G964" i="2"/>
  <c r="K964" i="2"/>
  <c r="G965" i="2"/>
  <c r="K965" i="2"/>
  <c r="G966" i="2"/>
  <c r="K966" i="2"/>
  <c r="G967" i="2"/>
  <c r="K967" i="2" s="1"/>
  <c r="G968" i="2"/>
  <c r="K968" i="2"/>
  <c r="G969" i="2"/>
  <c r="K969" i="2"/>
  <c r="G970" i="2"/>
  <c r="K970" i="2"/>
  <c r="G971" i="2"/>
  <c r="K971" i="2"/>
  <c r="G972" i="2"/>
  <c r="K972" i="2"/>
  <c r="G973" i="2"/>
  <c r="K973" i="2"/>
  <c r="G974" i="2"/>
  <c r="K974" i="2"/>
  <c r="G975" i="2"/>
  <c r="K975" i="2" s="1"/>
  <c r="G976" i="2"/>
  <c r="K976" i="2"/>
  <c r="G977" i="2"/>
  <c r="K977" i="2"/>
  <c r="G978" i="2"/>
  <c r="K978" i="2"/>
  <c r="G979" i="2"/>
  <c r="K979" i="2"/>
  <c r="G980" i="2"/>
  <c r="K980" i="2"/>
  <c r="G987" i="2"/>
  <c r="K987" i="2"/>
  <c r="F990" i="2"/>
  <c r="I990" i="2"/>
  <c r="AI1045" i="2" l="1"/>
  <c r="AI953" i="2"/>
  <c r="AG990" i="2"/>
  <c r="AB990" i="2"/>
  <c r="AI947" i="2"/>
  <c r="AE948" i="2"/>
  <c r="AI948" i="2" s="1"/>
  <c r="W955" i="2"/>
  <c r="W950" i="2"/>
  <c r="V990" i="2"/>
  <c r="P990" i="2"/>
  <c r="U990" i="2"/>
  <c r="Q990" i="2"/>
  <c r="S947" i="2"/>
  <c r="W947" i="2" s="1"/>
  <c r="S948" i="2"/>
  <c r="J990" i="2"/>
  <c r="G948" i="2"/>
  <c r="K948" i="2" s="1"/>
  <c r="G947" i="2"/>
  <c r="AB903" i="2"/>
  <c r="AG902" i="2"/>
  <c r="AB902" i="2"/>
  <c r="AE902" i="2" s="1"/>
  <c r="AB901" i="2"/>
  <c r="AG900" i="2"/>
  <c r="AB900" i="2"/>
  <c r="AH899" i="2"/>
  <c r="AB899" i="2"/>
  <c r="AG898" i="2"/>
  <c r="AC898" i="2"/>
  <c r="AC935" i="2" s="1"/>
  <c r="AB898" i="2"/>
  <c r="AB897" i="2"/>
  <c r="AE897" i="2" s="1"/>
  <c r="AI897" i="2" s="1"/>
  <c r="AC896" i="2"/>
  <c r="AB896" i="2"/>
  <c r="AB895" i="2"/>
  <c r="AE895" i="2" s="1"/>
  <c r="AI895" i="2" s="1"/>
  <c r="AG894" i="2"/>
  <c r="AB894" i="2"/>
  <c r="AG893" i="2"/>
  <c r="AB893" i="2"/>
  <c r="AE893" i="2" s="1"/>
  <c r="AB892" i="2"/>
  <c r="AE892" i="2" s="1"/>
  <c r="AA895" i="2"/>
  <c r="AA896" i="2" s="1"/>
  <c r="AA897" i="2" s="1"/>
  <c r="AA898" i="2" s="1"/>
  <c r="AA900" i="2" s="1"/>
  <c r="AA901" i="2" s="1"/>
  <c r="AA902" i="2" s="1"/>
  <c r="AA903" i="2" s="1"/>
  <c r="AA893" i="2"/>
  <c r="AH935" i="2"/>
  <c r="AA894" i="2"/>
  <c r="AE894" i="2"/>
  <c r="AI894" i="2" s="1"/>
  <c r="AE899" i="2"/>
  <c r="AI899" i="2" s="1"/>
  <c r="AE900" i="2"/>
  <c r="AI900" i="2" s="1"/>
  <c r="AE901" i="2"/>
  <c r="AI901" i="2" s="1"/>
  <c r="AE903" i="2"/>
  <c r="AI903" i="2" s="1"/>
  <c r="AE904" i="2"/>
  <c r="AI904" i="2"/>
  <c r="AE905" i="2"/>
  <c r="AI905" i="2"/>
  <c r="AE906" i="2"/>
  <c r="AI906" i="2"/>
  <c r="AE907" i="2"/>
  <c r="AI907" i="2"/>
  <c r="AE908" i="2"/>
  <c r="AI908" i="2"/>
  <c r="AE909" i="2"/>
  <c r="AI909" i="2" s="1"/>
  <c r="AE910" i="2"/>
  <c r="AI910" i="2" s="1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 s="1"/>
  <c r="AE918" i="2"/>
  <c r="AI918" i="2" s="1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 s="1"/>
  <c r="AE926" i="2"/>
  <c r="AI926" i="2" s="1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D935" i="2"/>
  <c r="P909" i="2"/>
  <c r="P908" i="2"/>
  <c r="P907" i="2"/>
  <c r="P906" i="2"/>
  <c r="S906" i="2" s="1"/>
  <c r="W906" i="2" s="1"/>
  <c r="P905" i="2"/>
  <c r="U904" i="2"/>
  <c r="W904" i="2" s="1"/>
  <c r="P904" i="2"/>
  <c r="P903" i="2"/>
  <c r="S903" i="2" s="1"/>
  <c r="W903" i="2" s="1"/>
  <c r="U902" i="2"/>
  <c r="Q902" i="2"/>
  <c r="P902" i="2"/>
  <c r="P901" i="2"/>
  <c r="P900" i="2"/>
  <c r="P899" i="2"/>
  <c r="S899" i="2" s="1"/>
  <c r="W899" i="2" s="1"/>
  <c r="P898" i="2"/>
  <c r="V897" i="2"/>
  <c r="P897" i="2"/>
  <c r="S897" i="2"/>
  <c r="W897" i="2" s="1"/>
  <c r="P896" i="2"/>
  <c r="S896" i="2" s="1"/>
  <c r="W896" i="2" s="1"/>
  <c r="P894" i="2"/>
  <c r="V893" i="2"/>
  <c r="V935" i="2" s="1"/>
  <c r="P893" i="2"/>
  <c r="S893" i="2" s="1"/>
  <c r="U892" i="2"/>
  <c r="P892" i="2"/>
  <c r="S892" i="2" s="1"/>
  <c r="O897" i="2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S894" i="2"/>
  <c r="W894" i="2" s="1"/>
  <c r="S895" i="2"/>
  <c r="W895" i="2"/>
  <c r="S898" i="2"/>
  <c r="W898" i="2"/>
  <c r="S900" i="2"/>
  <c r="W900" i="2"/>
  <c r="S901" i="2"/>
  <c r="W901" i="2" s="1"/>
  <c r="S902" i="2"/>
  <c r="S904" i="2"/>
  <c r="S905" i="2"/>
  <c r="W905" i="2"/>
  <c r="S907" i="2"/>
  <c r="W907" i="2"/>
  <c r="S908" i="2"/>
  <c r="W908" i="2" s="1"/>
  <c r="W912" i="2"/>
  <c r="W913" i="2"/>
  <c r="W914" i="2"/>
  <c r="W915" i="2"/>
  <c r="W916" i="2"/>
  <c r="W917" i="2"/>
  <c r="W918" i="2"/>
  <c r="W919" i="2"/>
  <c r="W920" i="2"/>
  <c r="W921" i="2"/>
  <c r="S922" i="2"/>
  <c r="W922" i="2"/>
  <c r="S923" i="2"/>
  <c r="W923" i="2"/>
  <c r="S924" i="2"/>
  <c r="W924" i="2" s="1"/>
  <c r="S925" i="2"/>
  <c r="W925" i="2"/>
  <c r="S926" i="2"/>
  <c r="W926" i="2" s="1"/>
  <c r="S927" i="2"/>
  <c r="W927" i="2"/>
  <c r="S928" i="2"/>
  <c r="W928" i="2"/>
  <c r="S929" i="2"/>
  <c r="W929" i="2"/>
  <c r="S930" i="2"/>
  <c r="W930" i="2"/>
  <c r="W931" i="2"/>
  <c r="S932" i="2"/>
  <c r="W932" i="2" s="1"/>
  <c r="W933" i="2"/>
  <c r="Q935" i="2"/>
  <c r="R935" i="2"/>
  <c r="D898" i="2"/>
  <c r="G898" i="2" s="1"/>
  <c r="K898" i="2" s="1"/>
  <c r="D896" i="2"/>
  <c r="G896" i="2" s="1"/>
  <c r="K896" i="2" s="1"/>
  <c r="J895" i="2"/>
  <c r="J935" i="2" s="1"/>
  <c r="D895" i="2"/>
  <c r="G895" i="2" s="1"/>
  <c r="D894" i="2"/>
  <c r="D893" i="2"/>
  <c r="I892" i="2"/>
  <c r="I935" i="2" s="1"/>
  <c r="D892" i="2"/>
  <c r="E892" i="2"/>
  <c r="G892" i="2" s="1"/>
  <c r="C896" i="2"/>
  <c r="C897" i="2" s="1"/>
  <c r="C898" i="2" s="1"/>
  <c r="C893" i="2"/>
  <c r="C894" i="2" s="1"/>
  <c r="C895" i="2" s="1"/>
  <c r="G893" i="2"/>
  <c r="G897" i="2"/>
  <c r="K897" i="2" s="1"/>
  <c r="G899" i="2"/>
  <c r="K899" i="2" s="1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 s="1"/>
  <c r="G906" i="2"/>
  <c r="K906" i="2" s="1"/>
  <c r="G907" i="2"/>
  <c r="K907" i="2" s="1"/>
  <c r="G908" i="2"/>
  <c r="K908" i="2" s="1"/>
  <c r="G909" i="2"/>
  <c r="K909" i="2" s="1"/>
  <c r="G910" i="2"/>
  <c r="K910" i="2" s="1"/>
  <c r="G911" i="2"/>
  <c r="K911" i="2" s="1"/>
  <c r="G912" i="2"/>
  <c r="K912" i="2"/>
  <c r="G913" i="2"/>
  <c r="K913" i="2" s="1"/>
  <c r="G914" i="2"/>
  <c r="K914" i="2"/>
  <c r="G915" i="2"/>
  <c r="K915" i="2" s="1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/>
  <c r="G923" i="2"/>
  <c r="K923" i="2" s="1"/>
  <c r="G924" i="2"/>
  <c r="K924" i="2" s="1"/>
  <c r="G925" i="2"/>
  <c r="K925" i="2"/>
  <c r="G932" i="2"/>
  <c r="K932" i="2"/>
  <c r="F935" i="2"/>
  <c r="AE990" i="2" l="1"/>
  <c r="AI990" i="2"/>
  <c r="S990" i="2"/>
  <c r="W948" i="2"/>
  <c r="W990" i="2" s="1"/>
  <c r="K947" i="2"/>
  <c r="K990" i="2" s="1"/>
  <c r="G990" i="2"/>
  <c r="AI902" i="2"/>
  <c r="AB935" i="2"/>
  <c r="AE898" i="2"/>
  <c r="AI898" i="2" s="1"/>
  <c r="AE896" i="2"/>
  <c r="AI896" i="2" s="1"/>
  <c r="AG935" i="2"/>
  <c r="AI893" i="2"/>
  <c r="AI892" i="2"/>
  <c r="U935" i="2"/>
  <c r="W902" i="2"/>
  <c r="W893" i="2"/>
  <c r="W892" i="2"/>
  <c r="P935" i="2"/>
  <c r="S935" i="2"/>
  <c r="K895" i="2"/>
  <c r="D935" i="2"/>
  <c r="G894" i="2"/>
  <c r="K894" i="2" s="1"/>
  <c r="K935" i="2" s="1"/>
  <c r="K892" i="2"/>
  <c r="E935" i="2"/>
  <c r="K893" i="2"/>
  <c r="D843" i="2"/>
  <c r="D841" i="2"/>
  <c r="D840" i="2"/>
  <c r="AE935" i="2" l="1"/>
  <c r="AI935" i="2"/>
  <c r="W935" i="2"/>
  <c r="G935" i="2"/>
  <c r="AG839" i="2"/>
  <c r="AB839" i="2"/>
  <c r="AH838" i="2"/>
  <c r="AG838" i="2"/>
  <c r="AB838" i="2"/>
  <c r="AH837" i="2"/>
  <c r="AH880" i="2" s="1"/>
  <c r="AB837" i="2"/>
  <c r="AE837" i="2" s="1"/>
  <c r="AA838" i="2"/>
  <c r="AA839" i="2" s="1"/>
  <c r="AE838" i="2"/>
  <c r="AE839" i="2"/>
  <c r="AE840" i="2"/>
  <c r="AI840" i="2" s="1"/>
  <c r="AE841" i="2"/>
  <c r="AI841" i="2" s="1"/>
  <c r="AE842" i="2"/>
  <c r="AI842" i="2" s="1"/>
  <c r="AE843" i="2"/>
  <c r="AI843" i="2"/>
  <c r="AE844" i="2"/>
  <c r="AI844" i="2" s="1"/>
  <c r="AE845" i="2"/>
  <c r="AI845" i="2" s="1"/>
  <c r="AE846" i="2"/>
  <c r="AI846" i="2" s="1"/>
  <c r="AE847" i="2"/>
  <c r="AI847" i="2"/>
  <c r="AE848" i="2"/>
  <c r="AI848" i="2"/>
  <c r="AE849" i="2"/>
  <c r="AI849" i="2"/>
  <c r="AE850" i="2"/>
  <c r="AI850" i="2"/>
  <c r="AE851" i="2"/>
  <c r="AI851" i="2"/>
  <c r="AE852" i="2"/>
  <c r="AI852" i="2"/>
  <c r="AE853" i="2"/>
  <c r="AI853" i="2"/>
  <c r="AE854" i="2"/>
  <c r="AI854" i="2" s="1"/>
  <c r="AE855" i="2"/>
  <c r="AI855" i="2"/>
  <c r="AE856" i="2"/>
  <c r="AI856" i="2"/>
  <c r="AE857" i="2"/>
  <c r="AI857" i="2"/>
  <c r="AE858" i="2"/>
  <c r="AI858" i="2"/>
  <c r="AE859" i="2"/>
  <c r="AI859" i="2"/>
  <c r="AE860" i="2"/>
  <c r="AI860" i="2"/>
  <c r="AE861" i="2"/>
  <c r="AI861" i="2"/>
  <c r="AE862" i="2"/>
  <c r="AI862" i="2" s="1"/>
  <c r="AE863" i="2"/>
  <c r="AI863" i="2"/>
  <c r="AE864" i="2"/>
  <c r="AI864" i="2"/>
  <c r="AE865" i="2"/>
  <c r="AI865" i="2"/>
  <c r="AE866" i="2"/>
  <c r="AI866" i="2"/>
  <c r="AE867" i="2"/>
  <c r="AI867" i="2"/>
  <c r="AE868" i="2"/>
  <c r="AI868" i="2"/>
  <c r="AE869" i="2"/>
  <c r="AI869" i="2"/>
  <c r="AE870" i="2"/>
  <c r="AI870" i="2" s="1"/>
  <c r="AE871" i="2"/>
  <c r="AI871" i="2"/>
  <c r="AE872" i="2"/>
  <c r="AI872" i="2"/>
  <c r="AE873" i="2"/>
  <c r="AI873" i="2"/>
  <c r="AE874" i="2"/>
  <c r="AI874" i="2"/>
  <c r="AE875" i="2"/>
  <c r="AI875" i="2"/>
  <c r="AI876" i="2"/>
  <c r="AE877" i="2"/>
  <c r="AI877" i="2"/>
  <c r="AI878" i="2"/>
  <c r="AC880" i="2"/>
  <c r="AD880" i="2"/>
  <c r="P841" i="2"/>
  <c r="S841" i="2" s="1"/>
  <c r="W841" i="2" s="1"/>
  <c r="P840" i="2"/>
  <c r="S840" i="2" s="1"/>
  <c r="W840" i="2" s="1"/>
  <c r="P839" i="2"/>
  <c r="S839" i="2" s="1"/>
  <c r="W839" i="2" s="1"/>
  <c r="V838" i="2"/>
  <c r="U838" i="2"/>
  <c r="U880" i="2" s="1"/>
  <c r="Q838" i="2"/>
  <c r="Q880" i="2" s="1"/>
  <c r="P838" i="2"/>
  <c r="V837" i="2"/>
  <c r="P837" i="2"/>
  <c r="S837" i="2"/>
  <c r="W837" i="2" s="1"/>
  <c r="O838" i="2"/>
  <c r="O839" i="2" s="1"/>
  <c r="O840" i="2" s="1"/>
  <c r="O841" i="2" s="1"/>
  <c r="S842" i="2"/>
  <c r="W842" i="2"/>
  <c r="S843" i="2"/>
  <c r="W843" i="2" s="1"/>
  <c r="S844" i="2"/>
  <c r="W844" i="2" s="1"/>
  <c r="S845" i="2"/>
  <c r="W845" i="2"/>
  <c r="S846" i="2"/>
  <c r="W846" i="2"/>
  <c r="S847" i="2"/>
  <c r="W847" i="2"/>
  <c r="S848" i="2"/>
  <c r="W848" i="2" s="1"/>
  <c r="S849" i="2"/>
  <c r="W849" i="2"/>
  <c r="S850" i="2"/>
  <c r="W850" i="2" s="1"/>
  <c r="S851" i="2"/>
  <c r="W851" i="2" s="1"/>
  <c r="S852" i="2"/>
  <c r="W852" i="2"/>
  <c r="S853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 s="1"/>
  <c r="W878" i="2"/>
  <c r="R880" i="2"/>
  <c r="J853" i="2"/>
  <c r="D853" i="2"/>
  <c r="D852" i="2"/>
  <c r="C852" i="2"/>
  <c r="C853" i="2"/>
  <c r="D851" i="2"/>
  <c r="D850" i="2"/>
  <c r="D849" i="2"/>
  <c r="G849" i="2" s="1"/>
  <c r="K849" i="2" s="1"/>
  <c r="D848" i="2"/>
  <c r="G848" i="2" s="1"/>
  <c r="K848" i="2" s="1"/>
  <c r="I847" i="2"/>
  <c r="D847" i="2"/>
  <c r="D846" i="2"/>
  <c r="G846" i="2" s="1"/>
  <c r="K846" i="2" s="1"/>
  <c r="D845" i="2"/>
  <c r="G845" i="2" s="1"/>
  <c r="K845" i="2" s="1"/>
  <c r="D844" i="2"/>
  <c r="G844" i="2" s="1"/>
  <c r="K844" i="2" s="1"/>
  <c r="G843" i="2"/>
  <c r="K843" i="2" s="1"/>
  <c r="I842" i="2"/>
  <c r="D842" i="2"/>
  <c r="G842" i="2" s="1"/>
  <c r="K842" i="2" s="1"/>
  <c r="G841" i="2"/>
  <c r="K841" i="2" s="1"/>
  <c r="I839" i="2"/>
  <c r="D839" i="2"/>
  <c r="G839" i="2" s="1"/>
  <c r="K839" i="2" s="1"/>
  <c r="D838" i="2"/>
  <c r="D837" i="2"/>
  <c r="C842" i="2"/>
  <c r="C843" i="2" s="1"/>
  <c r="C844" i="2" s="1"/>
  <c r="C845" i="2" s="1"/>
  <c r="C846" i="2" s="1"/>
  <c r="C847" i="2" s="1"/>
  <c r="C848" i="2" s="1"/>
  <c r="C849" i="2" s="1"/>
  <c r="C850" i="2" s="1"/>
  <c r="C851" i="2" s="1"/>
  <c r="G837" i="2"/>
  <c r="C838" i="2"/>
  <c r="G838" i="2"/>
  <c r="K838" i="2" s="1"/>
  <c r="C839" i="2"/>
  <c r="C840" i="2" s="1"/>
  <c r="G840" i="2"/>
  <c r="K840" i="2" s="1"/>
  <c r="G847" i="2"/>
  <c r="K847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/>
  <c r="G856" i="2"/>
  <c r="K856" i="2" s="1"/>
  <c r="G857" i="2"/>
  <c r="K857" i="2"/>
  <c r="G858" i="2"/>
  <c r="K858" i="2"/>
  <c r="G859" i="2"/>
  <c r="K859" i="2"/>
  <c r="G860" i="2"/>
  <c r="K860" i="2" s="1"/>
  <c r="G861" i="2"/>
  <c r="K861" i="2"/>
  <c r="G862" i="2"/>
  <c r="K862" i="2"/>
  <c r="G863" i="2"/>
  <c r="K863" i="2"/>
  <c r="G864" i="2"/>
  <c r="K864" i="2" s="1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/>
  <c r="E880" i="2"/>
  <c r="F880" i="2"/>
  <c r="I880" i="2"/>
  <c r="J880" i="2"/>
  <c r="AI839" i="2" l="1"/>
  <c r="AG880" i="2"/>
  <c r="AI838" i="2"/>
  <c r="AI837" i="2"/>
  <c r="AE880" i="2"/>
  <c r="AB880" i="2"/>
  <c r="V880" i="2"/>
  <c r="S838" i="2"/>
  <c r="W838" i="2" s="1"/>
  <c r="W880" i="2" s="1"/>
  <c r="P880" i="2"/>
  <c r="S880" i="2"/>
  <c r="D880" i="2"/>
  <c r="K837" i="2"/>
  <c r="K880" i="2" s="1"/>
  <c r="G880" i="2"/>
  <c r="AB791" i="2"/>
  <c r="AB790" i="2"/>
  <c r="AG789" i="2"/>
  <c r="AB789" i="2"/>
  <c r="AG788" i="2"/>
  <c r="AB788" i="2"/>
  <c r="AE788" i="2" s="1"/>
  <c r="AI788" i="2" s="1"/>
  <c r="AB787" i="2"/>
  <c r="AE787" i="2" s="1"/>
  <c r="AI787" i="2" s="1"/>
  <c r="AB786" i="2"/>
  <c r="AE786" i="2" s="1"/>
  <c r="AI786" i="2" s="1"/>
  <c r="AB785" i="2"/>
  <c r="AE785" i="2" s="1"/>
  <c r="AI785" i="2" s="1"/>
  <c r="AB784" i="2"/>
  <c r="AG783" i="2"/>
  <c r="AC783" i="2"/>
  <c r="AB783" i="2"/>
  <c r="AH782" i="2"/>
  <c r="AH825" i="2"/>
  <c r="AB782" i="2"/>
  <c r="AA788" i="2"/>
  <c r="AA789" i="2" s="1"/>
  <c r="AA790" i="2" s="1"/>
  <c r="AA791" i="2" s="1"/>
  <c r="AC825" i="2"/>
  <c r="AA783" i="2"/>
  <c r="AA784" i="2" s="1"/>
  <c r="AA785" i="2" s="1"/>
  <c r="AA786" i="2" s="1"/>
  <c r="AA787" i="2" s="1"/>
  <c r="AE783" i="2"/>
  <c r="AI783" i="2" s="1"/>
  <c r="AE784" i="2"/>
  <c r="AI784" i="2"/>
  <c r="AE789" i="2"/>
  <c r="AI789" i="2" s="1"/>
  <c r="AE790" i="2"/>
  <c r="AI790" i="2" s="1"/>
  <c r="AE791" i="2"/>
  <c r="AI791" i="2" s="1"/>
  <c r="AE792" i="2"/>
  <c r="AI792" i="2" s="1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 s="1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 s="1"/>
  <c r="AE807" i="2"/>
  <c r="AI807" i="2" s="1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 s="1"/>
  <c r="AE814" i="2"/>
  <c r="AI814" i="2" s="1"/>
  <c r="AE815" i="2"/>
  <c r="AI815" i="2" s="1"/>
  <c r="AE816" i="2"/>
  <c r="AI816" i="2" s="1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D825" i="2"/>
  <c r="AG825" i="2"/>
  <c r="P798" i="2"/>
  <c r="P797" i="2"/>
  <c r="V796" i="2"/>
  <c r="V825" i="2" s="1"/>
  <c r="P796" i="2"/>
  <c r="S796" i="2" s="1"/>
  <c r="W796" i="2" s="1"/>
  <c r="Q795" i="2"/>
  <c r="Q825" i="2" s="1"/>
  <c r="V795" i="2"/>
  <c r="U795" i="2"/>
  <c r="P795" i="2"/>
  <c r="P794" i="2"/>
  <c r="S794" i="2" s="1"/>
  <c r="W794" i="2" s="1"/>
  <c r="P793" i="2"/>
  <c r="S793" i="2" s="1"/>
  <c r="W793" i="2" s="1"/>
  <c r="P792" i="2"/>
  <c r="V791" i="2"/>
  <c r="P791" i="2"/>
  <c r="S791" i="2" s="1"/>
  <c r="W791" i="2" s="1"/>
  <c r="P790" i="2"/>
  <c r="S790" i="2" s="1"/>
  <c r="W790" i="2" s="1"/>
  <c r="V789" i="2"/>
  <c r="P789" i="2"/>
  <c r="P788" i="2"/>
  <c r="P787" i="2"/>
  <c r="U786" i="2"/>
  <c r="P786" i="2"/>
  <c r="P785" i="2"/>
  <c r="P784" i="2"/>
  <c r="P783" i="2"/>
  <c r="P782" i="2"/>
  <c r="S782" i="2"/>
  <c r="W782" i="2" s="1"/>
  <c r="O783" i="2"/>
  <c r="O784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3" i="2"/>
  <c r="W783" i="2" s="1"/>
  <c r="S784" i="2"/>
  <c r="U825" i="2"/>
  <c r="W784" i="2"/>
  <c r="S785" i="2"/>
  <c r="W785" i="2" s="1"/>
  <c r="S786" i="2"/>
  <c r="W786" i="2" s="1"/>
  <c r="S787" i="2"/>
  <c r="W787" i="2" s="1"/>
  <c r="S788" i="2"/>
  <c r="W788" i="2"/>
  <c r="S789" i="2"/>
  <c r="W789" i="2" s="1"/>
  <c r="S792" i="2"/>
  <c r="W792" i="2" s="1"/>
  <c r="S797" i="2"/>
  <c r="W797" i="2" s="1"/>
  <c r="S798" i="2"/>
  <c r="W798" i="2" s="1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R825" i="2"/>
  <c r="C786" i="2"/>
  <c r="D786" i="2"/>
  <c r="G786" i="2" s="1"/>
  <c r="K786" i="2" s="1"/>
  <c r="D785" i="2"/>
  <c r="G785" i="2" s="1"/>
  <c r="K785" i="2" s="1"/>
  <c r="D784" i="2"/>
  <c r="I783" i="2"/>
  <c r="I825" i="2" s="1"/>
  <c r="D783" i="2"/>
  <c r="G783" i="2" s="1"/>
  <c r="K783" i="2" s="1"/>
  <c r="D782" i="2"/>
  <c r="C783" i="2"/>
  <c r="C784" i="2"/>
  <c r="C785" i="2" s="1"/>
  <c r="E825" i="2"/>
  <c r="G784" i="2"/>
  <c r="J825" i="2"/>
  <c r="K784" i="2"/>
  <c r="G787" i="2"/>
  <c r="K787" i="2" s="1"/>
  <c r="G788" i="2"/>
  <c r="K788" i="2" s="1"/>
  <c r="G789" i="2"/>
  <c r="K789" i="2"/>
  <c r="G790" i="2"/>
  <c r="K790" i="2"/>
  <c r="G791" i="2"/>
  <c r="K791" i="2" s="1"/>
  <c r="G792" i="2"/>
  <c r="K792" i="2"/>
  <c r="G793" i="2"/>
  <c r="K793" i="2"/>
  <c r="G794" i="2"/>
  <c r="K794" i="2"/>
  <c r="G795" i="2"/>
  <c r="K795" i="2" s="1"/>
  <c r="G796" i="2"/>
  <c r="K796" i="2" s="1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/>
  <c r="G807" i="2"/>
  <c r="K807" i="2" s="1"/>
  <c r="G808" i="2"/>
  <c r="K808" i="2"/>
  <c r="G809" i="2"/>
  <c r="K809" i="2"/>
  <c r="G810" i="2"/>
  <c r="K810" i="2"/>
  <c r="G811" i="2"/>
  <c r="K811" i="2" s="1"/>
  <c r="G812" i="2"/>
  <c r="K812" i="2"/>
  <c r="G813" i="2"/>
  <c r="K813" i="2"/>
  <c r="G814" i="2"/>
  <c r="K814" i="2"/>
  <c r="G815" i="2"/>
  <c r="K815" i="2" s="1"/>
  <c r="G822" i="2"/>
  <c r="K822" i="2" s="1"/>
  <c r="F825" i="2"/>
  <c r="AI880" i="2" l="1"/>
  <c r="AB825" i="2"/>
  <c r="AE782" i="2"/>
  <c r="AI782" i="2" s="1"/>
  <c r="AI825" i="2" s="1"/>
  <c r="S795" i="2"/>
  <c r="W795" i="2" s="1"/>
  <c r="W825" i="2" s="1"/>
  <c r="P825" i="2"/>
  <c r="D825" i="2"/>
  <c r="G782" i="2"/>
  <c r="G825" i="2" s="1"/>
  <c r="AH732" i="2"/>
  <c r="AH770" i="2" s="1"/>
  <c r="AC732" i="2"/>
  <c r="AB732" i="2"/>
  <c r="AC731" i="2"/>
  <c r="AB731" i="2"/>
  <c r="AC730" i="2"/>
  <c r="AB730" i="2"/>
  <c r="AA731" i="2"/>
  <c r="AA732" i="2"/>
  <c r="AB729" i="2"/>
  <c r="AB728" i="2"/>
  <c r="AC727" i="2"/>
  <c r="AC770" i="2" s="1"/>
  <c r="AB727" i="2"/>
  <c r="AG770" i="2"/>
  <c r="AD770" i="2"/>
  <c r="AI768" i="2"/>
  <c r="AE767" i="2"/>
  <c r="AI767" i="2" s="1"/>
  <c r="AI766" i="2"/>
  <c r="AE765" i="2"/>
  <c r="AI765" i="2" s="1"/>
  <c r="AE764" i="2"/>
  <c r="AI764" i="2" s="1"/>
  <c r="AI763" i="2"/>
  <c r="AE763" i="2"/>
  <c r="AE762" i="2"/>
  <c r="AI762" i="2" s="1"/>
  <c r="AE761" i="2"/>
  <c r="AI761" i="2" s="1"/>
  <c r="AE760" i="2"/>
  <c r="AI760" i="2" s="1"/>
  <c r="AI759" i="2"/>
  <c r="AE759" i="2"/>
  <c r="AE758" i="2"/>
  <c r="AI758" i="2" s="1"/>
  <c r="AE757" i="2"/>
  <c r="AI757" i="2" s="1"/>
  <c r="AE756" i="2"/>
  <c r="AI756" i="2" s="1"/>
  <c r="AI755" i="2"/>
  <c r="AE755" i="2"/>
  <c r="AE754" i="2"/>
  <c r="AI754" i="2" s="1"/>
  <c r="AI753" i="2"/>
  <c r="AE753" i="2"/>
  <c r="AE752" i="2"/>
  <c r="AI752" i="2" s="1"/>
  <c r="AI751" i="2"/>
  <c r="AE751" i="2"/>
  <c r="AE750" i="2"/>
  <c r="AI750" i="2" s="1"/>
  <c r="AI749" i="2"/>
  <c r="AE749" i="2"/>
  <c r="AE748" i="2"/>
  <c r="AI748" i="2" s="1"/>
  <c r="AI747" i="2"/>
  <c r="AE747" i="2"/>
  <c r="AE746" i="2"/>
  <c r="AI746" i="2" s="1"/>
  <c r="AE745" i="2"/>
  <c r="AI745" i="2" s="1"/>
  <c r="AE744" i="2"/>
  <c r="AI744" i="2" s="1"/>
  <c r="AI743" i="2"/>
  <c r="AE743" i="2"/>
  <c r="AE742" i="2"/>
  <c r="AI742" i="2" s="1"/>
  <c r="AE741" i="2"/>
  <c r="AI741" i="2" s="1"/>
  <c r="AE740" i="2"/>
  <c r="AI740" i="2" s="1"/>
  <c r="AI739" i="2"/>
  <c r="AE739" i="2"/>
  <c r="AE738" i="2"/>
  <c r="AI738" i="2" s="1"/>
  <c r="AE737" i="2"/>
  <c r="AI737" i="2" s="1"/>
  <c r="AE736" i="2"/>
  <c r="AI736" i="2" s="1"/>
  <c r="AI735" i="2"/>
  <c r="AE735" i="2"/>
  <c r="AE734" i="2"/>
  <c r="AI734" i="2" s="1"/>
  <c r="AE733" i="2"/>
  <c r="AI733" i="2" s="1"/>
  <c r="AE731" i="2"/>
  <c r="AI731" i="2" s="1"/>
  <c r="AE730" i="2"/>
  <c r="AI730" i="2" s="1"/>
  <c r="AE728" i="2"/>
  <c r="AI728" i="2" s="1"/>
  <c r="AA728" i="2"/>
  <c r="AA729" i="2" s="1"/>
  <c r="AA730" i="2" s="1"/>
  <c r="P734" i="2"/>
  <c r="S734" i="2" s="1"/>
  <c r="W734" i="2" s="1"/>
  <c r="Q733" i="2"/>
  <c r="Q770" i="2" s="1"/>
  <c r="P733" i="2"/>
  <c r="P732" i="2"/>
  <c r="S732" i="2" s="1"/>
  <c r="W732" i="2" s="1"/>
  <c r="V731" i="2"/>
  <c r="V770" i="2" s="1"/>
  <c r="P731" i="2"/>
  <c r="S731" i="2" s="1"/>
  <c r="W731" i="2" s="1"/>
  <c r="P730" i="2"/>
  <c r="S730" i="2" s="1"/>
  <c r="W730" i="2" s="1"/>
  <c r="V729" i="2"/>
  <c r="U729" i="2"/>
  <c r="Q729" i="2"/>
  <c r="P729" i="2"/>
  <c r="P728" i="2"/>
  <c r="P727" i="2"/>
  <c r="R770" i="2"/>
  <c r="W768" i="2"/>
  <c r="S767" i="2"/>
  <c r="W767" i="2" s="1"/>
  <c r="W766" i="2"/>
  <c r="S765" i="2"/>
  <c r="W765" i="2" s="1"/>
  <c r="W764" i="2"/>
  <c r="S764" i="2"/>
  <c r="S763" i="2"/>
  <c r="W763" i="2" s="1"/>
  <c r="S762" i="2"/>
  <c r="W762" i="2" s="1"/>
  <c r="S761" i="2"/>
  <c r="W761" i="2" s="1"/>
  <c r="W760" i="2"/>
  <c r="S760" i="2"/>
  <c r="S759" i="2"/>
  <c r="W759" i="2" s="1"/>
  <c r="W758" i="2"/>
  <c r="S758" i="2"/>
  <c r="S757" i="2"/>
  <c r="W757" i="2" s="1"/>
  <c r="W756" i="2"/>
  <c r="S756" i="2"/>
  <c r="S755" i="2"/>
  <c r="W755" i="2" s="1"/>
  <c r="S754" i="2"/>
  <c r="W754" i="2" s="1"/>
  <c r="S753" i="2"/>
  <c r="W753" i="2" s="1"/>
  <c r="W752" i="2"/>
  <c r="S752" i="2"/>
  <c r="S751" i="2"/>
  <c r="W751" i="2" s="1"/>
  <c r="W750" i="2"/>
  <c r="S750" i="2"/>
  <c r="S749" i="2"/>
  <c r="W749" i="2" s="1"/>
  <c r="W748" i="2"/>
  <c r="S748" i="2"/>
  <c r="S747" i="2"/>
  <c r="W747" i="2" s="1"/>
  <c r="S746" i="2"/>
  <c r="W746" i="2" s="1"/>
  <c r="S745" i="2"/>
  <c r="W745" i="2" s="1"/>
  <c r="W744" i="2"/>
  <c r="S744" i="2"/>
  <c r="S743" i="2"/>
  <c r="W743" i="2" s="1"/>
  <c r="W742" i="2"/>
  <c r="S742" i="2"/>
  <c r="S741" i="2"/>
  <c r="W741" i="2" s="1"/>
  <c r="W740" i="2"/>
  <c r="S740" i="2"/>
  <c r="S739" i="2"/>
  <c r="W739" i="2" s="1"/>
  <c r="S738" i="2"/>
  <c r="W738" i="2" s="1"/>
  <c r="S737" i="2"/>
  <c r="W737" i="2" s="1"/>
  <c r="W736" i="2"/>
  <c r="S736" i="2"/>
  <c r="S735" i="2"/>
  <c r="W735" i="2" s="1"/>
  <c r="U770" i="2"/>
  <c r="S729" i="2"/>
  <c r="W729" i="2" s="1"/>
  <c r="S728" i="2"/>
  <c r="W728" i="2" s="1"/>
  <c r="O728" i="2"/>
  <c r="O729" i="2" s="1"/>
  <c r="O730" i="2" s="1"/>
  <c r="O731" i="2" s="1"/>
  <c r="O732" i="2" s="1"/>
  <c r="O733" i="2" s="1"/>
  <c r="O734" i="2" s="1"/>
  <c r="S727" i="2"/>
  <c r="J730" i="2"/>
  <c r="D730" i="2"/>
  <c r="D770" i="2" s="1"/>
  <c r="J729" i="2"/>
  <c r="I729" i="2"/>
  <c r="E729" i="2"/>
  <c r="G729" i="2" s="1"/>
  <c r="D729" i="2"/>
  <c r="D728" i="2"/>
  <c r="J727" i="2"/>
  <c r="I727" i="2"/>
  <c r="D727" i="2"/>
  <c r="F770" i="2"/>
  <c r="G767" i="2"/>
  <c r="K767" i="2" s="1"/>
  <c r="K760" i="2"/>
  <c r="G760" i="2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K752" i="2"/>
  <c r="G752" i="2"/>
  <c r="G751" i="2"/>
  <c r="K751" i="2" s="1"/>
  <c r="G750" i="2"/>
  <c r="K750" i="2" s="1"/>
  <c r="G749" i="2"/>
  <c r="K749" i="2" s="1"/>
  <c r="G748" i="2"/>
  <c r="K748" i="2" s="1"/>
  <c r="K747" i="2"/>
  <c r="G747" i="2"/>
  <c r="G746" i="2"/>
  <c r="K746" i="2" s="1"/>
  <c r="G745" i="2"/>
  <c r="K745" i="2" s="1"/>
  <c r="K744" i="2"/>
  <c r="G744" i="2"/>
  <c r="G743" i="2"/>
  <c r="K743" i="2" s="1"/>
  <c r="G742" i="2"/>
  <c r="K742" i="2" s="1"/>
  <c r="G741" i="2"/>
  <c r="K741" i="2" s="1"/>
  <c r="G740" i="2"/>
  <c r="K740" i="2" s="1"/>
  <c r="K739" i="2"/>
  <c r="G739" i="2"/>
  <c r="G738" i="2"/>
  <c r="K738" i="2" s="1"/>
  <c r="G737" i="2"/>
  <c r="K737" i="2" s="1"/>
  <c r="G736" i="2"/>
  <c r="K736" i="2" s="1"/>
  <c r="G735" i="2"/>
  <c r="K735" i="2" s="1"/>
  <c r="G734" i="2"/>
  <c r="K734" i="2" s="1"/>
  <c r="G733" i="2"/>
  <c r="K733" i="2" s="1"/>
  <c r="G732" i="2"/>
  <c r="K732" i="2" s="1"/>
  <c r="G731" i="2"/>
  <c r="K731" i="2" s="1"/>
  <c r="G728" i="2"/>
  <c r="K728" i="2" s="1"/>
  <c r="C728" i="2"/>
  <c r="C729" i="2" s="1"/>
  <c r="C730" i="2" s="1"/>
  <c r="G727" i="2"/>
  <c r="AE825" i="2" l="1"/>
  <c r="S825" i="2"/>
  <c r="K782" i="2"/>
  <c r="K825" i="2" s="1"/>
  <c r="AE732" i="2"/>
  <c r="AI732" i="2" s="1"/>
  <c r="AB770" i="2"/>
  <c r="AE727" i="2"/>
  <c r="AI727" i="2"/>
  <c r="AE729" i="2"/>
  <c r="AI729" i="2" s="1"/>
  <c r="S733" i="2"/>
  <c r="W733" i="2" s="1"/>
  <c r="P770" i="2"/>
  <c r="W727" i="2"/>
  <c r="G730" i="2"/>
  <c r="K730" i="2" s="1"/>
  <c r="J770" i="2"/>
  <c r="K729" i="2"/>
  <c r="I770" i="2"/>
  <c r="E770" i="2"/>
  <c r="G770" i="2"/>
  <c r="K727" i="2"/>
  <c r="AB672" i="2"/>
  <c r="AG672" i="2"/>
  <c r="AI770" i="2" l="1"/>
  <c r="AE770" i="2"/>
  <c r="W770" i="2"/>
  <c r="S770" i="2"/>
  <c r="K770" i="2"/>
  <c r="AB675" i="2"/>
  <c r="AB674" i="2"/>
  <c r="AC674" i="2"/>
  <c r="AC673" i="2"/>
  <c r="AE673" i="2" s="1"/>
  <c r="AI673" i="2" s="1"/>
  <c r="AB673" i="2"/>
  <c r="AG715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family val="2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 SUTUKIL
DISUD, SINDANGAN</t>
        </r>
      </text>
    </comment>
    <comment ref="C727" authorId="0" shapeId="0" xr:uid="{4EAB299A-F2B0-4E06-BB83-B0D0B09BF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CONVENIENCE STORE
POB. SINDANGAN</t>
        </r>
      </text>
    </comment>
    <comment ref="O727" authorId="0" shapeId="0" xr:uid="{82D6AEFC-6C5C-4B5B-BA35-0FE5FF6AD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LOLITA SILVANO
UPPER INUMAN</t>
        </r>
      </text>
    </comment>
    <comment ref="AA727" authorId="0" shapeId="0" xr:uid="{A175EB19-EC23-4E0F-BE1E-E40D9D320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</t>
        </r>
      </text>
    </comment>
    <comment ref="C728" authorId="0" shapeId="0" xr:uid="{D4A9D650-92B5-443C-87F1-C4BB159B9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POB. SINDANGAN</t>
        </r>
      </text>
    </comment>
    <comment ref="O728" authorId="0" shapeId="0" xr:uid="{7EEBAAD8-A3C0-4A55-9E62-05B2AE9C33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MARIAFE BILLANES
UPPER INUMAN</t>
        </r>
      </text>
    </comment>
    <comment ref="AA728" authorId="0" shapeId="0" xr:uid="{BC19DECC-3D98-404A-8C66-D4CD6653C0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</t>
        </r>
      </text>
    </comment>
    <comment ref="C729" authorId="0" shapeId="0" xr:uid="{A821B656-70F2-4A5D-AAA6-F36ABE25DC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729" authorId="0" shapeId="0" xr:uid="{E01A3B81-B942-4A2F-AF19-AB3E7CCD12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729" authorId="0" shapeId="0" xr:uid="{153BEB38-2F6D-4D47-979B-29A4E39D92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C730" authorId="0" shapeId="0" xr:uid="{22DDA610-9C61-4844-9FE3-5990EBA2A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JANICE
DICOYUNG</t>
        </r>
      </text>
    </comment>
    <comment ref="O730" authorId="0" shapeId="0" xr:uid="{2A0B2011-733D-4173-B001-62C8C0C4FB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KRISTY TALLEDO
TALINGA,BACUNGAN</t>
        </r>
      </text>
    </comment>
    <comment ref="AA730" authorId="0" shapeId="0" xr:uid="{21F9E9FE-F74D-4565-BD2E-067A85E27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</t>
        </r>
      </text>
    </comment>
    <comment ref="O731" authorId="0" shapeId="0" xr:uid="{B1002438-BBCB-48D7-8E6B-7CB93FBDC8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 BACUNGAN</t>
        </r>
      </text>
    </comment>
    <comment ref="AA731" authorId="0" shapeId="0" xr:uid="{9F0E3AC9-D095-46A4-AAA1-EDCEA9DDD9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</t>
        </r>
      </text>
    </comment>
    <comment ref="O732" authorId="0" shapeId="0" xr:uid="{9F722245-1F1E-449B-86BC-0188AED960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BRGY.MANDIH</t>
        </r>
      </text>
    </comment>
    <comment ref="AA732" authorId="0" shapeId="0" xr:uid="{4CF35AA8-76F4-49C5-B094-4EA22C2CB3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</t>
        </r>
      </text>
    </comment>
    <comment ref="O733" authorId="0" shapeId="0" xr:uid="{0A12E29D-4235-4394-B97D-5BB714C49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BRGY. MANDIH</t>
        </r>
      </text>
    </comment>
    <comment ref="O734" authorId="0" shapeId="0" xr:uid="{612145C8-7B38-41A9-983C-353EF0CBE8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782" authorId="0" shapeId="0" xr:uid="{32DFCEF5-B456-472F-9639-41A66396AA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O782" authorId="0" shapeId="0" xr:uid="{C121ED52-57E8-4198-B178-54ED120A8D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A782" authorId="0" shapeId="0" xr:uid="{A5C7FF29-4F31-4F7E-80ED-E6A879BA21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</t>
        </r>
      </text>
    </comment>
    <comment ref="C783" authorId="0" shapeId="0" xr:uid="{95D6E444-7111-4DA6-B0D0-4E845AB5CE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83" authorId="0" shapeId="0" xr:uid="{64E08832-2A13-48FB-A3C9-9465BFBA7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ESCOREAL STORE
GOLEO, SINDANGAN</t>
        </r>
      </text>
    </comment>
    <comment ref="AA783" authorId="0" shapeId="0" xr:uid="{DB80651E-39DC-4380-944F-F382D6527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STORE</t>
        </r>
      </text>
    </comment>
    <comment ref="C784" authorId="0" shapeId="0" xr:uid="{5368857C-44F2-4F62-BC7F-4726A3A825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O784" authorId="0" shapeId="0" xr:uid="{2D1AD87C-4494-4B0D-B1E2-5BB7B55C3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TRILLANA STORE
GOLEO, SINDANGAN</t>
        </r>
      </text>
    </comment>
    <comment ref="AA784" authorId="0" shapeId="0" xr:uid="{119025CF-2ECF-41E4-957A-DCE4E85D1C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STORE</t>
        </r>
      </text>
    </comment>
    <comment ref="C785" authorId="0" shapeId="0" xr:uid="{03536640-431D-4A9F-B535-AB64BE4FC5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O785" authorId="0" shapeId="0" xr:uid="{77B6A22A-9C54-4E2E-B345-E02EF07D2E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TAATA STORE
GOLEO, SINDANGAN</t>
        </r>
      </text>
    </comment>
    <comment ref="AA785" authorId="0" shapeId="0" xr:uid="{6B0A3D35-148C-4083-A657-2A482F6B20A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</t>
        </r>
      </text>
    </comment>
    <comment ref="C786" authorId="0" shapeId="0" xr:uid="{DA810855-78A2-43E2-AB50-E53F8C7F48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786" authorId="0" shapeId="0" xr:uid="{A94D18AC-AF78-45F3-94A4-2C64F52D7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786" authorId="0" shapeId="0" xr:uid="{E1E23B4D-48C4-4160-871F-755EF7C3F1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STORE</t>
        </r>
      </text>
    </comment>
    <comment ref="O787" authorId="0" shapeId="0" xr:uid="{903760CD-A7FF-4BD0-8C85-65EB384A4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LIMPAG
TALINGA, BACUNGAN</t>
        </r>
      </text>
    </comment>
    <comment ref="AA787" authorId="0" shapeId="0" xr:uid="{6B3C484D-78D3-4ECB-9BF1-011239E452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788" authorId="0" shapeId="0" xr:uid="{BEB30FE6-4A1A-42C3-9A14-6111C9A1F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AA788" authorId="0" shapeId="0" xr:uid="{ADBFA103-B9BF-49E9-BAF0-6F8E4DEC35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</t>
        </r>
      </text>
    </comment>
    <comment ref="O789" authorId="0" shapeId="0" xr:uid="{9403031B-1057-4984-B7DE-7A44EE7770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789" authorId="0" shapeId="0" xr:uid="{475C6096-66B3-4C3F-9DC4-020259CDB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 STORE</t>
        </r>
      </text>
    </comment>
    <comment ref="O790" authorId="0" shapeId="0" xr:uid="{4E1D8FA4-DAD1-44B1-81E1-067AF6FD7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TALINGA, BACUNGAN</t>
        </r>
      </text>
    </comment>
    <comment ref="AA790" authorId="0" shapeId="0" xr:uid="{8F720C7A-07CE-4A92-B67F-F8AC518DC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</t>
        </r>
      </text>
    </comment>
    <comment ref="O791" authorId="0" shapeId="0" xr:uid="{914EFA21-F8A3-4883-9816-2D3B3D70B7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91" authorId="0" shapeId="0" xr:uid="{EA4EEDA5-6C85-4F8C-9BF1-A97D62D3EA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O792" authorId="0" shapeId="0" xr:uid="{9D48FF26-8E10-4265-996D-3275069638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KINGS STORE
TALINGA, BACUNGAN</t>
        </r>
      </text>
    </comment>
    <comment ref="O793" authorId="0" shapeId="0" xr:uid="{BB43E938-DA96-4042-B76C-EDD6BD19F5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O794" authorId="0" shapeId="0" xr:uid="{51496DE1-E110-4C6B-BE44-D6B6A28788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795" authorId="0" shapeId="0" xr:uid="{4F586B13-F0ED-40D5-9C27-CEE8AB5B16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O796" authorId="0" shapeId="0" xr:uid="{6AF55532-8CE1-435A-95F9-41D10208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O797" authorId="0" shapeId="0" xr:uid="{92430EB4-0800-45D6-9E0B-619BEDBBF7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MERNA FABRA
INUMAN, SINDANGAN</t>
        </r>
      </text>
    </comment>
    <comment ref="O798" authorId="0" shapeId="0" xr:uid="{A96E59EC-C782-46D3-A192-D475955584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</t>
        </r>
      </text>
    </comment>
    <comment ref="C837" authorId="0" shapeId="0" xr:uid="{599C24BF-A569-47DA-8CBD-95FF901A8A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837" authorId="0" shapeId="0" xr:uid="{D3FA028A-8963-4047-9F79-892D7E5E1E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C838" authorId="0" shapeId="0" xr:uid="{AA3F38C2-A8EF-430D-A2C6-D75283BF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SINDANGAN
POB, SINDANGAN</t>
        </r>
      </text>
    </comment>
    <comment ref="O838" authorId="0" shapeId="0" xr:uid="{25F234EF-B219-4936-9078-3C02CB2B8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839" authorId="0" shapeId="0" xr:uid="{897CA4F6-5529-4779-8799-7D8A8C8E6B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MARGIE ANIÑON
DISUD, SINDANGAN</t>
        </r>
      </text>
    </comment>
    <comment ref="O839" authorId="0" shapeId="0" xr:uid="{B415D1EA-87A6-4404-8D0F-85FEDD2738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840" authorId="0" shapeId="0" xr:uid="{262AE2D9-78D4-4546-95A3-98F6CE1AA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CECELIA DAFON
DISUD, SINDANGAN</t>
        </r>
      </text>
    </comment>
    <comment ref="O840" authorId="0" shapeId="0" xr:uid="{D1CA477B-0B25-40C2-977E-3C41556649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841" authorId="0" shapeId="0" xr:uid="{00AE27B8-0AA0-4599-851C-EC57079F6A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 EATERY
DISUD, SINDANGAN</t>
        </r>
      </text>
    </comment>
    <comment ref="O841" authorId="0" shapeId="0" xr:uid="{94F3C78A-FAB0-49ED-994D-0D45C3806D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C842" authorId="0" shapeId="0" xr:uid="{CFCD2875-154A-493F-9212-EA485BBFFF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SUTUKIL
DISUD, SINDANGAN</t>
        </r>
      </text>
    </comment>
    <comment ref="C843" authorId="0" shapeId="0" xr:uid="{1802E4AA-A24F-40E7-9109-D4329657F3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VILLARIN STORE
POB, SINDANGAN</t>
        </r>
      </text>
    </comment>
    <comment ref="C844" authorId="0" shapeId="0" xr:uid="{E5C14419-40EA-45B4-937C-D14D687E1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845" authorId="0" shapeId="0" xr:uid="{5A19CFAD-1595-4F6F-BBCE-DE9512CFB9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OMOS GLENN
LABAKID, SINDANGAN</t>
        </r>
      </text>
    </comment>
    <comment ref="C846" authorId="0" shapeId="0" xr:uid="{DF3A92FB-540F-40F6-B422-B026A81B9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 MANDATE
PIAO, SINDANGAN</t>
        </r>
      </text>
    </comment>
    <comment ref="C847" authorId="0" shapeId="0" xr:uid="{B1C098FE-4462-4615-B184-37CB9129FA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LANIE
POB, SIAYAN</t>
        </r>
      </text>
    </comment>
    <comment ref="C848" authorId="0" shapeId="0" xr:uid="{46F2EE6E-E38C-432C-924C-18FA5B6DD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REY ADAZA
POB, SIAYAN</t>
        </r>
      </text>
    </comment>
    <comment ref="C849" authorId="0" shapeId="0" xr:uid="{CB7A6409-1310-4A88-89F7-3EAA2C73C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C850" authorId="0" shapeId="0" xr:uid="{125DDAF7-5D2C-4A6E-94E6-22A3B11F73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JENIFER GALIT
POB, SIAYAN</t>
        </r>
      </text>
    </comment>
    <comment ref="C851" authorId="0" shapeId="0" xr:uid="{38D537CD-906D-430B-A73F-BEB437CD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HUNDO STORE
POB, SIAYAN</t>
        </r>
      </text>
    </comment>
    <comment ref="C852" authorId="0" shapeId="0" xr:uid="{3EC74E22-B033-4C45-BFBB-49F57A557C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C853" authorId="0" shapeId="0" xr:uid="{57A533AA-D20A-4B89-AD16-A24E1E9E3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92" authorId="0" shapeId="0" xr:uid="{80A48F88-6059-4F04-8A99-62B604426B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2" authorId="0" shapeId="0" xr:uid="{AD7F9A24-3A18-49FB-91F7-873A3796A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892" authorId="0" shapeId="0" xr:uid="{4A452190-1626-4D82-B242-64CB85250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893" authorId="0" shapeId="0" xr:uid="{76389036-6848-43FD-9FCE-410BB48B2B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O893" authorId="0" shapeId="0" xr:uid="{BE2D01CE-7551-446D-BFC4-8C8D2A06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LAYAN STORE
TALINGA, SINDANGAN</t>
        </r>
      </text>
    </comment>
    <comment ref="AA893" authorId="0" shapeId="0" xr:uid="{12A418AB-61D1-4D11-81EA-9635B3AD8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GODOD</t>
        </r>
      </text>
    </comment>
    <comment ref="C894" authorId="0" shapeId="0" xr:uid="{1458AD7F-51E7-4379-A89E-6BD0EA875E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ESTRELLA
MUÑOZ, SIAYAN</t>
        </r>
      </text>
    </comment>
    <comment ref="O894" authorId="0" shapeId="0" xr:uid="{BBF507A3-0DCA-4840-88F5-2D013A44A4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JULIAN MONDIDO
TALINGA, SINDANGAN</t>
        </r>
      </text>
    </comment>
    <comment ref="AA894" authorId="0" shapeId="0" xr:uid="{1EA0ED01-8CC1-4470-8A05-FB4D48BB1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</t>
        </r>
      </text>
    </comment>
    <comment ref="C895" authorId="0" shapeId="0" xr:uid="{B6E6D698-D3A3-41B7-8375-35080053D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VILLA, AIREN
CALACAS, SIAYAN</t>
        </r>
      </text>
    </comment>
    <comment ref="O895" authorId="0" shapeId="0" xr:uid="{5C3D2A43-ACC3-458E-8237-97106B39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
TALINGA, SINDANGAN</t>
        </r>
      </text>
    </comment>
    <comment ref="AA895" authorId="0" shapeId="0" xr:uid="{2BEAD4D4-FF0E-403E-BB3B-90EFE74A33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C896" authorId="0" shapeId="0" xr:uid="{444A5242-A2EA-4DE1-B64A-672042576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DODOY STORE
POB, SIAYAN</t>
        </r>
      </text>
    </comment>
    <comment ref="O896" authorId="0" shapeId="0" xr:uid="{AB04A3FD-D8E2-4A19-A3FE-E3ACC1A17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CASSOPHIA SANOPAO
MARAS, SINDANGAN</t>
        </r>
      </text>
    </comment>
    <comment ref="AA896" authorId="0" shapeId="0" xr:uid="{A326CF3E-F703-4284-9780-BF571947D2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897" authorId="0" shapeId="0" xr:uid="{E6871CC5-79D7-425F-A309-1EB2B334F5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GERMATA STORE
MARAS, SINDANGAN</t>
        </r>
      </text>
    </comment>
    <comment ref="AA897" authorId="0" shapeId="0" xr:uid="{C3BBA3AB-B604-448A-BDFE-44C29596BA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POB, SALUG</t>
        </r>
      </text>
    </comment>
    <comment ref="C898" authorId="0" shapeId="0" xr:uid="{64F70142-C2DD-4069-A36B-20B5E59A0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898" authorId="0" shapeId="0" xr:uid="{C1D82C82-7B9D-4303-A2BA-524CE844E9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QUISEL
ILAYA, INUMAN</t>
        </r>
      </text>
    </comment>
    <comment ref="AA898" authorId="0" shapeId="0" xr:uid="{96E6CD07-6CE2-410C-827D-A17311A1B2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O899" authorId="0" shapeId="0" xr:uid="{3D193FD4-64E9-476B-8EE3-2C90BCA1EA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899" authorId="0" shapeId="0" xr:uid="{78FC7441-3ECA-498A-8CE8-3082CF9DC2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STORE
</t>
        </r>
      </text>
    </comment>
    <comment ref="O900" authorId="0" shapeId="0" xr:uid="{859B110A-D329-47FC-B70D-48C0C37D46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900" authorId="0" shapeId="0" xr:uid="{FF2323FD-DEAC-4EFA-877C-1CDACC97A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BULALOAN</t>
        </r>
      </text>
    </comment>
    <comment ref="O901" authorId="0" shapeId="0" xr:uid="{660AA848-2DF1-4BE8-B868-C4ACBBC374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INUMAN, SINDANGAN</t>
        </r>
      </text>
    </comment>
    <comment ref="AA901" authorId="0" shapeId="0" xr:uid="{2B325232-0537-4B74-AE21-889A59AE7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ABNE STORE</t>
        </r>
      </text>
    </comment>
    <comment ref="O902" authorId="0" shapeId="0" xr:uid="{021C1101-7B0C-4D1A-8DE8-A4D4D32B5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902" authorId="0" shapeId="0" xr:uid="{F7D3D68A-2C99-41E5-AF04-19D343F44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BACONG, SALUG</t>
        </r>
      </text>
    </comment>
    <comment ref="O903" authorId="0" shapeId="0" xr:uid="{D592D652-1419-41F3-B786-E8A2018A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CALLEBO STORE
MANDIH, SINDANGAN</t>
        </r>
      </text>
    </comment>
    <comment ref="AA903" authorId="0" shapeId="0" xr:uid="{2F231D9B-F632-4675-8C25-999CD86D75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O904" authorId="0" shapeId="0" xr:uid="{8C47AAA6-3D5C-49F4-AA90-DB3F1A17B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O905" authorId="0" shapeId="0" xr:uid="{1036D5A1-EA7D-4C2B-B306-3950BD44E1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O906" authorId="0" shapeId="0" xr:uid="{0987FC48-8F3A-4C84-9717-E12AE1242F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TAATA STORE
GOLEO, SINDANGAN</t>
        </r>
      </text>
    </comment>
    <comment ref="O907" authorId="0" shapeId="0" xr:uid="{162317EB-65AC-4036-A117-654150A07C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908" authorId="0" shapeId="0" xr:uid="{621E6B60-5360-4319-9B1B-6F62DACB0F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O909" authorId="0" shapeId="0" xr:uid="{CF607EF5-FC29-447C-A4A3-13F5C5BF3E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GERIAN STORE
GOLEO, SINDANGAN</t>
        </r>
      </text>
    </comment>
    <comment ref="O910" authorId="0" shapeId="0" xr:uid="{EFF32272-AFD9-4287-8886-D7CAC3ECAA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947" authorId="0" shapeId="0" xr:uid="{44AEA60A-227B-47A9-8054-CFB25FFA28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947" authorId="0" shapeId="0" xr:uid="{73A54737-FE99-47DA-9871-EDE3431FA4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947" authorId="0" shapeId="0" xr:uid="{6BDA971A-6F65-43B5-9C03-902FD3E974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C948" authorId="0" shapeId="0" xr:uid="{52BFBB45-55ED-4504-BE3C-0BA37ECA78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SUMINGGIT
DICOYONG, SINDANGAN</t>
        </r>
      </text>
    </comment>
    <comment ref="O948" authorId="0" shapeId="0" xr:uid="{3A9FF5C6-8C96-4A31-B168-ABCB98C88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A948" authorId="0" shapeId="0" xr:uid="{95A874ED-39FE-478D-B195-7AA0495CBE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949" authorId="0" shapeId="0" xr:uid="{2F2029CF-A86D-4229-969B-3F0BEAECE7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CABALES STORE
LABAKID, SINDANGAN</t>
        </r>
      </text>
    </comment>
    <comment ref="O949" authorId="0" shapeId="0" xr:uid="{BF43F0C1-D602-43AC-AB38-41470896B8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949" authorId="0" shapeId="0" xr:uid="{DE82ABE6-63BE-44CF-AF79-BFDCE1EDD2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</t>
        </r>
      </text>
    </comment>
    <comment ref="O950" authorId="0" shapeId="0" xr:uid="{7DC04934-7434-4D97-BBC6-EBBF4EA68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50" authorId="0" shapeId="0" xr:uid="{297BB074-AE35-4825-9FD9-E27E2A967E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SOLENE STORE
BAYBAY, LILOY</t>
        </r>
      </text>
    </comment>
    <comment ref="O951" authorId="0" shapeId="0" xr:uid="{E1F0FEDC-4091-458B-9DB1-597FCBB4E1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AA951" authorId="0" shapeId="0" xr:uid="{AA64CB71-50F6-4A9C-881A-46E9E3D4E9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952" authorId="0" shapeId="0" xr:uid="{8EBFC1E8-8041-4D98-B350-105809D42E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952" authorId="0" shapeId="0" xr:uid="{7993FE19-0C5B-4814-BB75-DDB3913E14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</t>
        </r>
      </text>
    </comment>
    <comment ref="O953" authorId="0" shapeId="0" xr:uid="{9F4A0261-C441-46E6-9B11-D5E903FB48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PATCHES STORE
GOLEO, SINDANGAN</t>
        </r>
      </text>
    </comment>
    <comment ref="AA953" authorId="0" shapeId="0" xr:uid="{46A0570C-E1F9-4BC3-85AA-1D9609C754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 BAGUIO</t>
        </r>
      </text>
    </comment>
    <comment ref="O954" authorId="0" shapeId="0" xr:uid="{7D25A365-E76B-4B44-B250-54121144E0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REMOLONA STORE
UPPER INUMAN, SINDANGAN</t>
        </r>
      </text>
    </comment>
    <comment ref="O955" authorId="0" shapeId="0" xr:uid="{E1EBB903-B030-410B-999B-469540F0B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 STORE
UPPER INUMAN, SINDANGAN</t>
        </r>
      </text>
    </comment>
    <comment ref="AA1002" authorId="0" shapeId="0" xr:uid="{F8A655ED-031A-4C0F-812A-59DD8D3461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</t>
        </r>
      </text>
    </comment>
    <comment ref="AA1003" authorId="0" shapeId="0" xr:uid="{4E852A8F-C2E5-4BD4-81AC-FE26778001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SALUG</t>
        </r>
      </text>
    </comment>
    <comment ref="AA1004" authorId="0" shapeId="0" xr:uid="{3388375E-F40A-4780-AB36-324EA64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A1005" authorId="0" shapeId="0" xr:uid="{A05B8472-A265-4624-92C1-64945FF373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STORE
POB, SALUG</t>
        </r>
      </text>
    </comment>
    <comment ref="AA1006" authorId="0" shapeId="0" xr:uid="{82963EC0-0B69-4D4A-B2F9-94E8F73DFA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POB, SALUG</t>
        </r>
      </text>
    </comment>
    <comment ref="C1057" authorId="0" shapeId="0" xr:uid="{1ED7CA50-AEA0-4608-B88E-9DB1E63193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VILLARIN DELMER
POB, SINDANGAN</t>
        </r>
      </text>
    </comment>
    <comment ref="O1057" authorId="0" shapeId="0" xr:uid="{F2489C0B-A1AF-4B9A-AF5F-65774CADE4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057" authorId="0" shapeId="0" xr:uid="{5CD9F4D4-CDCE-41C3-BAFE-09A82B207C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1058" authorId="0" shapeId="0" xr:uid="{37CE8552-9E88-4590-9EAD-1127D883FA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1058" authorId="0" shapeId="0" xr:uid="{76F551DB-2A25-4E67-A17A-A62729A65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ARIPAL STORE
DATU TANGKILAN, SINDANGAN</t>
        </r>
      </text>
    </comment>
    <comment ref="AA1058" authorId="0" shapeId="0" xr:uid="{0FF01106-CC39-481C-9CF6-8FCAA72126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</t>
        </r>
      </text>
    </comment>
    <comment ref="C1059" authorId="0" shapeId="0" xr:uid="{A0755973-07C3-457E-8F1D-4BC482EB74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1059" authorId="0" shapeId="0" xr:uid="{1FAA75C3-CA59-4E36-A29F-1D9EBD3812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1059" authorId="0" shapeId="0" xr:uid="{E06482CB-A310-45A2-9948-5C89EC9ACB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GOM-OS MART</t>
        </r>
      </text>
    </comment>
    <comment ref="C1060" authorId="0" shapeId="0" xr:uid="{A0E98E9D-BA55-4CD3-B23A-5C0AF5EE58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GODDIE CAMASURA
POB, SINDANGAN</t>
        </r>
      </text>
    </comment>
    <comment ref="O1060" authorId="0" shapeId="0" xr:uid="{0970A905-C4AD-4ACE-BA33-D0D0AF45A3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060" authorId="0" shapeId="0" xr:uid="{6D0660AF-6557-4095-8877-D9F3A02712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C1061" authorId="0" shapeId="0" xr:uid="{7531FAF2-8C6F-4152-8207-2353D0127D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061" authorId="0" shapeId="0" xr:uid="{2E73ADBE-7BFF-4FDC-AE35-4229CAA493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AA1061" authorId="0" shapeId="0" xr:uid="{0F85D3D3-ADA5-4C36-9626-AB3350378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POB, LILOY</t>
        </r>
      </text>
    </comment>
    <comment ref="O1062" authorId="0" shapeId="0" xr:uid="{9C3F60C2-A568-42CA-9B5F-21D40CB3C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ASOSADA
POB, BACAUNGAN</t>
        </r>
      </text>
    </comment>
    <comment ref="AA1062" authorId="0" shapeId="0" xr:uid="{8CE7E644-8168-48EA-8032-1A6FD5D517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</t>
        </r>
      </text>
    </comment>
    <comment ref="O1063" authorId="0" shapeId="0" xr:uid="{5EE1AFB0-08ED-46A8-B7B0-F92A688C5F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063" authorId="0" shapeId="0" xr:uid="{575D318D-1FE4-4056-A68C-0E9203CE2D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POB, LILOY</t>
        </r>
      </text>
    </comment>
    <comment ref="AA1064" authorId="0" shapeId="0" xr:uid="{40716B83-F66A-4CC8-B99A-FC8140761B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LANDO</t>
        </r>
      </text>
    </comment>
    <comment ref="C1112" authorId="0" shapeId="0" xr:uid="{7BF5C981-8373-4EB3-971C-28ACE8395142}">
      <text>
        <r>
          <rPr>
            <b/>
            <sz val="9"/>
            <color indexed="81"/>
            <rFont val="Tahoma"/>
            <family val="2"/>
          </rPr>
          <t xml:space="preserve">User:
</t>
        </r>
        <r>
          <rPr>
            <sz val="9"/>
            <color indexed="81"/>
            <rFont val="Tahoma"/>
            <family val="2"/>
          </rPr>
          <t>BALAMBAN STORE
GUNYAN, SIAYAN</t>
        </r>
      </text>
    </comment>
    <comment ref="O1112" authorId="0" shapeId="0" xr:uid="{869B69B4-CD5B-4423-B020-B3DD507583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1112" authorId="0" shapeId="0" xr:uid="{4BD93DD2-E31E-45F4-8DE0-E4D1EC3C2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C1113" authorId="0" shapeId="0" xr:uid="{68E599BD-EF70-4ECF-B0F8-109878D208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1113" authorId="0" shapeId="0" xr:uid="{7F208652-F0A9-4729-90DE-FEB0EE36D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BANGA
GOLEO, SINDANGAN</t>
        </r>
      </text>
    </comment>
    <comment ref="AA1113" authorId="0" shapeId="0" xr:uid="{D1425C7B-0A6E-4FA8-8081-42EA06D4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114" authorId="0" shapeId="0" xr:uid="{10053E08-B0ED-4C1D-8E8E-89C5850037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PADIOTAN STORE
POB, SIAYAN</t>
        </r>
      </text>
    </comment>
    <comment ref="O1114" authorId="0" shapeId="0" xr:uid="{778F6689-27F1-4446-9AD9-B4229B31C9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BACO
POB, BACUNGAN</t>
        </r>
      </text>
    </comment>
    <comment ref="AA1114" authorId="0" shapeId="0" xr:uid="{CBB046D3-3526-4188-AD99-E9A2E5D38E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</t>
        </r>
      </text>
    </comment>
    <comment ref="C1115" authorId="0" shapeId="0" xr:uid="{E45D147A-4D99-4421-9DD3-A0D7B66A2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O1115" authorId="0" shapeId="0" xr:uid="{42FA79D9-ED5F-4B7B-9162-7F44FD959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OLANDAG STORE
POB, BACUNGAN</t>
        </r>
      </text>
    </comment>
    <comment ref="O1116" authorId="0" shapeId="0" xr:uid="{741364A7-4385-4AA8-9EE3-B8496425EF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DARIO MALINAO
POB, BACUNGAN</t>
        </r>
      </text>
    </comment>
    <comment ref="O1117" authorId="0" shapeId="0" xr:uid="{2B8D6F73-D01F-4525-BF5F-BA2FC51BF3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O1118" authorId="0" shapeId="0" xr:uid="{B018E3FE-25C2-4DAF-9AA6-F77FAEBDC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TALINGA, BACUNGAN</t>
        </r>
      </text>
    </comment>
    <comment ref="O1119" authorId="0" shapeId="0" xr:uid="{FAAF0276-F260-4EF8-B6D8-F8E4C24F9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120" authorId="0" shapeId="0" xr:uid="{DBED1118-0198-4B72-92B1-E3BE2C1AD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ADENS STORE
TALINGA, BACUNGAN</t>
        </r>
      </text>
    </comment>
    <comment ref="O1121" authorId="0" shapeId="0" xr:uid="{6A33329D-C5A4-46EC-BDC2-D5B2335F42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O1122" authorId="0" shapeId="0" xr:uid="{ED2C64DC-C9C7-4014-B4A5-C6B849AC8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123" authorId="0" shapeId="0" xr:uid="{73199D62-DE38-4760-A20A-E91CE1B164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GERIAN STORE
GOLEO, SINDANGAN</t>
        </r>
      </text>
    </comment>
    <comment ref="O1124" authorId="0" shapeId="0" xr:uid="{B6E6FE2D-AE7F-45A4-A356-24C91FA20D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1167" authorId="0" shapeId="0" xr:uid="{96EAB2C6-18F0-4179-96F5-997A122168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167" authorId="0" shapeId="0" xr:uid="{B3417058-5627-4273-A3BE-68EF215A0B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167" authorId="0" shapeId="0" xr:uid="{F6881BC9-4612-458B-9EAC-4ABE7D031A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</t>
        </r>
      </text>
    </comment>
    <comment ref="C1168" authorId="0" shapeId="0" xr:uid="{0A0D9CA4-D6CB-46F0-A1CD-13950BE254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1168" authorId="0" shapeId="0" xr:uid="{09A1664F-586B-475A-A4F5-65F495A02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FE BILLIONES
UPPER INUMAN, SINDANGAN</t>
        </r>
      </text>
    </comment>
    <comment ref="AA1168" authorId="0" shapeId="0" xr:uid="{DB54C611-653C-4AED-BE9D-13FBE56869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169" authorId="0" shapeId="0" xr:uid="{1C12265A-B822-4294-906F-AF27BB87F5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1169" authorId="0" shapeId="0" xr:uid="{FB7D5FA6-C4BD-42A1-8997-D57863179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170" authorId="0" shapeId="0" xr:uid="{39F9887A-FB05-4CAD-B228-B592B3FAC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170" authorId="0" shapeId="0" xr:uid="{FA7395BD-6FD7-4B5B-B597-65E58C8073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171" authorId="0" shapeId="0" xr:uid="{68CACB35-337E-499D-8708-276618781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JONABEL MOSQUEDA
BOGABONGAN, BACUNGAN</t>
        </r>
      </text>
    </comment>
    <comment ref="AA1171" authorId="0" shapeId="0" xr:uid="{7B912D8C-E9CF-4BB2-9CEB-6BD220672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O1172" authorId="0" shapeId="0" xr:uid="{58675925-6ED6-407C-AF94-0EDA6BA777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173" authorId="0" shapeId="0" xr:uid="{BD51238A-6486-44F8-A1D7-E49270511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174" authorId="0" shapeId="0" xr:uid="{A2139A3E-5A61-4AD2-BC93-4C9EB2C927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1175" authorId="0" shapeId="0" xr:uid="{4FE0B0BE-B6F2-443C-ABA5-EA3947FBD3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222" authorId="0" shapeId="0" xr:uid="{F3399882-0542-49F4-89B3-863B4C1022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O1222" authorId="0" shapeId="0" xr:uid="{273129CF-8584-4365-85A5-85858F419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1222" authorId="0" shapeId="0" xr:uid="{7B762120-0252-4132-9F6B-65DB89265E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 STORE</t>
        </r>
      </text>
    </comment>
    <comment ref="C1223" authorId="0" shapeId="0" xr:uid="{A105B7AD-55F9-4BF7-A5C6-174126B81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
POB, SIAYAN</t>
        </r>
      </text>
    </comment>
    <comment ref="O1223" authorId="0" shapeId="0" xr:uid="{AD152A43-4748-4D9E-8937-4A55D306A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1223" authorId="0" shapeId="0" xr:uid="{DEB57C5B-B298-4EB0-BE74-6B5D33D650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</t>
        </r>
      </text>
    </comment>
    <comment ref="C1224" authorId="0" shapeId="0" xr:uid="{1EE7DCD9-AF1A-40A7-BBDE-86D982E8E1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1224" authorId="0" shapeId="0" xr:uid="{A2B25C91-712A-4A92-8FB4-776681537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4" authorId="0" shapeId="0" xr:uid="{7FD367F5-72EA-446C-895D-3B609F8DC6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</t>
        </r>
      </text>
    </comment>
    <comment ref="C1225" authorId="0" shapeId="0" xr:uid="{9714E3B6-79B6-4778-A78B-E8D3D5FC9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25" authorId="0" shapeId="0" xr:uid="{7BD98999-B1C8-4D6B-BFB8-653B690D7C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BUSCA
POB, BACUNGAN</t>
        </r>
      </text>
    </comment>
    <comment ref="AA1225" authorId="0" shapeId="0" xr:uid="{CA01AA06-D9EC-48A8-A3AF-32DC3976AF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</t>
        </r>
      </text>
    </comment>
    <comment ref="C1226" authorId="0" shapeId="0" xr:uid="{E8B89590-696E-4818-BF09-122C94B02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226" authorId="0" shapeId="0" xr:uid="{42BF5C4F-5BC3-4585-B83D-0934502BC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B
POB, BACUNGAN</t>
        </r>
      </text>
    </comment>
    <comment ref="AA1226" authorId="0" shapeId="0" xr:uid="{3BE898B0-F8C8-4405-927D-B628C665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C1227" authorId="0" shapeId="0" xr:uid="{9AA3833F-A78E-4471-A4C6-3D771962F3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POB, SINDANGAN</t>
        </r>
      </text>
    </comment>
    <comment ref="O1227" authorId="0" shapeId="0" xr:uid="{6D4EDC7E-65FB-44EC-8669-9C8D7FEF66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27" authorId="0" shapeId="0" xr:uid="{E9CB12D5-15AA-436C-B2A5-21F00C763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STORE</t>
        </r>
      </text>
    </comment>
    <comment ref="O1228" authorId="0" shapeId="0" xr:uid="{205BDE0D-21F5-4336-B57B-BAECDD1F04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1228" authorId="0" shapeId="0" xr:uid="{611A4CAE-55B9-4353-8908-9901948CC4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ANABELS STORE</t>
        </r>
      </text>
    </comment>
    <comment ref="O1229" authorId="0" shapeId="0" xr:uid="{424F817C-F489-454C-9A18-818BCC30BE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29" authorId="0" shapeId="0" xr:uid="{E6FA0A33-A15A-4A40-B786-C46217A1B7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O1230" authorId="0" shapeId="0" xr:uid="{5E536B90-290B-46BB-8A08-9E9D35D56E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30" authorId="0" shapeId="0" xr:uid="{F734C980-2F65-41DF-A6EC-105A3B834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STORE</t>
        </r>
      </text>
    </comment>
    <comment ref="O1231" authorId="0" shapeId="0" xr:uid="{40BBEB20-B6BB-4F7D-B7F6-F803D9C0A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31" authorId="0" shapeId="0" xr:uid="{7F430487-7194-4D54-AEC6-1EC12ABA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1232" authorId="0" shapeId="0" xr:uid="{9D53D5FE-DC35-4857-A508-F863E7DC64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ADELAIDA
GOLEO, SINDANGAN</t>
        </r>
      </text>
    </comment>
  </commentList>
</comments>
</file>

<file path=xl/sharedStrings.xml><?xml version="1.0" encoding="utf-8"?>
<sst xmlns="http://schemas.openxmlformats.org/spreadsheetml/2006/main" count="1682" uniqueCount="111">
  <si>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</si>
  <si>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</si>
  <si>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</si>
  <si>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</si>
  <si>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</si>
  <si>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</si>
  <si>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</si>
  <si>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</si>
  <si>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</si>
  <si>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</si>
  <si>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</si>
  <si>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</si>
  <si>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</si>
  <si>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</si>
  <si>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</si>
  <si>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</si>
  <si>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</si>
  <si>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</si>
  <si>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</si>
  <si>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</si>
  <si>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</si>
  <si>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</si>
  <si>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</si>
  <si>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</si>
  <si>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</si>
  <si>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</si>
  <si>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</si>
  <si>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</si>
  <si>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</si>
  <si>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</si>
  <si>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</si>
  <si>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</si>
  <si>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</si>
  <si>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</si>
  <si>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</si>
  <si>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</si>
  <si>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</si>
  <si>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</si>
  <si>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</si>
  <si>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</si>
  <si>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</si>
  <si>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</si>
  <si>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</si>
  <si>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</si>
  <si>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</si>
  <si>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</si>
  <si>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</si>
  <si>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</si>
  <si>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</si>
  <si>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</si>
  <si>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</si>
  <si>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</si>
  <si>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</si>
  <si>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</si>
  <si>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</si>
  <si>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</si>
  <si>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</si>
  <si>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</si>
  <si>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</si>
  <si>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</si>
  <si>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</si>
  <si>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</si>
  <si>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</si>
  <si>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</si>
  <si>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</si>
  <si>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</si>
  <si>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</si>
  <si>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</si>
  <si>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</si>
  <si>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</si>
  <si>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</si>
  <si>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</si>
  <si>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</si>
  <si>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</si>
  <si>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</si>
  <si>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</si>
  <si>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</si>
  <si>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</si>
  <si>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</si>
  <si>
    <t>JULY 20, 2026</t>
  </si>
  <si>
    <t>07/20/2026</t>
  </si>
  <si>
    <t>PODIOTAN, AIR JOHN</t>
  </si>
  <si>
    <t>11438-11441/11390-11397/11325-11330</t>
  </si>
  <si>
    <t>JULY 21, 2026</t>
  </si>
  <si>
    <t>07/21/2026</t>
  </si>
  <si>
    <t>11442-11446/11398-11400,11501-11514/11331-11340</t>
  </si>
  <si>
    <t>JULY 22, 2026</t>
  </si>
  <si>
    <t>07/22/2026</t>
  </si>
  <si>
    <t>11447-11450,11466-11478/11515-11519/11341-11343</t>
  </si>
  <si>
    <t>JULY 23, 2026</t>
  </si>
  <si>
    <t>07/23/2026</t>
  </si>
  <si>
    <t>11479-11485/11520-11538/11344-11350,11551-11555</t>
  </si>
  <si>
    <t>JULY 24, 2026</t>
  </si>
  <si>
    <t>07/24/2026</t>
  </si>
  <si>
    <t>11484-11487/11539-11547/11556-11562</t>
  </si>
  <si>
    <t>SATURDAY</t>
  </si>
  <si>
    <t>JULY 25, 2026</t>
  </si>
  <si>
    <t>07/25/2026</t>
  </si>
  <si>
    <t>//11563-11567</t>
  </si>
  <si>
    <t>JULY 27, 2026</t>
  </si>
  <si>
    <t>07/27/2026</t>
  </si>
  <si>
    <t>11488-11492/11548-11550,11601-11604/11568-11575</t>
  </si>
  <si>
    <t>JULY 28, 2026</t>
  </si>
  <si>
    <t>07/28/2026</t>
  </si>
  <si>
    <t>11493-11496/11605-11617/11576-11578</t>
  </si>
  <si>
    <t>JULY 29, 2026</t>
  </si>
  <si>
    <t>07/29/2026</t>
  </si>
  <si>
    <t>11497-11498/11618-11626/11579-11583</t>
  </si>
  <si>
    <t>JULY 30, 2026</t>
  </si>
  <si>
    <t>07/30/2026</t>
  </si>
  <si>
    <t>11499-11500,11651-11654/11627-11637/11584-11593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</si>
</sst>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40" sqref="F4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39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6" si="0">J10</f>
        <v>460859.5</v>
      </c>
      <c r="F10" s="14"/>
      <c r="G10" s="14">
        <v>210661.5</v>
      </c>
      <c r="H10" s="14">
        <v>250198</v>
      </c>
      <c r="I10" s="14"/>
      <c r="J10" s="17">
        <f t="shared" ref="J10:J40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44" t="s">
        <v>51</v>
      </c>
      <c r="D27" s="55" t="s">
        <v>51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82</v>
      </c>
      <c r="D29" s="16">
        <f t="shared" ref="D29:D33" si="5">J29</f>
        <v>1060384</v>
      </c>
      <c r="F29" s="14">
        <v>385240</v>
      </c>
      <c r="G29" s="14">
        <v>239526</v>
      </c>
      <c r="H29" s="14">
        <v>435618</v>
      </c>
      <c r="I29" s="14"/>
      <c r="J29" s="17">
        <f t="shared" si="1"/>
        <v>1060384</v>
      </c>
    </row>
    <row r="30" spans="1:10" x14ac:dyDescent="0.25">
      <c r="A30" s="10">
        <f t="shared" si="2"/>
        <v>21</v>
      </c>
      <c r="B30" s="43" t="s">
        <v>8</v>
      </c>
      <c r="C30" s="12" t="s">
        <v>85</v>
      </c>
      <c r="D30" s="16">
        <f t="shared" si="5"/>
        <v>627999</v>
      </c>
      <c r="F30" s="14">
        <v>205575</v>
      </c>
      <c r="G30" s="14">
        <v>130360.5</v>
      </c>
      <c r="H30" s="14">
        <v>292063.5</v>
      </c>
      <c r="I30" s="14"/>
      <c r="J30" s="17">
        <f t="shared" si="1"/>
        <v>627999</v>
      </c>
    </row>
    <row r="31" spans="1:10" x14ac:dyDescent="0.25">
      <c r="A31" s="10">
        <f t="shared" si="2"/>
        <v>22</v>
      </c>
      <c r="B31" s="56" t="s">
        <v>9</v>
      </c>
      <c r="C31" s="12" t="s">
        <v>88</v>
      </c>
      <c r="D31" s="16">
        <f t="shared" si="5"/>
        <v>735546</v>
      </c>
      <c r="E31" s="14"/>
      <c r="F31" s="14">
        <v>189687</v>
      </c>
      <c r="G31" s="14">
        <v>194982</v>
      </c>
      <c r="H31" s="14">
        <v>350877</v>
      </c>
      <c r="I31" s="14"/>
      <c r="J31" s="17">
        <f t="shared" si="1"/>
        <v>735546</v>
      </c>
    </row>
    <row r="32" spans="1:10" x14ac:dyDescent="0.25">
      <c r="A32" s="10">
        <f t="shared" si="2"/>
        <v>23</v>
      </c>
      <c r="B32" s="11" t="s">
        <v>30</v>
      </c>
      <c r="C32" s="12" t="s">
        <v>91</v>
      </c>
      <c r="D32" s="16">
        <f t="shared" si="5"/>
        <v>769203.5</v>
      </c>
      <c r="E32" s="15"/>
      <c r="F32" s="15">
        <v>241044</v>
      </c>
      <c r="G32" s="14">
        <v>182060.5</v>
      </c>
      <c r="H32" s="14">
        <v>346099</v>
      </c>
      <c r="I32" s="54"/>
      <c r="J32" s="17">
        <f t="shared" si="1"/>
        <v>769203.5</v>
      </c>
    </row>
    <row r="33" spans="1:10" x14ac:dyDescent="0.25">
      <c r="A33" s="10">
        <f t="shared" si="2"/>
        <v>24</v>
      </c>
      <c r="B33" s="43" t="s">
        <v>4</v>
      </c>
      <c r="C33" s="12" t="s">
        <v>94</v>
      </c>
      <c r="D33" s="16">
        <f t="shared" si="5"/>
        <v>1136530.5</v>
      </c>
      <c r="E33" s="15"/>
      <c r="F33" s="15">
        <v>518756</v>
      </c>
      <c r="G33" s="14">
        <v>189149.5</v>
      </c>
      <c r="H33" s="14">
        <v>428625</v>
      </c>
      <c r="I33" s="14"/>
      <c r="J33" s="17">
        <f t="shared" si="1"/>
        <v>1136530.5</v>
      </c>
    </row>
    <row r="34" spans="1:10" x14ac:dyDescent="0.25">
      <c r="A34" s="10">
        <f>A33+1</f>
        <v>25</v>
      </c>
      <c r="B34" s="56" t="s">
        <v>5</v>
      </c>
      <c r="C34" s="12" t="s">
        <v>98</v>
      </c>
      <c r="D34" s="16">
        <f t="shared" ref="D34:D40" si="6">J34</f>
        <v>410185</v>
      </c>
      <c r="E34" s="14"/>
      <c r="F34" s="15"/>
      <c r="G34" s="14"/>
      <c r="H34" s="14">
        <v>410185</v>
      </c>
      <c r="I34" s="14"/>
      <c r="J34" s="17">
        <f t="shared" si="1"/>
        <v>410185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 t="s">
        <v>101</v>
      </c>
      <c r="D36" s="16">
        <f t="shared" si="6"/>
        <v>670119.5</v>
      </c>
      <c r="E36" s="14"/>
      <c r="F36" s="14">
        <v>221140</v>
      </c>
      <c r="G36" s="14">
        <v>242650.5</v>
      </c>
      <c r="H36" s="14">
        <v>206329</v>
      </c>
      <c r="I36" s="14"/>
      <c r="J36" s="17">
        <f t="shared" si="1"/>
        <v>670119.5</v>
      </c>
    </row>
    <row r="37" spans="1:10" x14ac:dyDescent="0.25">
      <c r="A37" s="10">
        <f t="shared" si="2"/>
        <v>28</v>
      </c>
      <c r="B37" s="56" t="s">
        <v>8</v>
      </c>
      <c r="C37" s="12" t="s">
        <v>104</v>
      </c>
      <c r="D37" s="16">
        <f t="shared" si="6"/>
        <v>909288</v>
      </c>
      <c r="E37" s="14"/>
      <c r="F37" s="15">
        <v>621013</v>
      </c>
      <c r="G37" s="14">
        <v>92524</v>
      </c>
      <c r="H37" s="14">
        <v>195751</v>
      </c>
      <c r="I37" s="14"/>
      <c r="J37" s="17">
        <f t="shared" si="1"/>
        <v>909288</v>
      </c>
    </row>
    <row r="38" spans="1:10" x14ac:dyDescent="0.25">
      <c r="A38" s="10">
        <f t="shared" si="2"/>
        <v>29</v>
      </c>
      <c r="B38" s="43" t="s">
        <v>9</v>
      </c>
      <c r="C38" s="12" t="s">
        <v>107</v>
      </c>
      <c r="D38" s="16">
        <f t="shared" si="6"/>
        <v>1264933</v>
      </c>
      <c r="E38" s="14"/>
      <c r="F38" s="15">
        <v>691922</v>
      </c>
      <c r="G38" s="14">
        <v>211279</v>
      </c>
      <c r="H38" s="14">
        <v>361732</v>
      </c>
      <c r="I38" s="14"/>
      <c r="J38" s="17">
        <f t="shared" si="1"/>
        <v>1264933</v>
      </c>
    </row>
    <row r="39" spans="1:10" x14ac:dyDescent="0.25">
      <c r="A39" s="10">
        <f t="shared" si="2"/>
        <v>30</v>
      </c>
      <c r="B39" s="56" t="s">
        <v>30</v>
      </c>
      <c r="C39" s="12" t="s">
        <v>110</v>
      </c>
      <c r="D39" s="16">
        <f t="shared" si="6"/>
        <v>599890</v>
      </c>
      <c r="E39" s="14"/>
      <c r="F39" s="15">
        <v>227183</v>
      </c>
      <c r="G39" s="14">
        <v>184415</v>
      </c>
      <c r="H39" s="14">
        <v>188292</v>
      </c>
      <c r="I39" s="14"/>
      <c r="J39" s="17">
        <f t="shared" si="1"/>
        <v>599890</v>
      </c>
    </row>
    <row r="40" spans="1:10" x14ac:dyDescent="0.25">
      <c r="A40" s="10">
        <f t="shared" si="2"/>
        <v>31</v>
      </c>
      <c r="B40" s="56" t="s">
        <v>4</v>
      </c>
      <c r="C40" s="12"/>
      <c r="D40" s="16">
        <f t="shared" si="6"/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SUM(D2:D41)</f>
        <v>16558987.916666668</v>
      </c>
      <c r="J42" s="49">
        <f>SUM(J10:J41)</f>
        <v>16558987.916666668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I1229" zoomScale="96" zoomScaleNormal="96" workbookViewId="0">
      <selection activeCell="U1228" sqref="U1228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0"/>
      <c r="C2" s="90"/>
      <c r="D2" s="90"/>
      <c r="E2" s="90"/>
      <c r="F2" s="90"/>
      <c r="G2" s="90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0"/>
      <c r="C3" s="90"/>
      <c r="D3" s="90"/>
      <c r="E3" s="90"/>
      <c r="F3" s="90"/>
      <c r="G3" s="90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0"/>
      <c r="C4" s="90"/>
      <c r="D4" s="90"/>
      <c r="E4" s="90"/>
      <c r="F4" s="90"/>
      <c r="G4" s="90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0"/>
      <c r="C5" s="90"/>
      <c r="D5" s="90"/>
      <c r="E5" s="90"/>
      <c r="F5" s="90"/>
      <c r="G5" s="90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0"/>
      <c r="C6" s="90"/>
      <c r="D6" s="90"/>
      <c r="E6" s="90"/>
      <c r="F6" s="90"/>
      <c r="G6" s="90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0"/>
      <c r="C7" s="90"/>
      <c r="D7" s="90"/>
      <c r="E7" s="90"/>
      <c r="F7" s="90"/>
      <c r="G7" s="90"/>
      <c r="H7" s="62"/>
      <c r="I7" s="90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0"/>
      <c r="C8" s="90"/>
      <c r="D8" s="90"/>
      <c r="E8" s="90"/>
      <c r="F8" s="90"/>
      <c r="G8" s="90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0"/>
      <c r="C9" s="90"/>
      <c r="D9" s="90"/>
      <c r="E9" s="90"/>
      <c r="F9" s="90"/>
      <c r="G9" s="90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0"/>
      <c r="D10" s="126"/>
      <c r="E10" s="126"/>
      <c r="F10" s="90"/>
      <c r="G10" s="90"/>
      <c r="H10" s="62"/>
      <c r="I10" s="126"/>
      <c r="J10" s="126"/>
      <c r="K10" s="125"/>
      <c r="N10" s="25"/>
      <c r="O10" s="26"/>
      <c r="P10" s="127" t="s">
        <v>17</v>
      </c>
      <c r="Q10" s="127"/>
      <c r="R10" s="75"/>
      <c r="S10" s="27"/>
      <c r="U10" s="121" t="s">
        <v>18</v>
      </c>
      <c r="V10" s="122"/>
      <c r="W10" s="123" t="s">
        <v>19</v>
      </c>
      <c r="Z10" s="25"/>
      <c r="AA10" s="26"/>
      <c r="AB10" s="127" t="s">
        <v>17</v>
      </c>
      <c r="AC10" s="127"/>
      <c r="AD10" s="75"/>
      <c r="AE10" s="27"/>
      <c r="AG10" s="121" t="s">
        <v>18</v>
      </c>
      <c r="AH10" s="122"/>
      <c r="AI10" s="123" t="s">
        <v>19</v>
      </c>
    </row>
    <row r="11" spans="1:35" ht="30" x14ac:dyDescent="0.25">
      <c r="A11" s="62"/>
      <c r="B11" s="90"/>
      <c r="C11" s="90"/>
      <c r="D11" s="79"/>
      <c r="E11" s="80"/>
      <c r="F11" s="81"/>
      <c r="G11" s="81"/>
      <c r="H11" s="62"/>
      <c r="I11" s="89"/>
      <c r="J11" s="89"/>
      <c r="K11" s="12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2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24"/>
    </row>
    <row r="12" spans="1:35" x14ac:dyDescent="0.25">
      <c r="A12" s="62"/>
      <c r="B12" s="66"/>
      <c r="C12" s="83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2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3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2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3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2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3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2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3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2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3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2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3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3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3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3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3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3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3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3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0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3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3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3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3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3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3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3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3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3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3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3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3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3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3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3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3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3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3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3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3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0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0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0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0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0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0"/>
      <c r="C54" s="90"/>
      <c r="D54" s="90"/>
      <c r="E54" s="90"/>
      <c r="F54" s="90"/>
      <c r="G54" s="90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0"/>
      <c r="C55" s="90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6"/>
      <c r="O57" s="86"/>
      <c r="P57" s="86"/>
      <c r="Q57" s="86"/>
      <c r="R57" s="86"/>
      <c r="S57" s="86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6"/>
      <c r="O58" s="86"/>
      <c r="P58" s="86"/>
      <c r="Q58" s="86"/>
      <c r="R58" s="86"/>
      <c r="S58" s="86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6"/>
      <c r="O59" s="86"/>
      <c r="P59" s="86"/>
      <c r="Q59" s="86"/>
      <c r="R59" s="86"/>
      <c r="S59" s="86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6"/>
      <c r="O60" s="86"/>
      <c r="P60" s="86"/>
      <c r="Q60" s="86"/>
      <c r="R60" s="86"/>
      <c r="S60" s="86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6"/>
      <c r="O61" s="86"/>
      <c r="P61" s="86"/>
      <c r="Q61" s="86"/>
      <c r="R61" s="86"/>
      <c r="S61" s="86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6"/>
      <c r="O62" s="86"/>
      <c r="P62" s="86"/>
      <c r="Q62" s="86"/>
      <c r="R62" s="86"/>
      <c r="S62" s="86"/>
      <c r="T62" s="62"/>
      <c r="U62" s="86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6"/>
      <c r="O63" s="86"/>
      <c r="P63" s="86"/>
      <c r="Q63" s="86"/>
      <c r="R63" s="86"/>
      <c r="S63" s="86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6"/>
      <c r="O64" s="86"/>
      <c r="P64" s="86"/>
      <c r="Q64" s="86"/>
      <c r="R64" s="86"/>
      <c r="S64" s="86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7" t="s">
        <v>17</v>
      </c>
      <c r="E65" s="127"/>
      <c r="F65" s="88"/>
      <c r="G65" s="27"/>
      <c r="I65" s="121" t="s">
        <v>18</v>
      </c>
      <c r="J65" s="122"/>
      <c r="K65" s="123" t="s">
        <v>19</v>
      </c>
      <c r="M65" s="62"/>
      <c r="N65" s="65"/>
      <c r="O65" s="86"/>
      <c r="P65" s="126"/>
      <c r="Q65" s="126"/>
      <c r="R65" s="86"/>
      <c r="S65" s="86"/>
      <c r="T65" s="62"/>
      <c r="U65" s="126"/>
      <c r="V65" s="126"/>
      <c r="W65" s="125"/>
      <c r="Z65" s="25"/>
      <c r="AA65" s="26"/>
      <c r="AB65" s="127" t="s">
        <v>17</v>
      </c>
      <c r="AC65" s="127"/>
      <c r="AD65" s="91"/>
      <c r="AE65" s="27"/>
      <c r="AG65" s="121" t="s">
        <v>18</v>
      </c>
      <c r="AH65" s="122"/>
      <c r="AI65" s="123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24"/>
      <c r="M66" s="62"/>
      <c r="N66" s="86"/>
      <c r="O66" s="86"/>
      <c r="P66" s="79"/>
      <c r="Q66" s="81"/>
      <c r="R66" s="81"/>
      <c r="S66" s="81"/>
      <c r="T66" s="62"/>
      <c r="U66" s="87"/>
      <c r="V66" s="87"/>
      <c r="W66" s="12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24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2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6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5"/>
      <c r="AN67" s="126"/>
      <c r="AO67" s="126"/>
      <c r="AP67" s="85"/>
      <c r="AQ67" s="62"/>
      <c r="AR67" s="126"/>
      <c r="AS67" s="126"/>
      <c r="AT67" s="12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2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6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2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6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2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6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2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2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6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2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6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2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6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2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6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2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6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2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6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2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2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6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2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6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2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6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2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6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2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6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2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6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2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6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2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6"/>
      <c r="P87" s="67"/>
      <c r="Q87" s="86"/>
      <c r="R87" s="86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2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6"/>
      <c r="P88" s="68"/>
      <c r="Q88" s="86"/>
      <c r="R88" s="86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2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6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2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6"/>
      <c r="P90" s="69"/>
      <c r="Q90" s="86"/>
      <c r="R90" s="86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2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6"/>
      <c r="P91" s="69"/>
      <c r="Q91" s="86"/>
      <c r="R91" s="86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2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6"/>
      <c r="P92" s="69"/>
      <c r="Q92" s="86"/>
      <c r="R92" s="86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2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6"/>
      <c r="P93" s="69"/>
      <c r="Q93" s="86"/>
      <c r="R93" s="86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2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6"/>
      <c r="P94" s="69"/>
      <c r="Q94" s="86"/>
      <c r="R94" s="86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2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6"/>
      <c r="P95" s="69"/>
      <c r="Q95" s="86"/>
      <c r="R95" s="86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2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6"/>
      <c r="P96" s="69"/>
      <c r="Q96" s="86"/>
      <c r="R96" s="86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2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6"/>
      <c r="P97" s="69"/>
      <c r="Q97" s="86"/>
      <c r="R97" s="86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2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6"/>
      <c r="P98" s="69"/>
      <c r="Q98" s="86"/>
      <c r="R98" s="86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2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6"/>
      <c r="P99" s="69"/>
      <c r="Q99" s="86"/>
      <c r="R99" s="86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2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6"/>
      <c r="P100" s="69"/>
      <c r="Q100" s="86"/>
      <c r="R100" s="86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2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6"/>
      <c r="P101" s="69"/>
      <c r="Q101" s="86"/>
      <c r="R101" s="86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2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6"/>
      <c r="P102" s="69"/>
      <c r="Q102" s="86"/>
      <c r="R102" s="86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6"/>
      <c r="R103" s="86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6"/>
      <c r="P104" s="69"/>
      <c r="Q104" s="86"/>
      <c r="R104" s="86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6"/>
      <c r="P105" s="69"/>
      <c r="Q105" s="86"/>
      <c r="R105" s="86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6"/>
      <c r="R106" s="86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6"/>
      <c r="P107" s="69"/>
      <c r="Q107" s="86"/>
      <c r="R107" s="86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6"/>
      <c r="O108" s="86"/>
      <c r="P108" s="86"/>
      <c r="Q108" s="86"/>
      <c r="R108" s="86"/>
      <c r="S108" s="86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6"/>
      <c r="O109" s="86"/>
      <c r="P109" s="86"/>
      <c r="Q109" s="86"/>
      <c r="R109" s="86"/>
      <c r="S109" s="86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6"/>
      <c r="O110" s="86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7" t="s">
        <v>17</v>
      </c>
      <c r="E120" s="127"/>
      <c r="F120" s="92"/>
      <c r="G120" s="27"/>
      <c r="I120" s="121" t="s">
        <v>18</v>
      </c>
      <c r="J120" s="122"/>
      <c r="K120" s="123" t="s">
        <v>19</v>
      </c>
      <c r="N120" s="25"/>
      <c r="O120" s="26"/>
      <c r="P120" s="127" t="s">
        <v>17</v>
      </c>
      <c r="Q120" s="127"/>
      <c r="R120" s="92"/>
      <c r="S120" s="27"/>
      <c r="U120" s="121" t="s">
        <v>18</v>
      </c>
      <c r="V120" s="122"/>
      <c r="W120" s="123" t="s">
        <v>19</v>
      </c>
      <c r="Z120" s="25"/>
      <c r="AA120" s="26"/>
      <c r="AB120" s="127" t="s">
        <v>17</v>
      </c>
      <c r="AC120" s="127"/>
      <c r="AD120" s="92"/>
      <c r="AE120" s="27"/>
      <c r="AG120" s="121" t="s">
        <v>18</v>
      </c>
      <c r="AH120" s="122"/>
      <c r="AI120" s="12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24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24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2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2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2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2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2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2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2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2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2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2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2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2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2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2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2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2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2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2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2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7" t="s">
        <v>17</v>
      </c>
      <c r="E175" s="127"/>
      <c r="F175" s="93"/>
      <c r="G175" s="27"/>
      <c r="I175" s="121" t="s">
        <v>18</v>
      </c>
      <c r="J175" s="122"/>
      <c r="K175" s="123" t="s">
        <v>19</v>
      </c>
      <c r="N175" s="25"/>
      <c r="O175" s="26"/>
      <c r="P175" s="127" t="s">
        <v>17</v>
      </c>
      <c r="Q175" s="127"/>
      <c r="R175" s="93"/>
      <c r="S175" s="27"/>
      <c r="U175" s="121" t="s">
        <v>18</v>
      </c>
      <c r="V175" s="122"/>
      <c r="W175" s="123" t="s">
        <v>19</v>
      </c>
      <c r="Z175" s="25"/>
      <c r="AA175" s="26"/>
      <c r="AB175" s="127" t="s">
        <v>17</v>
      </c>
      <c r="AC175" s="127"/>
      <c r="AD175" s="93"/>
      <c r="AE175" s="27"/>
      <c r="AG175" s="121" t="s">
        <v>18</v>
      </c>
      <c r="AH175" s="122"/>
      <c r="AI175" s="123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2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24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24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2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2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2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2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2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2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2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2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5"/>
      <c r="AN181" s="126"/>
      <c r="AO181" s="126"/>
      <c r="AP181" s="85"/>
      <c r="AQ181" s="62"/>
      <c r="AR181" s="126"/>
      <c r="AS181" s="126"/>
      <c r="AT181" s="12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2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2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2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2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2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2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7" t="s">
        <v>17</v>
      </c>
      <c r="E230" s="127"/>
      <c r="F230" s="94"/>
      <c r="G230" s="27"/>
      <c r="I230" s="121" t="s">
        <v>18</v>
      </c>
      <c r="J230" s="122"/>
      <c r="K230" s="123" t="s">
        <v>19</v>
      </c>
      <c r="N230" s="25"/>
      <c r="O230" s="26"/>
      <c r="P230" s="127" t="s">
        <v>17</v>
      </c>
      <c r="Q230" s="127"/>
      <c r="R230" s="94"/>
      <c r="S230" s="27"/>
      <c r="U230" s="121" t="s">
        <v>18</v>
      </c>
      <c r="V230" s="122"/>
      <c r="W230" s="123" t="s">
        <v>19</v>
      </c>
      <c r="Z230" s="25"/>
      <c r="AA230" s="26"/>
      <c r="AB230" s="127" t="s">
        <v>17</v>
      </c>
      <c r="AC230" s="127"/>
      <c r="AD230" s="94"/>
      <c r="AE230" s="27"/>
      <c r="AG230" s="121" t="s">
        <v>18</v>
      </c>
      <c r="AH230" s="122"/>
      <c r="AI230" s="12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2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24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2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2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2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2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2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2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2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2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2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2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2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2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2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2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2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2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7" t="s">
        <v>17</v>
      </c>
      <c r="E285" s="127"/>
      <c r="F285" s="95"/>
      <c r="G285" s="27"/>
      <c r="I285" s="121" t="s">
        <v>18</v>
      </c>
      <c r="J285" s="122"/>
      <c r="K285" s="123" t="s">
        <v>19</v>
      </c>
      <c r="N285" s="25"/>
      <c r="O285" s="26"/>
      <c r="P285" s="127" t="s">
        <v>17</v>
      </c>
      <c r="Q285" s="127"/>
      <c r="R285" s="96"/>
      <c r="S285" s="27"/>
      <c r="U285" s="121" t="s">
        <v>18</v>
      </c>
      <c r="V285" s="122"/>
      <c r="W285" s="123" t="s">
        <v>19</v>
      </c>
      <c r="Z285" s="25"/>
      <c r="AA285" s="26"/>
      <c r="AB285" s="127" t="s">
        <v>17</v>
      </c>
      <c r="AC285" s="127"/>
      <c r="AD285" s="96"/>
      <c r="AE285" s="27"/>
      <c r="AG285" s="121" t="s">
        <v>18</v>
      </c>
      <c r="AH285" s="122"/>
      <c r="AI285" s="12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2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2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2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2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2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2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2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2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2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2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2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2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2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2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2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2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2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2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7" t="s">
        <v>17</v>
      </c>
      <c r="E340" s="127"/>
      <c r="F340" s="97"/>
      <c r="G340" s="27"/>
      <c r="I340" s="121" t="s">
        <v>18</v>
      </c>
      <c r="J340" s="122"/>
      <c r="K340" s="123" t="s">
        <v>19</v>
      </c>
      <c r="N340" s="25"/>
      <c r="O340" s="26"/>
      <c r="P340" s="127" t="s">
        <v>17</v>
      </c>
      <c r="Q340" s="127"/>
      <c r="R340" s="97"/>
      <c r="S340" s="27"/>
      <c r="U340" s="121" t="s">
        <v>18</v>
      </c>
      <c r="V340" s="122"/>
      <c r="W340" s="123" t="s">
        <v>19</v>
      </c>
      <c r="Z340" s="25"/>
      <c r="AA340" s="26"/>
      <c r="AB340" s="127" t="s">
        <v>17</v>
      </c>
      <c r="AC340" s="127"/>
      <c r="AD340" s="97"/>
      <c r="AE340" s="27"/>
      <c r="AG340" s="121" t="s">
        <v>18</v>
      </c>
      <c r="AH340" s="122"/>
      <c r="AI340" s="12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2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24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2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2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2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2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2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2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2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2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2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2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2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2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2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2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2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2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2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2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2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2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2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2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2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2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2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2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2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2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2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2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2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2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2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2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2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2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2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2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2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2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2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2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9"/>
      <c r="C387" s="99"/>
      <c r="D387" s="99"/>
      <c r="E387" s="99"/>
      <c r="F387" s="99"/>
      <c r="G387" s="99"/>
      <c r="H387" s="62"/>
      <c r="I387" s="62"/>
      <c r="J387" s="62"/>
      <c r="K387" s="62"/>
      <c r="L387" s="62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9"/>
      <c r="C388" s="99"/>
      <c r="D388" s="99"/>
      <c r="E388" s="99"/>
      <c r="F388" s="99"/>
      <c r="G388" s="99"/>
      <c r="H388" s="62"/>
      <c r="I388" s="62"/>
      <c r="J388" s="62"/>
      <c r="K388" s="62"/>
      <c r="L388" s="62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9"/>
      <c r="C389" s="99"/>
      <c r="D389" s="99"/>
      <c r="E389" s="99"/>
      <c r="F389" s="99"/>
      <c r="G389" s="99"/>
      <c r="H389" s="62"/>
      <c r="I389" s="62"/>
      <c r="J389" s="62"/>
      <c r="K389" s="62"/>
      <c r="L389" s="62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9"/>
      <c r="C390" s="99"/>
      <c r="D390" s="99"/>
      <c r="E390" s="99"/>
      <c r="F390" s="99"/>
      <c r="G390" s="99"/>
      <c r="H390" s="62"/>
      <c r="I390" s="62"/>
      <c r="J390" s="62"/>
      <c r="K390" s="62"/>
      <c r="L390" s="62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9"/>
      <c r="C391" s="99"/>
      <c r="D391" s="99"/>
      <c r="E391" s="99"/>
      <c r="F391" s="99"/>
      <c r="G391" s="99"/>
      <c r="H391" s="62"/>
      <c r="I391" s="62"/>
      <c r="J391" s="62"/>
      <c r="K391" s="62"/>
      <c r="L391" s="62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9"/>
      <c r="C392" s="99"/>
      <c r="D392" s="99"/>
      <c r="E392" s="99"/>
      <c r="F392" s="99"/>
      <c r="G392" s="99"/>
      <c r="H392" s="62"/>
      <c r="I392" s="99"/>
      <c r="J392" s="73"/>
      <c r="K392" s="62"/>
      <c r="L392" s="62"/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9"/>
      <c r="C393" s="99"/>
      <c r="D393" s="99"/>
      <c r="E393" s="99"/>
      <c r="F393" s="99"/>
      <c r="G393" s="99"/>
      <c r="H393" s="62"/>
      <c r="I393" s="65"/>
      <c r="J393" s="65"/>
      <c r="K393" s="62"/>
      <c r="L393" s="62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9"/>
      <c r="C394" s="99"/>
      <c r="D394" s="99"/>
      <c r="E394" s="99"/>
      <c r="F394" s="99"/>
      <c r="G394" s="99"/>
      <c r="H394" s="62"/>
      <c r="I394" s="62"/>
      <c r="J394" s="62"/>
      <c r="K394" s="62"/>
      <c r="L394" s="62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9"/>
      <c r="D395" s="126"/>
      <c r="E395" s="126"/>
      <c r="F395" s="99"/>
      <c r="G395" s="99"/>
      <c r="H395" s="62"/>
      <c r="I395" s="126"/>
      <c r="J395" s="126"/>
      <c r="K395" s="125"/>
      <c r="L395" s="62"/>
      <c r="M395" s="62"/>
      <c r="N395" s="65"/>
      <c r="O395" s="86"/>
      <c r="P395" s="126"/>
      <c r="Q395" s="126"/>
      <c r="R395" s="86"/>
      <c r="S395" s="86"/>
      <c r="T395" s="62"/>
      <c r="U395" s="126"/>
      <c r="V395" s="126"/>
      <c r="W395" s="125"/>
      <c r="Z395" s="25"/>
      <c r="AA395" s="26"/>
      <c r="AB395" s="127" t="s">
        <v>17</v>
      </c>
      <c r="AC395" s="127"/>
      <c r="AD395" s="98"/>
      <c r="AE395" s="27"/>
      <c r="AG395" s="121" t="s">
        <v>18</v>
      </c>
      <c r="AH395" s="122"/>
      <c r="AI395" s="12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99"/>
      <c r="C396" s="99"/>
      <c r="D396" s="79"/>
      <c r="E396" s="80"/>
      <c r="F396" s="81"/>
      <c r="G396" s="81"/>
      <c r="H396" s="62"/>
      <c r="I396" s="100"/>
      <c r="J396" s="100"/>
      <c r="K396" s="125"/>
      <c r="L396" s="62"/>
      <c r="M396" s="62"/>
      <c r="N396" s="86"/>
      <c r="O396" s="86"/>
      <c r="P396" s="79"/>
      <c r="Q396" s="81"/>
      <c r="R396" s="81"/>
      <c r="S396" s="81"/>
      <c r="T396" s="62"/>
      <c r="U396" s="87"/>
      <c r="V396" s="87"/>
      <c r="W396" s="12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2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3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3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3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3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3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3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3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9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3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3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3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9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3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3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6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6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3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3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3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3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3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3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3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6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3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6"/>
      <c r="P420" s="69"/>
      <c r="Q420" s="86"/>
      <c r="R420" s="86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3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3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3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3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3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3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3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3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3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3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3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3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9"/>
      <c r="C439" s="99"/>
      <c r="D439" s="99"/>
      <c r="E439" s="99"/>
      <c r="F439" s="99"/>
      <c r="G439" s="99"/>
      <c r="H439" s="62"/>
      <c r="I439" s="62"/>
      <c r="J439" s="62"/>
      <c r="K439" s="62"/>
      <c r="L439" s="62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9"/>
      <c r="C440" s="9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7" t="s">
        <v>17</v>
      </c>
      <c r="E450" s="127"/>
      <c r="F450" s="101"/>
      <c r="G450" s="27"/>
      <c r="I450" s="121" t="s">
        <v>18</v>
      </c>
      <c r="J450" s="122"/>
      <c r="K450" s="123" t="s">
        <v>19</v>
      </c>
      <c r="N450" s="25"/>
      <c r="O450" s="26"/>
      <c r="P450" s="127" t="s">
        <v>17</v>
      </c>
      <c r="Q450" s="127"/>
      <c r="R450" s="101"/>
      <c r="S450" s="27"/>
      <c r="U450" s="121" t="s">
        <v>18</v>
      </c>
      <c r="V450" s="122"/>
      <c r="W450" s="123" t="s">
        <v>19</v>
      </c>
      <c r="Z450" s="25"/>
      <c r="AA450" s="26"/>
      <c r="AB450" s="127" t="s">
        <v>17</v>
      </c>
      <c r="AC450" s="127"/>
      <c r="AD450" s="101"/>
      <c r="AE450" s="27"/>
      <c r="AG450" s="121" t="s">
        <v>18</v>
      </c>
      <c r="AH450" s="122"/>
      <c r="AI450" s="12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2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24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2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2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2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2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2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2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2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2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2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2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2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2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2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2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2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2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2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2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2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7" t="s">
        <v>17</v>
      </c>
      <c r="E505" s="127"/>
      <c r="F505" s="102"/>
      <c r="G505" s="27"/>
      <c r="I505" s="121" t="s">
        <v>18</v>
      </c>
      <c r="J505" s="122"/>
      <c r="K505" s="123" t="s">
        <v>19</v>
      </c>
      <c r="N505" s="25"/>
      <c r="O505" s="26"/>
      <c r="P505" s="127" t="s">
        <v>17</v>
      </c>
      <c r="Q505" s="127"/>
      <c r="R505" s="102"/>
      <c r="S505" s="27"/>
      <c r="U505" s="121" t="s">
        <v>18</v>
      </c>
      <c r="V505" s="122"/>
      <c r="W505" s="123" t="s">
        <v>19</v>
      </c>
      <c r="Z505" s="25"/>
      <c r="AA505" s="26"/>
      <c r="AB505" s="127" t="s">
        <v>17</v>
      </c>
      <c r="AC505" s="127"/>
      <c r="AD505" s="102"/>
      <c r="AE505" s="27"/>
      <c r="AG505" s="121" t="s">
        <v>18</v>
      </c>
      <c r="AH505" s="122"/>
      <c r="AI505" s="123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24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24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2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2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2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2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2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2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2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2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2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2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2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2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2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2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2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2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2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2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2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2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2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7" t="s">
        <v>17</v>
      </c>
      <c r="E560" s="127"/>
      <c r="F560" s="103"/>
      <c r="G560" s="27"/>
      <c r="I560" s="121" t="s">
        <v>18</v>
      </c>
      <c r="J560" s="122"/>
      <c r="K560" s="123" t="s">
        <v>19</v>
      </c>
      <c r="N560" s="25"/>
      <c r="O560" s="26"/>
      <c r="P560" s="127" t="s">
        <v>17</v>
      </c>
      <c r="Q560" s="127"/>
      <c r="R560" s="103"/>
      <c r="S560" s="27"/>
      <c r="U560" s="121" t="s">
        <v>18</v>
      </c>
      <c r="V560" s="122"/>
      <c r="W560" s="123" t="s">
        <v>19</v>
      </c>
      <c r="Z560" s="25"/>
      <c r="AA560" s="26"/>
      <c r="AB560" s="127" t="s">
        <v>17</v>
      </c>
      <c r="AC560" s="127"/>
      <c r="AD560" s="103"/>
      <c r="AE560" s="27"/>
      <c r="AG560" s="121" t="s">
        <v>18</v>
      </c>
      <c r="AH560" s="122"/>
      <c r="AI560" s="123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24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24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2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2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2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2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2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2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2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2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2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2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2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5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2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2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2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2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2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7" t="s">
        <v>17</v>
      </c>
      <c r="E615" s="127"/>
      <c r="F615" s="104"/>
      <c r="G615" s="27"/>
      <c r="I615" s="121" t="s">
        <v>18</v>
      </c>
      <c r="J615" s="122"/>
      <c r="K615" s="123" t="s">
        <v>19</v>
      </c>
      <c r="N615" s="25"/>
      <c r="O615" s="26"/>
      <c r="P615" s="127" t="s">
        <v>17</v>
      </c>
      <c r="Q615" s="127"/>
      <c r="R615" s="104"/>
      <c r="S615" s="27"/>
      <c r="U615" s="121" t="s">
        <v>18</v>
      </c>
      <c r="V615" s="122"/>
      <c r="W615" s="123" t="s">
        <v>19</v>
      </c>
      <c r="Z615" s="25"/>
      <c r="AA615" s="26"/>
      <c r="AB615" s="127" t="s">
        <v>17</v>
      </c>
      <c r="AC615" s="127"/>
      <c r="AD615" s="104"/>
      <c r="AE615" s="27"/>
      <c r="AG615" s="121" t="s">
        <v>18</v>
      </c>
      <c r="AH615" s="122"/>
      <c r="AI615" s="123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24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24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24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2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2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2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2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2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2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2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2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2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5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2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2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2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2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2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2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2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7" t="s">
        <v>17</v>
      </c>
      <c r="E670" s="127"/>
      <c r="F670" s="106"/>
      <c r="G670" s="27"/>
      <c r="I670" s="121" t="s">
        <v>18</v>
      </c>
      <c r="J670" s="122"/>
      <c r="K670" s="123" t="s">
        <v>19</v>
      </c>
      <c r="N670" s="25"/>
      <c r="O670" s="26"/>
      <c r="P670" s="127" t="s">
        <v>17</v>
      </c>
      <c r="Q670" s="127"/>
      <c r="R670" s="106"/>
      <c r="S670" s="27"/>
      <c r="U670" s="121" t="s">
        <v>18</v>
      </c>
      <c r="V670" s="122"/>
      <c r="W670" s="123" t="s">
        <v>19</v>
      </c>
      <c r="Z670" s="25"/>
      <c r="AA670" s="26"/>
      <c r="AB670" s="127" t="s">
        <v>17</v>
      </c>
      <c r="AC670" s="127"/>
      <c r="AD670" s="106"/>
      <c r="AE670" s="27"/>
      <c r="AG670" s="121" t="s">
        <v>18</v>
      </c>
      <c r="AH670" s="122"/>
      <c r="AI670" s="123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24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24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2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2">
        <v>11426</v>
      </c>
      <c r="D672" s="32">
        <f>650*113+700*5+912+872*3+229*9</f>
        <v>82539</v>
      </c>
      <c r="E672" s="32"/>
      <c r="F672" s="32"/>
      <c r="G672" s="32">
        <f t="shared" ref="G672:G705" si="184">SUM(D672:E672)</f>
        <v>82539</v>
      </c>
      <c r="H672" s="12"/>
      <c r="I672" s="12"/>
      <c r="J672" s="12">
        <f>4.5*78</f>
        <v>351</v>
      </c>
      <c r="K672" s="12">
        <f t="shared" ref="K672:K705" si="185">SUM(G672:J672)</f>
        <v>82890</v>
      </c>
      <c r="M672" s="10">
        <v>1</v>
      </c>
      <c r="N672" s="30" t="s">
        <v>77</v>
      </c>
      <c r="O672" s="82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650*199+700*2+622*15+229*4</f>
        <v>140996</v>
      </c>
      <c r="AC672" s="32"/>
      <c r="AD672" s="32"/>
      <c r="AE672" s="32">
        <f t="shared" ref="AE672:AE677" si="186">SUM(AB672:AC672)</f>
        <v>140996</v>
      </c>
      <c r="AF672" s="12"/>
      <c r="AG672" s="12">
        <f>110*111+1.5*24</f>
        <v>12246</v>
      </c>
      <c r="AH672" s="12"/>
      <c r="AI672" s="12">
        <f t="shared" ref="AI672:AI713" si="187">SUM(AE672:AH672)</f>
        <v>153242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2">
        <f>O672+1</f>
        <v>11382</v>
      </c>
      <c r="P673" s="32">
        <f>650*8+700+622*2</f>
        <v>7144</v>
      </c>
      <c r="Q673" s="32"/>
      <c r="R673" s="32"/>
      <c r="S673" s="32">
        <f t="shared" ref="S673:S710" si="188">SUM(P673:Q673)</f>
        <v>7144</v>
      </c>
      <c r="T673" s="12"/>
      <c r="U673" s="12"/>
      <c r="V673" s="12">
        <v>-1221</v>
      </c>
      <c r="W673" s="12">
        <f t="shared" ref="W673:W713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3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2">
        <f t="shared" ref="O674:O680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75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2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2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2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2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0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2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2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5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2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2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2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2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2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2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2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2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2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2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2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2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2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2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2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2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F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433149</v>
      </c>
      <c r="AC715" s="38">
        <f>SUM(AC672:AC696)</f>
        <v>-2592</v>
      </c>
      <c r="AD715" s="38">
        <f>SUM(AD672:AD696)</f>
        <v>0</v>
      </c>
      <c r="AE715" s="38">
        <f>SUM(AE672:AE714)</f>
        <v>430557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442359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36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81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7" t="s">
        <v>17</v>
      </c>
      <c r="E725" s="127"/>
      <c r="F725" s="107"/>
      <c r="G725" s="27"/>
      <c r="I725" s="121" t="s">
        <v>18</v>
      </c>
      <c r="J725" s="122"/>
      <c r="K725" s="123" t="s">
        <v>19</v>
      </c>
      <c r="N725" s="25"/>
      <c r="O725" s="26"/>
      <c r="P725" s="127" t="s">
        <v>17</v>
      </c>
      <c r="Q725" s="127"/>
      <c r="R725" s="107"/>
      <c r="S725" s="27"/>
      <c r="U725" s="121" t="s">
        <v>18</v>
      </c>
      <c r="V725" s="122"/>
      <c r="W725" s="123" t="s">
        <v>19</v>
      </c>
      <c r="Z725" s="25"/>
      <c r="AA725" s="26"/>
      <c r="AB725" s="127" t="s">
        <v>17</v>
      </c>
      <c r="AC725" s="127"/>
      <c r="AD725" s="107"/>
      <c r="AE725" s="27"/>
      <c r="AG725" s="121" t="s">
        <v>18</v>
      </c>
      <c r="AH725" s="122"/>
      <c r="AI725" s="123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24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24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2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2">
        <v>11438</v>
      </c>
      <c r="D727" s="32">
        <f>650*100+670*50+700*5+622*20+912*10+872*10+872*30+1157</f>
        <v>159597</v>
      </c>
      <c r="E727" s="32"/>
      <c r="F727" s="32"/>
      <c r="G727" s="32">
        <f t="shared" ref="G727:G760" si="199">SUM(D727:E727)</f>
        <v>159597</v>
      </c>
      <c r="H727" s="12"/>
      <c r="I727" s="12">
        <f>103*120+111*155</f>
        <v>29565</v>
      </c>
      <c r="J727" s="12">
        <f>-111*22+-120*2+-84*297</f>
        <v>-27630</v>
      </c>
      <c r="K727" s="12">
        <f t="shared" ref="K727:K760" si="200">SUM(G727:J727)</f>
        <v>161532</v>
      </c>
      <c r="M727" s="10">
        <v>1</v>
      </c>
      <c r="N727" s="30" t="s">
        <v>80</v>
      </c>
      <c r="O727" s="82">
        <v>11390</v>
      </c>
      <c r="P727" s="32">
        <f>650+622+9.5*2</f>
        <v>1291</v>
      </c>
      <c r="Q727" s="32"/>
      <c r="R727" s="32"/>
      <c r="S727" s="32">
        <f>SUM(P727:Q727)</f>
        <v>1291</v>
      </c>
      <c r="T727" s="12"/>
      <c r="U727" s="12"/>
      <c r="V727" s="12"/>
      <c r="W727" s="12">
        <f>SUM(S727:V727)</f>
        <v>1291</v>
      </c>
      <c r="Y727" s="10">
        <v>1</v>
      </c>
      <c r="Z727" s="30" t="s">
        <v>80</v>
      </c>
      <c r="AA727" s="31">
        <v>11325</v>
      </c>
      <c r="AB727" s="32">
        <f>650*75+670*5+622*25+912*2+872*2+229*4</f>
        <v>72134</v>
      </c>
      <c r="AC727" s="32">
        <f>-109*6</f>
        <v>-654</v>
      </c>
      <c r="AD727" s="32"/>
      <c r="AE727" s="32">
        <f t="shared" ref="AE727:AE732" si="201">SUM(AB727:AC727)</f>
        <v>71480</v>
      </c>
      <c r="AF727" s="12"/>
      <c r="AG727" s="12"/>
      <c r="AH727" s="12"/>
      <c r="AI727" s="12">
        <f t="shared" ref="AI727:AI768" si="202">SUM(AE727:AH727)</f>
        <v>71480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31">
        <f>C727+1</f>
        <v>11439</v>
      </c>
      <c r="D728" s="32">
        <f>1175*2+1667*2+650+1102+1175+1175*3+1102+650*10+650*10</f>
        <v>26238</v>
      </c>
      <c r="E728" s="32"/>
      <c r="F728" s="32"/>
      <c r="G728" s="32">
        <f t="shared" si="199"/>
        <v>26238</v>
      </c>
      <c r="H728" s="12"/>
      <c r="I728" s="12"/>
      <c r="J728" s="12"/>
      <c r="K728" s="12">
        <f t="shared" si="200"/>
        <v>26238</v>
      </c>
      <c r="M728" s="10">
        <v>2</v>
      </c>
      <c r="N728" s="30" t="s">
        <v>80</v>
      </c>
      <c r="O728" s="82">
        <f>O727+1</f>
        <v>11391</v>
      </c>
      <c r="P728" s="32">
        <f>650*3+9.5*3</f>
        <v>1978.5</v>
      </c>
      <c r="Q728" s="32"/>
      <c r="R728" s="32"/>
      <c r="S728" s="32">
        <f t="shared" ref="S728:S765" si="203">SUM(P728:Q728)</f>
        <v>1978.5</v>
      </c>
      <c r="T728" s="12"/>
      <c r="U728" s="12"/>
      <c r="V728" s="12"/>
      <c r="W728" s="12">
        <f t="shared" ref="W728:W768" si="204">SUM(S728:V728)</f>
        <v>1978.5</v>
      </c>
      <c r="Y728" s="10">
        <v>2</v>
      </c>
      <c r="Z728" s="30" t="s">
        <v>80</v>
      </c>
      <c r="AA728" s="31">
        <f>AA727+1</f>
        <v>11326</v>
      </c>
      <c r="AB728" s="12">
        <f>650*30+622*5+229</f>
        <v>22839</v>
      </c>
      <c r="AC728" s="10"/>
      <c r="AD728" s="10"/>
      <c r="AE728" s="32">
        <f t="shared" si="201"/>
        <v>22839</v>
      </c>
      <c r="AG728" s="10"/>
      <c r="AH728" s="10"/>
      <c r="AI728" s="12">
        <f t="shared" si="202"/>
        <v>22839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31">
        <f t="shared" ref="C729:C730" si="205">C728+1</f>
        <v>11440</v>
      </c>
      <c r="D729" s="33">
        <f>650*216+670*10+622*50+229*9</f>
        <v>180261</v>
      </c>
      <c r="E729" s="33">
        <f>-276*6</f>
        <v>-1656</v>
      </c>
      <c r="F729" s="33"/>
      <c r="G729" s="33">
        <f t="shared" si="199"/>
        <v>178605</v>
      </c>
      <c r="H729" s="34"/>
      <c r="I729" s="34">
        <f>111*12+78</f>
        <v>1410</v>
      </c>
      <c r="J729" s="34">
        <f>-120*10+-42*11</f>
        <v>-1662</v>
      </c>
      <c r="K729" s="34">
        <f t="shared" si="200"/>
        <v>178353</v>
      </c>
      <c r="M729" s="10">
        <v>3</v>
      </c>
      <c r="N729" s="30" t="s">
        <v>80</v>
      </c>
      <c r="O729" s="82">
        <f t="shared" ref="O729:O734" si="206">O728+1</f>
        <v>11392</v>
      </c>
      <c r="P729" s="33">
        <f>650*160+670*10+622*18+229*2</f>
        <v>122354</v>
      </c>
      <c r="Q729" s="33">
        <f>-188*6</f>
        <v>-1128</v>
      </c>
      <c r="R729" s="32"/>
      <c r="S729" s="32">
        <f t="shared" si="203"/>
        <v>121226</v>
      </c>
      <c r="T729" s="12"/>
      <c r="U729" s="34">
        <f>1.5*10</f>
        <v>15</v>
      </c>
      <c r="V729" s="34">
        <f>-84*16+-42*9</f>
        <v>-1722</v>
      </c>
      <c r="W729" s="12">
        <f t="shared" si="204"/>
        <v>119519</v>
      </c>
      <c r="Y729" s="10">
        <v>3</v>
      </c>
      <c r="Z729" s="30" t="s">
        <v>80</v>
      </c>
      <c r="AA729" s="31">
        <f t="shared" ref="AA729:AA732" si="207">AA728+1</f>
        <v>11327</v>
      </c>
      <c r="AB729" s="32">
        <f>650*241+670*30+1667+622*76+1667*2+1582*2+229*8+650*10</f>
        <v>240519</v>
      </c>
      <c r="AC729" s="32"/>
      <c r="AD729" s="32"/>
      <c r="AE729" s="32">
        <f t="shared" si="201"/>
        <v>240519</v>
      </c>
      <c r="AF729" s="12"/>
      <c r="AG729" s="12"/>
      <c r="AH729" s="12"/>
      <c r="AI729" s="12">
        <f t="shared" si="202"/>
        <v>240519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31">
        <f t="shared" si="205"/>
        <v>11441</v>
      </c>
      <c r="D730" s="32">
        <f>650*32</f>
        <v>20800</v>
      </c>
      <c r="E730" s="32"/>
      <c r="F730" s="32"/>
      <c r="G730" s="32">
        <f t="shared" si="199"/>
        <v>20800</v>
      </c>
      <c r="H730" s="12"/>
      <c r="I730" s="12"/>
      <c r="J730" s="12">
        <f>-120*31+-111*15</f>
        <v>-5385</v>
      </c>
      <c r="K730" s="12">
        <f t="shared" si="200"/>
        <v>15415</v>
      </c>
      <c r="M730" s="10">
        <v>4</v>
      </c>
      <c r="N730" s="30" t="s">
        <v>80</v>
      </c>
      <c r="O730" s="82">
        <f t="shared" si="206"/>
        <v>11393</v>
      </c>
      <c r="P730" s="32">
        <f>650*2+622+9.5*3</f>
        <v>1950.5</v>
      </c>
      <c r="Q730" s="32"/>
      <c r="R730" s="32"/>
      <c r="S730" s="32">
        <f t="shared" si="203"/>
        <v>1950.5</v>
      </c>
      <c r="T730" s="12"/>
      <c r="U730" s="12"/>
      <c r="V730" s="12"/>
      <c r="W730" s="12">
        <f t="shared" si="204"/>
        <v>1950.5</v>
      </c>
      <c r="Y730" s="10">
        <v>4</v>
      </c>
      <c r="Z730" s="30" t="s">
        <v>80</v>
      </c>
      <c r="AA730" s="31">
        <f t="shared" si="207"/>
        <v>11328</v>
      </c>
      <c r="AB730" s="33">
        <f>650*100+229*4</f>
        <v>65916</v>
      </c>
      <c r="AC730" s="33">
        <f>-100*6</f>
        <v>-600</v>
      </c>
      <c r="AD730" s="32"/>
      <c r="AE730" s="32">
        <f t="shared" si="201"/>
        <v>65316</v>
      </c>
      <c r="AF730" s="12"/>
      <c r="AG730" s="12"/>
      <c r="AH730" s="12"/>
      <c r="AI730" s="12">
        <f t="shared" si="202"/>
        <v>65316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80</v>
      </c>
      <c r="O731" s="82">
        <f t="shared" si="206"/>
        <v>11394</v>
      </c>
      <c r="P731" s="32">
        <f>650*4+622*2+9.5*6</f>
        <v>3901</v>
      </c>
      <c r="Q731" s="32"/>
      <c r="R731" s="32"/>
      <c r="S731" s="32">
        <f t="shared" si="203"/>
        <v>3901</v>
      </c>
      <c r="T731" s="12"/>
      <c r="U731" s="12"/>
      <c r="V731" s="12">
        <f>-111*2</f>
        <v>-222</v>
      </c>
      <c r="W731" s="12">
        <f t="shared" si="204"/>
        <v>3679</v>
      </c>
      <c r="Y731" s="10">
        <v>5</v>
      </c>
      <c r="Z731" s="30" t="s">
        <v>80</v>
      </c>
      <c r="AA731" s="31">
        <f t="shared" si="207"/>
        <v>11329</v>
      </c>
      <c r="AB731" s="32">
        <f>670*5</f>
        <v>3350</v>
      </c>
      <c r="AC731" s="32">
        <f>-5*6</f>
        <v>-30</v>
      </c>
      <c r="AD731" s="32"/>
      <c r="AE731" s="32">
        <f t="shared" si="201"/>
        <v>3320</v>
      </c>
      <c r="AF731" s="12"/>
      <c r="AH731" s="12"/>
      <c r="AI731" s="12">
        <f t="shared" si="202"/>
        <v>3320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31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 t="s">
        <v>80</v>
      </c>
      <c r="O732" s="82">
        <f t="shared" si="206"/>
        <v>11395</v>
      </c>
      <c r="P732" s="32">
        <f>650*50+670*4+622*5+229*3</f>
        <v>38977</v>
      </c>
      <c r="Q732" s="32"/>
      <c r="R732" s="32"/>
      <c r="S732" s="32">
        <f t="shared" si="203"/>
        <v>38977</v>
      </c>
      <c r="T732" s="12"/>
      <c r="U732" s="12"/>
      <c r="V732" s="10"/>
      <c r="W732" s="12">
        <f t="shared" si="204"/>
        <v>38977</v>
      </c>
      <c r="Y732" s="10">
        <v>6</v>
      </c>
      <c r="Z732" s="30" t="s">
        <v>80</v>
      </c>
      <c r="AA732" s="31">
        <f t="shared" si="207"/>
        <v>11330</v>
      </c>
      <c r="AB732" s="32">
        <f>650*48+622*2</f>
        <v>32444</v>
      </c>
      <c r="AC732" s="32">
        <f>-50*6</f>
        <v>-300</v>
      </c>
      <c r="AD732" s="32"/>
      <c r="AE732" s="32">
        <f t="shared" si="201"/>
        <v>32144</v>
      </c>
      <c r="AF732" s="12"/>
      <c r="AG732" s="12"/>
      <c r="AH732" s="12">
        <f>-120+-78*3+-84*4</f>
        <v>-690</v>
      </c>
      <c r="AI732" s="12">
        <f t="shared" si="202"/>
        <v>31454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31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 t="s">
        <v>80</v>
      </c>
      <c r="O733" s="82">
        <f t="shared" si="206"/>
        <v>11396</v>
      </c>
      <c r="P733" s="32">
        <f>650*108</f>
        <v>70200</v>
      </c>
      <c r="Q733" s="32">
        <f>-108*6</f>
        <v>-648</v>
      </c>
      <c r="R733" s="32"/>
      <c r="S733" s="32">
        <f t="shared" si="203"/>
        <v>69552</v>
      </c>
      <c r="T733" s="12"/>
      <c r="U733" s="12"/>
      <c r="V733" s="12"/>
      <c r="W733" s="12">
        <f t="shared" si="204"/>
        <v>69552</v>
      </c>
      <c r="Y733" s="10">
        <v>7</v>
      </c>
      <c r="Z733" s="30"/>
      <c r="AA733" s="11" t="s">
        <v>27</v>
      </c>
      <c r="AB733" s="32"/>
      <c r="AC733" s="32"/>
      <c r="AD733" s="32"/>
      <c r="AE733" s="32">
        <f t="shared" ref="AE733:AE765" si="208">SUM(AB733:AC733)</f>
        <v>0</v>
      </c>
      <c r="AF733" s="12"/>
      <c r="AG733" s="58"/>
      <c r="AH733" s="12"/>
      <c r="AI733" s="12">
        <f t="shared" si="20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31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 t="s">
        <v>80</v>
      </c>
      <c r="O734" s="82">
        <f t="shared" si="206"/>
        <v>11397</v>
      </c>
      <c r="P734" s="32">
        <f>650</f>
        <v>650</v>
      </c>
      <c r="Q734" s="32"/>
      <c r="R734" s="32"/>
      <c r="S734" s="32">
        <f t="shared" si="203"/>
        <v>650</v>
      </c>
      <c r="T734" s="12"/>
      <c r="U734" s="12"/>
      <c r="V734" s="12"/>
      <c r="W734" s="12">
        <f t="shared" si="204"/>
        <v>650</v>
      </c>
      <c r="Y734" s="10">
        <v>8</v>
      </c>
      <c r="Z734" s="30"/>
      <c r="AA734" s="31"/>
      <c r="AB734" s="32"/>
      <c r="AC734" s="32"/>
      <c r="AE734" s="32">
        <f t="shared" si="208"/>
        <v>0</v>
      </c>
      <c r="AF734" s="12"/>
      <c r="AG734" s="12"/>
      <c r="AH734" s="12"/>
      <c r="AI734" s="12">
        <f t="shared" si="20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31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11" t="s">
        <v>27</v>
      </c>
      <c r="P735" s="32"/>
      <c r="Q735" s="32"/>
      <c r="R735" s="32"/>
      <c r="S735" s="32">
        <f t="shared" si="203"/>
        <v>0</v>
      </c>
      <c r="T735" s="12"/>
      <c r="U735" s="12"/>
      <c r="V735" s="12"/>
      <c r="W735" s="12">
        <f t="shared" si="204"/>
        <v>0</v>
      </c>
      <c r="Y735" s="10">
        <v>9</v>
      </c>
      <c r="Z735" s="30"/>
      <c r="AB735" s="105"/>
      <c r="AC735" s="32"/>
      <c r="AD735" s="32"/>
      <c r="AE735" s="32">
        <f t="shared" si="208"/>
        <v>0</v>
      </c>
      <c r="AF735" s="12"/>
      <c r="AH735" s="12"/>
      <c r="AI735" s="12">
        <f t="shared" si="20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31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P736" s="32"/>
      <c r="Q736" s="32"/>
      <c r="R736" s="32"/>
      <c r="S736" s="32">
        <f t="shared" si="203"/>
        <v>0</v>
      </c>
      <c r="T736" s="12"/>
      <c r="U736" s="12"/>
      <c r="V736" s="12"/>
      <c r="W736" s="12">
        <f t="shared" si="20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8"/>
        <v>0</v>
      </c>
      <c r="AF736" s="12"/>
      <c r="AG736" s="12"/>
      <c r="AH736" s="12"/>
      <c r="AI736" s="12">
        <f t="shared" si="20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31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O737" s="82"/>
      <c r="P737" s="32"/>
      <c r="Q737" s="32"/>
      <c r="R737" s="32"/>
      <c r="S737" s="32">
        <f t="shared" si="203"/>
        <v>0</v>
      </c>
      <c r="T737" s="12"/>
      <c r="U737" s="12"/>
      <c r="V737" s="12"/>
      <c r="W737" s="12">
        <f t="shared" si="204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8"/>
        <v>0</v>
      </c>
      <c r="AF737" s="12"/>
      <c r="AG737" s="12"/>
      <c r="AH737" s="12"/>
      <c r="AI737" s="12">
        <f t="shared" si="20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31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82"/>
      <c r="P738" s="32"/>
      <c r="Q738" s="32"/>
      <c r="R738" s="32"/>
      <c r="S738" s="32">
        <f t="shared" si="203"/>
        <v>0</v>
      </c>
      <c r="T738" s="12"/>
      <c r="U738" s="12"/>
      <c r="V738" s="12"/>
      <c r="W738" s="12">
        <f t="shared" si="20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8"/>
        <v>0</v>
      </c>
      <c r="AF738" s="12"/>
      <c r="AG738" s="12"/>
      <c r="AH738" s="12"/>
      <c r="AI738" s="12">
        <f t="shared" si="20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82"/>
      <c r="P739" s="32"/>
      <c r="Q739" s="32"/>
      <c r="R739" s="32"/>
      <c r="S739" s="32">
        <f t="shared" si="203"/>
        <v>0</v>
      </c>
      <c r="T739" s="12"/>
      <c r="U739" s="12"/>
      <c r="V739" s="12"/>
      <c r="W739" s="12">
        <f t="shared" si="20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8"/>
        <v>0</v>
      </c>
      <c r="AF739" s="12"/>
      <c r="AG739" s="12"/>
      <c r="AH739" s="12"/>
      <c r="AI739" s="12">
        <f t="shared" si="20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31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82"/>
      <c r="P740" s="32"/>
      <c r="Q740" s="32"/>
      <c r="R740" s="32"/>
      <c r="S740" s="32">
        <f t="shared" si="203"/>
        <v>0</v>
      </c>
      <c r="T740" s="12"/>
      <c r="U740" s="12"/>
      <c r="V740" s="12"/>
      <c r="W740" s="12">
        <f t="shared" si="20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8"/>
        <v>0</v>
      </c>
      <c r="AF740" s="12"/>
      <c r="AG740" s="12"/>
      <c r="AH740" s="12"/>
      <c r="AI740" s="12">
        <f t="shared" si="20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31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82"/>
      <c r="P741" s="32"/>
      <c r="Q741" s="32"/>
      <c r="R741" s="32"/>
      <c r="S741" s="32">
        <f t="shared" si="203"/>
        <v>0</v>
      </c>
      <c r="T741" s="12"/>
      <c r="U741" s="12"/>
      <c r="V741" s="12"/>
      <c r="W741" s="12">
        <f t="shared" si="20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8"/>
        <v>0</v>
      </c>
      <c r="AF741" s="12"/>
      <c r="AG741" s="12"/>
      <c r="AH741" s="12"/>
      <c r="AI741" s="12">
        <f t="shared" si="20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31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11"/>
      <c r="P742" s="32"/>
      <c r="Q742" s="32"/>
      <c r="R742" s="32"/>
      <c r="S742" s="32">
        <f t="shared" si="203"/>
        <v>0</v>
      </c>
      <c r="T742" s="12"/>
      <c r="U742" s="12"/>
      <c r="V742" s="12"/>
      <c r="W742" s="12">
        <f t="shared" si="204"/>
        <v>0</v>
      </c>
      <c r="Y742" s="10">
        <v>16</v>
      </c>
      <c r="Z742" s="30"/>
      <c r="AA742" s="11"/>
      <c r="AB742" s="32"/>
      <c r="AC742" s="32"/>
      <c r="AD742" s="32"/>
      <c r="AE742" s="32">
        <f t="shared" si="208"/>
        <v>0</v>
      </c>
      <c r="AF742" s="12"/>
      <c r="AG742" s="12"/>
      <c r="AH742" s="12"/>
      <c r="AI742" s="12">
        <f t="shared" si="20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57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3"/>
        <v>0</v>
      </c>
      <c r="T743" s="12"/>
      <c r="U743" s="12"/>
      <c r="V743" s="12"/>
      <c r="W743" s="12">
        <f t="shared" si="20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8"/>
        <v>0</v>
      </c>
      <c r="AF743" s="12"/>
      <c r="AG743" s="12"/>
      <c r="AH743" s="12"/>
      <c r="AI743" s="12">
        <f t="shared" si="20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31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3"/>
        <v>0</v>
      </c>
      <c r="T744" s="12"/>
      <c r="U744" s="12"/>
      <c r="V744" s="12"/>
      <c r="W744" s="12">
        <f t="shared" si="204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8"/>
        <v>0</v>
      </c>
      <c r="AF744" s="12"/>
      <c r="AG744" s="12"/>
      <c r="AH744" s="12"/>
      <c r="AI744" s="12">
        <f t="shared" si="20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31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3"/>
        <v>0</v>
      </c>
      <c r="T745" s="12"/>
      <c r="U745" s="12"/>
      <c r="V745" s="12"/>
      <c r="W745" s="12">
        <f t="shared" si="20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8"/>
        <v>0</v>
      </c>
      <c r="AF745" s="12"/>
      <c r="AG745" s="12"/>
      <c r="AH745" s="12"/>
      <c r="AI745" s="12">
        <f t="shared" si="20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31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3"/>
        <v>0</v>
      </c>
      <c r="T746" s="12"/>
      <c r="U746" s="12"/>
      <c r="V746" s="12"/>
      <c r="W746" s="12">
        <f t="shared" si="20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8"/>
        <v>0</v>
      </c>
      <c r="AF746" s="12"/>
      <c r="AG746" s="12"/>
      <c r="AH746" s="12"/>
      <c r="AI746" s="12">
        <f t="shared" si="20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3"/>
        <v>0</v>
      </c>
      <c r="T747" s="10"/>
      <c r="U747" s="10"/>
      <c r="V747" s="10"/>
      <c r="W747" s="12">
        <f t="shared" si="204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08"/>
        <v>0</v>
      </c>
      <c r="AF747" s="10"/>
      <c r="AG747" s="10"/>
      <c r="AH747" s="10"/>
      <c r="AI747" s="12">
        <f t="shared" si="20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31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3"/>
        <v>0</v>
      </c>
      <c r="T748" s="10"/>
      <c r="U748" s="10"/>
      <c r="V748" s="10"/>
      <c r="W748" s="12">
        <f t="shared" si="20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8"/>
        <v>0</v>
      </c>
      <c r="AF748" s="10"/>
      <c r="AG748" s="10"/>
      <c r="AH748" s="10"/>
      <c r="AI748" s="12">
        <f t="shared" si="20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31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S749" s="32">
        <f t="shared" si="203"/>
        <v>0</v>
      </c>
      <c r="T749" s="10"/>
      <c r="U749" s="10"/>
      <c r="V749" s="10"/>
      <c r="W749" s="12">
        <f t="shared" si="204"/>
        <v>0</v>
      </c>
      <c r="Y749" s="10">
        <v>23</v>
      </c>
      <c r="Z749" s="30"/>
      <c r="AA749" s="31"/>
      <c r="AB749" s="47"/>
      <c r="AE749" s="32">
        <f t="shared" si="208"/>
        <v>0</v>
      </c>
      <c r="AF749" s="10"/>
      <c r="AG749" s="10"/>
      <c r="AH749" s="10"/>
      <c r="AI749" s="12">
        <f t="shared" si="20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3"/>
        <v>0</v>
      </c>
      <c r="T750" s="10"/>
      <c r="U750" s="10"/>
      <c r="V750" s="10"/>
      <c r="W750" s="12">
        <f t="shared" si="20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8"/>
        <v>0</v>
      </c>
      <c r="AF750" s="10"/>
      <c r="AG750" s="10"/>
      <c r="AH750" s="10"/>
      <c r="AI750" s="12">
        <f t="shared" si="20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3"/>
        <v>0</v>
      </c>
      <c r="T751" s="10"/>
      <c r="U751" s="10"/>
      <c r="V751" s="10"/>
      <c r="W751" s="12">
        <f t="shared" si="20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8"/>
        <v>0</v>
      </c>
      <c r="AF751" s="10"/>
      <c r="AG751" s="10"/>
      <c r="AH751" s="10"/>
      <c r="AI751" s="12">
        <f t="shared" si="20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2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3"/>
        <v>0</v>
      </c>
      <c r="T752" s="10"/>
      <c r="U752" s="10"/>
      <c r="V752" s="10"/>
      <c r="W752" s="12">
        <f t="shared" si="20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8"/>
        <v>0</v>
      </c>
      <c r="AF752" s="10"/>
      <c r="AG752" s="10"/>
      <c r="AH752" s="10"/>
      <c r="AI752" s="12">
        <f t="shared" si="20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2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3"/>
        <v>0</v>
      </c>
      <c r="T753" s="10"/>
      <c r="U753" s="10"/>
      <c r="V753" s="10"/>
      <c r="W753" s="12">
        <f t="shared" si="20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8"/>
        <v>0</v>
      </c>
      <c r="AF753" s="10"/>
      <c r="AG753" s="10"/>
      <c r="AH753" s="10"/>
      <c r="AI753" s="12">
        <f t="shared" si="20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2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3"/>
        <v>0</v>
      </c>
      <c r="T754" s="10"/>
      <c r="U754" s="10"/>
      <c r="V754" s="10"/>
      <c r="W754" s="12">
        <f t="shared" si="20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8"/>
        <v>0</v>
      </c>
      <c r="AF754" s="10"/>
      <c r="AG754" s="10"/>
      <c r="AH754" s="10"/>
      <c r="AI754" s="12">
        <f t="shared" si="20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2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3"/>
        <v>0</v>
      </c>
      <c r="T755" s="10"/>
      <c r="U755" s="10"/>
      <c r="V755" s="10"/>
      <c r="W755" s="12">
        <f t="shared" si="20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8"/>
        <v>0</v>
      </c>
      <c r="AF755" s="10"/>
      <c r="AG755" s="10"/>
      <c r="AH755" s="10"/>
      <c r="AI755" s="12">
        <f t="shared" si="20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2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3"/>
        <v>0</v>
      </c>
      <c r="T756" s="10"/>
      <c r="U756" s="10"/>
      <c r="V756" s="10"/>
      <c r="W756" s="12">
        <f t="shared" si="20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8"/>
        <v>0</v>
      </c>
      <c r="AF756" s="10"/>
      <c r="AG756" s="10"/>
      <c r="AH756" s="10"/>
      <c r="AI756" s="12">
        <f t="shared" si="20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2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3"/>
        <v>0</v>
      </c>
      <c r="T757" s="10"/>
      <c r="U757" s="10"/>
      <c r="V757" s="10"/>
      <c r="W757" s="12">
        <f t="shared" si="20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8"/>
        <v>0</v>
      </c>
      <c r="AF757" s="10"/>
      <c r="AG757" s="10"/>
      <c r="AH757" s="10"/>
      <c r="AI757" s="12">
        <f t="shared" si="20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2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3"/>
        <v>0</v>
      </c>
      <c r="T758" s="10"/>
      <c r="U758" s="10"/>
      <c r="V758" s="10"/>
      <c r="W758" s="12">
        <f t="shared" si="20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8"/>
        <v>0</v>
      </c>
      <c r="AF758" s="10"/>
      <c r="AG758" s="10"/>
      <c r="AH758" s="10"/>
      <c r="AI758" s="12">
        <f t="shared" si="20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2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3"/>
        <v>0</v>
      </c>
      <c r="T759" s="10"/>
      <c r="U759" s="10"/>
      <c r="V759" s="10"/>
      <c r="W759" s="12">
        <f t="shared" si="20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8"/>
        <v>0</v>
      </c>
      <c r="AF759" s="10"/>
      <c r="AG759" s="10"/>
      <c r="AH759" s="10"/>
      <c r="AI759" s="12">
        <f t="shared" si="20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2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3"/>
        <v>0</v>
      </c>
      <c r="T760" s="10"/>
      <c r="U760" s="10"/>
      <c r="V760" s="10"/>
      <c r="W760" s="12">
        <f t="shared" si="20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8"/>
        <v>0</v>
      </c>
      <c r="AF760" s="10"/>
      <c r="AG760" s="10"/>
      <c r="AH760" s="10"/>
      <c r="AI760" s="12">
        <f t="shared" si="20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2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3"/>
        <v>0</v>
      </c>
      <c r="T761" s="10"/>
      <c r="U761" s="10"/>
      <c r="V761" s="10"/>
      <c r="W761" s="12">
        <f t="shared" si="20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8"/>
        <v>0</v>
      </c>
      <c r="AF761" s="10"/>
      <c r="AG761" s="10"/>
      <c r="AH761" s="10"/>
      <c r="AI761" s="12">
        <f t="shared" si="20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2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3"/>
        <v>0</v>
      </c>
      <c r="T762" s="10"/>
      <c r="U762" s="10"/>
      <c r="V762" s="10"/>
      <c r="W762" s="12">
        <f t="shared" si="20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8"/>
        <v>0</v>
      </c>
      <c r="AF762" s="10"/>
      <c r="AG762" s="10"/>
      <c r="AH762" s="10"/>
      <c r="AI762" s="12">
        <f t="shared" si="20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3"/>
        <v>0</v>
      </c>
      <c r="T763" s="10"/>
      <c r="U763" s="10"/>
      <c r="V763" s="10"/>
      <c r="W763" s="12">
        <f t="shared" si="20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8"/>
        <v>0</v>
      </c>
      <c r="AF763" s="10"/>
      <c r="AG763" s="10"/>
      <c r="AH763" s="10"/>
      <c r="AI763" s="12">
        <f t="shared" si="20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3"/>
        <v>0</v>
      </c>
      <c r="T764" s="10"/>
      <c r="U764" s="10"/>
      <c r="V764" s="10"/>
      <c r="W764" s="12">
        <f t="shared" si="20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8"/>
        <v>0</v>
      </c>
      <c r="AF764" s="10"/>
      <c r="AG764" s="10"/>
      <c r="AH764" s="10"/>
      <c r="AI764" s="12">
        <f t="shared" si="20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3"/>
        <v>0</v>
      </c>
      <c r="T765" s="10"/>
      <c r="U765" s="10"/>
      <c r="V765" s="10"/>
      <c r="W765" s="12">
        <f t="shared" si="20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8"/>
        <v>0</v>
      </c>
      <c r="AF765" s="10"/>
      <c r="AG765" s="10"/>
      <c r="AH765" s="10"/>
      <c r="AI765" s="12">
        <f t="shared" si="20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9">SUM(D767:E767)</f>
        <v>0</v>
      </c>
      <c r="H767" s="10"/>
      <c r="I767" s="10"/>
      <c r="J767" s="10"/>
      <c r="K767" s="12">
        <f t="shared" ref="K767" si="210">SUM(G767:J767)</f>
        <v>0</v>
      </c>
      <c r="M767" s="10"/>
      <c r="N767" s="30"/>
      <c r="O767" s="31"/>
      <c r="P767" s="47"/>
      <c r="Q767" s="31"/>
      <c r="R767" s="31"/>
      <c r="S767" s="32">
        <f t="shared" ref="S767" si="211">SUM(P767:Q767)</f>
        <v>0</v>
      </c>
      <c r="T767" s="10"/>
      <c r="U767" s="10"/>
      <c r="V767" s="10"/>
      <c r="W767" s="12">
        <f t="shared" si="204"/>
        <v>0</v>
      </c>
      <c r="Y767" s="10"/>
      <c r="Z767" s="30"/>
      <c r="AA767" s="31"/>
      <c r="AB767" s="47"/>
      <c r="AC767" s="31"/>
      <c r="AD767" s="31"/>
      <c r="AE767" s="32">
        <f t="shared" ref="AE767" si="212">SUM(AB767:AC767)</f>
        <v>0</v>
      </c>
      <c r="AF767" s="10"/>
      <c r="AG767" s="10"/>
      <c r="AH767" s="10"/>
      <c r="AI767" s="12">
        <f t="shared" si="20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386896</v>
      </c>
      <c r="E770" s="38">
        <f t="shared" ref="E770:F770" si="213">SUM(E727:E767)</f>
        <v>-1656</v>
      </c>
      <c r="F770" s="38">
        <f t="shared" si="213"/>
        <v>0</v>
      </c>
      <c r="G770" s="38">
        <f>SUM(G727:G769)</f>
        <v>385240</v>
      </c>
      <c r="H770" s="4"/>
      <c r="I770" s="39">
        <f>SUM(I727:I769)</f>
        <v>30975</v>
      </c>
      <c r="J770" s="39">
        <f>SUM(J727:J769)</f>
        <v>-34677</v>
      </c>
      <c r="K770" s="40">
        <f>SUM(K727:K769)</f>
        <v>381538</v>
      </c>
      <c r="N770" s="57"/>
      <c r="O770" s="57"/>
      <c r="P770" s="38">
        <f>SUM(P727:P769)</f>
        <v>241302</v>
      </c>
      <c r="Q770" s="38">
        <f>SUM(Q727:Q751)</f>
        <v>-1776</v>
      </c>
      <c r="R770" s="38">
        <f>SUM(R727:R751)</f>
        <v>0</v>
      </c>
      <c r="S770" s="38">
        <f>SUM(S727:S769)</f>
        <v>239526</v>
      </c>
      <c r="T770" s="4"/>
      <c r="U770" s="41">
        <f>SUM(U727:U769)</f>
        <v>15</v>
      </c>
      <c r="V770" s="41">
        <f>SUM(V727:V751)</f>
        <v>-1944</v>
      </c>
      <c r="W770" s="42">
        <f>SUM(W727:W769)</f>
        <v>237597</v>
      </c>
      <c r="Z770" s="57"/>
      <c r="AA770" s="57"/>
      <c r="AB770" s="38">
        <f>SUM(AB727:AB769)</f>
        <v>437202</v>
      </c>
      <c r="AC770" s="38">
        <f>SUM(AC727:AC751)</f>
        <v>-1584</v>
      </c>
      <c r="AD770" s="38">
        <f>SUM(AD727:AD751)</f>
        <v>0</v>
      </c>
      <c r="AE770" s="38">
        <f>SUM(AE727:AE769)</f>
        <v>435618</v>
      </c>
      <c r="AF770" s="4"/>
      <c r="AG770" s="41">
        <f>SUM(AG727:AG769)</f>
        <v>0</v>
      </c>
      <c r="AH770" s="41">
        <f>SUM(AH727:AH751)</f>
        <v>-690</v>
      </c>
      <c r="AI770" s="42">
        <f>SUM(AI727:AI769)</f>
        <v>434928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53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53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53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83</v>
      </c>
      <c r="B778" s="20"/>
      <c r="C778" s="57"/>
      <c r="D778" s="57"/>
      <c r="E778" s="57"/>
      <c r="G778" s="57"/>
      <c r="I778" s="22" t="s">
        <v>16</v>
      </c>
      <c r="J778" s="23" t="s">
        <v>36</v>
      </c>
      <c r="K778" s="24"/>
      <c r="M778" s="21" t="s">
        <v>83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81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7" t="s">
        <v>17</v>
      </c>
      <c r="E780" s="127"/>
      <c r="F780" s="108"/>
      <c r="G780" s="27"/>
      <c r="I780" s="121" t="s">
        <v>18</v>
      </c>
      <c r="J780" s="122"/>
      <c r="K780" s="123" t="s">
        <v>19</v>
      </c>
      <c r="N780" s="25"/>
      <c r="O780" s="26"/>
      <c r="P780" s="127" t="s">
        <v>17</v>
      </c>
      <c r="Q780" s="127"/>
      <c r="R780" s="108"/>
      <c r="S780" s="27"/>
      <c r="U780" s="121" t="s">
        <v>18</v>
      </c>
      <c r="V780" s="122"/>
      <c r="W780" s="123" t="s">
        <v>19</v>
      </c>
      <c r="Z780" s="25"/>
      <c r="AA780" s="26"/>
      <c r="AB780" s="127" t="s">
        <v>17</v>
      </c>
      <c r="AC780" s="127"/>
      <c r="AD780" s="108"/>
      <c r="AE780" s="27"/>
      <c r="AG780" s="121" t="s">
        <v>18</v>
      </c>
      <c r="AH780" s="122"/>
      <c r="AI780" s="123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31</v>
      </c>
      <c r="G781" s="78" t="s">
        <v>24</v>
      </c>
      <c r="I781" s="29" t="s">
        <v>25</v>
      </c>
      <c r="J781" s="29" t="s">
        <v>26</v>
      </c>
      <c r="K781" s="124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24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24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84</v>
      </c>
      <c r="C782" s="82">
        <v>11442</v>
      </c>
      <c r="D782" s="32">
        <f>670*2</f>
        <v>1340</v>
      </c>
      <c r="E782" s="32"/>
      <c r="F782" s="32"/>
      <c r="G782" s="32">
        <f t="shared" ref="G782:G815" si="214">SUM(D782:E782)</f>
        <v>1340</v>
      </c>
      <c r="H782" s="12"/>
      <c r="I782" s="12"/>
      <c r="J782" s="12"/>
      <c r="K782" s="12">
        <f t="shared" ref="K782:K815" si="215">SUM(G782:J782)</f>
        <v>1340</v>
      </c>
      <c r="M782" s="10">
        <v>1</v>
      </c>
      <c r="N782" s="30" t="s">
        <v>84</v>
      </c>
      <c r="O782" s="82">
        <v>11398</v>
      </c>
      <c r="P782" s="32">
        <f>650*4+670*2+622*5</f>
        <v>7050</v>
      </c>
      <c r="Q782" s="32"/>
      <c r="R782" s="32"/>
      <c r="S782" s="32">
        <f>SUM(P782:Q782)</f>
        <v>7050</v>
      </c>
      <c r="T782" s="12"/>
      <c r="U782" s="12"/>
      <c r="V782" s="12"/>
      <c r="W782" s="12">
        <f>SUM(S782:V782)</f>
        <v>7050</v>
      </c>
      <c r="Y782" s="10">
        <v>1</v>
      </c>
      <c r="Z782" s="30" t="s">
        <v>84</v>
      </c>
      <c r="AA782" s="31">
        <v>11331</v>
      </c>
      <c r="AB782" s="32">
        <f>670*5+622*80+229*3</f>
        <v>53797</v>
      </c>
      <c r="AC782" s="32"/>
      <c r="AD782" s="32"/>
      <c r="AE782" s="32">
        <f t="shared" ref="AE782:AE787" si="216">SUM(AB782:AC782)</f>
        <v>53797</v>
      </c>
      <c r="AF782" s="12"/>
      <c r="AG782" s="12"/>
      <c r="AH782" s="12">
        <f>-111*37+-24757.5</f>
        <v>-28864.5</v>
      </c>
      <c r="AI782" s="12">
        <f t="shared" ref="AI782:AI823" si="217">SUM(AE782:AH782)</f>
        <v>24932.5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84</v>
      </c>
      <c r="C783" s="31">
        <f>C782+1</f>
        <v>11443</v>
      </c>
      <c r="D783" s="32">
        <f>650*6+670*3</f>
        <v>5910</v>
      </c>
      <c r="E783" s="32"/>
      <c r="F783" s="32"/>
      <c r="G783" s="32">
        <f t="shared" si="214"/>
        <v>5910</v>
      </c>
      <c r="H783" s="12"/>
      <c r="I783" s="12">
        <f>4.5*9</f>
        <v>40.5</v>
      </c>
      <c r="J783" s="12"/>
      <c r="K783" s="12">
        <f t="shared" si="215"/>
        <v>5950.5</v>
      </c>
      <c r="M783" s="10">
        <v>2</v>
      </c>
      <c r="N783" s="30" t="s">
        <v>84</v>
      </c>
      <c r="O783" s="82">
        <f>O782+1</f>
        <v>11399</v>
      </c>
      <c r="P783" s="32">
        <f>650*8+670*2+622*2+872+500</f>
        <v>9156</v>
      </c>
      <c r="Q783" s="32"/>
      <c r="R783" s="32"/>
      <c r="S783" s="32">
        <f t="shared" ref="S783:S820" si="218">SUM(P783:Q783)</f>
        <v>9156</v>
      </c>
      <c r="T783" s="12"/>
      <c r="U783" s="12"/>
      <c r="V783" s="12">
        <v>-666</v>
      </c>
      <c r="W783" s="12">
        <f t="shared" ref="W783:W823" si="219">SUM(S783:V783)</f>
        <v>8490</v>
      </c>
      <c r="Y783" s="10">
        <v>2</v>
      </c>
      <c r="Z783" s="30" t="s">
        <v>84</v>
      </c>
      <c r="AA783" s="31">
        <f>AA782+1</f>
        <v>11332</v>
      </c>
      <c r="AB783" s="12">
        <f>650*116+670*15+973+622*50+912+872+229*8</f>
        <v>121139</v>
      </c>
      <c r="AC783" s="10">
        <f>-184*6</f>
        <v>-1104</v>
      </c>
      <c r="AD783" s="10"/>
      <c r="AE783" s="32">
        <f t="shared" si="216"/>
        <v>120035</v>
      </c>
      <c r="AG783" s="10">
        <f>4.5*42</f>
        <v>189</v>
      </c>
      <c r="AH783" s="10"/>
      <c r="AI783" s="12">
        <f t="shared" si="217"/>
        <v>120224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84</v>
      </c>
      <c r="C784" s="31">
        <f t="shared" ref="C784:C786" si="220">C783+1</f>
        <v>11444</v>
      </c>
      <c r="D784" s="33">
        <f>650*70+670*5+622*15</f>
        <v>58180</v>
      </c>
      <c r="E784" s="33"/>
      <c r="F784" s="33"/>
      <c r="G784" s="33">
        <f t="shared" si="214"/>
        <v>58180</v>
      </c>
      <c r="H784" s="34"/>
      <c r="I784" s="34"/>
      <c r="J784" s="34"/>
      <c r="K784" s="34">
        <f t="shared" si="215"/>
        <v>58180</v>
      </c>
      <c r="M784" s="10">
        <v>3</v>
      </c>
      <c r="N784" s="30" t="s">
        <v>84</v>
      </c>
      <c r="O784" s="82">
        <f t="shared" ref="O784:O798" si="221">O783+1</f>
        <v>11400</v>
      </c>
      <c r="P784" s="33">
        <f>650*3+9.5*3</f>
        <v>1978.5</v>
      </c>
      <c r="Q784" s="33"/>
      <c r="R784" s="32"/>
      <c r="S784" s="32">
        <f t="shared" si="218"/>
        <v>1978.5</v>
      </c>
      <c r="T784" s="12"/>
      <c r="U784" s="34"/>
      <c r="V784" s="34"/>
      <c r="W784" s="12">
        <f t="shared" si="219"/>
        <v>1978.5</v>
      </c>
      <c r="Y784" s="10">
        <v>3</v>
      </c>
      <c r="Z784" s="30" t="s">
        <v>84</v>
      </c>
      <c r="AA784" s="31">
        <f t="shared" ref="AA784:AA791" si="222">AA783+1</f>
        <v>11333</v>
      </c>
      <c r="AB784" s="32">
        <f>650*22+622*3+229</f>
        <v>16395</v>
      </c>
      <c r="AC784" s="32"/>
      <c r="AD784" s="32"/>
      <c r="AE784" s="32">
        <f t="shared" si="216"/>
        <v>16395</v>
      </c>
      <c r="AF784" s="12"/>
      <c r="AG784" s="12">
        <v>27</v>
      </c>
      <c r="AH784" s="12"/>
      <c r="AI784" s="12">
        <f t="shared" si="217"/>
        <v>16422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84</v>
      </c>
      <c r="C785" s="31">
        <f t="shared" si="220"/>
        <v>11445</v>
      </c>
      <c r="D785" s="32">
        <f>650*183+622*22+229*4</f>
        <v>133550</v>
      </c>
      <c r="E785" s="32"/>
      <c r="F785" s="32"/>
      <c r="G785" s="32">
        <f t="shared" si="214"/>
        <v>133550</v>
      </c>
      <c r="H785" s="12"/>
      <c r="I785" s="12"/>
      <c r="J785" s="12"/>
      <c r="K785" s="12">
        <f t="shared" si="215"/>
        <v>133550</v>
      </c>
      <c r="M785" s="10">
        <v>4</v>
      </c>
      <c r="N785" s="30" t="s">
        <v>84</v>
      </c>
      <c r="O785" s="82">
        <v>11501</v>
      </c>
      <c r="P785" s="32">
        <f>650*3+9.5*3</f>
        <v>1978.5</v>
      </c>
      <c r="Q785" s="32"/>
      <c r="R785" s="32"/>
      <c r="S785" s="32">
        <f t="shared" si="218"/>
        <v>1978.5</v>
      </c>
      <c r="T785" s="12"/>
      <c r="U785" s="12"/>
      <c r="V785" s="12"/>
      <c r="W785" s="12">
        <f t="shared" si="219"/>
        <v>1978.5</v>
      </c>
      <c r="Y785" s="10">
        <v>4</v>
      </c>
      <c r="Z785" s="30" t="s">
        <v>84</v>
      </c>
      <c r="AA785" s="31">
        <f t="shared" si="222"/>
        <v>11334</v>
      </c>
      <c r="AB785" s="33">
        <f>650*30+622*7+229</f>
        <v>24083</v>
      </c>
      <c r="AC785" s="33"/>
      <c r="AD785" s="32"/>
      <c r="AE785" s="32">
        <f t="shared" si="216"/>
        <v>24083</v>
      </c>
      <c r="AF785" s="12"/>
      <c r="AG785" s="12"/>
      <c r="AH785" s="12"/>
      <c r="AI785" s="12">
        <f t="shared" si="217"/>
        <v>24083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84</v>
      </c>
      <c r="C786" s="31">
        <f t="shared" si="220"/>
        <v>11446</v>
      </c>
      <c r="D786" s="32">
        <f>650*10+9.5*10</f>
        <v>6595</v>
      </c>
      <c r="E786" s="32"/>
      <c r="F786" s="32"/>
      <c r="G786" s="32">
        <f t="shared" si="214"/>
        <v>6595</v>
      </c>
      <c r="H786" s="12"/>
      <c r="I786" s="12"/>
      <c r="J786" s="12"/>
      <c r="K786" s="12">
        <f t="shared" si="215"/>
        <v>6595</v>
      </c>
      <c r="M786" s="10">
        <v>5</v>
      </c>
      <c r="N786" s="30" t="s">
        <v>84</v>
      </c>
      <c r="O786" s="82">
        <f t="shared" si="221"/>
        <v>11502</v>
      </c>
      <c r="P786" s="32">
        <f>650*8+9.5*8</f>
        <v>5276</v>
      </c>
      <c r="Q786" s="32"/>
      <c r="R786" s="32"/>
      <c r="S786" s="32">
        <f t="shared" si="218"/>
        <v>5276</v>
      </c>
      <c r="T786" s="12"/>
      <c r="U786" s="12">
        <f>4.5*4</f>
        <v>18</v>
      </c>
      <c r="V786" s="12"/>
      <c r="W786" s="12">
        <f t="shared" si="219"/>
        <v>5294</v>
      </c>
      <c r="Y786" s="10">
        <v>5</v>
      </c>
      <c r="Z786" s="30" t="s">
        <v>84</v>
      </c>
      <c r="AA786" s="31">
        <f t="shared" si="222"/>
        <v>11335</v>
      </c>
      <c r="AB786" s="32">
        <f>650*33+973+9.5*12</f>
        <v>22537</v>
      </c>
      <c r="AC786" s="32"/>
      <c r="AD786" s="32"/>
      <c r="AE786" s="32">
        <f t="shared" si="216"/>
        <v>22537</v>
      </c>
      <c r="AF786" s="12"/>
      <c r="AH786" s="12"/>
      <c r="AI786" s="12">
        <f t="shared" si="217"/>
        <v>22537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/>
      <c r="C787" s="11" t="s">
        <v>27</v>
      </c>
      <c r="D787" s="32"/>
      <c r="E787" s="32"/>
      <c r="F787" s="32"/>
      <c r="G787" s="32">
        <f t="shared" si="214"/>
        <v>0</v>
      </c>
      <c r="H787" s="12"/>
      <c r="I787" s="12"/>
      <c r="J787" s="12"/>
      <c r="K787" s="12">
        <f t="shared" si="215"/>
        <v>0</v>
      </c>
      <c r="M787" s="10">
        <v>6</v>
      </c>
      <c r="N787" s="30" t="s">
        <v>84</v>
      </c>
      <c r="O787" s="82">
        <f t="shared" si="221"/>
        <v>11503</v>
      </c>
      <c r="P787" s="32">
        <f>650*5+9.5*5</f>
        <v>3297.5</v>
      </c>
      <c r="Q787" s="32"/>
      <c r="R787" s="32"/>
      <c r="S787" s="32">
        <f t="shared" si="218"/>
        <v>3297.5</v>
      </c>
      <c r="T787" s="12"/>
      <c r="U787" s="12"/>
      <c r="V787" s="10">
        <v>-444</v>
      </c>
      <c r="W787" s="12">
        <f t="shared" si="219"/>
        <v>2853.5</v>
      </c>
      <c r="Y787" s="10">
        <v>6</v>
      </c>
      <c r="Z787" s="30" t="s">
        <v>84</v>
      </c>
      <c r="AA787" s="31">
        <f t="shared" si="222"/>
        <v>11336</v>
      </c>
      <c r="AB787" s="32">
        <f>650*20+229</f>
        <v>13229</v>
      </c>
      <c r="AC787" s="32"/>
      <c r="AD787" s="32"/>
      <c r="AE787" s="32">
        <f t="shared" si="216"/>
        <v>13229</v>
      </c>
      <c r="AF787" s="12"/>
      <c r="AG787" s="12"/>
      <c r="AH787" s="12"/>
      <c r="AI787" s="12">
        <f t="shared" si="217"/>
        <v>13229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31"/>
      <c r="D788" s="32"/>
      <c r="E788" s="32"/>
      <c r="F788" s="32"/>
      <c r="G788" s="32">
        <f t="shared" si="214"/>
        <v>0</v>
      </c>
      <c r="H788" s="12"/>
      <c r="I788" s="12"/>
      <c r="J788" s="12"/>
      <c r="K788" s="12">
        <f t="shared" si="215"/>
        <v>0</v>
      </c>
      <c r="M788" s="10">
        <v>7</v>
      </c>
      <c r="N788" s="30" t="s">
        <v>84</v>
      </c>
      <c r="O788" s="82">
        <f t="shared" si="221"/>
        <v>11504</v>
      </c>
      <c r="P788" s="32">
        <f>650*9+9.5*9</f>
        <v>5935.5</v>
      </c>
      <c r="Q788" s="32"/>
      <c r="R788" s="32"/>
      <c r="S788" s="32">
        <f t="shared" si="218"/>
        <v>5935.5</v>
      </c>
      <c r="T788" s="12"/>
      <c r="U788" s="12"/>
      <c r="V788" s="12"/>
      <c r="W788" s="12">
        <f t="shared" si="219"/>
        <v>5935.5</v>
      </c>
      <c r="Y788" s="10">
        <v>7</v>
      </c>
      <c r="Z788" s="30" t="s">
        <v>84</v>
      </c>
      <c r="AA788" s="31">
        <f t="shared" si="222"/>
        <v>11337</v>
      </c>
      <c r="AB788" s="32">
        <f>650*30+229</f>
        <v>19729</v>
      </c>
      <c r="AC788" s="32"/>
      <c r="AD788" s="32"/>
      <c r="AE788" s="32">
        <f t="shared" ref="AE788:AE820" si="223">SUM(AB788:AC788)</f>
        <v>19729</v>
      </c>
      <c r="AF788" s="12"/>
      <c r="AG788" s="58">
        <f>1.5*14</f>
        <v>21</v>
      </c>
      <c r="AH788" s="12"/>
      <c r="AI788" s="12">
        <f t="shared" si="217"/>
        <v>19750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31"/>
      <c r="D789" s="32"/>
      <c r="E789" s="32"/>
      <c r="F789" s="32"/>
      <c r="G789" s="32">
        <f t="shared" si="214"/>
        <v>0</v>
      </c>
      <c r="H789" s="12"/>
      <c r="I789" s="12"/>
      <c r="J789" s="12"/>
      <c r="K789" s="12">
        <f t="shared" si="215"/>
        <v>0</v>
      </c>
      <c r="M789" s="10">
        <v>8</v>
      </c>
      <c r="N789" s="30" t="s">
        <v>84</v>
      </c>
      <c r="O789" s="82">
        <f t="shared" si="221"/>
        <v>11505</v>
      </c>
      <c r="P789" s="32">
        <f>650*5+9.5*5</f>
        <v>3297.5</v>
      </c>
      <c r="Q789" s="32"/>
      <c r="R789" s="32"/>
      <c r="S789" s="32">
        <f t="shared" si="218"/>
        <v>3297.5</v>
      </c>
      <c r="T789" s="12"/>
      <c r="U789" s="12"/>
      <c r="V789" s="12">
        <f>-111*5</f>
        <v>-555</v>
      </c>
      <c r="W789" s="12">
        <f t="shared" si="219"/>
        <v>2742.5</v>
      </c>
      <c r="Y789" s="10">
        <v>8</v>
      </c>
      <c r="Z789" s="30" t="s">
        <v>84</v>
      </c>
      <c r="AA789" s="31">
        <f t="shared" si="222"/>
        <v>11338</v>
      </c>
      <c r="AB789" s="32">
        <f>650*10+872+9.5*15</f>
        <v>7514.5</v>
      </c>
      <c r="AC789" s="32"/>
      <c r="AE789" s="32">
        <f t="shared" si="223"/>
        <v>7514.5</v>
      </c>
      <c r="AF789" s="12"/>
      <c r="AG789" s="12">
        <f>1.5*20</f>
        <v>30</v>
      </c>
      <c r="AH789" s="12">
        <v>-777</v>
      </c>
      <c r="AI789" s="12">
        <f t="shared" si="217"/>
        <v>6767.5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31"/>
      <c r="D790" s="32"/>
      <c r="E790" s="32"/>
      <c r="F790" s="32"/>
      <c r="G790" s="32">
        <f t="shared" si="214"/>
        <v>0</v>
      </c>
      <c r="H790" s="12"/>
      <c r="I790" s="12"/>
      <c r="J790" s="12"/>
      <c r="K790" s="12">
        <f t="shared" si="215"/>
        <v>0</v>
      </c>
      <c r="M790" s="10">
        <v>9</v>
      </c>
      <c r="N790" s="30" t="s">
        <v>84</v>
      </c>
      <c r="O790" s="82">
        <f t="shared" si="221"/>
        <v>11506</v>
      </c>
      <c r="P790" s="32">
        <f>650*1+670</f>
        <v>1320</v>
      </c>
      <c r="Q790" s="32"/>
      <c r="R790" s="32"/>
      <c r="S790" s="32">
        <f t="shared" si="218"/>
        <v>1320</v>
      </c>
      <c r="T790" s="12"/>
      <c r="U790" s="12"/>
      <c r="V790" s="12"/>
      <c r="W790" s="12">
        <f t="shared" si="219"/>
        <v>1320</v>
      </c>
      <c r="Y790" s="10">
        <v>9</v>
      </c>
      <c r="Z790" s="30" t="s">
        <v>84</v>
      </c>
      <c r="AA790" s="31">
        <f t="shared" si="222"/>
        <v>11339</v>
      </c>
      <c r="AB790" s="105">
        <f>872*2</f>
        <v>1744</v>
      </c>
      <c r="AC790" s="32"/>
      <c r="AD790" s="32"/>
      <c r="AE790" s="32">
        <f t="shared" si="223"/>
        <v>1744</v>
      </c>
      <c r="AF790" s="12"/>
      <c r="AH790" s="12"/>
      <c r="AI790" s="12">
        <f t="shared" si="217"/>
        <v>1744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31"/>
      <c r="D791" s="32"/>
      <c r="E791" s="32"/>
      <c r="F791" s="32"/>
      <c r="G791" s="32">
        <f t="shared" si="214"/>
        <v>0</v>
      </c>
      <c r="H791" s="12"/>
      <c r="I791" s="12"/>
      <c r="J791" s="12"/>
      <c r="K791" s="12">
        <f t="shared" si="215"/>
        <v>0</v>
      </c>
      <c r="M791" s="10">
        <v>10</v>
      </c>
      <c r="N791" s="30" t="s">
        <v>84</v>
      </c>
      <c r="O791" s="82">
        <f t="shared" si="221"/>
        <v>11507</v>
      </c>
      <c r="P791" s="32">
        <f>650*35+622*5+229</f>
        <v>26089</v>
      </c>
      <c r="Q791" s="32"/>
      <c r="R791" s="32"/>
      <c r="S791" s="32">
        <f t="shared" si="218"/>
        <v>26089</v>
      </c>
      <c r="T791" s="12"/>
      <c r="U791" s="12"/>
      <c r="V791" s="12">
        <f>-111*11</f>
        <v>-1221</v>
      </c>
      <c r="W791" s="12">
        <f t="shared" si="219"/>
        <v>24868</v>
      </c>
      <c r="Y791" s="10">
        <v>10</v>
      </c>
      <c r="Z791" s="30" t="s">
        <v>84</v>
      </c>
      <c r="AA791" s="31">
        <f t="shared" si="222"/>
        <v>11340</v>
      </c>
      <c r="AB791" s="32">
        <f>650*20</f>
        <v>13000</v>
      </c>
      <c r="AC791" s="32"/>
      <c r="AD791" s="32"/>
      <c r="AE791" s="32">
        <f t="shared" si="223"/>
        <v>13000</v>
      </c>
      <c r="AF791" s="12"/>
      <c r="AG791" s="12"/>
      <c r="AH791" s="12"/>
      <c r="AI791" s="12">
        <f t="shared" si="217"/>
        <v>13000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D792" s="32"/>
      <c r="E792" s="32"/>
      <c r="F792" s="32"/>
      <c r="G792" s="32">
        <f t="shared" si="214"/>
        <v>0</v>
      </c>
      <c r="H792" s="12"/>
      <c r="I792" s="12"/>
      <c r="J792" s="12"/>
      <c r="K792" s="12">
        <f t="shared" si="215"/>
        <v>0</v>
      </c>
      <c r="M792" s="10">
        <v>11</v>
      </c>
      <c r="N792" s="30" t="s">
        <v>84</v>
      </c>
      <c r="O792" s="82">
        <f t="shared" si="221"/>
        <v>11508</v>
      </c>
      <c r="P792" s="32">
        <f>650*5+9.5*5</f>
        <v>3297.5</v>
      </c>
      <c r="Q792" s="32"/>
      <c r="R792" s="32"/>
      <c r="S792" s="32">
        <f t="shared" si="218"/>
        <v>3297.5</v>
      </c>
      <c r="T792" s="12"/>
      <c r="U792" s="12"/>
      <c r="V792" s="12"/>
      <c r="W792" s="12">
        <f t="shared" si="219"/>
        <v>3297.5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23"/>
        <v>0</v>
      </c>
      <c r="AF792" s="12"/>
      <c r="AG792" s="12"/>
      <c r="AH792" s="12"/>
      <c r="AI792" s="12">
        <f t="shared" si="217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31"/>
      <c r="D793" s="32"/>
      <c r="E793" s="32"/>
      <c r="F793" s="32"/>
      <c r="G793" s="32">
        <f t="shared" si="214"/>
        <v>0</v>
      </c>
      <c r="H793" s="12"/>
      <c r="I793" s="12"/>
      <c r="J793" s="10"/>
      <c r="K793" s="12">
        <f t="shared" si="215"/>
        <v>0</v>
      </c>
      <c r="M793" s="10">
        <v>12</v>
      </c>
      <c r="N793" s="30" t="s">
        <v>84</v>
      </c>
      <c r="O793" s="82">
        <f t="shared" si="221"/>
        <v>11509</v>
      </c>
      <c r="P793" s="32">
        <f>650+622+9.5*2</f>
        <v>1291</v>
      </c>
      <c r="Q793" s="32"/>
      <c r="R793" s="32"/>
      <c r="S793" s="32">
        <f t="shared" si="218"/>
        <v>1291</v>
      </c>
      <c r="T793" s="12"/>
      <c r="U793" s="12"/>
      <c r="V793" s="12"/>
      <c r="W793" s="12">
        <f t="shared" si="219"/>
        <v>1291</v>
      </c>
      <c r="Y793" s="10">
        <v>12</v>
      </c>
      <c r="Z793" s="30"/>
      <c r="AA793" s="31"/>
      <c r="AB793" s="32"/>
      <c r="AC793" s="32"/>
      <c r="AD793" s="32"/>
      <c r="AE793" s="32">
        <f t="shared" si="223"/>
        <v>0</v>
      </c>
      <c r="AF793" s="12"/>
      <c r="AG793" s="12"/>
      <c r="AH793" s="12"/>
      <c r="AI793" s="12">
        <f t="shared" si="217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57"/>
      <c r="D794" s="32"/>
      <c r="E794" s="32"/>
      <c r="F794" s="32"/>
      <c r="G794" s="32">
        <f t="shared" si="214"/>
        <v>0</v>
      </c>
      <c r="H794" s="12"/>
      <c r="I794" s="12"/>
      <c r="J794" s="12"/>
      <c r="K794" s="12">
        <f t="shared" si="215"/>
        <v>0</v>
      </c>
      <c r="M794" s="10">
        <v>13</v>
      </c>
      <c r="N794" s="30" t="s">
        <v>84</v>
      </c>
      <c r="O794" s="82">
        <f t="shared" si="221"/>
        <v>11510</v>
      </c>
      <c r="P794" s="32">
        <f>650*14+1175+1102+4.5*2</f>
        <v>11386</v>
      </c>
      <c r="Q794" s="32"/>
      <c r="R794" s="32"/>
      <c r="S794" s="32">
        <f t="shared" si="218"/>
        <v>11386</v>
      </c>
      <c r="T794" s="12"/>
      <c r="U794" s="12"/>
      <c r="V794" s="12"/>
      <c r="W794" s="12">
        <f t="shared" si="219"/>
        <v>11386</v>
      </c>
      <c r="Y794" s="10">
        <v>13</v>
      </c>
      <c r="Z794" s="30"/>
      <c r="AA794" s="31"/>
      <c r="AB794" s="32"/>
      <c r="AC794" s="32"/>
      <c r="AD794" s="32"/>
      <c r="AE794" s="32">
        <f t="shared" si="223"/>
        <v>0</v>
      </c>
      <c r="AF794" s="12"/>
      <c r="AG794" s="12"/>
      <c r="AH794" s="12"/>
      <c r="AI794" s="12">
        <f t="shared" si="217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14"/>
        <v>0</v>
      </c>
      <c r="H795" s="12"/>
      <c r="I795" s="12"/>
      <c r="J795" s="12"/>
      <c r="K795" s="12">
        <f t="shared" si="215"/>
        <v>0</v>
      </c>
      <c r="M795" s="10">
        <v>14</v>
      </c>
      <c r="N795" s="30" t="s">
        <v>84</v>
      </c>
      <c r="O795" s="82">
        <f t="shared" si="221"/>
        <v>11511</v>
      </c>
      <c r="P795" s="32">
        <f>670*15+622*20+912*2+872*5+1102+650*7</f>
        <v>34326</v>
      </c>
      <c r="Q795" s="32">
        <f>-42*6</f>
        <v>-252</v>
      </c>
      <c r="R795" s="32"/>
      <c r="S795" s="32">
        <f t="shared" si="218"/>
        <v>34074</v>
      </c>
      <c r="T795" s="12"/>
      <c r="U795" s="12">
        <f>120*6</f>
        <v>720</v>
      </c>
      <c r="V795" s="12">
        <f>-111*15+-78+-42*6</f>
        <v>-1995</v>
      </c>
      <c r="W795" s="12">
        <f t="shared" si="219"/>
        <v>32799</v>
      </c>
      <c r="Y795" s="10">
        <v>14</v>
      </c>
      <c r="Z795" s="30"/>
      <c r="AA795" s="31"/>
      <c r="AB795" s="32"/>
      <c r="AC795" s="32"/>
      <c r="AD795" s="32"/>
      <c r="AE795" s="32">
        <f t="shared" si="223"/>
        <v>0</v>
      </c>
      <c r="AF795" s="12"/>
      <c r="AG795" s="12"/>
      <c r="AH795" s="12"/>
      <c r="AI795" s="12">
        <f t="shared" si="217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14"/>
        <v>0</v>
      </c>
      <c r="H796" s="12"/>
      <c r="I796" s="12"/>
      <c r="J796" s="12"/>
      <c r="K796" s="12">
        <f t="shared" si="215"/>
        <v>0</v>
      </c>
      <c r="M796" s="10">
        <v>15</v>
      </c>
      <c r="N796" s="30" t="s">
        <v>84</v>
      </c>
      <c r="O796" s="82">
        <f t="shared" si="221"/>
        <v>11512</v>
      </c>
      <c r="P796" s="32">
        <f>650*14+622*3</f>
        <v>10966</v>
      </c>
      <c r="Q796" s="32"/>
      <c r="R796" s="32"/>
      <c r="S796" s="32">
        <f t="shared" si="218"/>
        <v>10966</v>
      </c>
      <c r="T796" s="12"/>
      <c r="U796" s="12"/>
      <c r="V796" s="12">
        <f>-111*20</f>
        <v>-2220</v>
      </c>
      <c r="W796" s="12">
        <f t="shared" si="219"/>
        <v>8746</v>
      </c>
      <c r="Y796" s="10">
        <v>15</v>
      </c>
      <c r="Z796" s="30"/>
      <c r="AA796" s="31"/>
      <c r="AB796" s="32"/>
      <c r="AC796" s="32"/>
      <c r="AD796" s="32"/>
      <c r="AE796" s="32">
        <f t="shared" si="223"/>
        <v>0</v>
      </c>
      <c r="AF796" s="12"/>
      <c r="AG796" s="12"/>
      <c r="AH796" s="12"/>
      <c r="AI796" s="12">
        <f t="shared" si="217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14"/>
        <v>0</v>
      </c>
      <c r="H797" s="12"/>
      <c r="I797" s="12"/>
      <c r="J797" s="12"/>
      <c r="K797" s="12">
        <f t="shared" si="215"/>
        <v>0</v>
      </c>
      <c r="M797" s="10">
        <v>16</v>
      </c>
      <c r="N797" s="30" t="s">
        <v>84</v>
      </c>
      <c r="O797" s="82">
        <f t="shared" si="221"/>
        <v>11513</v>
      </c>
      <c r="P797" s="32">
        <f>650*5+9.5*5</f>
        <v>3297.5</v>
      </c>
      <c r="Q797" s="32"/>
      <c r="R797" s="32"/>
      <c r="S797" s="32">
        <f t="shared" si="218"/>
        <v>3297.5</v>
      </c>
      <c r="T797" s="12"/>
      <c r="U797" s="12"/>
      <c r="V797" s="12"/>
      <c r="W797" s="12">
        <f t="shared" si="219"/>
        <v>3297.5</v>
      </c>
      <c r="Y797" s="10">
        <v>16</v>
      </c>
      <c r="Z797" s="30"/>
      <c r="AA797" s="11"/>
      <c r="AB797" s="32"/>
      <c r="AC797" s="32"/>
      <c r="AD797" s="32"/>
      <c r="AE797" s="32">
        <f t="shared" si="223"/>
        <v>0</v>
      </c>
      <c r="AF797" s="12"/>
      <c r="AG797" s="12"/>
      <c r="AH797" s="12"/>
      <c r="AI797" s="12">
        <f t="shared" si="217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57"/>
      <c r="D798" s="32"/>
      <c r="E798" s="32"/>
      <c r="F798" s="32"/>
      <c r="G798" s="32">
        <f t="shared" si="214"/>
        <v>0</v>
      </c>
      <c r="H798" s="12"/>
      <c r="I798" s="12"/>
      <c r="J798" s="12"/>
      <c r="K798" s="12">
        <f t="shared" si="215"/>
        <v>0</v>
      </c>
      <c r="M798" s="10">
        <v>17</v>
      </c>
      <c r="N798" s="30" t="s">
        <v>84</v>
      </c>
      <c r="O798" s="82">
        <f t="shared" si="221"/>
        <v>11514</v>
      </c>
      <c r="P798" s="35">
        <f>670</f>
        <v>670</v>
      </c>
      <c r="Q798" s="32"/>
      <c r="R798" s="32"/>
      <c r="S798" s="32">
        <f t="shared" si="218"/>
        <v>670</v>
      </c>
      <c r="T798" s="12"/>
      <c r="U798" s="12"/>
      <c r="V798" s="12"/>
      <c r="W798" s="12">
        <f t="shared" si="219"/>
        <v>670</v>
      </c>
      <c r="Y798" s="10">
        <v>17</v>
      </c>
      <c r="Z798" s="30"/>
      <c r="AA798" s="31"/>
      <c r="AB798" s="35"/>
      <c r="AC798" s="32"/>
      <c r="AD798" s="32"/>
      <c r="AE798" s="32">
        <f t="shared" si="223"/>
        <v>0</v>
      </c>
      <c r="AF798" s="12"/>
      <c r="AG798" s="12"/>
      <c r="AH798" s="12"/>
      <c r="AI798" s="12">
        <f t="shared" si="217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14"/>
        <v>0</v>
      </c>
      <c r="H799" s="12"/>
      <c r="I799" s="12"/>
      <c r="J799" s="12"/>
      <c r="K799" s="12">
        <f t="shared" si="215"/>
        <v>0</v>
      </c>
      <c r="M799" s="10">
        <v>18</v>
      </c>
      <c r="N799" s="30"/>
      <c r="O799" s="11" t="s">
        <v>27</v>
      </c>
      <c r="P799" s="32"/>
      <c r="Q799" s="32"/>
      <c r="R799" s="32"/>
      <c r="S799" s="32"/>
      <c r="T799" s="12"/>
      <c r="U799" s="12"/>
      <c r="V799" s="12"/>
      <c r="W799" s="12">
        <f t="shared" si="219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23"/>
        <v>0</v>
      </c>
      <c r="AF799" s="12"/>
      <c r="AG799" s="12"/>
      <c r="AH799" s="12"/>
      <c r="AI799" s="12">
        <f t="shared" si="217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14"/>
        <v>0</v>
      </c>
      <c r="H800" s="12"/>
      <c r="I800" s="12"/>
      <c r="J800" s="12"/>
      <c r="K800" s="12">
        <f t="shared" si="215"/>
        <v>0</v>
      </c>
      <c r="M800" s="10">
        <v>19</v>
      </c>
      <c r="N800" s="30"/>
      <c r="O800" s="82"/>
      <c r="P800" s="32"/>
      <c r="Q800" s="32"/>
      <c r="R800" s="32"/>
      <c r="S800" s="32"/>
      <c r="T800" s="12"/>
      <c r="U800" s="12"/>
      <c r="V800" s="12"/>
      <c r="W800" s="12">
        <f t="shared" si="21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23"/>
        <v>0</v>
      </c>
      <c r="AF800" s="12"/>
      <c r="AG800" s="12"/>
      <c r="AH800" s="12"/>
      <c r="AI800" s="12">
        <f t="shared" si="217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14"/>
        <v>0</v>
      </c>
      <c r="H801" s="12"/>
      <c r="I801" s="12"/>
      <c r="J801" s="12"/>
      <c r="K801" s="12">
        <f t="shared" si="215"/>
        <v>0</v>
      </c>
      <c r="M801" s="10">
        <v>20</v>
      </c>
      <c r="N801" s="30"/>
      <c r="O801" s="82"/>
      <c r="P801" s="32"/>
      <c r="Q801" s="32"/>
      <c r="R801" s="32"/>
      <c r="S801" s="32"/>
      <c r="T801" s="12"/>
      <c r="U801" s="12"/>
      <c r="V801" s="12"/>
      <c r="W801" s="12">
        <f t="shared" si="21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23"/>
        <v>0</v>
      </c>
      <c r="AF801" s="12"/>
      <c r="AG801" s="12"/>
      <c r="AH801" s="12"/>
      <c r="AI801" s="12">
        <f t="shared" si="217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11"/>
      <c r="D802" s="32"/>
      <c r="E802" s="32"/>
      <c r="F802" s="32"/>
      <c r="G802" s="32">
        <f t="shared" si="214"/>
        <v>0</v>
      </c>
      <c r="H802" s="10"/>
      <c r="I802" s="10"/>
      <c r="J802" s="10"/>
      <c r="K802" s="12">
        <f t="shared" si="215"/>
        <v>0</v>
      </c>
      <c r="M802" s="10">
        <v>21</v>
      </c>
      <c r="N802" s="30"/>
      <c r="O802" s="82"/>
      <c r="P802" s="46"/>
      <c r="Q802" s="31"/>
      <c r="R802" s="31"/>
      <c r="S802" s="32"/>
      <c r="T802" s="10"/>
      <c r="U802" s="10"/>
      <c r="V802" s="10"/>
      <c r="W802" s="12">
        <f t="shared" si="219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23"/>
        <v>0</v>
      </c>
      <c r="AF802" s="10"/>
      <c r="AG802" s="10"/>
      <c r="AH802" s="10"/>
      <c r="AI802" s="12">
        <f t="shared" si="217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14"/>
        <v>0</v>
      </c>
      <c r="H803" s="10"/>
      <c r="I803" s="10"/>
      <c r="J803" s="10"/>
      <c r="K803" s="12">
        <f t="shared" si="215"/>
        <v>0</v>
      </c>
      <c r="M803" s="10">
        <v>22</v>
      </c>
      <c r="N803" s="30"/>
      <c r="O803" s="82"/>
      <c r="P803" s="45"/>
      <c r="Q803" s="31"/>
      <c r="R803" s="31"/>
      <c r="S803" s="32"/>
      <c r="T803" s="10"/>
      <c r="U803" s="10"/>
      <c r="V803" s="10"/>
      <c r="W803" s="12">
        <f t="shared" si="21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23"/>
        <v>0</v>
      </c>
      <c r="AF803" s="10"/>
      <c r="AG803" s="10"/>
      <c r="AH803" s="10"/>
      <c r="AI803" s="12">
        <f t="shared" si="217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214"/>
        <v>0</v>
      </c>
      <c r="H804" s="10"/>
      <c r="I804" s="10"/>
      <c r="J804" s="12"/>
      <c r="K804" s="12">
        <f t="shared" si="215"/>
        <v>0</v>
      </c>
      <c r="M804" s="10">
        <v>23</v>
      </c>
      <c r="N804" s="30"/>
      <c r="O804" s="82"/>
      <c r="P804" s="47"/>
      <c r="S804" s="32"/>
      <c r="T804" s="10"/>
      <c r="U804" s="10"/>
      <c r="V804" s="10"/>
      <c r="W804" s="12">
        <f t="shared" si="219"/>
        <v>0</v>
      </c>
      <c r="Y804" s="10">
        <v>23</v>
      </c>
      <c r="Z804" s="30"/>
      <c r="AA804" s="31"/>
      <c r="AB804" s="47"/>
      <c r="AE804" s="32">
        <f t="shared" si="223"/>
        <v>0</v>
      </c>
      <c r="AF804" s="10"/>
      <c r="AG804" s="10"/>
      <c r="AH804" s="10"/>
      <c r="AI804" s="12">
        <f t="shared" si="217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14"/>
        <v>0</v>
      </c>
      <c r="H805" s="10"/>
      <c r="I805" s="10"/>
      <c r="J805" s="10"/>
      <c r="K805" s="12">
        <f t="shared" si="215"/>
        <v>0</v>
      </c>
      <c r="M805" s="10">
        <v>24</v>
      </c>
      <c r="N805" s="30"/>
      <c r="O805" s="82"/>
      <c r="P805" s="47"/>
      <c r="Q805" s="31"/>
      <c r="R805" s="31"/>
      <c r="S805" s="32"/>
      <c r="T805" s="10"/>
      <c r="U805" s="10"/>
      <c r="V805" s="10"/>
      <c r="W805" s="12">
        <f t="shared" si="21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23"/>
        <v>0</v>
      </c>
      <c r="AF805" s="10"/>
      <c r="AG805" s="10"/>
      <c r="AH805" s="10"/>
      <c r="AI805" s="12">
        <f t="shared" si="217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11"/>
      <c r="D806" s="32"/>
      <c r="E806" s="32"/>
      <c r="F806" s="32"/>
      <c r="G806" s="32">
        <f t="shared" si="214"/>
        <v>0</v>
      </c>
      <c r="H806" s="10"/>
      <c r="I806" s="10"/>
      <c r="J806" s="10"/>
      <c r="K806" s="12">
        <f t="shared" si="215"/>
        <v>0</v>
      </c>
      <c r="M806" s="10">
        <v>25</v>
      </c>
      <c r="N806" s="30"/>
      <c r="O806" s="82"/>
      <c r="P806" s="47"/>
      <c r="Q806" s="31"/>
      <c r="R806" s="31"/>
      <c r="S806" s="32"/>
      <c r="T806" s="10"/>
      <c r="U806" s="10"/>
      <c r="V806" s="10"/>
      <c r="W806" s="12">
        <f t="shared" si="21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23"/>
        <v>0</v>
      </c>
      <c r="AF806" s="10"/>
      <c r="AG806" s="10"/>
      <c r="AH806" s="10"/>
      <c r="AI806" s="12">
        <f t="shared" si="217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2"/>
      <c r="D807" s="32"/>
      <c r="E807" s="32"/>
      <c r="F807" s="32"/>
      <c r="G807" s="32">
        <f t="shared" si="214"/>
        <v>0</v>
      </c>
      <c r="H807" s="10"/>
      <c r="I807" s="10"/>
      <c r="J807" s="10"/>
      <c r="K807" s="12">
        <f t="shared" si="215"/>
        <v>0</v>
      </c>
      <c r="M807" s="10">
        <v>26</v>
      </c>
      <c r="N807" s="30"/>
      <c r="O807" s="82"/>
      <c r="P807" s="47"/>
      <c r="Q807" s="31"/>
      <c r="R807" s="31"/>
      <c r="S807" s="32"/>
      <c r="T807" s="10"/>
      <c r="U807" s="10"/>
      <c r="V807" s="10"/>
      <c r="W807" s="12">
        <f t="shared" si="21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23"/>
        <v>0</v>
      </c>
      <c r="AF807" s="10"/>
      <c r="AG807" s="10"/>
      <c r="AH807" s="10"/>
      <c r="AI807" s="12">
        <f t="shared" si="217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2"/>
      <c r="D808" s="32"/>
      <c r="E808" s="32"/>
      <c r="F808" s="32"/>
      <c r="G808" s="32">
        <f t="shared" si="214"/>
        <v>0</v>
      </c>
      <c r="H808" s="10"/>
      <c r="I808" s="10"/>
      <c r="J808" s="10"/>
      <c r="K808" s="12">
        <f t="shared" si="215"/>
        <v>0</v>
      </c>
      <c r="M808" s="10">
        <v>27</v>
      </c>
      <c r="N808" s="30"/>
      <c r="O808" s="82"/>
      <c r="P808" s="47"/>
      <c r="Q808" s="31"/>
      <c r="R808" s="31"/>
      <c r="S808" s="32"/>
      <c r="T808" s="10"/>
      <c r="U808" s="10"/>
      <c r="V808" s="10"/>
      <c r="W808" s="12">
        <f t="shared" si="21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23"/>
        <v>0</v>
      </c>
      <c r="AF808" s="10"/>
      <c r="AG808" s="10"/>
      <c r="AH808" s="10"/>
      <c r="AI808" s="12">
        <f t="shared" si="217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2"/>
      <c r="D809" s="32"/>
      <c r="E809" s="32"/>
      <c r="F809" s="32"/>
      <c r="G809" s="32">
        <f t="shared" si="214"/>
        <v>0</v>
      </c>
      <c r="H809" s="10"/>
      <c r="I809" s="10"/>
      <c r="J809" s="10"/>
      <c r="K809" s="12">
        <f t="shared" si="215"/>
        <v>0</v>
      </c>
      <c r="M809" s="10">
        <v>28</v>
      </c>
      <c r="N809" s="30"/>
      <c r="O809" s="82"/>
      <c r="P809" s="47"/>
      <c r="Q809" s="31"/>
      <c r="R809" s="31"/>
      <c r="S809" s="32"/>
      <c r="T809" s="10"/>
      <c r="U809" s="10"/>
      <c r="V809" s="10"/>
      <c r="W809" s="12">
        <f t="shared" si="21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23"/>
        <v>0</v>
      </c>
      <c r="AF809" s="10"/>
      <c r="AG809" s="10"/>
      <c r="AH809" s="10"/>
      <c r="AI809" s="12">
        <f t="shared" si="217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2"/>
      <c r="D810" s="32"/>
      <c r="E810" s="32"/>
      <c r="F810" s="32"/>
      <c r="G810" s="32">
        <f t="shared" si="214"/>
        <v>0</v>
      </c>
      <c r="H810" s="10"/>
      <c r="I810" s="10"/>
      <c r="J810" s="10"/>
      <c r="K810" s="12">
        <f t="shared" si="215"/>
        <v>0</v>
      </c>
      <c r="M810" s="10">
        <v>29</v>
      </c>
      <c r="N810" s="30"/>
      <c r="O810" s="82"/>
      <c r="P810" s="47"/>
      <c r="Q810" s="31"/>
      <c r="R810" s="31"/>
      <c r="S810" s="32"/>
      <c r="T810" s="10"/>
      <c r="U810" s="10"/>
      <c r="V810" s="10"/>
      <c r="W810" s="12">
        <f t="shared" si="21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23"/>
        <v>0</v>
      </c>
      <c r="AF810" s="10"/>
      <c r="AG810" s="10"/>
      <c r="AH810" s="10"/>
      <c r="AI810" s="12">
        <f t="shared" si="217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2"/>
      <c r="D811" s="32"/>
      <c r="E811" s="32"/>
      <c r="F811" s="32"/>
      <c r="G811" s="32">
        <f t="shared" si="214"/>
        <v>0</v>
      </c>
      <c r="H811" s="10"/>
      <c r="I811" s="10"/>
      <c r="J811" s="10"/>
      <c r="K811" s="12">
        <f t="shared" si="215"/>
        <v>0</v>
      </c>
      <c r="M811" s="10">
        <v>30</v>
      </c>
      <c r="N811" s="30"/>
      <c r="O811" s="82"/>
      <c r="P811" s="47"/>
      <c r="Q811" s="31"/>
      <c r="R811" s="31"/>
      <c r="S811" s="32"/>
      <c r="T811" s="10"/>
      <c r="U811" s="10"/>
      <c r="V811" s="10"/>
      <c r="W811" s="12">
        <f t="shared" si="21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23"/>
        <v>0</v>
      </c>
      <c r="AF811" s="10"/>
      <c r="AG811" s="10"/>
      <c r="AH811" s="10"/>
      <c r="AI811" s="12">
        <f t="shared" si="217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2"/>
      <c r="D812" s="32"/>
      <c r="E812" s="32"/>
      <c r="F812" s="32"/>
      <c r="G812" s="32">
        <f t="shared" si="214"/>
        <v>0</v>
      </c>
      <c r="H812" s="10"/>
      <c r="I812" s="10"/>
      <c r="J812" s="10"/>
      <c r="K812" s="12">
        <f t="shared" si="215"/>
        <v>0</v>
      </c>
      <c r="M812" s="10">
        <v>31</v>
      </c>
      <c r="N812" s="30"/>
      <c r="O812" s="11"/>
      <c r="P812" s="47"/>
      <c r="Q812" s="31"/>
      <c r="R812" s="31"/>
      <c r="S812" s="32">
        <f t="shared" si="218"/>
        <v>0</v>
      </c>
      <c r="T812" s="10"/>
      <c r="U812" s="10"/>
      <c r="V812" s="10"/>
      <c r="W812" s="12">
        <f t="shared" si="21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23"/>
        <v>0</v>
      </c>
      <c r="AF812" s="10"/>
      <c r="AG812" s="10"/>
      <c r="AH812" s="10"/>
      <c r="AI812" s="12">
        <f t="shared" si="217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2"/>
      <c r="D813" s="32"/>
      <c r="E813" s="32"/>
      <c r="F813" s="32"/>
      <c r="G813" s="32">
        <f t="shared" si="214"/>
        <v>0</v>
      </c>
      <c r="H813" s="10"/>
      <c r="I813" s="10"/>
      <c r="J813" s="10"/>
      <c r="K813" s="12">
        <f t="shared" si="215"/>
        <v>0</v>
      </c>
      <c r="M813" s="10">
        <v>32</v>
      </c>
      <c r="N813" s="30"/>
      <c r="O813" s="31"/>
      <c r="P813" s="47"/>
      <c r="Q813" s="31"/>
      <c r="R813" s="31"/>
      <c r="S813" s="32">
        <f t="shared" si="218"/>
        <v>0</v>
      </c>
      <c r="T813" s="10"/>
      <c r="U813" s="10"/>
      <c r="V813" s="10"/>
      <c r="W813" s="12">
        <f t="shared" si="21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23"/>
        <v>0</v>
      </c>
      <c r="AF813" s="10"/>
      <c r="AG813" s="10"/>
      <c r="AH813" s="10"/>
      <c r="AI813" s="12">
        <f t="shared" si="217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2"/>
      <c r="D814" s="32"/>
      <c r="E814" s="32"/>
      <c r="F814" s="32"/>
      <c r="G814" s="32">
        <f t="shared" si="214"/>
        <v>0</v>
      </c>
      <c r="H814" s="10"/>
      <c r="I814" s="10"/>
      <c r="J814" s="10"/>
      <c r="K814" s="12">
        <f t="shared" si="215"/>
        <v>0</v>
      </c>
      <c r="M814" s="10">
        <v>33</v>
      </c>
      <c r="N814" s="30"/>
      <c r="O814" s="31"/>
      <c r="P814" s="47"/>
      <c r="Q814" s="31"/>
      <c r="R814" s="31"/>
      <c r="S814" s="32">
        <f t="shared" si="218"/>
        <v>0</v>
      </c>
      <c r="T814" s="10"/>
      <c r="U814" s="10"/>
      <c r="V814" s="10"/>
      <c r="W814" s="12">
        <f t="shared" si="21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23"/>
        <v>0</v>
      </c>
      <c r="AF814" s="10"/>
      <c r="AG814" s="10"/>
      <c r="AH814" s="10"/>
      <c r="AI814" s="12">
        <f t="shared" si="217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2"/>
      <c r="D815" s="32"/>
      <c r="E815" s="32"/>
      <c r="F815" s="32"/>
      <c r="G815" s="32">
        <f t="shared" si="214"/>
        <v>0</v>
      </c>
      <c r="H815" s="10"/>
      <c r="I815" s="10"/>
      <c r="J815" s="10"/>
      <c r="K815" s="12">
        <f t="shared" si="215"/>
        <v>0</v>
      </c>
      <c r="M815" s="10">
        <v>34</v>
      </c>
      <c r="N815" s="30"/>
      <c r="O815" s="31"/>
      <c r="P815" s="47"/>
      <c r="Q815" s="31"/>
      <c r="R815" s="31"/>
      <c r="S815" s="32">
        <f t="shared" si="218"/>
        <v>0</v>
      </c>
      <c r="T815" s="10"/>
      <c r="U815" s="10"/>
      <c r="V815" s="10"/>
      <c r="W815" s="12">
        <f t="shared" si="21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23"/>
        <v>0</v>
      </c>
      <c r="AF815" s="10"/>
      <c r="AG815" s="10"/>
      <c r="AH815" s="10"/>
      <c r="AI815" s="12">
        <f t="shared" si="217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2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18"/>
        <v>0</v>
      </c>
      <c r="T816" s="10"/>
      <c r="U816" s="10"/>
      <c r="V816" s="10"/>
      <c r="W816" s="12">
        <f t="shared" si="21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23"/>
        <v>0</v>
      </c>
      <c r="AF816" s="10"/>
      <c r="AG816" s="10"/>
      <c r="AH816" s="10"/>
      <c r="AI816" s="12">
        <f t="shared" si="217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2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8"/>
        <v>0</v>
      </c>
      <c r="T817" s="10"/>
      <c r="U817" s="10"/>
      <c r="V817" s="10"/>
      <c r="W817" s="12">
        <f t="shared" si="21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23"/>
        <v>0</v>
      </c>
      <c r="AF817" s="10"/>
      <c r="AG817" s="10"/>
      <c r="AH817" s="10"/>
      <c r="AI817" s="12">
        <f t="shared" si="217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18"/>
        <v>0</v>
      </c>
      <c r="T818" s="10"/>
      <c r="U818" s="10"/>
      <c r="V818" s="10"/>
      <c r="W818" s="12">
        <f t="shared" si="21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23"/>
        <v>0</v>
      </c>
      <c r="AF818" s="10"/>
      <c r="AG818" s="10"/>
      <c r="AH818" s="10"/>
      <c r="AI818" s="12">
        <f t="shared" si="217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8"/>
        <v>0</v>
      </c>
      <c r="T819" s="10"/>
      <c r="U819" s="10"/>
      <c r="V819" s="10"/>
      <c r="W819" s="12">
        <f t="shared" si="21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23"/>
        <v>0</v>
      </c>
      <c r="AF819" s="10"/>
      <c r="AG819" s="10"/>
      <c r="AH819" s="10"/>
      <c r="AI819" s="12">
        <f t="shared" si="217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8"/>
        <v>0</v>
      </c>
      <c r="T820" s="10"/>
      <c r="U820" s="10"/>
      <c r="V820" s="10"/>
      <c r="W820" s="12">
        <f t="shared" si="21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23"/>
        <v>0</v>
      </c>
      <c r="AF820" s="10"/>
      <c r="AG820" s="10"/>
      <c r="AH820" s="10"/>
      <c r="AI820" s="12">
        <f t="shared" si="217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7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4">SUM(D822:E822)</f>
        <v>0</v>
      </c>
      <c r="H822" s="10"/>
      <c r="I822" s="10"/>
      <c r="J822" s="10"/>
      <c r="K822" s="12">
        <f t="shared" ref="K822" si="225">SUM(G822:J822)</f>
        <v>0</v>
      </c>
      <c r="M822" s="10"/>
      <c r="N822" s="30"/>
      <c r="O822" s="31"/>
      <c r="P822" s="47"/>
      <c r="Q822" s="31"/>
      <c r="R822" s="31"/>
      <c r="S822" s="32">
        <f t="shared" ref="S822" si="226">SUM(P822:Q822)</f>
        <v>0</v>
      </c>
      <c r="T822" s="10"/>
      <c r="U822" s="10"/>
      <c r="V822" s="10"/>
      <c r="W822" s="12">
        <f t="shared" si="219"/>
        <v>0</v>
      </c>
      <c r="Y822" s="10"/>
      <c r="Z822" s="30"/>
      <c r="AA822" s="31"/>
      <c r="AB822" s="47"/>
      <c r="AC822" s="31"/>
      <c r="AD822" s="31"/>
      <c r="AE822" s="32">
        <f t="shared" ref="AE822" si="227">SUM(AB822:AC822)</f>
        <v>0</v>
      </c>
      <c r="AF822" s="10"/>
      <c r="AG822" s="10"/>
      <c r="AH822" s="10"/>
      <c r="AI822" s="12">
        <f t="shared" si="217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7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205575</v>
      </c>
      <c r="E825" s="38">
        <f t="shared" ref="E825:F825" si="228">SUM(E782:E822)</f>
        <v>0</v>
      </c>
      <c r="F825" s="38">
        <f t="shared" si="228"/>
        <v>0</v>
      </c>
      <c r="G825" s="38">
        <f>SUM(G782:G824)</f>
        <v>205575</v>
      </c>
      <c r="H825" s="4"/>
      <c r="I825" s="39">
        <f>SUM(I782:I824)</f>
        <v>40.5</v>
      </c>
      <c r="J825" s="39">
        <f>SUM(J782:J824)</f>
        <v>0</v>
      </c>
      <c r="K825" s="40">
        <f>SUM(K782:K824)</f>
        <v>205615.5</v>
      </c>
      <c r="N825" s="57"/>
      <c r="O825" s="57"/>
      <c r="P825" s="38">
        <f>SUM(P782:P824)</f>
        <v>130612.5</v>
      </c>
      <c r="Q825" s="38">
        <f>SUM(Q782:Q806)</f>
        <v>-252</v>
      </c>
      <c r="R825" s="38">
        <f>SUM(R782:R806)</f>
        <v>0</v>
      </c>
      <c r="S825" s="38">
        <f>SUM(S782:S824)</f>
        <v>130360.5</v>
      </c>
      <c r="T825" s="4"/>
      <c r="U825" s="41">
        <f>SUM(U782:U824)</f>
        <v>738</v>
      </c>
      <c r="V825" s="41">
        <f>SUM(V782:V806)</f>
        <v>-7101</v>
      </c>
      <c r="W825" s="42">
        <f>SUM(W782:W824)</f>
        <v>123997.5</v>
      </c>
      <c r="Z825" s="57"/>
      <c r="AA825" s="57"/>
      <c r="AB825" s="38">
        <f>SUM(AB782:AB824)</f>
        <v>293167.5</v>
      </c>
      <c r="AC825" s="38">
        <f>SUM(AC782:AC806)</f>
        <v>-1104</v>
      </c>
      <c r="AD825" s="38">
        <f>SUM(AD782:AD806)</f>
        <v>0</v>
      </c>
      <c r="AE825" s="38">
        <f>SUM(AE782:AE824)</f>
        <v>292063.5</v>
      </c>
      <c r="AF825" s="4"/>
      <c r="AG825" s="41">
        <f>SUM(AG782:AG824)</f>
        <v>267</v>
      </c>
      <c r="AH825" s="41">
        <f>SUM(AH782:AH806)</f>
        <v>-29641.5</v>
      </c>
      <c r="AI825" s="42">
        <f>SUM(AI782:AI824)</f>
        <v>262689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37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37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37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86</v>
      </c>
      <c r="B833" s="20"/>
      <c r="C833" s="57"/>
      <c r="D833" s="57"/>
      <c r="E833" s="57"/>
      <c r="G833" s="57"/>
      <c r="I833" s="22" t="s">
        <v>16</v>
      </c>
      <c r="J833" s="23" t="s">
        <v>36</v>
      </c>
      <c r="K833" s="24"/>
      <c r="M833" s="21" t="s">
        <v>86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86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81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7" t="s">
        <v>17</v>
      </c>
      <c r="E835" s="127"/>
      <c r="F835" s="109"/>
      <c r="G835" s="27"/>
      <c r="I835" s="121" t="s">
        <v>18</v>
      </c>
      <c r="J835" s="122"/>
      <c r="K835" s="123" t="s">
        <v>19</v>
      </c>
      <c r="N835" s="25"/>
      <c r="O835" s="26"/>
      <c r="P835" s="127" t="s">
        <v>17</v>
      </c>
      <c r="Q835" s="127"/>
      <c r="R835" s="109"/>
      <c r="S835" s="27"/>
      <c r="U835" s="121" t="s">
        <v>18</v>
      </c>
      <c r="V835" s="122"/>
      <c r="W835" s="123" t="s">
        <v>19</v>
      </c>
      <c r="Z835" s="25"/>
      <c r="AA835" s="26"/>
      <c r="AB835" s="127" t="s">
        <v>17</v>
      </c>
      <c r="AC835" s="127"/>
      <c r="AD835" s="109"/>
      <c r="AE835" s="27"/>
      <c r="AG835" s="121" t="s">
        <v>18</v>
      </c>
      <c r="AH835" s="122"/>
      <c r="AI835" s="123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24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24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24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87</v>
      </c>
      <c r="C837" s="82">
        <v>11447</v>
      </c>
      <c r="D837" s="32">
        <f>650*10+670*2</f>
        <v>7840</v>
      </c>
      <c r="E837" s="32"/>
      <c r="F837" s="32"/>
      <c r="G837" s="32">
        <f t="shared" ref="G837:G870" si="229">SUM(D837:E837)</f>
        <v>7840</v>
      </c>
      <c r="H837" s="12"/>
      <c r="I837" s="12"/>
      <c r="J837" s="12"/>
      <c r="K837" s="12">
        <f t="shared" ref="K837:K870" si="230">SUM(G837:J837)</f>
        <v>7840</v>
      </c>
      <c r="M837" s="10">
        <v>1</v>
      </c>
      <c r="N837" s="30" t="s">
        <v>87</v>
      </c>
      <c r="O837" s="82">
        <v>11515</v>
      </c>
      <c r="P837" s="32">
        <f>650*6+9.5*6</f>
        <v>3957</v>
      </c>
      <c r="Q837" s="32"/>
      <c r="R837" s="32"/>
      <c r="S837" s="32">
        <f>SUM(P837:Q837)</f>
        <v>3957</v>
      </c>
      <c r="T837" s="12"/>
      <c r="U837" s="12"/>
      <c r="V837" s="12">
        <f>-111*3</f>
        <v>-333</v>
      </c>
      <c r="W837" s="12">
        <f>SUM(S837:V837)</f>
        <v>3624</v>
      </c>
      <c r="Y837" s="10">
        <v>1</v>
      </c>
      <c r="Z837" s="30" t="s">
        <v>87</v>
      </c>
      <c r="AA837" s="31">
        <v>11341</v>
      </c>
      <c r="AB837" s="32">
        <f>650*250+670*40+973*2+622*100+1175+1050*5+1102*3+650*5+650*10</f>
        <v>272927</v>
      </c>
      <c r="AC837" s="32"/>
      <c r="AD837" s="32"/>
      <c r="AE837" s="32">
        <f t="shared" ref="AE837:AE842" si="231">SUM(AB837:AC837)</f>
        <v>272927</v>
      </c>
      <c r="AF837" s="12"/>
      <c r="AG837" s="12"/>
      <c r="AH837" s="12">
        <f>-84*5</f>
        <v>-420</v>
      </c>
      <c r="AI837" s="12">
        <f t="shared" ref="AI837:AI878" si="232">SUM(AE837:AH837)</f>
        <v>272507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87</v>
      </c>
      <c r="C838" s="31">
        <f>C837+1</f>
        <v>11448</v>
      </c>
      <c r="D838" s="32">
        <f>650*16</f>
        <v>10400</v>
      </c>
      <c r="E838" s="32"/>
      <c r="F838" s="32"/>
      <c r="G838" s="32">
        <f t="shared" si="229"/>
        <v>10400</v>
      </c>
      <c r="H838" s="12"/>
      <c r="I838" s="12"/>
      <c r="J838" s="12"/>
      <c r="K838" s="12">
        <f t="shared" si="230"/>
        <v>10400</v>
      </c>
      <c r="M838" s="10">
        <v>2</v>
      </c>
      <c r="N838" s="30" t="s">
        <v>87</v>
      </c>
      <c r="O838" s="82">
        <f>O837+1</f>
        <v>11516</v>
      </c>
      <c r="P838" s="32">
        <f>650*216+670*10+622*50+872*2+229*10+650*3</f>
        <v>184184</v>
      </c>
      <c r="Q838" s="32">
        <f>-278*6</f>
        <v>-1668</v>
      </c>
      <c r="R838" s="32"/>
      <c r="S838" s="32">
        <f t="shared" ref="S838:S853" si="233">SUM(P838:Q838)</f>
        <v>182516</v>
      </c>
      <c r="T838" s="12"/>
      <c r="U838" s="12">
        <f>78*9</f>
        <v>702</v>
      </c>
      <c r="V838" s="12">
        <f>-42*15</f>
        <v>-630</v>
      </c>
      <c r="W838" s="12">
        <f t="shared" ref="W838:W878" si="234">SUM(S838:V838)</f>
        <v>182588</v>
      </c>
      <c r="Y838" s="10">
        <v>2</v>
      </c>
      <c r="Z838" s="30" t="s">
        <v>87</v>
      </c>
      <c r="AA838" s="31">
        <f>AA837+1</f>
        <v>11342</v>
      </c>
      <c r="AB838" s="12">
        <f>700*15+912*10+872*8+1582+500*25</f>
        <v>40678</v>
      </c>
      <c r="AC838" s="10"/>
      <c r="AD838" s="10"/>
      <c r="AE838" s="32">
        <f t="shared" si="231"/>
        <v>40678</v>
      </c>
      <c r="AG838" s="10">
        <f>111*405+120*50</f>
        <v>50955</v>
      </c>
      <c r="AH838" s="10">
        <f>-33*111+-84*317</f>
        <v>-30291</v>
      </c>
      <c r="AI838" s="12">
        <f t="shared" si="232"/>
        <v>61342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87</v>
      </c>
      <c r="C839" s="31">
        <f t="shared" ref="C839:C853" si="235">C838+1</f>
        <v>11449</v>
      </c>
      <c r="D839" s="33">
        <f>650*18+670</f>
        <v>12370</v>
      </c>
      <c r="E839" s="33"/>
      <c r="F839" s="33"/>
      <c r="G839" s="33">
        <f t="shared" si="229"/>
        <v>12370</v>
      </c>
      <c r="H839" s="34"/>
      <c r="I839" s="34">
        <f>4.5*12</f>
        <v>54</v>
      </c>
      <c r="J839" s="34"/>
      <c r="K839" s="34">
        <f t="shared" si="230"/>
        <v>12424</v>
      </c>
      <c r="M839" s="10">
        <v>3</v>
      </c>
      <c r="N839" s="30" t="s">
        <v>87</v>
      </c>
      <c r="O839" s="82">
        <f t="shared" ref="O839:O841" si="236">O838+1</f>
        <v>11517</v>
      </c>
      <c r="P839" s="33">
        <f>650*2+670*2+9.5*2</f>
        <v>2659</v>
      </c>
      <c r="Q839" s="33"/>
      <c r="R839" s="32"/>
      <c r="S839" s="32">
        <f t="shared" si="233"/>
        <v>2659</v>
      </c>
      <c r="T839" s="12"/>
      <c r="U839" s="34"/>
      <c r="V839" s="34">
        <v>-84</v>
      </c>
      <c r="W839" s="12">
        <f t="shared" si="234"/>
        <v>2575</v>
      </c>
      <c r="Y839" s="10">
        <v>3</v>
      </c>
      <c r="Z839" s="30" t="s">
        <v>87</v>
      </c>
      <c r="AA839" s="31">
        <f t="shared" ref="AA839" si="237">AA838+1</f>
        <v>11343</v>
      </c>
      <c r="AB839" s="32">
        <f>650*56+872</f>
        <v>37272</v>
      </c>
      <c r="AC839" s="32"/>
      <c r="AD839" s="32"/>
      <c r="AE839" s="32">
        <f t="shared" si="231"/>
        <v>37272</v>
      </c>
      <c r="AF839" s="12"/>
      <c r="AG839" s="12">
        <f>4.5*18</f>
        <v>81</v>
      </c>
      <c r="AH839" s="12"/>
      <c r="AI839" s="12">
        <f t="shared" si="232"/>
        <v>37353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87</v>
      </c>
      <c r="C840" s="31">
        <f t="shared" si="235"/>
        <v>11450</v>
      </c>
      <c r="D840" s="32">
        <f>650*2</f>
        <v>1300</v>
      </c>
      <c r="E840" s="32"/>
      <c r="F840" s="32"/>
      <c r="G840" s="32">
        <f t="shared" si="229"/>
        <v>1300</v>
      </c>
      <c r="H840" s="12"/>
      <c r="I840" s="12"/>
      <c r="J840" s="12"/>
      <c r="K840" s="12">
        <f t="shared" si="230"/>
        <v>1300</v>
      </c>
      <c r="M840" s="10">
        <v>4</v>
      </c>
      <c r="N840" s="30" t="s">
        <v>87</v>
      </c>
      <c r="O840" s="82">
        <f t="shared" si="236"/>
        <v>11518</v>
      </c>
      <c r="P840" s="32">
        <f>650*7</f>
        <v>4550</v>
      </c>
      <c r="Q840" s="32"/>
      <c r="R840" s="32"/>
      <c r="S840" s="32">
        <f t="shared" si="233"/>
        <v>4550</v>
      </c>
      <c r="T840" s="12"/>
      <c r="U840" s="12"/>
      <c r="V840" s="12"/>
      <c r="W840" s="12">
        <f t="shared" si="234"/>
        <v>4550</v>
      </c>
      <c r="Y840" s="10">
        <v>4</v>
      </c>
      <c r="Z840" s="30"/>
      <c r="AA840" s="11" t="s">
        <v>27</v>
      </c>
      <c r="AB840" s="33"/>
      <c r="AC840" s="33"/>
      <c r="AD840" s="32"/>
      <c r="AE840" s="32">
        <f t="shared" si="231"/>
        <v>0</v>
      </c>
      <c r="AF840" s="12"/>
      <c r="AG840" s="12"/>
      <c r="AH840" s="12"/>
      <c r="AI840" s="12">
        <f t="shared" si="232"/>
        <v>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87</v>
      </c>
      <c r="C841" s="31">
        <v>11466</v>
      </c>
      <c r="D841" s="32">
        <f>650*2+622*2+9.5*4</f>
        <v>2582</v>
      </c>
      <c r="E841" s="32"/>
      <c r="F841" s="32"/>
      <c r="G841" s="32">
        <f t="shared" si="229"/>
        <v>2582</v>
      </c>
      <c r="H841" s="12"/>
      <c r="I841" s="12"/>
      <c r="J841" s="12"/>
      <c r="K841" s="12">
        <f t="shared" si="230"/>
        <v>2582</v>
      </c>
      <c r="M841" s="10">
        <v>5</v>
      </c>
      <c r="N841" s="30" t="s">
        <v>87</v>
      </c>
      <c r="O841" s="82">
        <f t="shared" si="236"/>
        <v>11519</v>
      </c>
      <c r="P841" s="32">
        <f>650*2</f>
        <v>1300</v>
      </c>
      <c r="Q841" s="32"/>
      <c r="R841" s="32"/>
      <c r="S841" s="32">
        <f t="shared" si="233"/>
        <v>1300</v>
      </c>
      <c r="T841" s="12"/>
      <c r="U841" s="12"/>
      <c r="V841" s="12"/>
      <c r="W841" s="12">
        <f t="shared" si="234"/>
        <v>1300</v>
      </c>
      <c r="Y841" s="10">
        <v>5</v>
      </c>
      <c r="Z841" s="30"/>
      <c r="AA841" s="31"/>
      <c r="AB841" s="32"/>
      <c r="AC841" s="32"/>
      <c r="AD841" s="32"/>
      <c r="AE841" s="32">
        <f t="shared" si="231"/>
        <v>0</v>
      </c>
      <c r="AF841" s="12"/>
      <c r="AH841" s="12"/>
      <c r="AI841" s="12">
        <f t="shared" si="232"/>
        <v>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87</v>
      </c>
      <c r="C842" s="31">
        <f t="shared" si="235"/>
        <v>11467</v>
      </c>
      <c r="D842" s="32">
        <f>650*15+622*5+9.5*20</f>
        <v>13050</v>
      </c>
      <c r="E842" s="32"/>
      <c r="F842" s="32"/>
      <c r="G842" s="32">
        <f t="shared" si="229"/>
        <v>13050</v>
      </c>
      <c r="H842" s="12"/>
      <c r="I842" s="12">
        <f>84*2</f>
        <v>168</v>
      </c>
      <c r="J842" s="12"/>
      <c r="K842" s="12">
        <f t="shared" si="230"/>
        <v>13218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33"/>
        <v>0</v>
      </c>
      <c r="T842" s="12"/>
      <c r="U842" s="12"/>
      <c r="V842" s="10"/>
      <c r="W842" s="12">
        <f t="shared" si="234"/>
        <v>0</v>
      </c>
      <c r="Y842" s="10">
        <v>6</v>
      </c>
      <c r="Z842" s="30"/>
      <c r="AA842" s="31"/>
      <c r="AB842" s="32"/>
      <c r="AC842" s="32"/>
      <c r="AD842" s="32"/>
      <c r="AE842" s="32">
        <f t="shared" si="231"/>
        <v>0</v>
      </c>
      <c r="AF842" s="12"/>
      <c r="AG842" s="12"/>
      <c r="AH842" s="12"/>
      <c r="AI842" s="12">
        <f t="shared" si="232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87</v>
      </c>
      <c r="C843" s="31">
        <f t="shared" si="235"/>
        <v>11468</v>
      </c>
      <c r="D843" s="32">
        <f>650*45+670+622*8</f>
        <v>34896</v>
      </c>
      <c r="E843" s="32"/>
      <c r="F843" s="32"/>
      <c r="G843" s="32">
        <f t="shared" si="229"/>
        <v>34896</v>
      </c>
      <c r="H843" s="12"/>
      <c r="I843" s="12"/>
      <c r="J843" s="12"/>
      <c r="K843" s="12">
        <f t="shared" si="230"/>
        <v>34896</v>
      </c>
      <c r="M843" s="10">
        <v>7</v>
      </c>
      <c r="N843" s="30"/>
      <c r="O843" s="82"/>
      <c r="P843" s="32"/>
      <c r="Q843" s="32"/>
      <c r="R843" s="32"/>
      <c r="S843" s="32">
        <f t="shared" si="233"/>
        <v>0</v>
      </c>
      <c r="T843" s="12"/>
      <c r="U843" s="12"/>
      <c r="V843" s="12"/>
      <c r="W843" s="12">
        <f t="shared" si="234"/>
        <v>0</v>
      </c>
      <c r="Y843" s="10">
        <v>7</v>
      </c>
      <c r="Z843" s="30"/>
      <c r="AA843" s="31"/>
      <c r="AB843" s="32"/>
      <c r="AC843" s="32"/>
      <c r="AD843" s="32"/>
      <c r="AE843" s="32">
        <f t="shared" ref="AE843:AE875" si="238">SUM(AB843:AC843)</f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87</v>
      </c>
      <c r="C844" s="31">
        <f t="shared" si="235"/>
        <v>11469</v>
      </c>
      <c r="D844" s="32">
        <f>650*15+670+622*3+912</f>
        <v>13198</v>
      </c>
      <c r="E844" s="32"/>
      <c r="F844" s="32"/>
      <c r="G844" s="32">
        <f t="shared" si="229"/>
        <v>13198</v>
      </c>
      <c r="H844" s="12"/>
      <c r="I844" s="12"/>
      <c r="J844" s="12"/>
      <c r="K844" s="12">
        <f t="shared" si="230"/>
        <v>13198</v>
      </c>
      <c r="M844" s="10">
        <v>8</v>
      </c>
      <c r="N844" s="30"/>
      <c r="O844" s="82"/>
      <c r="P844" s="32"/>
      <c r="Q844" s="32"/>
      <c r="R844" s="32"/>
      <c r="S844" s="32">
        <f t="shared" si="233"/>
        <v>0</v>
      </c>
      <c r="T844" s="12"/>
      <c r="U844" s="12"/>
      <c r="V844" s="12"/>
      <c r="W844" s="12">
        <f t="shared" si="234"/>
        <v>0</v>
      </c>
      <c r="Y844" s="10">
        <v>8</v>
      </c>
      <c r="Z844" s="30"/>
      <c r="AA844" s="31"/>
      <c r="AB844" s="32"/>
      <c r="AC844" s="32"/>
      <c r="AE844" s="32">
        <f t="shared" si="238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87</v>
      </c>
      <c r="C845" s="31">
        <f t="shared" si="235"/>
        <v>11470</v>
      </c>
      <c r="D845" s="32">
        <f>650*5+622*4+872+650*2</f>
        <v>7910</v>
      </c>
      <c r="E845" s="32"/>
      <c r="F845" s="32"/>
      <c r="G845" s="32">
        <f t="shared" si="229"/>
        <v>7910</v>
      </c>
      <c r="H845" s="12"/>
      <c r="I845" s="12">
        <v>22.5</v>
      </c>
      <c r="J845" s="12"/>
      <c r="K845" s="12">
        <f t="shared" si="230"/>
        <v>7932.5</v>
      </c>
      <c r="M845" s="10">
        <v>9</v>
      </c>
      <c r="N845" s="30"/>
      <c r="O845" s="82"/>
      <c r="P845" s="32"/>
      <c r="Q845" s="32"/>
      <c r="R845" s="32"/>
      <c r="S845" s="32">
        <f t="shared" si="233"/>
        <v>0</v>
      </c>
      <c r="T845" s="12"/>
      <c r="U845" s="12"/>
      <c r="V845" s="12"/>
      <c r="W845" s="12">
        <f t="shared" si="234"/>
        <v>0</v>
      </c>
      <c r="Y845" s="10">
        <v>9</v>
      </c>
      <c r="Z845" s="30"/>
      <c r="AA845" s="31"/>
      <c r="AB845" s="105"/>
      <c r="AC845" s="32"/>
      <c r="AD845" s="32"/>
      <c r="AE845" s="32">
        <f t="shared" si="238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87</v>
      </c>
      <c r="C846" s="31">
        <f t="shared" si="235"/>
        <v>11471</v>
      </c>
      <c r="D846" s="32">
        <f>650*3</f>
        <v>1950</v>
      </c>
      <c r="E846" s="32"/>
      <c r="F846" s="32"/>
      <c r="G846" s="32">
        <f t="shared" si="229"/>
        <v>1950</v>
      </c>
      <c r="H846" s="12"/>
      <c r="I846" s="12"/>
      <c r="J846" s="12"/>
      <c r="K846" s="12">
        <f t="shared" si="230"/>
        <v>1950</v>
      </c>
      <c r="M846" s="10">
        <v>10</v>
      </c>
      <c r="N846" s="30"/>
      <c r="O846" s="82"/>
      <c r="P846" s="32"/>
      <c r="Q846" s="32"/>
      <c r="R846" s="32"/>
      <c r="S846" s="32">
        <f t="shared" si="233"/>
        <v>0</v>
      </c>
      <c r="T846" s="12"/>
      <c r="U846" s="12"/>
      <c r="V846" s="12"/>
      <c r="W846" s="12">
        <f t="shared" si="234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38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87</v>
      </c>
      <c r="C847" s="31">
        <f t="shared" si="235"/>
        <v>11472</v>
      </c>
      <c r="D847" s="32">
        <f>650*6+622*2</f>
        <v>5144</v>
      </c>
      <c r="E847" s="32"/>
      <c r="F847" s="32"/>
      <c r="G847" s="32">
        <f t="shared" si="229"/>
        <v>5144</v>
      </c>
      <c r="H847" s="12"/>
      <c r="I847" s="12">
        <f>17*4.5</f>
        <v>76.5</v>
      </c>
      <c r="J847" s="12"/>
      <c r="K847" s="12">
        <f t="shared" si="230"/>
        <v>5220.5</v>
      </c>
      <c r="M847" s="10">
        <v>11</v>
      </c>
      <c r="N847" s="30"/>
      <c r="O847" s="82"/>
      <c r="P847" s="32"/>
      <c r="Q847" s="32"/>
      <c r="R847" s="32"/>
      <c r="S847" s="32">
        <f t="shared" si="233"/>
        <v>0</v>
      </c>
      <c r="T847" s="12"/>
      <c r="U847" s="12"/>
      <c r="V847" s="12"/>
      <c r="W847" s="12">
        <f t="shared" si="234"/>
        <v>0</v>
      </c>
      <c r="Y847" s="10">
        <v>11</v>
      </c>
      <c r="Z847" s="30"/>
      <c r="AA847" s="11"/>
      <c r="AB847" s="32"/>
      <c r="AC847" s="32"/>
      <c r="AD847" s="32"/>
      <c r="AE847" s="32">
        <f t="shared" si="238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87</v>
      </c>
      <c r="C848" s="31">
        <f t="shared" si="235"/>
        <v>11473</v>
      </c>
      <c r="D848" s="32">
        <f>650*11+700+622*2+872+500</f>
        <v>10466</v>
      </c>
      <c r="E848" s="32"/>
      <c r="F848" s="32"/>
      <c r="G848" s="32">
        <f t="shared" si="229"/>
        <v>10466</v>
      </c>
      <c r="H848" s="12"/>
      <c r="I848" s="12"/>
      <c r="J848" s="10"/>
      <c r="K848" s="12">
        <f t="shared" si="230"/>
        <v>10466</v>
      </c>
      <c r="M848" s="10">
        <v>12</v>
      </c>
      <c r="N848" s="30"/>
      <c r="O848" s="82"/>
      <c r="P848" s="32"/>
      <c r="Q848" s="32"/>
      <c r="R848" s="32"/>
      <c r="S848" s="32">
        <f t="shared" si="233"/>
        <v>0</v>
      </c>
      <c r="T848" s="12"/>
      <c r="U848" s="12"/>
      <c r="V848" s="12"/>
      <c r="W848" s="12">
        <f t="shared" si="234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8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87</v>
      </c>
      <c r="C849" s="31">
        <f t="shared" si="235"/>
        <v>11474</v>
      </c>
      <c r="D849" s="32">
        <f>650*24+622*5+872+229</f>
        <v>19811</v>
      </c>
      <c r="E849" s="32"/>
      <c r="F849" s="32"/>
      <c r="G849" s="32">
        <f t="shared" si="229"/>
        <v>19811</v>
      </c>
      <c r="H849" s="12"/>
      <c r="I849" s="12"/>
      <c r="J849" s="12"/>
      <c r="K849" s="12">
        <f t="shared" si="230"/>
        <v>19811</v>
      </c>
      <c r="M849" s="10">
        <v>13</v>
      </c>
      <c r="N849" s="30"/>
      <c r="O849" s="82"/>
      <c r="P849" s="32"/>
      <c r="Q849" s="32"/>
      <c r="R849" s="32"/>
      <c r="S849" s="32">
        <f t="shared" si="233"/>
        <v>0</v>
      </c>
      <c r="T849" s="12"/>
      <c r="U849" s="12"/>
      <c r="V849" s="12"/>
      <c r="W849" s="12">
        <f t="shared" si="23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8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87</v>
      </c>
      <c r="C850" s="31">
        <f t="shared" si="235"/>
        <v>11475</v>
      </c>
      <c r="D850" s="32">
        <f>650*43</f>
        <v>27950</v>
      </c>
      <c r="E850" s="32"/>
      <c r="F850" s="32"/>
      <c r="G850" s="32">
        <f t="shared" si="229"/>
        <v>27950</v>
      </c>
      <c r="H850" s="12"/>
      <c r="I850" s="12"/>
      <c r="J850" s="12"/>
      <c r="K850" s="12">
        <f t="shared" si="230"/>
        <v>27950</v>
      </c>
      <c r="M850" s="10">
        <v>14</v>
      </c>
      <c r="N850" s="30"/>
      <c r="O850" s="82"/>
      <c r="P850" s="32"/>
      <c r="Q850" s="32"/>
      <c r="R850" s="32"/>
      <c r="S850" s="32">
        <f t="shared" si="233"/>
        <v>0</v>
      </c>
      <c r="T850" s="12"/>
      <c r="U850" s="12"/>
      <c r="V850" s="12"/>
      <c r="W850" s="12">
        <f t="shared" si="23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8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87</v>
      </c>
      <c r="C851" s="31">
        <f t="shared" si="235"/>
        <v>11476</v>
      </c>
      <c r="D851" s="32">
        <f>650*3+670</f>
        <v>2620</v>
      </c>
      <c r="E851" s="32"/>
      <c r="F851" s="32"/>
      <c r="G851" s="32">
        <f t="shared" si="229"/>
        <v>2620</v>
      </c>
      <c r="H851" s="12"/>
      <c r="I851" s="12"/>
      <c r="J851" s="12"/>
      <c r="K851" s="12">
        <f t="shared" si="230"/>
        <v>2620</v>
      </c>
      <c r="M851" s="10">
        <v>15</v>
      </c>
      <c r="N851" s="30"/>
      <c r="O851" s="82"/>
      <c r="P851" s="32"/>
      <c r="Q851" s="32"/>
      <c r="R851" s="32"/>
      <c r="S851" s="32">
        <f t="shared" si="233"/>
        <v>0</v>
      </c>
      <c r="T851" s="12"/>
      <c r="U851" s="12"/>
      <c r="V851" s="12"/>
      <c r="W851" s="12">
        <f t="shared" si="23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8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87</v>
      </c>
      <c r="C852" s="31">
        <f t="shared" si="235"/>
        <v>11477</v>
      </c>
      <c r="D852" s="32">
        <f>650*21</f>
        <v>13650</v>
      </c>
      <c r="E852" s="32"/>
      <c r="F852" s="32"/>
      <c r="G852" s="32">
        <f t="shared" si="229"/>
        <v>13650</v>
      </c>
      <c r="H852" s="12"/>
      <c r="I852" s="12"/>
      <c r="J852" s="12"/>
      <c r="K852" s="12">
        <f t="shared" si="230"/>
        <v>13650</v>
      </c>
      <c r="M852" s="10">
        <v>16</v>
      </c>
      <c r="N852" s="30"/>
      <c r="O852" s="82"/>
      <c r="P852" s="32"/>
      <c r="Q852" s="32"/>
      <c r="R852" s="32"/>
      <c r="S852" s="32">
        <f t="shared" si="233"/>
        <v>0</v>
      </c>
      <c r="T852" s="12"/>
      <c r="U852" s="12"/>
      <c r="V852" s="12"/>
      <c r="W852" s="12">
        <f t="shared" si="234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8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87</v>
      </c>
      <c r="C853" s="31">
        <f t="shared" si="235"/>
        <v>11478</v>
      </c>
      <c r="D853" s="32">
        <f>650*7</f>
        <v>4550</v>
      </c>
      <c r="E853" s="32"/>
      <c r="F853" s="32"/>
      <c r="G853" s="32">
        <f t="shared" si="229"/>
        <v>4550</v>
      </c>
      <c r="H853" s="12"/>
      <c r="I853" s="12"/>
      <c r="J853" s="12">
        <f>-111*3</f>
        <v>-333</v>
      </c>
      <c r="K853" s="12">
        <f t="shared" si="230"/>
        <v>4217</v>
      </c>
      <c r="M853" s="10">
        <v>17</v>
      </c>
      <c r="N853" s="30"/>
      <c r="O853" s="82"/>
      <c r="P853" s="35"/>
      <c r="Q853" s="32"/>
      <c r="R853" s="32"/>
      <c r="S853" s="32">
        <f t="shared" si="233"/>
        <v>0</v>
      </c>
      <c r="T853" s="12"/>
      <c r="U853" s="12"/>
      <c r="V853" s="12"/>
      <c r="W853" s="12">
        <f t="shared" si="23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8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11" t="s">
        <v>27</v>
      </c>
      <c r="D854" s="32"/>
      <c r="E854" s="32"/>
      <c r="F854" s="32"/>
      <c r="G854" s="32">
        <f t="shared" si="229"/>
        <v>0</v>
      </c>
      <c r="H854" s="12"/>
      <c r="I854" s="12"/>
      <c r="J854" s="12"/>
      <c r="K854" s="12">
        <f t="shared" si="230"/>
        <v>0</v>
      </c>
      <c r="M854" s="10">
        <v>18</v>
      </c>
      <c r="N854" s="30"/>
      <c r="P854" s="32"/>
      <c r="Q854" s="32"/>
      <c r="R854" s="32"/>
      <c r="S854" s="32"/>
      <c r="T854" s="12"/>
      <c r="U854" s="12"/>
      <c r="V854" s="12"/>
      <c r="W854" s="12">
        <f t="shared" si="23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38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29"/>
        <v>0</v>
      </c>
      <c r="H855" s="12"/>
      <c r="I855" s="12"/>
      <c r="J855" s="12"/>
      <c r="K855" s="12">
        <f t="shared" si="230"/>
        <v>0</v>
      </c>
      <c r="M855" s="10">
        <v>19</v>
      </c>
      <c r="N855" s="30"/>
      <c r="O855" s="82"/>
      <c r="P855" s="32"/>
      <c r="Q855" s="32"/>
      <c r="R855" s="32"/>
      <c r="S855" s="32"/>
      <c r="T855" s="12"/>
      <c r="U855" s="12"/>
      <c r="V855" s="12"/>
      <c r="W855" s="12">
        <f t="shared" si="23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8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29"/>
        <v>0</v>
      </c>
      <c r="H856" s="12"/>
      <c r="I856" s="12"/>
      <c r="J856" s="12"/>
      <c r="K856" s="12">
        <f t="shared" si="230"/>
        <v>0</v>
      </c>
      <c r="M856" s="10">
        <v>20</v>
      </c>
      <c r="N856" s="30"/>
      <c r="O856" s="82"/>
      <c r="P856" s="32"/>
      <c r="Q856" s="32"/>
      <c r="R856" s="32"/>
      <c r="S856" s="32"/>
      <c r="T856" s="12"/>
      <c r="U856" s="12"/>
      <c r="V856" s="12"/>
      <c r="W856" s="12">
        <f t="shared" si="234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8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29"/>
        <v>0</v>
      </c>
      <c r="H857" s="10"/>
      <c r="I857" s="10"/>
      <c r="J857" s="10"/>
      <c r="K857" s="12">
        <f t="shared" si="230"/>
        <v>0</v>
      </c>
      <c r="M857" s="10">
        <v>21</v>
      </c>
      <c r="N857" s="30"/>
      <c r="O857" s="82"/>
      <c r="P857" s="46"/>
      <c r="Q857" s="31"/>
      <c r="R857" s="31"/>
      <c r="S857" s="32"/>
      <c r="T857" s="10"/>
      <c r="U857" s="10"/>
      <c r="V857" s="10"/>
      <c r="W857" s="12">
        <f t="shared" si="234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38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29"/>
        <v>0</v>
      </c>
      <c r="H858" s="10"/>
      <c r="I858" s="10"/>
      <c r="J858" s="10"/>
      <c r="K858" s="12">
        <f t="shared" si="230"/>
        <v>0</v>
      </c>
      <c r="M858" s="10">
        <v>22</v>
      </c>
      <c r="N858" s="30"/>
      <c r="O858" s="82"/>
      <c r="P858" s="45"/>
      <c r="Q858" s="31"/>
      <c r="R858" s="31"/>
      <c r="S858" s="32"/>
      <c r="T858" s="10"/>
      <c r="U858" s="10"/>
      <c r="V858" s="10"/>
      <c r="W858" s="12">
        <f t="shared" si="23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8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31"/>
      <c r="D859" s="32"/>
      <c r="E859" s="32"/>
      <c r="F859" s="32"/>
      <c r="G859" s="32">
        <f t="shared" si="229"/>
        <v>0</v>
      </c>
      <c r="H859" s="10"/>
      <c r="I859" s="10"/>
      <c r="J859" s="12"/>
      <c r="K859" s="12">
        <f t="shared" si="230"/>
        <v>0</v>
      </c>
      <c r="M859" s="10">
        <v>23</v>
      </c>
      <c r="N859" s="30"/>
      <c r="O859" s="82"/>
      <c r="P859" s="47"/>
      <c r="S859" s="32"/>
      <c r="T859" s="10"/>
      <c r="U859" s="10"/>
      <c r="V859" s="10"/>
      <c r="W859" s="12">
        <f t="shared" si="234"/>
        <v>0</v>
      </c>
      <c r="Y859" s="10">
        <v>23</v>
      </c>
      <c r="Z859" s="30"/>
      <c r="AA859" s="31"/>
      <c r="AB859" s="47"/>
      <c r="AE859" s="32">
        <f t="shared" si="238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29"/>
        <v>0</v>
      </c>
      <c r="H860" s="10"/>
      <c r="I860" s="10"/>
      <c r="J860" s="10"/>
      <c r="K860" s="12">
        <f t="shared" si="230"/>
        <v>0</v>
      </c>
      <c r="M860" s="10">
        <v>24</v>
      </c>
      <c r="N860" s="30"/>
      <c r="O860" s="82"/>
      <c r="P860" s="47"/>
      <c r="Q860" s="31"/>
      <c r="R860" s="31"/>
      <c r="S860" s="32"/>
      <c r="T860" s="10"/>
      <c r="U860" s="10"/>
      <c r="V860" s="10"/>
      <c r="W860" s="12">
        <f t="shared" si="23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8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29"/>
        <v>0</v>
      </c>
      <c r="H861" s="10"/>
      <c r="I861" s="10"/>
      <c r="J861" s="10"/>
      <c r="K861" s="12">
        <f t="shared" si="230"/>
        <v>0</v>
      </c>
      <c r="M861" s="10">
        <v>25</v>
      </c>
      <c r="N861" s="30"/>
      <c r="O861" s="82"/>
      <c r="P861" s="47"/>
      <c r="Q861" s="31"/>
      <c r="R861" s="31"/>
      <c r="S861" s="32"/>
      <c r="T861" s="10"/>
      <c r="U861" s="10"/>
      <c r="V861" s="10"/>
      <c r="W861" s="12">
        <f t="shared" si="23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8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29"/>
        <v>0</v>
      </c>
      <c r="H862" s="10"/>
      <c r="I862" s="10"/>
      <c r="J862" s="10"/>
      <c r="K862" s="12">
        <f t="shared" si="230"/>
        <v>0</v>
      </c>
      <c r="M862" s="10">
        <v>26</v>
      </c>
      <c r="N862" s="30"/>
      <c r="O862" s="82"/>
      <c r="P862" s="47"/>
      <c r="Q862" s="31"/>
      <c r="R862" s="31"/>
      <c r="S862" s="32"/>
      <c r="T862" s="10"/>
      <c r="U862" s="10"/>
      <c r="V862" s="10"/>
      <c r="W862" s="12">
        <f t="shared" si="23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8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29"/>
        <v>0</v>
      </c>
      <c r="H863" s="10"/>
      <c r="I863" s="10"/>
      <c r="J863" s="10"/>
      <c r="K863" s="12">
        <f t="shared" si="230"/>
        <v>0</v>
      </c>
      <c r="M863" s="10">
        <v>27</v>
      </c>
      <c r="N863" s="30"/>
      <c r="O863" s="82"/>
      <c r="P863" s="47"/>
      <c r="Q863" s="31"/>
      <c r="R863" s="31"/>
      <c r="S863" s="32"/>
      <c r="T863" s="10"/>
      <c r="U863" s="10"/>
      <c r="V863" s="10"/>
      <c r="W863" s="12">
        <f t="shared" si="23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8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29"/>
        <v>0</v>
      </c>
      <c r="H864" s="10"/>
      <c r="I864" s="10"/>
      <c r="J864" s="10"/>
      <c r="K864" s="12">
        <f t="shared" si="230"/>
        <v>0</v>
      </c>
      <c r="M864" s="10">
        <v>28</v>
      </c>
      <c r="N864" s="30"/>
      <c r="O864" s="82"/>
      <c r="P864" s="47"/>
      <c r="Q864" s="31"/>
      <c r="R864" s="31"/>
      <c r="S864" s="32"/>
      <c r="T864" s="10"/>
      <c r="U864" s="10"/>
      <c r="V864" s="10"/>
      <c r="W864" s="12">
        <f t="shared" si="23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8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11"/>
      <c r="D865" s="32"/>
      <c r="E865" s="32"/>
      <c r="F865" s="32"/>
      <c r="G865" s="32">
        <f t="shared" si="229"/>
        <v>0</v>
      </c>
      <c r="H865" s="10"/>
      <c r="I865" s="10"/>
      <c r="J865" s="10"/>
      <c r="K865" s="12">
        <f t="shared" si="230"/>
        <v>0</v>
      </c>
      <c r="M865" s="10">
        <v>29</v>
      </c>
      <c r="N865" s="30"/>
      <c r="O865" s="82"/>
      <c r="P865" s="47"/>
      <c r="Q865" s="31"/>
      <c r="R865" s="31"/>
      <c r="S865" s="32"/>
      <c r="T865" s="10"/>
      <c r="U865" s="10"/>
      <c r="V865" s="10"/>
      <c r="W865" s="12">
        <f t="shared" si="23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8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2"/>
      <c r="D866" s="32"/>
      <c r="E866" s="32"/>
      <c r="F866" s="32"/>
      <c r="G866" s="32">
        <f t="shared" si="229"/>
        <v>0</v>
      </c>
      <c r="H866" s="10"/>
      <c r="I866" s="10"/>
      <c r="J866" s="10"/>
      <c r="K866" s="12">
        <f t="shared" si="230"/>
        <v>0</v>
      </c>
      <c r="M866" s="10">
        <v>30</v>
      </c>
      <c r="N866" s="30"/>
      <c r="O866" s="82"/>
      <c r="P866" s="47"/>
      <c r="Q866" s="31"/>
      <c r="R866" s="31"/>
      <c r="S866" s="32"/>
      <c r="T866" s="10"/>
      <c r="U866" s="10"/>
      <c r="V866" s="10"/>
      <c r="W866" s="12">
        <f t="shared" si="23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38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2"/>
      <c r="D867" s="32"/>
      <c r="E867" s="32"/>
      <c r="F867" s="32"/>
      <c r="G867" s="32">
        <f t="shared" si="229"/>
        <v>0</v>
      </c>
      <c r="H867" s="10"/>
      <c r="I867" s="10"/>
      <c r="J867" s="10"/>
      <c r="K867" s="12">
        <f t="shared" si="230"/>
        <v>0</v>
      </c>
      <c r="M867" s="10">
        <v>31</v>
      </c>
      <c r="N867" s="30"/>
      <c r="O867" s="11"/>
      <c r="P867" s="47"/>
      <c r="Q867" s="31"/>
      <c r="R867" s="31"/>
      <c r="S867" s="32">
        <f t="shared" ref="S867:S875" si="239">SUM(P867:Q867)</f>
        <v>0</v>
      </c>
      <c r="T867" s="10"/>
      <c r="U867" s="10"/>
      <c r="V867" s="10"/>
      <c r="W867" s="12">
        <f t="shared" si="23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8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2"/>
      <c r="D868" s="32"/>
      <c r="E868" s="32"/>
      <c r="F868" s="32"/>
      <c r="G868" s="32">
        <f t="shared" si="229"/>
        <v>0</v>
      </c>
      <c r="H868" s="10"/>
      <c r="I868" s="10"/>
      <c r="J868" s="10"/>
      <c r="K868" s="12">
        <f t="shared" si="230"/>
        <v>0</v>
      </c>
      <c r="M868" s="10">
        <v>32</v>
      </c>
      <c r="N868" s="30"/>
      <c r="O868" s="31"/>
      <c r="P868" s="47"/>
      <c r="Q868" s="31"/>
      <c r="R868" s="31"/>
      <c r="S868" s="32">
        <f t="shared" si="239"/>
        <v>0</v>
      </c>
      <c r="T868" s="10"/>
      <c r="U868" s="10"/>
      <c r="V868" s="10"/>
      <c r="W868" s="12">
        <f t="shared" si="23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8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2"/>
      <c r="D869" s="32"/>
      <c r="E869" s="32"/>
      <c r="F869" s="32"/>
      <c r="G869" s="32">
        <f t="shared" si="229"/>
        <v>0</v>
      </c>
      <c r="H869" s="10"/>
      <c r="I869" s="10"/>
      <c r="J869" s="10"/>
      <c r="K869" s="12">
        <f t="shared" si="230"/>
        <v>0</v>
      </c>
      <c r="M869" s="10">
        <v>33</v>
      </c>
      <c r="N869" s="30"/>
      <c r="O869" s="31"/>
      <c r="P869" s="47"/>
      <c r="Q869" s="31"/>
      <c r="R869" s="31"/>
      <c r="S869" s="32">
        <f t="shared" si="239"/>
        <v>0</v>
      </c>
      <c r="T869" s="10"/>
      <c r="U869" s="10"/>
      <c r="V869" s="10"/>
      <c r="W869" s="12">
        <f t="shared" si="23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8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2"/>
      <c r="D870" s="32"/>
      <c r="E870" s="32"/>
      <c r="F870" s="32"/>
      <c r="G870" s="32">
        <f t="shared" si="229"/>
        <v>0</v>
      </c>
      <c r="H870" s="10"/>
      <c r="I870" s="10"/>
      <c r="J870" s="10"/>
      <c r="K870" s="12">
        <f t="shared" si="230"/>
        <v>0</v>
      </c>
      <c r="M870" s="10">
        <v>34</v>
      </c>
      <c r="N870" s="30"/>
      <c r="O870" s="31"/>
      <c r="P870" s="47"/>
      <c r="Q870" s="31"/>
      <c r="R870" s="31"/>
      <c r="S870" s="32">
        <f t="shared" si="239"/>
        <v>0</v>
      </c>
      <c r="T870" s="10"/>
      <c r="U870" s="10"/>
      <c r="V870" s="10"/>
      <c r="W870" s="12">
        <f t="shared" si="23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8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2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39"/>
        <v>0</v>
      </c>
      <c r="T871" s="10"/>
      <c r="U871" s="10"/>
      <c r="V871" s="10"/>
      <c r="W871" s="12">
        <f t="shared" si="23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8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39"/>
        <v>0</v>
      </c>
      <c r="T872" s="10"/>
      <c r="U872" s="10"/>
      <c r="V872" s="10"/>
      <c r="W872" s="12">
        <f t="shared" si="23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8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39"/>
        <v>0</v>
      </c>
      <c r="T873" s="10"/>
      <c r="U873" s="10"/>
      <c r="V873" s="10"/>
      <c r="W873" s="12">
        <f t="shared" si="23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8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39"/>
        <v>0</v>
      </c>
      <c r="T874" s="10"/>
      <c r="U874" s="10"/>
      <c r="V874" s="10"/>
      <c r="W874" s="12">
        <f t="shared" si="23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8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39"/>
        <v>0</v>
      </c>
      <c r="T875" s="10"/>
      <c r="U875" s="10"/>
      <c r="V875" s="10"/>
      <c r="W875" s="12">
        <f t="shared" si="23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8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40">SUM(D877:E877)</f>
        <v>0</v>
      </c>
      <c r="H877" s="10"/>
      <c r="I877" s="10"/>
      <c r="J877" s="10"/>
      <c r="K877" s="12">
        <f t="shared" ref="K877" si="241">SUM(G877:J877)</f>
        <v>0</v>
      </c>
      <c r="M877" s="10"/>
      <c r="N877" s="30"/>
      <c r="O877" s="31"/>
      <c r="P877" s="47"/>
      <c r="Q877" s="31"/>
      <c r="R877" s="31"/>
      <c r="S877" s="32">
        <f t="shared" ref="S877" si="242">SUM(P877:Q877)</f>
        <v>0</v>
      </c>
      <c r="T877" s="10"/>
      <c r="U877" s="10"/>
      <c r="V877" s="10"/>
      <c r="W877" s="12">
        <f t="shared" si="234"/>
        <v>0</v>
      </c>
      <c r="Y877" s="10"/>
      <c r="Z877" s="30"/>
      <c r="AA877" s="31"/>
      <c r="AB877" s="47"/>
      <c r="AC877" s="31"/>
      <c r="AD877" s="31"/>
      <c r="AE877" s="32">
        <f t="shared" ref="AE877" si="243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189687</v>
      </c>
      <c r="E880" s="38">
        <f t="shared" ref="E880:F880" si="244">SUM(E837:E877)</f>
        <v>0</v>
      </c>
      <c r="F880" s="38">
        <f t="shared" si="244"/>
        <v>0</v>
      </c>
      <c r="G880" s="38">
        <f>SUM(G837:G879)</f>
        <v>189687</v>
      </c>
      <c r="H880" s="4"/>
      <c r="I880" s="39">
        <f>SUM(I837:I879)</f>
        <v>321</v>
      </c>
      <c r="J880" s="39">
        <f>SUM(J837:J879)</f>
        <v>-333</v>
      </c>
      <c r="K880" s="40">
        <f>SUM(K837:K879)</f>
        <v>189675</v>
      </c>
      <c r="N880" s="57"/>
      <c r="O880" s="57"/>
      <c r="P880" s="38">
        <f>SUM(P837:P879)</f>
        <v>196650</v>
      </c>
      <c r="Q880" s="38">
        <f>SUM(Q837:Q861)</f>
        <v>-1668</v>
      </c>
      <c r="R880" s="38">
        <f>SUM(R837:R861)</f>
        <v>0</v>
      </c>
      <c r="S880" s="38">
        <f>SUM(S837:S879)</f>
        <v>194982</v>
      </c>
      <c r="T880" s="4"/>
      <c r="U880" s="41">
        <f>SUM(U837:U879)</f>
        <v>702</v>
      </c>
      <c r="V880" s="41">
        <f>SUM(V837:V861)</f>
        <v>-1047</v>
      </c>
      <c r="W880" s="42">
        <f>SUM(W837:W879)</f>
        <v>194637</v>
      </c>
      <c r="Z880" s="57"/>
      <c r="AA880" s="57"/>
      <c r="AB880" s="38">
        <f>SUM(AB837:AB879)</f>
        <v>350877</v>
      </c>
      <c r="AC880" s="38">
        <f>SUM(AC837:AC861)</f>
        <v>0</v>
      </c>
      <c r="AD880" s="38">
        <f>SUM(AD837:AD861)</f>
        <v>0</v>
      </c>
      <c r="AE880" s="38">
        <f>SUM(AE837:AE879)</f>
        <v>350877</v>
      </c>
      <c r="AF880" s="4"/>
      <c r="AG880" s="41">
        <f>SUM(AG837:AG879)</f>
        <v>51036</v>
      </c>
      <c r="AH880" s="41">
        <f>SUM(AH837:AH861)</f>
        <v>-30711</v>
      </c>
      <c r="AI880" s="42">
        <f>SUM(AI837:AI879)</f>
        <v>371202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41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41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41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89</v>
      </c>
      <c r="B888" s="20"/>
      <c r="C888" s="57"/>
      <c r="D888" s="57"/>
      <c r="E888" s="57"/>
      <c r="G888" s="57"/>
      <c r="I888" s="22" t="s">
        <v>16</v>
      </c>
      <c r="J888" s="23" t="s">
        <v>36</v>
      </c>
      <c r="K888" s="24"/>
      <c r="M888" s="21" t="s">
        <v>89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89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81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7" t="s">
        <v>17</v>
      </c>
      <c r="E890" s="127"/>
      <c r="F890" s="110"/>
      <c r="G890" s="27"/>
      <c r="I890" s="121" t="s">
        <v>18</v>
      </c>
      <c r="J890" s="122"/>
      <c r="K890" s="123" t="s">
        <v>19</v>
      </c>
      <c r="N890" s="25"/>
      <c r="O890" s="26"/>
      <c r="P890" s="127" t="s">
        <v>17</v>
      </c>
      <c r="Q890" s="127"/>
      <c r="R890" s="110"/>
      <c r="S890" s="27"/>
      <c r="U890" s="121" t="s">
        <v>18</v>
      </c>
      <c r="V890" s="122"/>
      <c r="W890" s="123" t="s">
        <v>19</v>
      </c>
      <c r="Z890" s="25"/>
      <c r="AA890" s="26"/>
      <c r="AB890" s="127" t="s">
        <v>17</v>
      </c>
      <c r="AC890" s="127"/>
      <c r="AD890" s="110"/>
      <c r="AE890" s="27"/>
      <c r="AG890" s="121" t="s">
        <v>18</v>
      </c>
      <c r="AH890" s="122"/>
      <c r="AI890" s="123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24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24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24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90</v>
      </c>
      <c r="C892" s="82">
        <v>11479</v>
      </c>
      <c r="D892" s="32">
        <f>650*216+229*8</f>
        <v>142232</v>
      </c>
      <c r="E892" s="32">
        <f>-216*6</f>
        <v>-1296</v>
      </c>
      <c r="F892" s="32"/>
      <c r="G892" s="32">
        <f t="shared" ref="G892:G925" si="245">SUM(D892:E892)</f>
        <v>140936</v>
      </c>
      <c r="H892" s="12"/>
      <c r="I892" s="12">
        <f>1.5*144</f>
        <v>216</v>
      </c>
      <c r="J892" s="12"/>
      <c r="K892" s="12">
        <f t="shared" ref="K892:K925" si="246">SUM(G892:J892)</f>
        <v>141152</v>
      </c>
      <c r="M892" s="10">
        <v>1</v>
      </c>
      <c r="N892" s="30" t="s">
        <v>90</v>
      </c>
      <c r="O892" s="82">
        <v>11520</v>
      </c>
      <c r="P892" s="32">
        <f>622*8</f>
        <v>4976</v>
      </c>
      <c r="Q892" s="32"/>
      <c r="R892" s="32"/>
      <c r="S892" s="32">
        <f>SUM(P892:Q892)</f>
        <v>4976</v>
      </c>
      <c r="T892" s="12"/>
      <c r="U892" s="12">
        <f>4.5*2</f>
        <v>9</v>
      </c>
      <c r="V892" s="12"/>
      <c r="W892" s="12">
        <f>SUM(S892:V892)</f>
        <v>4985</v>
      </c>
      <c r="Y892" s="10">
        <v>1</v>
      </c>
      <c r="Z892" s="30" t="s">
        <v>90</v>
      </c>
      <c r="AA892" s="31">
        <v>11344</v>
      </c>
      <c r="AB892" s="32">
        <f>650*35</f>
        <v>22750</v>
      </c>
      <c r="AC892" s="32"/>
      <c r="AD892" s="32"/>
      <c r="AE892" s="32">
        <f t="shared" ref="AE892:AE897" si="247">SUM(AB892:AC892)</f>
        <v>22750</v>
      </c>
      <c r="AF892" s="12"/>
      <c r="AG892" s="12"/>
      <c r="AH892" s="12"/>
      <c r="AI892" s="12">
        <f t="shared" ref="AI892:AI933" si="248">SUM(AE892:AH892)</f>
        <v>22750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90</v>
      </c>
      <c r="C893" s="31">
        <f>C892+1</f>
        <v>11480</v>
      </c>
      <c r="D893" s="32">
        <f>670*5</f>
        <v>3350</v>
      </c>
      <c r="E893" s="32"/>
      <c r="F893" s="32"/>
      <c r="G893" s="32">
        <f t="shared" si="245"/>
        <v>3350</v>
      </c>
      <c r="H893" s="12"/>
      <c r="I893" s="12"/>
      <c r="J893" s="12"/>
      <c r="K893" s="12">
        <f t="shared" si="246"/>
        <v>3350</v>
      </c>
      <c r="M893" s="10">
        <v>2</v>
      </c>
      <c r="N893" s="30" t="s">
        <v>90</v>
      </c>
      <c r="O893" s="82">
        <f>O892+1</f>
        <v>11521</v>
      </c>
      <c r="P893" s="32">
        <f>650*10+9.5*10</f>
        <v>6595</v>
      </c>
      <c r="Q893" s="32"/>
      <c r="R893" s="32"/>
      <c r="S893" s="32">
        <f t="shared" ref="S893:S910" si="249">SUM(P893:Q893)</f>
        <v>6595</v>
      </c>
      <c r="T893" s="12"/>
      <c r="U893" s="12"/>
      <c r="V893" s="12">
        <f>-111*5</f>
        <v>-555</v>
      </c>
      <c r="W893" s="12">
        <f t="shared" ref="W893:W933" si="250">SUM(S893:V893)</f>
        <v>6040</v>
      </c>
      <c r="Y893" s="10">
        <v>2</v>
      </c>
      <c r="Z893" s="30" t="s">
        <v>90</v>
      </c>
      <c r="AA893" s="31">
        <f>AA892+1</f>
        <v>11345</v>
      </c>
      <c r="AB893" s="12">
        <f>650*45+700+622*15</f>
        <v>39280</v>
      </c>
      <c r="AC893" s="10"/>
      <c r="AD893" s="10"/>
      <c r="AE893" s="32">
        <f t="shared" si="247"/>
        <v>39280</v>
      </c>
      <c r="AG893" s="10">
        <f>1.5*22</f>
        <v>33</v>
      </c>
      <c r="AH893" s="10"/>
      <c r="AI893" s="12">
        <f t="shared" si="248"/>
        <v>39313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90</v>
      </c>
      <c r="C894" s="31">
        <f t="shared" ref="C894:C898" si="251">C893+1</f>
        <v>11481</v>
      </c>
      <c r="D894" s="33">
        <f>650*12</f>
        <v>7800</v>
      </c>
      <c r="E894" s="33"/>
      <c r="F894" s="33"/>
      <c r="G894" s="33">
        <f t="shared" si="245"/>
        <v>7800</v>
      </c>
      <c r="H894" s="34"/>
      <c r="I894" s="34"/>
      <c r="J894" s="34"/>
      <c r="K894" s="34">
        <f t="shared" si="246"/>
        <v>7800</v>
      </c>
      <c r="M894" s="10">
        <v>3</v>
      </c>
      <c r="N894" s="30" t="s">
        <v>90</v>
      </c>
      <c r="O894" s="82">
        <f t="shared" ref="O894:O910" si="252">O893+1</f>
        <v>11522</v>
      </c>
      <c r="P894" s="33">
        <f>650*2+9.5*2</f>
        <v>1319</v>
      </c>
      <c r="Q894" s="33"/>
      <c r="R894" s="32"/>
      <c r="S894" s="32">
        <f t="shared" si="249"/>
        <v>1319</v>
      </c>
      <c r="T894" s="12"/>
      <c r="U894" s="34"/>
      <c r="V894" s="34"/>
      <c r="W894" s="12">
        <f t="shared" si="250"/>
        <v>1319</v>
      </c>
      <c r="Y894" s="10">
        <v>3</v>
      </c>
      <c r="Z894" s="30" t="s">
        <v>90</v>
      </c>
      <c r="AA894" s="31">
        <f t="shared" ref="AA894:AA903" si="253">AA893+1</f>
        <v>11346</v>
      </c>
      <c r="AB894" s="32">
        <f>670*10</f>
        <v>6700</v>
      </c>
      <c r="AC894" s="32"/>
      <c r="AD894" s="32"/>
      <c r="AE894" s="32">
        <f t="shared" si="247"/>
        <v>6700</v>
      </c>
      <c r="AF894" s="12"/>
      <c r="AG894" s="12">
        <f>4.5*11</f>
        <v>49.5</v>
      </c>
      <c r="AH894" s="12"/>
      <c r="AI894" s="12">
        <f t="shared" si="248"/>
        <v>6749.5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90</v>
      </c>
      <c r="C895" s="31">
        <f t="shared" si="251"/>
        <v>11482</v>
      </c>
      <c r="D895" s="32">
        <f>650*5+622*4</f>
        <v>5738</v>
      </c>
      <c r="E895" s="32"/>
      <c r="F895" s="32"/>
      <c r="G895" s="32">
        <f t="shared" si="245"/>
        <v>5738</v>
      </c>
      <c r="H895" s="12"/>
      <c r="I895" s="12"/>
      <c r="J895" s="12">
        <f>-120*3+-111*33+-78*2</f>
        <v>-4179</v>
      </c>
      <c r="K895" s="12">
        <f t="shared" si="246"/>
        <v>1559</v>
      </c>
      <c r="M895" s="10">
        <v>4</v>
      </c>
      <c r="N895" s="30" t="s">
        <v>90</v>
      </c>
      <c r="O895" s="82">
        <f t="shared" si="252"/>
        <v>11523</v>
      </c>
      <c r="P895" s="32">
        <f>650+9.5</f>
        <v>659.5</v>
      </c>
      <c r="Q895" s="32"/>
      <c r="R895" s="32"/>
      <c r="S895" s="32">
        <f t="shared" si="249"/>
        <v>659.5</v>
      </c>
      <c r="T895" s="12"/>
      <c r="U895" s="12"/>
      <c r="V895" s="12"/>
      <c r="W895" s="12">
        <f t="shared" si="250"/>
        <v>659.5</v>
      </c>
      <c r="Y895" s="10">
        <v>4</v>
      </c>
      <c r="Z895" s="30" t="s">
        <v>90</v>
      </c>
      <c r="AA895" s="31">
        <f t="shared" si="253"/>
        <v>11347</v>
      </c>
      <c r="AB895" s="33">
        <f>670*2+872</f>
        <v>2212</v>
      </c>
      <c r="AC895" s="33"/>
      <c r="AD895" s="32"/>
      <c r="AE895" s="32">
        <f t="shared" si="247"/>
        <v>2212</v>
      </c>
      <c r="AF895" s="12"/>
      <c r="AG895" s="12"/>
      <c r="AH895" s="12"/>
      <c r="AI895" s="12">
        <f t="shared" si="248"/>
        <v>2212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90</v>
      </c>
      <c r="C896" s="31">
        <f t="shared" si="251"/>
        <v>11483</v>
      </c>
      <c r="D896" s="32">
        <f>650*63+670*5</f>
        <v>44300</v>
      </c>
      <c r="E896" s="32"/>
      <c r="F896" s="32"/>
      <c r="G896" s="32">
        <f t="shared" si="245"/>
        <v>44300</v>
      </c>
      <c r="H896" s="12"/>
      <c r="I896" s="12"/>
      <c r="J896" s="12"/>
      <c r="K896" s="12">
        <f t="shared" si="246"/>
        <v>44300</v>
      </c>
      <c r="M896" s="10">
        <v>5</v>
      </c>
      <c r="N896" s="30" t="s">
        <v>90</v>
      </c>
      <c r="O896" s="82">
        <f t="shared" si="252"/>
        <v>11524</v>
      </c>
      <c r="P896" s="32">
        <f>670</f>
        <v>670</v>
      </c>
      <c r="Q896" s="32"/>
      <c r="R896" s="32"/>
      <c r="S896" s="32">
        <f t="shared" si="249"/>
        <v>670</v>
      </c>
      <c r="T896" s="12"/>
      <c r="U896" s="12"/>
      <c r="V896" s="12"/>
      <c r="W896" s="12">
        <f t="shared" si="250"/>
        <v>670</v>
      </c>
      <c r="Y896" s="10">
        <v>5</v>
      </c>
      <c r="Z896" s="30" t="s">
        <v>90</v>
      </c>
      <c r="AA896" s="31">
        <f t="shared" si="253"/>
        <v>11348</v>
      </c>
      <c r="AB896" s="32">
        <f>650*50+670*7+229*2</f>
        <v>37648</v>
      </c>
      <c r="AC896" s="32">
        <f>-57*6</f>
        <v>-342</v>
      </c>
      <c r="AD896" s="32"/>
      <c r="AE896" s="32">
        <f t="shared" si="247"/>
        <v>37306</v>
      </c>
      <c r="AF896" s="12"/>
      <c r="AH896" s="12"/>
      <c r="AI896" s="12">
        <f t="shared" si="248"/>
        <v>37306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90</v>
      </c>
      <c r="C897" s="31">
        <f t="shared" si="251"/>
        <v>11484</v>
      </c>
      <c r="D897" s="32"/>
      <c r="E897" s="32"/>
      <c r="F897" s="32"/>
      <c r="G897" s="32">
        <f t="shared" si="245"/>
        <v>0</v>
      </c>
      <c r="H897" s="12"/>
      <c r="I897" s="12"/>
      <c r="J897" s="12"/>
      <c r="K897" s="12">
        <f t="shared" si="246"/>
        <v>0</v>
      </c>
      <c r="M897" s="10">
        <v>6</v>
      </c>
      <c r="N897" s="30" t="s">
        <v>90</v>
      </c>
      <c r="O897" s="82">
        <f t="shared" si="252"/>
        <v>11525</v>
      </c>
      <c r="P897" s="32">
        <f>650*9+622*2+9.5*11</f>
        <v>7198.5</v>
      </c>
      <c r="Q897" s="32"/>
      <c r="R897" s="32"/>
      <c r="S897" s="32">
        <f t="shared" si="249"/>
        <v>7198.5</v>
      </c>
      <c r="T897" s="12"/>
      <c r="U897" s="12"/>
      <c r="V897" s="10">
        <f>-42*6</f>
        <v>-252</v>
      </c>
      <c r="W897" s="12">
        <f t="shared" si="250"/>
        <v>6946.5</v>
      </c>
      <c r="Y897" s="10">
        <v>6</v>
      </c>
      <c r="Z897" s="30" t="s">
        <v>90</v>
      </c>
      <c r="AA897" s="31">
        <f t="shared" si="253"/>
        <v>11349</v>
      </c>
      <c r="AB897" s="32">
        <f>650*50+229*2</f>
        <v>32958</v>
      </c>
      <c r="AC897" s="32"/>
      <c r="AD897" s="32"/>
      <c r="AE897" s="32">
        <f t="shared" si="247"/>
        <v>32958</v>
      </c>
      <c r="AF897" s="12"/>
      <c r="AG897" s="12"/>
      <c r="AH897" s="12"/>
      <c r="AI897" s="12">
        <f t="shared" si="248"/>
        <v>32958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90</v>
      </c>
      <c r="C898" s="31">
        <f t="shared" si="251"/>
        <v>11485</v>
      </c>
      <c r="D898" s="32">
        <f>973*40</f>
        <v>38920</v>
      </c>
      <c r="E898" s="32"/>
      <c r="F898" s="32"/>
      <c r="G898" s="32">
        <f t="shared" si="245"/>
        <v>38920</v>
      </c>
      <c r="H898" s="12"/>
      <c r="I898" s="12"/>
      <c r="J898" s="12"/>
      <c r="K898" s="12">
        <f t="shared" si="246"/>
        <v>38920</v>
      </c>
      <c r="M898" s="10">
        <v>7</v>
      </c>
      <c r="N898" s="30" t="s">
        <v>90</v>
      </c>
      <c r="O898" s="82">
        <f t="shared" si="252"/>
        <v>11526</v>
      </c>
      <c r="P898" s="32">
        <f>650*7</f>
        <v>4550</v>
      </c>
      <c r="Q898" s="32"/>
      <c r="R898" s="32"/>
      <c r="S898" s="32">
        <f t="shared" si="249"/>
        <v>4550</v>
      </c>
      <c r="T898" s="12"/>
      <c r="U898" s="12"/>
      <c r="V898" s="12"/>
      <c r="W898" s="12">
        <f t="shared" si="250"/>
        <v>4550</v>
      </c>
      <c r="Y898" s="10">
        <v>7</v>
      </c>
      <c r="Z898" s="30" t="s">
        <v>90</v>
      </c>
      <c r="AA898" s="31">
        <f t="shared" si="253"/>
        <v>11350</v>
      </c>
      <c r="AB898" s="32">
        <f>650*133+229*3</f>
        <v>87137</v>
      </c>
      <c r="AC898" s="32">
        <f>-133*6</f>
        <v>-798</v>
      </c>
      <c r="AD898" s="32"/>
      <c r="AE898" s="32">
        <f t="shared" ref="AE898:AE930" si="254">SUM(AB898:AC898)</f>
        <v>86339</v>
      </c>
      <c r="AF898" s="12"/>
      <c r="AG898" s="58">
        <f>1.5*51</f>
        <v>76.5</v>
      </c>
      <c r="AH898" s="12"/>
      <c r="AI898" s="12">
        <f t="shared" si="248"/>
        <v>86415.5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45"/>
        <v>0</v>
      </c>
      <c r="H899" s="12"/>
      <c r="I899" s="12"/>
      <c r="J899" s="12"/>
      <c r="K899" s="12">
        <f t="shared" si="246"/>
        <v>0</v>
      </c>
      <c r="M899" s="10">
        <v>8</v>
      </c>
      <c r="N899" s="30" t="s">
        <v>90</v>
      </c>
      <c r="O899" s="82">
        <f t="shared" si="252"/>
        <v>11527</v>
      </c>
      <c r="P899" s="32">
        <f>650*2+9.5*2</f>
        <v>1319</v>
      </c>
      <c r="Q899" s="32"/>
      <c r="R899" s="32"/>
      <c r="S899" s="32">
        <f t="shared" si="249"/>
        <v>1319</v>
      </c>
      <c r="T899" s="12"/>
      <c r="U899" s="12"/>
      <c r="V899" s="12"/>
      <c r="W899" s="12">
        <f t="shared" si="250"/>
        <v>1319</v>
      </c>
      <c r="Y899" s="10">
        <v>8</v>
      </c>
      <c r="Z899" s="30" t="s">
        <v>90</v>
      </c>
      <c r="AA899" s="31">
        <v>11551</v>
      </c>
      <c r="AB899" s="32">
        <f>622*101+229*4</f>
        <v>63738</v>
      </c>
      <c r="AC899" s="32"/>
      <c r="AE899" s="32">
        <f t="shared" si="254"/>
        <v>63738</v>
      </c>
      <c r="AF899" s="12"/>
      <c r="AG899" s="12"/>
      <c r="AH899" s="12">
        <f>-111*50</f>
        <v>-5550</v>
      </c>
      <c r="AI899" s="12">
        <f t="shared" si="248"/>
        <v>58188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45"/>
        <v>0</v>
      </c>
      <c r="H900" s="12"/>
      <c r="I900" s="12"/>
      <c r="J900" s="12"/>
      <c r="K900" s="12">
        <f t="shared" si="246"/>
        <v>0</v>
      </c>
      <c r="M900" s="10">
        <v>9</v>
      </c>
      <c r="N900" s="30" t="s">
        <v>90</v>
      </c>
      <c r="O900" s="82">
        <f t="shared" si="252"/>
        <v>11528</v>
      </c>
      <c r="P900" s="32">
        <f>650*6+9.5*7</f>
        <v>3966.5</v>
      </c>
      <c r="Q900" s="32"/>
      <c r="R900" s="32"/>
      <c r="S900" s="32">
        <f t="shared" si="249"/>
        <v>3966.5</v>
      </c>
      <c r="T900" s="12"/>
      <c r="U900" s="12"/>
      <c r="V900" s="12"/>
      <c r="W900" s="12">
        <f t="shared" si="250"/>
        <v>3966.5</v>
      </c>
      <c r="Y900" s="10">
        <v>9</v>
      </c>
      <c r="Z900" s="30" t="s">
        <v>90</v>
      </c>
      <c r="AA900" s="31">
        <f t="shared" si="253"/>
        <v>11552</v>
      </c>
      <c r="AB900" s="105">
        <f>650*4+670*3+700*2+1050+872+229</f>
        <v>8161</v>
      </c>
      <c r="AC900" s="32"/>
      <c r="AD900" s="32"/>
      <c r="AE900" s="32">
        <f t="shared" si="254"/>
        <v>8161</v>
      </c>
      <c r="AF900" s="12"/>
      <c r="AG900">
        <f>120*2</f>
        <v>240</v>
      </c>
      <c r="AH900" s="12"/>
      <c r="AI900" s="12">
        <f t="shared" si="248"/>
        <v>8401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45"/>
        <v>0</v>
      </c>
      <c r="H901" s="12"/>
      <c r="I901" s="12"/>
      <c r="J901" s="12"/>
      <c r="K901" s="12">
        <f t="shared" si="246"/>
        <v>0</v>
      </c>
      <c r="M901" s="10">
        <v>10</v>
      </c>
      <c r="N901" s="30" t="s">
        <v>90</v>
      </c>
      <c r="O901" s="82">
        <f t="shared" si="252"/>
        <v>11529</v>
      </c>
      <c r="P901" s="32">
        <f>650*7+622*3+9.5*10</f>
        <v>6511</v>
      </c>
      <c r="Q901" s="32"/>
      <c r="R901" s="32"/>
      <c r="S901" s="32">
        <f t="shared" si="249"/>
        <v>6511</v>
      </c>
      <c r="T901" s="12"/>
      <c r="U901" s="12"/>
      <c r="V901" s="12"/>
      <c r="W901" s="12">
        <f t="shared" si="250"/>
        <v>6511</v>
      </c>
      <c r="Y901" s="10">
        <v>10</v>
      </c>
      <c r="Z901" s="30" t="s">
        <v>90</v>
      </c>
      <c r="AA901" s="31">
        <f t="shared" si="253"/>
        <v>11553</v>
      </c>
      <c r="AB901" s="32">
        <f>650*5+670*2</f>
        <v>4590</v>
      </c>
      <c r="AC901" s="32"/>
      <c r="AD901" s="32"/>
      <c r="AE901" s="32">
        <f t="shared" si="254"/>
        <v>4590</v>
      </c>
      <c r="AF901" s="12"/>
      <c r="AG901" s="12"/>
      <c r="AH901" s="12"/>
      <c r="AI901" s="12">
        <f t="shared" si="248"/>
        <v>4590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45"/>
        <v>0</v>
      </c>
      <c r="H902" s="12"/>
      <c r="I902" s="12"/>
      <c r="J902" s="12"/>
      <c r="K902" s="12">
        <f t="shared" si="246"/>
        <v>0</v>
      </c>
      <c r="M902" s="10">
        <v>11</v>
      </c>
      <c r="N902" s="30" t="s">
        <v>90</v>
      </c>
      <c r="O902" s="82">
        <f t="shared" si="252"/>
        <v>11530</v>
      </c>
      <c r="P902" s="32">
        <f>650*108+670*10+622*50+229*4</f>
        <v>108916</v>
      </c>
      <c r="Q902" s="32">
        <f>-168*6</f>
        <v>-1008</v>
      </c>
      <c r="R902" s="32"/>
      <c r="S902" s="32">
        <f t="shared" si="249"/>
        <v>107908</v>
      </c>
      <c r="T902" s="12"/>
      <c r="U902" s="12">
        <f>48*1.5</f>
        <v>72</v>
      </c>
      <c r="V902" s="12"/>
      <c r="W902" s="12">
        <f t="shared" si="250"/>
        <v>107980</v>
      </c>
      <c r="Y902" s="10">
        <v>11</v>
      </c>
      <c r="Z902" s="30" t="s">
        <v>90</v>
      </c>
      <c r="AA902" s="31">
        <f t="shared" si="253"/>
        <v>11554</v>
      </c>
      <c r="AB902" s="32">
        <f>650*33+670*4+912+872</f>
        <v>25914</v>
      </c>
      <c r="AC902" s="32"/>
      <c r="AD902" s="32"/>
      <c r="AE902" s="32">
        <f t="shared" si="254"/>
        <v>25914</v>
      </c>
      <c r="AF902" s="12"/>
      <c r="AG902" s="12">
        <f>4.5*18</f>
        <v>81</v>
      </c>
      <c r="AH902" s="12"/>
      <c r="AI902" s="12">
        <f t="shared" si="248"/>
        <v>25995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45"/>
        <v>0</v>
      </c>
      <c r="H903" s="12"/>
      <c r="I903" s="12"/>
      <c r="J903" s="10"/>
      <c r="K903" s="12">
        <f t="shared" si="246"/>
        <v>0</v>
      </c>
      <c r="M903" s="10">
        <v>12</v>
      </c>
      <c r="N903" s="30" t="s">
        <v>90</v>
      </c>
      <c r="O903" s="82">
        <f t="shared" si="252"/>
        <v>11531</v>
      </c>
      <c r="P903" s="32">
        <f>650*9+670+622+9.5*10</f>
        <v>7237</v>
      </c>
      <c r="Q903" s="32"/>
      <c r="R903" s="32"/>
      <c r="S903" s="32">
        <f t="shared" si="249"/>
        <v>7237</v>
      </c>
      <c r="T903" s="12"/>
      <c r="U903" s="12">
        <v>108</v>
      </c>
      <c r="V903" s="12"/>
      <c r="W903" s="12">
        <f t="shared" si="250"/>
        <v>7345</v>
      </c>
      <c r="Y903" s="10">
        <v>12</v>
      </c>
      <c r="Z903" s="30" t="s">
        <v>90</v>
      </c>
      <c r="AA903" s="31">
        <f t="shared" si="253"/>
        <v>11555</v>
      </c>
      <c r="AB903" s="32">
        <f>650*20+670*3+912+229</f>
        <v>16151</v>
      </c>
      <c r="AC903" s="32"/>
      <c r="AD903" s="32"/>
      <c r="AE903" s="32">
        <f t="shared" si="254"/>
        <v>16151</v>
      </c>
      <c r="AF903" s="12"/>
      <c r="AG903" s="12"/>
      <c r="AH903" s="12"/>
      <c r="AI903" s="12">
        <f t="shared" si="248"/>
        <v>16151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45"/>
        <v>0</v>
      </c>
      <c r="H904" s="12"/>
      <c r="I904" s="12"/>
      <c r="J904" s="12"/>
      <c r="K904" s="12">
        <f t="shared" si="246"/>
        <v>0</v>
      </c>
      <c r="M904" s="10">
        <v>13</v>
      </c>
      <c r="N904" s="30" t="s">
        <v>90</v>
      </c>
      <c r="O904" s="82">
        <f t="shared" si="252"/>
        <v>11532</v>
      </c>
      <c r="P904" s="32">
        <f>650*2+456</f>
        <v>1756</v>
      </c>
      <c r="Q904" s="32"/>
      <c r="R904" s="32"/>
      <c r="S904" s="32">
        <f t="shared" si="249"/>
        <v>1756</v>
      </c>
      <c r="T904" s="12"/>
      <c r="U904" s="12">
        <f>4.5*12</f>
        <v>54</v>
      </c>
      <c r="V904" s="12"/>
      <c r="W904" s="12">
        <f t="shared" si="250"/>
        <v>1810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54"/>
        <v>0</v>
      </c>
      <c r="AF904" s="12"/>
      <c r="AG904" s="12"/>
      <c r="AH904" s="12"/>
      <c r="AI904" s="12">
        <f t="shared" si="248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45"/>
        <v>0</v>
      </c>
      <c r="H905" s="12"/>
      <c r="I905" s="12"/>
      <c r="J905" s="12"/>
      <c r="K905" s="12">
        <f t="shared" si="246"/>
        <v>0</v>
      </c>
      <c r="M905" s="10">
        <v>14</v>
      </c>
      <c r="N905" s="30" t="s">
        <v>90</v>
      </c>
      <c r="O905" s="82">
        <f t="shared" si="252"/>
        <v>11533</v>
      </c>
      <c r="P905" s="32">
        <f>650*32</f>
        <v>20800</v>
      </c>
      <c r="Q905" s="32"/>
      <c r="R905" s="32"/>
      <c r="S905" s="32">
        <f t="shared" si="249"/>
        <v>20800</v>
      </c>
      <c r="T905" s="12"/>
      <c r="U905" s="12"/>
      <c r="V905" s="12"/>
      <c r="W905" s="12">
        <f t="shared" si="250"/>
        <v>20800</v>
      </c>
      <c r="Y905" s="10">
        <v>14</v>
      </c>
      <c r="Z905" s="30"/>
      <c r="AA905" s="31"/>
      <c r="AB905" s="32"/>
      <c r="AC905" s="32"/>
      <c r="AD905" s="32"/>
      <c r="AE905" s="32">
        <f t="shared" si="254"/>
        <v>0</v>
      </c>
      <c r="AF905" s="12"/>
      <c r="AG905" s="12"/>
      <c r="AH905" s="12"/>
      <c r="AI905" s="12">
        <f t="shared" si="248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45"/>
        <v>0</v>
      </c>
      <c r="H906" s="12"/>
      <c r="I906" s="12"/>
      <c r="J906" s="12"/>
      <c r="K906" s="12">
        <f t="shared" si="246"/>
        <v>0</v>
      </c>
      <c r="M906" s="10">
        <v>15</v>
      </c>
      <c r="N906" s="30" t="s">
        <v>90</v>
      </c>
      <c r="O906" s="82">
        <f t="shared" si="252"/>
        <v>11534</v>
      </c>
      <c r="P906" s="32">
        <f>650*2+9.5*2</f>
        <v>1319</v>
      </c>
      <c r="Q906" s="32"/>
      <c r="R906" s="32"/>
      <c r="S906" s="32">
        <f t="shared" si="249"/>
        <v>1319</v>
      </c>
      <c r="T906" s="12"/>
      <c r="U906" s="12"/>
      <c r="V906" s="12"/>
      <c r="W906" s="12">
        <f t="shared" si="250"/>
        <v>1319</v>
      </c>
      <c r="Y906" s="10">
        <v>15</v>
      </c>
      <c r="Z906" s="30"/>
      <c r="AA906" s="31"/>
      <c r="AB906" s="32"/>
      <c r="AC906" s="32"/>
      <c r="AD906" s="32"/>
      <c r="AE906" s="32">
        <f t="shared" si="254"/>
        <v>0</v>
      </c>
      <c r="AF906" s="12"/>
      <c r="AG906" s="12"/>
      <c r="AH906" s="12"/>
      <c r="AI906" s="12">
        <f t="shared" si="248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45"/>
        <v>0</v>
      </c>
      <c r="H907" s="12"/>
      <c r="I907" s="12"/>
      <c r="J907" s="12"/>
      <c r="K907" s="12">
        <f t="shared" si="246"/>
        <v>0</v>
      </c>
      <c r="M907" s="10">
        <v>16</v>
      </c>
      <c r="N907" s="30" t="s">
        <v>90</v>
      </c>
      <c r="O907" s="82">
        <f t="shared" si="252"/>
        <v>11535</v>
      </c>
      <c r="P907" s="32">
        <f>650*6+9.5*6</f>
        <v>3957</v>
      </c>
      <c r="Q907" s="32"/>
      <c r="R907" s="32"/>
      <c r="S907" s="32">
        <f t="shared" si="249"/>
        <v>3957</v>
      </c>
      <c r="T907" s="12"/>
      <c r="U907" s="12"/>
      <c r="V907" s="12"/>
      <c r="W907" s="12">
        <f t="shared" si="250"/>
        <v>3957</v>
      </c>
      <c r="Y907" s="10">
        <v>16</v>
      </c>
      <c r="Z907" s="30"/>
      <c r="AA907" s="11"/>
      <c r="AB907" s="32"/>
      <c r="AC907" s="32"/>
      <c r="AD907" s="32"/>
      <c r="AE907" s="32">
        <f t="shared" si="254"/>
        <v>0</v>
      </c>
      <c r="AF907" s="12"/>
      <c r="AG907" s="12"/>
      <c r="AH907" s="12"/>
      <c r="AI907" s="12">
        <f t="shared" si="248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45"/>
        <v>0</v>
      </c>
      <c r="H908" s="12"/>
      <c r="I908" s="12"/>
      <c r="J908" s="12"/>
      <c r="K908" s="12">
        <f t="shared" si="246"/>
        <v>0</v>
      </c>
      <c r="M908" s="10">
        <v>17</v>
      </c>
      <c r="N908" s="30" t="s">
        <v>90</v>
      </c>
      <c r="O908" s="82">
        <f t="shared" si="252"/>
        <v>11536</v>
      </c>
      <c r="P908" s="35">
        <f>650*2+9.5*2</f>
        <v>1319</v>
      </c>
      <c r="Q908" s="32"/>
      <c r="R908" s="32"/>
      <c r="S908" s="32">
        <f t="shared" si="249"/>
        <v>1319</v>
      </c>
      <c r="T908" s="12"/>
      <c r="U908" s="12"/>
      <c r="V908" s="12"/>
      <c r="W908" s="12">
        <f t="shared" si="250"/>
        <v>1319</v>
      </c>
      <c r="Y908" s="10">
        <v>17</v>
      </c>
      <c r="Z908" s="30"/>
      <c r="AA908" s="31"/>
      <c r="AB908" s="35"/>
      <c r="AC908" s="32"/>
      <c r="AD908" s="32"/>
      <c r="AE908" s="32">
        <f t="shared" si="254"/>
        <v>0</v>
      </c>
      <c r="AF908" s="12"/>
      <c r="AG908" s="12"/>
      <c r="AH908" s="12"/>
      <c r="AI908" s="12">
        <f t="shared" si="248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45"/>
        <v>0</v>
      </c>
      <c r="H909" s="12"/>
      <c r="I909" s="12"/>
      <c r="J909" s="12"/>
      <c r="K909" s="12">
        <f t="shared" si="246"/>
        <v>0</v>
      </c>
      <c r="M909" s="10">
        <v>18</v>
      </c>
      <c r="N909" s="30" t="s">
        <v>90</v>
      </c>
      <c r="O909" s="82">
        <f t="shared" si="252"/>
        <v>11537</v>
      </c>
      <c r="P909" s="32">
        <f>650*5</f>
        <v>3250</v>
      </c>
      <c r="Q909" s="32"/>
      <c r="R909" s="32"/>
      <c r="S909" s="32">
        <f t="shared" si="249"/>
        <v>3250</v>
      </c>
      <c r="T909" s="12"/>
      <c r="U909" s="12"/>
      <c r="V909" s="12"/>
      <c r="W909" s="12">
        <f t="shared" si="250"/>
        <v>3250</v>
      </c>
      <c r="Y909" s="10">
        <v>18</v>
      </c>
      <c r="Z909" s="30"/>
      <c r="AA909" s="31"/>
      <c r="AB909" s="32"/>
      <c r="AC909" s="32"/>
      <c r="AD909" s="32"/>
      <c r="AE909" s="32">
        <f t="shared" si="254"/>
        <v>0</v>
      </c>
      <c r="AF909" s="12"/>
      <c r="AG909" s="12"/>
      <c r="AH909" s="12"/>
      <c r="AI909" s="12">
        <f t="shared" si="248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45"/>
        <v>0</v>
      </c>
      <c r="H910" s="12"/>
      <c r="I910" s="12"/>
      <c r="J910" s="12"/>
      <c r="K910" s="12">
        <f t="shared" si="246"/>
        <v>0</v>
      </c>
      <c r="M910" s="10">
        <v>19</v>
      </c>
      <c r="N910" s="30" t="s">
        <v>90</v>
      </c>
      <c r="O910" s="82">
        <f t="shared" si="252"/>
        <v>11538</v>
      </c>
      <c r="P910" s="32">
        <f>650*6</f>
        <v>3900</v>
      </c>
      <c r="Q910" s="32"/>
      <c r="R910" s="32"/>
      <c r="S910" s="32">
        <f t="shared" si="249"/>
        <v>3900</v>
      </c>
      <c r="T910" s="12"/>
      <c r="U910" s="12"/>
      <c r="V910" s="12"/>
      <c r="W910" s="12">
        <f t="shared" si="250"/>
        <v>3900</v>
      </c>
      <c r="Y910" s="10">
        <v>19</v>
      </c>
      <c r="Z910" s="30"/>
      <c r="AA910" s="31"/>
      <c r="AB910" s="32"/>
      <c r="AC910" s="32"/>
      <c r="AD910" s="32"/>
      <c r="AE910" s="32">
        <f t="shared" si="254"/>
        <v>0</v>
      </c>
      <c r="AF910" s="12"/>
      <c r="AG910" s="12"/>
      <c r="AH910" s="12"/>
      <c r="AI910" s="12">
        <f t="shared" si="248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45"/>
        <v>0</v>
      </c>
      <c r="H911" s="12"/>
      <c r="I911" s="12"/>
      <c r="J911" s="12"/>
      <c r="K911" s="12">
        <f t="shared" si="246"/>
        <v>0</v>
      </c>
      <c r="M911" s="10">
        <v>20</v>
      </c>
      <c r="N911" s="30"/>
      <c r="O911" s="11" t="s">
        <v>27</v>
      </c>
      <c r="P911" s="32"/>
      <c r="Q911" s="32"/>
      <c r="R911" s="32"/>
      <c r="S911" s="32"/>
      <c r="T911" s="12"/>
      <c r="U911" s="12"/>
      <c r="V911" s="12"/>
      <c r="W911" s="12">
        <f t="shared" si="250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54"/>
        <v>0</v>
      </c>
      <c r="AF911" s="12"/>
      <c r="AG911" s="12"/>
      <c r="AH911" s="12"/>
      <c r="AI911" s="12">
        <f t="shared" si="248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11"/>
      <c r="D912" s="32"/>
      <c r="E912" s="32"/>
      <c r="F912" s="32"/>
      <c r="G912" s="32">
        <f t="shared" si="245"/>
        <v>0</v>
      </c>
      <c r="H912" s="10"/>
      <c r="I912" s="10"/>
      <c r="J912" s="10"/>
      <c r="K912" s="12">
        <f t="shared" si="246"/>
        <v>0</v>
      </c>
      <c r="M912" s="10">
        <v>21</v>
      </c>
      <c r="N912" s="30"/>
      <c r="O912" s="11"/>
      <c r="P912" s="46"/>
      <c r="Q912" s="31"/>
      <c r="R912" s="31"/>
      <c r="S912" s="32"/>
      <c r="T912" s="10"/>
      <c r="U912" s="10"/>
      <c r="V912" s="10"/>
      <c r="W912" s="12">
        <f t="shared" si="250"/>
        <v>0</v>
      </c>
      <c r="Y912" s="10">
        <v>21</v>
      </c>
      <c r="Z912" s="30"/>
      <c r="AA912" s="11"/>
      <c r="AB912" s="46"/>
      <c r="AC912" s="31"/>
      <c r="AD912" s="31"/>
      <c r="AE912" s="32">
        <f t="shared" si="254"/>
        <v>0</v>
      </c>
      <c r="AF912" s="10"/>
      <c r="AG912" s="10"/>
      <c r="AH912" s="10"/>
      <c r="AI912" s="12">
        <f t="shared" si="248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45"/>
        <v>0</v>
      </c>
      <c r="H913" s="10"/>
      <c r="I913" s="10"/>
      <c r="J913" s="10"/>
      <c r="K913" s="12">
        <f t="shared" si="246"/>
        <v>0</v>
      </c>
      <c r="M913" s="10">
        <v>22</v>
      </c>
      <c r="N913" s="30"/>
      <c r="O913" s="82"/>
      <c r="P913" s="45"/>
      <c r="Q913" s="31"/>
      <c r="R913" s="31"/>
      <c r="S913" s="32"/>
      <c r="T913" s="10"/>
      <c r="U913" s="10"/>
      <c r="V913" s="10"/>
      <c r="W913" s="12">
        <f t="shared" si="250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54"/>
        <v>0</v>
      </c>
      <c r="AF913" s="10"/>
      <c r="AG913" s="10"/>
      <c r="AH913" s="10"/>
      <c r="AI913" s="12">
        <f t="shared" si="248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31"/>
      <c r="D914" s="32"/>
      <c r="E914" s="32"/>
      <c r="F914" s="32"/>
      <c r="G914" s="32">
        <f t="shared" si="245"/>
        <v>0</v>
      </c>
      <c r="H914" s="10"/>
      <c r="I914" s="10"/>
      <c r="J914" s="12"/>
      <c r="K914" s="12">
        <f t="shared" si="246"/>
        <v>0</v>
      </c>
      <c r="M914" s="10">
        <v>23</v>
      </c>
      <c r="N914" s="30"/>
      <c r="O914" s="82"/>
      <c r="P914" s="47"/>
      <c r="S914" s="32"/>
      <c r="T914" s="10"/>
      <c r="U914" s="10"/>
      <c r="V914" s="10"/>
      <c r="W914" s="12">
        <f t="shared" si="250"/>
        <v>0</v>
      </c>
      <c r="Y914" s="10">
        <v>23</v>
      </c>
      <c r="Z914" s="30"/>
      <c r="AA914" s="31"/>
      <c r="AB914" s="47"/>
      <c r="AE914" s="32">
        <f t="shared" si="254"/>
        <v>0</v>
      </c>
      <c r="AF914" s="10"/>
      <c r="AG914" s="10"/>
      <c r="AH914" s="10"/>
      <c r="AI914" s="12">
        <f t="shared" si="248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45"/>
        <v>0</v>
      </c>
      <c r="H915" s="10"/>
      <c r="I915" s="10"/>
      <c r="J915" s="10"/>
      <c r="K915" s="12">
        <f t="shared" si="246"/>
        <v>0</v>
      </c>
      <c r="M915" s="10">
        <v>24</v>
      </c>
      <c r="N915" s="30"/>
      <c r="O915" s="82"/>
      <c r="P915" s="47"/>
      <c r="Q915" s="31"/>
      <c r="R915" s="31"/>
      <c r="S915" s="32"/>
      <c r="T915" s="10"/>
      <c r="U915" s="10"/>
      <c r="V915" s="10"/>
      <c r="W915" s="12">
        <f t="shared" si="250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54"/>
        <v>0</v>
      </c>
      <c r="AF915" s="10"/>
      <c r="AG915" s="10"/>
      <c r="AH915" s="10"/>
      <c r="AI915" s="12">
        <f t="shared" si="248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45"/>
        <v>0</v>
      </c>
      <c r="H916" s="10"/>
      <c r="I916" s="10"/>
      <c r="J916" s="10"/>
      <c r="K916" s="12">
        <f t="shared" si="246"/>
        <v>0</v>
      </c>
      <c r="M916" s="10">
        <v>25</v>
      </c>
      <c r="N916" s="30"/>
      <c r="O916" s="82"/>
      <c r="P916" s="47"/>
      <c r="Q916" s="31"/>
      <c r="R916" s="31"/>
      <c r="S916" s="32"/>
      <c r="T916" s="10"/>
      <c r="U916" s="10"/>
      <c r="V916" s="10"/>
      <c r="W916" s="12">
        <f t="shared" si="250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54"/>
        <v>0</v>
      </c>
      <c r="AF916" s="10"/>
      <c r="AG916" s="10"/>
      <c r="AH916" s="10"/>
      <c r="AI916" s="12">
        <f t="shared" si="248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45"/>
        <v>0</v>
      </c>
      <c r="H917" s="10"/>
      <c r="I917" s="10"/>
      <c r="J917" s="10"/>
      <c r="K917" s="12">
        <f t="shared" si="246"/>
        <v>0</v>
      </c>
      <c r="M917" s="10">
        <v>26</v>
      </c>
      <c r="N917" s="30"/>
      <c r="O917" s="82"/>
      <c r="P917" s="47"/>
      <c r="Q917" s="31"/>
      <c r="R917" s="31"/>
      <c r="S917" s="32"/>
      <c r="T917" s="10"/>
      <c r="U917" s="10"/>
      <c r="V917" s="10"/>
      <c r="W917" s="12">
        <f t="shared" si="250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54"/>
        <v>0</v>
      </c>
      <c r="AF917" s="10"/>
      <c r="AG917" s="10"/>
      <c r="AH917" s="10"/>
      <c r="AI917" s="12">
        <f t="shared" si="248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45"/>
        <v>0</v>
      </c>
      <c r="H918" s="10"/>
      <c r="I918" s="10"/>
      <c r="J918" s="10"/>
      <c r="K918" s="12">
        <f t="shared" si="246"/>
        <v>0</v>
      </c>
      <c r="M918" s="10">
        <v>27</v>
      </c>
      <c r="N918" s="30"/>
      <c r="O918" s="82"/>
      <c r="P918" s="47"/>
      <c r="Q918" s="31"/>
      <c r="R918" s="31"/>
      <c r="S918" s="32"/>
      <c r="T918" s="10"/>
      <c r="U918" s="10"/>
      <c r="V918" s="10"/>
      <c r="W918" s="12">
        <f t="shared" si="250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54"/>
        <v>0</v>
      </c>
      <c r="AF918" s="10"/>
      <c r="AG918" s="10"/>
      <c r="AH918" s="10"/>
      <c r="AI918" s="12">
        <f t="shared" si="248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45"/>
        <v>0</v>
      </c>
      <c r="H919" s="10"/>
      <c r="I919" s="10"/>
      <c r="J919" s="10"/>
      <c r="K919" s="12">
        <f t="shared" si="246"/>
        <v>0</v>
      </c>
      <c r="M919" s="10">
        <v>28</v>
      </c>
      <c r="N919" s="30"/>
      <c r="O919" s="82"/>
      <c r="P919" s="47"/>
      <c r="Q919" s="31"/>
      <c r="R919" s="31"/>
      <c r="S919" s="32"/>
      <c r="T919" s="10"/>
      <c r="U919" s="10"/>
      <c r="V919" s="10"/>
      <c r="W919" s="12">
        <f t="shared" si="250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54"/>
        <v>0</v>
      </c>
      <c r="AF919" s="10"/>
      <c r="AG919" s="10"/>
      <c r="AH919" s="10"/>
      <c r="AI919" s="12">
        <f t="shared" si="248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11"/>
      <c r="D920" s="32"/>
      <c r="E920" s="32"/>
      <c r="F920" s="32"/>
      <c r="G920" s="32">
        <f t="shared" si="245"/>
        <v>0</v>
      </c>
      <c r="H920" s="10"/>
      <c r="I920" s="10"/>
      <c r="J920" s="10"/>
      <c r="K920" s="12">
        <f t="shared" si="246"/>
        <v>0</v>
      </c>
      <c r="M920" s="10">
        <v>29</v>
      </c>
      <c r="N920" s="30"/>
      <c r="O920" s="82"/>
      <c r="P920" s="47"/>
      <c r="Q920" s="31"/>
      <c r="R920" s="31"/>
      <c r="S920" s="32"/>
      <c r="T920" s="10"/>
      <c r="U920" s="10"/>
      <c r="V920" s="10"/>
      <c r="W920" s="12">
        <f t="shared" si="250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54"/>
        <v>0</v>
      </c>
      <c r="AF920" s="10"/>
      <c r="AG920" s="10"/>
      <c r="AH920" s="10"/>
      <c r="AI920" s="12">
        <f t="shared" si="248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2"/>
      <c r="D921" s="32"/>
      <c r="E921" s="32"/>
      <c r="F921" s="32"/>
      <c r="G921" s="32">
        <f t="shared" si="245"/>
        <v>0</v>
      </c>
      <c r="H921" s="10"/>
      <c r="I921" s="10"/>
      <c r="J921" s="10"/>
      <c r="K921" s="12">
        <f t="shared" si="246"/>
        <v>0</v>
      </c>
      <c r="M921" s="10">
        <v>30</v>
      </c>
      <c r="N921" s="30"/>
      <c r="O921" s="82"/>
      <c r="P921" s="47"/>
      <c r="Q921" s="31"/>
      <c r="R921" s="31"/>
      <c r="S921" s="32"/>
      <c r="T921" s="10"/>
      <c r="U921" s="10"/>
      <c r="V921" s="10"/>
      <c r="W921" s="12">
        <f t="shared" si="250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54"/>
        <v>0</v>
      </c>
      <c r="AF921" s="10"/>
      <c r="AG921" s="10"/>
      <c r="AH921" s="10"/>
      <c r="AI921" s="12">
        <f t="shared" si="248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2"/>
      <c r="D922" s="32"/>
      <c r="E922" s="32"/>
      <c r="F922" s="32"/>
      <c r="G922" s="32">
        <f t="shared" si="245"/>
        <v>0</v>
      </c>
      <c r="H922" s="10"/>
      <c r="I922" s="10"/>
      <c r="J922" s="10"/>
      <c r="K922" s="12">
        <f t="shared" si="246"/>
        <v>0</v>
      </c>
      <c r="M922" s="10">
        <v>31</v>
      </c>
      <c r="N922" s="30"/>
      <c r="O922" s="11"/>
      <c r="P922" s="47"/>
      <c r="Q922" s="31"/>
      <c r="R922" s="31"/>
      <c r="S922" s="32">
        <f t="shared" ref="S922:S930" si="255">SUM(P922:Q922)</f>
        <v>0</v>
      </c>
      <c r="T922" s="10"/>
      <c r="U922" s="10"/>
      <c r="V922" s="10"/>
      <c r="W922" s="12">
        <f t="shared" si="250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54"/>
        <v>0</v>
      </c>
      <c r="AF922" s="10"/>
      <c r="AG922" s="10"/>
      <c r="AH922" s="10"/>
      <c r="AI922" s="12">
        <f t="shared" si="248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2"/>
      <c r="D923" s="32"/>
      <c r="E923" s="32"/>
      <c r="F923" s="32"/>
      <c r="G923" s="32">
        <f t="shared" si="245"/>
        <v>0</v>
      </c>
      <c r="H923" s="10"/>
      <c r="I923" s="10"/>
      <c r="J923" s="10"/>
      <c r="K923" s="12">
        <f t="shared" si="246"/>
        <v>0</v>
      </c>
      <c r="M923" s="10">
        <v>32</v>
      </c>
      <c r="N923" s="30"/>
      <c r="O923" s="31"/>
      <c r="P923" s="47"/>
      <c r="Q923" s="31"/>
      <c r="R923" s="31"/>
      <c r="S923" s="32">
        <f t="shared" si="255"/>
        <v>0</v>
      </c>
      <c r="T923" s="10"/>
      <c r="U923" s="10"/>
      <c r="V923" s="10"/>
      <c r="W923" s="12">
        <f t="shared" si="250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54"/>
        <v>0</v>
      </c>
      <c r="AF923" s="10"/>
      <c r="AG923" s="10"/>
      <c r="AH923" s="10"/>
      <c r="AI923" s="12">
        <f t="shared" si="248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2"/>
      <c r="D924" s="32"/>
      <c r="E924" s="32"/>
      <c r="F924" s="32"/>
      <c r="G924" s="32">
        <f t="shared" si="245"/>
        <v>0</v>
      </c>
      <c r="H924" s="10"/>
      <c r="I924" s="10"/>
      <c r="J924" s="10"/>
      <c r="K924" s="12">
        <f t="shared" si="246"/>
        <v>0</v>
      </c>
      <c r="M924" s="10">
        <v>33</v>
      </c>
      <c r="N924" s="30"/>
      <c r="O924" s="31"/>
      <c r="P924" s="47"/>
      <c r="Q924" s="31"/>
      <c r="R924" s="31"/>
      <c r="S924" s="32">
        <f t="shared" si="255"/>
        <v>0</v>
      </c>
      <c r="T924" s="10"/>
      <c r="U924" s="10"/>
      <c r="V924" s="10"/>
      <c r="W924" s="12">
        <f t="shared" si="250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54"/>
        <v>0</v>
      </c>
      <c r="AF924" s="10"/>
      <c r="AG924" s="10"/>
      <c r="AH924" s="10"/>
      <c r="AI924" s="12">
        <f t="shared" si="248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2"/>
      <c r="D925" s="32"/>
      <c r="E925" s="32"/>
      <c r="F925" s="32"/>
      <c r="G925" s="32">
        <f t="shared" si="245"/>
        <v>0</v>
      </c>
      <c r="H925" s="10"/>
      <c r="I925" s="10"/>
      <c r="J925" s="10"/>
      <c r="K925" s="12">
        <f t="shared" si="246"/>
        <v>0</v>
      </c>
      <c r="M925" s="10">
        <v>34</v>
      </c>
      <c r="N925" s="30"/>
      <c r="O925" s="31"/>
      <c r="P925" s="47"/>
      <c r="Q925" s="31"/>
      <c r="R925" s="31"/>
      <c r="S925" s="32">
        <f t="shared" si="255"/>
        <v>0</v>
      </c>
      <c r="T925" s="10"/>
      <c r="U925" s="10"/>
      <c r="V925" s="10"/>
      <c r="W925" s="12">
        <f t="shared" si="250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54"/>
        <v>0</v>
      </c>
      <c r="AF925" s="10"/>
      <c r="AG925" s="10"/>
      <c r="AH925" s="10"/>
      <c r="AI925" s="12">
        <f t="shared" si="248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55"/>
        <v>0</v>
      </c>
      <c r="T926" s="10"/>
      <c r="U926" s="10"/>
      <c r="V926" s="10"/>
      <c r="W926" s="12">
        <f t="shared" si="250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4"/>
        <v>0</v>
      </c>
      <c r="AF926" s="10"/>
      <c r="AG926" s="10"/>
      <c r="AH926" s="10"/>
      <c r="AI926" s="12">
        <f t="shared" si="248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55"/>
        <v>0</v>
      </c>
      <c r="T927" s="10"/>
      <c r="U927" s="10"/>
      <c r="V927" s="10"/>
      <c r="W927" s="12">
        <f t="shared" si="250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4"/>
        <v>0</v>
      </c>
      <c r="AF927" s="10"/>
      <c r="AG927" s="10"/>
      <c r="AH927" s="10"/>
      <c r="AI927" s="12">
        <f t="shared" si="248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55"/>
        <v>0</v>
      </c>
      <c r="T928" s="10"/>
      <c r="U928" s="10"/>
      <c r="V928" s="10"/>
      <c r="W928" s="12">
        <f t="shared" si="250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4"/>
        <v>0</v>
      </c>
      <c r="AF928" s="10"/>
      <c r="AG928" s="10"/>
      <c r="AH928" s="10"/>
      <c r="AI928" s="12">
        <f t="shared" si="248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55"/>
        <v>0</v>
      </c>
      <c r="T929" s="10"/>
      <c r="U929" s="10"/>
      <c r="V929" s="10"/>
      <c r="W929" s="12">
        <f t="shared" si="250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4"/>
        <v>0</v>
      </c>
      <c r="AF929" s="10"/>
      <c r="AG929" s="10"/>
      <c r="AH929" s="10"/>
      <c r="AI929" s="12">
        <f t="shared" si="248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55"/>
        <v>0</v>
      </c>
      <c r="T930" s="10"/>
      <c r="U930" s="10"/>
      <c r="V930" s="10"/>
      <c r="W930" s="12">
        <f t="shared" si="250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4"/>
        <v>0</v>
      </c>
      <c r="AF930" s="10"/>
      <c r="AG930" s="10"/>
      <c r="AH930" s="10"/>
      <c r="AI930" s="12">
        <f t="shared" si="248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50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8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6">SUM(D932:E932)</f>
        <v>0</v>
      </c>
      <c r="H932" s="10"/>
      <c r="I932" s="10"/>
      <c r="J932" s="10"/>
      <c r="K932" s="12">
        <f t="shared" ref="K932" si="257">SUM(G932:J932)</f>
        <v>0</v>
      </c>
      <c r="M932" s="10"/>
      <c r="N932" s="30"/>
      <c r="O932" s="31"/>
      <c r="P932" s="47"/>
      <c r="Q932" s="31"/>
      <c r="R932" s="31"/>
      <c r="S932" s="32">
        <f t="shared" ref="S932" si="258">SUM(P932:Q932)</f>
        <v>0</v>
      </c>
      <c r="T932" s="10"/>
      <c r="U932" s="10"/>
      <c r="V932" s="10"/>
      <c r="W932" s="12">
        <f t="shared" si="250"/>
        <v>0</v>
      </c>
      <c r="Y932" s="10"/>
      <c r="Z932" s="30"/>
      <c r="AA932" s="31"/>
      <c r="AB932" s="47"/>
      <c r="AC932" s="31"/>
      <c r="AD932" s="31"/>
      <c r="AE932" s="32">
        <f t="shared" ref="AE932" si="259">SUM(AB932:AC932)</f>
        <v>0</v>
      </c>
      <c r="AF932" s="10"/>
      <c r="AG932" s="10"/>
      <c r="AH932" s="10"/>
      <c r="AI932" s="12">
        <f t="shared" si="248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50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8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242340</v>
      </c>
      <c r="E935" s="38">
        <f t="shared" ref="E935:F935" si="260">SUM(E892:E932)</f>
        <v>-1296</v>
      </c>
      <c r="F935" s="38">
        <f t="shared" si="260"/>
        <v>0</v>
      </c>
      <c r="G935" s="38">
        <f>SUM(G892:G934)</f>
        <v>241044</v>
      </c>
      <c r="H935" s="4"/>
      <c r="I935" s="39">
        <f>SUM(I892:I934)</f>
        <v>216</v>
      </c>
      <c r="J935" s="39">
        <f>SUM(J892:J934)</f>
        <v>-4179</v>
      </c>
      <c r="K935" s="40">
        <f>SUM(K892:K934)</f>
        <v>237081</v>
      </c>
      <c r="N935" s="57"/>
      <c r="O935" s="57"/>
      <c r="P935" s="38">
        <f>SUM(P892:P934)</f>
        <v>190218.5</v>
      </c>
      <c r="Q935" s="38">
        <f>SUM(Q892:Q916)</f>
        <v>-1008</v>
      </c>
      <c r="R935" s="38">
        <f>SUM(R892:R916)</f>
        <v>0</v>
      </c>
      <c r="S935" s="38">
        <f>SUM(S892:S934)</f>
        <v>189210.5</v>
      </c>
      <c r="T935" s="4"/>
      <c r="U935" s="41">
        <f>SUM(U892:U934)</f>
        <v>243</v>
      </c>
      <c r="V935" s="41">
        <f>SUM(V892:V916)</f>
        <v>-807</v>
      </c>
      <c r="W935" s="42">
        <f>SUM(W892:W934)</f>
        <v>188646.5</v>
      </c>
      <c r="Z935" s="57"/>
      <c r="AA935" s="57"/>
      <c r="AB935" s="38">
        <f>SUM(AB892:AB934)</f>
        <v>347239</v>
      </c>
      <c r="AC935" s="38">
        <f>SUM(AC892:AC916)</f>
        <v>-1140</v>
      </c>
      <c r="AD935" s="38">
        <f>SUM(AD892:AD916)</f>
        <v>0</v>
      </c>
      <c r="AE935" s="38">
        <f>SUM(AE892:AE934)</f>
        <v>346099</v>
      </c>
      <c r="AF935" s="4"/>
      <c r="AG935" s="41">
        <f>SUM(AG892:AG934)</f>
        <v>480</v>
      </c>
      <c r="AH935" s="41">
        <f>SUM(AH892:AH916)</f>
        <v>-5550</v>
      </c>
      <c r="AI935" s="42">
        <f>SUM(AI892:AI934)</f>
        <v>341029</v>
      </c>
      <c r="AK935" s="62"/>
      <c r="AL935" s="85"/>
      <c r="AM935" s="85"/>
      <c r="AN935" s="85"/>
      <c r="AO935" s="85"/>
      <c r="AP935" s="85"/>
      <c r="AQ935" s="85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5"/>
      <c r="AM936" s="85"/>
      <c r="AN936" s="85"/>
      <c r="AO936" s="85"/>
      <c r="AP936" s="85"/>
      <c r="AQ936" s="85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5"/>
      <c r="AM940" s="85"/>
      <c r="AN940" s="85"/>
      <c r="AO940" s="85"/>
      <c r="AP940" s="85"/>
      <c r="AQ940" s="85"/>
      <c r="AR940" s="62"/>
      <c r="AS940" s="85"/>
      <c r="AT940" s="85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5"/>
      <c r="AM941" s="85"/>
      <c r="AN941" s="85"/>
      <c r="AO941" s="85"/>
      <c r="AP941" s="85"/>
      <c r="AQ941" s="85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44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5"/>
      <c r="AM942" s="85"/>
      <c r="AN942" s="85"/>
      <c r="AO942" s="85"/>
      <c r="AP942" s="85"/>
      <c r="AQ942" s="85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36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92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81</v>
      </c>
      <c r="AI943" s="24"/>
      <c r="AK943" s="62"/>
      <c r="AL943" s="65"/>
      <c r="AM943" s="85"/>
      <c r="AN943" s="126"/>
      <c r="AO943" s="126"/>
      <c r="AP943" s="85"/>
      <c r="AQ943" s="85"/>
      <c r="AR943" s="62"/>
      <c r="AS943" s="126"/>
      <c r="AT943" s="126"/>
      <c r="AU943" s="125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5"/>
      <c r="AM944" s="85"/>
      <c r="AN944" s="79"/>
      <c r="AO944" s="81"/>
      <c r="AP944" s="81"/>
      <c r="AQ944" s="81"/>
      <c r="AR944" s="62"/>
      <c r="AS944" s="84"/>
      <c r="AT944" s="84"/>
      <c r="AU944" s="125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27" t="s">
        <v>17</v>
      </c>
      <c r="E945" s="127"/>
      <c r="F945" s="111"/>
      <c r="G945" s="27"/>
      <c r="I945" s="121" t="s">
        <v>18</v>
      </c>
      <c r="J945" s="122"/>
      <c r="K945" s="123" t="s">
        <v>19</v>
      </c>
      <c r="N945" s="25"/>
      <c r="O945" s="26"/>
      <c r="P945" s="127" t="s">
        <v>17</v>
      </c>
      <c r="Q945" s="127"/>
      <c r="R945" s="111"/>
      <c r="S945" s="27"/>
      <c r="U945" s="121" t="s">
        <v>18</v>
      </c>
      <c r="V945" s="122"/>
      <c r="W945" s="123" t="s">
        <v>19</v>
      </c>
      <c r="Z945" s="25"/>
      <c r="AA945" s="26"/>
      <c r="AB945" s="127" t="s">
        <v>17</v>
      </c>
      <c r="AC945" s="127"/>
      <c r="AD945" s="111"/>
      <c r="AE945" s="27"/>
      <c r="AG945" s="121" t="s">
        <v>18</v>
      </c>
      <c r="AH945" s="122"/>
      <c r="AI945" s="123" t="s">
        <v>19</v>
      </c>
      <c r="AK945" s="62"/>
      <c r="AL945" s="66"/>
      <c r="AM945" s="85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24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24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24"/>
      <c r="AK946" s="62"/>
      <c r="AL946" s="66"/>
      <c r="AM946" s="85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2">
        <v>11484</v>
      </c>
      <c r="D947" s="32">
        <f>650*432+670*96+622*216+872*39+229*10</f>
        <v>515770</v>
      </c>
      <c r="E947" s="32">
        <f>-783*6</f>
        <v>-4698</v>
      </c>
      <c r="F947" s="32"/>
      <c r="G947" s="32">
        <f t="shared" ref="G947:G980" si="261">SUM(D947:E947)</f>
        <v>511072</v>
      </c>
      <c r="H947" s="12"/>
      <c r="I947" s="12">
        <f>120*29+111*485</f>
        <v>57315</v>
      </c>
      <c r="J947" s="12">
        <f>-78*5+-42*30</f>
        <v>-1650</v>
      </c>
      <c r="K947" s="12">
        <f t="shared" ref="K947:K980" si="262">SUM(G947:J947)</f>
        <v>566737</v>
      </c>
      <c r="M947" s="10">
        <v>1</v>
      </c>
      <c r="N947" s="30" t="s">
        <v>93</v>
      </c>
      <c r="O947" s="82">
        <v>11539</v>
      </c>
      <c r="P947" s="32">
        <f>650*150+622*10+229*5</f>
        <v>104865</v>
      </c>
      <c r="Q947" s="32">
        <f>-160*6</f>
        <v>-960</v>
      </c>
      <c r="R947" s="32"/>
      <c r="S947" s="32">
        <f>SUM(P947:Q947)</f>
        <v>103905</v>
      </c>
      <c r="T947" s="12"/>
      <c r="U947" s="12">
        <f>111*25+78*4</f>
        <v>3087</v>
      </c>
      <c r="V947" s="12">
        <f>-84+-84*6+-42*3</f>
        <v>-714</v>
      </c>
      <c r="W947" s="12">
        <f>SUM(S947:V947)</f>
        <v>106278</v>
      </c>
      <c r="Y947" s="10">
        <v>1</v>
      </c>
      <c r="Z947" s="30" t="s">
        <v>93</v>
      </c>
      <c r="AA947" s="31">
        <v>11556</v>
      </c>
      <c r="AB947" s="32">
        <f>650*216+670*26+1102+229*6+650*4</f>
        <v>162896</v>
      </c>
      <c r="AC947" s="32">
        <f>-245*6</f>
        <v>-1470</v>
      </c>
      <c r="AD947" s="32"/>
      <c r="AE947" s="32">
        <f t="shared" ref="AE947:AE952" si="263">SUM(AB947:AC947)</f>
        <v>161426</v>
      </c>
      <c r="AF947" s="12"/>
      <c r="AG947" s="12">
        <f>999+8*78</f>
        <v>1623</v>
      </c>
      <c r="AH947" s="12">
        <f>-120+-120*19</f>
        <v>-2400</v>
      </c>
      <c r="AI947" s="12">
        <f t="shared" ref="AI947:AI988" si="264">SUM(AE947:AH947)</f>
        <v>160649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31">
        <v>11486</v>
      </c>
      <c r="D948" s="32">
        <f>670*4+622*5</f>
        <v>5790</v>
      </c>
      <c r="E948" s="32"/>
      <c r="F948" s="32"/>
      <c r="G948" s="32">
        <f t="shared" si="261"/>
        <v>5790</v>
      </c>
      <c r="H948" s="12"/>
      <c r="I948" s="12"/>
      <c r="J948" s="12">
        <f>-111*37</f>
        <v>-4107</v>
      </c>
      <c r="K948" s="12">
        <f t="shared" si="262"/>
        <v>1683</v>
      </c>
      <c r="M948" s="10">
        <v>2</v>
      </c>
      <c r="N948" s="30" t="s">
        <v>93</v>
      </c>
      <c r="O948" s="82">
        <f>O947+1</f>
        <v>11540</v>
      </c>
      <c r="P948" s="32">
        <f>650*70+229</f>
        <v>45729</v>
      </c>
      <c r="Q948" s="32">
        <f>-70*6</f>
        <v>-420</v>
      </c>
      <c r="R948" s="32"/>
      <c r="S948" s="32">
        <f t="shared" ref="S948:S963" si="265">SUM(P948:Q948)</f>
        <v>45309</v>
      </c>
      <c r="T948" s="12"/>
      <c r="U948" s="12">
        <f>1.5*24</f>
        <v>36</v>
      </c>
      <c r="V948" s="12"/>
      <c r="W948" s="12">
        <f t="shared" ref="W948:W988" si="266">SUM(S948:V948)</f>
        <v>45345</v>
      </c>
      <c r="Y948" s="10">
        <v>2</v>
      </c>
      <c r="Z948" s="30" t="s">
        <v>93</v>
      </c>
      <c r="AA948" s="31">
        <f>AA947+1</f>
        <v>11557</v>
      </c>
      <c r="AB948" s="12">
        <f>973*2</f>
        <v>1946</v>
      </c>
      <c r="AC948" s="10"/>
      <c r="AD948" s="10"/>
      <c r="AE948" s="32">
        <f t="shared" si="263"/>
        <v>1946</v>
      </c>
      <c r="AG948" s="10"/>
      <c r="AH948" s="10"/>
      <c r="AI948" s="12">
        <f t="shared" si="264"/>
        <v>1946</v>
      </c>
      <c r="AK948" s="62"/>
      <c r="AL948" s="66"/>
      <c r="AM948" s="85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31">
        <f t="shared" ref="C949" si="267">C948+1</f>
        <v>11487</v>
      </c>
      <c r="D949" s="33">
        <f>650+622*2</f>
        <v>1894</v>
      </c>
      <c r="E949" s="33"/>
      <c r="F949" s="33"/>
      <c r="G949" s="33">
        <f t="shared" si="261"/>
        <v>1894</v>
      </c>
      <c r="H949" s="34"/>
      <c r="I949" s="34"/>
      <c r="J949" s="34"/>
      <c r="K949" s="34">
        <f t="shared" si="262"/>
        <v>1894</v>
      </c>
      <c r="M949" s="10">
        <v>3</v>
      </c>
      <c r="N949" s="30" t="s">
        <v>93</v>
      </c>
      <c r="O949" s="82">
        <f t="shared" ref="O949:O955" si="268">O948+1</f>
        <v>11541</v>
      </c>
      <c r="P949" s="33">
        <f>650*13+9.5*4</f>
        <v>8488</v>
      </c>
      <c r="Q949" s="33"/>
      <c r="R949" s="32"/>
      <c r="S949" s="32">
        <f t="shared" si="265"/>
        <v>8488</v>
      </c>
      <c r="T949" s="12"/>
      <c r="U949" s="34"/>
      <c r="V949" s="34"/>
      <c r="W949" s="12">
        <f t="shared" si="266"/>
        <v>8488</v>
      </c>
      <c r="Y949" s="10">
        <v>3</v>
      </c>
      <c r="Z949" s="30" t="s">
        <v>93</v>
      </c>
      <c r="AA949" s="31">
        <f t="shared" ref="AA949:AA953" si="269">AA948+1</f>
        <v>11558</v>
      </c>
      <c r="AB949" s="32">
        <f>650*100+622*10+229*2</f>
        <v>71678</v>
      </c>
      <c r="AC949" s="32"/>
      <c r="AD949" s="32"/>
      <c r="AE949" s="32">
        <f t="shared" si="263"/>
        <v>71678</v>
      </c>
      <c r="AF949" s="12"/>
      <c r="AG949" s="12">
        <f>18*111</f>
        <v>1998</v>
      </c>
      <c r="AH949" s="12">
        <f>-84*14</f>
        <v>-1176</v>
      </c>
      <c r="AI949" s="12">
        <f t="shared" si="264"/>
        <v>72500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61"/>
        <v>0</v>
      </c>
      <c r="H950" s="12"/>
      <c r="I950" s="12"/>
      <c r="J950" s="12"/>
      <c r="K950" s="12">
        <f t="shared" si="262"/>
        <v>0</v>
      </c>
      <c r="M950" s="10">
        <v>4</v>
      </c>
      <c r="N950" s="30" t="s">
        <v>93</v>
      </c>
      <c r="O950" s="82">
        <f t="shared" si="268"/>
        <v>11542</v>
      </c>
      <c r="P950" s="32">
        <f>650*9</f>
        <v>5850</v>
      </c>
      <c r="Q950" s="32"/>
      <c r="R950" s="32"/>
      <c r="S950" s="32">
        <f t="shared" si="265"/>
        <v>5850</v>
      </c>
      <c r="T950" s="12"/>
      <c r="U950" s="12"/>
      <c r="V950" s="12">
        <f>-6*111</f>
        <v>-666</v>
      </c>
      <c r="W950" s="12">
        <f t="shared" si="266"/>
        <v>5184</v>
      </c>
      <c r="Y950" s="10">
        <v>4</v>
      </c>
      <c r="Z950" s="30" t="s">
        <v>93</v>
      </c>
      <c r="AA950" s="31">
        <f t="shared" si="269"/>
        <v>11559</v>
      </c>
      <c r="AB950" s="33">
        <f>650*26+622*4+229</f>
        <v>19617</v>
      </c>
      <c r="AC950" s="33"/>
      <c r="AD950" s="32"/>
      <c r="AE950" s="32">
        <f t="shared" si="263"/>
        <v>19617</v>
      </c>
      <c r="AF950" s="12"/>
      <c r="AG950" s="12"/>
      <c r="AH950" s="12"/>
      <c r="AI950" s="12">
        <f t="shared" si="264"/>
        <v>19617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61"/>
        <v>0</v>
      </c>
      <c r="H951" s="12"/>
      <c r="I951" s="12"/>
      <c r="J951" s="12"/>
      <c r="K951" s="12">
        <f t="shared" si="262"/>
        <v>0</v>
      </c>
      <c r="M951" s="10">
        <v>5</v>
      </c>
      <c r="N951" s="30" t="s">
        <v>93</v>
      </c>
      <c r="O951" s="82">
        <f t="shared" si="268"/>
        <v>11543</v>
      </c>
      <c r="P951" s="32">
        <f>650*15+670*2+622*5</f>
        <v>14200</v>
      </c>
      <c r="Q951" s="32"/>
      <c r="R951" s="32"/>
      <c r="S951" s="32">
        <f t="shared" si="265"/>
        <v>14200</v>
      </c>
      <c r="T951" s="12"/>
      <c r="U951" s="12"/>
      <c r="V951" s="12"/>
      <c r="W951" s="12">
        <f t="shared" si="266"/>
        <v>14200</v>
      </c>
      <c r="Y951" s="10">
        <v>5</v>
      </c>
      <c r="Z951" s="30" t="s">
        <v>93</v>
      </c>
      <c r="AA951" s="31">
        <f t="shared" si="269"/>
        <v>11560</v>
      </c>
      <c r="AB951" s="32">
        <f>650*20+670+872</f>
        <v>14542</v>
      </c>
      <c r="AC951" s="32"/>
      <c r="AD951" s="32"/>
      <c r="AE951" s="32">
        <f t="shared" si="263"/>
        <v>14542</v>
      </c>
      <c r="AF951" s="12"/>
      <c r="AG951">
        <v>54</v>
      </c>
      <c r="AH951" s="12"/>
      <c r="AI951" s="12">
        <f t="shared" si="264"/>
        <v>14596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61"/>
        <v>0</v>
      </c>
      <c r="H952" s="12"/>
      <c r="I952" s="12"/>
      <c r="J952" s="12"/>
      <c r="K952" s="12">
        <f t="shared" si="262"/>
        <v>0</v>
      </c>
      <c r="M952" s="10">
        <v>6</v>
      </c>
      <c r="N952" s="30" t="s">
        <v>93</v>
      </c>
      <c r="O952" s="82">
        <f t="shared" si="268"/>
        <v>11544</v>
      </c>
      <c r="P952" s="32">
        <f>650*2+670</f>
        <v>1970</v>
      </c>
      <c r="Q952" s="32"/>
      <c r="R952" s="32"/>
      <c r="S952" s="32">
        <f t="shared" si="265"/>
        <v>1970</v>
      </c>
      <c r="T952" s="12"/>
      <c r="U952" s="12"/>
      <c r="V952" s="10"/>
      <c r="W952" s="12">
        <f t="shared" si="266"/>
        <v>1970</v>
      </c>
      <c r="Y952" s="10">
        <v>6</v>
      </c>
      <c r="Z952" s="30" t="s">
        <v>93</v>
      </c>
      <c r="AA952" s="31">
        <f t="shared" si="269"/>
        <v>11561</v>
      </c>
      <c r="AB952" s="32">
        <f>650*216+622*30+229*8</f>
        <v>160892</v>
      </c>
      <c r="AC952" s="32">
        <f>-246*6</f>
        <v>-1476</v>
      </c>
      <c r="AD952" s="32"/>
      <c r="AE952" s="32">
        <f t="shared" si="263"/>
        <v>159416</v>
      </c>
      <c r="AF952" s="12"/>
      <c r="AG952" s="12"/>
      <c r="AH952" s="12"/>
      <c r="AI952" s="12">
        <f t="shared" si="264"/>
        <v>159416</v>
      </c>
      <c r="AK952" s="62"/>
      <c r="AL952" s="66"/>
      <c r="AM952" s="85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61"/>
        <v>0</v>
      </c>
      <c r="H953" s="12"/>
      <c r="I953" s="12"/>
      <c r="J953" s="12"/>
      <c r="K953" s="12">
        <f t="shared" si="262"/>
        <v>0</v>
      </c>
      <c r="M953" s="10">
        <v>7</v>
      </c>
      <c r="N953" s="30" t="s">
        <v>93</v>
      </c>
      <c r="O953" s="82">
        <f t="shared" si="268"/>
        <v>11545</v>
      </c>
      <c r="P953" s="32">
        <f>650*3+670+872</f>
        <v>3492</v>
      </c>
      <c r="Q953" s="32"/>
      <c r="R953" s="32"/>
      <c r="S953" s="32">
        <f t="shared" si="265"/>
        <v>3492</v>
      </c>
      <c r="T953" s="12"/>
      <c r="U953" s="12">
        <v>49</v>
      </c>
      <c r="V953" s="12"/>
      <c r="W953" s="12">
        <f t="shared" si="266"/>
        <v>3541</v>
      </c>
      <c r="Y953" s="10">
        <v>7</v>
      </c>
      <c r="Z953" s="30" t="s">
        <v>93</v>
      </c>
      <c r="AA953" s="31">
        <f t="shared" si="269"/>
        <v>11562</v>
      </c>
      <c r="AB953" s="32"/>
      <c r="AC953" s="32"/>
      <c r="AD953" s="32"/>
      <c r="AE953" s="32">
        <f t="shared" ref="AE953:AE985" si="270">SUM(AB953:AC953)</f>
        <v>0</v>
      </c>
      <c r="AF953" s="12"/>
      <c r="AG953" s="58">
        <f>111*17+120*14+1.5*22</f>
        <v>3600</v>
      </c>
      <c r="AH953" s="12"/>
      <c r="AI953" s="12">
        <f t="shared" si="264"/>
        <v>3600</v>
      </c>
      <c r="AK953" s="62"/>
      <c r="AL953" s="66"/>
      <c r="AM953" s="85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61"/>
        <v>0</v>
      </c>
      <c r="H954" s="12"/>
      <c r="I954" s="12"/>
      <c r="J954" s="12"/>
      <c r="K954" s="12">
        <f t="shared" si="262"/>
        <v>0</v>
      </c>
      <c r="M954" s="10">
        <v>8</v>
      </c>
      <c r="N954" s="30" t="s">
        <v>93</v>
      </c>
      <c r="O954" s="82">
        <f t="shared" si="268"/>
        <v>11546</v>
      </c>
      <c r="P954" s="32">
        <f>650*4+9.5*4</f>
        <v>2638</v>
      </c>
      <c r="Q954" s="32"/>
      <c r="R954" s="32"/>
      <c r="S954" s="32">
        <f t="shared" si="265"/>
        <v>2638</v>
      </c>
      <c r="T954" s="12"/>
      <c r="U954" s="12"/>
      <c r="V954" s="12">
        <v>-444</v>
      </c>
      <c r="W954" s="12">
        <f t="shared" si="266"/>
        <v>2194</v>
      </c>
      <c r="Y954" s="10">
        <v>8</v>
      </c>
      <c r="Z954" s="30"/>
      <c r="AA954" s="11" t="s">
        <v>27</v>
      </c>
      <c r="AB954" s="32"/>
      <c r="AC954" s="32"/>
      <c r="AE954" s="32">
        <f t="shared" si="270"/>
        <v>0</v>
      </c>
      <c r="AF954" s="12"/>
      <c r="AG954" s="12"/>
      <c r="AH954" s="12"/>
      <c r="AI954" s="12">
        <f t="shared" si="264"/>
        <v>0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61"/>
        <v>0</v>
      </c>
      <c r="H955" s="12"/>
      <c r="I955" s="12"/>
      <c r="J955" s="12"/>
      <c r="K955" s="12">
        <f t="shared" si="262"/>
        <v>0</v>
      </c>
      <c r="M955" s="10">
        <v>9</v>
      </c>
      <c r="N955" s="30" t="s">
        <v>93</v>
      </c>
      <c r="O955" s="82">
        <f t="shared" si="268"/>
        <v>11547</v>
      </c>
      <c r="P955" s="32">
        <f>650*5+9.5*5</f>
        <v>3297.5</v>
      </c>
      <c r="Q955" s="32"/>
      <c r="R955" s="32"/>
      <c r="S955" s="32">
        <f t="shared" si="265"/>
        <v>3297.5</v>
      </c>
      <c r="T955" s="12"/>
      <c r="U955" s="12"/>
      <c r="V955" s="12">
        <f>-84*3</f>
        <v>-252</v>
      </c>
      <c r="W955" s="12">
        <f t="shared" si="266"/>
        <v>3045.5</v>
      </c>
      <c r="Y955" s="10">
        <v>9</v>
      </c>
      <c r="Z955" s="30"/>
      <c r="AA955" s="31"/>
      <c r="AB955" s="105"/>
      <c r="AC955" s="32"/>
      <c r="AD955" s="32"/>
      <c r="AE955" s="32">
        <f t="shared" si="270"/>
        <v>0</v>
      </c>
      <c r="AF955" s="12"/>
      <c r="AH955" s="12"/>
      <c r="AI955" s="12">
        <f t="shared" si="264"/>
        <v>0</v>
      </c>
      <c r="AK955" s="62"/>
      <c r="AL955" s="66"/>
      <c r="AM955" s="85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61"/>
        <v>0</v>
      </c>
      <c r="H956" s="12"/>
      <c r="I956" s="12"/>
      <c r="J956" s="12"/>
      <c r="K956" s="12">
        <f t="shared" si="262"/>
        <v>0</v>
      </c>
      <c r="M956" s="10">
        <v>10</v>
      </c>
      <c r="N956" s="30"/>
      <c r="O956" s="11" t="s">
        <v>27</v>
      </c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70"/>
        <v>0</v>
      </c>
      <c r="AF956" s="12"/>
      <c r="AG956" s="12"/>
      <c r="AH956" s="12"/>
      <c r="AI956" s="12">
        <f t="shared" si="264"/>
        <v>0</v>
      </c>
      <c r="AK956" s="62"/>
      <c r="AL956" s="66"/>
      <c r="AM956" s="85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31"/>
      <c r="D957" s="32"/>
      <c r="E957" s="32"/>
      <c r="F957" s="32"/>
      <c r="G957" s="32">
        <f t="shared" si="261"/>
        <v>0</v>
      </c>
      <c r="H957" s="12"/>
      <c r="I957" s="12"/>
      <c r="J957" s="12"/>
      <c r="K957" s="12">
        <f t="shared" si="262"/>
        <v>0</v>
      </c>
      <c r="M957" s="10">
        <v>11</v>
      </c>
      <c r="N957" s="30"/>
      <c r="O957" s="82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70"/>
        <v>0</v>
      </c>
      <c r="AF957" s="12"/>
      <c r="AG957" s="12"/>
      <c r="AH957" s="12"/>
      <c r="AI957" s="12">
        <f t="shared" si="264"/>
        <v>0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61"/>
        <v>0</v>
      </c>
      <c r="H958" s="12"/>
      <c r="I958" s="12"/>
      <c r="J958" s="10"/>
      <c r="K958" s="12">
        <f t="shared" si="262"/>
        <v>0</v>
      </c>
      <c r="M958" s="10">
        <v>12</v>
      </c>
      <c r="N958" s="30"/>
      <c r="O958" s="82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70"/>
        <v>0</v>
      </c>
      <c r="AF958" s="12"/>
      <c r="AG958" s="12"/>
      <c r="AH958" s="12"/>
      <c r="AI958" s="12">
        <f t="shared" si="264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61"/>
        <v>0</v>
      </c>
      <c r="H959" s="12"/>
      <c r="I959" s="12"/>
      <c r="J959" s="12"/>
      <c r="K959" s="12">
        <f t="shared" si="262"/>
        <v>0</v>
      </c>
      <c r="M959" s="10">
        <v>13</v>
      </c>
      <c r="N959" s="30"/>
      <c r="O959" s="82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0"/>
        <v>0</v>
      </c>
      <c r="AF959" s="12"/>
      <c r="AG959" s="12"/>
      <c r="AH959" s="12"/>
      <c r="AI959" s="12">
        <f t="shared" si="264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61"/>
        <v>0</v>
      </c>
      <c r="H960" s="12"/>
      <c r="I960" s="12"/>
      <c r="J960" s="12"/>
      <c r="K960" s="12">
        <f t="shared" si="262"/>
        <v>0</v>
      </c>
      <c r="M960" s="10">
        <v>14</v>
      </c>
      <c r="N960" s="30"/>
      <c r="O960" s="82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0"/>
        <v>0</v>
      </c>
      <c r="AF960" s="12"/>
      <c r="AG960" s="12"/>
      <c r="AH960" s="12"/>
      <c r="AI960" s="12">
        <f t="shared" si="264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61"/>
        <v>0</v>
      </c>
      <c r="H961" s="12"/>
      <c r="I961" s="12"/>
      <c r="J961" s="12"/>
      <c r="K961" s="12">
        <f t="shared" si="262"/>
        <v>0</v>
      </c>
      <c r="M961" s="10">
        <v>15</v>
      </c>
      <c r="N961" s="30"/>
      <c r="O961" s="82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0"/>
        <v>0</v>
      </c>
      <c r="AF961" s="12"/>
      <c r="AG961" s="12"/>
      <c r="AH961" s="12"/>
      <c r="AI961" s="12">
        <f t="shared" si="264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61"/>
        <v>0</v>
      </c>
      <c r="H962" s="12"/>
      <c r="I962" s="12"/>
      <c r="J962" s="12"/>
      <c r="K962" s="12">
        <f t="shared" si="262"/>
        <v>0</v>
      </c>
      <c r="M962" s="10">
        <v>16</v>
      </c>
      <c r="N962" s="30"/>
      <c r="O962" s="82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70"/>
        <v>0</v>
      </c>
      <c r="AF962" s="12"/>
      <c r="AG962" s="12"/>
      <c r="AH962" s="12"/>
      <c r="AI962" s="12">
        <f t="shared" si="264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61"/>
        <v>0</v>
      </c>
      <c r="H963" s="12"/>
      <c r="I963" s="12"/>
      <c r="J963" s="12"/>
      <c r="K963" s="12">
        <f t="shared" si="262"/>
        <v>0</v>
      </c>
      <c r="M963" s="10">
        <v>17</v>
      </c>
      <c r="N963" s="30"/>
      <c r="O963" s="82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0"/>
        <v>0</v>
      </c>
      <c r="AF963" s="12"/>
      <c r="AG963" s="12"/>
      <c r="AH963" s="12"/>
      <c r="AI963" s="12">
        <f t="shared" si="264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61"/>
        <v>0</v>
      </c>
      <c r="H964" s="12"/>
      <c r="I964" s="12"/>
      <c r="J964" s="12"/>
      <c r="K964" s="12">
        <f t="shared" si="262"/>
        <v>0</v>
      </c>
      <c r="M964" s="10">
        <v>18</v>
      </c>
      <c r="N964" s="30"/>
      <c r="O964" s="82"/>
      <c r="P964" s="32"/>
      <c r="Q964" s="32"/>
      <c r="R964" s="32"/>
      <c r="S964" s="32"/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0"/>
        <v>0</v>
      </c>
      <c r="AF964" s="12"/>
      <c r="AG964" s="12"/>
      <c r="AH964" s="12"/>
      <c r="AI964" s="12">
        <f t="shared" si="264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61"/>
        <v>0</v>
      </c>
      <c r="H965" s="12"/>
      <c r="I965" s="12"/>
      <c r="J965" s="12"/>
      <c r="K965" s="12">
        <f t="shared" si="262"/>
        <v>0</v>
      </c>
      <c r="M965" s="10">
        <v>19</v>
      </c>
      <c r="N965" s="30"/>
      <c r="O965" s="82"/>
      <c r="P965" s="32"/>
      <c r="Q965" s="32"/>
      <c r="R965" s="32"/>
      <c r="S965" s="32"/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0"/>
        <v>0</v>
      </c>
      <c r="AF965" s="12"/>
      <c r="AG965" s="12"/>
      <c r="AH965" s="12"/>
      <c r="AI965" s="12">
        <f t="shared" si="264"/>
        <v>0</v>
      </c>
      <c r="AK965" s="62"/>
      <c r="AL965" s="66"/>
      <c r="AM965" s="85"/>
      <c r="AN965" s="67"/>
      <c r="AO965" s="85"/>
      <c r="AP965" s="85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61"/>
        <v>0</v>
      </c>
      <c r="H966" s="12"/>
      <c r="I966" s="12"/>
      <c r="J966" s="12"/>
      <c r="K966" s="12">
        <f t="shared" si="262"/>
        <v>0</v>
      </c>
      <c r="M966" s="10">
        <v>20</v>
      </c>
      <c r="N966" s="30"/>
      <c r="O966" s="11"/>
      <c r="P966" s="32"/>
      <c r="Q966" s="32"/>
      <c r="R966" s="32"/>
      <c r="S966" s="32"/>
      <c r="T966" s="12"/>
      <c r="U966" s="12"/>
      <c r="V966" s="12"/>
      <c r="W966" s="12">
        <f t="shared" si="266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70"/>
        <v>0</v>
      </c>
      <c r="AF966" s="12"/>
      <c r="AG966" s="12"/>
      <c r="AH966" s="12"/>
      <c r="AI966" s="12">
        <f t="shared" si="264"/>
        <v>0</v>
      </c>
      <c r="AK966" s="62"/>
      <c r="AL966" s="66"/>
      <c r="AM966" s="85"/>
      <c r="AN966" s="68"/>
      <c r="AO966" s="85"/>
      <c r="AP966" s="85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11"/>
      <c r="D967" s="32"/>
      <c r="E967" s="32"/>
      <c r="F967" s="32"/>
      <c r="G967" s="32">
        <f t="shared" si="261"/>
        <v>0</v>
      </c>
      <c r="H967" s="10"/>
      <c r="I967" s="10"/>
      <c r="J967" s="10"/>
      <c r="K967" s="12">
        <f t="shared" si="262"/>
        <v>0</v>
      </c>
      <c r="M967" s="10">
        <v>21</v>
      </c>
      <c r="N967" s="30"/>
      <c r="O967" s="11"/>
      <c r="P967" s="46"/>
      <c r="Q967" s="31"/>
      <c r="R967" s="31"/>
      <c r="S967" s="32"/>
      <c r="T967" s="10"/>
      <c r="U967" s="10"/>
      <c r="V967" s="10"/>
      <c r="W967" s="12">
        <f t="shared" si="266"/>
        <v>0</v>
      </c>
      <c r="Y967" s="10">
        <v>21</v>
      </c>
      <c r="Z967" s="30"/>
      <c r="AA967" s="11"/>
      <c r="AB967" s="46"/>
      <c r="AC967" s="31"/>
      <c r="AD967" s="31"/>
      <c r="AE967" s="32">
        <f t="shared" si="270"/>
        <v>0</v>
      </c>
      <c r="AF967" s="10"/>
      <c r="AG967" s="10"/>
      <c r="AH967" s="10"/>
      <c r="AI967" s="12">
        <f t="shared" si="264"/>
        <v>0</v>
      </c>
      <c r="AK967" s="62"/>
      <c r="AL967" s="66"/>
      <c r="AM967" s="85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61"/>
        <v>0</v>
      </c>
      <c r="H968" s="10"/>
      <c r="I968" s="10"/>
      <c r="J968" s="10"/>
      <c r="K968" s="12">
        <f t="shared" si="262"/>
        <v>0</v>
      </c>
      <c r="M968" s="10">
        <v>22</v>
      </c>
      <c r="N968" s="30"/>
      <c r="O968" s="82"/>
      <c r="P968" s="45"/>
      <c r="Q968" s="31"/>
      <c r="R968" s="31"/>
      <c r="S968" s="32"/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0"/>
        <v>0</v>
      </c>
      <c r="AF968" s="10"/>
      <c r="AG968" s="10"/>
      <c r="AH968" s="10"/>
      <c r="AI968" s="12">
        <f t="shared" si="264"/>
        <v>0</v>
      </c>
      <c r="AK968" s="62"/>
      <c r="AL968" s="66"/>
      <c r="AM968" s="85"/>
      <c r="AN968" s="69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31"/>
      <c r="D969" s="32"/>
      <c r="E969" s="32"/>
      <c r="F969" s="32"/>
      <c r="G969" s="32">
        <f t="shared" si="261"/>
        <v>0</v>
      </c>
      <c r="H969" s="10"/>
      <c r="I969" s="10"/>
      <c r="J969" s="12"/>
      <c r="K969" s="12">
        <f t="shared" si="262"/>
        <v>0</v>
      </c>
      <c r="M969" s="10">
        <v>23</v>
      </c>
      <c r="N969" s="30"/>
      <c r="O969" s="82"/>
      <c r="P969" s="47"/>
      <c r="S969" s="32"/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0"/>
        <v>0</v>
      </c>
      <c r="AF969" s="10"/>
      <c r="AG969" s="10"/>
      <c r="AH969" s="10"/>
      <c r="AI969" s="12">
        <f t="shared" si="264"/>
        <v>0</v>
      </c>
      <c r="AK969" s="62"/>
      <c r="AL969" s="66"/>
      <c r="AM969" s="85"/>
      <c r="AN969" s="69"/>
      <c r="AO969" s="85"/>
      <c r="AP969" s="85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61"/>
        <v>0</v>
      </c>
      <c r="H970" s="10"/>
      <c r="I970" s="10"/>
      <c r="J970" s="10"/>
      <c r="K970" s="12">
        <f t="shared" si="262"/>
        <v>0</v>
      </c>
      <c r="M970" s="10">
        <v>24</v>
      </c>
      <c r="N970" s="30"/>
      <c r="O970" s="82"/>
      <c r="P970" s="47"/>
      <c r="Q970" s="31"/>
      <c r="R970" s="31"/>
      <c r="S970" s="32"/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0"/>
        <v>0</v>
      </c>
      <c r="AF970" s="10"/>
      <c r="AG970" s="10"/>
      <c r="AH970" s="10"/>
      <c r="AI970" s="12">
        <f t="shared" si="264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61"/>
        <v>0</v>
      </c>
      <c r="H971" s="10"/>
      <c r="I971" s="10"/>
      <c r="J971" s="10"/>
      <c r="K971" s="12">
        <f t="shared" si="262"/>
        <v>0</v>
      </c>
      <c r="M971" s="10">
        <v>25</v>
      </c>
      <c r="N971" s="30"/>
      <c r="O971" s="82"/>
      <c r="P971" s="47"/>
      <c r="Q971" s="31"/>
      <c r="R971" s="31"/>
      <c r="S971" s="32"/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0"/>
        <v>0</v>
      </c>
      <c r="AF971" s="10"/>
      <c r="AG971" s="10"/>
      <c r="AH971" s="10"/>
      <c r="AI971" s="12">
        <f t="shared" si="264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61"/>
        <v>0</v>
      </c>
      <c r="H972" s="10"/>
      <c r="I972" s="10"/>
      <c r="J972" s="10"/>
      <c r="K972" s="12">
        <f t="shared" si="262"/>
        <v>0</v>
      </c>
      <c r="M972" s="10">
        <v>26</v>
      </c>
      <c r="N972" s="30"/>
      <c r="O972" s="82"/>
      <c r="P972" s="47"/>
      <c r="Q972" s="31"/>
      <c r="R972" s="31"/>
      <c r="S972" s="32"/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0"/>
        <v>0</v>
      </c>
      <c r="AF972" s="10"/>
      <c r="AG972" s="10"/>
      <c r="AH972" s="10"/>
      <c r="AI972" s="12">
        <f t="shared" si="264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61"/>
        <v>0</v>
      </c>
      <c r="H973" s="10"/>
      <c r="I973" s="10"/>
      <c r="J973" s="10"/>
      <c r="K973" s="12">
        <f t="shared" si="262"/>
        <v>0</v>
      </c>
      <c r="M973" s="10">
        <v>27</v>
      </c>
      <c r="N973" s="30"/>
      <c r="O973" s="82"/>
      <c r="P973" s="47"/>
      <c r="Q973" s="31"/>
      <c r="R973" s="31"/>
      <c r="S973" s="32"/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0"/>
        <v>0</v>
      </c>
      <c r="AF973" s="10"/>
      <c r="AG973" s="10"/>
      <c r="AH973" s="10"/>
      <c r="AI973" s="12">
        <f t="shared" si="264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61"/>
        <v>0</v>
      </c>
      <c r="H974" s="10"/>
      <c r="I974" s="10"/>
      <c r="J974" s="10"/>
      <c r="K974" s="12">
        <f t="shared" si="262"/>
        <v>0</v>
      </c>
      <c r="M974" s="10">
        <v>28</v>
      </c>
      <c r="N974" s="30"/>
      <c r="O974" s="82"/>
      <c r="P974" s="47"/>
      <c r="Q974" s="31"/>
      <c r="R974" s="31"/>
      <c r="S974" s="32"/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0"/>
        <v>0</v>
      </c>
      <c r="AF974" s="10"/>
      <c r="AG974" s="10"/>
      <c r="AH974" s="10"/>
      <c r="AI974" s="12">
        <f t="shared" si="264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11"/>
      <c r="D975" s="32"/>
      <c r="E975" s="32"/>
      <c r="F975" s="32"/>
      <c r="G975" s="32">
        <f t="shared" si="261"/>
        <v>0</v>
      </c>
      <c r="H975" s="10"/>
      <c r="I975" s="10"/>
      <c r="J975" s="10"/>
      <c r="K975" s="12">
        <f t="shared" si="262"/>
        <v>0</v>
      </c>
      <c r="M975" s="10">
        <v>29</v>
      </c>
      <c r="N975" s="30"/>
      <c r="O975" s="82"/>
      <c r="P975" s="47"/>
      <c r="Q975" s="31"/>
      <c r="R975" s="31"/>
      <c r="S975" s="32"/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0"/>
        <v>0</v>
      </c>
      <c r="AF975" s="10"/>
      <c r="AG975" s="10"/>
      <c r="AH975" s="10"/>
      <c r="AI975" s="12">
        <f t="shared" si="264"/>
        <v>0</v>
      </c>
      <c r="AK975" s="62"/>
      <c r="AL975" s="66"/>
      <c r="AM975" s="62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2"/>
      <c r="D976" s="32"/>
      <c r="E976" s="32"/>
      <c r="F976" s="32"/>
      <c r="G976" s="32">
        <f t="shared" si="261"/>
        <v>0</v>
      </c>
      <c r="H976" s="10"/>
      <c r="I976" s="10"/>
      <c r="J976" s="10"/>
      <c r="K976" s="12">
        <f t="shared" si="262"/>
        <v>0</v>
      </c>
      <c r="M976" s="10">
        <v>30</v>
      </c>
      <c r="N976" s="30"/>
      <c r="O976" s="82"/>
      <c r="P976" s="47"/>
      <c r="Q976" s="31"/>
      <c r="R976" s="31"/>
      <c r="S976" s="32"/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0"/>
        <v>0</v>
      </c>
      <c r="AF976" s="10"/>
      <c r="AG976" s="10"/>
      <c r="AH976" s="10"/>
      <c r="AI976" s="12">
        <f t="shared" si="264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2"/>
      <c r="D977" s="32"/>
      <c r="E977" s="32"/>
      <c r="F977" s="32"/>
      <c r="G977" s="32">
        <f t="shared" si="261"/>
        <v>0</v>
      </c>
      <c r="H977" s="10"/>
      <c r="I977" s="10"/>
      <c r="J977" s="10"/>
      <c r="K977" s="12">
        <f t="shared" si="262"/>
        <v>0</v>
      </c>
      <c r="M977" s="10">
        <v>31</v>
      </c>
      <c r="N977" s="30"/>
      <c r="O977" s="11"/>
      <c r="P977" s="47"/>
      <c r="Q977" s="31"/>
      <c r="R977" s="31"/>
      <c r="S977" s="32">
        <f t="shared" ref="S977:S985" si="271">SUM(P977:Q977)</f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0"/>
        <v>0</v>
      </c>
      <c r="AF977" s="10"/>
      <c r="AG977" s="10"/>
      <c r="AH977" s="10"/>
      <c r="AI977" s="12">
        <f t="shared" si="264"/>
        <v>0</v>
      </c>
      <c r="AK977" s="62"/>
      <c r="AL977" s="66"/>
      <c r="AM977" s="85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2"/>
      <c r="D978" s="32"/>
      <c r="E978" s="32"/>
      <c r="F978" s="32"/>
      <c r="G978" s="32">
        <f t="shared" si="261"/>
        <v>0</v>
      </c>
      <c r="H978" s="10"/>
      <c r="I978" s="10"/>
      <c r="J978" s="10"/>
      <c r="K978" s="12">
        <f t="shared" si="262"/>
        <v>0</v>
      </c>
      <c r="M978" s="10">
        <v>32</v>
      </c>
      <c r="N978" s="30"/>
      <c r="O978" s="31"/>
      <c r="P978" s="47"/>
      <c r="Q978" s="31"/>
      <c r="R978" s="31"/>
      <c r="S978" s="32">
        <f t="shared" si="271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0"/>
        <v>0</v>
      </c>
      <c r="AF978" s="10"/>
      <c r="AG978" s="10"/>
      <c r="AH978" s="10"/>
      <c r="AI978" s="12">
        <f t="shared" si="264"/>
        <v>0</v>
      </c>
      <c r="AK978" s="62"/>
      <c r="AL978" s="66"/>
      <c r="AM978" s="62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2"/>
      <c r="D979" s="32"/>
      <c r="E979" s="32"/>
      <c r="F979" s="32"/>
      <c r="G979" s="32">
        <f t="shared" si="261"/>
        <v>0</v>
      </c>
      <c r="H979" s="10"/>
      <c r="I979" s="10"/>
      <c r="J979" s="10"/>
      <c r="K979" s="12">
        <f t="shared" si="262"/>
        <v>0</v>
      </c>
      <c r="M979" s="10">
        <v>33</v>
      </c>
      <c r="N979" s="30"/>
      <c r="O979" s="31"/>
      <c r="P979" s="47"/>
      <c r="Q979" s="31"/>
      <c r="R979" s="31"/>
      <c r="S979" s="32">
        <f t="shared" si="271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0"/>
        <v>0</v>
      </c>
      <c r="AF979" s="10"/>
      <c r="AG979" s="10"/>
      <c r="AH979" s="10"/>
      <c r="AI979" s="12">
        <f t="shared" si="264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2"/>
      <c r="D980" s="32"/>
      <c r="E980" s="32"/>
      <c r="F980" s="32"/>
      <c r="G980" s="32">
        <f t="shared" si="261"/>
        <v>0</v>
      </c>
      <c r="H980" s="10"/>
      <c r="I980" s="10"/>
      <c r="J980" s="10"/>
      <c r="K980" s="12">
        <f t="shared" si="262"/>
        <v>0</v>
      </c>
      <c r="M980" s="10">
        <v>34</v>
      </c>
      <c r="N980" s="30"/>
      <c r="O980" s="31"/>
      <c r="P980" s="47"/>
      <c r="Q980" s="31"/>
      <c r="R980" s="31"/>
      <c r="S980" s="32">
        <f t="shared" si="271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70"/>
        <v>0</v>
      </c>
      <c r="AF980" s="10"/>
      <c r="AG980" s="10"/>
      <c r="AH980" s="10"/>
      <c r="AI980" s="12">
        <f t="shared" si="264"/>
        <v>0</v>
      </c>
      <c r="AK980" s="62"/>
      <c r="AL980" s="66"/>
      <c r="AM980" s="85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1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0"/>
        <v>0</v>
      </c>
      <c r="AF981" s="10"/>
      <c r="AG981" s="10"/>
      <c r="AH981" s="10"/>
      <c r="AI981" s="12">
        <f t="shared" si="264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1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0"/>
        <v>0</v>
      </c>
      <c r="AF982" s="10"/>
      <c r="AG982" s="10"/>
      <c r="AH982" s="10"/>
      <c r="AI982" s="12">
        <f t="shared" si="264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1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0"/>
        <v>0</v>
      </c>
      <c r="AF983" s="10"/>
      <c r="AG983" s="10"/>
      <c r="AH983" s="10"/>
      <c r="AI983" s="12">
        <f t="shared" si="264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1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0"/>
        <v>0</v>
      </c>
      <c r="AF984" s="10"/>
      <c r="AG984" s="10"/>
      <c r="AH984" s="10"/>
      <c r="AI984" s="12">
        <f t="shared" si="264"/>
        <v>0</v>
      </c>
      <c r="AK984" s="62"/>
      <c r="AL984" s="66"/>
      <c r="AM984" s="62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1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0"/>
        <v>0</v>
      </c>
      <c r="AF985" s="10"/>
      <c r="AG985" s="10"/>
      <c r="AH985" s="10"/>
      <c r="AI985" s="12">
        <f t="shared" si="264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4"/>
        <v>0</v>
      </c>
      <c r="AK986" s="62"/>
      <c r="AL986" s="85"/>
      <c r="AM986" s="85"/>
      <c r="AN986" s="85"/>
      <c r="AO986" s="85"/>
      <c r="AP986" s="85"/>
      <c r="AQ986" s="85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2">SUM(D987:E987)</f>
        <v>0</v>
      </c>
      <c r="H987" s="10"/>
      <c r="I987" s="10"/>
      <c r="J987" s="10"/>
      <c r="K987" s="12">
        <f t="shared" ref="K987" si="273">SUM(G987:J987)</f>
        <v>0</v>
      </c>
      <c r="M987" s="10"/>
      <c r="N987" s="30"/>
      <c r="O987" s="31"/>
      <c r="P987" s="47"/>
      <c r="Q987" s="31"/>
      <c r="R987" s="31"/>
      <c r="S987" s="32">
        <f t="shared" ref="S987" si="274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5">SUM(AB987:AC987)</f>
        <v>0</v>
      </c>
      <c r="AF987" s="10"/>
      <c r="AG987" s="10"/>
      <c r="AH987" s="10"/>
      <c r="AI987" s="12">
        <f t="shared" si="264"/>
        <v>0</v>
      </c>
      <c r="AK987" s="62"/>
      <c r="AL987" s="85"/>
      <c r="AM987" s="85"/>
      <c r="AN987" s="85"/>
      <c r="AO987" s="85"/>
      <c r="AP987" s="85"/>
      <c r="AQ987" s="85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4"/>
        <v>0</v>
      </c>
      <c r="AK988" s="62"/>
      <c r="AL988" s="85"/>
      <c r="AM988" s="85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523454</v>
      </c>
      <c r="E990" s="38">
        <f t="shared" ref="E990:F990" si="276">SUM(E947:E987)</f>
        <v>-4698</v>
      </c>
      <c r="F990" s="38">
        <f t="shared" si="276"/>
        <v>0</v>
      </c>
      <c r="G990" s="38">
        <f>SUM(G947:G989)</f>
        <v>518756</v>
      </c>
      <c r="H990" s="4"/>
      <c r="I990" s="39">
        <f>SUM(I947:I989)</f>
        <v>57315</v>
      </c>
      <c r="J990" s="39">
        <f>SUM(J947:J989)</f>
        <v>-5757</v>
      </c>
      <c r="K990" s="40">
        <f>SUM(K947:K989)</f>
        <v>570314</v>
      </c>
      <c r="N990" s="57"/>
      <c r="O990" s="57"/>
      <c r="P990" s="38">
        <f>SUM(P947:P989)</f>
        <v>190529.5</v>
      </c>
      <c r="Q990" s="38">
        <f>SUM(Q947:Q971)</f>
        <v>-1380</v>
      </c>
      <c r="R990" s="38">
        <f>SUM(R947:R971)</f>
        <v>0</v>
      </c>
      <c r="S990" s="38">
        <f>SUM(S947:S989)</f>
        <v>189149.5</v>
      </c>
      <c r="T990" s="4"/>
      <c r="U990" s="41">
        <f>SUM(U947:U989)</f>
        <v>3172</v>
      </c>
      <c r="V990" s="41">
        <f>SUM(V947:V971)</f>
        <v>-2076</v>
      </c>
      <c r="W990" s="42">
        <f>SUM(W947:W989)</f>
        <v>190245.5</v>
      </c>
      <c r="Z990" s="57"/>
      <c r="AA990" s="57"/>
      <c r="AB990" s="38">
        <f>SUM(AB947:AB989)</f>
        <v>431571</v>
      </c>
      <c r="AC990" s="38">
        <f>SUM(AC947:AC971)</f>
        <v>-2946</v>
      </c>
      <c r="AD990" s="38">
        <f>SUM(AD947:AD971)</f>
        <v>0</v>
      </c>
      <c r="AE990" s="38">
        <f>SUM(AE947:AE989)</f>
        <v>428625</v>
      </c>
      <c r="AF990" s="4"/>
      <c r="AG990" s="41">
        <f>SUM(AG947:AG989)</f>
        <v>7275</v>
      </c>
      <c r="AH990" s="41">
        <f>SUM(AH947:AH971)</f>
        <v>-3576</v>
      </c>
      <c r="AI990" s="42">
        <f>SUM(AI947:AI989)</f>
        <v>432324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5"/>
      <c r="C992" s="85"/>
      <c r="D992" s="85"/>
      <c r="E992" s="85"/>
      <c r="F992" s="85"/>
      <c r="G992" s="85"/>
      <c r="H992" s="62"/>
      <c r="I992" s="62"/>
      <c r="J992" s="62"/>
      <c r="K992" s="62"/>
      <c r="L992" s="62"/>
      <c r="M992" s="62"/>
      <c r="N992" s="85"/>
      <c r="O992" s="85"/>
      <c r="P992" s="85"/>
      <c r="Q992" s="85"/>
      <c r="R992" s="85"/>
      <c r="S992" s="85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5"/>
      <c r="C993" s="85"/>
      <c r="D993" s="85"/>
      <c r="E993" s="85"/>
      <c r="F993" s="85"/>
      <c r="G993" s="85"/>
      <c r="H993" s="62"/>
      <c r="I993" s="62"/>
      <c r="J993" s="62"/>
      <c r="K993" s="62"/>
      <c r="L993" s="62"/>
      <c r="M993" s="63"/>
      <c r="N993" s="85"/>
      <c r="O993" s="85"/>
      <c r="P993" s="85"/>
      <c r="Q993" s="85"/>
      <c r="R993" s="85"/>
      <c r="S993" s="85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5"/>
      <c r="C994" s="85"/>
      <c r="D994" s="85"/>
      <c r="E994" s="85"/>
      <c r="F994" s="85"/>
      <c r="G994" s="85"/>
      <c r="H994" s="62"/>
      <c r="I994" s="62"/>
      <c r="J994" s="62"/>
      <c r="K994" s="62"/>
      <c r="L994" s="62"/>
      <c r="M994" s="62"/>
      <c r="N994" s="85"/>
      <c r="O994" s="85"/>
      <c r="P994" s="85"/>
      <c r="Q994" s="85"/>
      <c r="R994" s="85"/>
      <c r="S994" s="85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5"/>
      <c r="C995" s="85"/>
      <c r="D995" s="85"/>
      <c r="E995" s="85"/>
      <c r="F995" s="85"/>
      <c r="G995" s="85"/>
      <c r="H995" s="62"/>
      <c r="I995" s="85"/>
      <c r="J995" s="73"/>
      <c r="K995" s="62"/>
      <c r="L995" s="62"/>
      <c r="M995" s="62"/>
      <c r="N995" s="85"/>
      <c r="O995" s="85"/>
      <c r="P995" s="85"/>
      <c r="Q995" s="85"/>
      <c r="R995" s="85"/>
      <c r="S995" s="85"/>
      <c r="T995" s="62"/>
      <c r="U995" s="85"/>
      <c r="V995" s="73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5"/>
      <c r="C996" s="85"/>
      <c r="D996" s="85"/>
      <c r="E996" s="85"/>
      <c r="F996" s="85"/>
      <c r="G996" s="85"/>
      <c r="H996" s="62"/>
      <c r="I996" s="65"/>
      <c r="J996" s="65"/>
      <c r="K996" s="62"/>
      <c r="L996" s="62"/>
      <c r="M996" s="64"/>
      <c r="N996" s="85"/>
      <c r="O996" s="85"/>
      <c r="P996" s="85"/>
      <c r="Q996" s="85"/>
      <c r="R996" s="85"/>
      <c r="S996" s="85"/>
      <c r="T996" s="62"/>
      <c r="U996" s="65"/>
      <c r="V996" s="65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5"/>
      <c r="C997" s="85"/>
      <c r="D997" s="85"/>
      <c r="E997" s="85"/>
      <c r="F997" s="85"/>
      <c r="G997" s="85"/>
      <c r="H997" s="62"/>
      <c r="I997" s="62"/>
      <c r="J997" s="62"/>
      <c r="K997" s="62"/>
      <c r="L997" s="62"/>
      <c r="M997" s="62"/>
      <c r="N997" s="85"/>
      <c r="O997" s="85"/>
      <c r="P997" s="85"/>
      <c r="Q997" s="85"/>
      <c r="R997" s="85"/>
      <c r="S997" s="85"/>
      <c r="T997" s="62"/>
      <c r="U997" s="62"/>
      <c r="V997" s="62"/>
      <c r="W997" s="62"/>
      <c r="Y997" t="s">
        <v>95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5"/>
      <c r="D998" s="126"/>
      <c r="E998" s="126"/>
      <c r="F998" s="85"/>
      <c r="G998" s="85"/>
      <c r="H998" s="62"/>
      <c r="I998" s="126"/>
      <c r="J998" s="126"/>
      <c r="K998" s="125"/>
      <c r="L998" s="62"/>
      <c r="M998" s="62"/>
      <c r="N998" s="65"/>
      <c r="O998" s="85"/>
      <c r="P998" s="126"/>
      <c r="Q998" s="126"/>
      <c r="R998" s="85"/>
      <c r="S998" s="85"/>
      <c r="T998" s="62"/>
      <c r="U998" s="126"/>
      <c r="V998" s="126"/>
      <c r="W998" s="125"/>
      <c r="Y998" s="21" t="s">
        <v>96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81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5"/>
      <c r="C999" s="85"/>
      <c r="D999" s="79"/>
      <c r="E999" s="80"/>
      <c r="F999" s="81"/>
      <c r="G999" s="81"/>
      <c r="H999" s="62"/>
      <c r="I999" s="84"/>
      <c r="J999" s="84"/>
      <c r="K999" s="125"/>
      <c r="L999" s="62"/>
      <c r="M999" s="62"/>
      <c r="N999" s="85"/>
      <c r="O999" s="85"/>
      <c r="P999" s="79"/>
      <c r="Q999" s="81"/>
      <c r="R999" s="81"/>
      <c r="S999" s="81"/>
      <c r="T999" s="62"/>
      <c r="U999" s="84"/>
      <c r="V999" s="84"/>
      <c r="W999" s="125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3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5"/>
      <c r="P1000" s="60"/>
      <c r="Q1000" s="60"/>
      <c r="R1000" s="60"/>
      <c r="S1000" s="60"/>
      <c r="T1000" s="61"/>
      <c r="U1000" s="61"/>
      <c r="V1000" s="61"/>
      <c r="W1000" s="61"/>
      <c r="Z1000" s="25"/>
      <c r="AA1000" s="26"/>
      <c r="AB1000" s="127" t="s">
        <v>17</v>
      </c>
      <c r="AC1000" s="127"/>
      <c r="AD1000" s="112"/>
      <c r="AE1000" s="27"/>
      <c r="AG1000" s="121" t="s">
        <v>18</v>
      </c>
      <c r="AH1000" s="122"/>
      <c r="AI1000" s="123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66"/>
      <c r="C1001" s="85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5"/>
      <c r="P1001" s="60"/>
      <c r="Q1001" s="60"/>
      <c r="R1001" s="60"/>
      <c r="S1001" s="60"/>
      <c r="T1001" s="61"/>
      <c r="U1001" s="61"/>
      <c r="V1001" s="61"/>
      <c r="W1001" s="61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31</v>
      </c>
      <c r="AE1001" s="78" t="s">
        <v>24</v>
      </c>
      <c r="AG1001" s="29" t="s">
        <v>25</v>
      </c>
      <c r="AH1001" s="29" t="s">
        <v>26</v>
      </c>
      <c r="AI1001" s="124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5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5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97</v>
      </c>
      <c r="AA1002" s="31">
        <v>11563</v>
      </c>
      <c r="AB1002" s="32">
        <f>650*216+108*622+229*10</f>
        <v>209866</v>
      </c>
      <c r="AC1002" s="32"/>
      <c r="AD1002" s="32"/>
      <c r="AE1002" s="32">
        <f t="shared" ref="AE1002:AE1007" si="277">SUM(AB1002:AC1002)</f>
        <v>209866</v>
      </c>
      <c r="AF1002" s="12"/>
      <c r="AG1002" s="12">
        <f>179*111+78*7</f>
        <v>20415</v>
      </c>
      <c r="AH1002" s="12"/>
      <c r="AI1002" s="12">
        <f t="shared" ref="AI1002:AI1043" si="278">SUM(AE1002:AH1002)</f>
        <v>230281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5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5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97</v>
      </c>
      <c r="AA1003" s="31">
        <f>AA1002+1</f>
        <v>11564</v>
      </c>
      <c r="AB1003" s="12">
        <f>670*10</f>
        <v>6700</v>
      </c>
      <c r="AC1003" s="10"/>
      <c r="AD1003" s="10"/>
      <c r="AE1003" s="32">
        <f t="shared" si="277"/>
        <v>6700</v>
      </c>
      <c r="AG1003" s="10">
        <f>10*111</f>
        <v>1110</v>
      </c>
      <c r="AH1003" s="10"/>
      <c r="AI1003" s="12">
        <f t="shared" si="278"/>
        <v>7810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5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5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97</v>
      </c>
      <c r="AA1004" s="31">
        <f t="shared" ref="AA1004:AA1006" si="279">AA1003+1</f>
        <v>11565</v>
      </c>
      <c r="AB1004" s="32">
        <f>650*216+912+1050+229*5+650*2</f>
        <v>144807</v>
      </c>
      <c r="AC1004" s="32">
        <f>-218*6</f>
        <v>-1308</v>
      </c>
      <c r="AD1004" s="32"/>
      <c r="AE1004" s="32">
        <f t="shared" si="277"/>
        <v>143499</v>
      </c>
      <c r="AF1004" s="12"/>
      <c r="AG1004" s="12">
        <f>111*103+78*5+4.5*30</f>
        <v>11958</v>
      </c>
      <c r="AH1004" s="12"/>
      <c r="AI1004" s="12">
        <f t="shared" si="278"/>
        <v>155457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5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5"/>
      <c r="P1005" s="60"/>
      <c r="Q1005" s="60"/>
      <c r="R1005" s="60"/>
      <c r="S1005" s="60"/>
      <c r="T1005" s="61"/>
      <c r="U1005" s="61"/>
      <c r="V1005" s="62"/>
      <c r="W1005" s="61"/>
      <c r="Y1005" s="10">
        <v>4</v>
      </c>
      <c r="Z1005" s="30" t="s">
        <v>97</v>
      </c>
      <c r="AA1005" s="31">
        <f t="shared" si="279"/>
        <v>11566</v>
      </c>
      <c r="AB1005" s="33">
        <f>650*28</f>
        <v>18200</v>
      </c>
      <c r="AC1005" s="33"/>
      <c r="AD1005" s="32"/>
      <c r="AE1005" s="32">
        <f t="shared" si="277"/>
        <v>18200</v>
      </c>
      <c r="AF1005" s="12"/>
      <c r="AG1005" s="12"/>
      <c r="AH1005" s="12">
        <f>-111*15</f>
        <v>-1665</v>
      </c>
      <c r="AI1005" s="12">
        <f t="shared" si="278"/>
        <v>16535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5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5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97</v>
      </c>
      <c r="AA1006" s="31">
        <f t="shared" si="279"/>
        <v>11567</v>
      </c>
      <c r="AB1006" s="32">
        <f>650*40+622*10</f>
        <v>32220</v>
      </c>
      <c r="AC1006" s="32">
        <f>-50*6</f>
        <v>-300</v>
      </c>
      <c r="AD1006" s="32"/>
      <c r="AE1006" s="32">
        <f t="shared" si="277"/>
        <v>31920</v>
      </c>
      <c r="AF1006" s="12"/>
      <c r="AH1006" s="12"/>
      <c r="AI1006" s="12">
        <f t="shared" si="278"/>
        <v>31920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5"/>
      <c r="P1007" s="60"/>
      <c r="Q1007" s="60"/>
      <c r="R1007" s="60"/>
      <c r="S1007" s="60"/>
      <c r="T1007" s="61"/>
      <c r="U1007" s="61"/>
      <c r="V1007" s="61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si="277"/>
        <v>0</v>
      </c>
      <c r="AF1007" s="12"/>
      <c r="AG1007" s="12"/>
      <c r="AH1007" s="12"/>
      <c r="AI1007" s="12">
        <f t="shared" si="278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5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5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ref="AE1008:AE1040" si="280">SUM(AB1008:AC1008)</f>
        <v>0</v>
      </c>
      <c r="AF1008" s="12"/>
      <c r="AG1008" s="58"/>
      <c r="AH1008" s="12"/>
      <c r="AI1008" s="12">
        <f t="shared" si="278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5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11"/>
      <c r="AB1009" s="32"/>
      <c r="AC1009" s="32"/>
      <c r="AE1009" s="32">
        <f t="shared" si="280"/>
        <v>0</v>
      </c>
      <c r="AF1009" s="12"/>
      <c r="AG1009" s="12"/>
      <c r="AH1009" s="12"/>
      <c r="AI1009" s="12">
        <f t="shared" si="278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5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5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B1010" s="105"/>
      <c r="AC1010" s="32"/>
      <c r="AD1010" s="32"/>
      <c r="AE1010" s="32">
        <f t="shared" si="280"/>
        <v>0</v>
      </c>
      <c r="AF1010" s="12"/>
      <c r="AH1010" s="12"/>
      <c r="AI1010" s="12">
        <f t="shared" si="278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5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5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80"/>
        <v>0</v>
      </c>
      <c r="AF1011" s="12"/>
      <c r="AG1011" s="12"/>
      <c r="AH1011" s="12"/>
      <c r="AI1011" s="12">
        <f t="shared" si="278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5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5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A1012" s="31"/>
      <c r="AB1012" s="32"/>
      <c r="AC1012" s="32"/>
      <c r="AD1012" s="32"/>
      <c r="AE1012" s="32">
        <f t="shared" si="280"/>
        <v>0</v>
      </c>
      <c r="AF1012" s="12"/>
      <c r="AG1012" s="12"/>
      <c r="AH1012" s="12"/>
      <c r="AI1012" s="12">
        <f t="shared" si="278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5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5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80"/>
        <v>0</v>
      </c>
      <c r="AF1013" s="12"/>
      <c r="AG1013" s="12"/>
      <c r="AH1013" s="12"/>
      <c r="AI1013" s="12">
        <f t="shared" si="278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5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A1014" s="31"/>
      <c r="AB1014" s="32"/>
      <c r="AC1014" s="32"/>
      <c r="AD1014" s="32"/>
      <c r="AE1014" s="32">
        <f t="shared" si="280"/>
        <v>0</v>
      </c>
      <c r="AF1014" s="12"/>
      <c r="AG1014" s="12"/>
      <c r="AH1014" s="12"/>
      <c r="AI1014" s="12">
        <f t="shared" si="278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5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80"/>
        <v>0</v>
      </c>
      <c r="AF1015" s="12"/>
      <c r="AG1015" s="12"/>
      <c r="AH1015" s="12"/>
      <c r="AI1015" s="12">
        <f t="shared" si="278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5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A1016" s="31"/>
      <c r="AB1016" s="32"/>
      <c r="AC1016" s="32"/>
      <c r="AD1016" s="32"/>
      <c r="AE1016" s="32">
        <f t="shared" si="280"/>
        <v>0</v>
      </c>
      <c r="AF1016" s="12"/>
      <c r="AG1016" s="12"/>
      <c r="AH1016" s="12"/>
      <c r="AI1016" s="12">
        <f t="shared" si="278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5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5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80"/>
        <v>0</v>
      </c>
      <c r="AF1017" s="12"/>
      <c r="AG1017" s="12"/>
      <c r="AH1017" s="12"/>
      <c r="AI1017" s="12">
        <f t="shared" si="278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5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5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80"/>
        <v>0</v>
      </c>
      <c r="AF1018" s="12"/>
      <c r="AG1018" s="12"/>
      <c r="AH1018" s="12"/>
      <c r="AI1018" s="12">
        <f t="shared" si="278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5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5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80"/>
        <v>0</v>
      </c>
      <c r="AF1019" s="12"/>
      <c r="AG1019" s="12"/>
      <c r="AH1019" s="12"/>
      <c r="AI1019" s="12">
        <f t="shared" si="278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5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5"/>
      <c r="P1020" s="67"/>
      <c r="Q1020" s="85"/>
      <c r="R1020" s="85"/>
      <c r="S1020" s="60"/>
      <c r="T1020" s="62"/>
      <c r="U1020" s="62"/>
      <c r="V1020" s="62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80"/>
        <v>0</v>
      </c>
      <c r="AF1020" s="12"/>
      <c r="AG1020" s="12"/>
      <c r="AH1020" s="12"/>
      <c r="AI1020" s="12">
        <f t="shared" si="278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5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5"/>
      <c r="P1021" s="68"/>
      <c r="Q1021" s="85"/>
      <c r="R1021" s="85"/>
      <c r="S1021" s="60"/>
      <c r="T1021" s="62"/>
      <c r="U1021" s="62"/>
      <c r="V1021" s="62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80"/>
        <v>0</v>
      </c>
      <c r="AF1021" s="12"/>
      <c r="AG1021" s="12"/>
      <c r="AH1021" s="12"/>
      <c r="AI1021" s="12">
        <f t="shared" si="278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5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5"/>
      <c r="P1022" s="69"/>
      <c r="Q1022" s="85"/>
      <c r="R1022" s="62"/>
      <c r="S1022" s="60"/>
      <c r="T1022" s="62"/>
      <c r="U1022" s="62"/>
      <c r="V1022" s="62"/>
      <c r="W1022" s="61"/>
      <c r="Y1022" s="10">
        <v>21</v>
      </c>
      <c r="Z1022" s="30"/>
      <c r="AA1022" s="11"/>
      <c r="AB1022" s="46"/>
      <c r="AC1022" s="31"/>
      <c r="AD1022" s="31"/>
      <c r="AE1022" s="32">
        <f t="shared" si="280"/>
        <v>0</v>
      </c>
      <c r="AF1022" s="10"/>
      <c r="AG1022" s="10"/>
      <c r="AH1022" s="10"/>
      <c r="AI1022" s="12">
        <f t="shared" si="278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5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5"/>
      <c r="P1023" s="69"/>
      <c r="Q1023" s="85"/>
      <c r="R1023" s="85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80"/>
        <v>0</v>
      </c>
      <c r="AF1023" s="10"/>
      <c r="AG1023" s="10"/>
      <c r="AH1023" s="10"/>
      <c r="AI1023" s="12">
        <f t="shared" si="278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5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5"/>
      <c r="P1024" s="69"/>
      <c r="Q1024" s="85"/>
      <c r="R1024" s="85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E1024" s="32">
        <f t="shared" si="280"/>
        <v>0</v>
      </c>
      <c r="AF1024" s="10"/>
      <c r="AG1024" s="10"/>
      <c r="AH1024" s="10"/>
      <c r="AI1024" s="12">
        <f t="shared" si="278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5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5"/>
      <c r="P1025" s="69"/>
      <c r="Q1025" s="85"/>
      <c r="R1025" s="85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80"/>
        <v>0</v>
      </c>
      <c r="AF1025" s="10"/>
      <c r="AG1025" s="10"/>
      <c r="AH1025" s="10"/>
      <c r="AI1025" s="12">
        <f t="shared" si="278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5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5"/>
      <c r="R1026" s="85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80"/>
        <v>0</v>
      </c>
      <c r="AF1026" s="10"/>
      <c r="AG1026" s="10"/>
      <c r="AH1026" s="10"/>
      <c r="AI1026" s="12">
        <f t="shared" si="278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5"/>
      <c r="P1027" s="69"/>
      <c r="Q1027" s="85"/>
      <c r="R1027" s="85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80"/>
        <v>0</v>
      </c>
      <c r="AF1027" s="10"/>
      <c r="AG1027" s="10"/>
      <c r="AH1027" s="10"/>
      <c r="AI1027" s="12">
        <f t="shared" si="278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5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5"/>
      <c r="P1028" s="69"/>
      <c r="Q1028" s="85"/>
      <c r="R1028" s="85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80"/>
        <v>0</v>
      </c>
      <c r="AF1028" s="10"/>
      <c r="AG1028" s="10"/>
      <c r="AH1028" s="10"/>
      <c r="AI1028" s="12">
        <f t="shared" si="278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5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5"/>
      <c r="P1029" s="69"/>
      <c r="Q1029" s="85"/>
      <c r="R1029" s="85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80"/>
        <v>0</v>
      </c>
      <c r="AF1029" s="10"/>
      <c r="AG1029" s="10"/>
      <c r="AH1029" s="10"/>
      <c r="AI1029" s="12">
        <f t="shared" si="278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3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5"/>
      <c r="R1030" s="85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80"/>
        <v>0</v>
      </c>
      <c r="AF1030" s="10"/>
      <c r="AG1030" s="10"/>
      <c r="AH1030" s="10"/>
      <c r="AI1030" s="12">
        <f t="shared" si="278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5"/>
      <c r="P1031" s="69"/>
      <c r="Q1031" s="85"/>
      <c r="R1031" s="85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80"/>
        <v>0</v>
      </c>
      <c r="AF1031" s="10"/>
      <c r="AG1031" s="10"/>
      <c r="AH1031" s="10"/>
      <c r="AI1031" s="12">
        <f t="shared" si="278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3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5"/>
      <c r="P1032" s="69"/>
      <c r="Q1032" s="85"/>
      <c r="R1032" s="85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80"/>
        <v>0</v>
      </c>
      <c r="AF1032" s="10"/>
      <c r="AG1032" s="10"/>
      <c r="AH1032" s="10"/>
      <c r="AI1032" s="12">
        <f t="shared" si="278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3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5"/>
      <c r="P1033" s="69"/>
      <c r="Q1033" s="85"/>
      <c r="R1033" s="85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80"/>
        <v>0</v>
      </c>
      <c r="AF1033" s="10"/>
      <c r="AG1033" s="10"/>
      <c r="AH1033" s="10"/>
      <c r="AI1033" s="12">
        <f t="shared" si="278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3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5"/>
      <c r="P1034" s="69"/>
      <c r="Q1034" s="85"/>
      <c r="R1034" s="85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80"/>
        <v>0</v>
      </c>
      <c r="AF1034" s="10"/>
      <c r="AG1034" s="10"/>
      <c r="AH1034" s="10"/>
      <c r="AI1034" s="12">
        <f t="shared" si="278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3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5"/>
      <c r="P1035" s="69"/>
      <c r="Q1035" s="85"/>
      <c r="R1035" s="85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80"/>
        <v>0</v>
      </c>
      <c r="AF1035" s="10"/>
      <c r="AG1035" s="10"/>
      <c r="AH1035" s="10"/>
      <c r="AI1035" s="12">
        <f t="shared" si="278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5"/>
      <c r="R1036" s="85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80"/>
        <v>0</v>
      </c>
      <c r="AF1036" s="10"/>
      <c r="AG1036" s="10"/>
      <c r="AH1036" s="10"/>
      <c r="AI1036" s="12">
        <f t="shared" si="278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5"/>
      <c r="P1037" s="69"/>
      <c r="Q1037" s="85"/>
      <c r="R1037" s="85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80"/>
        <v>0</v>
      </c>
      <c r="AF1037" s="10"/>
      <c r="AG1037" s="10"/>
      <c r="AH1037" s="10"/>
      <c r="AI1037" s="12">
        <f t="shared" si="278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5"/>
      <c r="P1038" s="69"/>
      <c r="Q1038" s="85"/>
      <c r="R1038" s="85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80"/>
        <v>0</v>
      </c>
      <c r="AF1038" s="10"/>
      <c r="AG1038" s="10"/>
      <c r="AH1038" s="10"/>
      <c r="AI1038" s="12">
        <f t="shared" si="278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5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5"/>
      <c r="R1039" s="85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80"/>
        <v>0</v>
      </c>
      <c r="AF1039" s="10"/>
      <c r="AG1039" s="10"/>
      <c r="AH1039" s="10"/>
      <c r="AI1039" s="12">
        <f t="shared" si="278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5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5"/>
      <c r="P1040" s="69"/>
      <c r="Q1040" s="85"/>
      <c r="R1040" s="85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80"/>
        <v>0</v>
      </c>
      <c r="AF1040" s="10"/>
      <c r="AG1040" s="10"/>
      <c r="AH1040" s="10"/>
      <c r="AI1040" s="12">
        <f t="shared" si="278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5"/>
      <c r="O1041" s="85"/>
      <c r="P1041" s="85"/>
      <c r="Q1041" s="85"/>
      <c r="R1041" s="85"/>
      <c r="S1041" s="85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8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5"/>
      <c r="C1042" s="85"/>
      <c r="D1042" s="85"/>
      <c r="E1042" s="85"/>
      <c r="F1042" s="85"/>
      <c r="G1042" s="85"/>
      <c r="H1042" s="62"/>
      <c r="I1042" s="62"/>
      <c r="J1042" s="62"/>
      <c r="K1042" s="62"/>
      <c r="L1042" s="62"/>
      <c r="M1042" s="62"/>
      <c r="N1042" s="85"/>
      <c r="O1042" s="85"/>
      <c r="P1042" s="85"/>
      <c r="Q1042" s="85"/>
      <c r="R1042" s="85"/>
      <c r="S1042" s="85"/>
      <c r="T1042" s="62"/>
      <c r="U1042" s="62"/>
      <c r="V1042" s="62"/>
      <c r="W1042" s="62"/>
      <c r="Y1042" s="10"/>
      <c r="Z1042" s="30"/>
      <c r="AA1042" s="31"/>
      <c r="AB1042" s="47"/>
      <c r="AC1042" s="31"/>
      <c r="AD1042" s="31"/>
      <c r="AE1042" s="32">
        <f t="shared" ref="AE1042" si="281">SUM(AB1042:AC1042)</f>
        <v>0</v>
      </c>
      <c r="AF1042" s="10"/>
      <c r="AG1042" s="10"/>
      <c r="AH1042" s="10"/>
      <c r="AI1042" s="12">
        <f t="shared" si="278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5"/>
      <c r="C1043" s="85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5"/>
      <c r="O1043" s="85"/>
      <c r="P1043" s="70"/>
      <c r="Q1043" s="70"/>
      <c r="R1043" s="70"/>
      <c r="S1043" s="70"/>
      <c r="T1043" s="63"/>
      <c r="U1043" s="71"/>
      <c r="V1043" s="71"/>
      <c r="W1043" s="7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8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5"/>
      <c r="C1045" s="85"/>
      <c r="D1045" s="85"/>
      <c r="E1045" s="85"/>
      <c r="F1045" s="85"/>
      <c r="G1045" s="85"/>
      <c r="H1045" s="62"/>
      <c r="I1045" s="62"/>
      <c r="J1045" s="62"/>
      <c r="K1045" s="62"/>
      <c r="L1045" s="62"/>
      <c r="M1045" s="62"/>
      <c r="N1045" s="85"/>
      <c r="O1045" s="85"/>
      <c r="P1045" s="85"/>
      <c r="Q1045" s="85"/>
      <c r="R1045" s="85"/>
      <c r="S1045" s="85"/>
      <c r="T1045" s="62"/>
      <c r="U1045" s="62"/>
      <c r="V1045" s="62"/>
      <c r="W1045" s="62"/>
      <c r="Z1045" s="57"/>
      <c r="AA1045" s="57"/>
      <c r="AB1045" s="38">
        <f>SUM(AB1002:AB1044)</f>
        <v>411793</v>
      </c>
      <c r="AC1045" s="38">
        <f>SUM(AC1002:AC1026)</f>
        <v>-1608</v>
      </c>
      <c r="AD1045" s="38">
        <f>SUM(AD1002:AD1026)</f>
        <v>0</v>
      </c>
      <c r="AE1045" s="38">
        <f>SUM(AE1002:AE1044)</f>
        <v>410185</v>
      </c>
      <c r="AF1045" s="4"/>
      <c r="AG1045" s="41">
        <f>SUM(AG1002:AG1044)</f>
        <v>33483</v>
      </c>
      <c r="AH1045" s="41">
        <f>SUM(AH1002:AH1026)</f>
        <v>-1665</v>
      </c>
      <c r="AI1045" s="42">
        <f>SUM(AI1002:AI1044)</f>
        <v>442003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47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47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47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99</v>
      </c>
      <c r="B1053" s="20"/>
      <c r="C1053" s="57"/>
      <c r="D1053" s="57"/>
      <c r="E1053" s="57"/>
      <c r="G1053" s="57"/>
      <c r="I1053" s="22" t="s">
        <v>16</v>
      </c>
      <c r="J1053" s="23" t="s">
        <v>36</v>
      </c>
      <c r="K1053" s="24"/>
      <c r="M1053" s="21" t="s">
        <v>99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32</v>
      </c>
      <c r="W1053" s="24"/>
      <c r="Y1053" s="21" t="s">
        <v>99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81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7" t="s">
        <v>17</v>
      </c>
      <c r="E1055" s="127"/>
      <c r="F1055" s="113"/>
      <c r="G1055" s="27"/>
      <c r="I1055" s="121" t="s">
        <v>18</v>
      </c>
      <c r="J1055" s="122"/>
      <c r="K1055" s="123" t="s">
        <v>19</v>
      </c>
      <c r="N1055" s="25"/>
      <c r="O1055" s="26"/>
      <c r="P1055" s="127" t="s">
        <v>17</v>
      </c>
      <c r="Q1055" s="127"/>
      <c r="R1055" s="113"/>
      <c r="S1055" s="27"/>
      <c r="U1055" s="121" t="s">
        <v>18</v>
      </c>
      <c r="V1055" s="122"/>
      <c r="W1055" s="123" t="s">
        <v>19</v>
      </c>
      <c r="Z1055" s="25"/>
      <c r="AA1055" s="26"/>
      <c r="AB1055" s="127" t="s">
        <v>17</v>
      </c>
      <c r="AC1055" s="127"/>
      <c r="AD1055" s="113"/>
      <c r="AE1055" s="27"/>
      <c r="AG1055" s="121" t="s">
        <v>18</v>
      </c>
      <c r="AH1055" s="122"/>
      <c r="AI1055" s="123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31</v>
      </c>
      <c r="G1056" s="78" t="s">
        <v>24</v>
      </c>
      <c r="I1056" s="29" t="s">
        <v>25</v>
      </c>
      <c r="J1056" s="29" t="s">
        <v>26</v>
      </c>
      <c r="K1056" s="124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31</v>
      </c>
      <c r="S1056" s="78" t="s">
        <v>24</v>
      </c>
      <c r="U1056" s="29" t="s">
        <v>25</v>
      </c>
      <c r="V1056" s="29" t="s">
        <v>26</v>
      </c>
      <c r="W1056" s="124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31</v>
      </c>
      <c r="AE1056" s="78" t="s">
        <v>24</v>
      </c>
      <c r="AG1056" s="29" t="s">
        <v>25</v>
      </c>
      <c r="AH1056" s="29" t="s">
        <v>26</v>
      </c>
      <c r="AI1056" s="124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100</v>
      </c>
      <c r="C1057" s="82">
        <v>11488</v>
      </c>
      <c r="D1057" s="32">
        <f>650*55+670*2</f>
        <v>37090</v>
      </c>
      <c r="E1057" s="32"/>
      <c r="F1057" s="32"/>
      <c r="G1057" s="32">
        <f t="shared" ref="G1057:G1090" si="282">SUM(D1057:E1057)</f>
        <v>37090</v>
      </c>
      <c r="H1057" s="12"/>
      <c r="I1057" s="12"/>
      <c r="J1057" s="12"/>
      <c r="K1057" s="12">
        <f t="shared" ref="K1057:K1090" si="283">SUM(G1057:J1057)</f>
        <v>37090</v>
      </c>
      <c r="M1057" s="10">
        <v>1</v>
      </c>
      <c r="N1057" s="30" t="s">
        <v>100</v>
      </c>
      <c r="O1057" s="82">
        <v>11548</v>
      </c>
      <c r="P1057" s="32">
        <f>650*20+622*4+9.5*10</f>
        <v>15583</v>
      </c>
      <c r="Q1057" s="32"/>
      <c r="R1057" s="32"/>
      <c r="S1057" s="32">
        <f>SUM(P1057:Q1057)</f>
        <v>15583</v>
      </c>
      <c r="T1057" s="12"/>
      <c r="U1057" s="12">
        <f>4.5*12</f>
        <v>54</v>
      </c>
      <c r="V1057" s="12"/>
      <c r="W1057" s="12">
        <f>SUM(S1057:V1057)</f>
        <v>15637</v>
      </c>
      <c r="Y1057" s="10">
        <v>1</v>
      </c>
      <c r="Z1057" s="30" t="s">
        <v>100</v>
      </c>
      <c r="AA1057" s="31">
        <v>11568</v>
      </c>
      <c r="AB1057" s="32">
        <f>650*60+622*10+229</f>
        <v>45449</v>
      </c>
      <c r="AC1057" s="32"/>
      <c r="AD1057" s="32"/>
      <c r="AE1057" s="32">
        <f t="shared" ref="AE1057:AE1062" si="284">SUM(AB1057:AC1057)</f>
        <v>45449</v>
      </c>
      <c r="AF1057" s="12"/>
      <c r="AG1057" s="12"/>
      <c r="AH1057" s="12"/>
      <c r="AI1057" s="12">
        <f t="shared" ref="AI1057:AI1098" si="285">SUM(AE1057:AH1057)</f>
        <v>45449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100</v>
      </c>
      <c r="C1058" s="31">
        <f>C1057+1</f>
        <v>11489</v>
      </c>
      <c r="D1058" s="32">
        <f>650*7</f>
        <v>4550</v>
      </c>
      <c r="E1058" s="32">
        <f>-7*6</f>
        <v>-42</v>
      </c>
      <c r="F1058" s="32"/>
      <c r="G1058" s="32">
        <f t="shared" si="282"/>
        <v>4508</v>
      </c>
      <c r="H1058" s="12"/>
      <c r="I1058" s="12"/>
      <c r="J1058" s="12"/>
      <c r="K1058" s="12">
        <f t="shared" si="283"/>
        <v>4508</v>
      </c>
      <c r="M1058" s="10">
        <v>2</v>
      </c>
      <c r="N1058" s="30" t="s">
        <v>100</v>
      </c>
      <c r="O1058" s="82">
        <f>O1057+1</f>
        <v>11549</v>
      </c>
      <c r="P1058" s="32">
        <f>650*5+670+622+9.5*6</f>
        <v>4599</v>
      </c>
      <c r="Q1058" s="32"/>
      <c r="R1058" s="32"/>
      <c r="S1058" s="32">
        <f t="shared" ref="S1058:S1073" si="286">SUM(P1058:Q1058)</f>
        <v>4599</v>
      </c>
      <c r="T1058" s="12"/>
      <c r="U1058" s="12"/>
      <c r="V1058" s="12">
        <v>-777</v>
      </c>
      <c r="W1058" s="12">
        <f t="shared" ref="W1058:W1098" si="287">SUM(S1058:V1058)</f>
        <v>3822</v>
      </c>
      <c r="Y1058" s="10">
        <v>2</v>
      </c>
      <c r="Z1058" s="30" t="s">
        <v>100</v>
      </c>
      <c r="AA1058" s="31">
        <f>AA1057+1</f>
        <v>11569</v>
      </c>
      <c r="AB1058" s="12">
        <f>650*80+622*20+229*4+650*2</f>
        <v>66656</v>
      </c>
      <c r="AC1058" s="10">
        <f>-100*6</f>
        <v>-600</v>
      </c>
      <c r="AD1058" s="10"/>
      <c r="AE1058" s="32">
        <f t="shared" si="284"/>
        <v>66056</v>
      </c>
      <c r="AG1058" s="10">
        <f>48*1.5</f>
        <v>72</v>
      </c>
      <c r="AH1058" s="10"/>
      <c r="AI1058" s="12">
        <f t="shared" si="285"/>
        <v>66128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100</v>
      </c>
      <c r="C1059" s="31">
        <f t="shared" ref="C1059:C1061" si="288">C1058+1</f>
        <v>11490</v>
      </c>
      <c r="D1059" s="33">
        <f>650*8+670+622+650</f>
        <v>7142</v>
      </c>
      <c r="E1059" s="33"/>
      <c r="F1059" s="33"/>
      <c r="G1059" s="33">
        <f t="shared" si="282"/>
        <v>7142</v>
      </c>
      <c r="H1059" s="34"/>
      <c r="I1059" s="34"/>
      <c r="J1059" s="34"/>
      <c r="K1059" s="34">
        <f t="shared" si="283"/>
        <v>7142</v>
      </c>
      <c r="M1059" s="10">
        <v>3</v>
      </c>
      <c r="N1059" s="30" t="s">
        <v>100</v>
      </c>
      <c r="O1059" s="82">
        <f t="shared" ref="O1059:O1063" si="289">O1058+1</f>
        <v>11550</v>
      </c>
      <c r="P1059" s="33">
        <f>650*50+670*3+912+229*3</f>
        <v>36109</v>
      </c>
      <c r="Q1059" s="33"/>
      <c r="R1059" s="32"/>
      <c r="S1059" s="32">
        <f t="shared" si="286"/>
        <v>36109</v>
      </c>
      <c r="T1059" s="12"/>
      <c r="U1059" s="34">
        <v>111</v>
      </c>
      <c r="V1059" s="34"/>
      <c r="W1059" s="12">
        <f t="shared" si="287"/>
        <v>36220</v>
      </c>
      <c r="Y1059" s="10">
        <v>3</v>
      </c>
      <c r="Z1059" s="30" t="s">
        <v>100</v>
      </c>
      <c r="AA1059" s="31">
        <f t="shared" ref="AA1059:AA1064" si="290">AA1058+1</f>
        <v>11570</v>
      </c>
      <c r="AB1059" s="32">
        <f>650*9+622+9.5*10</f>
        <v>6567</v>
      </c>
      <c r="AC1059" s="32"/>
      <c r="AD1059" s="32"/>
      <c r="AE1059" s="32">
        <f t="shared" si="284"/>
        <v>6567</v>
      </c>
      <c r="AF1059" s="12"/>
      <c r="AG1059" s="12"/>
      <c r="AH1059" s="12"/>
      <c r="AI1059" s="12">
        <f t="shared" si="285"/>
        <v>6567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100</v>
      </c>
      <c r="C1060" s="31">
        <f t="shared" si="288"/>
        <v>11491</v>
      </c>
      <c r="D1060" s="32">
        <f>650*3</f>
        <v>1950</v>
      </c>
      <c r="E1060" s="32"/>
      <c r="F1060" s="32"/>
      <c r="G1060" s="32">
        <f t="shared" si="282"/>
        <v>1950</v>
      </c>
      <c r="H1060" s="12"/>
      <c r="I1060" s="12"/>
      <c r="J1060" s="12">
        <f>-111*13</f>
        <v>-1443</v>
      </c>
      <c r="K1060" s="12">
        <f t="shared" si="283"/>
        <v>507</v>
      </c>
      <c r="M1060" s="10">
        <v>4</v>
      </c>
      <c r="N1060" s="30" t="s">
        <v>100</v>
      </c>
      <c r="O1060" s="82">
        <v>11601</v>
      </c>
      <c r="P1060" s="32">
        <f>650*216+622*50+229*10</f>
        <v>173790</v>
      </c>
      <c r="Q1060" s="32">
        <f>-266*6</f>
        <v>-1596</v>
      </c>
      <c r="R1060" s="32"/>
      <c r="S1060" s="32">
        <f t="shared" si="286"/>
        <v>172194</v>
      </c>
      <c r="T1060" s="12"/>
      <c r="U1060" s="12">
        <v>702</v>
      </c>
      <c r="V1060" s="12">
        <f>-84+-42*14</f>
        <v>-672</v>
      </c>
      <c r="W1060" s="12">
        <f t="shared" si="287"/>
        <v>172224</v>
      </c>
      <c r="Y1060" s="10">
        <v>4</v>
      </c>
      <c r="Z1060" s="30" t="s">
        <v>100</v>
      </c>
      <c r="AA1060" s="31">
        <f t="shared" si="290"/>
        <v>11571</v>
      </c>
      <c r="AB1060" s="33">
        <f>650*108+229*4</f>
        <v>71116</v>
      </c>
      <c r="AC1060" s="33">
        <f>-108*6</f>
        <v>-648</v>
      </c>
      <c r="AD1060" s="32"/>
      <c r="AE1060" s="32">
        <f t="shared" si="284"/>
        <v>70468</v>
      </c>
      <c r="AF1060" s="12"/>
      <c r="AG1060" s="12">
        <f>1.5*96</f>
        <v>144</v>
      </c>
      <c r="AH1060" s="12"/>
      <c r="AI1060" s="12">
        <f t="shared" si="285"/>
        <v>70612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100</v>
      </c>
      <c r="C1061" s="31">
        <f t="shared" si="288"/>
        <v>11492</v>
      </c>
      <c r="D1061" s="32">
        <f>650*216+670*20+622*19+912*5+229*8</f>
        <v>172010</v>
      </c>
      <c r="E1061" s="32">
        <f>-260*6</f>
        <v>-1560</v>
      </c>
      <c r="F1061" s="32"/>
      <c r="G1061" s="32">
        <f t="shared" si="282"/>
        <v>170450</v>
      </c>
      <c r="H1061" s="12"/>
      <c r="I1061" s="12">
        <f>78+120*5</f>
        <v>678</v>
      </c>
      <c r="J1061" s="12">
        <f>-111*12+-42*9</f>
        <v>-1710</v>
      </c>
      <c r="K1061" s="12">
        <f t="shared" si="283"/>
        <v>169418</v>
      </c>
      <c r="M1061" s="10">
        <v>5</v>
      </c>
      <c r="N1061" s="30" t="s">
        <v>100</v>
      </c>
      <c r="O1061" s="82">
        <f t="shared" si="289"/>
        <v>11602</v>
      </c>
      <c r="P1061" s="32">
        <f>650*13+9.5*13</f>
        <v>8573.5</v>
      </c>
      <c r="Q1061" s="32"/>
      <c r="R1061" s="32"/>
      <c r="S1061" s="32">
        <f t="shared" si="286"/>
        <v>8573.5</v>
      </c>
      <c r="T1061" s="12"/>
      <c r="U1061" s="12"/>
      <c r="V1061" s="12">
        <f>-84*2</f>
        <v>-168</v>
      </c>
      <c r="W1061" s="12">
        <f t="shared" si="287"/>
        <v>8405.5</v>
      </c>
      <c r="Y1061" s="10">
        <v>5</v>
      </c>
      <c r="Z1061" s="30" t="s">
        <v>100</v>
      </c>
      <c r="AA1061" s="31">
        <f t="shared" si="290"/>
        <v>11572</v>
      </c>
      <c r="AB1061" s="32">
        <f>650*10</f>
        <v>6500</v>
      </c>
      <c r="AC1061" s="32"/>
      <c r="AD1061" s="32"/>
      <c r="AE1061" s="32">
        <f t="shared" si="284"/>
        <v>6500</v>
      </c>
      <c r="AF1061" s="12"/>
      <c r="AG1061">
        <f>20*4.5</f>
        <v>90</v>
      </c>
      <c r="AH1061" s="12"/>
      <c r="AI1061" s="12">
        <f t="shared" si="285"/>
        <v>6590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/>
      <c r="C1062" s="11" t="s">
        <v>27</v>
      </c>
      <c r="D1062" s="32"/>
      <c r="E1062" s="32"/>
      <c r="F1062" s="32"/>
      <c r="G1062" s="32">
        <f t="shared" si="282"/>
        <v>0</v>
      </c>
      <c r="H1062" s="12"/>
      <c r="I1062" s="12"/>
      <c r="J1062" s="12"/>
      <c r="K1062" s="12">
        <f t="shared" si="283"/>
        <v>0</v>
      </c>
      <c r="M1062" s="10">
        <v>6</v>
      </c>
      <c r="N1062" s="30" t="s">
        <v>100</v>
      </c>
      <c r="O1062" s="82">
        <f t="shared" si="289"/>
        <v>11603</v>
      </c>
      <c r="P1062" s="32">
        <f>650+622+1050</f>
        <v>2322</v>
      </c>
      <c r="Q1062" s="32"/>
      <c r="R1062" s="32"/>
      <c r="S1062" s="32">
        <f t="shared" si="286"/>
        <v>2322</v>
      </c>
      <c r="T1062" s="12"/>
      <c r="U1062" s="12"/>
      <c r="V1062" s="10">
        <f>-111*3</f>
        <v>-333</v>
      </c>
      <c r="W1062" s="12">
        <f t="shared" si="287"/>
        <v>1989</v>
      </c>
      <c r="Y1062" s="10">
        <v>6</v>
      </c>
      <c r="Z1062" s="30" t="s">
        <v>100</v>
      </c>
      <c r="AA1062" s="31">
        <f t="shared" si="290"/>
        <v>11573</v>
      </c>
      <c r="AB1062" s="32">
        <f>650*4+670</f>
        <v>3270</v>
      </c>
      <c r="AC1062" s="32"/>
      <c r="AD1062" s="32"/>
      <c r="AE1062" s="32">
        <f t="shared" si="284"/>
        <v>3270</v>
      </c>
      <c r="AF1062" s="12"/>
      <c r="AG1062" s="12"/>
      <c r="AH1062" s="12"/>
      <c r="AI1062" s="12">
        <f t="shared" si="285"/>
        <v>3270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31"/>
      <c r="D1063" s="32"/>
      <c r="E1063" s="32"/>
      <c r="F1063" s="32"/>
      <c r="G1063" s="32">
        <f t="shared" si="282"/>
        <v>0</v>
      </c>
      <c r="H1063" s="12"/>
      <c r="I1063" s="12"/>
      <c r="J1063" s="12"/>
      <c r="K1063" s="12">
        <f t="shared" si="283"/>
        <v>0</v>
      </c>
      <c r="M1063" s="10">
        <v>7</v>
      </c>
      <c r="N1063" s="30" t="s">
        <v>100</v>
      </c>
      <c r="O1063" s="82">
        <f t="shared" si="289"/>
        <v>11604</v>
      </c>
      <c r="P1063" s="32">
        <f>650*4+670</f>
        <v>3270</v>
      </c>
      <c r="Q1063" s="32"/>
      <c r="R1063" s="32"/>
      <c r="S1063" s="32">
        <f t="shared" si="286"/>
        <v>3270</v>
      </c>
      <c r="T1063" s="12"/>
      <c r="U1063" s="12"/>
      <c r="V1063" s="12"/>
      <c r="W1063" s="12">
        <f t="shared" si="287"/>
        <v>3270</v>
      </c>
      <c r="Y1063" s="10">
        <v>7</v>
      </c>
      <c r="Z1063" s="30" t="s">
        <v>100</v>
      </c>
      <c r="AA1063" s="31">
        <f t="shared" si="290"/>
        <v>11574</v>
      </c>
      <c r="AB1063" s="32">
        <f>670*10</f>
        <v>6700</v>
      </c>
      <c r="AC1063" s="32"/>
      <c r="AD1063" s="32"/>
      <c r="AE1063" s="32">
        <f t="shared" ref="AE1063:AE1095" si="291">SUM(AB1063:AC1063)</f>
        <v>6700</v>
      </c>
      <c r="AF1063" s="12"/>
      <c r="AG1063" s="58"/>
      <c r="AH1063" s="12"/>
      <c r="AI1063" s="12">
        <f t="shared" si="285"/>
        <v>6700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31"/>
      <c r="D1064" s="32"/>
      <c r="E1064" s="32"/>
      <c r="F1064" s="32"/>
      <c r="G1064" s="32">
        <f t="shared" si="282"/>
        <v>0</v>
      </c>
      <c r="H1064" s="12"/>
      <c r="I1064" s="12"/>
      <c r="J1064" s="12"/>
      <c r="K1064" s="12">
        <f t="shared" si="283"/>
        <v>0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286"/>
        <v>0</v>
      </c>
      <c r="T1064" s="12"/>
      <c r="U1064" s="12"/>
      <c r="V1064" s="12"/>
      <c r="W1064" s="12">
        <f t="shared" si="287"/>
        <v>0</v>
      </c>
      <c r="Y1064" s="10">
        <v>8</v>
      </c>
      <c r="Z1064" s="30" t="s">
        <v>100</v>
      </c>
      <c r="AA1064" s="31">
        <f t="shared" si="290"/>
        <v>11575</v>
      </c>
      <c r="AB1064" s="32">
        <f>650*2+9.5*2</f>
        <v>1319</v>
      </c>
      <c r="AC1064" s="32"/>
      <c r="AE1064" s="32">
        <f t="shared" si="291"/>
        <v>1319</v>
      </c>
      <c r="AF1064" s="12"/>
      <c r="AG1064" s="12">
        <f>1.5*2</f>
        <v>3</v>
      </c>
      <c r="AH1064" s="12"/>
      <c r="AI1064" s="12">
        <f t="shared" si="285"/>
        <v>1322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31"/>
      <c r="D1065" s="32"/>
      <c r="E1065" s="32"/>
      <c r="F1065" s="32"/>
      <c r="G1065" s="32">
        <f t="shared" si="282"/>
        <v>0</v>
      </c>
      <c r="H1065" s="12"/>
      <c r="I1065" s="12"/>
      <c r="J1065" s="12"/>
      <c r="K1065" s="12">
        <f t="shared" si="283"/>
        <v>0</v>
      </c>
      <c r="M1065" s="10">
        <v>9</v>
      </c>
      <c r="N1065" s="30"/>
      <c r="O1065" s="82"/>
      <c r="P1065" s="32"/>
      <c r="Q1065" s="32"/>
      <c r="R1065" s="32"/>
      <c r="S1065" s="32">
        <f t="shared" si="286"/>
        <v>0</v>
      </c>
      <c r="T1065" s="12"/>
      <c r="U1065" s="12"/>
      <c r="V1065" s="12"/>
      <c r="W1065" s="12">
        <f t="shared" si="287"/>
        <v>0</v>
      </c>
      <c r="Y1065" s="10">
        <v>9</v>
      </c>
      <c r="Z1065" s="30"/>
      <c r="AA1065" s="11" t="s">
        <v>27</v>
      </c>
      <c r="AB1065" s="105"/>
      <c r="AC1065" s="32"/>
      <c r="AD1065" s="32"/>
      <c r="AE1065" s="32">
        <f t="shared" si="291"/>
        <v>0</v>
      </c>
      <c r="AF1065" s="12"/>
      <c r="AH1065" s="12"/>
      <c r="AI1065" s="12">
        <f t="shared" si="285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31"/>
      <c r="D1066" s="32"/>
      <c r="E1066" s="32"/>
      <c r="F1066" s="32"/>
      <c r="G1066" s="32">
        <f t="shared" si="282"/>
        <v>0</v>
      </c>
      <c r="H1066" s="12"/>
      <c r="I1066" s="12"/>
      <c r="J1066" s="12"/>
      <c r="K1066" s="12">
        <f t="shared" si="283"/>
        <v>0</v>
      </c>
      <c r="M1066" s="10">
        <v>10</v>
      </c>
      <c r="N1066" s="30"/>
      <c r="O1066" s="11"/>
      <c r="P1066" s="32"/>
      <c r="Q1066" s="32"/>
      <c r="R1066" s="32"/>
      <c r="S1066" s="32">
        <f t="shared" si="286"/>
        <v>0</v>
      </c>
      <c r="T1066" s="12"/>
      <c r="U1066" s="12"/>
      <c r="V1066" s="12"/>
      <c r="W1066" s="12">
        <f t="shared" si="287"/>
        <v>0</v>
      </c>
      <c r="Y1066" s="10">
        <v>10</v>
      </c>
      <c r="Z1066" s="30"/>
      <c r="AA1066" s="31"/>
      <c r="AB1066" s="32"/>
      <c r="AC1066" s="32"/>
      <c r="AD1066" s="32"/>
      <c r="AE1066" s="32">
        <f t="shared" si="291"/>
        <v>0</v>
      </c>
      <c r="AF1066" s="12"/>
      <c r="AG1066" s="12"/>
      <c r="AH1066" s="12"/>
      <c r="AI1066" s="12">
        <f t="shared" si="285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31"/>
      <c r="D1067" s="32"/>
      <c r="E1067" s="32"/>
      <c r="F1067" s="32"/>
      <c r="G1067" s="32">
        <f t="shared" si="282"/>
        <v>0</v>
      </c>
      <c r="H1067" s="12"/>
      <c r="I1067" s="12"/>
      <c r="J1067" s="12"/>
      <c r="K1067" s="12">
        <f t="shared" si="283"/>
        <v>0</v>
      </c>
      <c r="M1067" s="10">
        <v>11</v>
      </c>
      <c r="N1067" s="30"/>
      <c r="O1067" s="82"/>
      <c r="P1067" s="32"/>
      <c r="Q1067" s="32"/>
      <c r="R1067" s="32"/>
      <c r="S1067" s="32">
        <f t="shared" si="286"/>
        <v>0</v>
      </c>
      <c r="T1067" s="12"/>
      <c r="U1067" s="12"/>
      <c r="V1067" s="12"/>
      <c r="W1067" s="12">
        <f t="shared" si="287"/>
        <v>0</v>
      </c>
      <c r="Y1067" s="10">
        <v>11</v>
      </c>
      <c r="Z1067" s="30"/>
      <c r="AA1067" s="31"/>
      <c r="AB1067" s="32"/>
      <c r="AC1067" s="32"/>
      <c r="AD1067" s="32"/>
      <c r="AE1067" s="32">
        <f t="shared" si="291"/>
        <v>0</v>
      </c>
      <c r="AF1067" s="12"/>
      <c r="AG1067" s="12"/>
      <c r="AH1067" s="12"/>
      <c r="AI1067" s="12">
        <f t="shared" si="285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31"/>
      <c r="D1068" s="32"/>
      <c r="E1068" s="32"/>
      <c r="F1068" s="32"/>
      <c r="G1068" s="32">
        <f t="shared" si="282"/>
        <v>0</v>
      </c>
      <c r="H1068" s="12"/>
      <c r="I1068" s="12"/>
      <c r="J1068" s="10"/>
      <c r="K1068" s="12">
        <f t="shared" si="283"/>
        <v>0</v>
      </c>
      <c r="M1068" s="10">
        <v>12</v>
      </c>
      <c r="N1068" s="30"/>
      <c r="O1068" s="82"/>
      <c r="P1068" s="32"/>
      <c r="Q1068" s="32"/>
      <c r="R1068" s="32"/>
      <c r="S1068" s="32">
        <f t="shared" si="286"/>
        <v>0</v>
      </c>
      <c r="T1068" s="12"/>
      <c r="U1068" s="12"/>
      <c r="V1068" s="12"/>
      <c r="W1068" s="12">
        <f t="shared" si="287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291"/>
        <v>0</v>
      </c>
      <c r="AF1068" s="12"/>
      <c r="AG1068" s="12"/>
      <c r="AH1068" s="12"/>
      <c r="AI1068" s="12">
        <f t="shared" si="285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31"/>
      <c r="D1069" s="32"/>
      <c r="E1069" s="32"/>
      <c r="F1069" s="32"/>
      <c r="G1069" s="32">
        <f t="shared" si="282"/>
        <v>0</v>
      </c>
      <c r="H1069" s="12"/>
      <c r="I1069" s="12"/>
      <c r="J1069" s="12"/>
      <c r="K1069" s="12">
        <f t="shared" si="283"/>
        <v>0</v>
      </c>
      <c r="M1069" s="10">
        <v>13</v>
      </c>
      <c r="N1069" s="30"/>
      <c r="O1069" s="82"/>
      <c r="P1069" s="32"/>
      <c r="Q1069" s="32"/>
      <c r="R1069" s="32"/>
      <c r="S1069" s="32">
        <f t="shared" si="286"/>
        <v>0</v>
      </c>
      <c r="T1069" s="12"/>
      <c r="U1069" s="12"/>
      <c r="V1069" s="12"/>
      <c r="W1069" s="12">
        <f t="shared" si="287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291"/>
        <v>0</v>
      </c>
      <c r="AF1069" s="12"/>
      <c r="AG1069" s="12"/>
      <c r="AH1069" s="12"/>
      <c r="AI1069" s="12">
        <f t="shared" si="285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31"/>
      <c r="D1070" s="32"/>
      <c r="E1070" s="32"/>
      <c r="F1070" s="32"/>
      <c r="G1070" s="32">
        <f t="shared" si="282"/>
        <v>0</v>
      </c>
      <c r="H1070" s="12"/>
      <c r="I1070" s="12"/>
      <c r="J1070" s="12"/>
      <c r="K1070" s="12">
        <f t="shared" si="283"/>
        <v>0</v>
      </c>
      <c r="M1070" s="10">
        <v>14</v>
      </c>
      <c r="N1070" s="30"/>
      <c r="O1070" s="82"/>
      <c r="P1070" s="32"/>
      <c r="Q1070" s="32"/>
      <c r="R1070" s="32"/>
      <c r="S1070" s="32">
        <f t="shared" si="286"/>
        <v>0</v>
      </c>
      <c r="T1070" s="12"/>
      <c r="U1070" s="12"/>
      <c r="V1070" s="12"/>
      <c r="W1070" s="12">
        <f t="shared" si="287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291"/>
        <v>0</v>
      </c>
      <c r="AF1070" s="12"/>
      <c r="AG1070" s="12"/>
      <c r="AH1070" s="12"/>
      <c r="AI1070" s="12">
        <f t="shared" si="285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31"/>
      <c r="D1071" s="32"/>
      <c r="E1071" s="32"/>
      <c r="F1071" s="32"/>
      <c r="G1071" s="32">
        <f t="shared" si="282"/>
        <v>0</v>
      </c>
      <c r="H1071" s="12"/>
      <c r="I1071" s="12"/>
      <c r="J1071" s="12"/>
      <c r="K1071" s="12">
        <f t="shared" si="283"/>
        <v>0</v>
      </c>
      <c r="M1071" s="10">
        <v>15</v>
      </c>
      <c r="N1071" s="30"/>
      <c r="O1071" s="82"/>
      <c r="P1071" s="32"/>
      <c r="Q1071" s="32"/>
      <c r="R1071" s="32"/>
      <c r="S1071" s="32">
        <f t="shared" si="286"/>
        <v>0</v>
      </c>
      <c r="T1071" s="12"/>
      <c r="U1071" s="12"/>
      <c r="V1071" s="12"/>
      <c r="W1071" s="12">
        <f t="shared" si="287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291"/>
        <v>0</v>
      </c>
      <c r="AF1071" s="12"/>
      <c r="AG1071" s="12"/>
      <c r="AH1071" s="12"/>
      <c r="AI1071" s="12">
        <f t="shared" si="285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31"/>
      <c r="D1072" s="32"/>
      <c r="E1072" s="32"/>
      <c r="F1072" s="32"/>
      <c r="G1072" s="32">
        <f t="shared" si="282"/>
        <v>0</v>
      </c>
      <c r="H1072" s="12"/>
      <c r="I1072" s="12"/>
      <c r="J1072" s="12"/>
      <c r="K1072" s="12">
        <f t="shared" si="283"/>
        <v>0</v>
      </c>
      <c r="M1072" s="10">
        <v>16</v>
      </c>
      <c r="N1072" s="30"/>
      <c r="O1072" s="82"/>
      <c r="P1072" s="32"/>
      <c r="Q1072" s="32"/>
      <c r="R1072" s="32"/>
      <c r="S1072" s="32">
        <f t="shared" si="286"/>
        <v>0</v>
      </c>
      <c r="T1072" s="12"/>
      <c r="U1072" s="12"/>
      <c r="V1072" s="12"/>
      <c r="W1072" s="12">
        <f t="shared" si="287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291"/>
        <v>0</v>
      </c>
      <c r="AF1072" s="12"/>
      <c r="AG1072" s="12"/>
      <c r="AH1072" s="12"/>
      <c r="AI1072" s="12">
        <f t="shared" si="285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282"/>
        <v>0</v>
      </c>
      <c r="H1073" s="12"/>
      <c r="I1073" s="12"/>
      <c r="J1073" s="12"/>
      <c r="K1073" s="12">
        <f t="shared" si="283"/>
        <v>0</v>
      </c>
      <c r="M1073" s="10">
        <v>17</v>
      </c>
      <c r="N1073" s="30"/>
      <c r="O1073" s="82"/>
      <c r="P1073" s="35"/>
      <c r="Q1073" s="32"/>
      <c r="R1073" s="32"/>
      <c r="S1073" s="32">
        <f t="shared" si="286"/>
        <v>0</v>
      </c>
      <c r="T1073" s="12"/>
      <c r="U1073" s="12"/>
      <c r="V1073" s="12"/>
      <c r="W1073" s="12">
        <f t="shared" si="287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291"/>
        <v>0</v>
      </c>
      <c r="AF1073" s="12"/>
      <c r="AG1073" s="12"/>
      <c r="AH1073" s="12"/>
      <c r="AI1073" s="12">
        <f t="shared" si="285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282"/>
        <v>0</v>
      </c>
      <c r="H1074" s="12"/>
      <c r="I1074" s="12"/>
      <c r="J1074" s="12"/>
      <c r="K1074" s="12">
        <f t="shared" si="283"/>
        <v>0</v>
      </c>
      <c r="M1074" s="10">
        <v>18</v>
      </c>
      <c r="N1074" s="30"/>
      <c r="O1074" s="82"/>
      <c r="P1074" s="32"/>
      <c r="Q1074" s="32"/>
      <c r="R1074" s="32"/>
      <c r="S1074" s="32"/>
      <c r="T1074" s="12"/>
      <c r="U1074" s="12"/>
      <c r="V1074" s="12"/>
      <c r="W1074" s="12">
        <f t="shared" si="287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91"/>
        <v>0</v>
      </c>
      <c r="AF1074" s="12"/>
      <c r="AG1074" s="12"/>
      <c r="AH1074" s="12"/>
      <c r="AI1074" s="12">
        <f t="shared" si="285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282"/>
        <v>0</v>
      </c>
      <c r="H1075" s="12"/>
      <c r="I1075" s="12"/>
      <c r="J1075" s="12"/>
      <c r="K1075" s="12">
        <f t="shared" si="283"/>
        <v>0</v>
      </c>
      <c r="M1075" s="10">
        <v>19</v>
      </c>
      <c r="N1075" s="30"/>
      <c r="O1075" s="82"/>
      <c r="P1075" s="32"/>
      <c r="Q1075" s="32"/>
      <c r="R1075" s="32"/>
      <c r="S1075" s="32"/>
      <c r="T1075" s="12"/>
      <c r="U1075" s="12"/>
      <c r="V1075" s="12"/>
      <c r="W1075" s="12">
        <f t="shared" si="287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91"/>
        <v>0</v>
      </c>
      <c r="AF1075" s="12"/>
      <c r="AG1075" s="12"/>
      <c r="AH1075" s="12"/>
      <c r="AI1075" s="12">
        <f t="shared" si="285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282"/>
        <v>0</v>
      </c>
      <c r="H1076" s="12"/>
      <c r="I1076" s="12"/>
      <c r="J1076" s="12"/>
      <c r="K1076" s="12">
        <f t="shared" si="283"/>
        <v>0</v>
      </c>
      <c r="M1076" s="10">
        <v>20</v>
      </c>
      <c r="N1076" s="30"/>
      <c r="O1076" s="11"/>
      <c r="P1076" s="32"/>
      <c r="Q1076" s="32"/>
      <c r="R1076" s="32"/>
      <c r="S1076" s="32"/>
      <c r="T1076" s="12"/>
      <c r="U1076" s="12"/>
      <c r="V1076" s="12"/>
      <c r="W1076" s="12">
        <f t="shared" si="287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91"/>
        <v>0</v>
      </c>
      <c r="AF1076" s="12"/>
      <c r="AG1076" s="12"/>
      <c r="AH1076" s="12"/>
      <c r="AI1076" s="12">
        <f t="shared" si="285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11"/>
      <c r="D1077" s="32"/>
      <c r="E1077" s="32"/>
      <c r="F1077" s="32"/>
      <c r="G1077" s="32">
        <f t="shared" si="282"/>
        <v>0</v>
      </c>
      <c r="H1077" s="10"/>
      <c r="I1077" s="10"/>
      <c r="J1077" s="10"/>
      <c r="K1077" s="12">
        <f t="shared" si="283"/>
        <v>0</v>
      </c>
      <c r="M1077" s="10">
        <v>21</v>
      </c>
      <c r="N1077" s="30"/>
      <c r="O1077" s="11"/>
      <c r="P1077" s="46"/>
      <c r="Q1077" s="31"/>
      <c r="R1077" s="31"/>
      <c r="S1077" s="32"/>
      <c r="T1077" s="10"/>
      <c r="U1077" s="10"/>
      <c r="V1077" s="10"/>
      <c r="W1077" s="12">
        <f t="shared" si="287"/>
        <v>0</v>
      </c>
      <c r="Y1077" s="10">
        <v>21</v>
      </c>
      <c r="Z1077" s="30"/>
      <c r="AA1077" s="11"/>
      <c r="AB1077" s="46"/>
      <c r="AC1077" s="31"/>
      <c r="AD1077" s="31"/>
      <c r="AE1077" s="32">
        <f t="shared" si="291"/>
        <v>0</v>
      </c>
      <c r="AF1077" s="10"/>
      <c r="AG1077" s="10"/>
      <c r="AH1077" s="10"/>
      <c r="AI1077" s="12">
        <f t="shared" si="285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282"/>
        <v>0</v>
      </c>
      <c r="H1078" s="10"/>
      <c r="I1078" s="10"/>
      <c r="J1078" s="10"/>
      <c r="K1078" s="12">
        <f t="shared" si="283"/>
        <v>0</v>
      </c>
      <c r="M1078" s="10">
        <v>22</v>
      </c>
      <c r="N1078" s="30"/>
      <c r="O1078" s="82"/>
      <c r="P1078" s="45"/>
      <c r="Q1078" s="31"/>
      <c r="R1078" s="31"/>
      <c r="S1078" s="32"/>
      <c r="T1078" s="10"/>
      <c r="U1078" s="10"/>
      <c r="V1078" s="10"/>
      <c r="W1078" s="12">
        <f t="shared" si="287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91"/>
        <v>0</v>
      </c>
      <c r="AF1078" s="10"/>
      <c r="AG1078" s="10"/>
      <c r="AH1078" s="10"/>
      <c r="AI1078" s="12">
        <f t="shared" si="285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31"/>
      <c r="D1079" s="32"/>
      <c r="E1079" s="32"/>
      <c r="F1079" s="32"/>
      <c r="G1079" s="32">
        <f t="shared" si="282"/>
        <v>0</v>
      </c>
      <c r="H1079" s="10"/>
      <c r="I1079" s="10"/>
      <c r="J1079" s="12"/>
      <c r="K1079" s="12">
        <f t="shared" si="283"/>
        <v>0</v>
      </c>
      <c r="M1079" s="10">
        <v>23</v>
      </c>
      <c r="N1079" s="30"/>
      <c r="O1079" s="82"/>
      <c r="P1079" s="47"/>
      <c r="S1079" s="32"/>
      <c r="T1079" s="10"/>
      <c r="U1079" s="10"/>
      <c r="V1079" s="10"/>
      <c r="W1079" s="12">
        <f t="shared" si="287"/>
        <v>0</v>
      </c>
      <c r="Y1079" s="10">
        <v>23</v>
      </c>
      <c r="Z1079" s="30"/>
      <c r="AA1079" s="31"/>
      <c r="AB1079" s="47"/>
      <c r="AE1079" s="32">
        <f t="shared" si="291"/>
        <v>0</v>
      </c>
      <c r="AF1079" s="10"/>
      <c r="AG1079" s="10"/>
      <c r="AH1079" s="10"/>
      <c r="AI1079" s="12">
        <f t="shared" si="285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282"/>
        <v>0</v>
      </c>
      <c r="H1080" s="10"/>
      <c r="I1080" s="10"/>
      <c r="J1080" s="10"/>
      <c r="K1080" s="12">
        <f t="shared" si="283"/>
        <v>0</v>
      </c>
      <c r="M1080" s="10">
        <v>24</v>
      </c>
      <c r="N1080" s="30"/>
      <c r="O1080" s="82"/>
      <c r="P1080" s="47"/>
      <c r="Q1080" s="31"/>
      <c r="R1080" s="31"/>
      <c r="S1080" s="32"/>
      <c r="T1080" s="10"/>
      <c r="U1080" s="10"/>
      <c r="V1080" s="10"/>
      <c r="W1080" s="12">
        <f t="shared" si="287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91"/>
        <v>0</v>
      </c>
      <c r="AF1080" s="10"/>
      <c r="AG1080" s="10"/>
      <c r="AH1080" s="10"/>
      <c r="AI1080" s="12">
        <f t="shared" si="285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282"/>
        <v>0</v>
      </c>
      <c r="H1081" s="10"/>
      <c r="I1081" s="10"/>
      <c r="J1081" s="10"/>
      <c r="K1081" s="12">
        <f t="shared" si="283"/>
        <v>0</v>
      </c>
      <c r="M1081" s="10">
        <v>25</v>
      </c>
      <c r="N1081" s="30"/>
      <c r="O1081" s="82"/>
      <c r="P1081" s="47"/>
      <c r="Q1081" s="31"/>
      <c r="R1081" s="31"/>
      <c r="S1081" s="32"/>
      <c r="T1081" s="10"/>
      <c r="U1081" s="10"/>
      <c r="V1081" s="10"/>
      <c r="W1081" s="12">
        <f t="shared" si="287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91"/>
        <v>0</v>
      </c>
      <c r="AF1081" s="10"/>
      <c r="AG1081" s="10"/>
      <c r="AH1081" s="10"/>
      <c r="AI1081" s="12">
        <f t="shared" si="285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282"/>
        <v>0</v>
      </c>
      <c r="H1082" s="10"/>
      <c r="I1082" s="10"/>
      <c r="J1082" s="10"/>
      <c r="K1082" s="12">
        <f t="shared" si="283"/>
        <v>0</v>
      </c>
      <c r="M1082" s="10">
        <v>26</v>
      </c>
      <c r="N1082" s="30"/>
      <c r="O1082" s="82"/>
      <c r="P1082" s="47"/>
      <c r="Q1082" s="31"/>
      <c r="R1082" s="31"/>
      <c r="S1082" s="32"/>
      <c r="T1082" s="10"/>
      <c r="U1082" s="10"/>
      <c r="V1082" s="10"/>
      <c r="W1082" s="12">
        <f t="shared" si="287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91"/>
        <v>0</v>
      </c>
      <c r="AF1082" s="10"/>
      <c r="AG1082" s="10"/>
      <c r="AH1082" s="10"/>
      <c r="AI1082" s="12">
        <f t="shared" si="285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282"/>
        <v>0</v>
      </c>
      <c r="H1083" s="10"/>
      <c r="I1083" s="10"/>
      <c r="J1083" s="10"/>
      <c r="K1083" s="12">
        <f t="shared" si="283"/>
        <v>0</v>
      </c>
      <c r="M1083" s="10">
        <v>27</v>
      </c>
      <c r="N1083" s="30"/>
      <c r="O1083" s="82"/>
      <c r="P1083" s="47"/>
      <c r="Q1083" s="31"/>
      <c r="R1083" s="31"/>
      <c r="S1083" s="32"/>
      <c r="T1083" s="10"/>
      <c r="U1083" s="10"/>
      <c r="V1083" s="10"/>
      <c r="W1083" s="12">
        <f t="shared" si="287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91"/>
        <v>0</v>
      </c>
      <c r="AF1083" s="10"/>
      <c r="AG1083" s="10"/>
      <c r="AH1083" s="10"/>
      <c r="AI1083" s="12">
        <f t="shared" si="285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282"/>
        <v>0</v>
      </c>
      <c r="H1084" s="10"/>
      <c r="I1084" s="10"/>
      <c r="J1084" s="10"/>
      <c r="K1084" s="12">
        <f t="shared" si="283"/>
        <v>0</v>
      </c>
      <c r="M1084" s="10">
        <v>28</v>
      </c>
      <c r="N1084" s="30"/>
      <c r="O1084" s="82"/>
      <c r="P1084" s="47"/>
      <c r="Q1084" s="31"/>
      <c r="R1084" s="31"/>
      <c r="S1084" s="32"/>
      <c r="T1084" s="10"/>
      <c r="U1084" s="10"/>
      <c r="V1084" s="10"/>
      <c r="W1084" s="12">
        <f t="shared" si="287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91"/>
        <v>0</v>
      </c>
      <c r="AF1084" s="10"/>
      <c r="AG1084" s="10"/>
      <c r="AH1084" s="10"/>
      <c r="AI1084" s="12">
        <f t="shared" si="285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11"/>
      <c r="D1085" s="32"/>
      <c r="E1085" s="32"/>
      <c r="F1085" s="32"/>
      <c r="G1085" s="32">
        <f t="shared" si="282"/>
        <v>0</v>
      </c>
      <c r="H1085" s="10"/>
      <c r="I1085" s="10"/>
      <c r="J1085" s="10"/>
      <c r="K1085" s="12">
        <f t="shared" si="283"/>
        <v>0</v>
      </c>
      <c r="M1085" s="10">
        <v>29</v>
      </c>
      <c r="N1085" s="30"/>
      <c r="O1085" s="82"/>
      <c r="P1085" s="47"/>
      <c r="Q1085" s="31"/>
      <c r="R1085" s="31"/>
      <c r="S1085" s="32"/>
      <c r="T1085" s="10"/>
      <c r="U1085" s="10"/>
      <c r="V1085" s="10"/>
      <c r="W1085" s="12">
        <f t="shared" si="287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91"/>
        <v>0</v>
      </c>
      <c r="AF1085" s="10"/>
      <c r="AG1085" s="10"/>
      <c r="AH1085" s="10"/>
      <c r="AI1085" s="12">
        <f t="shared" si="285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82"/>
      <c r="D1086" s="32"/>
      <c r="E1086" s="32"/>
      <c r="F1086" s="32"/>
      <c r="G1086" s="32">
        <f t="shared" si="282"/>
        <v>0</v>
      </c>
      <c r="H1086" s="10"/>
      <c r="I1086" s="10"/>
      <c r="J1086" s="10"/>
      <c r="K1086" s="12">
        <f t="shared" si="283"/>
        <v>0</v>
      </c>
      <c r="M1086" s="10">
        <v>30</v>
      </c>
      <c r="N1086" s="30"/>
      <c r="O1086" s="82"/>
      <c r="P1086" s="47"/>
      <c r="Q1086" s="31"/>
      <c r="R1086" s="31"/>
      <c r="S1086" s="32"/>
      <c r="T1086" s="10"/>
      <c r="U1086" s="10"/>
      <c r="V1086" s="10"/>
      <c r="W1086" s="12">
        <f t="shared" si="287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91"/>
        <v>0</v>
      </c>
      <c r="AF1086" s="10"/>
      <c r="AG1086" s="10"/>
      <c r="AH1086" s="10"/>
      <c r="AI1086" s="12">
        <f t="shared" si="285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2"/>
      <c r="D1087" s="32"/>
      <c r="E1087" s="32"/>
      <c r="F1087" s="32"/>
      <c r="G1087" s="32">
        <f t="shared" si="282"/>
        <v>0</v>
      </c>
      <c r="H1087" s="10"/>
      <c r="I1087" s="10"/>
      <c r="J1087" s="10"/>
      <c r="K1087" s="12">
        <f t="shared" si="283"/>
        <v>0</v>
      </c>
      <c r="M1087" s="10">
        <v>31</v>
      </c>
      <c r="N1087" s="30"/>
      <c r="O1087" s="11"/>
      <c r="P1087" s="47"/>
      <c r="Q1087" s="31"/>
      <c r="R1087" s="31"/>
      <c r="S1087" s="32">
        <f t="shared" ref="S1087:S1095" si="292">SUM(P1087:Q1087)</f>
        <v>0</v>
      </c>
      <c r="T1087" s="10"/>
      <c r="U1087" s="10"/>
      <c r="V1087" s="10"/>
      <c r="W1087" s="12">
        <f t="shared" si="287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291"/>
        <v>0</v>
      </c>
      <c r="AF1087" s="10"/>
      <c r="AG1087" s="10"/>
      <c r="AH1087" s="10"/>
      <c r="AI1087" s="12">
        <f t="shared" si="285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2"/>
      <c r="D1088" s="32"/>
      <c r="E1088" s="32"/>
      <c r="F1088" s="32"/>
      <c r="G1088" s="32">
        <f t="shared" si="282"/>
        <v>0</v>
      </c>
      <c r="H1088" s="10"/>
      <c r="I1088" s="10"/>
      <c r="J1088" s="10"/>
      <c r="K1088" s="12">
        <f t="shared" si="283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92"/>
        <v>0</v>
      </c>
      <c r="T1088" s="10"/>
      <c r="U1088" s="10"/>
      <c r="V1088" s="10"/>
      <c r="W1088" s="12">
        <f t="shared" si="287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91"/>
        <v>0</v>
      </c>
      <c r="AF1088" s="10"/>
      <c r="AG1088" s="10"/>
      <c r="AH1088" s="10"/>
      <c r="AI1088" s="12">
        <f t="shared" si="285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2"/>
      <c r="D1089" s="32"/>
      <c r="E1089" s="32"/>
      <c r="F1089" s="32"/>
      <c r="G1089" s="32">
        <f t="shared" si="282"/>
        <v>0</v>
      </c>
      <c r="H1089" s="10"/>
      <c r="I1089" s="10"/>
      <c r="J1089" s="10"/>
      <c r="K1089" s="12">
        <f t="shared" si="283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92"/>
        <v>0</v>
      </c>
      <c r="T1089" s="10"/>
      <c r="U1089" s="10"/>
      <c r="V1089" s="10"/>
      <c r="W1089" s="12">
        <f t="shared" si="287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91"/>
        <v>0</v>
      </c>
      <c r="AF1089" s="10"/>
      <c r="AG1089" s="10"/>
      <c r="AH1089" s="10"/>
      <c r="AI1089" s="12">
        <f t="shared" si="285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2"/>
      <c r="D1090" s="32"/>
      <c r="E1090" s="32"/>
      <c r="F1090" s="32"/>
      <c r="G1090" s="32">
        <f t="shared" si="282"/>
        <v>0</v>
      </c>
      <c r="H1090" s="10"/>
      <c r="I1090" s="10"/>
      <c r="J1090" s="10"/>
      <c r="K1090" s="12">
        <f t="shared" si="283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92"/>
        <v>0</v>
      </c>
      <c r="T1090" s="10"/>
      <c r="U1090" s="10"/>
      <c r="V1090" s="10"/>
      <c r="W1090" s="12">
        <f t="shared" si="287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291"/>
        <v>0</v>
      </c>
      <c r="AF1090" s="10"/>
      <c r="AG1090" s="10"/>
      <c r="AH1090" s="10"/>
      <c r="AI1090" s="12">
        <f t="shared" si="285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2"/>
        <v>0</v>
      </c>
      <c r="T1091" s="10"/>
      <c r="U1091" s="10"/>
      <c r="V1091" s="10"/>
      <c r="W1091" s="12">
        <f t="shared" si="287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91"/>
        <v>0</v>
      </c>
      <c r="AF1091" s="10"/>
      <c r="AG1091" s="10"/>
      <c r="AH1091" s="10"/>
      <c r="AI1091" s="12">
        <f t="shared" si="285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2"/>
        <v>0</v>
      </c>
      <c r="T1092" s="10"/>
      <c r="U1092" s="10"/>
      <c r="V1092" s="10"/>
      <c r="W1092" s="12">
        <f t="shared" si="287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91"/>
        <v>0</v>
      </c>
      <c r="AF1092" s="10"/>
      <c r="AG1092" s="10"/>
      <c r="AH1092" s="10"/>
      <c r="AI1092" s="12">
        <f t="shared" si="285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2"/>
        <v>0</v>
      </c>
      <c r="T1093" s="10"/>
      <c r="U1093" s="10"/>
      <c r="V1093" s="10"/>
      <c r="W1093" s="12">
        <f t="shared" si="287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91"/>
        <v>0</v>
      </c>
      <c r="AF1093" s="10"/>
      <c r="AG1093" s="10"/>
      <c r="AH1093" s="10"/>
      <c r="AI1093" s="12">
        <f t="shared" si="285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2"/>
        <v>0</v>
      </c>
      <c r="T1094" s="10"/>
      <c r="U1094" s="10"/>
      <c r="V1094" s="10"/>
      <c r="W1094" s="12">
        <f t="shared" si="287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91"/>
        <v>0</v>
      </c>
      <c r="AF1094" s="10"/>
      <c r="AG1094" s="10"/>
      <c r="AH1094" s="10"/>
      <c r="AI1094" s="12">
        <f t="shared" si="285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2"/>
        <v>0</v>
      </c>
      <c r="T1095" s="10"/>
      <c r="U1095" s="10"/>
      <c r="V1095" s="10"/>
      <c r="W1095" s="12">
        <f t="shared" si="287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91"/>
        <v>0</v>
      </c>
      <c r="AF1095" s="10"/>
      <c r="AG1095" s="10"/>
      <c r="AH1095" s="10"/>
      <c r="AI1095" s="12">
        <f t="shared" si="285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7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85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93">SUM(D1097:E1097)</f>
        <v>0</v>
      </c>
      <c r="H1097" s="10"/>
      <c r="I1097" s="10"/>
      <c r="J1097" s="10"/>
      <c r="K1097" s="12">
        <f t="shared" ref="K1097" si="294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95">SUM(P1097:Q1097)</f>
        <v>0</v>
      </c>
      <c r="T1097" s="10"/>
      <c r="U1097" s="10"/>
      <c r="V1097" s="10"/>
      <c r="W1097" s="12">
        <f t="shared" si="287"/>
        <v>0</v>
      </c>
      <c r="Y1097" s="10"/>
      <c r="Z1097" s="30"/>
      <c r="AA1097" s="31"/>
      <c r="AB1097" s="47"/>
      <c r="AC1097" s="31"/>
      <c r="AD1097" s="31"/>
      <c r="AE1097" s="32">
        <f t="shared" ref="AE1097" si="296">SUM(AB1097:AC1097)</f>
        <v>0</v>
      </c>
      <c r="AF1097" s="10"/>
      <c r="AG1097" s="10"/>
      <c r="AH1097" s="10"/>
      <c r="AI1097" s="12">
        <f t="shared" si="285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7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85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222742</v>
      </c>
      <c r="E1100" s="38">
        <f t="shared" ref="E1100:F1100" si="297">SUM(E1057:E1097)</f>
        <v>-1602</v>
      </c>
      <c r="F1100" s="38">
        <f t="shared" si="297"/>
        <v>0</v>
      </c>
      <c r="G1100" s="38">
        <f>SUM(G1057:G1099)</f>
        <v>221140</v>
      </c>
      <c r="H1100" s="4"/>
      <c r="I1100" s="39">
        <f>SUM(I1057:I1099)</f>
        <v>678</v>
      </c>
      <c r="J1100" s="39">
        <f>SUM(J1057:J1099)</f>
        <v>-3153</v>
      </c>
      <c r="K1100" s="40">
        <f>SUM(K1057:K1099)</f>
        <v>218665</v>
      </c>
      <c r="N1100" s="57"/>
      <c r="O1100" s="57"/>
      <c r="P1100" s="38">
        <f>SUM(P1057:P1099)</f>
        <v>244246.5</v>
      </c>
      <c r="Q1100" s="38">
        <f>SUM(Q1057:Q1081)</f>
        <v>-1596</v>
      </c>
      <c r="R1100" s="38">
        <f>SUM(R1057:R1081)</f>
        <v>0</v>
      </c>
      <c r="S1100" s="38">
        <f>SUM(S1057:S1099)</f>
        <v>242650.5</v>
      </c>
      <c r="T1100" s="4"/>
      <c r="U1100" s="41">
        <f>SUM(U1057:U1099)</f>
        <v>867</v>
      </c>
      <c r="V1100" s="41">
        <f>SUM(V1057:V1081)</f>
        <v>-1950</v>
      </c>
      <c r="W1100" s="42">
        <f>SUM(W1057:W1099)</f>
        <v>241567.5</v>
      </c>
      <c r="Z1100" s="57"/>
      <c r="AA1100" s="57"/>
      <c r="AB1100" s="38">
        <f>SUM(AB1057:AB1099)</f>
        <v>207577</v>
      </c>
      <c r="AC1100" s="38">
        <f>SUM(AC1057:AC1081)</f>
        <v>-1248</v>
      </c>
      <c r="AD1100" s="38">
        <f>SUM(AD1057:AD1081)</f>
        <v>0</v>
      </c>
      <c r="AE1100" s="38">
        <f>SUM(AE1057:AE1099)</f>
        <v>206329</v>
      </c>
      <c r="AF1100" s="4"/>
      <c r="AG1100" s="41">
        <f>SUM(AG1057:AG1099)</f>
        <v>309</v>
      </c>
      <c r="AH1100" s="41">
        <f>SUM(AH1057:AH1081)</f>
        <v>0</v>
      </c>
      <c r="AI1100" s="42">
        <f>SUM(AI1057:AI1099)</f>
        <v>206638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53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53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53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102</v>
      </c>
      <c r="B1108" s="20"/>
      <c r="C1108" s="57"/>
      <c r="D1108" s="57"/>
      <c r="E1108" s="57"/>
      <c r="G1108" s="57"/>
      <c r="I1108" s="22" t="s">
        <v>16</v>
      </c>
      <c r="J1108" s="23" t="s">
        <v>36</v>
      </c>
      <c r="K1108" s="24"/>
      <c r="M1108" s="21" t="s">
        <v>102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32</v>
      </c>
      <c r="W1108" s="24"/>
      <c r="Y1108" s="21" t="s">
        <v>102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81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7" t="s">
        <v>17</v>
      </c>
      <c r="E1110" s="127"/>
      <c r="F1110" s="114"/>
      <c r="G1110" s="27"/>
      <c r="I1110" s="121" t="s">
        <v>18</v>
      </c>
      <c r="J1110" s="122"/>
      <c r="K1110" s="123" t="s">
        <v>19</v>
      </c>
      <c r="N1110" s="25"/>
      <c r="O1110" s="26"/>
      <c r="P1110" s="127" t="s">
        <v>17</v>
      </c>
      <c r="Q1110" s="127"/>
      <c r="R1110" s="114"/>
      <c r="S1110" s="27"/>
      <c r="U1110" s="121" t="s">
        <v>18</v>
      </c>
      <c r="V1110" s="122"/>
      <c r="W1110" s="123" t="s">
        <v>19</v>
      </c>
      <c r="Z1110" s="25"/>
      <c r="AA1110" s="26"/>
      <c r="AB1110" s="127" t="s">
        <v>17</v>
      </c>
      <c r="AC1110" s="127"/>
      <c r="AD1110" s="114"/>
      <c r="AE1110" s="27"/>
      <c r="AG1110" s="121" t="s">
        <v>18</v>
      </c>
      <c r="AH1110" s="122"/>
      <c r="AI1110" s="123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31</v>
      </c>
      <c r="G1111" s="78" t="s">
        <v>24</v>
      </c>
      <c r="I1111" s="29" t="s">
        <v>25</v>
      </c>
      <c r="J1111" s="29" t="s">
        <v>26</v>
      </c>
      <c r="K1111" s="124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31</v>
      </c>
      <c r="S1111" s="78" t="s">
        <v>24</v>
      </c>
      <c r="U1111" s="29" t="s">
        <v>25</v>
      </c>
      <c r="V1111" s="29" t="s">
        <v>26</v>
      </c>
      <c r="W1111" s="124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31</v>
      </c>
      <c r="AE1111" s="78" t="s">
        <v>24</v>
      </c>
      <c r="AG1111" s="29" t="s">
        <v>25</v>
      </c>
      <c r="AH1111" s="29" t="s">
        <v>26</v>
      </c>
      <c r="AI1111" s="124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103</v>
      </c>
      <c r="C1112" s="82">
        <v>11493</v>
      </c>
      <c r="D1112" s="32">
        <f>650*520+229*20</f>
        <v>342580</v>
      </c>
      <c r="E1112" s="32">
        <f>-520*6</f>
        <v>-3120</v>
      </c>
      <c r="F1112" s="32"/>
      <c r="G1112" s="32">
        <f t="shared" ref="G1112:G1145" si="298">SUM(D1112:E1112)</f>
        <v>339460</v>
      </c>
      <c r="H1112" s="12"/>
      <c r="I1112" s="12">
        <f>363*111+78*20</f>
        <v>41853</v>
      </c>
      <c r="J1112" s="12"/>
      <c r="K1112" s="12">
        <f t="shared" ref="K1112:K1145" si="299">SUM(G1112:J1112)</f>
        <v>381313</v>
      </c>
      <c r="M1112" s="10">
        <v>1</v>
      </c>
      <c r="N1112" s="30" t="s">
        <v>103</v>
      </c>
      <c r="O1112" s="82">
        <v>11605</v>
      </c>
      <c r="P1112" s="32">
        <f>650*21</f>
        <v>13650</v>
      </c>
      <c r="Q1112" s="32"/>
      <c r="R1112" s="32"/>
      <c r="S1112" s="32">
        <f>SUM(P1112:Q1112)</f>
        <v>13650</v>
      </c>
      <c r="T1112" s="12"/>
      <c r="U1112" s="12"/>
      <c r="V1112" s="12"/>
      <c r="W1112" s="12">
        <f>SUM(S1112:V1112)</f>
        <v>13650</v>
      </c>
      <c r="Y1112" s="10">
        <v>1</v>
      </c>
      <c r="Z1112" s="30" t="s">
        <v>103</v>
      </c>
      <c r="AA1112" s="31">
        <v>11576</v>
      </c>
      <c r="AB1112" s="32">
        <f>650*108+670*15+622*20+229</f>
        <v>92919</v>
      </c>
      <c r="AC1112" s="32">
        <f>-143*6</f>
        <v>-858</v>
      </c>
      <c r="AD1112" s="32"/>
      <c r="AE1112" s="32">
        <f t="shared" ref="AE1112:AE1117" si="300">SUM(AB1112:AC1112)</f>
        <v>92061</v>
      </c>
      <c r="AF1112" s="12"/>
      <c r="AG1112" s="12"/>
      <c r="AH1112" s="12"/>
      <c r="AI1112" s="12">
        <f t="shared" ref="AI1112:AI1153" si="301">SUM(AE1112:AH1112)</f>
        <v>92061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103</v>
      </c>
      <c r="C1113" s="31">
        <f>C1112+1</f>
        <v>11494</v>
      </c>
      <c r="D1113" s="32">
        <f>650*324+229*13</f>
        <v>213577</v>
      </c>
      <c r="E1113" s="32">
        <f>-324*6</f>
        <v>-1944</v>
      </c>
      <c r="F1113" s="32"/>
      <c r="G1113" s="32">
        <f t="shared" si="298"/>
        <v>211633</v>
      </c>
      <c r="H1113" s="12"/>
      <c r="I1113" s="12">
        <f>111*43+78*6+1.5*144</f>
        <v>5457</v>
      </c>
      <c r="J1113" s="12"/>
      <c r="K1113" s="12">
        <f t="shared" si="299"/>
        <v>217090</v>
      </c>
      <c r="M1113" s="10">
        <v>2</v>
      </c>
      <c r="N1113" s="30" t="s">
        <v>103</v>
      </c>
      <c r="O1113" s="82">
        <f>O1112+1</f>
        <v>11606</v>
      </c>
      <c r="P1113" s="32">
        <f>650*3+670+622</f>
        <v>3242</v>
      </c>
      <c r="Q1113" s="32"/>
      <c r="R1113" s="32"/>
      <c r="S1113" s="32">
        <f t="shared" ref="S1113:S1128" si="302">SUM(P1113:Q1113)</f>
        <v>3242</v>
      </c>
      <c r="T1113" s="12"/>
      <c r="U1113" s="12"/>
      <c r="V1113" s="12"/>
      <c r="W1113" s="12">
        <f t="shared" ref="W1113:W1153" si="303">SUM(S1113:V1113)</f>
        <v>3242</v>
      </c>
      <c r="Y1113" s="10">
        <v>2</v>
      </c>
      <c r="Z1113" s="30" t="s">
        <v>103</v>
      </c>
      <c r="AA1113" s="31">
        <f>AA1112+1</f>
        <v>11577</v>
      </c>
      <c r="AB1113" s="12">
        <f>650*89+670*10+622*10+229*4</f>
        <v>71686</v>
      </c>
      <c r="AC1113" s="10">
        <f>-109*6</f>
        <v>-654</v>
      </c>
      <c r="AD1113" s="10"/>
      <c r="AE1113" s="32">
        <f t="shared" si="300"/>
        <v>71032</v>
      </c>
      <c r="AG1113" s="10"/>
      <c r="AH1113" s="10"/>
      <c r="AI1113" s="12">
        <f t="shared" si="301"/>
        <v>71032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103</v>
      </c>
      <c r="C1114" s="31">
        <f t="shared" ref="C1114:C1115" si="304">C1113+1</f>
        <v>11495</v>
      </c>
      <c r="D1114" s="33">
        <f>650*58+622*10</f>
        <v>43920</v>
      </c>
      <c r="E1114" s="33"/>
      <c r="F1114" s="33"/>
      <c r="G1114" s="33">
        <f t="shared" si="298"/>
        <v>43920</v>
      </c>
      <c r="H1114" s="34"/>
      <c r="I1114" s="34"/>
      <c r="J1114" s="34"/>
      <c r="K1114" s="34">
        <f t="shared" si="299"/>
        <v>43920</v>
      </c>
      <c r="M1114" s="10">
        <v>3</v>
      </c>
      <c r="N1114" s="30" t="s">
        <v>103</v>
      </c>
      <c r="O1114" s="82">
        <f t="shared" ref="O1114:O1124" si="305">O1113+1</f>
        <v>11607</v>
      </c>
      <c r="P1114" s="33">
        <f>650*9+622*3+9.5*12</f>
        <v>7830</v>
      </c>
      <c r="Q1114" s="33"/>
      <c r="R1114" s="32"/>
      <c r="S1114" s="32">
        <f t="shared" si="302"/>
        <v>7830</v>
      </c>
      <c r="T1114" s="12"/>
      <c r="U1114" s="34"/>
      <c r="V1114" s="34"/>
      <c r="W1114" s="12">
        <f t="shared" si="303"/>
        <v>7830</v>
      </c>
      <c r="Y1114" s="10">
        <v>3</v>
      </c>
      <c r="Z1114" s="30" t="s">
        <v>103</v>
      </c>
      <c r="AA1114" s="31">
        <f t="shared" ref="AA1114" si="306">AA1113+1</f>
        <v>11578</v>
      </c>
      <c r="AB1114" s="32">
        <f>650*50+229*2</f>
        <v>32958</v>
      </c>
      <c r="AC1114" s="32">
        <f>-50*6</f>
        <v>-300</v>
      </c>
      <c r="AD1114" s="32"/>
      <c r="AE1114" s="32">
        <f t="shared" si="300"/>
        <v>32658</v>
      </c>
      <c r="AF1114" s="12"/>
      <c r="AG1114" s="12"/>
      <c r="AH1114" s="12"/>
      <c r="AI1114" s="12">
        <f t="shared" si="301"/>
        <v>32658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103</v>
      </c>
      <c r="C1115" s="31">
        <f t="shared" si="304"/>
        <v>11496</v>
      </c>
      <c r="D1115" s="32">
        <f>650*40</f>
        <v>26000</v>
      </c>
      <c r="E1115" s="32"/>
      <c r="F1115" s="32"/>
      <c r="G1115" s="32">
        <f t="shared" si="298"/>
        <v>26000</v>
      </c>
      <c r="H1115" s="12"/>
      <c r="I1115" s="12"/>
      <c r="J1115" s="12">
        <f>-111*44</f>
        <v>-4884</v>
      </c>
      <c r="K1115" s="12">
        <f t="shared" si="299"/>
        <v>21116</v>
      </c>
      <c r="M1115" s="10">
        <v>4</v>
      </c>
      <c r="N1115" s="30" t="s">
        <v>103</v>
      </c>
      <c r="O1115" s="82">
        <f t="shared" si="305"/>
        <v>11608</v>
      </c>
      <c r="P1115" s="32">
        <f>650*2+622+9.5*3</f>
        <v>1950.5</v>
      </c>
      <c r="Q1115" s="32"/>
      <c r="R1115" s="32"/>
      <c r="S1115" s="32">
        <f t="shared" si="302"/>
        <v>1950.5</v>
      </c>
      <c r="T1115" s="12"/>
      <c r="U1115" s="12"/>
      <c r="V1115" s="12"/>
      <c r="W1115" s="12">
        <f t="shared" si="303"/>
        <v>1950.5</v>
      </c>
      <c r="Y1115" s="10">
        <v>4</v>
      </c>
      <c r="Z1115" s="30"/>
      <c r="AA1115" s="11" t="s">
        <v>27</v>
      </c>
      <c r="AB1115" s="33"/>
      <c r="AC1115" s="33"/>
      <c r="AD1115" s="32"/>
      <c r="AE1115" s="32">
        <f t="shared" si="300"/>
        <v>0</v>
      </c>
      <c r="AF1115" s="12"/>
      <c r="AG1115" s="12"/>
      <c r="AH1115" s="12"/>
      <c r="AI1115" s="12">
        <f t="shared" si="301"/>
        <v>0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/>
      <c r="C1116" s="11" t="s">
        <v>27</v>
      </c>
      <c r="D1116" s="32"/>
      <c r="E1116" s="32"/>
      <c r="F1116" s="32"/>
      <c r="G1116" s="32">
        <f t="shared" si="298"/>
        <v>0</v>
      </c>
      <c r="H1116" s="12"/>
      <c r="I1116" s="12"/>
      <c r="J1116" s="12"/>
      <c r="K1116" s="12">
        <f t="shared" si="299"/>
        <v>0</v>
      </c>
      <c r="M1116" s="10">
        <v>5</v>
      </c>
      <c r="N1116" s="30" t="s">
        <v>103</v>
      </c>
      <c r="O1116" s="82">
        <f t="shared" si="305"/>
        <v>11609</v>
      </c>
      <c r="P1116" s="32">
        <f>650*10+670*2+872+9.5*10</f>
        <v>8807</v>
      </c>
      <c r="Q1116" s="32"/>
      <c r="R1116" s="32"/>
      <c r="S1116" s="32">
        <f t="shared" si="302"/>
        <v>8807</v>
      </c>
      <c r="T1116" s="12"/>
      <c r="U1116" s="12">
        <f>4.5*5</f>
        <v>22.5</v>
      </c>
      <c r="V1116" s="12"/>
      <c r="W1116" s="12">
        <f t="shared" si="303"/>
        <v>8829.5</v>
      </c>
      <c r="Y1116" s="10">
        <v>5</v>
      </c>
      <c r="Z1116" s="30"/>
      <c r="AA1116" s="31"/>
      <c r="AB1116" s="32"/>
      <c r="AC1116" s="32"/>
      <c r="AD1116" s="32"/>
      <c r="AE1116" s="32">
        <f t="shared" si="300"/>
        <v>0</v>
      </c>
      <c r="AF1116" s="12"/>
      <c r="AH1116" s="12"/>
      <c r="AI1116" s="12">
        <f t="shared" si="301"/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31"/>
      <c r="D1117" s="32"/>
      <c r="E1117" s="32"/>
      <c r="F1117" s="32"/>
      <c r="G1117" s="32">
        <f t="shared" si="298"/>
        <v>0</v>
      </c>
      <c r="H1117" s="12"/>
      <c r="I1117" s="12"/>
      <c r="J1117" s="12"/>
      <c r="K1117" s="12">
        <f t="shared" si="299"/>
        <v>0</v>
      </c>
      <c r="M1117" s="10">
        <v>6</v>
      </c>
      <c r="N1117" s="30" t="s">
        <v>103</v>
      </c>
      <c r="O1117" s="82">
        <f t="shared" si="305"/>
        <v>11610</v>
      </c>
      <c r="P1117" s="32">
        <f>650*3+670+650</f>
        <v>3270</v>
      </c>
      <c r="Q1117" s="32"/>
      <c r="R1117" s="32"/>
      <c r="S1117" s="32">
        <f t="shared" si="302"/>
        <v>3270</v>
      </c>
      <c r="T1117" s="12"/>
      <c r="U1117" s="12"/>
      <c r="V1117" s="10"/>
      <c r="W1117" s="12">
        <f t="shared" si="303"/>
        <v>3270</v>
      </c>
      <c r="Y1117" s="10">
        <v>6</v>
      </c>
      <c r="Z1117" s="30"/>
      <c r="AA1117" s="31"/>
      <c r="AB1117" s="32"/>
      <c r="AC1117" s="32"/>
      <c r="AD1117" s="32"/>
      <c r="AE1117" s="32">
        <f t="shared" si="300"/>
        <v>0</v>
      </c>
      <c r="AF1117" s="12"/>
      <c r="AG1117" s="12"/>
      <c r="AH1117" s="12"/>
      <c r="AI1117" s="12">
        <f t="shared" si="301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31"/>
      <c r="D1118" s="32"/>
      <c r="E1118" s="32"/>
      <c r="F1118" s="32"/>
      <c r="G1118" s="32">
        <f t="shared" si="298"/>
        <v>0</v>
      </c>
      <c r="H1118" s="12"/>
      <c r="I1118" s="12"/>
      <c r="J1118" s="12"/>
      <c r="K1118" s="12">
        <f t="shared" si="299"/>
        <v>0</v>
      </c>
      <c r="M1118" s="10">
        <v>7</v>
      </c>
      <c r="N1118" s="30" t="s">
        <v>103</v>
      </c>
      <c r="O1118" s="82">
        <f t="shared" si="305"/>
        <v>11611</v>
      </c>
      <c r="P1118" s="32">
        <f>650*20+9.5*5</f>
        <v>13047.5</v>
      </c>
      <c r="Q1118" s="32"/>
      <c r="R1118" s="32"/>
      <c r="S1118" s="32">
        <f t="shared" si="302"/>
        <v>13047.5</v>
      </c>
      <c r="T1118" s="12"/>
      <c r="U1118" s="12"/>
      <c r="V1118" s="12"/>
      <c r="W1118" s="12">
        <f t="shared" si="303"/>
        <v>13047.5</v>
      </c>
      <c r="Y1118" s="10">
        <v>7</v>
      </c>
      <c r="Z1118" s="30"/>
      <c r="AA1118" s="31"/>
      <c r="AB1118" s="32"/>
      <c r="AC1118" s="32"/>
      <c r="AD1118" s="32"/>
      <c r="AE1118" s="32">
        <f t="shared" ref="AE1118:AE1150" si="307">SUM(AB1118:AC1118)</f>
        <v>0</v>
      </c>
      <c r="AF1118" s="12"/>
      <c r="AG1118" s="58"/>
      <c r="AH1118" s="12"/>
      <c r="AI1118" s="12">
        <f t="shared" si="301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31"/>
      <c r="D1119" s="32"/>
      <c r="E1119" s="32"/>
      <c r="F1119" s="32"/>
      <c r="G1119" s="32">
        <f t="shared" si="298"/>
        <v>0</v>
      </c>
      <c r="H1119" s="12"/>
      <c r="I1119" s="12"/>
      <c r="J1119" s="12"/>
      <c r="K1119" s="12">
        <f t="shared" si="299"/>
        <v>0</v>
      </c>
      <c r="M1119" s="10">
        <v>8</v>
      </c>
      <c r="N1119" s="30" t="s">
        <v>103</v>
      </c>
      <c r="O1119" s="82">
        <f t="shared" si="305"/>
        <v>11612</v>
      </c>
      <c r="P1119" s="32">
        <f>650+670+9.5</f>
        <v>1329.5</v>
      </c>
      <c r="Q1119" s="32"/>
      <c r="R1119" s="32"/>
      <c r="S1119" s="32">
        <f t="shared" si="302"/>
        <v>1329.5</v>
      </c>
      <c r="T1119" s="12"/>
      <c r="U1119" s="12"/>
      <c r="V1119" s="12"/>
      <c r="W1119" s="12">
        <f t="shared" si="303"/>
        <v>1329.5</v>
      </c>
      <c r="Y1119" s="10">
        <v>8</v>
      </c>
      <c r="Z1119" s="30"/>
      <c r="AA1119" s="31"/>
      <c r="AB1119" s="32"/>
      <c r="AC1119" s="32"/>
      <c r="AE1119" s="32">
        <f t="shared" si="307"/>
        <v>0</v>
      </c>
      <c r="AF1119" s="12"/>
      <c r="AG1119" s="12"/>
      <c r="AH1119" s="12"/>
      <c r="AI1119" s="12">
        <f t="shared" si="301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C1120" s="31"/>
      <c r="D1120" s="32"/>
      <c r="E1120" s="32"/>
      <c r="F1120" s="32"/>
      <c r="G1120" s="32">
        <f t="shared" si="298"/>
        <v>0</v>
      </c>
      <c r="H1120" s="12"/>
      <c r="I1120" s="12"/>
      <c r="J1120" s="12"/>
      <c r="K1120" s="12">
        <f t="shared" si="299"/>
        <v>0</v>
      </c>
      <c r="M1120" s="10">
        <v>9</v>
      </c>
      <c r="N1120" s="30" t="s">
        <v>103</v>
      </c>
      <c r="O1120" s="82">
        <f t="shared" si="305"/>
        <v>11613</v>
      </c>
      <c r="P1120" s="32">
        <f>650*18+670*2</f>
        <v>13040</v>
      </c>
      <c r="Q1120" s="32"/>
      <c r="R1120" s="32"/>
      <c r="S1120" s="32">
        <f t="shared" si="302"/>
        <v>13040</v>
      </c>
      <c r="T1120" s="12"/>
      <c r="U1120" s="12">
        <v>67.5</v>
      </c>
      <c r="V1120" s="12"/>
      <c r="W1120" s="12">
        <f t="shared" si="303"/>
        <v>13107.5</v>
      </c>
      <c r="Y1120" s="10">
        <v>9</v>
      </c>
      <c r="Z1120" s="30"/>
      <c r="AA1120" s="31"/>
      <c r="AB1120" s="105"/>
      <c r="AC1120" s="32"/>
      <c r="AD1120" s="32"/>
      <c r="AE1120" s="32">
        <f t="shared" si="307"/>
        <v>0</v>
      </c>
      <c r="AF1120" s="12"/>
      <c r="AH1120" s="12"/>
      <c r="AI1120" s="12">
        <f t="shared" si="301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31"/>
      <c r="D1121" s="32"/>
      <c r="E1121" s="32"/>
      <c r="F1121" s="32"/>
      <c r="G1121" s="32">
        <f t="shared" si="298"/>
        <v>0</v>
      </c>
      <c r="H1121" s="12"/>
      <c r="I1121" s="12"/>
      <c r="J1121" s="12"/>
      <c r="K1121" s="12">
        <f t="shared" si="299"/>
        <v>0</v>
      </c>
      <c r="M1121" s="10">
        <v>10</v>
      </c>
      <c r="N1121" s="30" t="s">
        <v>103</v>
      </c>
      <c r="O1121" s="82">
        <f t="shared" si="305"/>
        <v>11614</v>
      </c>
      <c r="P1121" s="32">
        <f>650*7+229</f>
        <v>4779</v>
      </c>
      <c r="Q1121" s="32"/>
      <c r="R1121" s="32"/>
      <c r="S1121" s="32">
        <f t="shared" si="302"/>
        <v>4779</v>
      </c>
      <c r="T1121" s="12"/>
      <c r="U1121" s="12">
        <f>4.5*3+1.5*24</f>
        <v>49.5</v>
      </c>
      <c r="V1121" s="12"/>
      <c r="W1121" s="12">
        <f t="shared" si="303"/>
        <v>4828.5</v>
      </c>
      <c r="Y1121" s="10">
        <v>10</v>
      </c>
      <c r="Z1121" s="30"/>
      <c r="AA1121" s="31"/>
      <c r="AB1121" s="32"/>
      <c r="AC1121" s="32"/>
      <c r="AD1121" s="32"/>
      <c r="AE1121" s="32">
        <f t="shared" si="307"/>
        <v>0</v>
      </c>
      <c r="AF1121" s="12"/>
      <c r="AG1121" s="12"/>
      <c r="AH1121" s="12"/>
      <c r="AI1121" s="12">
        <f t="shared" si="301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31"/>
      <c r="D1122" s="32"/>
      <c r="E1122" s="32"/>
      <c r="F1122" s="32"/>
      <c r="G1122" s="32">
        <f t="shared" si="298"/>
        <v>0</v>
      </c>
      <c r="H1122" s="12"/>
      <c r="I1122" s="12"/>
      <c r="J1122" s="12"/>
      <c r="K1122" s="12">
        <f t="shared" si="299"/>
        <v>0</v>
      </c>
      <c r="M1122" s="10">
        <v>11</v>
      </c>
      <c r="N1122" s="30" t="s">
        <v>103</v>
      </c>
      <c r="O1122" s="82">
        <f t="shared" si="305"/>
        <v>11615</v>
      </c>
      <c r="P1122" s="32">
        <f>650*16+670+622*2</f>
        <v>12314</v>
      </c>
      <c r="Q1122" s="32"/>
      <c r="R1122" s="32"/>
      <c r="S1122" s="32">
        <f t="shared" si="302"/>
        <v>12314</v>
      </c>
      <c r="T1122" s="12"/>
      <c r="U1122" s="12"/>
      <c r="V1122" s="12">
        <f>-111*3</f>
        <v>-333</v>
      </c>
      <c r="W1122" s="12">
        <f t="shared" si="303"/>
        <v>11981</v>
      </c>
      <c r="Y1122" s="10">
        <v>11</v>
      </c>
      <c r="Z1122" s="30"/>
      <c r="AA1122" s="31"/>
      <c r="AB1122" s="32"/>
      <c r="AC1122" s="32"/>
      <c r="AD1122" s="32"/>
      <c r="AE1122" s="32">
        <f t="shared" si="307"/>
        <v>0</v>
      </c>
      <c r="AF1122" s="12"/>
      <c r="AG1122" s="12"/>
      <c r="AH1122" s="12"/>
      <c r="AI1122" s="12">
        <f t="shared" si="301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31"/>
      <c r="D1123" s="32"/>
      <c r="E1123" s="32"/>
      <c r="F1123" s="32"/>
      <c r="G1123" s="32">
        <f t="shared" si="298"/>
        <v>0</v>
      </c>
      <c r="H1123" s="12"/>
      <c r="I1123" s="12"/>
      <c r="J1123" s="10"/>
      <c r="K1123" s="12">
        <f t="shared" si="299"/>
        <v>0</v>
      </c>
      <c r="M1123" s="10">
        <v>12</v>
      </c>
      <c r="N1123" s="30" t="s">
        <v>103</v>
      </c>
      <c r="O1123" s="82">
        <f t="shared" si="305"/>
        <v>11616</v>
      </c>
      <c r="P1123" s="32">
        <f>650*5+670+9.5*5</f>
        <v>3967.5</v>
      </c>
      <c r="Q1123" s="32"/>
      <c r="R1123" s="32"/>
      <c r="S1123" s="32">
        <f t="shared" si="302"/>
        <v>3967.5</v>
      </c>
      <c r="T1123" s="12"/>
      <c r="U1123" s="12"/>
      <c r="V1123" s="12"/>
      <c r="W1123" s="12">
        <f t="shared" si="303"/>
        <v>3967.5</v>
      </c>
      <c r="Y1123" s="10">
        <v>12</v>
      </c>
      <c r="Z1123" s="30"/>
      <c r="AA1123" s="31"/>
      <c r="AB1123" s="32"/>
      <c r="AC1123" s="32"/>
      <c r="AD1123" s="32"/>
      <c r="AE1123" s="32">
        <f t="shared" si="307"/>
        <v>0</v>
      </c>
      <c r="AF1123" s="12"/>
      <c r="AG1123" s="12"/>
      <c r="AH1123" s="12"/>
      <c r="AI1123" s="12">
        <f t="shared" si="301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31"/>
      <c r="D1124" s="32"/>
      <c r="E1124" s="32"/>
      <c r="F1124" s="32"/>
      <c r="G1124" s="32">
        <f t="shared" si="298"/>
        <v>0</v>
      </c>
      <c r="H1124" s="12"/>
      <c r="I1124" s="12"/>
      <c r="J1124" s="12"/>
      <c r="K1124" s="12">
        <f t="shared" si="299"/>
        <v>0</v>
      </c>
      <c r="M1124" s="10">
        <v>13</v>
      </c>
      <c r="N1124" s="30" t="s">
        <v>103</v>
      </c>
      <c r="O1124" s="82">
        <f t="shared" si="305"/>
        <v>11617</v>
      </c>
      <c r="P1124" s="32">
        <f>650*6+670*2+9.5*6</f>
        <v>5297</v>
      </c>
      <c r="Q1124" s="32"/>
      <c r="R1124" s="32"/>
      <c r="S1124" s="32">
        <f t="shared" si="302"/>
        <v>5297</v>
      </c>
      <c r="T1124" s="12"/>
      <c r="U1124" s="12"/>
      <c r="V1124" s="12">
        <v>-666</v>
      </c>
      <c r="W1124" s="12">
        <f t="shared" si="303"/>
        <v>4631</v>
      </c>
      <c r="Y1124" s="10">
        <v>13</v>
      </c>
      <c r="Z1124" s="30"/>
      <c r="AA1124" s="31"/>
      <c r="AB1124" s="32"/>
      <c r="AC1124" s="32"/>
      <c r="AD1124" s="32"/>
      <c r="AE1124" s="32">
        <f t="shared" si="307"/>
        <v>0</v>
      </c>
      <c r="AF1124" s="12"/>
      <c r="AG1124" s="12"/>
      <c r="AH1124" s="12"/>
      <c r="AI1124" s="12">
        <f t="shared" si="301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31"/>
      <c r="D1125" s="32"/>
      <c r="E1125" s="32"/>
      <c r="F1125" s="32"/>
      <c r="G1125" s="32">
        <f t="shared" si="298"/>
        <v>0</v>
      </c>
      <c r="H1125" s="12"/>
      <c r="I1125" s="12"/>
      <c r="J1125" s="12"/>
      <c r="K1125" s="12">
        <f t="shared" si="299"/>
        <v>0</v>
      </c>
      <c r="M1125" s="10">
        <v>14</v>
      </c>
      <c r="N1125" s="30"/>
      <c r="O1125" s="11" t="s">
        <v>27</v>
      </c>
      <c r="P1125" s="32"/>
      <c r="Q1125" s="32"/>
      <c r="R1125" s="32"/>
      <c r="S1125" s="32">
        <f t="shared" si="302"/>
        <v>0</v>
      </c>
      <c r="T1125" s="12"/>
      <c r="U1125" s="12"/>
      <c r="V1125" s="12"/>
      <c r="W1125" s="12">
        <f t="shared" si="303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07"/>
        <v>0</v>
      </c>
      <c r="AF1125" s="12"/>
      <c r="AG1125" s="12"/>
      <c r="AH1125" s="12"/>
      <c r="AI1125" s="12">
        <f t="shared" si="301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31"/>
      <c r="D1126" s="32"/>
      <c r="E1126" s="32"/>
      <c r="F1126" s="32"/>
      <c r="G1126" s="32">
        <f t="shared" si="298"/>
        <v>0</v>
      </c>
      <c r="H1126" s="12"/>
      <c r="I1126" s="12"/>
      <c r="J1126" s="12"/>
      <c r="K1126" s="12">
        <f t="shared" si="299"/>
        <v>0</v>
      </c>
      <c r="M1126" s="10">
        <v>15</v>
      </c>
      <c r="N1126" s="30"/>
      <c r="O1126" s="82"/>
      <c r="P1126" s="32"/>
      <c r="Q1126" s="32"/>
      <c r="R1126" s="32"/>
      <c r="S1126" s="32">
        <f t="shared" si="302"/>
        <v>0</v>
      </c>
      <c r="T1126" s="12"/>
      <c r="U1126" s="12"/>
      <c r="V1126" s="12"/>
      <c r="W1126" s="12">
        <f t="shared" si="303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07"/>
        <v>0</v>
      </c>
      <c r="AF1126" s="12"/>
      <c r="AG1126" s="12"/>
      <c r="AH1126" s="12"/>
      <c r="AI1126" s="12">
        <f t="shared" si="301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31"/>
      <c r="D1127" s="32"/>
      <c r="E1127" s="32"/>
      <c r="F1127" s="32"/>
      <c r="G1127" s="32">
        <f t="shared" si="298"/>
        <v>0</v>
      </c>
      <c r="H1127" s="12"/>
      <c r="I1127" s="12"/>
      <c r="J1127" s="12"/>
      <c r="K1127" s="12">
        <f t="shared" si="299"/>
        <v>0</v>
      </c>
      <c r="M1127" s="10">
        <v>16</v>
      </c>
      <c r="N1127" s="30"/>
      <c r="O1127" s="82"/>
      <c r="P1127" s="32"/>
      <c r="Q1127" s="32"/>
      <c r="R1127" s="32"/>
      <c r="S1127" s="32">
        <f t="shared" si="302"/>
        <v>0</v>
      </c>
      <c r="T1127" s="12"/>
      <c r="U1127" s="12"/>
      <c r="V1127" s="12"/>
      <c r="W1127" s="12">
        <f t="shared" si="303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07"/>
        <v>0</v>
      </c>
      <c r="AF1127" s="12"/>
      <c r="AG1127" s="12"/>
      <c r="AH1127" s="12"/>
      <c r="AI1127" s="12">
        <f t="shared" si="301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298"/>
        <v>0</v>
      </c>
      <c r="H1128" s="12"/>
      <c r="I1128" s="12"/>
      <c r="J1128" s="12"/>
      <c r="K1128" s="12">
        <f t="shared" si="299"/>
        <v>0</v>
      </c>
      <c r="M1128" s="10">
        <v>17</v>
      </c>
      <c r="N1128" s="30"/>
      <c r="O1128" s="82"/>
      <c r="P1128" s="35"/>
      <c r="Q1128" s="32"/>
      <c r="R1128" s="32"/>
      <c r="S1128" s="32">
        <f t="shared" si="302"/>
        <v>0</v>
      </c>
      <c r="T1128" s="12"/>
      <c r="U1128" s="12"/>
      <c r="V1128" s="12"/>
      <c r="W1128" s="12">
        <f t="shared" si="303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07"/>
        <v>0</v>
      </c>
      <c r="AF1128" s="12"/>
      <c r="AG1128" s="12"/>
      <c r="AH1128" s="12"/>
      <c r="AI1128" s="12">
        <f t="shared" si="301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298"/>
        <v>0</v>
      </c>
      <c r="H1129" s="12"/>
      <c r="I1129" s="12"/>
      <c r="J1129" s="12"/>
      <c r="K1129" s="12">
        <f t="shared" si="299"/>
        <v>0</v>
      </c>
      <c r="M1129" s="10">
        <v>18</v>
      </c>
      <c r="N1129" s="30"/>
      <c r="O1129" s="82"/>
      <c r="P1129" s="32"/>
      <c r="Q1129" s="32"/>
      <c r="R1129" s="32"/>
      <c r="S1129" s="32"/>
      <c r="T1129" s="12"/>
      <c r="U1129" s="12"/>
      <c r="V1129" s="12"/>
      <c r="W1129" s="12">
        <f t="shared" si="303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07"/>
        <v>0</v>
      </c>
      <c r="AF1129" s="12"/>
      <c r="AG1129" s="12"/>
      <c r="AH1129" s="12"/>
      <c r="AI1129" s="12">
        <f t="shared" si="301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298"/>
        <v>0</v>
      </c>
      <c r="H1130" s="12"/>
      <c r="I1130" s="12"/>
      <c r="J1130" s="12"/>
      <c r="K1130" s="12">
        <f t="shared" si="299"/>
        <v>0</v>
      </c>
      <c r="M1130" s="10">
        <v>19</v>
      </c>
      <c r="N1130" s="30"/>
      <c r="O1130" s="82"/>
      <c r="P1130" s="32"/>
      <c r="Q1130" s="32"/>
      <c r="R1130" s="32"/>
      <c r="S1130" s="32"/>
      <c r="T1130" s="12"/>
      <c r="U1130" s="12"/>
      <c r="V1130" s="12"/>
      <c r="W1130" s="12">
        <f t="shared" si="303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07"/>
        <v>0</v>
      </c>
      <c r="AF1130" s="12"/>
      <c r="AG1130" s="12"/>
      <c r="AH1130" s="12"/>
      <c r="AI1130" s="12">
        <f t="shared" si="301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298"/>
        <v>0</v>
      </c>
      <c r="H1131" s="12"/>
      <c r="I1131" s="12"/>
      <c r="J1131" s="12"/>
      <c r="K1131" s="12">
        <f t="shared" si="299"/>
        <v>0</v>
      </c>
      <c r="M1131" s="10">
        <v>20</v>
      </c>
      <c r="N1131" s="30"/>
      <c r="O1131" s="82"/>
      <c r="P1131" s="32"/>
      <c r="Q1131" s="32"/>
      <c r="R1131" s="32"/>
      <c r="S1131" s="32"/>
      <c r="T1131" s="12"/>
      <c r="U1131" s="12"/>
      <c r="V1131" s="12"/>
      <c r="W1131" s="12">
        <f t="shared" si="303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07"/>
        <v>0</v>
      </c>
      <c r="AF1131" s="12"/>
      <c r="AG1131" s="12"/>
      <c r="AH1131" s="12"/>
      <c r="AI1131" s="12">
        <f t="shared" si="301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11"/>
      <c r="D1132" s="32"/>
      <c r="E1132" s="32"/>
      <c r="F1132" s="32"/>
      <c r="G1132" s="32">
        <f t="shared" si="298"/>
        <v>0</v>
      </c>
      <c r="H1132" s="10"/>
      <c r="I1132" s="10"/>
      <c r="J1132" s="10"/>
      <c r="K1132" s="12">
        <f t="shared" si="299"/>
        <v>0</v>
      </c>
      <c r="M1132" s="10">
        <v>21</v>
      </c>
      <c r="N1132" s="30"/>
      <c r="O1132" s="11"/>
      <c r="P1132" s="46"/>
      <c r="Q1132" s="31"/>
      <c r="R1132" s="31"/>
      <c r="S1132" s="32"/>
      <c r="T1132" s="10"/>
      <c r="U1132" s="10"/>
      <c r="V1132" s="10"/>
      <c r="W1132" s="12">
        <f t="shared" si="303"/>
        <v>0</v>
      </c>
      <c r="Y1132" s="10">
        <v>21</v>
      </c>
      <c r="Z1132" s="30"/>
      <c r="AB1132" s="46"/>
      <c r="AC1132" s="31"/>
      <c r="AD1132" s="31"/>
      <c r="AE1132" s="32">
        <f t="shared" si="307"/>
        <v>0</v>
      </c>
      <c r="AF1132" s="10"/>
      <c r="AG1132" s="10"/>
      <c r="AH1132" s="10"/>
      <c r="AI1132" s="12">
        <f t="shared" si="301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298"/>
        <v>0</v>
      </c>
      <c r="H1133" s="10"/>
      <c r="I1133" s="10"/>
      <c r="J1133" s="10"/>
      <c r="K1133" s="12">
        <f t="shared" si="299"/>
        <v>0</v>
      </c>
      <c r="M1133" s="10">
        <v>22</v>
      </c>
      <c r="N1133" s="30"/>
      <c r="O1133" s="82"/>
      <c r="P1133" s="45"/>
      <c r="Q1133" s="31"/>
      <c r="R1133" s="31"/>
      <c r="S1133" s="32"/>
      <c r="T1133" s="10"/>
      <c r="U1133" s="10"/>
      <c r="V1133" s="10"/>
      <c r="W1133" s="12">
        <f t="shared" si="303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07"/>
        <v>0</v>
      </c>
      <c r="AF1133" s="10"/>
      <c r="AG1133" s="10"/>
      <c r="AH1133" s="10"/>
      <c r="AI1133" s="12">
        <f t="shared" si="301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31"/>
      <c r="D1134" s="32"/>
      <c r="E1134" s="32"/>
      <c r="F1134" s="32"/>
      <c r="G1134" s="32">
        <f t="shared" si="298"/>
        <v>0</v>
      </c>
      <c r="H1134" s="10"/>
      <c r="I1134" s="10"/>
      <c r="J1134" s="12"/>
      <c r="K1134" s="12">
        <f t="shared" si="299"/>
        <v>0</v>
      </c>
      <c r="M1134" s="10">
        <v>23</v>
      </c>
      <c r="N1134" s="30"/>
      <c r="O1134" s="82"/>
      <c r="P1134" s="47"/>
      <c r="S1134" s="32"/>
      <c r="T1134" s="10"/>
      <c r="U1134" s="10"/>
      <c r="V1134" s="10"/>
      <c r="W1134" s="12">
        <f t="shared" si="303"/>
        <v>0</v>
      </c>
      <c r="Y1134" s="10">
        <v>23</v>
      </c>
      <c r="Z1134" s="30"/>
      <c r="AA1134" s="31"/>
      <c r="AB1134" s="47"/>
      <c r="AE1134" s="32">
        <f t="shared" si="307"/>
        <v>0</v>
      </c>
      <c r="AF1134" s="10"/>
      <c r="AG1134" s="10"/>
      <c r="AH1134" s="10"/>
      <c r="AI1134" s="12">
        <f t="shared" si="301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298"/>
        <v>0</v>
      </c>
      <c r="H1135" s="10"/>
      <c r="I1135" s="10"/>
      <c r="J1135" s="10"/>
      <c r="K1135" s="12">
        <f t="shared" si="299"/>
        <v>0</v>
      </c>
      <c r="M1135" s="10">
        <v>24</v>
      </c>
      <c r="N1135" s="30"/>
      <c r="O1135" s="82"/>
      <c r="P1135" s="47"/>
      <c r="Q1135" s="31"/>
      <c r="R1135" s="31"/>
      <c r="S1135" s="32"/>
      <c r="T1135" s="10"/>
      <c r="U1135" s="10"/>
      <c r="V1135" s="10"/>
      <c r="W1135" s="12">
        <f t="shared" si="303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07"/>
        <v>0</v>
      </c>
      <c r="AF1135" s="10"/>
      <c r="AG1135" s="10"/>
      <c r="AH1135" s="10"/>
      <c r="AI1135" s="12">
        <f t="shared" si="301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298"/>
        <v>0</v>
      </c>
      <c r="H1136" s="10"/>
      <c r="I1136" s="10"/>
      <c r="J1136" s="10"/>
      <c r="K1136" s="12">
        <f t="shared" si="299"/>
        <v>0</v>
      </c>
      <c r="M1136" s="10">
        <v>25</v>
      </c>
      <c r="N1136" s="30"/>
      <c r="O1136" s="82"/>
      <c r="P1136" s="47"/>
      <c r="Q1136" s="31"/>
      <c r="R1136" s="31"/>
      <c r="S1136" s="32"/>
      <c r="T1136" s="10"/>
      <c r="U1136" s="10"/>
      <c r="V1136" s="10"/>
      <c r="W1136" s="12">
        <f t="shared" si="303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07"/>
        <v>0</v>
      </c>
      <c r="AF1136" s="10"/>
      <c r="AG1136" s="10"/>
      <c r="AH1136" s="10"/>
      <c r="AI1136" s="12">
        <f t="shared" si="301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298"/>
        <v>0</v>
      </c>
      <c r="H1137" s="10"/>
      <c r="I1137" s="10"/>
      <c r="J1137" s="10"/>
      <c r="K1137" s="12">
        <f t="shared" si="299"/>
        <v>0</v>
      </c>
      <c r="M1137" s="10">
        <v>26</v>
      </c>
      <c r="N1137" s="30"/>
      <c r="O1137" s="82"/>
      <c r="P1137" s="47"/>
      <c r="Q1137" s="31"/>
      <c r="R1137" s="31"/>
      <c r="S1137" s="32"/>
      <c r="T1137" s="10"/>
      <c r="U1137" s="10"/>
      <c r="V1137" s="10"/>
      <c r="W1137" s="12">
        <f t="shared" si="303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07"/>
        <v>0</v>
      </c>
      <c r="AF1137" s="10"/>
      <c r="AG1137" s="10"/>
      <c r="AH1137" s="10"/>
      <c r="AI1137" s="12">
        <f t="shared" si="301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298"/>
        <v>0</v>
      </c>
      <c r="H1138" s="10"/>
      <c r="I1138" s="10"/>
      <c r="J1138" s="10"/>
      <c r="K1138" s="12">
        <f t="shared" si="299"/>
        <v>0</v>
      </c>
      <c r="M1138" s="10">
        <v>27</v>
      </c>
      <c r="N1138" s="30"/>
      <c r="O1138" s="82"/>
      <c r="P1138" s="47"/>
      <c r="Q1138" s="31"/>
      <c r="R1138" s="31"/>
      <c r="S1138" s="32"/>
      <c r="T1138" s="10"/>
      <c r="U1138" s="10"/>
      <c r="V1138" s="10"/>
      <c r="W1138" s="12">
        <f t="shared" si="303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07"/>
        <v>0</v>
      </c>
      <c r="AF1138" s="10"/>
      <c r="AG1138" s="10"/>
      <c r="AH1138" s="10"/>
      <c r="AI1138" s="12">
        <f t="shared" si="301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298"/>
        <v>0</v>
      </c>
      <c r="H1139" s="10"/>
      <c r="I1139" s="10"/>
      <c r="J1139" s="10"/>
      <c r="K1139" s="12">
        <f t="shared" si="299"/>
        <v>0</v>
      </c>
      <c r="M1139" s="10">
        <v>28</v>
      </c>
      <c r="N1139" s="30"/>
      <c r="O1139" s="82"/>
      <c r="P1139" s="47"/>
      <c r="Q1139" s="31"/>
      <c r="R1139" s="31"/>
      <c r="S1139" s="32"/>
      <c r="T1139" s="10"/>
      <c r="U1139" s="10"/>
      <c r="V1139" s="10"/>
      <c r="W1139" s="12">
        <f t="shared" si="303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07"/>
        <v>0</v>
      </c>
      <c r="AF1139" s="10"/>
      <c r="AG1139" s="10"/>
      <c r="AH1139" s="10"/>
      <c r="AI1139" s="12">
        <f t="shared" si="301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11"/>
      <c r="D1140" s="32"/>
      <c r="E1140" s="32"/>
      <c r="F1140" s="32"/>
      <c r="G1140" s="32">
        <f t="shared" si="298"/>
        <v>0</v>
      </c>
      <c r="H1140" s="10"/>
      <c r="I1140" s="10"/>
      <c r="J1140" s="10"/>
      <c r="K1140" s="12">
        <f t="shared" si="299"/>
        <v>0</v>
      </c>
      <c r="M1140" s="10">
        <v>29</v>
      </c>
      <c r="N1140" s="30"/>
      <c r="O1140" s="82"/>
      <c r="P1140" s="47"/>
      <c r="Q1140" s="31"/>
      <c r="R1140" s="31"/>
      <c r="S1140" s="32"/>
      <c r="T1140" s="10"/>
      <c r="U1140" s="10"/>
      <c r="V1140" s="10"/>
      <c r="W1140" s="12">
        <f t="shared" si="303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07"/>
        <v>0</v>
      </c>
      <c r="AF1140" s="10"/>
      <c r="AG1140" s="10"/>
      <c r="AH1140" s="10"/>
      <c r="AI1140" s="12">
        <f t="shared" si="301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82"/>
      <c r="D1141" s="32"/>
      <c r="E1141" s="32"/>
      <c r="F1141" s="32"/>
      <c r="G1141" s="32">
        <f t="shared" si="298"/>
        <v>0</v>
      </c>
      <c r="H1141" s="10"/>
      <c r="I1141" s="10"/>
      <c r="J1141" s="10"/>
      <c r="K1141" s="12">
        <f t="shared" si="299"/>
        <v>0</v>
      </c>
      <c r="M1141" s="10">
        <v>30</v>
      </c>
      <c r="N1141" s="30"/>
      <c r="O1141" s="82"/>
      <c r="P1141" s="47"/>
      <c r="Q1141" s="31"/>
      <c r="R1141" s="31"/>
      <c r="S1141" s="32"/>
      <c r="T1141" s="10"/>
      <c r="U1141" s="10"/>
      <c r="V1141" s="10"/>
      <c r="W1141" s="12">
        <f t="shared" si="303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07"/>
        <v>0</v>
      </c>
      <c r="AF1141" s="10"/>
      <c r="AG1141" s="10"/>
      <c r="AH1141" s="10"/>
      <c r="AI1141" s="12">
        <f t="shared" si="301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2"/>
      <c r="D1142" s="32"/>
      <c r="E1142" s="32"/>
      <c r="F1142" s="32"/>
      <c r="G1142" s="32">
        <f t="shared" si="298"/>
        <v>0</v>
      </c>
      <c r="H1142" s="10"/>
      <c r="I1142" s="10"/>
      <c r="J1142" s="10"/>
      <c r="K1142" s="12">
        <f t="shared" si="299"/>
        <v>0</v>
      </c>
      <c r="M1142" s="10">
        <v>31</v>
      </c>
      <c r="N1142" s="30"/>
      <c r="O1142" s="11"/>
      <c r="P1142" s="47"/>
      <c r="Q1142" s="31"/>
      <c r="R1142" s="31"/>
      <c r="S1142" s="32">
        <f t="shared" ref="S1142:S1150" si="308">SUM(P1142:Q1142)</f>
        <v>0</v>
      </c>
      <c r="T1142" s="10"/>
      <c r="U1142" s="10"/>
      <c r="V1142" s="10"/>
      <c r="W1142" s="12">
        <f t="shared" si="303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07"/>
        <v>0</v>
      </c>
      <c r="AF1142" s="10"/>
      <c r="AG1142" s="10"/>
      <c r="AH1142" s="10"/>
      <c r="AI1142" s="12">
        <f t="shared" si="301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2"/>
      <c r="D1143" s="32"/>
      <c r="E1143" s="32"/>
      <c r="F1143" s="32"/>
      <c r="G1143" s="32">
        <f t="shared" si="298"/>
        <v>0</v>
      </c>
      <c r="H1143" s="10"/>
      <c r="I1143" s="10"/>
      <c r="J1143" s="10"/>
      <c r="K1143" s="12">
        <f t="shared" si="299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08"/>
        <v>0</v>
      </c>
      <c r="T1143" s="10"/>
      <c r="U1143" s="10"/>
      <c r="V1143" s="10"/>
      <c r="W1143" s="12">
        <f t="shared" si="303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07"/>
        <v>0</v>
      </c>
      <c r="AF1143" s="10"/>
      <c r="AG1143" s="10"/>
      <c r="AH1143" s="10"/>
      <c r="AI1143" s="12">
        <f t="shared" si="301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2"/>
      <c r="D1144" s="32"/>
      <c r="E1144" s="32"/>
      <c r="F1144" s="32"/>
      <c r="G1144" s="32">
        <f t="shared" si="298"/>
        <v>0</v>
      </c>
      <c r="H1144" s="10"/>
      <c r="I1144" s="10"/>
      <c r="J1144" s="10"/>
      <c r="K1144" s="12">
        <f t="shared" si="299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08"/>
        <v>0</v>
      </c>
      <c r="T1144" s="10"/>
      <c r="U1144" s="10"/>
      <c r="V1144" s="10"/>
      <c r="W1144" s="12">
        <f t="shared" si="303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07"/>
        <v>0</v>
      </c>
      <c r="AF1144" s="10"/>
      <c r="AG1144" s="10"/>
      <c r="AH1144" s="10"/>
      <c r="AI1144" s="12">
        <f t="shared" si="301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2"/>
      <c r="D1145" s="32"/>
      <c r="E1145" s="32"/>
      <c r="F1145" s="32"/>
      <c r="G1145" s="32">
        <f t="shared" si="298"/>
        <v>0</v>
      </c>
      <c r="H1145" s="10"/>
      <c r="I1145" s="10"/>
      <c r="J1145" s="10"/>
      <c r="K1145" s="12">
        <f t="shared" si="299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08"/>
        <v>0</v>
      </c>
      <c r="T1145" s="10"/>
      <c r="U1145" s="10"/>
      <c r="V1145" s="10"/>
      <c r="W1145" s="12">
        <f t="shared" si="303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07"/>
        <v>0</v>
      </c>
      <c r="AF1145" s="10"/>
      <c r="AG1145" s="10"/>
      <c r="AH1145" s="10"/>
      <c r="AI1145" s="12">
        <f t="shared" si="301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08"/>
        <v>0</v>
      </c>
      <c r="T1146" s="10"/>
      <c r="U1146" s="10"/>
      <c r="V1146" s="10"/>
      <c r="W1146" s="12">
        <f t="shared" si="303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07"/>
        <v>0</v>
      </c>
      <c r="AF1146" s="10"/>
      <c r="AG1146" s="10"/>
      <c r="AH1146" s="10"/>
      <c r="AI1146" s="12">
        <f t="shared" si="301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08"/>
        <v>0</v>
      </c>
      <c r="T1147" s="10"/>
      <c r="U1147" s="10"/>
      <c r="V1147" s="10"/>
      <c r="W1147" s="12">
        <f t="shared" si="303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07"/>
        <v>0</v>
      </c>
      <c r="AF1147" s="10"/>
      <c r="AG1147" s="10"/>
      <c r="AH1147" s="10"/>
      <c r="AI1147" s="12">
        <f t="shared" si="301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08"/>
        <v>0</v>
      </c>
      <c r="T1148" s="10"/>
      <c r="U1148" s="10"/>
      <c r="V1148" s="10"/>
      <c r="W1148" s="12">
        <f t="shared" si="303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07"/>
        <v>0</v>
      </c>
      <c r="AF1148" s="10"/>
      <c r="AG1148" s="10"/>
      <c r="AH1148" s="10"/>
      <c r="AI1148" s="12">
        <f t="shared" si="301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08"/>
        <v>0</v>
      </c>
      <c r="T1149" s="10"/>
      <c r="U1149" s="10"/>
      <c r="V1149" s="10"/>
      <c r="W1149" s="12">
        <f t="shared" si="303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07"/>
        <v>0</v>
      </c>
      <c r="AF1149" s="10"/>
      <c r="AG1149" s="10"/>
      <c r="AH1149" s="10"/>
      <c r="AI1149" s="12">
        <f t="shared" si="301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08"/>
        <v>0</v>
      </c>
      <c r="T1150" s="10"/>
      <c r="U1150" s="10"/>
      <c r="V1150" s="10"/>
      <c r="W1150" s="12">
        <f t="shared" si="303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07"/>
        <v>0</v>
      </c>
      <c r="AF1150" s="10"/>
      <c r="AG1150" s="10"/>
      <c r="AH1150" s="10"/>
      <c r="AI1150" s="12">
        <f t="shared" si="301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3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01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09">SUM(D1152:E1152)</f>
        <v>0</v>
      </c>
      <c r="H1152" s="10"/>
      <c r="I1152" s="10"/>
      <c r="J1152" s="10"/>
      <c r="K1152" s="12">
        <f t="shared" ref="K1152" si="310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11">SUM(P1152:Q1152)</f>
        <v>0</v>
      </c>
      <c r="T1152" s="10"/>
      <c r="U1152" s="10"/>
      <c r="V1152" s="10"/>
      <c r="W1152" s="12">
        <f t="shared" si="303"/>
        <v>0</v>
      </c>
      <c r="Y1152" s="10"/>
      <c r="Z1152" s="30"/>
      <c r="AA1152" s="31"/>
      <c r="AB1152" s="47"/>
      <c r="AC1152" s="31"/>
      <c r="AD1152" s="31"/>
      <c r="AE1152" s="32">
        <f t="shared" ref="AE1152" si="312">SUM(AB1152:AC1152)</f>
        <v>0</v>
      </c>
      <c r="AF1152" s="10"/>
      <c r="AG1152" s="10"/>
      <c r="AH1152" s="10"/>
      <c r="AI1152" s="12">
        <f t="shared" si="301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3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01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626077</v>
      </c>
      <c r="E1155" s="38">
        <f t="shared" ref="E1155:F1155" si="313">SUM(E1112:E1152)</f>
        <v>-5064</v>
      </c>
      <c r="F1155" s="38">
        <f t="shared" si="313"/>
        <v>0</v>
      </c>
      <c r="G1155" s="38">
        <f>SUM(G1112:G1154)</f>
        <v>621013</v>
      </c>
      <c r="H1155" s="4"/>
      <c r="I1155" s="39">
        <f>SUM(I1112:I1154)</f>
        <v>47310</v>
      </c>
      <c r="J1155" s="39">
        <f>SUM(J1112:J1154)</f>
        <v>-4884</v>
      </c>
      <c r="K1155" s="40">
        <f>SUM(K1112:K1154)</f>
        <v>663439</v>
      </c>
      <c r="N1155" s="57"/>
      <c r="O1155" s="57"/>
      <c r="P1155" s="38">
        <f>SUM(P1112:P1154)</f>
        <v>92524</v>
      </c>
      <c r="Q1155" s="38">
        <f>SUM(Q1112:Q1136)</f>
        <v>0</v>
      </c>
      <c r="R1155" s="38">
        <f>SUM(R1112:R1136)</f>
        <v>0</v>
      </c>
      <c r="S1155" s="38">
        <f>SUM(S1112:S1154)</f>
        <v>92524</v>
      </c>
      <c r="T1155" s="4"/>
      <c r="U1155" s="41">
        <f>SUM(U1112:U1154)</f>
        <v>139.5</v>
      </c>
      <c r="V1155" s="41">
        <f>SUM(V1112:V1136)</f>
        <v>-999</v>
      </c>
      <c r="W1155" s="42">
        <f>SUM(W1112:W1154)</f>
        <v>91664.5</v>
      </c>
      <c r="Z1155" s="57"/>
      <c r="AA1155" s="57"/>
      <c r="AB1155" s="38">
        <f>SUM(AB1112:AB1154)</f>
        <v>197563</v>
      </c>
      <c r="AC1155" s="38">
        <f>SUM(AC1112:AC1136)</f>
        <v>-1812</v>
      </c>
      <c r="AD1155" s="38">
        <f>SUM(AD1112:AD1136)</f>
        <v>0</v>
      </c>
      <c r="AE1155" s="38">
        <f>SUM(AE1112:AE1154)</f>
        <v>195751</v>
      </c>
      <c r="AF1155" s="4"/>
      <c r="AG1155" s="41">
        <f>SUM(AG1112:AG1154)</f>
        <v>0</v>
      </c>
      <c r="AH1155" s="41">
        <f>SUM(AH1112:AH1136)</f>
        <v>0</v>
      </c>
      <c r="AI1155" s="42">
        <f>SUM(AI1112:AI1154)</f>
        <v>195751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37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37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37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105</v>
      </c>
      <c r="B1163" s="20"/>
      <c r="C1163" s="57"/>
      <c r="D1163" s="57"/>
      <c r="E1163" s="57"/>
      <c r="G1163" s="57"/>
      <c r="I1163" s="22" t="s">
        <v>16</v>
      </c>
      <c r="J1163" s="23" t="s">
        <v>36</v>
      </c>
      <c r="K1163" s="24"/>
      <c r="M1163" s="21" t="s">
        <v>105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32</v>
      </c>
      <c r="W1163" s="24"/>
      <c r="Y1163" s="21" t="s">
        <v>105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81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7" t="s">
        <v>17</v>
      </c>
      <c r="E1165" s="127"/>
      <c r="F1165" s="115"/>
      <c r="G1165" s="27"/>
      <c r="I1165" s="121" t="s">
        <v>18</v>
      </c>
      <c r="J1165" s="122"/>
      <c r="K1165" s="123" t="s">
        <v>19</v>
      </c>
      <c r="N1165" s="25"/>
      <c r="O1165" s="26"/>
      <c r="P1165" s="127" t="s">
        <v>17</v>
      </c>
      <c r="Q1165" s="127"/>
      <c r="R1165" s="115"/>
      <c r="S1165" s="27"/>
      <c r="U1165" s="121" t="s">
        <v>18</v>
      </c>
      <c r="V1165" s="122"/>
      <c r="W1165" s="123" t="s">
        <v>19</v>
      </c>
      <c r="Z1165" s="25"/>
      <c r="AA1165" s="26"/>
      <c r="AB1165" s="127" t="s">
        <v>17</v>
      </c>
      <c r="AC1165" s="127"/>
      <c r="AD1165" s="115"/>
      <c r="AE1165" s="27"/>
      <c r="AG1165" s="121" t="s">
        <v>18</v>
      </c>
      <c r="AH1165" s="122"/>
      <c r="AI1165" s="123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31</v>
      </c>
      <c r="G1166" s="78" t="s">
        <v>24</v>
      </c>
      <c r="I1166" s="29" t="s">
        <v>25</v>
      </c>
      <c r="J1166" s="29" t="s">
        <v>26</v>
      </c>
      <c r="K1166" s="124"/>
      <c r="N1166" s="28" t="s">
        <v>20</v>
      </c>
      <c r="O1166" s="28" t="s">
        <v>21</v>
      </c>
      <c r="P1166" s="77" t="s">
        <v>22</v>
      </c>
      <c r="Q1166" s="78" t="s">
        <v>23</v>
      </c>
      <c r="R1166" s="78" t="s">
        <v>31</v>
      </c>
      <c r="S1166" s="78" t="s">
        <v>24</v>
      </c>
      <c r="U1166" s="29" t="s">
        <v>25</v>
      </c>
      <c r="V1166" s="29" t="s">
        <v>26</v>
      </c>
      <c r="W1166" s="124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31</v>
      </c>
      <c r="AE1166" s="78" t="s">
        <v>24</v>
      </c>
      <c r="AG1166" s="29" t="s">
        <v>25</v>
      </c>
      <c r="AH1166" s="29" t="s">
        <v>26</v>
      </c>
      <c r="AI1166" s="124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106</v>
      </c>
      <c r="C1167" s="82">
        <v>11497</v>
      </c>
      <c r="D1167" s="32">
        <f>720*650+670*50+162*622+912*20+1050*20+872*30+229*30</f>
        <v>674534</v>
      </c>
      <c r="E1167" s="32">
        <f>-1002*6</f>
        <v>-6012</v>
      </c>
      <c r="F1167" s="32"/>
      <c r="G1167" s="32">
        <f t="shared" ref="G1167:G1200" si="314">SUM(D1167:E1167)</f>
        <v>668522</v>
      </c>
      <c r="H1167" s="12"/>
      <c r="I1167" s="12">
        <f>120*69+769*111+28*78+16*111</f>
        <v>97599</v>
      </c>
      <c r="J1167" s="12">
        <f>-84*10+-42*7</f>
        <v>-1134</v>
      </c>
      <c r="K1167" s="12">
        <f t="shared" ref="K1167:K1200" si="315">SUM(G1167:J1167)</f>
        <v>764987</v>
      </c>
      <c r="M1167" s="10">
        <v>1</v>
      </c>
      <c r="N1167" s="30" t="s">
        <v>106</v>
      </c>
      <c r="O1167" s="82">
        <v>11618</v>
      </c>
      <c r="P1167" s="32">
        <f>650*108+622*14+229*2</f>
        <v>79366</v>
      </c>
      <c r="Q1167" s="32">
        <f>-122*6</f>
        <v>-732</v>
      </c>
      <c r="R1167" s="32"/>
      <c r="S1167" s="32">
        <f>SUM(P1167:Q1167)</f>
        <v>78634</v>
      </c>
      <c r="T1167" s="12"/>
      <c r="U1167" s="12">
        <f>48*1.5</f>
        <v>72</v>
      </c>
      <c r="V1167" s="12"/>
      <c r="W1167" s="12">
        <f>SUM(S1167:V1167)</f>
        <v>78706</v>
      </c>
      <c r="Y1167" s="10">
        <v>1</v>
      </c>
      <c r="Z1167" s="30" t="s">
        <v>106</v>
      </c>
      <c r="AA1167" s="31">
        <v>11579</v>
      </c>
      <c r="AB1167" s="32">
        <f>650*100+1050*2+229*4</f>
        <v>68016</v>
      </c>
      <c r="AC1167" s="32">
        <f>-102*6</f>
        <v>-612</v>
      </c>
      <c r="AD1167" s="32"/>
      <c r="AE1167" s="32">
        <f t="shared" ref="AE1167:AE1172" si="316">SUM(AB1167:AC1167)</f>
        <v>67404</v>
      </c>
      <c r="AF1167" s="12"/>
      <c r="AG1167" s="12"/>
      <c r="AH1167" s="12"/>
      <c r="AI1167" s="12">
        <f t="shared" ref="AI1167:AI1208" si="317">SUM(AE1167:AH1167)</f>
        <v>67404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106</v>
      </c>
      <c r="C1168" s="31">
        <f>C1167+1</f>
        <v>11498</v>
      </c>
      <c r="D1168" s="32">
        <f>650*36</f>
        <v>23400</v>
      </c>
      <c r="E1168" s="32"/>
      <c r="F1168" s="32"/>
      <c r="G1168" s="32">
        <f t="shared" si="314"/>
        <v>23400</v>
      </c>
      <c r="H1168" s="12"/>
      <c r="I1168" s="12">
        <f>4.5*94</f>
        <v>423</v>
      </c>
      <c r="J1168" s="12">
        <f>-111*66</f>
        <v>-7326</v>
      </c>
      <c r="K1168" s="12">
        <f t="shared" si="315"/>
        <v>16497</v>
      </c>
      <c r="M1168" s="10">
        <v>2</v>
      </c>
      <c r="N1168" s="30" t="s">
        <v>106</v>
      </c>
      <c r="O1168" s="82">
        <f>O1167+1</f>
        <v>11619</v>
      </c>
      <c r="P1168" s="32">
        <f>650*4+500/2</f>
        <v>2850</v>
      </c>
      <c r="Q1168" s="32"/>
      <c r="R1168" s="32"/>
      <c r="S1168" s="32">
        <f t="shared" ref="S1168:S1183" si="318">SUM(P1168:Q1168)</f>
        <v>2850</v>
      </c>
      <c r="T1168" s="12"/>
      <c r="U1168" s="12"/>
      <c r="V1168" s="12">
        <f>-111*6</f>
        <v>-666</v>
      </c>
      <c r="W1168" s="12">
        <f t="shared" ref="W1168:W1208" si="319">SUM(S1168:V1168)</f>
        <v>2184</v>
      </c>
      <c r="Y1168" s="10">
        <v>2</v>
      </c>
      <c r="Z1168" s="30" t="s">
        <v>106</v>
      </c>
      <c r="AA1168" s="31">
        <f>AA1167+1</f>
        <v>11580</v>
      </c>
      <c r="AB1168" s="12">
        <f>650*216+229*8</f>
        <v>142232</v>
      </c>
      <c r="AC1168" s="10"/>
      <c r="AD1168" s="10"/>
      <c r="AE1168" s="32">
        <f t="shared" si="316"/>
        <v>142232</v>
      </c>
      <c r="AG1168" s="10"/>
      <c r="AH1168" s="10"/>
      <c r="AI1168" s="12">
        <f t="shared" si="317"/>
        <v>142232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/>
      <c r="C1169" s="11" t="s">
        <v>27</v>
      </c>
      <c r="D1169" s="33"/>
      <c r="E1169" s="33"/>
      <c r="F1169" s="33"/>
      <c r="G1169" s="33">
        <f t="shared" si="314"/>
        <v>0</v>
      </c>
      <c r="H1169" s="34"/>
      <c r="I1169" s="34"/>
      <c r="J1169" s="34"/>
      <c r="K1169" s="34">
        <f t="shared" si="315"/>
        <v>0</v>
      </c>
      <c r="M1169" s="10">
        <v>3</v>
      </c>
      <c r="N1169" s="30" t="s">
        <v>106</v>
      </c>
      <c r="O1169" s="82">
        <f t="shared" ref="O1169:O1175" si="320">O1168+1</f>
        <v>11620</v>
      </c>
      <c r="P1169" s="33">
        <f>650*55+229*2</f>
        <v>36208</v>
      </c>
      <c r="Q1169" s="33"/>
      <c r="R1169" s="32"/>
      <c r="S1169" s="32">
        <f t="shared" si="318"/>
        <v>36208</v>
      </c>
      <c r="T1169" s="12"/>
      <c r="U1169" s="34">
        <v>72</v>
      </c>
      <c r="V1169" s="34"/>
      <c r="W1169" s="12">
        <f t="shared" si="319"/>
        <v>36280</v>
      </c>
      <c r="Y1169" s="10">
        <v>3</v>
      </c>
      <c r="Z1169" s="30" t="s">
        <v>106</v>
      </c>
      <c r="AA1169" s="31">
        <f t="shared" ref="AA1169:AA1171" si="321">AA1168+1</f>
        <v>11581</v>
      </c>
      <c r="AB1169" s="32">
        <f>650*108+229*4</f>
        <v>71116</v>
      </c>
      <c r="AC1169" s="32">
        <f>-108*6</f>
        <v>-648</v>
      </c>
      <c r="AD1169" s="32"/>
      <c r="AE1169" s="32">
        <f t="shared" si="316"/>
        <v>70468</v>
      </c>
      <c r="AF1169" s="12"/>
      <c r="AG1169" s="12"/>
      <c r="AH1169" s="12"/>
      <c r="AI1169" s="12">
        <f t="shared" si="317"/>
        <v>70468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/>
      <c r="C1170" s="31"/>
      <c r="D1170" s="32"/>
      <c r="E1170" s="32"/>
      <c r="F1170" s="32"/>
      <c r="G1170" s="32">
        <f t="shared" si="314"/>
        <v>0</v>
      </c>
      <c r="H1170" s="12"/>
      <c r="I1170" s="12"/>
      <c r="J1170" s="12"/>
      <c r="K1170" s="12">
        <f t="shared" si="315"/>
        <v>0</v>
      </c>
      <c r="M1170" s="10">
        <v>4</v>
      </c>
      <c r="N1170" s="30" t="s">
        <v>106</v>
      </c>
      <c r="O1170" s="82">
        <f t="shared" si="320"/>
        <v>11621</v>
      </c>
      <c r="P1170" s="32">
        <f>650*4+9.5*4</f>
        <v>2638</v>
      </c>
      <c r="Q1170" s="32"/>
      <c r="R1170" s="32"/>
      <c r="S1170" s="32">
        <f t="shared" si="318"/>
        <v>2638</v>
      </c>
      <c r="T1170" s="12"/>
      <c r="U1170" s="12"/>
      <c r="V1170" s="12">
        <f>-111*4</f>
        <v>-444</v>
      </c>
      <c r="W1170" s="12">
        <f t="shared" si="319"/>
        <v>2194</v>
      </c>
      <c r="Y1170" s="10">
        <v>4</v>
      </c>
      <c r="Z1170" s="30" t="s">
        <v>106</v>
      </c>
      <c r="AA1170" s="31">
        <f t="shared" si="321"/>
        <v>11582</v>
      </c>
      <c r="AB1170" s="33">
        <f>650*5</f>
        <v>3250</v>
      </c>
      <c r="AC1170" s="33"/>
      <c r="AD1170" s="32"/>
      <c r="AE1170" s="32">
        <f t="shared" si="316"/>
        <v>3250</v>
      </c>
      <c r="AF1170" s="12"/>
      <c r="AG1170" s="12"/>
      <c r="AH1170" s="12"/>
      <c r="AI1170" s="12">
        <f t="shared" si="317"/>
        <v>3250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/>
      <c r="C1171" s="31"/>
      <c r="D1171" s="32"/>
      <c r="E1171" s="32"/>
      <c r="F1171" s="32"/>
      <c r="G1171" s="32">
        <f t="shared" si="314"/>
        <v>0</v>
      </c>
      <c r="H1171" s="12"/>
      <c r="I1171" s="12"/>
      <c r="J1171" s="12"/>
      <c r="K1171" s="12">
        <f t="shared" si="315"/>
        <v>0</v>
      </c>
      <c r="M1171" s="10">
        <v>5</v>
      </c>
      <c r="N1171" s="30" t="s">
        <v>106</v>
      </c>
      <c r="O1171" s="82">
        <f t="shared" si="320"/>
        <v>11622</v>
      </c>
      <c r="P1171" s="32">
        <f>650*10+622*2+9.5*12</f>
        <v>7858</v>
      </c>
      <c r="Q1171" s="32"/>
      <c r="R1171" s="32"/>
      <c r="S1171" s="32">
        <f t="shared" si="318"/>
        <v>7858</v>
      </c>
      <c r="T1171" s="12"/>
      <c r="U1171" s="12">
        <f>1.5*12</f>
        <v>18</v>
      </c>
      <c r="V1171" s="12"/>
      <c r="W1171" s="12">
        <f t="shared" si="319"/>
        <v>7876</v>
      </c>
      <c r="Y1171" s="10">
        <v>5</v>
      </c>
      <c r="Z1171" s="30" t="s">
        <v>106</v>
      </c>
      <c r="AA1171" s="31">
        <f t="shared" si="321"/>
        <v>11583</v>
      </c>
      <c r="AB1171" s="32">
        <f>650*100+670*10+622*10+229*2</f>
        <v>78378</v>
      </c>
      <c r="AC1171" s="32"/>
      <c r="AD1171" s="32"/>
      <c r="AE1171" s="32">
        <f t="shared" si="316"/>
        <v>78378</v>
      </c>
      <c r="AF1171" s="12"/>
      <c r="AG1171">
        <f>4.5*48</f>
        <v>216</v>
      </c>
      <c r="AH1171" s="12"/>
      <c r="AI1171" s="12">
        <f t="shared" si="317"/>
        <v>78594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/>
      <c r="C1172" s="31"/>
      <c r="D1172" s="32"/>
      <c r="E1172" s="32"/>
      <c r="F1172" s="32"/>
      <c r="G1172" s="32">
        <f t="shared" si="314"/>
        <v>0</v>
      </c>
      <c r="H1172" s="12"/>
      <c r="I1172" s="12"/>
      <c r="J1172" s="12"/>
      <c r="K1172" s="12">
        <f t="shared" si="315"/>
        <v>0</v>
      </c>
      <c r="M1172" s="10">
        <v>6</v>
      </c>
      <c r="N1172" s="30" t="s">
        <v>106</v>
      </c>
      <c r="O1172" s="82">
        <f t="shared" si="320"/>
        <v>11623</v>
      </c>
      <c r="P1172" s="32">
        <f>973*64+912*2+1050*3+872*3</f>
        <v>69862</v>
      </c>
      <c r="Q1172" s="32"/>
      <c r="R1172" s="32"/>
      <c r="S1172" s="32">
        <f t="shared" si="318"/>
        <v>69862</v>
      </c>
      <c r="T1172" s="12"/>
      <c r="U1172" s="12"/>
      <c r="V1172" s="10"/>
      <c r="W1172" s="12">
        <f t="shared" si="319"/>
        <v>69862</v>
      </c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16"/>
        <v>0</v>
      </c>
      <c r="AF1172" s="12"/>
      <c r="AG1172" s="12"/>
      <c r="AH1172" s="12"/>
      <c r="AI1172" s="12">
        <f t="shared" si="317"/>
        <v>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31"/>
      <c r="D1173" s="32"/>
      <c r="E1173" s="32"/>
      <c r="F1173" s="32"/>
      <c r="G1173" s="32">
        <f t="shared" si="314"/>
        <v>0</v>
      </c>
      <c r="H1173" s="12"/>
      <c r="I1173" s="12"/>
      <c r="J1173" s="12"/>
      <c r="K1173" s="12">
        <f t="shared" si="315"/>
        <v>0</v>
      </c>
      <c r="M1173" s="10">
        <v>7</v>
      </c>
      <c r="N1173" s="30" t="s">
        <v>106</v>
      </c>
      <c r="O1173" s="82">
        <f t="shared" si="320"/>
        <v>11624</v>
      </c>
      <c r="P1173" s="32">
        <f>650*10</f>
        <v>6500</v>
      </c>
      <c r="Q1173" s="32"/>
      <c r="R1173" s="32"/>
      <c r="S1173" s="32">
        <f t="shared" si="318"/>
        <v>6500</v>
      </c>
      <c r="T1173" s="12"/>
      <c r="U1173" s="12"/>
      <c r="V1173" s="12">
        <f>-111*10</f>
        <v>-1110</v>
      </c>
      <c r="W1173" s="12">
        <f t="shared" si="319"/>
        <v>5390</v>
      </c>
      <c r="Y1173" s="10">
        <v>7</v>
      </c>
      <c r="Z1173" s="30"/>
      <c r="AA1173" s="31"/>
      <c r="AB1173" s="32"/>
      <c r="AC1173" s="32"/>
      <c r="AD1173" s="32"/>
      <c r="AE1173" s="32">
        <f t="shared" ref="AE1173:AE1205" si="322">SUM(AB1173:AC1173)</f>
        <v>0</v>
      </c>
      <c r="AF1173" s="12"/>
      <c r="AG1173" s="58"/>
      <c r="AH1173" s="12"/>
      <c r="AI1173" s="12">
        <f t="shared" si="317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31"/>
      <c r="D1174" s="32"/>
      <c r="E1174" s="32"/>
      <c r="F1174" s="32"/>
      <c r="G1174" s="32">
        <f t="shared" si="314"/>
        <v>0</v>
      </c>
      <c r="H1174" s="12"/>
      <c r="I1174" s="12"/>
      <c r="J1174" s="12"/>
      <c r="K1174" s="12">
        <f t="shared" si="315"/>
        <v>0</v>
      </c>
      <c r="M1174" s="10">
        <v>8</v>
      </c>
      <c r="N1174" s="30" t="s">
        <v>106</v>
      </c>
      <c r="O1174" s="82">
        <f t="shared" si="320"/>
        <v>11625</v>
      </c>
      <c r="P1174" s="32">
        <f>650*10</f>
        <v>6500</v>
      </c>
      <c r="Q1174" s="32"/>
      <c r="R1174" s="32"/>
      <c r="S1174" s="32">
        <f t="shared" si="318"/>
        <v>6500</v>
      </c>
      <c r="T1174" s="12"/>
      <c r="U1174" s="12"/>
      <c r="V1174" s="12">
        <f>-111*14</f>
        <v>-1554</v>
      </c>
      <c r="W1174" s="12">
        <f t="shared" si="319"/>
        <v>4946</v>
      </c>
      <c r="Y1174" s="10">
        <v>8</v>
      </c>
      <c r="Z1174" s="30"/>
      <c r="AA1174" s="31"/>
      <c r="AB1174" s="32"/>
      <c r="AC1174" s="32"/>
      <c r="AE1174" s="32">
        <f t="shared" si="322"/>
        <v>0</v>
      </c>
      <c r="AF1174" s="12"/>
      <c r="AG1174" s="12"/>
      <c r="AH1174" s="12"/>
      <c r="AI1174" s="12">
        <f t="shared" si="317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31"/>
      <c r="D1175" s="32"/>
      <c r="E1175" s="32"/>
      <c r="F1175" s="32"/>
      <c r="G1175" s="32">
        <f t="shared" si="314"/>
        <v>0</v>
      </c>
      <c r="H1175" s="12"/>
      <c r="I1175" s="12"/>
      <c r="J1175" s="12"/>
      <c r="K1175" s="12">
        <f t="shared" si="315"/>
        <v>0</v>
      </c>
      <c r="M1175" s="10">
        <v>9</v>
      </c>
      <c r="N1175" s="30" t="s">
        <v>106</v>
      </c>
      <c r="O1175" s="82">
        <f t="shared" si="320"/>
        <v>11626</v>
      </c>
      <c r="P1175" s="32">
        <f>229</f>
        <v>229</v>
      </c>
      <c r="Q1175" s="32"/>
      <c r="R1175" s="32"/>
      <c r="S1175" s="32">
        <f t="shared" si="318"/>
        <v>229</v>
      </c>
      <c r="T1175" s="12"/>
      <c r="U1175" s="12"/>
      <c r="V1175" s="12"/>
      <c r="W1175" s="12">
        <f t="shared" si="319"/>
        <v>229</v>
      </c>
      <c r="Y1175" s="10">
        <v>9</v>
      </c>
      <c r="Z1175" s="30"/>
      <c r="AA1175" s="31"/>
      <c r="AB1175" s="105"/>
      <c r="AC1175" s="32"/>
      <c r="AD1175" s="32"/>
      <c r="AE1175" s="32">
        <f t="shared" si="322"/>
        <v>0</v>
      </c>
      <c r="AF1175" s="12"/>
      <c r="AH1175" s="12"/>
      <c r="AI1175" s="12">
        <f t="shared" si="317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31"/>
      <c r="D1176" s="32"/>
      <c r="E1176" s="32"/>
      <c r="F1176" s="32"/>
      <c r="G1176" s="32">
        <f t="shared" si="314"/>
        <v>0</v>
      </c>
      <c r="H1176" s="12"/>
      <c r="I1176" s="12"/>
      <c r="J1176" s="12"/>
      <c r="K1176" s="12">
        <f t="shared" si="315"/>
        <v>0</v>
      </c>
      <c r="M1176" s="10">
        <v>10</v>
      </c>
      <c r="N1176" s="30"/>
      <c r="O1176" s="11" t="s">
        <v>27</v>
      </c>
      <c r="P1176" s="32"/>
      <c r="Q1176" s="32"/>
      <c r="R1176" s="32"/>
      <c r="S1176" s="32">
        <f t="shared" si="318"/>
        <v>0</v>
      </c>
      <c r="T1176" s="12"/>
      <c r="U1176" s="12"/>
      <c r="V1176" s="12"/>
      <c r="W1176" s="12">
        <f t="shared" si="319"/>
        <v>0</v>
      </c>
      <c r="Y1176" s="10">
        <v>10</v>
      </c>
      <c r="Z1176" s="30"/>
      <c r="AA1176" s="31"/>
      <c r="AB1176" s="32"/>
      <c r="AC1176" s="32"/>
      <c r="AD1176" s="32"/>
      <c r="AE1176" s="32">
        <f t="shared" si="322"/>
        <v>0</v>
      </c>
      <c r="AF1176" s="12"/>
      <c r="AG1176" s="12"/>
      <c r="AH1176" s="12"/>
      <c r="AI1176" s="12">
        <f t="shared" si="317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31"/>
      <c r="D1177" s="32"/>
      <c r="E1177" s="32"/>
      <c r="F1177" s="32"/>
      <c r="G1177" s="32">
        <f t="shared" si="314"/>
        <v>0</v>
      </c>
      <c r="H1177" s="12"/>
      <c r="I1177" s="12"/>
      <c r="J1177" s="12"/>
      <c r="K1177" s="12">
        <f t="shared" si="315"/>
        <v>0</v>
      </c>
      <c r="M1177" s="10">
        <v>11</v>
      </c>
      <c r="N1177" s="30"/>
      <c r="O1177" s="82"/>
      <c r="P1177" s="32"/>
      <c r="Q1177" s="32"/>
      <c r="R1177" s="32"/>
      <c r="S1177" s="32">
        <f t="shared" si="318"/>
        <v>0</v>
      </c>
      <c r="T1177" s="12"/>
      <c r="U1177" s="12"/>
      <c r="V1177" s="12"/>
      <c r="W1177" s="12">
        <f t="shared" si="319"/>
        <v>0</v>
      </c>
      <c r="Y1177" s="10">
        <v>11</v>
      </c>
      <c r="Z1177" s="30"/>
      <c r="AA1177" s="31"/>
      <c r="AB1177" s="32"/>
      <c r="AC1177" s="32"/>
      <c r="AD1177" s="32"/>
      <c r="AE1177" s="32">
        <f t="shared" si="322"/>
        <v>0</v>
      </c>
      <c r="AF1177" s="12"/>
      <c r="AG1177" s="12"/>
      <c r="AH1177" s="12"/>
      <c r="AI1177" s="12">
        <f t="shared" si="317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31"/>
      <c r="D1178" s="32"/>
      <c r="E1178" s="32"/>
      <c r="F1178" s="32"/>
      <c r="G1178" s="32">
        <f t="shared" si="314"/>
        <v>0</v>
      </c>
      <c r="H1178" s="12"/>
      <c r="I1178" s="12"/>
      <c r="J1178" s="10"/>
      <c r="K1178" s="12">
        <f t="shared" si="315"/>
        <v>0</v>
      </c>
      <c r="M1178" s="10">
        <v>12</v>
      </c>
      <c r="N1178" s="30"/>
      <c r="O1178" s="82"/>
      <c r="P1178" s="32"/>
      <c r="Q1178" s="32"/>
      <c r="R1178" s="32"/>
      <c r="S1178" s="32">
        <f t="shared" si="318"/>
        <v>0</v>
      </c>
      <c r="T1178" s="12"/>
      <c r="U1178" s="12"/>
      <c r="V1178" s="12"/>
      <c r="W1178" s="12">
        <f t="shared" si="319"/>
        <v>0</v>
      </c>
      <c r="Y1178" s="10">
        <v>12</v>
      </c>
      <c r="Z1178" s="30"/>
      <c r="AA1178" s="31"/>
      <c r="AB1178" s="32"/>
      <c r="AC1178" s="32"/>
      <c r="AD1178" s="32"/>
      <c r="AE1178" s="32">
        <f t="shared" si="322"/>
        <v>0</v>
      </c>
      <c r="AF1178" s="12"/>
      <c r="AG1178" s="12"/>
      <c r="AH1178" s="12"/>
      <c r="AI1178" s="12">
        <f t="shared" si="317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31"/>
      <c r="D1179" s="32"/>
      <c r="E1179" s="32"/>
      <c r="F1179" s="32"/>
      <c r="G1179" s="32">
        <f t="shared" si="314"/>
        <v>0</v>
      </c>
      <c r="H1179" s="12"/>
      <c r="I1179" s="12"/>
      <c r="J1179" s="12"/>
      <c r="K1179" s="12">
        <f t="shared" si="315"/>
        <v>0</v>
      </c>
      <c r="M1179" s="10">
        <v>13</v>
      </c>
      <c r="N1179" s="30"/>
      <c r="O1179" s="82"/>
      <c r="P1179" s="32"/>
      <c r="Q1179" s="32"/>
      <c r="R1179" s="32"/>
      <c r="S1179" s="32">
        <f t="shared" si="318"/>
        <v>0</v>
      </c>
      <c r="T1179" s="12"/>
      <c r="U1179" s="12"/>
      <c r="V1179" s="12"/>
      <c r="W1179" s="12">
        <f t="shared" si="319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22"/>
        <v>0</v>
      </c>
      <c r="AF1179" s="12"/>
      <c r="AG1179" s="12"/>
      <c r="AH1179" s="12"/>
      <c r="AI1179" s="12">
        <f t="shared" si="317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314"/>
        <v>0</v>
      </c>
      <c r="H1180" s="12"/>
      <c r="I1180" s="12"/>
      <c r="J1180" s="12"/>
      <c r="K1180" s="12">
        <f t="shared" si="315"/>
        <v>0</v>
      </c>
      <c r="M1180" s="10">
        <v>14</v>
      </c>
      <c r="N1180" s="30"/>
      <c r="O1180" s="11"/>
      <c r="P1180" s="32"/>
      <c r="Q1180" s="32"/>
      <c r="R1180" s="32"/>
      <c r="S1180" s="32">
        <f t="shared" si="318"/>
        <v>0</v>
      </c>
      <c r="T1180" s="12"/>
      <c r="U1180" s="12"/>
      <c r="V1180" s="12"/>
      <c r="W1180" s="12">
        <f t="shared" si="319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22"/>
        <v>0</v>
      </c>
      <c r="AF1180" s="12"/>
      <c r="AG1180" s="12"/>
      <c r="AH1180" s="12"/>
      <c r="AI1180" s="12">
        <f t="shared" si="317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314"/>
        <v>0</v>
      </c>
      <c r="H1181" s="12"/>
      <c r="I1181" s="12"/>
      <c r="J1181" s="12"/>
      <c r="K1181" s="12">
        <f t="shared" si="315"/>
        <v>0</v>
      </c>
      <c r="M1181" s="10">
        <v>15</v>
      </c>
      <c r="N1181" s="30"/>
      <c r="O1181" s="82"/>
      <c r="P1181" s="32"/>
      <c r="Q1181" s="32"/>
      <c r="R1181" s="32"/>
      <c r="S1181" s="32">
        <f t="shared" si="318"/>
        <v>0</v>
      </c>
      <c r="T1181" s="12"/>
      <c r="U1181" s="12"/>
      <c r="V1181" s="12"/>
      <c r="W1181" s="12">
        <f t="shared" si="319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22"/>
        <v>0</v>
      </c>
      <c r="AF1181" s="12"/>
      <c r="AG1181" s="12"/>
      <c r="AH1181" s="12"/>
      <c r="AI1181" s="12">
        <f t="shared" si="317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11"/>
      <c r="D1182" s="32"/>
      <c r="E1182" s="32"/>
      <c r="F1182" s="32"/>
      <c r="G1182" s="32">
        <f t="shared" si="314"/>
        <v>0</v>
      </c>
      <c r="H1182" s="12"/>
      <c r="I1182" s="12"/>
      <c r="J1182" s="12"/>
      <c r="K1182" s="12">
        <f t="shared" si="315"/>
        <v>0</v>
      </c>
      <c r="M1182" s="10">
        <v>16</v>
      </c>
      <c r="N1182" s="30"/>
      <c r="O1182" s="82"/>
      <c r="P1182" s="32"/>
      <c r="Q1182" s="32"/>
      <c r="R1182" s="32"/>
      <c r="S1182" s="32">
        <f t="shared" si="318"/>
        <v>0</v>
      </c>
      <c r="T1182" s="12"/>
      <c r="U1182" s="12"/>
      <c r="V1182" s="12"/>
      <c r="W1182" s="12">
        <f t="shared" si="319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322"/>
        <v>0</v>
      </c>
      <c r="AF1182" s="12"/>
      <c r="AG1182" s="12"/>
      <c r="AH1182" s="12"/>
      <c r="AI1182" s="12">
        <f t="shared" si="317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314"/>
        <v>0</v>
      </c>
      <c r="H1183" s="12"/>
      <c r="I1183" s="12"/>
      <c r="J1183" s="12"/>
      <c r="K1183" s="12">
        <f t="shared" si="315"/>
        <v>0</v>
      </c>
      <c r="M1183" s="10">
        <v>17</v>
      </c>
      <c r="N1183" s="30"/>
      <c r="O1183" s="82"/>
      <c r="P1183" s="35"/>
      <c r="Q1183" s="32"/>
      <c r="R1183" s="32"/>
      <c r="S1183" s="32">
        <f t="shared" si="318"/>
        <v>0</v>
      </c>
      <c r="T1183" s="12"/>
      <c r="U1183" s="12"/>
      <c r="V1183" s="12"/>
      <c r="W1183" s="12">
        <f t="shared" si="319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22"/>
        <v>0</v>
      </c>
      <c r="AF1183" s="12"/>
      <c r="AG1183" s="12"/>
      <c r="AH1183" s="12"/>
      <c r="AI1183" s="12">
        <f t="shared" si="317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31"/>
      <c r="D1184" s="32"/>
      <c r="E1184" s="32"/>
      <c r="F1184" s="32"/>
      <c r="G1184" s="32">
        <f t="shared" si="314"/>
        <v>0</v>
      </c>
      <c r="H1184" s="12"/>
      <c r="I1184" s="12"/>
      <c r="J1184" s="12"/>
      <c r="K1184" s="12">
        <f t="shared" si="315"/>
        <v>0</v>
      </c>
      <c r="M1184" s="10">
        <v>18</v>
      </c>
      <c r="N1184" s="30"/>
      <c r="O1184" s="82"/>
      <c r="P1184" s="32"/>
      <c r="Q1184" s="32"/>
      <c r="R1184" s="32"/>
      <c r="S1184" s="32"/>
      <c r="T1184" s="12"/>
      <c r="U1184" s="12"/>
      <c r="V1184" s="12"/>
      <c r="W1184" s="12">
        <f t="shared" si="319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22"/>
        <v>0</v>
      </c>
      <c r="AF1184" s="12"/>
      <c r="AG1184" s="12"/>
      <c r="AH1184" s="12"/>
      <c r="AI1184" s="12">
        <f t="shared" si="317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314"/>
        <v>0</v>
      </c>
      <c r="H1185" s="12"/>
      <c r="I1185" s="12"/>
      <c r="J1185" s="12"/>
      <c r="K1185" s="12">
        <f t="shared" si="315"/>
        <v>0</v>
      </c>
      <c r="M1185" s="10">
        <v>19</v>
      </c>
      <c r="N1185" s="30"/>
      <c r="O1185" s="82"/>
      <c r="P1185" s="32"/>
      <c r="Q1185" s="32"/>
      <c r="R1185" s="32"/>
      <c r="S1185" s="32"/>
      <c r="T1185" s="12"/>
      <c r="U1185" s="12"/>
      <c r="V1185" s="12"/>
      <c r="W1185" s="12">
        <f t="shared" si="319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22"/>
        <v>0</v>
      </c>
      <c r="AF1185" s="12"/>
      <c r="AG1185" s="12"/>
      <c r="AH1185" s="12"/>
      <c r="AI1185" s="12">
        <f t="shared" si="317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314"/>
        <v>0</v>
      </c>
      <c r="H1186" s="12"/>
      <c r="I1186" s="12"/>
      <c r="J1186" s="12"/>
      <c r="K1186" s="12">
        <f t="shared" si="315"/>
        <v>0</v>
      </c>
      <c r="M1186" s="10">
        <v>20</v>
      </c>
      <c r="N1186" s="30"/>
      <c r="O1186" s="82"/>
      <c r="P1186" s="32"/>
      <c r="Q1186" s="32"/>
      <c r="R1186" s="32"/>
      <c r="S1186" s="32"/>
      <c r="T1186" s="12"/>
      <c r="U1186" s="12"/>
      <c r="V1186" s="12"/>
      <c r="W1186" s="12">
        <f t="shared" si="319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22"/>
        <v>0</v>
      </c>
      <c r="AF1186" s="12"/>
      <c r="AG1186" s="12"/>
      <c r="AH1186" s="12"/>
      <c r="AI1186" s="12">
        <f t="shared" si="317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11"/>
      <c r="D1187" s="32"/>
      <c r="E1187" s="32"/>
      <c r="F1187" s="32"/>
      <c r="G1187" s="32">
        <f t="shared" si="314"/>
        <v>0</v>
      </c>
      <c r="H1187" s="10"/>
      <c r="I1187" s="10"/>
      <c r="J1187" s="10"/>
      <c r="K1187" s="12">
        <f t="shared" si="315"/>
        <v>0</v>
      </c>
      <c r="M1187" s="10">
        <v>21</v>
      </c>
      <c r="N1187" s="30"/>
      <c r="O1187" s="11"/>
      <c r="P1187" s="46"/>
      <c r="Q1187" s="31"/>
      <c r="R1187" s="31"/>
      <c r="S1187" s="32"/>
      <c r="T1187" s="10"/>
      <c r="U1187" s="10"/>
      <c r="V1187" s="10"/>
      <c r="W1187" s="12">
        <f t="shared" si="319"/>
        <v>0</v>
      </c>
      <c r="Y1187" s="10">
        <v>21</v>
      </c>
      <c r="Z1187" s="30"/>
      <c r="AA1187" s="11"/>
      <c r="AB1187" s="46"/>
      <c r="AC1187" s="31"/>
      <c r="AD1187" s="31"/>
      <c r="AE1187" s="32">
        <f t="shared" si="322"/>
        <v>0</v>
      </c>
      <c r="AF1187" s="10"/>
      <c r="AG1187" s="10"/>
      <c r="AH1187" s="10"/>
      <c r="AI1187" s="12">
        <f t="shared" si="317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314"/>
        <v>0</v>
      </c>
      <c r="H1188" s="10"/>
      <c r="I1188" s="10"/>
      <c r="J1188" s="10"/>
      <c r="K1188" s="12">
        <f t="shared" si="315"/>
        <v>0</v>
      </c>
      <c r="M1188" s="10">
        <v>22</v>
      </c>
      <c r="N1188" s="30"/>
      <c r="O1188" s="82"/>
      <c r="P1188" s="45"/>
      <c r="Q1188" s="31"/>
      <c r="R1188" s="31"/>
      <c r="S1188" s="32"/>
      <c r="T1188" s="10"/>
      <c r="U1188" s="10"/>
      <c r="V1188" s="10"/>
      <c r="W1188" s="12">
        <f t="shared" si="319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22"/>
        <v>0</v>
      </c>
      <c r="AF1188" s="10"/>
      <c r="AG1188" s="10"/>
      <c r="AH1188" s="10"/>
      <c r="AI1188" s="12">
        <f t="shared" si="317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31"/>
      <c r="D1189" s="32"/>
      <c r="E1189" s="32"/>
      <c r="F1189" s="32"/>
      <c r="G1189" s="32">
        <f t="shared" si="314"/>
        <v>0</v>
      </c>
      <c r="H1189" s="10"/>
      <c r="I1189" s="10"/>
      <c r="J1189" s="12"/>
      <c r="K1189" s="12">
        <f t="shared" si="315"/>
        <v>0</v>
      </c>
      <c r="M1189" s="10">
        <v>23</v>
      </c>
      <c r="N1189" s="30"/>
      <c r="O1189" s="82"/>
      <c r="P1189" s="47"/>
      <c r="S1189" s="32"/>
      <c r="T1189" s="10"/>
      <c r="U1189" s="10"/>
      <c r="V1189" s="10"/>
      <c r="W1189" s="12">
        <f t="shared" si="319"/>
        <v>0</v>
      </c>
      <c r="Y1189" s="10">
        <v>23</v>
      </c>
      <c r="Z1189" s="30"/>
      <c r="AA1189" s="31"/>
      <c r="AB1189" s="47"/>
      <c r="AE1189" s="32">
        <f t="shared" si="322"/>
        <v>0</v>
      </c>
      <c r="AF1189" s="10"/>
      <c r="AG1189" s="10"/>
      <c r="AH1189" s="10"/>
      <c r="AI1189" s="12">
        <f t="shared" si="317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314"/>
        <v>0</v>
      </c>
      <c r="H1190" s="10"/>
      <c r="I1190" s="10"/>
      <c r="J1190" s="10"/>
      <c r="K1190" s="12">
        <f t="shared" si="315"/>
        <v>0</v>
      </c>
      <c r="M1190" s="10">
        <v>24</v>
      </c>
      <c r="N1190" s="30"/>
      <c r="O1190" s="82"/>
      <c r="P1190" s="47"/>
      <c r="Q1190" s="31"/>
      <c r="R1190" s="31"/>
      <c r="S1190" s="32"/>
      <c r="T1190" s="10"/>
      <c r="U1190" s="10"/>
      <c r="V1190" s="10"/>
      <c r="W1190" s="12">
        <f t="shared" si="319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22"/>
        <v>0</v>
      </c>
      <c r="AF1190" s="10"/>
      <c r="AG1190" s="10"/>
      <c r="AH1190" s="10"/>
      <c r="AI1190" s="12">
        <f t="shared" si="317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31"/>
      <c r="D1191" s="32"/>
      <c r="E1191" s="32"/>
      <c r="F1191" s="32"/>
      <c r="G1191" s="32">
        <f t="shared" si="314"/>
        <v>0</v>
      </c>
      <c r="H1191" s="10"/>
      <c r="I1191" s="10"/>
      <c r="J1191" s="10"/>
      <c r="K1191" s="12">
        <f t="shared" si="315"/>
        <v>0</v>
      </c>
      <c r="M1191" s="10">
        <v>25</v>
      </c>
      <c r="N1191" s="30"/>
      <c r="O1191" s="82"/>
      <c r="P1191" s="47"/>
      <c r="Q1191" s="31"/>
      <c r="R1191" s="31"/>
      <c r="S1191" s="32"/>
      <c r="T1191" s="10"/>
      <c r="U1191" s="10"/>
      <c r="V1191" s="10"/>
      <c r="W1191" s="12">
        <f t="shared" si="319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22"/>
        <v>0</v>
      </c>
      <c r="AF1191" s="10"/>
      <c r="AG1191" s="10"/>
      <c r="AH1191" s="10"/>
      <c r="AI1191" s="12">
        <f t="shared" si="317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314"/>
        <v>0</v>
      </c>
      <c r="H1192" s="10"/>
      <c r="I1192" s="10"/>
      <c r="J1192" s="10"/>
      <c r="K1192" s="12">
        <f t="shared" si="315"/>
        <v>0</v>
      </c>
      <c r="M1192" s="10">
        <v>26</v>
      </c>
      <c r="N1192" s="30"/>
      <c r="O1192" s="82"/>
      <c r="P1192" s="47"/>
      <c r="Q1192" s="31"/>
      <c r="R1192" s="31"/>
      <c r="S1192" s="32"/>
      <c r="T1192" s="10"/>
      <c r="U1192" s="10"/>
      <c r="V1192" s="10"/>
      <c r="W1192" s="12">
        <f t="shared" si="319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22"/>
        <v>0</v>
      </c>
      <c r="AF1192" s="10"/>
      <c r="AG1192" s="10"/>
      <c r="AH1192" s="10"/>
      <c r="AI1192" s="12">
        <f t="shared" si="317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314"/>
        <v>0</v>
      </c>
      <c r="H1193" s="10"/>
      <c r="I1193" s="10"/>
      <c r="J1193" s="10"/>
      <c r="K1193" s="12">
        <f t="shared" si="315"/>
        <v>0</v>
      </c>
      <c r="M1193" s="10">
        <v>27</v>
      </c>
      <c r="N1193" s="30"/>
      <c r="O1193" s="82"/>
      <c r="P1193" s="47"/>
      <c r="Q1193" s="31"/>
      <c r="R1193" s="31"/>
      <c r="S1193" s="32"/>
      <c r="T1193" s="10"/>
      <c r="U1193" s="10"/>
      <c r="V1193" s="10"/>
      <c r="W1193" s="12">
        <f t="shared" si="319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22"/>
        <v>0</v>
      </c>
      <c r="AF1193" s="10"/>
      <c r="AG1193" s="10"/>
      <c r="AH1193" s="10"/>
      <c r="AI1193" s="12">
        <f t="shared" si="317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31"/>
      <c r="D1194" s="32"/>
      <c r="E1194" s="32"/>
      <c r="F1194" s="32"/>
      <c r="G1194" s="32">
        <f t="shared" si="314"/>
        <v>0</v>
      </c>
      <c r="H1194" s="10"/>
      <c r="I1194" s="10"/>
      <c r="J1194" s="10"/>
      <c r="K1194" s="12">
        <f t="shared" si="315"/>
        <v>0</v>
      </c>
      <c r="M1194" s="10">
        <v>28</v>
      </c>
      <c r="N1194" s="30"/>
      <c r="O1194" s="82"/>
      <c r="P1194" s="47"/>
      <c r="Q1194" s="31"/>
      <c r="R1194" s="31"/>
      <c r="S1194" s="32"/>
      <c r="T1194" s="10"/>
      <c r="U1194" s="10"/>
      <c r="V1194" s="10"/>
      <c r="W1194" s="12">
        <f t="shared" si="319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22"/>
        <v>0</v>
      </c>
      <c r="AF1194" s="10"/>
      <c r="AG1194" s="10"/>
      <c r="AH1194" s="10"/>
      <c r="AI1194" s="12">
        <f t="shared" si="317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11"/>
      <c r="D1195" s="32"/>
      <c r="E1195" s="32"/>
      <c r="F1195" s="32"/>
      <c r="G1195" s="32">
        <f t="shared" si="314"/>
        <v>0</v>
      </c>
      <c r="H1195" s="10"/>
      <c r="I1195" s="10"/>
      <c r="J1195" s="10"/>
      <c r="K1195" s="12">
        <f t="shared" si="315"/>
        <v>0</v>
      </c>
      <c r="M1195" s="10">
        <v>29</v>
      </c>
      <c r="N1195" s="30"/>
      <c r="O1195" s="82"/>
      <c r="P1195" s="47"/>
      <c r="Q1195" s="31"/>
      <c r="R1195" s="31"/>
      <c r="S1195" s="32"/>
      <c r="T1195" s="10"/>
      <c r="U1195" s="10"/>
      <c r="V1195" s="10"/>
      <c r="W1195" s="12">
        <f t="shared" si="319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22"/>
        <v>0</v>
      </c>
      <c r="AF1195" s="10"/>
      <c r="AG1195" s="10"/>
      <c r="AH1195" s="10"/>
      <c r="AI1195" s="12">
        <f t="shared" si="317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82"/>
      <c r="D1196" s="32"/>
      <c r="E1196" s="32"/>
      <c r="F1196" s="32"/>
      <c r="G1196" s="32">
        <f t="shared" si="314"/>
        <v>0</v>
      </c>
      <c r="H1196" s="10"/>
      <c r="I1196" s="10"/>
      <c r="J1196" s="10"/>
      <c r="K1196" s="12">
        <f t="shared" si="315"/>
        <v>0</v>
      </c>
      <c r="M1196" s="10">
        <v>30</v>
      </c>
      <c r="N1196" s="30"/>
      <c r="O1196" s="82"/>
      <c r="P1196" s="47"/>
      <c r="Q1196" s="31"/>
      <c r="R1196" s="31"/>
      <c r="S1196" s="32"/>
      <c r="T1196" s="10"/>
      <c r="U1196" s="10"/>
      <c r="V1196" s="10"/>
      <c r="W1196" s="12">
        <f t="shared" si="319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22"/>
        <v>0</v>
      </c>
      <c r="AF1196" s="10"/>
      <c r="AG1196" s="10"/>
      <c r="AH1196" s="10"/>
      <c r="AI1196" s="12">
        <f t="shared" si="317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2"/>
      <c r="D1197" s="32"/>
      <c r="E1197" s="32"/>
      <c r="F1197" s="32"/>
      <c r="G1197" s="32">
        <f t="shared" si="314"/>
        <v>0</v>
      </c>
      <c r="H1197" s="10"/>
      <c r="I1197" s="10"/>
      <c r="J1197" s="10"/>
      <c r="K1197" s="12">
        <f t="shared" si="315"/>
        <v>0</v>
      </c>
      <c r="M1197" s="10">
        <v>31</v>
      </c>
      <c r="N1197" s="30"/>
      <c r="O1197" s="11"/>
      <c r="P1197" s="47"/>
      <c r="Q1197" s="31"/>
      <c r="R1197" s="31"/>
      <c r="S1197" s="32">
        <f t="shared" ref="S1197:S1205" si="323">SUM(P1197:Q1197)</f>
        <v>0</v>
      </c>
      <c r="T1197" s="10"/>
      <c r="U1197" s="10"/>
      <c r="V1197" s="10"/>
      <c r="W1197" s="12">
        <f t="shared" si="319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22"/>
        <v>0</v>
      </c>
      <c r="AF1197" s="10"/>
      <c r="AG1197" s="10"/>
      <c r="AH1197" s="10"/>
      <c r="AI1197" s="12">
        <f t="shared" si="317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82"/>
      <c r="D1198" s="32"/>
      <c r="E1198" s="32"/>
      <c r="F1198" s="32"/>
      <c r="G1198" s="32">
        <f t="shared" si="314"/>
        <v>0</v>
      </c>
      <c r="H1198" s="10"/>
      <c r="I1198" s="10"/>
      <c r="J1198" s="10"/>
      <c r="K1198" s="12">
        <f t="shared" si="315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23"/>
        <v>0</v>
      </c>
      <c r="T1198" s="10"/>
      <c r="U1198" s="10"/>
      <c r="V1198" s="10"/>
      <c r="W1198" s="12">
        <f t="shared" si="319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22"/>
        <v>0</v>
      </c>
      <c r="AF1198" s="10"/>
      <c r="AG1198" s="10"/>
      <c r="AH1198" s="10"/>
      <c r="AI1198" s="12">
        <f t="shared" si="317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2"/>
      <c r="D1199" s="32"/>
      <c r="E1199" s="32"/>
      <c r="F1199" s="32"/>
      <c r="G1199" s="32">
        <f t="shared" si="314"/>
        <v>0</v>
      </c>
      <c r="H1199" s="10"/>
      <c r="I1199" s="10"/>
      <c r="J1199" s="10"/>
      <c r="K1199" s="12">
        <f t="shared" si="315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23"/>
        <v>0</v>
      </c>
      <c r="T1199" s="10"/>
      <c r="U1199" s="10"/>
      <c r="V1199" s="10"/>
      <c r="W1199" s="12">
        <f t="shared" si="319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22"/>
        <v>0</v>
      </c>
      <c r="AF1199" s="10"/>
      <c r="AG1199" s="10"/>
      <c r="AH1199" s="10"/>
      <c r="AI1199" s="12">
        <f t="shared" si="317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2"/>
      <c r="D1200" s="32"/>
      <c r="E1200" s="32"/>
      <c r="F1200" s="32"/>
      <c r="G1200" s="32">
        <f t="shared" si="314"/>
        <v>0</v>
      </c>
      <c r="H1200" s="10"/>
      <c r="I1200" s="10"/>
      <c r="J1200" s="10"/>
      <c r="K1200" s="12">
        <f t="shared" si="315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23"/>
        <v>0</v>
      </c>
      <c r="T1200" s="10"/>
      <c r="U1200" s="10"/>
      <c r="V1200" s="10"/>
      <c r="W1200" s="12">
        <f t="shared" si="319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322"/>
        <v>0</v>
      </c>
      <c r="AF1200" s="10"/>
      <c r="AG1200" s="10"/>
      <c r="AH1200" s="10"/>
      <c r="AI1200" s="12">
        <f t="shared" si="317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23"/>
        <v>0</v>
      </c>
      <c r="T1201" s="10"/>
      <c r="U1201" s="10"/>
      <c r="V1201" s="10"/>
      <c r="W1201" s="12">
        <f t="shared" si="319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22"/>
        <v>0</v>
      </c>
      <c r="AF1201" s="10"/>
      <c r="AG1201" s="10"/>
      <c r="AH1201" s="10"/>
      <c r="AI1201" s="12">
        <f t="shared" si="317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23"/>
        <v>0</v>
      </c>
      <c r="T1202" s="10"/>
      <c r="U1202" s="10"/>
      <c r="V1202" s="10"/>
      <c r="W1202" s="12">
        <f t="shared" si="319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22"/>
        <v>0</v>
      </c>
      <c r="AF1202" s="10"/>
      <c r="AG1202" s="10"/>
      <c r="AH1202" s="10"/>
      <c r="AI1202" s="12">
        <f t="shared" si="317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23"/>
        <v>0</v>
      </c>
      <c r="T1203" s="10"/>
      <c r="U1203" s="10"/>
      <c r="V1203" s="10"/>
      <c r="W1203" s="12">
        <f t="shared" si="319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22"/>
        <v>0</v>
      </c>
      <c r="AF1203" s="10"/>
      <c r="AG1203" s="10"/>
      <c r="AH1203" s="10"/>
      <c r="AI1203" s="12">
        <f t="shared" si="317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23"/>
        <v>0</v>
      </c>
      <c r="T1204" s="10"/>
      <c r="U1204" s="10"/>
      <c r="V1204" s="10"/>
      <c r="W1204" s="12">
        <f t="shared" si="319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22"/>
        <v>0</v>
      </c>
      <c r="AF1204" s="10"/>
      <c r="AG1204" s="10"/>
      <c r="AH1204" s="10"/>
      <c r="AI1204" s="12">
        <f t="shared" si="317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23"/>
        <v>0</v>
      </c>
      <c r="T1205" s="10"/>
      <c r="U1205" s="10"/>
      <c r="V1205" s="10"/>
      <c r="W1205" s="12">
        <f t="shared" si="319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22"/>
        <v>0</v>
      </c>
      <c r="AF1205" s="10"/>
      <c r="AG1205" s="10"/>
      <c r="AH1205" s="10"/>
      <c r="AI1205" s="12">
        <f t="shared" si="317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19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17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24">SUM(D1207:E1207)</f>
        <v>0</v>
      </c>
      <c r="H1207" s="10"/>
      <c r="I1207" s="10"/>
      <c r="J1207" s="10"/>
      <c r="K1207" s="12">
        <f t="shared" ref="K1207" si="325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26">SUM(P1207:Q1207)</f>
        <v>0</v>
      </c>
      <c r="T1207" s="10"/>
      <c r="U1207" s="10"/>
      <c r="V1207" s="10"/>
      <c r="W1207" s="12">
        <f t="shared" si="319"/>
        <v>0</v>
      </c>
      <c r="Y1207" s="10"/>
      <c r="Z1207" s="30"/>
      <c r="AA1207" s="31"/>
      <c r="AB1207" s="47"/>
      <c r="AC1207" s="31"/>
      <c r="AD1207" s="31"/>
      <c r="AE1207" s="32">
        <f t="shared" ref="AE1207" si="327">SUM(AB1207:AC1207)</f>
        <v>0</v>
      </c>
      <c r="AF1207" s="10"/>
      <c r="AG1207" s="10"/>
      <c r="AH1207" s="10"/>
      <c r="AI1207" s="12">
        <f t="shared" si="317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19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17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697934</v>
      </c>
      <c r="E1210" s="38">
        <f t="shared" ref="E1210:F1210" si="328">SUM(E1167:E1207)</f>
        <v>-6012</v>
      </c>
      <c r="F1210" s="38">
        <f t="shared" si="328"/>
        <v>0</v>
      </c>
      <c r="G1210" s="38">
        <f>SUM(G1167:G1209)</f>
        <v>691922</v>
      </c>
      <c r="H1210" s="4"/>
      <c r="I1210" s="39">
        <f>SUM(I1167:I1209)</f>
        <v>98022</v>
      </c>
      <c r="J1210" s="39">
        <f>SUM(J1167:J1209)</f>
        <v>-8460</v>
      </c>
      <c r="K1210" s="40">
        <f>SUM(K1167:K1209)</f>
        <v>781484</v>
      </c>
      <c r="N1210" s="57"/>
      <c r="O1210" s="57"/>
      <c r="P1210" s="38">
        <f>SUM(P1167:P1209)</f>
        <v>212011</v>
      </c>
      <c r="Q1210" s="38">
        <f>SUM(Q1167:Q1191)</f>
        <v>-732</v>
      </c>
      <c r="R1210" s="38">
        <f>SUM(R1167:R1191)</f>
        <v>0</v>
      </c>
      <c r="S1210" s="38">
        <f>SUM(S1167:S1209)</f>
        <v>211279</v>
      </c>
      <c r="T1210" s="4"/>
      <c r="U1210" s="41">
        <f>SUM(U1167:U1209)</f>
        <v>162</v>
      </c>
      <c r="V1210" s="41">
        <f>SUM(V1167:V1191)</f>
        <v>-3774</v>
      </c>
      <c r="W1210" s="42">
        <f>SUM(W1167:W1209)</f>
        <v>207667</v>
      </c>
      <c r="Z1210" s="57"/>
      <c r="AA1210" s="57"/>
      <c r="AB1210" s="38">
        <f>SUM(AB1167:AB1209)</f>
        <v>362992</v>
      </c>
      <c r="AC1210" s="38">
        <f>SUM(AC1167:AC1191)</f>
        <v>-1260</v>
      </c>
      <c r="AD1210" s="38">
        <f>SUM(AD1167:AD1191)</f>
        <v>0</v>
      </c>
      <c r="AE1210" s="38">
        <f>SUM(AE1167:AE1209)</f>
        <v>361732</v>
      </c>
      <c r="AF1210" s="4"/>
      <c r="AG1210" s="41">
        <f>SUM(AG1167:AG1209)</f>
        <v>216</v>
      </c>
      <c r="AH1210" s="41">
        <f>SUM(AH1167:AH1191)</f>
        <v>0</v>
      </c>
      <c r="AI1210" s="42">
        <f>SUM(AI1167:AI1209)</f>
        <v>361948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41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41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41</v>
      </c>
      <c r="Z1217" s="57"/>
      <c r="AA1217" s="57"/>
      <c r="AB1217" s="57"/>
      <c r="AC1217" s="57"/>
      <c r="AD1217" s="57"/>
      <c r="AE1217" s="57"/>
      <c r="AG1217" s="57" t="s">
        <v>15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108</v>
      </c>
      <c r="B1218" s="20"/>
      <c r="C1218" s="57"/>
      <c r="D1218" s="57"/>
      <c r="E1218" s="57"/>
      <c r="G1218" s="57"/>
      <c r="I1218" s="22" t="s">
        <v>16</v>
      </c>
      <c r="J1218" s="23" t="s">
        <v>36</v>
      </c>
      <c r="K1218" s="24"/>
      <c r="M1218" s="21" t="s">
        <v>108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32</v>
      </c>
      <c r="W1218" s="24"/>
      <c r="Y1218" s="21" t="s">
        <v>108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81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7" t="s">
        <v>17</v>
      </c>
      <c r="E1220" s="127"/>
      <c r="F1220" s="116"/>
      <c r="G1220" s="27"/>
      <c r="I1220" s="121" t="s">
        <v>18</v>
      </c>
      <c r="J1220" s="122"/>
      <c r="K1220" s="123" t="s">
        <v>19</v>
      </c>
      <c r="N1220" s="25"/>
      <c r="O1220" s="26"/>
      <c r="P1220" s="127" t="s">
        <v>17</v>
      </c>
      <c r="Q1220" s="127"/>
      <c r="R1220" s="116"/>
      <c r="S1220" s="27"/>
      <c r="U1220" s="121" t="s">
        <v>18</v>
      </c>
      <c r="V1220" s="122"/>
      <c r="W1220" s="123" t="s">
        <v>19</v>
      </c>
      <c r="Z1220" s="25"/>
      <c r="AA1220" s="26"/>
      <c r="AB1220" s="127" t="s">
        <v>17</v>
      </c>
      <c r="AC1220" s="127"/>
      <c r="AD1220" s="116"/>
      <c r="AE1220" s="27"/>
      <c r="AG1220" s="121" t="s">
        <v>18</v>
      </c>
      <c r="AH1220" s="122"/>
      <c r="AI1220" s="123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7" t="s">
        <v>22</v>
      </c>
      <c r="E1221" s="76" t="s">
        <v>23</v>
      </c>
      <c r="F1221" s="78" t="s">
        <v>31</v>
      </c>
      <c r="G1221" s="78" t="s">
        <v>24</v>
      </c>
      <c r="I1221" s="29" t="s">
        <v>25</v>
      </c>
      <c r="J1221" s="29" t="s">
        <v>26</v>
      </c>
      <c r="K1221" s="124"/>
      <c r="N1221" s="28" t="s">
        <v>20</v>
      </c>
      <c r="O1221" s="28" t="s">
        <v>21</v>
      </c>
      <c r="P1221" s="77" t="s">
        <v>22</v>
      </c>
      <c r="Q1221" s="78" t="s">
        <v>23</v>
      </c>
      <c r="R1221" s="78" t="s">
        <v>31</v>
      </c>
      <c r="S1221" s="78" t="s">
        <v>24</v>
      </c>
      <c r="U1221" s="29" t="s">
        <v>25</v>
      </c>
      <c r="V1221" s="29" t="s">
        <v>26</v>
      </c>
      <c r="W1221" s="124"/>
      <c r="Z1221" s="28" t="s">
        <v>20</v>
      </c>
      <c r="AA1221" s="28" t="s">
        <v>21</v>
      </c>
      <c r="AB1221" s="77" t="s">
        <v>22</v>
      </c>
      <c r="AC1221" s="78" t="s">
        <v>23</v>
      </c>
      <c r="AD1221" s="78" t="s">
        <v>31</v>
      </c>
      <c r="AE1221" s="78" t="s">
        <v>24</v>
      </c>
      <c r="AG1221" s="29" t="s">
        <v>25</v>
      </c>
      <c r="AH1221" s="29" t="s">
        <v>26</v>
      </c>
      <c r="AI1221" s="124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109</v>
      </c>
      <c r="C1222" s="82">
        <v>11499</v>
      </c>
      <c r="D1222" s="32">
        <f>650*286</f>
        <v>185900</v>
      </c>
      <c r="E1222" s="32"/>
      <c r="F1222" s="32"/>
      <c r="G1222" s="32">
        <f t="shared" ref="G1222:G1255" si="329">SUM(D1222:E1222)</f>
        <v>185900</v>
      </c>
      <c r="H1222" s="12"/>
      <c r="I1222" s="12">
        <f>160*111+4.5*18</f>
        <v>17841</v>
      </c>
      <c r="J1222" s="12"/>
      <c r="K1222" s="12">
        <f t="shared" ref="K1222:K1255" si="330">SUM(G1222:J1222)</f>
        <v>203741</v>
      </c>
      <c r="M1222" s="10">
        <v>1</v>
      </c>
      <c r="N1222" s="30" t="s">
        <v>109</v>
      </c>
      <c r="O1222" s="82">
        <v>11627</v>
      </c>
      <c r="P1222" s="32">
        <f>650*12+622*4+9.5*16</f>
        <v>10440</v>
      </c>
      <c r="Q1222" s="32"/>
      <c r="R1222" s="32"/>
      <c r="S1222" s="32">
        <f>SUM(P1222:Q1222)</f>
        <v>10440</v>
      </c>
      <c r="T1222" s="12"/>
      <c r="U1222" s="12"/>
      <c r="V1222" s="12"/>
      <c r="W1222" s="12">
        <f>SUM(S1222:V1222)</f>
        <v>10440</v>
      </c>
      <c r="Y1222" s="10">
        <v>1</v>
      </c>
      <c r="Z1222" s="30" t="s">
        <v>109</v>
      </c>
      <c r="AA1222" s="31">
        <v>11584</v>
      </c>
      <c r="AB1222" s="32">
        <f>650*6+650+9.5*6</f>
        <v>4607</v>
      </c>
      <c r="AC1222" s="32"/>
      <c r="AD1222" s="32"/>
      <c r="AE1222" s="32">
        <f t="shared" ref="AE1222:AE1227" si="331">SUM(AB1222:AC1222)</f>
        <v>4607</v>
      </c>
      <c r="AF1222" s="12"/>
      <c r="AG1222" s="12"/>
      <c r="AH1222" s="12"/>
      <c r="AI1222" s="12">
        <f t="shared" ref="AI1222:AI1263" si="332">SUM(AE1222:AH1222)</f>
        <v>4607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109</v>
      </c>
      <c r="C1223" s="31">
        <f>C1222+1</f>
        <v>11500</v>
      </c>
      <c r="D1223" s="32">
        <f>650*10</f>
        <v>6500</v>
      </c>
      <c r="E1223" s="32"/>
      <c r="F1223" s="32"/>
      <c r="G1223" s="32">
        <f t="shared" si="329"/>
        <v>6500</v>
      </c>
      <c r="H1223" s="12"/>
      <c r="I1223" s="12"/>
      <c r="J1223" s="12"/>
      <c r="K1223" s="12">
        <f t="shared" si="330"/>
        <v>6500</v>
      </c>
      <c r="M1223" s="10">
        <v>2</v>
      </c>
      <c r="N1223" s="30" t="s">
        <v>109</v>
      </c>
      <c r="O1223" s="82">
        <f>O1222+1</f>
        <v>11628</v>
      </c>
      <c r="P1223" s="32">
        <f>650*2+622+9.5*3</f>
        <v>1950.5</v>
      </c>
      <c r="Q1223" s="32"/>
      <c r="R1223" s="32"/>
      <c r="S1223" s="32">
        <f t="shared" ref="S1223:S1238" si="333">SUM(P1223:Q1223)</f>
        <v>1950.5</v>
      </c>
      <c r="T1223" s="12"/>
      <c r="U1223" s="12"/>
      <c r="V1223" s="12"/>
      <c r="W1223" s="12">
        <f t="shared" ref="W1223:W1263" si="334">SUM(S1223:V1223)</f>
        <v>1950.5</v>
      </c>
      <c r="Y1223" s="10">
        <v>2</v>
      </c>
      <c r="Z1223" s="30" t="s">
        <v>109</v>
      </c>
      <c r="AA1223" s="31">
        <f>AA1222+1</f>
        <v>11585</v>
      </c>
      <c r="AB1223" s="12">
        <f>650*26+670*6+622*5+229</f>
        <v>24259</v>
      </c>
      <c r="AC1223" s="10"/>
      <c r="AD1223" s="10"/>
      <c r="AE1223" s="32">
        <f t="shared" si="331"/>
        <v>24259</v>
      </c>
      <c r="AG1223" s="10"/>
      <c r="AH1223" s="10"/>
      <c r="AI1223" s="12">
        <f t="shared" si="332"/>
        <v>24259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109</v>
      </c>
      <c r="C1224" s="82">
        <v>11651</v>
      </c>
      <c r="D1224" s="33">
        <f>650*35</f>
        <v>22750</v>
      </c>
      <c r="E1224" s="33"/>
      <c r="F1224" s="33"/>
      <c r="G1224" s="33">
        <f t="shared" si="329"/>
        <v>22750</v>
      </c>
      <c r="H1224" s="34"/>
      <c r="I1224" s="34"/>
      <c r="J1224" s="34"/>
      <c r="K1224" s="34">
        <f t="shared" si="330"/>
        <v>22750</v>
      </c>
      <c r="M1224" s="10">
        <v>3</v>
      </c>
      <c r="N1224" s="30" t="s">
        <v>109</v>
      </c>
      <c r="O1224" s="82">
        <f t="shared" ref="O1224:O1232" si="335">O1223+1</f>
        <v>11629</v>
      </c>
      <c r="P1224" s="33">
        <f>650*216+229*9+650</f>
        <v>143111</v>
      </c>
      <c r="Q1224" s="33">
        <f>-216*6</f>
        <v>-1296</v>
      </c>
      <c r="R1224" s="32"/>
      <c r="S1224" s="32">
        <f t="shared" si="333"/>
        <v>141815</v>
      </c>
      <c r="T1224" s="12"/>
      <c r="U1224" s="34">
        <f>78*9</f>
        <v>702</v>
      </c>
      <c r="V1224" s="34">
        <f>-42*10</f>
        <v>-420</v>
      </c>
      <c r="W1224" s="12">
        <f t="shared" si="334"/>
        <v>142097</v>
      </c>
      <c r="Y1224" s="10">
        <v>3</v>
      </c>
      <c r="Z1224" s="30" t="s">
        <v>109</v>
      </c>
      <c r="AA1224" s="31">
        <f t="shared" ref="AA1224:AA1231" si="336">AA1223+1</f>
        <v>11586</v>
      </c>
      <c r="AB1224" s="32">
        <f>650*16+670*2+973+622*5</f>
        <v>15823</v>
      </c>
      <c r="AC1224" s="32"/>
      <c r="AD1224" s="32"/>
      <c r="AE1224" s="32">
        <f t="shared" si="331"/>
        <v>15823</v>
      </c>
      <c r="AF1224" s="12"/>
      <c r="AG1224" s="12">
        <f>4.5*6</f>
        <v>27</v>
      </c>
      <c r="AH1224" s="12"/>
      <c r="AI1224" s="12">
        <f t="shared" si="332"/>
        <v>15850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109</v>
      </c>
      <c r="C1225" s="31">
        <f t="shared" ref="C1225:C1227" si="337">C1224+1</f>
        <v>11652</v>
      </c>
      <c r="D1225" s="32">
        <f>650*6</f>
        <v>3900</v>
      </c>
      <c r="E1225" s="32"/>
      <c r="F1225" s="32"/>
      <c r="G1225" s="32">
        <f t="shared" si="329"/>
        <v>3900</v>
      </c>
      <c r="H1225" s="12"/>
      <c r="I1225" s="12"/>
      <c r="J1225" s="12"/>
      <c r="K1225" s="12">
        <f t="shared" si="330"/>
        <v>3900</v>
      </c>
      <c r="M1225" s="10">
        <v>4</v>
      </c>
      <c r="N1225" s="30" t="s">
        <v>109</v>
      </c>
      <c r="O1225" s="82">
        <f t="shared" si="335"/>
        <v>11630</v>
      </c>
      <c r="P1225" s="32">
        <f>650*6+622*2+9.5*8</f>
        <v>5220</v>
      </c>
      <c r="Q1225" s="32"/>
      <c r="R1225" s="32"/>
      <c r="S1225" s="32">
        <f t="shared" si="333"/>
        <v>5220</v>
      </c>
      <c r="T1225" s="12"/>
      <c r="U1225" s="12"/>
      <c r="V1225" s="12">
        <f>-111*4</f>
        <v>-444</v>
      </c>
      <c r="W1225" s="12">
        <f t="shared" si="334"/>
        <v>4776</v>
      </c>
      <c r="Y1225" s="10">
        <v>4</v>
      </c>
      <c r="Z1225" s="30" t="s">
        <v>109</v>
      </c>
      <c r="AA1225" s="31">
        <f t="shared" si="336"/>
        <v>11587</v>
      </c>
      <c r="AB1225" s="33">
        <f>650*23</f>
        <v>14950</v>
      </c>
      <c r="AC1225" s="33"/>
      <c r="AD1225" s="32"/>
      <c r="AE1225" s="32">
        <f t="shared" si="331"/>
        <v>14950</v>
      </c>
      <c r="AF1225" s="12"/>
      <c r="AG1225" s="12"/>
      <c r="AH1225" s="12"/>
      <c r="AI1225" s="12">
        <f t="shared" si="332"/>
        <v>14950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109</v>
      </c>
      <c r="C1226" s="31">
        <f t="shared" si="337"/>
        <v>11653</v>
      </c>
      <c r="D1226" s="32">
        <f>650*5+670*2+973+700*2+500</f>
        <v>7463</v>
      </c>
      <c r="E1226" s="32"/>
      <c r="F1226" s="32"/>
      <c r="G1226" s="32">
        <f t="shared" si="329"/>
        <v>7463</v>
      </c>
      <c r="H1226" s="12"/>
      <c r="I1226" s="12"/>
      <c r="J1226" s="12"/>
      <c r="K1226" s="12">
        <f t="shared" si="330"/>
        <v>7463</v>
      </c>
      <c r="M1226" s="10">
        <v>5</v>
      </c>
      <c r="N1226" s="30" t="s">
        <v>109</v>
      </c>
      <c r="O1226" s="82">
        <f t="shared" si="335"/>
        <v>11631</v>
      </c>
      <c r="P1226" s="32">
        <f>650*5+9.5*5</f>
        <v>3297.5</v>
      </c>
      <c r="Q1226" s="32"/>
      <c r="R1226" s="32"/>
      <c r="S1226" s="32">
        <f t="shared" si="333"/>
        <v>3297.5</v>
      </c>
      <c r="T1226" s="12"/>
      <c r="U1226" s="12">
        <f>1.5*5</f>
        <v>7.5</v>
      </c>
      <c r="V1226" s="12"/>
      <c r="W1226" s="12">
        <f t="shared" si="334"/>
        <v>3305</v>
      </c>
      <c r="Y1226" s="10">
        <v>5</v>
      </c>
      <c r="Z1226" s="30" t="s">
        <v>109</v>
      </c>
      <c r="AA1226" s="31">
        <f t="shared" si="336"/>
        <v>11588</v>
      </c>
      <c r="AB1226" s="32">
        <f>650*80+912+1050+229*3</f>
        <v>54649</v>
      </c>
      <c r="AC1226" s="32">
        <f>-82*6</f>
        <v>-492</v>
      </c>
      <c r="AD1226" s="32"/>
      <c r="AE1226" s="32">
        <f t="shared" si="331"/>
        <v>54157</v>
      </c>
      <c r="AF1226" s="12"/>
      <c r="AG1226">
        <f>63*1.5</f>
        <v>94.5</v>
      </c>
      <c r="AH1226" s="12"/>
      <c r="AI1226" s="12">
        <f t="shared" si="332"/>
        <v>54251.5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 t="s">
        <v>109</v>
      </c>
      <c r="C1227" s="31">
        <f t="shared" si="337"/>
        <v>11654</v>
      </c>
      <c r="D1227" s="32">
        <f>670</f>
        <v>670</v>
      </c>
      <c r="E1227" s="32"/>
      <c r="F1227" s="32"/>
      <c r="G1227" s="32">
        <f t="shared" si="329"/>
        <v>670</v>
      </c>
      <c r="H1227" s="12"/>
      <c r="I1227" s="12"/>
      <c r="J1227" s="12"/>
      <c r="K1227" s="12">
        <f t="shared" si="330"/>
        <v>670</v>
      </c>
      <c r="M1227" s="10">
        <v>6</v>
      </c>
      <c r="N1227" s="30" t="s">
        <v>109</v>
      </c>
      <c r="O1227" s="82">
        <f t="shared" si="335"/>
        <v>11632</v>
      </c>
      <c r="P1227" s="32">
        <f>650*7</f>
        <v>4550</v>
      </c>
      <c r="Q1227" s="32"/>
      <c r="R1227" s="32"/>
      <c r="S1227" s="32">
        <f t="shared" si="333"/>
        <v>4550</v>
      </c>
      <c r="T1227" s="12"/>
      <c r="U1227" s="12"/>
      <c r="V1227" s="10"/>
      <c r="W1227" s="12">
        <f t="shared" si="334"/>
        <v>4550</v>
      </c>
      <c r="Y1227" s="10">
        <v>6</v>
      </c>
      <c r="Z1227" s="30" t="s">
        <v>109</v>
      </c>
      <c r="AA1227" s="31">
        <f t="shared" si="336"/>
        <v>11589</v>
      </c>
      <c r="AB1227" s="32">
        <f>622*5</f>
        <v>3110</v>
      </c>
      <c r="AC1227" s="32"/>
      <c r="AD1227" s="32"/>
      <c r="AE1227" s="32">
        <f t="shared" si="331"/>
        <v>3110</v>
      </c>
      <c r="AF1227" s="12"/>
      <c r="AG1227" s="12"/>
      <c r="AH1227" s="12"/>
      <c r="AI1227" s="12">
        <f t="shared" si="332"/>
        <v>3110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/>
      <c r="C1228" s="11" t="s">
        <v>27</v>
      </c>
      <c r="D1228" s="32"/>
      <c r="E1228" s="32"/>
      <c r="F1228" s="32"/>
      <c r="G1228" s="32">
        <f t="shared" si="329"/>
        <v>0</v>
      </c>
      <c r="H1228" s="12"/>
      <c r="I1228" s="12"/>
      <c r="J1228" s="12"/>
      <c r="K1228" s="12">
        <f t="shared" si="330"/>
        <v>0</v>
      </c>
      <c r="M1228" s="10">
        <v>7</v>
      </c>
      <c r="N1228" s="30" t="s">
        <v>109</v>
      </c>
      <c r="O1228" s="82">
        <f t="shared" si="335"/>
        <v>11633</v>
      </c>
      <c r="P1228" s="32">
        <f>650*4+622*2+9.5*6</f>
        <v>3901</v>
      </c>
      <c r="Q1228" s="32"/>
      <c r="R1228" s="32"/>
      <c r="S1228" s="32">
        <f t="shared" si="333"/>
        <v>3901</v>
      </c>
      <c r="T1228" s="12"/>
      <c r="U1228" s="12"/>
      <c r="V1228" s="12"/>
      <c r="W1228" s="12">
        <f t="shared" si="334"/>
        <v>3901</v>
      </c>
      <c r="Y1228" s="10">
        <v>7</v>
      </c>
      <c r="Z1228" s="30" t="s">
        <v>109</v>
      </c>
      <c r="AA1228" s="31">
        <f t="shared" si="336"/>
        <v>11590</v>
      </c>
      <c r="AB1228" s="32">
        <f>650*10+670+9.5*10</f>
        <v>7265</v>
      </c>
      <c r="AC1228" s="32"/>
      <c r="AD1228" s="32"/>
      <c r="AE1228" s="32">
        <f t="shared" ref="AE1228:AE1260" si="338">SUM(AB1228:AC1228)</f>
        <v>7265</v>
      </c>
      <c r="AF1228" s="12"/>
      <c r="AG1228" s="58"/>
      <c r="AH1228" s="12"/>
      <c r="AI1228" s="12">
        <f t="shared" si="332"/>
        <v>7265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/>
      <c r="C1229" s="31"/>
      <c r="D1229" s="32"/>
      <c r="E1229" s="32"/>
      <c r="F1229" s="32"/>
      <c r="G1229" s="32">
        <f t="shared" si="329"/>
        <v>0</v>
      </c>
      <c r="H1229" s="12"/>
      <c r="I1229" s="12"/>
      <c r="J1229" s="12"/>
      <c r="K1229" s="12">
        <f t="shared" si="330"/>
        <v>0</v>
      </c>
      <c r="M1229" s="10">
        <v>8</v>
      </c>
      <c r="N1229" s="30" t="s">
        <v>109</v>
      </c>
      <c r="O1229" s="82">
        <f t="shared" si="335"/>
        <v>11634</v>
      </c>
      <c r="P1229" s="32">
        <f>650*5+622*4</f>
        <v>5738</v>
      </c>
      <c r="Q1229" s="32"/>
      <c r="R1229" s="32"/>
      <c r="S1229" s="32">
        <f t="shared" si="333"/>
        <v>5738</v>
      </c>
      <c r="T1229" s="12"/>
      <c r="U1229" s="12">
        <f>4.5*14</f>
        <v>63</v>
      </c>
      <c r="V1229" s="12"/>
      <c r="W1229" s="12">
        <f t="shared" si="334"/>
        <v>5801</v>
      </c>
      <c r="Y1229" s="10">
        <v>8</v>
      </c>
      <c r="Z1229" s="30" t="s">
        <v>109</v>
      </c>
      <c r="AA1229" s="31">
        <f t="shared" si="336"/>
        <v>11591</v>
      </c>
      <c r="AB1229" s="32">
        <f>650*40+670+622*9+229</f>
        <v>32497</v>
      </c>
      <c r="AC1229" s="32">
        <f>-50*6</f>
        <v>-300</v>
      </c>
      <c r="AE1229" s="32">
        <f t="shared" si="338"/>
        <v>32197</v>
      </c>
      <c r="AF1229" s="12"/>
      <c r="AG1229" s="12"/>
      <c r="AH1229" s="12"/>
      <c r="AI1229" s="12">
        <f t="shared" si="332"/>
        <v>32197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/>
      <c r="C1230" s="31"/>
      <c r="D1230" s="32"/>
      <c r="E1230" s="32"/>
      <c r="F1230" s="32"/>
      <c r="G1230" s="32">
        <f t="shared" si="329"/>
        <v>0</v>
      </c>
      <c r="H1230" s="12"/>
      <c r="I1230" s="12"/>
      <c r="J1230" s="12"/>
      <c r="K1230" s="12">
        <f t="shared" si="330"/>
        <v>0</v>
      </c>
      <c r="M1230" s="10">
        <v>9</v>
      </c>
      <c r="N1230" s="30" t="s">
        <v>109</v>
      </c>
      <c r="O1230" s="82">
        <f t="shared" si="335"/>
        <v>11635</v>
      </c>
      <c r="P1230" s="32">
        <f>650*5</f>
        <v>3250</v>
      </c>
      <c r="Q1230" s="32"/>
      <c r="R1230" s="32"/>
      <c r="S1230" s="32">
        <f t="shared" si="333"/>
        <v>3250</v>
      </c>
      <c r="T1230" s="12"/>
      <c r="U1230" s="12"/>
      <c r="V1230" s="12"/>
      <c r="W1230" s="12">
        <f t="shared" si="334"/>
        <v>3250</v>
      </c>
      <c r="Y1230" s="10">
        <v>9</v>
      </c>
      <c r="Z1230" s="30" t="s">
        <v>109</v>
      </c>
      <c r="AA1230" s="31">
        <f t="shared" si="336"/>
        <v>11592</v>
      </c>
      <c r="AB1230" s="105">
        <f>650*17+670+622*12</f>
        <v>19184</v>
      </c>
      <c r="AC1230" s="32"/>
      <c r="AD1230" s="32"/>
      <c r="AE1230" s="32">
        <f t="shared" si="338"/>
        <v>19184</v>
      </c>
      <c r="AF1230" s="12"/>
      <c r="AG1230">
        <f>4.5*8</f>
        <v>36</v>
      </c>
      <c r="AH1230" s="12"/>
      <c r="AI1230" s="12">
        <f t="shared" si="332"/>
        <v>19220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/>
      <c r="C1231" s="31"/>
      <c r="D1231" s="32"/>
      <c r="E1231" s="32"/>
      <c r="F1231" s="32"/>
      <c r="G1231" s="32">
        <f t="shared" si="329"/>
        <v>0</v>
      </c>
      <c r="H1231" s="12"/>
      <c r="I1231" s="12"/>
      <c r="J1231" s="12"/>
      <c r="K1231" s="12">
        <f t="shared" si="330"/>
        <v>0</v>
      </c>
      <c r="M1231" s="10">
        <v>10</v>
      </c>
      <c r="N1231" s="30" t="s">
        <v>109</v>
      </c>
      <c r="O1231" s="82">
        <f t="shared" si="335"/>
        <v>11636</v>
      </c>
      <c r="P1231" s="32">
        <f>650*3+622+9.5*4</f>
        <v>2610</v>
      </c>
      <c r="Q1231" s="32"/>
      <c r="R1231" s="32"/>
      <c r="S1231" s="32">
        <f t="shared" si="333"/>
        <v>2610</v>
      </c>
      <c r="T1231" s="12"/>
      <c r="U1231" s="12"/>
      <c r="V1231" s="12"/>
      <c r="W1231" s="12">
        <f t="shared" si="334"/>
        <v>2610</v>
      </c>
      <c r="Y1231" s="10">
        <v>10</v>
      </c>
      <c r="Z1231" s="30" t="s">
        <v>109</v>
      </c>
      <c r="AA1231" s="31">
        <f t="shared" si="336"/>
        <v>11593</v>
      </c>
      <c r="AB1231" s="32">
        <f>650*9+670+622*10</f>
        <v>12740</v>
      </c>
      <c r="AC1231" s="32"/>
      <c r="AD1231" s="32"/>
      <c r="AE1231" s="32">
        <f t="shared" si="338"/>
        <v>12740</v>
      </c>
      <c r="AF1231" s="12"/>
      <c r="AG1231" s="12">
        <f>4.5*12</f>
        <v>54</v>
      </c>
      <c r="AH1231" s="12"/>
      <c r="AI1231" s="12">
        <f t="shared" si="332"/>
        <v>12794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/>
      <c r="C1232" s="31"/>
      <c r="D1232" s="32"/>
      <c r="E1232" s="32"/>
      <c r="F1232" s="32"/>
      <c r="G1232" s="32">
        <f t="shared" si="329"/>
        <v>0</v>
      </c>
      <c r="H1232" s="12"/>
      <c r="I1232" s="12"/>
      <c r="J1232" s="12"/>
      <c r="K1232" s="12">
        <f t="shared" si="330"/>
        <v>0</v>
      </c>
      <c r="M1232" s="10">
        <v>11</v>
      </c>
      <c r="N1232" s="30" t="s">
        <v>109</v>
      </c>
      <c r="O1232" s="82">
        <f t="shared" si="335"/>
        <v>11637</v>
      </c>
      <c r="P1232" s="32">
        <f>670+973</f>
        <v>1643</v>
      </c>
      <c r="Q1232" s="32"/>
      <c r="R1232" s="32"/>
      <c r="S1232" s="32">
        <f t="shared" si="333"/>
        <v>1643</v>
      </c>
      <c r="T1232" s="12"/>
      <c r="U1232" s="12"/>
      <c r="V1232" s="12"/>
      <c r="W1232" s="12">
        <f t="shared" si="334"/>
        <v>1643</v>
      </c>
      <c r="Y1232" s="10">
        <v>11</v>
      </c>
      <c r="Z1232" s="30"/>
      <c r="AA1232" s="11" t="s">
        <v>27</v>
      </c>
      <c r="AB1232" s="32"/>
      <c r="AC1232" s="32"/>
      <c r="AD1232" s="32"/>
      <c r="AE1232" s="32">
        <f t="shared" si="338"/>
        <v>0</v>
      </c>
      <c r="AF1232" s="12"/>
      <c r="AG1232" s="12"/>
      <c r="AH1232" s="12"/>
      <c r="AI1232" s="12">
        <f t="shared" si="332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/>
      <c r="C1233" s="31"/>
      <c r="D1233" s="32"/>
      <c r="E1233" s="32"/>
      <c r="F1233" s="32"/>
      <c r="G1233" s="32">
        <f t="shared" si="329"/>
        <v>0</v>
      </c>
      <c r="H1233" s="12"/>
      <c r="I1233" s="12"/>
      <c r="J1233" s="10"/>
      <c r="K1233" s="12">
        <f t="shared" si="330"/>
        <v>0</v>
      </c>
      <c r="M1233" s="10">
        <v>12</v>
      </c>
      <c r="N1233" s="30"/>
      <c r="O1233" s="11" t="s">
        <v>27</v>
      </c>
      <c r="P1233" s="32"/>
      <c r="Q1233" s="32"/>
      <c r="R1233" s="32"/>
      <c r="S1233" s="32">
        <f t="shared" si="333"/>
        <v>0</v>
      </c>
      <c r="T1233" s="12"/>
      <c r="U1233" s="12"/>
      <c r="V1233" s="12"/>
      <c r="W1233" s="12">
        <f t="shared" si="334"/>
        <v>0</v>
      </c>
      <c r="Y1233" s="10">
        <v>12</v>
      </c>
      <c r="Z1233" s="30"/>
      <c r="AA1233" s="31"/>
      <c r="AB1233" s="32"/>
      <c r="AC1233" s="32"/>
      <c r="AD1233" s="32"/>
      <c r="AE1233" s="32">
        <f t="shared" si="338"/>
        <v>0</v>
      </c>
      <c r="AF1233" s="12"/>
      <c r="AG1233" s="12"/>
      <c r="AH1233" s="12"/>
      <c r="AI1233" s="12">
        <f t="shared" si="332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31"/>
      <c r="D1234" s="32"/>
      <c r="E1234" s="32"/>
      <c r="F1234" s="32"/>
      <c r="G1234" s="32">
        <f t="shared" si="329"/>
        <v>0</v>
      </c>
      <c r="H1234" s="12"/>
      <c r="I1234" s="12"/>
      <c r="J1234" s="12"/>
      <c r="K1234" s="12">
        <f t="shared" si="330"/>
        <v>0</v>
      </c>
      <c r="M1234" s="10">
        <v>13</v>
      </c>
      <c r="N1234" s="30"/>
      <c r="O1234" s="82"/>
      <c r="P1234" s="32"/>
      <c r="Q1234" s="32"/>
      <c r="R1234" s="32"/>
      <c r="S1234" s="32">
        <f t="shared" si="333"/>
        <v>0</v>
      </c>
      <c r="T1234" s="12"/>
      <c r="U1234" s="12"/>
      <c r="V1234" s="12"/>
      <c r="W1234" s="12">
        <f t="shared" si="334"/>
        <v>0</v>
      </c>
      <c r="Y1234" s="10">
        <v>13</v>
      </c>
      <c r="Z1234" s="30"/>
      <c r="AA1234" s="31"/>
      <c r="AB1234" s="32"/>
      <c r="AC1234" s="32"/>
      <c r="AD1234" s="32"/>
      <c r="AE1234" s="32">
        <f t="shared" si="338"/>
        <v>0</v>
      </c>
      <c r="AF1234" s="12"/>
      <c r="AG1234" s="12"/>
      <c r="AH1234" s="12"/>
      <c r="AI1234" s="12">
        <f t="shared" si="332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31"/>
      <c r="D1235" s="32"/>
      <c r="E1235" s="32"/>
      <c r="F1235" s="32"/>
      <c r="G1235" s="32">
        <f t="shared" si="329"/>
        <v>0</v>
      </c>
      <c r="H1235" s="12"/>
      <c r="I1235" s="12"/>
      <c r="J1235" s="12"/>
      <c r="K1235" s="12">
        <f t="shared" si="330"/>
        <v>0</v>
      </c>
      <c r="M1235" s="10">
        <v>14</v>
      </c>
      <c r="N1235" s="30"/>
      <c r="O1235" s="82"/>
      <c r="P1235" s="32"/>
      <c r="Q1235" s="32"/>
      <c r="R1235" s="32"/>
      <c r="S1235" s="32">
        <f t="shared" si="333"/>
        <v>0</v>
      </c>
      <c r="T1235" s="12"/>
      <c r="U1235" s="12"/>
      <c r="V1235" s="12"/>
      <c r="W1235" s="12">
        <f t="shared" si="334"/>
        <v>0</v>
      </c>
      <c r="Y1235" s="10">
        <v>14</v>
      </c>
      <c r="Z1235" s="30"/>
      <c r="AA1235" s="31"/>
      <c r="AB1235" s="32"/>
      <c r="AC1235" s="32"/>
      <c r="AD1235" s="32"/>
      <c r="AE1235" s="32">
        <f t="shared" si="338"/>
        <v>0</v>
      </c>
      <c r="AF1235" s="12"/>
      <c r="AG1235" s="12"/>
      <c r="AH1235" s="12"/>
      <c r="AI1235" s="12">
        <f t="shared" si="332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31"/>
      <c r="D1236" s="32"/>
      <c r="E1236" s="32"/>
      <c r="F1236" s="32"/>
      <c r="G1236" s="32">
        <f t="shared" si="329"/>
        <v>0</v>
      </c>
      <c r="H1236" s="12"/>
      <c r="I1236" s="12"/>
      <c r="J1236" s="12"/>
      <c r="K1236" s="12">
        <f t="shared" si="330"/>
        <v>0</v>
      </c>
      <c r="M1236" s="10">
        <v>15</v>
      </c>
      <c r="N1236" s="30"/>
      <c r="O1236" s="82"/>
      <c r="P1236" s="32"/>
      <c r="Q1236" s="32"/>
      <c r="R1236" s="32"/>
      <c r="S1236" s="32">
        <f t="shared" si="333"/>
        <v>0</v>
      </c>
      <c r="T1236" s="12"/>
      <c r="U1236" s="12"/>
      <c r="V1236" s="12"/>
      <c r="W1236" s="12">
        <f t="shared" si="334"/>
        <v>0</v>
      </c>
      <c r="Y1236" s="10">
        <v>15</v>
      </c>
      <c r="Z1236" s="30"/>
      <c r="AA1236" s="31"/>
      <c r="AB1236" s="32"/>
      <c r="AC1236" s="32"/>
      <c r="AD1236" s="32"/>
      <c r="AE1236" s="32">
        <f t="shared" si="338"/>
        <v>0</v>
      </c>
      <c r="AF1236" s="12"/>
      <c r="AG1236" s="12"/>
      <c r="AH1236" s="12"/>
      <c r="AI1236" s="12">
        <f t="shared" si="332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C1237" s="31"/>
      <c r="D1237" s="32"/>
      <c r="E1237" s="32"/>
      <c r="F1237" s="32"/>
      <c r="G1237" s="32">
        <f t="shared" si="329"/>
        <v>0</v>
      </c>
      <c r="H1237" s="12"/>
      <c r="I1237" s="12"/>
      <c r="J1237" s="12"/>
      <c r="K1237" s="12">
        <f t="shared" si="330"/>
        <v>0</v>
      </c>
      <c r="M1237" s="10">
        <v>16</v>
      </c>
      <c r="N1237" s="30"/>
      <c r="O1237" s="11"/>
      <c r="P1237" s="32"/>
      <c r="Q1237" s="32"/>
      <c r="R1237" s="32"/>
      <c r="S1237" s="32">
        <f t="shared" si="333"/>
        <v>0</v>
      </c>
      <c r="T1237" s="12"/>
      <c r="U1237" s="12"/>
      <c r="V1237" s="12"/>
      <c r="W1237" s="12">
        <f t="shared" si="334"/>
        <v>0</v>
      </c>
      <c r="Y1237" s="10">
        <v>16</v>
      </c>
      <c r="Z1237" s="30"/>
      <c r="AA1237" s="11"/>
      <c r="AB1237" s="32"/>
      <c r="AC1237" s="32"/>
      <c r="AD1237" s="32"/>
      <c r="AE1237" s="32">
        <f t="shared" si="338"/>
        <v>0</v>
      </c>
      <c r="AF1237" s="12"/>
      <c r="AG1237" s="12"/>
      <c r="AH1237" s="12"/>
      <c r="AI1237" s="12">
        <f t="shared" si="332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31"/>
      <c r="D1238" s="32"/>
      <c r="E1238" s="32"/>
      <c r="F1238" s="32"/>
      <c r="G1238" s="32">
        <f t="shared" si="329"/>
        <v>0</v>
      </c>
      <c r="H1238" s="12"/>
      <c r="I1238" s="12"/>
      <c r="J1238" s="12"/>
      <c r="K1238" s="12">
        <f t="shared" si="330"/>
        <v>0</v>
      </c>
      <c r="M1238" s="10">
        <v>17</v>
      </c>
      <c r="N1238" s="30"/>
      <c r="O1238" s="82"/>
      <c r="P1238" s="35"/>
      <c r="Q1238" s="32"/>
      <c r="R1238" s="32"/>
      <c r="S1238" s="32">
        <f t="shared" si="333"/>
        <v>0</v>
      </c>
      <c r="T1238" s="12"/>
      <c r="U1238" s="12"/>
      <c r="V1238" s="12"/>
      <c r="W1238" s="12">
        <f t="shared" si="334"/>
        <v>0</v>
      </c>
      <c r="Y1238" s="10">
        <v>17</v>
      </c>
      <c r="Z1238" s="30"/>
      <c r="AA1238" s="31"/>
      <c r="AB1238" s="35"/>
      <c r="AC1238" s="32"/>
      <c r="AD1238" s="32"/>
      <c r="AE1238" s="32">
        <f t="shared" si="338"/>
        <v>0</v>
      </c>
      <c r="AF1238" s="12"/>
      <c r="AG1238" s="12"/>
      <c r="AH1238" s="12"/>
      <c r="AI1238" s="12">
        <f t="shared" si="332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31"/>
      <c r="D1239" s="32"/>
      <c r="E1239" s="32"/>
      <c r="F1239" s="32"/>
      <c r="G1239" s="32">
        <f t="shared" si="329"/>
        <v>0</v>
      </c>
      <c r="H1239" s="12"/>
      <c r="I1239" s="12"/>
      <c r="J1239" s="12"/>
      <c r="K1239" s="12">
        <f t="shared" si="330"/>
        <v>0</v>
      </c>
      <c r="M1239" s="10">
        <v>18</v>
      </c>
      <c r="N1239" s="30"/>
      <c r="O1239" s="82"/>
      <c r="P1239" s="32"/>
      <c r="Q1239" s="32"/>
      <c r="R1239" s="32"/>
      <c r="S1239" s="32"/>
      <c r="T1239" s="12"/>
      <c r="U1239" s="12"/>
      <c r="V1239" s="12"/>
      <c r="W1239" s="12">
        <f t="shared" si="334"/>
        <v>0</v>
      </c>
      <c r="Y1239" s="10">
        <v>18</v>
      </c>
      <c r="Z1239" s="30"/>
      <c r="AA1239" s="31"/>
      <c r="AB1239" s="32"/>
      <c r="AC1239" s="32"/>
      <c r="AD1239" s="32"/>
      <c r="AE1239" s="32">
        <f t="shared" si="338"/>
        <v>0</v>
      </c>
      <c r="AF1239" s="12"/>
      <c r="AG1239" s="12"/>
      <c r="AH1239" s="12"/>
      <c r="AI1239" s="12">
        <f t="shared" si="332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31"/>
      <c r="D1240" s="32"/>
      <c r="E1240" s="32"/>
      <c r="F1240" s="32"/>
      <c r="G1240" s="32">
        <f t="shared" si="329"/>
        <v>0</v>
      </c>
      <c r="H1240" s="12"/>
      <c r="I1240" s="12"/>
      <c r="J1240" s="12"/>
      <c r="K1240" s="12">
        <f t="shared" si="330"/>
        <v>0</v>
      </c>
      <c r="M1240" s="10">
        <v>19</v>
      </c>
      <c r="N1240" s="30"/>
      <c r="O1240" s="82"/>
      <c r="P1240" s="32"/>
      <c r="Q1240" s="32"/>
      <c r="R1240" s="32"/>
      <c r="S1240" s="32"/>
      <c r="T1240" s="12"/>
      <c r="U1240" s="12"/>
      <c r="V1240" s="12"/>
      <c r="W1240" s="12">
        <f t="shared" si="334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38"/>
        <v>0</v>
      </c>
      <c r="AF1240" s="12"/>
      <c r="AG1240" s="12"/>
      <c r="AH1240" s="12"/>
      <c r="AI1240" s="12">
        <f t="shared" si="332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31"/>
      <c r="D1241" s="32"/>
      <c r="E1241" s="32"/>
      <c r="F1241" s="32"/>
      <c r="G1241" s="32">
        <f t="shared" si="329"/>
        <v>0</v>
      </c>
      <c r="H1241" s="12"/>
      <c r="I1241" s="12"/>
      <c r="J1241" s="12"/>
      <c r="K1241" s="12">
        <f t="shared" si="330"/>
        <v>0</v>
      </c>
      <c r="M1241" s="10">
        <v>20</v>
      </c>
      <c r="N1241" s="30"/>
      <c r="O1241" s="82"/>
      <c r="P1241" s="32"/>
      <c r="Q1241" s="32"/>
      <c r="R1241" s="32"/>
      <c r="S1241" s="32"/>
      <c r="T1241" s="12"/>
      <c r="U1241" s="12"/>
      <c r="V1241" s="12"/>
      <c r="W1241" s="12">
        <f t="shared" si="334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338"/>
        <v>0</v>
      </c>
      <c r="AF1241" s="12"/>
      <c r="AG1241" s="12"/>
      <c r="AH1241" s="12"/>
      <c r="AI1241" s="12">
        <f t="shared" si="332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11"/>
      <c r="D1242" s="32"/>
      <c r="E1242" s="32"/>
      <c r="F1242" s="32"/>
      <c r="G1242" s="32">
        <f t="shared" si="329"/>
        <v>0</v>
      </c>
      <c r="H1242" s="10"/>
      <c r="I1242" s="10"/>
      <c r="J1242" s="10"/>
      <c r="K1242" s="12">
        <f t="shared" si="330"/>
        <v>0</v>
      </c>
      <c r="M1242" s="10">
        <v>21</v>
      </c>
      <c r="N1242" s="30"/>
      <c r="O1242" s="11"/>
      <c r="P1242" s="46"/>
      <c r="Q1242" s="31"/>
      <c r="R1242" s="31"/>
      <c r="S1242" s="32"/>
      <c r="T1242" s="10"/>
      <c r="U1242" s="10"/>
      <c r="V1242" s="10"/>
      <c r="W1242" s="12">
        <f t="shared" si="334"/>
        <v>0</v>
      </c>
      <c r="Y1242" s="10">
        <v>21</v>
      </c>
      <c r="Z1242" s="30"/>
      <c r="AA1242" s="11"/>
      <c r="AB1242" s="46"/>
      <c r="AC1242" s="31"/>
      <c r="AD1242" s="31"/>
      <c r="AE1242" s="32">
        <f t="shared" si="338"/>
        <v>0</v>
      </c>
      <c r="AF1242" s="10"/>
      <c r="AG1242" s="10"/>
      <c r="AH1242" s="10"/>
      <c r="AI1242" s="12">
        <f t="shared" si="332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31"/>
      <c r="D1243" s="32"/>
      <c r="E1243" s="32"/>
      <c r="F1243" s="32"/>
      <c r="G1243" s="32">
        <f t="shared" si="329"/>
        <v>0</v>
      </c>
      <c r="H1243" s="10"/>
      <c r="I1243" s="10"/>
      <c r="J1243" s="10"/>
      <c r="K1243" s="12">
        <f t="shared" si="330"/>
        <v>0</v>
      </c>
      <c r="M1243" s="10">
        <v>22</v>
      </c>
      <c r="N1243" s="30"/>
      <c r="O1243" s="82"/>
      <c r="P1243" s="45"/>
      <c r="Q1243" s="31"/>
      <c r="R1243" s="31"/>
      <c r="S1243" s="32"/>
      <c r="T1243" s="10"/>
      <c r="U1243" s="10"/>
      <c r="V1243" s="10"/>
      <c r="W1243" s="12">
        <f t="shared" si="334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38"/>
        <v>0</v>
      </c>
      <c r="AF1243" s="10"/>
      <c r="AG1243" s="10"/>
      <c r="AH1243" s="10"/>
      <c r="AI1243" s="12">
        <f t="shared" si="332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31"/>
      <c r="D1244" s="32"/>
      <c r="E1244" s="32"/>
      <c r="F1244" s="32"/>
      <c r="G1244" s="32">
        <f t="shared" si="329"/>
        <v>0</v>
      </c>
      <c r="H1244" s="10"/>
      <c r="I1244" s="10"/>
      <c r="J1244" s="12"/>
      <c r="K1244" s="12">
        <f t="shared" si="330"/>
        <v>0</v>
      </c>
      <c r="M1244" s="10">
        <v>23</v>
      </c>
      <c r="N1244" s="30"/>
      <c r="O1244" s="82"/>
      <c r="P1244" s="47"/>
      <c r="S1244" s="32"/>
      <c r="T1244" s="10"/>
      <c r="U1244" s="10"/>
      <c r="V1244" s="10"/>
      <c r="W1244" s="12">
        <f t="shared" si="334"/>
        <v>0</v>
      </c>
      <c r="Y1244" s="10">
        <v>23</v>
      </c>
      <c r="Z1244" s="30"/>
      <c r="AA1244" s="31"/>
      <c r="AB1244" s="47"/>
      <c r="AE1244" s="32">
        <f t="shared" si="338"/>
        <v>0</v>
      </c>
      <c r="AF1244" s="10"/>
      <c r="AG1244" s="10"/>
      <c r="AH1244" s="10"/>
      <c r="AI1244" s="12">
        <f t="shared" si="332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31"/>
      <c r="D1245" s="32"/>
      <c r="E1245" s="32"/>
      <c r="F1245" s="32"/>
      <c r="G1245" s="32">
        <f t="shared" si="329"/>
        <v>0</v>
      </c>
      <c r="H1245" s="10"/>
      <c r="I1245" s="10"/>
      <c r="J1245" s="10"/>
      <c r="K1245" s="12">
        <f t="shared" si="330"/>
        <v>0</v>
      </c>
      <c r="M1245" s="10">
        <v>24</v>
      </c>
      <c r="N1245" s="30"/>
      <c r="O1245" s="82"/>
      <c r="P1245" s="47"/>
      <c r="Q1245" s="31"/>
      <c r="R1245" s="31"/>
      <c r="S1245" s="32"/>
      <c r="T1245" s="10"/>
      <c r="U1245" s="10"/>
      <c r="V1245" s="10"/>
      <c r="W1245" s="12">
        <f t="shared" si="334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38"/>
        <v>0</v>
      </c>
      <c r="AF1245" s="10"/>
      <c r="AG1245" s="10"/>
      <c r="AH1245" s="10"/>
      <c r="AI1245" s="12">
        <f t="shared" si="332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31"/>
      <c r="D1246" s="32"/>
      <c r="E1246" s="32"/>
      <c r="F1246" s="32"/>
      <c r="G1246" s="32">
        <f t="shared" si="329"/>
        <v>0</v>
      </c>
      <c r="H1246" s="10"/>
      <c r="I1246" s="10"/>
      <c r="J1246" s="10"/>
      <c r="K1246" s="12">
        <f t="shared" si="330"/>
        <v>0</v>
      </c>
      <c r="M1246" s="10">
        <v>25</v>
      </c>
      <c r="N1246" s="30"/>
      <c r="O1246" s="82"/>
      <c r="P1246" s="47"/>
      <c r="Q1246" s="31"/>
      <c r="R1246" s="31"/>
      <c r="S1246" s="32"/>
      <c r="T1246" s="10"/>
      <c r="U1246" s="10"/>
      <c r="V1246" s="10"/>
      <c r="W1246" s="12">
        <f t="shared" si="334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338"/>
        <v>0</v>
      </c>
      <c r="AF1246" s="10"/>
      <c r="AG1246" s="10"/>
      <c r="AH1246" s="10"/>
      <c r="AI1246" s="12">
        <f t="shared" si="332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31"/>
      <c r="D1247" s="32"/>
      <c r="E1247" s="32"/>
      <c r="F1247" s="32"/>
      <c r="G1247" s="32">
        <f t="shared" si="329"/>
        <v>0</v>
      </c>
      <c r="H1247" s="10"/>
      <c r="I1247" s="10"/>
      <c r="J1247" s="10"/>
      <c r="K1247" s="12">
        <f t="shared" si="330"/>
        <v>0</v>
      </c>
      <c r="M1247" s="10">
        <v>26</v>
      </c>
      <c r="N1247" s="30"/>
      <c r="O1247" s="82"/>
      <c r="P1247" s="47"/>
      <c r="Q1247" s="31"/>
      <c r="R1247" s="31"/>
      <c r="S1247" s="32"/>
      <c r="T1247" s="10"/>
      <c r="U1247" s="10"/>
      <c r="V1247" s="10"/>
      <c r="W1247" s="12">
        <f t="shared" si="334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338"/>
        <v>0</v>
      </c>
      <c r="AF1247" s="10"/>
      <c r="AG1247" s="10"/>
      <c r="AH1247" s="10"/>
      <c r="AI1247" s="12">
        <f t="shared" si="332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31"/>
      <c r="D1248" s="32"/>
      <c r="E1248" s="32"/>
      <c r="F1248" s="32"/>
      <c r="G1248" s="32">
        <f t="shared" si="329"/>
        <v>0</v>
      </c>
      <c r="H1248" s="10"/>
      <c r="I1248" s="10"/>
      <c r="J1248" s="10"/>
      <c r="K1248" s="12">
        <f t="shared" si="330"/>
        <v>0</v>
      </c>
      <c r="M1248" s="10">
        <v>27</v>
      </c>
      <c r="N1248" s="30"/>
      <c r="O1248" s="82"/>
      <c r="P1248" s="47"/>
      <c r="Q1248" s="31"/>
      <c r="R1248" s="31"/>
      <c r="S1248" s="32"/>
      <c r="T1248" s="10"/>
      <c r="U1248" s="10"/>
      <c r="V1248" s="10"/>
      <c r="W1248" s="12">
        <f t="shared" si="334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38"/>
        <v>0</v>
      </c>
      <c r="AF1248" s="10"/>
      <c r="AG1248" s="10"/>
      <c r="AH1248" s="10"/>
      <c r="AI1248" s="12">
        <f t="shared" si="332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31"/>
      <c r="D1249" s="32"/>
      <c r="E1249" s="32"/>
      <c r="F1249" s="32"/>
      <c r="G1249" s="32">
        <f t="shared" si="329"/>
        <v>0</v>
      </c>
      <c r="H1249" s="10"/>
      <c r="I1249" s="10"/>
      <c r="J1249" s="10"/>
      <c r="K1249" s="12">
        <f t="shared" si="330"/>
        <v>0</v>
      </c>
      <c r="M1249" s="10">
        <v>28</v>
      </c>
      <c r="N1249" s="30"/>
      <c r="O1249" s="82"/>
      <c r="P1249" s="47"/>
      <c r="Q1249" s="31"/>
      <c r="R1249" s="31"/>
      <c r="S1249" s="32"/>
      <c r="T1249" s="10"/>
      <c r="U1249" s="10"/>
      <c r="V1249" s="10"/>
      <c r="W1249" s="12">
        <f t="shared" si="334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38"/>
        <v>0</v>
      </c>
      <c r="AF1249" s="10"/>
      <c r="AG1249" s="10"/>
      <c r="AH1249" s="10"/>
      <c r="AI1249" s="12">
        <f t="shared" si="332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11"/>
      <c r="D1250" s="32"/>
      <c r="E1250" s="32"/>
      <c r="F1250" s="32"/>
      <c r="G1250" s="32">
        <f t="shared" si="329"/>
        <v>0</v>
      </c>
      <c r="H1250" s="10"/>
      <c r="I1250" s="10"/>
      <c r="J1250" s="10"/>
      <c r="K1250" s="12">
        <f t="shared" si="330"/>
        <v>0</v>
      </c>
      <c r="M1250" s="10">
        <v>29</v>
      </c>
      <c r="N1250" s="30"/>
      <c r="O1250" s="82"/>
      <c r="P1250" s="47"/>
      <c r="Q1250" s="31"/>
      <c r="R1250" s="31"/>
      <c r="S1250" s="32"/>
      <c r="T1250" s="10"/>
      <c r="U1250" s="10"/>
      <c r="V1250" s="10"/>
      <c r="W1250" s="12">
        <f t="shared" si="334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38"/>
        <v>0</v>
      </c>
      <c r="AF1250" s="10"/>
      <c r="AG1250" s="10"/>
      <c r="AH1250" s="10"/>
      <c r="AI1250" s="12">
        <f t="shared" si="332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82"/>
      <c r="D1251" s="32"/>
      <c r="E1251" s="32"/>
      <c r="F1251" s="32"/>
      <c r="G1251" s="32">
        <f t="shared" si="329"/>
        <v>0</v>
      </c>
      <c r="H1251" s="10"/>
      <c r="I1251" s="10"/>
      <c r="J1251" s="10"/>
      <c r="K1251" s="12">
        <f t="shared" si="330"/>
        <v>0</v>
      </c>
      <c r="M1251" s="10">
        <v>30</v>
      </c>
      <c r="N1251" s="30"/>
      <c r="O1251" s="82"/>
      <c r="P1251" s="47"/>
      <c r="Q1251" s="31"/>
      <c r="R1251" s="31"/>
      <c r="S1251" s="32"/>
      <c r="T1251" s="10"/>
      <c r="U1251" s="10"/>
      <c r="V1251" s="10"/>
      <c r="W1251" s="12">
        <f t="shared" si="334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38"/>
        <v>0</v>
      </c>
      <c r="AF1251" s="10"/>
      <c r="AG1251" s="10"/>
      <c r="AH1251" s="10"/>
      <c r="AI1251" s="12">
        <f t="shared" si="332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82"/>
      <c r="D1252" s="32"/>
      <c r="E1252" s="32"/>
      <c r="F1252" s="32"/>
      <c r="G1252" s="32">
        <f t="shared" si="329"/>
        <v>0</v>
      </c>
      <c r="H1252" s="10"/>
      <c r="I1252" s="10"/>
      <c r="J1252" s="10"/>
      <c r="K1252" s="12">
        <f t="shared" si="330"/>
        <v>0</v>
      </c>
      <c r="M1252" s="10">
        <v>31</v>
      </c>
      <c r="N1252" s="30"/>
      <c r="O1252" s="11"/>
      <c r="P1252" s="47"/>
      <c r="Q1252" s="31"/>
      <c r="R1252" s="31"/>
      <c r="S1252" s="32">
        <f t="shared" ref="S1252:S1260" si="339">SUM(P1252:Q1252)</f>
        <v>0</v>
      </c>
      <c r="T1252" s="10"/>
      <c r="U1252" s="10"/>
      <c r="V1252" s="10"/>
      <c r="W1252" s="12">
        <f t="shared" si="334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38"/>
        <v>0</v>
      </c>
      <c r="AF1252" s="10"/>
      <c r="AG1252" s="10"/>
      <c r="AH1252" s="10"/>
      <c r="AI1252" s="12">
        <f t="shared" si="332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82"/>
      <c r="D1253" s="32"/>
      <c r="E1253" s="32"/>
      <c r="F1253" s="32"/>
      <c r="G1253" s="32">
        <f t="shared" si="329"/>
        <v>0</v>
      </c>
      <c r="H1253" s="10"/>
      <c r="I1253" s="10"/>
      <c r="J1253" s="10"/>
      <c r="K1253" s="12">
        <f t="shared" si="330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39"/>
        <v>0</v>
      </c>
      <c r="T1253" s="10"/>
      <c r="U1253" s="10"/>
      <c r="V1253" s="10"/>
      <c r="W1253" s="12">
        <f t="shared" si="334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38"/>
        <v>0</v>
      </c>
      <c r="AF1253" s="10"/>
      <c r="AG1253" s="10"/>
      <c r="AH1253" s="10"/>
      <c r="AI1253" s="12">
        <f t="shared" si="332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2"/>
      <c r="D1254" s="32"/>
      <c r="E1254" s="32"/>
      <c r="F1254" s="32"/>
      <c r="G1254" s="32">
        <f t="shared" si="329"/>
        <v>0</v>
      </c>
      <c r="H1254" s="10"/>
      <c r="I1254" s="10"/>
      <c r="J1254" s="10"/>
      <c r="K1254" s="12">
        <f t="shared" si="330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39"/>
        <v>0</v>
      </c>
      <c r="T1254" s="10"/>
      <c r="U1254" s="10"/>
      <c r="V1254" s="10"/>
      <c r="W1254" s="12">
        <f t="shared" si="334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38"/>
        <v>0</v>
      </c>
      <c r="AF1254" s="10"/>
      <c r="AG1254" s="10"/>
      <c r="AH1254" s="10"/>
      <c r="AI1254" s="12">
        <f t="shared" si="332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2"/>
      <c r="D1255" s="32"/>
      <c r="E1255" s="32"/>
      <c r="F1255" s="32"/>
      <c r="G1255" s="32">
        <f t="shared" si="329"/>
        <v>0</v>
      </c>
      <c r="H1255" s="10"/>
      <c r="I1255" s="10"/>
      <c r="J1255" s="10"/>
      <c r="K1255" s="12">
        <f t="shared" si="330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39"/>
        <v>0</v>
      </c>
      <c r="T1255" s="10"/>
      <c r="U1255" s="10"/>
      <c r="V1255" s="10"/>
      <c r="W1255" s="12">
        <f t="shared" si="334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si="338"/>
        <v>0</v>
      </c>
      <c r="AF1255" s="10"/>
      <c r="AG1255" s="10"/>
      <c r="AH1255" s="10"/>
      <c r="AI1255" s="12">
        <f t="shared" si="332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39"/>
        <v>0</v>
      </c>
      <c r="T1256" s="10"/>
      <c r="U1256" s="10"/>
      <c r="V1256" s="10"/>
      <c r="W1256" s="12">
        <f t="shared" si="334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38"/>
        <v>0</v>
      </c>
      <c r="AF1256" s="10"/>
      <c r="AG1256" s="10"/>
      <c r="AH1256" s="10"/>
      <c r="AI1256" s="12">
        <f t="shared" si="332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39"/>
        <v>0</v>
      </c>
      <c r="T1257" s="10"/>
      <c r="U1257" s="10"/>
      <c r="V1257" s="10"/>
      <c r="W1257" s="12">
        <f t="shared" si="334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38"/>
        <v>0</v>
      </c>
      <c r="AF1257" s="10"/>
      <c r="AG1257" s="10"/>
      <c r="AH1257" s="10"/>
      <c r="AI1257" s="12">
        <f t="shared" si="332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39"/>
        <v>0</v>
      </c>
      <c r="T1258" s="10"/>
      <c r="U1258" s="10"/>
      <c r="V1258" s="10"/>
      <c r="W1258" s="12">
        <f t="shared" si="334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38"/>
        <v>0</v>
      </c>
      <c r="AF1258" s="10"/>
      <c r="AG1258" s="10"/>
      <c r="AH1258" s="10"/>
      <c r="AI1258" s="12">
        <f t="shared" si="332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39"/>
        <v>0</v>
      </c>
      <c r="T1259" s="10"/>
      <c r="U1259" s="10"/>
      <c r="V1259" s="10"/>
      <c r="W1259" s="12">
        <f t="shared" si="334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38"/>
        <v>0</v>
      </c>
      <c r="AF1259" s="10"/>
      <c r="AG1259" s="10"/>
      <c r="AH1259" s="10"/>
      <c r="AI1259" s="12">
        <f t="shared" si="332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39"/>
        <v>0</v>
      </c>
      <c r="T1260" s="10"/>
      <c r="U1260" s="10"/>
      <c r="V1260" s="10"/>
      <c r="W1260" s="12">
        <f t="shared" si="334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38"/>
        <v>0</v>
      </c>
      <c r="AF1260" s="10"/>
      <c r="AG1260" s="10"/>
      <c r="AH1260" s="10"/>
      <c r="AI1260" s="12">
        <f t="shared" si="332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34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32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40">SUM(D1262:E1262)</f>
        <v>0</v>
      </c>
      <c r="H1262" s="10"/>
      <c r="I1262" s="10"/>
      <c r="J1262" s="10"/>
      <c r="K1262" s="12">
        <f t="shared" ref="K1262" si="341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42">SUM(P1262:Q1262)</f>
        <v>0</v>
      </c>
      <c r="T1262" s="10"/>
      <c r="U1262" s="10"/>
      <c r="V1262" s="10"/>
      <c r="W1262" s="12">
        <f t="shared" si="334"/>
        <v>0</v>
      </c>
      <c r="Y1262" s="10"/>
      <c r="Z1262" s="30"/>
      <c r="AA1262" s="31"/>
      <c r="AB1262" s="47"/>
      <c r="AC1262" s="31"/>
      <c r="AD1262" s="31"/>
      <c r="AE1262" s="32">
        <f t="shared" ref="AE1262" si="343">SUM(AB1262:AC1262)</f>
        <v>0</v>
      </c>
      <c r="AF1262" s="10"/>
      <c r="AG1262" s="10"/>
      <c r="AH1262" s="10"/>
      <c r="AI1262" s="12">
        <f t="shared" si="332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34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32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227183</v>
      </c>
      <c r="E1265" s="38">
        <f t="shared" ref="E1265:F1265" si="344">SUM(E1222:E1262)</f>
        <v>0</v>
      </c>
      <c r="F1265" s="38">
        <f t="shared" si="344"/>
        <v>0</v>
      </c>
      <c r="G1265" s="38">
        <f>SUM(G1222:G1264)</f>
        <v>227183</v>
      </c>
      <c r="H1265" s="4"/>
      <c r="I1265" s="39">
        <f>SUM(I1222:I1264)</f>
        <v>17841</v>
      </c>
      <c r="J1265" s="39">
        <f>SUM(J1222:J1264)</f>
        <v>0</v>
      </c>
      <c r="K1265" s="40">
        <f>SUM(K1222:K1264)</f>
        <v>245024</v>
      </c>
      <c r="N1265" s="57"/>
      <c r="O1265" s="57"/>
      <c r="P1265" s="38">
        <f>SUM(P1222:P1264)</f>
        <v>185711</v>
      </c>
      <c r="Q1265" s="38">
        <f>SUM(Q1222:Q1246)</f>
        <v>-1296</v>
      </c>
      <c r="R1265" s="38">
        <f>SUM(R1222:R1246)</f>
        <v>0</v>
      </c>
      <c r="S1265" s="38">
        <f>SUM(S1222:S1264)</f>
        <v>184415</v>
      </c>
      <c r="T1265" s="4"/>
      <c r="U1265" s="41">
        <f>SUM(U1222:U1264)</f>
        <v>772.5</v>
      </c>
      <c r="V1265" s="41">
        <f>SUM(V1222:V1246)</f>
        <v>-864</v>
      </c>
      <c r="W1265" s="42">
        <f>SUM(W1222:W1264)</f>
        <v>184323.5</v>
      </c>
      <c r="Z1265" s="57"/>
      <c r="AA1265" s="57"/>
      <c r="AB1265" s="38">
        <f>SUM(AB1222:AB1264)</f>
        <v>189084</v>
      </c>
      <c r="AC1265" s="38">
        <f>SUM(AC1222:AC1246)</f>
        <v>-792</v>
      </c>
      <c r="AD1265" s="38">
        <f>SUM(AD1222:AD1246)</f>
        <v>0</v>
      </c>
      <c r="AE1265" s="38">
        <f>SUM(AE1222:AE1264)</f>
        <v>188292</v>
      </c>
      <c r="AF1265" s="4"/>
      <c r="AG1265" s="41">
        <f>SUM(AG1222:AG1264)</f>
        <v>211.5</v>
      </c>
      <c r="AH1265" s="41">
        <f>SUM(AH1222:AH1246)</f>
        <v>0</v>
      </c>
      <c r="AI1265" s="42">
        <f>SUM(AI1222:AI1264)</f>
        <v>188503.5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5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5"/>
      <c r="P1267" s="69"/>
      <c r="Q1267" s="85"/>
      <c r="R1267" s="85"/>
      <c r="S1267" s="60"/>
      <c r="T1267" s="62"/>
      <c r="U1267" s="62"/>
      <c r="V1267" s="62"/>
      <c r="W1267" s="61"/>
      <c r="X1267" s="62"/>
      <c r="Y1267" s="62"/>
      <c r="Z1267" s="66"/>
      <c r="AA1267" s="85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5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X1269" s="62"/>
      <c r="Y1269" s="62"/>
      <c r="Z1269" s="66"/>
      <c r="AA1269" s="85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5"/>
      <c r="O1270" s="85"/>
      <c r="P1270" s="85"/>
      <c r="Q1270" s="85"/>
      <c r="R1270" s="85"/>
      <c r="S1270" s="85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5"/>
      <c r="C1271" s="85"/>
      <c r="D1271" s="85"/>
      <c r="E1271" s="85"/>
      <c r="F1271" s="85"/>
      <c r="G1271" s="85"/>
      <c r="H1271" s="62"/>
      <c r="I1271" s="62"/>
      <c r="J1271" s="62"/>
      <c r="K1271" s="62"/>
      <c r="L1271" s="62"/>
      <c r="M1271" s="62"/>
      <c r="N1271" s="85"/>
      <c r="O1271" s="85"/>
      <c r="P1271" s="85"/>
      <c r="Q1271" s="85"/>
      <c r="R1271" s="85"/>
      <c r="S1271" s="85"/>
      <c r="T1271" s="62"/>
      <c r="U1271" s="62"/>
      <c r="V1271" s="62"/>
      <c r="W1271" s="62"/>
      <c r="X1271" s="62"/>
      <c r="Y1271" s="62"/>
      <c r="Z1271" s="85"/>
      <c r="AA1271" s="85"/>
      <c r="AB1271" s="85"/>
      <c r="AC1271" s="85"/>
      <c r="AD1271" s="85"/>
      <c r="AE1271" s="85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5"/>
      <c r="C1272" s="85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5"/>
      <c r="O1272" s="85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5"/>
      <c r="AA1272" s="85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85"/>
      <c r="E1274" s="85"/>
      <c r="F1274" s="85"/>
      <c r="G1274" s="85"/>
      <c r="H1274" s="62"/>
      <c r="I1274" s="62"/>
      <c r="J1274" s="62"/>
      <c r="K1274" s="62"/>
      <c r="L1274" s="62"/>
      <c r="M1274" s="62"/>
      <c r="N1274" s="85"/>
      <c r="O1274" s="85"/>
      <c r="P1274" s="85"/>
      <c r="Q1274" s="85"/>
      <c r="R1274" s="85"/>
      <c r="S1274" s="85"/>
      <c r="T1274" s="62"/>
      <c r="U1274" s="62"/>
      <c r="V1274" s="62"/>
      <c r="W1274" s="62"/>
      <c r="X1274" s="62"/>
      <c r="Y1274" s="62"/>
      <c r="Z1274" s="85"/>
      <c r="AA1274" s="85"/>
      <c r="AB1274" s="85"/>
      <c r="AC1274" s="85"/>
      <c r="AD1274" s="85"/>
      <c r="AE1274" s="85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5"/>
      <c r="C1275" s="85"/>
      <c r="D1275" s="85"/>
      <c r="E1275" s="85"/>
      <c r="F1275" s="85"/>
      <c r="G1275" s="85"/>
      <c r="H1275" s="62"/>
      <c r="I1275" s="62"/>
      <c r="J1275" s="62"/>
      <c r="K1275" s="62"/>
      <c r="L1275" s="62"/>
      <c r="M1275" s="62"/>
      <c r="N1275" s="85"/>
      <c r="O1275" s="85"/>
      <c r="P1275" s="85"/>
      <c r="Q1275" s="85"/>
      <c r="R1275" s="85"/>
      <c r="S1275" s="85"/>
      <c r="T1275" s="62"/>
      <c r="U1275" s="62"/>
      <c r="V1275" s="62"/>
      <c r="W1275" s="62"/>
      <c r="X1275" s="62"/>
      <c r="Y1275" s="62"/>
      <c r="Z1275" s="85"/>
      <c r="AA1275" s="85"/>
      <c r="AB1275" s="85"/>
      <c r="AC1275" s="85"/>
      <c r="AD1275" s="85"/>
      <c r="AE1275" s="85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3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3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5"/>
      <c r="C1277" s="85"/>
      <c r="D1277" s="85"/>
      <c r="E1277" s="85"/>
      <c r="F1277" s="85"/>
      <c r="G1277" s="85"/>
      <c r="H1277" s="62"/>
      <c r="I1277" s="62"/>
      <c r="J1277" s="62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5"/>
      <c r="C1278" s="85"/>
      <c r="D1278" s="85"/>
      <c r="E1278" s="85"/>
      <c r="F1278" s="85"/>
      <c r="G1278" s="85"/>
      <c r="H1278" s="62"/>
      <c r="I1278" s="85"/>
      <c r="J1278" s="73"/>
      <c r="K1278" s="62"/>
      <c r="L1278" s="62"/>
      <c r="M1278" s="62"/>
      <c r="N1278" s="85"/>
      <c r="O1278" s="85"/>
      <c r="P1278" s="85"/>
      <c r="Q1278" s="85"/>
      <c r="R1278" s="85"/>
      <c r="S1278" s="85"/>
      <c r="T1278" s="62"/>
      <c r="U1278" s="85"/>
      <c r="V1278" s="73"/>
      <c r="W1278" s="62"/>
      <c r="X1278" s="62"/>
      <c r="Y1278" s="62"/>
      <c r="Z1278" s="85"/>
      <c r="AA1278" s="85"/>
      <c r="AB1278" s="85"/>
      <c r="AC1278" s="85"/>
      <c r="AD1278" s="85"/>
      <c r="AE1278" s="85"/>
      <c r="AF1278" s="62"/>
      <c r="AG1278" s="85"/>
      <c r="AH1278" s="85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5"/>
      <c r="C1279" s="85"/>
      <c r="D1279" s="85"/>
      <c r="E1279" s="85"/>
      <c r="F1279" s="85"/>
      <c r="G1279" s="85"/>
      <c r="H1279" s="62"/>
      <c r="I1279" s="65"/>
      <c r="J1279" s="65"/>
      <c r="K1279" s="62"/>
      <c r="L1279" s="62"/>
      <c r="M1279" s="64"/>
      <c r="N1279" s="85"/>
      <c r="O1279" s="85"/>
      <c r="P1279" s="85"/>
      <c r="Q1279" s="85"/>
      <c r="R1279" s="85"/>
      <c r="S1279" s="85"/>
      <c r="T1279" s="62"/>
      <c r="U1279" s="65"/>
      <c r="V1279" s="65"/>
      <c r="W1279" s="62"/>
      <c r="X1279" s="62"/>
      <c r="Y1279" s="64"/>
      <c r="Z1279" s="85"/>
      <c r="AA1279" s="85"/>
      <c r="AB1279" s="85"/>
      <c r="AC1279" s="85"/>
      <c r="AD1279" s="85"/>
      <c r="AE1279" s="85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5"/>
      <c r="C1280" s="85"/>
      <c r="D1280" s="85"/>
      <c r="E1280" s="85"/>
      <c r="F1280" s="85"/>
      <c r="G1280" s="85"/>
      <c r="H1280" s="62"/>
      <c r="I1280" s="62"/>
      <c r="J1280" s="62"/>
      <c r="K1280" s="62"/>
      <c r="L1280" s="62"/>
      <c r="M1280" s="62"/>
      <c r="N1280" s="85"/>
      <c r="O1280" s="85"/>
      <c r="P1280" s="85"/>
      <c r="Q1280" s="85"/>
      <c r="R1280" s="85"/>
      <c r="S1280" s="85"/>
      <c r="T1280" s="62"/>
      <c r="U1280" s="62"/>
      <c r="V1280" s="62"/>
      <c r="W1280" s="62"/>
      <c r="X1280" s="62"/>
      <c r="Y1280" s="62"/>
      <c r="Z1280" s="85"/>
      <c r="AA1280" s="85"/>
      <c r="AB1280" s="85"/>
      <c r="AC1280" s="85"/>
      <c r="AD1280" s="85"/>
      <c r="AE1280" s="85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5"/>
      <c r="D1281" s="126"/>
      <c r="E1281" s="126"/>
      <c r="F1281" s="85"/>
      <c r="G1281" s="85"/>
      <c r="H1281" s="62"/>
      <c r="I1281" s="126"/>
      <c r="J1281" s="126"/>
      <c r="K1281" s="125"/>
      <c r="L1281" s="62"/>
      <c r="M1281" s="62"/>
      <c r="N1281" s="65"/>
      <c r="O1281" s="85"/>
      <c r="P1281" s="126"/>
      <c r="Q1281" s="126"/>
      <c r="R1281" s="85"/>
      <c r="S1281" s="85"/>
      <c r="T1281" s="62"/>
      <c r="U1281" s="126"/>
      <c r="V1281" s="126"/>
      <c r="W1281" s="125"/>
      <c r="X1281" s="62"/>
      <c r="Y1281" s="62"/>
      <c r="Z1281" s="65"/>
      <c r="AA1281" s="85"/>
      <c r="AB1281" s="126"/>
      <c r="AC1281" s="126"/>
      <c r="AD1281" s="85"/>
      <c r="AE1281" s="85"/>
      <c r="AF1281" s="62"/>
      <c r="AG1281" s="126"/>
      <c r="AH1281" s="126"/>
      <c r="AI1281" s="125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5"/>
      <c r="C1282" s="85"/>
      <c r="D1282" s="85"/>
      <c r="E1282" s="84"/>
      <c r="F1282" s="84"/>
      <c r="G1282" s="84"/>
      <c r="H1282" s="62"/>
      <c r="I1282" s="84"/>
      <c r="J1282" s="84"/>
      <c r="K1282" s="125"/>
      <c r="L1282" s="62"/>
      <c r="M1282" s="62"/>
      <c r="N1282" s="85"/>
      <c r="O1282" s="85"/>
      <c r="P1282" s="85"/>
      <c r="Q1282" s="84"/>
      <c r="R1282" s="84"/>
      <c r="S1282" s="84"/>
      <c r="T1282" s="62"/>
      <c r="U1282" s="84"/>
      <c r="V1282" s="84"/>
      <c r="W1282" s="125"/>
      <c r="X1282" s="62"/>
      <c r="Y1282" s="62"/>
      <c r="Z1282" s="85"/>
      <c r="AA1282" s="85"/>
      <c r="AB1282" s="85"/>
      <c r="AC1282" s="84"/>
      <c r="AD1282" s="84"/>
      <c r="AE1282" s="84"/>
      <c r="AF1282" s="62"/>
      <c r="AG1282" s="84"/>
      <c r="AH1282" s="84"/>
      <c r="AI1282" s="125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5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5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5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5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5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5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5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5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85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85"/>
      <c r="F1296" s="85"/>
      <c r="G1296" s="60"/>
      <c r="H1296" s="61"/>
      <c r="I1296" s="61"/>
      <c r="J1296" s="62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5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85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5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5"/>
      <c r="P1303" s="67"/>
      <c r="Q1303" s="85"/>
      <c r="R1303" s="85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5"/>
      <c r="AD1303" s="85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5"/>
      <c r="P1304" s="68"/>
      <c r="Q1304" s="85"/>
      <c r="R1304" s="85"/>
      <c r="S1304" s="60"/>
      <c r="T1304" s="62"/>
      <c r="U1304" s="62"/>
      <c r="V1304" s="62"/>
      <c r="W1304" s="61"/>
      <c r="X1304" s="62"/>
      <c r="Y1304" s="62"/>
      <c r="Z1304" s="66"/>
      <c r="AA1304" s="85"/>
      <c r="AB1304" s="68"/>
      <c r="AC1304" s="85"/>
      <c r="AD1304" s="85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5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9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9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5"/>
      <c r="P1307" s="69"/>
      <c r="Q1307" s="85"/>
      <c r="R1307" s="85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85"/>
      <c r="AD1307" s="85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85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85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5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85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5"/>
      <c r="O1324" s="85"/>
      <c r="P1324" s="85"/>
      <c r="Q1324" s="85"/>
      <c r="R1324" s="85"/>
      <c r="S1324" s="85"/>
      <c r="T1324" s="62"/>
      <c r="U1324" s="62"/>
      <c r="V1324" s="62"/>
      <c r="W1324" s="61"/>
      <c r="X1324" s="62"/>
      <c r="Y1324" s="62"/>
      <c r="Z1324" s="85"/>
      <c r="AA1324" s="85"/>
      <c r="AB1324" s="85"/>
      <c r="AC1324" s="85"/>
      <c r="AD1324" s="85"/>
      <c r="AE1324" s="85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5"/>
      <c r="C1325" s="85"/>
      <c r="D1325" s="85"/>
      <c r="E1325" s="85"/>
      <c r="F1325" s="85"/>
      <c r="G1325" s="85"/>
      <c r="H1325" s="62"/>
      <c r="I1325" s="62"/>
      <c r="J1325" s="62"/>
      <c r="K1325" s="62"/>
      <c r="L1325" s="62"/>
      <c r="M1325" s="62"/>
      <c r="N1325" s="85"/>
      <c r="O1325" s="85"/>
      <c r="P1325" s="85"/>
      <c r="Q1325" s="85"/>
      <c r="R1325" s="85"/>
      <c r="S1325" s="85"/>
      <c r="T1325" s="62"/>
      <c r="U1325" s="62"/>
      <c r="V1325" s="62"/>
      <c r="W1325" s="62"/>
      <c r="X1325" s="62"/>
      <c r="Y1325" s="62"/>
      <c r="Z1325" s="85"/>
      <c r="AA1325" s="85"/>
      <c r="AB1325" s="85"/>
      <c r="AC1325" s="85"/>
      <c r="AD1325" s="85"/>
      <c r="AE1325" s="85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5"/>
      <c r="C1326" s="85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5"/>
      <c r="O1326" s="85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5"/>
      <c r="AA1326" s="85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85"/>
      <c r="E1328" s="85"/>
      <c r="F1328" s="85"/>
      <c r="G1328" s="85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5"/>
      <c r="C1329" s="85"/>
      <c r="D1329" s="85"/>
      <c r="E1329" s="85"/>
      <c r="F1329" s="85"/>
      <c r="G1329" s="85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K1220:K1221"/>
    <mergeCell ref="I1220:J1220"/>
    <mergeCell ref="D1220:E1220"/>
    <mergeCell ref="W1220:W1221"/>
    <mergeCell ref="U1220:V1220"/>
    <mergeCell ref="P1220:Q1220"/>
    <mergeCell ref="AI1220:AI1221"/>
    <mergeCell ref="AG1220:AH1220"/>
    <mergeCell ref="AB1220:AC1220"/>
    <mergeCell ref="K1165:K1166"/>
    <mergeCell ref="I1165:J1165"/>
    <mergeCell ref="D1165:E1165"/>
    <mergeCell ref="W1165:W1166"/>
    <mergeCell ref="U1165:V1165"/>
    <mergeCell ref="P1165:Q1165"/>
    <mergeCell ref="AI1165:AI1166"/>
    <mergeCell ref="AG1165:AH1165"/>
    <mergeCell ref="AB1165:AC1165"/>
    <mergeCell ref="AI615:AI616"/>
    <mergeCell ref="AG615:AH615"/>
    <mergeCell ref="AB615:AC615"/>
    <mergeCell ref="AI505:AI506"/>
    <mergeCell ref="AG505:AH505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D450:E450"/>
    <mergeCell ref="K670:K671"/>
    <mergeCell ref="I670:J670"/>
    <mergeCell ref="I615:J615"/>
    <mergeCell ref="D615:E615"/>
    <mergeCell ref="P615:Q615"/>
    <mergeCell ref="D505:E505"/>
    <mergeCell ref="W725:W726"/>
    <mergeCell ref="U725:V725"/>
    <mergeCell ref="AI1110:AI1111"/>
    <mergeCell ref="AG1110:AH1110"/>
    <mergeCell ref="AB1110:AC1110"/>
    <mergeCell ref="D1055:E1055"/>
    <mergeCell ref="I1055:J1055"/>
    <mergeCell ref="K1055:K1056"/>
    <mergeCell ref="P1055:Q1055"/>
    <mergeCell ref="U1055:V1055"/>
    <mergeCell ref="W1055:W1056"/>
    <mergeCell ref="AI1055:AI1056"/>
    <mergeCell ref="AG1055:AH1055"/>
    <mergeCell ref="AB1055:AC1055"/>
    <mergeCell ref="K1110:K1111"/>
    <mergeCell ref="I1110:J1110"/>
    <mergeCell ref="D1110:E1110"/>
    <mergeCell ref="W1110:W1111"/>
    <mergeCell ref="U1110:V1110"/>
    <mergeCell ref="P1110:Q1110"/>
    <mergeCell ref="AI1281:AI1282"/>
    <mergeCell ref="AG1281:AH1281"/>
    <mergeCell ref="AB1281:AC1281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K615:K616"/>
    <mergeCell ref="I505:J505"/>
    <mergeCell ref="K505:K506"/>
    <mergeCell ref="P505:Q505"/>
    <mergeCell ref="U505:V505"/>
    <mergeCell ref="W615:W616"/>
    <mergeCell ref="U615:V615"/>
    <mergeCell ref="W340:W341"/>
    <mergeCell ref="I340:J340"/>
    <mergeCell ref="K340:K341"/>
    <mergeCell ref="P285:Q285"/>
    <mergeCell ref="I285:J285"/>
    <mergeCell ref="P725:Q725"/>
    <mergeCell ref="K998:K999"/>
    <mergeCell ref="I998:J998"/>
    <mergeCell ref="D998:E998"/>
    <mergeCell ref="I450:J450"/>
    <mergeCell ref="AB175:AC175"/>
    <mergeCell ref="W175:W176"/>
    <mergeCell ref="U175:V175"/>
    <mergeCell ref="P175:Q175"/>
    <mergeCell ref="K175:K176"/>
    <mergeCell ref="I175:J175"/>
    <mergeCell ref="D175:E175"/>
    <mergeCell ref="AB505:AC505"/>
    <mergeCell ref="K450:K451"/>
    <mergeCell ref="AB560:AC560"/>
    <mergeCell ref="D835:E835"/>
    <mergeCell ref="I835:J835"/>
    <mergeCell ref="K835:K836"/>
    <mergeCell ref="P835:Q835"/>
    <mergeCell ref="U835:V835"/>
    <mergeCell ref="W835:W836"/>
    <mergeCell ref="AB835:AC835"/>
    <mergeCell ref="D395:E395"/>
    <mergeCell ref="D340:E340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AI725:AI726"/>
    <mergeCell ref="AG725:AH725"/>
    <mergeCell ref="AB725:AC725"/>
    <mergeCell ref="AG835:AH835"/>
    <mergeCell ref="AI835:AI836"/>
    <mergeCell ref="AU943:AU944"/>
    <mergeCell ref="AS943:AT943"/>
    <mergeCell ref="AN943:AO943"/>
    <mergeCell ref="W998:W999"/>
    <mergeCell ref="U998:V998"/>
    <mergeCell ref="P998:Q998"/>
    <mergeCell ref="AI1000:AI1001"/>
    <mergeCell ref="AG1000:AH1000"/>
    <mergeCell ref="AB1000:AC100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2026-07-31T02:58:32Z</dcterms:modified>
</cp:coreProperties>
</file>