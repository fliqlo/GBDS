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8818621-0ED4-4241-9710-CE281A907333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91" i="2" l="1"/>
  <c r="AB790" i="2"/>
  <c r="AG789" i="2"/>
  <c r="AB789" i="2"/>
  <c r="AG788" i="2"/>
  <c r="AB788" i="2"/>
  <c r="AE788" i="2" s="1"/>
  <c r="AI788" i="2" s="1"/>
  <c r="AB787" i="2"/>
  <c r="AE787" i="2" s="1"/>
  <c r="AI787" i="2" s="1"/>
  <c r="AB786" i="2"/>
  <c r="AE786" i="2" s="1"/>
  <c r="AI786" i="2" s="1"/>
  <c r="AB785" i="2"/>
  <c r="AE785" i="2" s="1"/>
  <c r="AI785" i="2" s="1"/>
  <c r="AB784" i="2"/>
  <c r="AG783" i="2"/>
  <c r="AC783" i="2"/>
  <c r="AB783" i="2"/>
  <c r="AH782" i="2"/>
  <c r="AH825" i="2"/>
  <c r="AB782" i="2"/>
  <c r="AA788" i="2"/>
  <c r="AA789" i="2" s="1"/>
  <c r="AA790" i="2" s="1"/>
  <c r="AA791" i="2" s="1"/>
  <c r="AC825" i="2"/>
  <c r="AA783" i="2"/>
  <c r="AA784" i="2" s="1"/>
  <c r="AA785" i="2" s="1"/>
  <c r="AA786" i="2" s="1"/>
  <c r="AA787" i="2" s="1"/>
  <c r="AE783" i="2"/>
  <c r="AI783" i="2" s="1"/>
  <c r="AE784" i="2"/>
  <c r="AI784" i="2"/>
  <c r="AE789" i="2"/>
  <c r="AI789" i="2" s="1"/>
  <c r="AE790" i="2"/>
  <c r="AI790" i="2" s="1"/>
  <c r="AE791" i="2"/>
  <c r="AI791" i="2" s="1"/>
  <c r="AE792" i="2"/>
  <c r="AI792" i="2" s="1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 s="1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 s="1"/>
  <c r="AE814" i="2"/>
  <c r="AI814" i="2" s="1"/>
  <c r="AE815" i="2"/>
  <c r="AI815" i="2" s="1"/>
  <c r="AE816" i="2"/>
  <c r="AI816" i="2" s="1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D825" i="2"/>
  <c r="AG825" i="2"/>
  <c r="P798" i="2"/>
  <c r="P797" i="2"/>
  <c r="V796" i="2"/>
  <c r="V825" i="2" s="1"/>
  <c r="P796" i="2"/>
  <c r="S796" i="2" s="1"/>
  <c r="W796" i="2" s="1"/>
  <c r="Q795" i="2"/>
  <c r="Q825" i="2" s="1"/>
  <c r="V795" i="2"/>
  <c r="U795" i="2"/>
  <c r="P795" i="2"/>
  <c r="P794" i="2"/>
  <c r="S794" i="2" s="1"/>
  <c r="W794" i="2" s="1"/>
  <c r="P793" i="2"/>
  <c r="S793" i="2" s="1"/>
  <c r="W793" i="2" s="1"/>
  <c r="P792" i="2"/>
  <c r="V791" i="2"/>
  <c r="P791" i="2"/>
  <c r="S791" i="2" s="1"/>
  <c r="W791" i="2" s="1"/>
  <c r="P790" i="2"/>
  <c r="S790" i="2" s="1"/>
  <c r="W790" i="2" s="1"/>
  <c r="V789" i="2"/>
  <c r="P789" i="2"/>
  <c r="P788" i="2"/>
  <c r="P787" i="2"/>
  <c r="U786" i="2"/>
  <c r="P786" i="2"/>
  <c r="P785" i="2"/>
  <c r="P784" i="2"/>
  <c r="P783" i="2"/>
  <c r="P782" i="2"/>
  <c r="S782" i="2"/>
  <c r="W782" i="2" s="1"/>
  <c r="O783" i="2"/>
  <c r="O784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3" i="2"/>
  <c r="W783" i="2" s="1"/>
  <c r="S784" i="2"/>
  <c r="U825" i="2"/>
  <c r="W784" i="2"/>
  <c r="S785" i="2"/>
  <c r="W785" i="2" s="1"/>
  <c r="S786" i="2"/>
  <c r="W786" i="2" s="1"/>
  <c r="S787" i="2"/>
  <c r="W787" i="2" s="1"/>
  <c r="S788" i="2"/>
  <c r="W788" i="2"/>
  <c r="S789" i="2"/>
  <c r="W789" i="2" s="1"/>
  <c r="S792" i="2"/>
  <c r="W792" i="2" s="1"/>
  <c r="S797" i="2"/>
  <c r="W797" i="2" s="1"/>
  <c r="S798" i="2"/>
  <c r="W798" i="2" s="1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R825" i="2"/>
  <c r="C786" i="2"/>
  <c r="D786" i="2"/>
  <c r="G786" i="2" s="1"/>
  <c r="K786" i="2" s="1"/>
  <c r="D785" i="2"/>
  <c r="G785" i="2" s="1"/>
  <c r="K785" i="2" s="1"/>
  <c r="D784" i="2"/>
  <c r="I783" i="2"/>
  <c r="I825" i="2" s="1"/>
  <c r="D783" i="2"/>
  <c r="G783" i="2" s="1"/>
  <c r="K783" i="2" s="1"/>
  <c r="D782" i="2"/>
  <c r="C783" i="2"/>
  <c r="C784" i="2"/>
  <c r="C785" i="2" s="1"/>
  <c r="E825" i="2"/>
  <c r="G784" i="2"/>
  <c r="J825" i="2"/>
  <c r="K784" i="2"/>
  <c r="G787" i="2"/>
  <c r="K787" i="2" s="1"/>
  <c r="G788" i="2"/>
  <c r="K788" i="2" s="1"/>
  <c r="G789" i="2"/>
  <c r="K789" i="2"/>
  <c r="G790" i="2"/>
  <c r="K790" i="2"/>
  <c r="G791" i="2"/>
  <c r="K791" i="2" s="1"/>
  <c r="G792" i="2"/>
  <c r="K792" i="2"/>
  <c r="G793" i="2"/>
  <c r="K793" i="2"/>
  <c r="G794" i="2"/>
  <c r="K794" i="2"/>
  <c r="G795" i="2"/>
  <c r="K795" i="2" s="1"/>
  <c r="G796" i="2"/>
  <c r="K796" i="2" s="1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/>
  <c r="G807" i="2"/>
  <c r="K807" i="2" s="1"/>
  <c r="G808" i="2"/>
  <c r="K808" i="2"/>
  <c r="G809" i="2"/>
  <c r="K809" i="2"/>
  <c r="G810" i="2"/>
  <c r="K810" i="2"/>
  <c r="G811" i="2"/>
  <c r="K811" i="2" s="1"/>
  <c r="G812" i="2"/>
  <c r="K812" i="2"/>
  <c r="G813" i="2"/>
  <c r="K813" i="2"/>
  <c r="G814" i="2"/>
  <c r="K814" i="2"/>
  <c r="G815" i="2"/>
  <c r="K815" i="2" s="1"/>
  <c r="G822" i="2"/>
  <c r="K822" i="2" s="1"/>
  <c r="F825" i="2"/>
  <c r="AB825" i="2" l="1"/>
  <c r="AE782" i="2"/>
  <c r="AI782" i="2" s="1"/>
  <c r="AI825" i="2" s="1"/>
  <c r="S795" i="2"/>
  <c r="W795" i="2" s="1"/>
  <c r="W825" i="2" s="1"/>
  <c r="P825" i="2"/>
  <c r="D825" i="2"/>
  <c r="G782" i="2"/>
  <c r="G825" i="2" s="1"/>
  <c r="AH732" i="2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825" i="2" l="1"/>
  <c r="S825" i="2"/>
  <c r="K782" i="2"/>
  <c r="K825" i="2" s="1"/>
  <c r="AE732" i="2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C782" authorId="0" shapeId="0" xr:uid="{32DFCEF5-B456-472F-9639-41A66396A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O782" authorId="0" shapeId="0" xr:uid="{C121ED52-57E8-4198-B178-54ED120A8D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5C7FF29-4F31-4F7E-80ED-E6A879BA2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</t>
        </r>
      </text>
    </comment>
    <comment ref="C783" authorId="0" shapeId="0" xr:uid="{95D6E444-7111-4DA6-B0D0-4E845AB5C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64E08832-2A13-48FB-A3C9-9465BFBA7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ESCOREAL STORE
GOLEO, SINDANGAN</t>
        </r>
      </text>
    </comment>
    <comment ref="AA783" authorId="0" shapeId="0" xr:uid="{DB80651E-39DC-4380-944F-F382D6527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</t>
        </r>
      </text>
    </comment>
    <comment ref="C784" authorId="0" shapeId="0" xr:uid="{5368857C-44F2-4F62-BC7F-4726A3A82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784" authorId="0" shapeId="0" xr:uid="{2D1AD87C-4494-4B0D-B1E2-5BB7B55C3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TRILLANA STORE
GOLEO, SINDANGAN</t>
        </r>
      </text>
    </comment>
    <comment ref="AA784" authorId="0" shapeId="0" xr:uid="{119025CF-2ECF-41E4-957A-DCE4E85D1C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</t>
        </r>
      </text>
    </comment>
    <comment ref="C785" authorId="0" shapeId="0" xr:uid="{03536640-431D-4A9F-B535-AB64BE4FC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785" authorId="0" shapeId="0" xr:uid="{77B6A22A-9C54-4E2E-B345-E02EF07D2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AA785" authorId="0" shapeId="0" xr:uid="{6B0A3D35-148C-4083-A657-2A482F6B2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</t>
        </r>
      </text>
    </comment>
    <comment ref="C786" authorId="0" shapeId="0" xr:uid="{DA810855-78A2-43E2-AB50-E53F8C7F4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786" authorId="0" shapeId="0" xr:uid="{A94D18AC-AF78-45F3-94A4-2C64F52D7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6" authorId="0" shapeId="0" xr:uid="{E1E23B4D-48C4-4160-871F-755EF7C3F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STORE</t>
        </r>
      </text>
    </comment>
    <comment ref="O787" authorId="0" shapeId="0" xr:uid="{903760CD-A7FF-4BD0-8C85-65EB384A4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LIMPAG
TALINGA, BACUNGAN</t>
        </r>
      </text>
    </comment>
    <comment ref="AA787" authorId="0" shapeId="0" xr:uid="{6B3C484D-78D3-4ECB-9BF1-011239E45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8" authorId="0" shapeId="0" xr:uid="{BEB30FE6-4A1A-42C3-9A14-6111C9A1F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8" authorId="0" shapeId="0" xr:uid="{ADBFA103-B9BF-49E9-BAF0-6F8E4DEC3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89" authorId="0" shapeId="0" xr:uid="{9403031B-1057-4984-B7DE-7A44EE777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789" authorId="0" shapeId="0" xr:uid="{475C6096-66B3-4C3F-9DC4-020259CDB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 STORE</t>
        </r>
      </text>
    </comment>
    <comment ref="O790" authorId="0" shapeId="0" xr:uid="{4E1D8FA4-DAD1-44B1-81E1-067AF6FD7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90" authorId="0" shapeId="0" xr:uid="{8F720C7A-07CE-4A92-B67F-F8AC518DC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91" authorId="0" shapeId="0" xr:uid="{914EFA21-F8A3-4883-9816-2D3B3D70B7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91" authorId="0" shapeId="0" xr:uid="{EA4EEDA5-6C85-4F8C-9BF1-A97D62D3E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O792" authorId="0" shapeId="0" xr:uid="{9D48FF26-8E10-4265-996D-327506963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793" authorId="0" shapeId="0" xr:uid="{BB43E938-DA96-4042-B76C-EDD6BD19F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O794" authorId="0" shapeId="0" xr:uid="{51496DE1-E110-4C6B-BE44-D6B6A28788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795" authorId="0" shapeId="0" xr:uid="{4F586B13-F0ED-40D5-9C27-CEE8AB5B16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O796" authorId="0" shapeId="0" xr:uid="{6AF55532-8CE1-435A-95F9-41D10208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O797" authorId="0" shapeId="0" xr:uid="{92430EB4-0800-45D6-9E0B-619BEDBB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MERNA FABRA
INUMAN, SINDANGAN</t>
        </r>
      </text>
    </comment>
    <comment ref="O798" authorId="0" shapeId="0" xr:uid="{A96E59EC-C782-46D3-A192-D475955584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</t>
        </r>
      </text>
    </comment>
  </commentList>
</comments>
</file>

<file path=xl/sharedStrings.xml><?xml version="1.0" encoding="utf-8"?>
<sst xmlns="http://schemas.openxmlformats.org/spreadsheetml/2006/main" count="1064" uniqueCount="86">
  <si>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</si>
  <si>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</si>
  <si>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</si>
  <si>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</si>
  <si>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</si>
  <si>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</si>
  <si>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</si>
  <si>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</si>
  <si>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</si>
  <si>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</si>
  <si>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</si>
  <si>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</si>
  <si>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</si>
  <si>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</si>
  <si>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</si>
  <si>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</si>
  <si>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</si>
  <si>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</si>
  <si>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</si>
  <si>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</si>
  <si>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</si>
  <si>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</si>
  <si>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</si>
  <si>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</si>
  <si>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</si>
  <si>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</si>
  <si>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</si>
  <si>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</si>
  <si>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</si>
  <si>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</si>
  <si>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</si>
  <si>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</si>
  <si>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</si>
  <si>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</si>
  <si>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</si>
  <si>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</si>
  <si>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</si>
  <si>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</si>
  <si>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</si>
  <si>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</si>
  <si>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</si>
  <si>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</si>
  <si>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</si>
  <si>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</si>
  <si>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</si>
  <si>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</si>
  <si>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</si>
  <si>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</si>
  <si>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</si>
  <si>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</si>
  <si>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</si>
  <si>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</si>
  <si>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</si>
  <si>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</si>
  <si>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</si>
  <si>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</si>
  <si>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</si>
  <si>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</si>
  <si>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</si>
  <si>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</si>
  <si>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</si>
  <si>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</si>
  <si>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</si>
  <si>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</si>
  <si>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</si>
  <si>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</si>
  <si>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</si>
  <si>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</si>
  <si>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</si>
  <si>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</si>
  <si>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</si>
  <si>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</si>
  <si>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</si>
  <si>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</si>
  <si>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</si>
  <si>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</si>
  <si>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</si>
  <si>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</si>
  <si>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</si>
  <si>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</si>
  <si>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</si>
  <si>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</si>
  <si>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</si>
  <si>
    <t>JULY 21, 2026</t>
  </si>
  <si>
    <t>07/21/2026</t>
  </si>
  <si>
    <t>11442-11446/11398-11400,11501-11514/11331-11340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</si>
</sst>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31" sqref="F3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0" t="s">
        <v>39</v>
      </c>
      <c r="B6" s="11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 t="s">
        <v>85</v>
      </c>
      <c r="D30" s="16">
        <f t="shared" si="5"/>
        <v>627999</v>
      </c>
      <c r="F30" s="14">
        <v>205575</v>
      </c>
      <c r="G30" s="14">
        <v>130360.5</v>
      </c>
      <c r="H30" s="14">
        <v>292063.5</v>
      </c>
      <c r="I30" s="14"/>
      <c r="J30" s="17">
        <f t="shared" si="1"/>
        <v>627999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1" t="s">
        <v>10</v>
      </c>
      <c r="B42" s="112"/>
      <c r="C42" s="113"/>
      <c r="D42" s="48">
        <f>SUM(D2:D41)</f>
        <v>10063292.416666668</v>
      </c>
      <c r="J42" s="49">
        <f>SUM(J10:J41)</f>
        <v>10063292.416666668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A791" zoomScale="96" zoomScaleNormal="96" workbookViewId="0">
      <selection activeCell="B826" sqref="B82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19"/>
      <c r="E10" s="119"/>
      <c r="F10" s="91"/>
      <c r="G10" s="91"/>
      <c r="H10" s="62"/>
      <c r="I10" s="119"/>
      <c r="J10" s="119"/>
      <c r="K10" s="120"/>
      <c r="N10" s="25"/>
      <c r="O10" s="26"/>
      <c r="P10" s="118" t="s">
        <v>17</v>
      </c>
      <c r="Q10" s="118"/>
      <c r="R10" s="75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5"/>
      <c r="AE10" s="27"/>
      <c r="AG10" s="116" t="s">
        <v>18</v>
      </c>
      <c r="AH10" s="117"/>
      <c r="AI10" s="114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2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5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8" t="s">
        <v>17</v>
      </c>
      <c r="E65" s="118"/>
      <c r="F65" s="89"/>
      <c r="G65" s="27"/>
      <c r="I65" s="116" t="s">
        <v>18</v>
      </c>
      <c r="J65" s="117"/>
      <c r="K65" s="114" t="s">
        <v>19</v>
      </c>
      <c r="M65" s="62"/>
      <c r="N65" s="65"/>
      <c r="O65" s="87"/>
      <c r="P65" s="119"/>
      <c r="Q65" s="119"/>
      <c r="R65" s="87"/>
      <c r="S65" s="87"/>
      <c r="T65" s="62"/>
      <c r="U65" s="119"/>
      <c r="V65" s="119"/>
      <c r="W65" s="120"/>
      <c r="Z65" s="25"/>
      <c r="AA65" s="26"/>
      <c r="AB65" s="118" t="s">
        <v>17</v>
      </c>
      <c r="AC65" s="118"/>
      <c r="AD65" s="92"/>
      <c r="AE65" s="27"/>
      <c r="AG65" s="116" t="s">
        <v>18</v>
      </c>
      <c r="AH65" s="117"/>
      <c r="AI65" s="11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5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2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19"/>
      <c r="AO67" s="119"/>
      <c r="AP67" s="86"/>
      <c r="AQ67" s="62"/>
      <c r="AR67" s="119"/>
      <c r="AS67" s="119"/>
      <c r="AT67" s="12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93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93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93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94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94"/>
      <c r="S175" s="27"/>
      <c r="U175" s="116" t="s">
        <v>18</v>
      </c>
      <c r="V175" s="117"/>
      <c r="W175" s="114" t="s">
        <v>19</v>
      </c>
      <c r="Z175" s="25"/>
      <c r="AA175" s="26"/>
      <c r="AB175" s="118" t="s">
        <v>17</v>
      </c>
      <c r="AC175" s="118"/>
      <c r="AD175" s="94"/>
      <c r="AE175" s="27"/>
      <c r="AG175" s="116" t="s">
        <v>18</v>
      </c>
      <c r="AH175" s="117"/>
      <c r="AI175" s="11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9"/>
      <c r="AO181" s="119"/>
      <c r="AP181" s="86"/>
      <c r="AQ181" s="62"/>
      <c r="AR181" s="119"/>
      <c r="AS181" s="119"/>
      <c r="AT181" s="12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95"/>
      <c r="G230" s="27"/>
      <c r="I230" s="116" t="s">
        <v>18</v>
      </c>
      <c r="J230" s="117"/>
      <c r="K230" s="114" t="s">
        <v>19</v>
      </c>
      <c r="N230" s="25"/>
      <c r="O230" s="26"/>
      <c r="P230" s="118" t="s">
        <v>17</v>
      </c>
      <c r="Q230" s="118"/>
      <c r="R230" s="95"/>
      <c r="S230" s="27"/>
      <c r="U230" s="116" t="s">
        <v>18</v>
      </c>
      <c r="V230" s="117"/>
      <c r="W230" s="114" t="s">
        <v>19</v>
      </c>
      <c r="Z230" s="25"/>
      <c r="AA230" s="26"/>
      <c r="AB230" s="118" t="s">
        <v>17</v>
      </c>
      <c r="AC230" s="118"/>
      <c r="AD230" s="95"/>
      <c r="AE230" s="27"/>
      <c r="AG230" s="116" t="s">
        <v>18</v>
      </c>
      <c r="AH230" s="117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6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97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97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8"/>
      <c r="G340" s="27"/>
      <c r="I340" s="116" t="s">
        <v>18</v>
      </c>
      <c r="J340" s="117"/>
      <c r="K340" s="114" t="s">
        <v>19</v>
      </c>
      <c r="N340" s="25"/>
      <c r="O340" s="26"/>
      <c r="P340" s="118" t="s">
        <v>17</v>
      </c>
      <c r="Q340" s="118"/>
      <c r="R340" s="98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98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19"/>
      <c r="E395" s="119"/>
      <c r="F395" s="100"/>
      <c r="G395" s="100"/>
      <c r="H395" s="62"/>
      <c r="I395" s="119"/>
      <c r="J395" s="119"/>
      <c r="K395" s="120"/>
      <c r="L395" s="62"/>
      <c r="M395" s="62"/>
      <c r="N395" s="65"/>
      <c r="O395" s="87"/>
      <c r="P395" s="119"/>
      <c r="Q395" s="119"/>
      <c r="R395" s="87"/>
      <c r="S395" s="87"/>
      <c r="T395" s="62"/>
      <c r="U395" s="119"/>
      <c r="V395" s="119"/>
      <c r="W395" s="120"/>
      <c r="Z395" s="25"/>
      <c r="AA395" s="26"/>
      <c r="AB395" s="118" t="s">
        <v>17</v>
      </c>
      <c r="AC395" s="118"/>
      <c r="AD395" s="99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20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102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102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102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8" t="s">
        <v>17</v>
      </c>
      <c r="E505" s="118"/>
      <c r="F505" s="103"/>
      <c r="G505" s="27"/>
      <c r="I505" s="116" t="s">
        <v>18</v>
      </c>
      <c r="J505" s="117"/>
      <c r="K505" s="114" t="s">
        <v>19</v>
      </c>
      <c r="N505" s="25"/>
      <c r="O505" s="26"/>
      <c r="P505" s="118" t="s">
        <v>17</v>
      </c>
      <c r="Q505" s="118"/>
      <c r="R505" s="103"/>
      <c r="S505" s="27"/>
      <c r="U505" s="116" t="s">
        <v>18</v>
      </c>
      <c r="V505" s="117"/>
      <c r="W505" s="114" t="s">
        <v>19</v>
      </c>
      <c r="Z505" s="25"/>
      <c r="AA505" s="26"/>
      <c r="AB505" s="118" t="s">
        <v>17</v>
      </c>
      <c r="AC505" s="118"/>
      <c r="AD505" s="103"/>
      <c r="AE505" s="27"/>
      <c r="AG505" s="116" t="s">
        <v>18</v>
      </c>
      <c r="AH505" s="117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8" t="s">
        <v>17</v>
      </c>
      <c r="E560" s="118"/>
      <c r="F560" s="104"/>
      <c r="G560" s="27"/>
      <c r="I560" s="116" t="s">
        <v>18</v>
      </c>
      <c r="J560" s="117"/>
      <c r="K560" s="114" t="s">
        <v>19</v>
      </c>
      <c r="N560" s="25"/>
      <c r="O560" s="26"/>
      <c r="P560" s="118" t="s">
        <v>17</v>
      </c>
      <c r="Q560" s="118"/>
      <c r="R560" s="104"/>
      <c r="S560" s="27"/>
      <c r="U560" s="116" t="s">
        <v>18</v>
      </c>
      <c r="V560" s="117"/>
      <c r="W560" s="114" t="s">
        <v>19</v>
      </c>
      <c r="Z560" s="25"/>
      <c r="AA560" s="26"/>
      <c r="AB560" s="118" t="s">
        <v>17</v>
      </c>
      <c r="AC560" s="118"/>
      <c r="AD560" s="104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5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8" t="s">
        <v>17</v>
      </c>
      <c r="E615" s="118"/>
      <c r="F615" s="105"/>
      <c r="G615" s="27"/>
      <c r="I615" s="116" t="s">
        <v>18</v>
      </c>
      <c r="J615" s="117"/>
      <c r="K615" s="114" t="s">
        <v>19</v>
      </c>
      <c r="N615" s="25"/>
      <c r="O615" s="26"/>
      <c r="P615" s="118" t="s">
        <v>17</v>
      </c>
      <c r="Q615" s="118"/>
      <c r="R615" s="105"/>
      <c r="S615" s="27"/>
      <c r="U615" s="116" t="s">
        <v>18</v>
      </c>
      <c r="V615" s="117"/>
      <c r="W615" s="114" t="s">
        <v>19</v>
      </c>
      <c r="Z615" s="25"/>
      <c r="AA615" s="26"/>
      <c r="AB615" s="118" t="s">
        <v>17</v>
      </c>
      <c r="AC615" s="118"/>
      <c r="AD615" s="105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5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5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8" t="s">
        <v>17</v>
      </c>
      <c r="E670" s="118"/>
      <c r="F670" s="107"/>
      <c r="G670" s="27"/>
      <c r="I670" s="116" t="s">
        <v>18</v>
      </c>
      <c r="J670" s="117"/>
      <c r="K670" s="114" t="s">
        <v>19</v>
      </c>
      <c r="N670" s="25"/>
      <c r="O670" s="26"/>
      <c r="P670" s="118" t="s">
        <v>17</v>
      </c>
      <c r="Q670" s="118"/>
      <c r="R670" s="107"/>
      <c r="S670" s="27"/>
      <c r="U670" s="116" t="s">
        <v>18</v>
      </c>
      <c r="V670" s="117"/>
      <c r="W670" s="114" t="s">
        <v>19</v>
      </c>
      <c r="Z670" s="25"/>
      <c r="AA670" s="26"/>
      <c r="AB670" s="118" t="s">
        <v>17</v>
      </c>
      <c r="AC670" s="118"/>
      <c r="AD670" s="107"/>
      <c r="AE670" s="27"/>
      <c r="AG670" s="116" t="s">
        <v>18</v>
      </c>
      <c r="AH670" s="117"/>
      <c r="AI670" s="11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5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5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8" t="s">
        <v>17</v>
      </c>
      <c r="E725" s="118"/>
      <c r="F725" s="108"/>
      <c r="G725" s="27"/>
      <c r="I725" s="116" t="s">
        <v>18</v>
      </c>
      <c r="J725" s="117"/>
      <c r="K725" s="114" t="s">
        <v>19</v>
      </c>
      <c r="N725" s="25"/>
      <c r="O725" s="26"/>
      <c r="P725" s="118" t="s">
        <v>17</v>
      </c>
      <c r="Q725" s="118"/>
      <c r="R725" s="108"/>
      <c r="S725" s="27"/>
      <c r="U725" s="116" t="s">
        <v>18</v>
      </c>
      <c r="V725" s="117"/>
      <c r="W725" s="114" t="s">
        <v>19</v>
      </c>
      <c r="Z725" s="25"/>
      <c r="AA725" s="26"/>
      <c r="AB725" s="118" t="s">
        <v>17</v>
      </c>
      <c r="AC725" s="118"/>
      <c r="AD725" s="108"/>
      <c r="AE725" s="27"/>
      <c r="AG725" s="116" t="s">
        <v>18</v>
      </c>
      <c r="AH725" s="117"/>
      <c r="AI725" s="11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5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5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3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3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3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3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3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3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3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3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6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3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3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3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3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3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53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53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53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83</v>
      </c>
      <c r="B778" s="20"/>
      <c r="C778" s="57"/>
      <c r="D778" s="57"/>
      <c r="E778" s="57"/>
      <c r="G778" s="57"/>
      <c r="I778" s="22" t="s">
        <v>16</v>
      </c>
      <c r="J778" s="23" t="s">
        <v>36</v>
      </c>
      <c r="K778" s="24"/>
      <c r="M778" s="21" t="s">
        <v>83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81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8" t="s">
        <v>17</v>
      </c>
      <c r="E780" s="118"/>
      <c r="F780" s="109"/>
      <c r="G780" s="27"/>
      <c r="I780" s="116" t="s">
        <v>18</v>
      </c>
      <c r="J780" s="117"/>
      <c r="K780" s="114" t="s">
        <v>19</v>
      </c>
      <c r="N780" s="25"/>
      <c r="O780" s="26"/>
      <c r="P780" s="118" t="s">
        <v>17</v>
      </c>
      <c r="Q780" s="118"/>
      <c r="R780" s="109"/>
      <c r="S780" s="27"/>
      <c r="U780" s="116" t="s">
        <v>18</v>
      </c>
      <c r="V780" s="117"/>
      <c r="W780" s="114" t="s">
        <v>19</v>
      </c>
      <c r="Z780" s="25"/>
      <c r="AA780" s="26"/>
      <c r="AB780" s="118" t="s">
        <v>17</v>
      </c>
      <c r="AC780" s="118"/>
      <c r="AD780" s="109"/>
      <c r="AE780" s="27"/>
      <c r="AG780" s="116" t="s">
        <v>18</v>
      </c>
      <c r="AH780" s="117"/>
      <c r="AI780" s="114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31</v>
      </c>
      <c r="G781" s="78" t="s">
        <v>24</v>
      </c>
      <c r="I781" s="29" t="s">
        <v>25</v>
      </c>
      <c r="J781" s="29" t="s">
        <v>26</v>
      </c>
      <c r="K781" s="115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5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5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84</v>
      </c>
      <c r="C782" s="83">
        <v>11442</v>
      </c>
      <c r="D782" s="32">
        <f>670*2</f>
        <v>1340</v>
      </c>
      <c r="E782" s="32"/>
      <c r="F782" s="32"/>
      <c r="G782" s="32">
        <f t="shared" ref="G782:G826" si="214">SUM(D782:E782)</f>
        <v>1340</v>
      </c>
      <c r="H782" s="12"/>
      <c r="I782" s="12"/>
      <c r="J782" s="12"/>
      <c r="K782" s="12">
        <f t="shared" ref="K782:K826" si="215">SUM(G782:J782)</f>
        <v>1340</v>
      </c>
      <c r="M782" s="10">
        <v>1</v>
      </c>
      <c r="N782" s="30" t="s">
        <v>84</v>
      </c>
      <c r="O782" s="83">
        <v>11398</v>
      </c>
      <c r="P782" s="32">
        <f>650*4+670*2+622*5</f>
        <v>7050</v>
      </c>
      <c r="Q782" s="32"/>
      <c r="R782" s="32"/>
      <c r="S782" s="32">
        <f>SUM(P782:Q782)</f>
        <v>7050</v>
      </c>
      <c r="T782" s="12"/>
      <c r="U782" s="12"/>
      <c r="V782" s="12"/>
      <c r="W782" s="12">
        <f>SUM(S782:V782)</f>
        <v>7050</v>
      </c>
      <c r="Y782" s="10">
        <v>1</v>
      </c>
      <c r="Z782" s="30" t="s">
        <v>84</v>
      </c>
      <c r="AA782" s="31">
        <v>11331</v>
      </c>
      <c r="AB782" s="32">
        <f>670*5+622*80+229*3</f>
        <v>53797</v>
      </c>
      <c r="AC782" s="32"/>
      <c r="AD782" s="32"/>
      <c r="AE782" s="32">
        <f t="shared" ref="AE782:AE792" si="216">SUM(AB782:AC782)</f>
        <v>53797</v>
      </c>
      <c r="AF782" s="12"/>
      <c r="AG782" s="12"/>
      <c r="AH782" s="12">
        <f>-111*37+-24757.5</f>
        <v>-28864.5</v>
      </c>
      <c r="AI782" s="12">
        <f t="shared" ref="AI782:AI826" si="217">SUM(AE782:AH782)</f>
        <v>24932.5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84</v>
      </c>
      <c r="C783" s="31">
        <f>C782+1</f>
        <v>11443</v>
      </c>
      <c r="D783" s="32">
        <f>650*6+670*3</f>
        <v>5910</v>
      </c>
      <c r="E783" s="32"/>
      <c r="F783" s="32"/>
      <c r="G783" s="32">
        <f t="shared" si="214"/>
        <v>5910</v>
      </c>
      <c r="H783" s="12"/>
      <c r="I783" s="12">
        <f>4.5*9</f>
        <v>40.5</v>
      </c>
      <c r="J783" s="12"/>
      <c r="K783" s="12">
        <f t="shared" si="215"/>
        <v>5950.5</v>
      </c>
      <c r="M783" s="10">
        <v>2</v>
      </c>
      <c r="N783" s="30" t="s">
        <v>84</v>
      </c>
      <c r="O783" s="83">
        <f>O782+1</f>
        <v>11399</v>
      </c>
      <c r="P783" s="32">
        <f>650*8+670*2+622*2+872+500</f>
        <v>9156</v>
      </c>
      <c r="Q783" s="32"/>
      <c r="R783" s="32"/>
      <c r="S783" s="32">
        <f t="shared" ref="S783:S826" si="218">SUM(P783:Q783)</f>
        <v>9156</v>
      </c>
      <c r="T783" s="12"/>
      <c r="U783" s="12"/>
      <c r="V783" s="12">
        <v>-666</v>
      </c>
      <c r="W783" s="12">
        <f t="shared" ref="W783:W826" si="219">SUM(S783:V783)</f>
        <v>8490</v>
      </c>
      <c r="Y783" s="10">
        <v>2</v>
      </c>
      <c r="Z783" s="30" t="s">
        <v>84</v>
      </c>
      <c r="AA783" s="31">
        <f>AA782+1</f>
        <v>11332</v>
      </c>
      <c r="AB783" s="12">
        <f>650*116+670*15+973+622*50+912+872+229*8</f>
        <v>121139</v>
      </c>
      <c r="AC783" s="10">
        <f>-184*6</f>
        <v>-1104</v>
      </c>
      <c r="AD783" s="10"/>
      <c r="AE783" s="32">
        <f t="shared" si="216"/>
        <v>120035</v>
      </c>
      <c r="AG783" s="10">
        <f>4.5*42</f>
        <v>189</v>
      </c>
      <c r="AH783" s="10"/>
      <c r="AI783" s="12">
        <f t="shared" si="217"/>
        <v>120224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84</v>
      </c>
      <c r="C784" s="31">
        <f t="shared" ref="C784:C786" si="220">C783+1</f>
        <v>11444</v>
      </c>
      <c r="D784" s="33">
        <f>650*70+670*5+622*15</f>
        <v>58180</v>
      </c>
      <c r="E784" s="33"/>
      <c r="F784" s="33"/>
      <c r="G784" s="33">
        <f t="shared" si="214"/>
        <v>58180</v>
      </c>
      <c r="H784" s="34"/>
      <c r="I784" s="34"/>
      <c r="J784" s="34"/>
      <c r="K784" s="34">
        <f t="shared" si="215"/>
        <v>58180</v>
      </c>
      <c r="M784" s="10">
        <v>3</v>
      </c>
      <c r="N784" s="30" t="s">
        <v>84</v>
      </c>
      <c r="O784" s="83">
        <f t="shared" ref="O784:O811" si="221">O783+1</f>
        <v>11400</v>
      </c>
      <c r="P784" s="33">
        <f>650*3+9.5*3</f>
        <v>1978.5</v>
      </c>
      <c r="Q784" s="33"/>
      <c r="R784" s="32"/>
      <c r="S784" s="32">
        <f t="shared" si="218"/>
        <v>1978.5</v>
      </c>
      <c r="T784" s="12"/>
      <c r="U784" s="34"/>
      <c r="V784" s="34"/>
      <c r="W784" s="12">
        <f t="shared" si="219"/>
        <v>1978.5</v>
      </c>
      <c r="Y784" s="10">
        <v>3</v>
      </c>
      <c r="Z784" s="30" t="s">
        <v>84</v>
      </c>
      <c r="AA784" s="31">
        <f t="shared" ref="AA784:AA796" si="222">AA783+1</f>
        <v>11333</v>
      </c>
      <c r="AB784" s="32">
        <f>650*22+622*3+229</f>
        <v>16395</v>
      </c>
      <c r="AC784" s="32"/>
      <c r="AD784" s="32"/>
      <c r="AE784" s="32">
        <f t="shared" si="216"/>
        <v>16395</v>
      </c>
      <c r="AF784" s="12"/>
      <c r="AG784" s="12">
        <v>27</v>
      </c>
      <c r="AH784" s="12"/>
      <c r="AI784" s="12">
        <f t="shared" si="217"/>
        <v>16422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84</v>
      </c>
      <c r="C785" s="31">
        <f t="shared" si="220"/>
        <v>11445</v>
      </c>
      <c r="D785" s="32">
        <f>650*183+622*22+229*4</f>
        <v>133550</v>
      </c>
      <c r="E785" s="32"/>
      <c r="F785" s="32"/>
      <c r="G785" s="32">
        <f t="shared" si="214"/>
        <v>133550</v>
      </c>
      <c r="H785" s="12"/>
      <c r="I785" s="12"/>
      <c r="J785" s="12"/>
      <c r="K785" s="12">
        <f t="shared" si="215"/>
        <v>133550</v>
      </c>
      <c r="M785" s="10">
        <v>4</v>
      </c>
      <c r="N785" s="30" t="s">
        <v>84</v>
      </c>
      <c r="O785" s="83">
        <v>11501</v>
      </c>
      <c r="P785" s="32">
        <f>650*3+9.5*3</f>
        <v>1978.5</v>
      </c>
      <c r="Q785" s="32"/>
      <c r="R785" s="32"/>
      <c r="S785" s="32">
        <f t="shared" si="218"/>
        <v>1978.5</v>
      </c>
      <c r="T785" s="12"/>
      <c r="U785" s="12"/>
      <c r="V785" s="12"/>
      <c r="W785" s="12">
        <f t="shared" si="219"/>
        <v>1978.5</v>
      </c>
      <c r="Y785" s="10">
        <v>4</v>
      </c>
      <c r="Z785" s="30" t="s">
        <v>84</v>
      </c>
      <c r="AA785" s="31">
        <f t="shared" si="222"/>
        <v>11334</v>
      </c>
      <c r="AB785" s="33">
        <f>650*30+622*7+229</f>
        <v>24083</v>
      </c>
      <c r="AC785" s="33"/>
      <c r="AD785" s="32"/>
      <c r="AE785" s="32">
        <f t="shared" si="216"/>
        <v>24083</v>
      </c>
      <c r="AF785" s="12"/>
      <c r="AG785" s="12"/>
      <c r="AH785" s="12"/>
      <c r="AI785" s="12">
        <f t="shared" si="217"/>
        <v>24083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84</v>
      </c>
      <c r="C786" s="31">
        <f t="shared" si="220"/>
        <v>11446</v>
      </c>
      <c r="D786" s="32">
        <f>650*10+9.5*10</f>
        <v>6595</v>
      </c>
      <c r="E786" s="32"/>
      <c r="F786" s="32"/>
      <c r="G786" s="32">
        <f t="shared" si="214"/>
        <v>6595</v>
      </c>
      <c r="H786" s="12"/>
      <c r="I786" s="12"/>
      <c r="J786" s="12"/>
      <c r="K786" s="12">
        <f t="shared" si="215"/>
        <v>6595</v>
      </c>
      <c r="M786" s="10">
        <v>5</v>
      </c>
      <c r="N786" s="30" t="s">
        <v>84</v>
      </c>
      <c r="O786" s="83">
        <f t="shared" si="221"/>
        <v>11502</v>
      </c>
      <c r="P786" s="32">
        <f>650*8+9.5*8</f>
        <v>5276</v>
      </c>
      <c r="Q786" s="32"/>
      <c r="R786" s="32"/>
      <c r="S786" s="32">
        <f t="shared" si="218"/>
        <v>5276</v>
      </c>
      <c r="T786" s="12"/>
      <c r="U786" s="12">
        <f>4.5*4</f>
        <v>18</v>
      </c>
      <c r="V786" s="12"/>
      <c r="W786" s="12">
        <f t="shared" si="219"/>
        <v>5294</v>
      </c>
      <c r="Y786" s="10">
        <v>5</v>
      </c>
      <c r="Z786" s="30" t="s">
        <v>84</v>
      </c>
      <c r="AA786" s="31">
        <f t="shared" si="222"/>
        <v>11335</v>
      </c>
      <c r="AB786" s="32">
        <f>650*33+973+9.5*12</f>
        <v>22537</v>
      </c>
      <c r="AC786" s="32"/>
      <c r="AD786" s="32"/>
      <c r="AE786" s="32">
        <f t="shared" si="216"/>
        <v>22537</v>
      </c>
      <c r="AF786" s="12"/>
      <c r="AH786" s="12"/>
      <c r="AI786" s="12">
        <f t="shared" si="217"/>
        <v>22537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/>
      <c r="C787" s="11" t="s">
        <v>27</v>
      </c>
      <c r="D787" s="32"/>
      <c r="E787" s="32"/>
      <c r="F787" s="32"/>
      <c r="G787" s="32">
        <f t="shared" si="214"/>
        <v>0</v>
      </c>
      <c r="H787" s="12"/>
      <c r="I787" s="12"/>
      <c r="J787" s="12"/>
      <c r="K787" s="12">
        <f t="shared" si="215"/>
        <v>0</v>
      </c>
      <c r="M787" s="10">
        <v>6</v>
      </c>
      <c r="N787" s="30" t="s">
        <v>84</v>
      </c>
      <c r="O787" s="83">
        <f t="shared" si="221"/>
        <v>11503</v>
      </c>
      <c r="P787" s="32">
        <f>650*5+9.5*5</f>
        <v>3297.5</v>
      </c>
      <c r="Q787" s="32"/>
      <c r="R787" s="32"/>
      <c r="S787" s="32">
        <f t="shared" si="218"/>
        <v>3297.5</v>
      </c>
      <c r="T787" s="12"/>
      <c r="U787" s="12"/>
      <c r="V787" s="10">
        <v>-444</v>
      </c>
      <c r="W787" s="12">
        <f t="shared" si="219"/>
        <v>2853.5</v>
      </c>
      <c r="Y787" s="10">
        <v>6</v>
      </c>
      <c r="Z787" s="30" t="s">
        <v>84</v>
      </c>
      <c r="AA787" s="31">
        <f t="shared" si="222"/>
        <v>11336</v>
      </c>
      <c r="AB787" s="32">
        <f>650*20+229</f>
        <v>13229</v>
      </c>
      <c r="AC787" s="32"/>
      <c r="AD787" s="32"/>
      <c r="AE787" s="32">
        <f t="shared" si="216"/>
        <v>13229</v>
      </c>
      <c r="AF787" s="12"/>
      <c r="AG787" s="12"/>
      <c r="AH787" s="12"/>
      <c r="AI787" s="12">
        <f t="shared" si="217"/>
        <v>13229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31"/>
      <c r="D788" s="32"/>
      <c r="E788" s="32"/>
      <c r="F788" s="32"/>
      <c r="G788" s="32">
        <f t="shared" si="214"/>
        <v>0</v>
      </c>
      <c r="H788" s="12"/>
      <c r="I788" s="12"/>
      <c r="J788" s="12"/>
      <c r="K788" s="12">
        <f t="shared" si="215"/>
        <v>0</v>
      </c>
      <c r="M788" s="10">
        <v>7</v>
      </c>
      <c r="N788" s="30" t="s">
        <v>84</v>
      </c>
      <c r="O788" s="83">
        <f t="shared" si="221"/>
        <v>11504</v>
      </c>
      <c r="P788" s="32">
        <f>650*9+9.5*9</f>
        <v>5935.5</v>
      </c>
      <c r="Q788" s="32"/>
      <c r="R788" s="32"/>
      <c r="S788" s="32">
        <f t="shared" si="218"/>
        <v>5935.5</v>
      </c>
      <c r="T788" s="12"/>
      <c r="U788" s="12"/>
      <c r="V788" s="12"/>
      <c r="W788" s="12">
        <f t="shared" si="219"/>
        <v>5935.5</v>
      </c>
      <c r="Y788" s="10">
        <v>7</v>
      </c>
      <c r="Z788" s="30" t="s">
        <v>84</v>
      </c>
      <c r="AA788" s="31">
        <f t="shared" si="222"/>
        <v>11337</v>
      </c>
      <c r="AB788" s="32">
        <f>650*30+229</f>
        <v>19729</v>
      </c>
      <c r="AC788" s="32"/>
      <c r="AD788" s="32"/>
      <c r="AE788" s="32">
        <f t="shared" ref="AE788:AE826" si="223">SUM(AB788:AC788)</f>
        <v>19729</v>
      </c>
      <c r="AF788" s="12"/>
      <c r="AG788" s="58">
        <f>1.5*14</f>
        <v>21</v>
      </c>
      <c r="AH788" s="12"/>
      <c r="AI788" s="12">
        <f t="shared" si="217"/>
        <v>19750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31"/>
      <c r="D789" s="32"/>
      <c r="E789" s="32"/>
      <c r="F789" s="32"/>
      <c r="G789" s="32">
        <f t="shared" si="214"/>
        <v>0</v>
      </c>
      <c r="H789" s="12"/>
      <c r="I789" s="12"/>
      <c r="J789" s="12"/>
      <c r="K789" s="12">
        <f t="shared" si="215"/>
        <v>0</v>
      </c>
      <c r="M789" s="10">
        <v>8</v>
      </c>
      <c r="N789" s="30" t="s">
        <v>84</v>
      </c>
      <c r="O789" s="83">
        <f t="shared" si="221"/>
        <v>11505</v>
      </c>
      <c r="P789" s="32">
        <f>650*5+9.5*5</f>
        <v>3297.5</v>
      </c>
      <c r="Q789" s="32"/>
      <c r="R789" s="32"/>
      <c r="S789" s="32">
        <f t="shared" si="218"/>
        <v>3297.5</v>
      </c>
      <c r="T789" s="12"/>
      <c r="U789" s="12"/>
      <c r="V789" s="12">
        <f>-111*5</f>
        <v>-555</v>
      </c>
      <c r="W789" s="12">
        <f t="shared" si="219"/>
        <v>2742.5</v>
      </c>
      <c r="Y789" s="10">
        <v>8</v>
      </c>
      <c r="Z789" s="30" t="s">
        <v>84</v>
      </c>
      <c r="AA789" s="31">
        <f t="shared" si="222"/>
        <v>11338</v>
      </c>
      <c r="AB789" s="32">
        <f>650*10+872+9.5*15</f>
        <v>7514.5</v>
      </c>
      <c r="AC789" s="32"/>
      <c r="AE789" s="32">
        <f t="shared" si="223"/>
        <v>7514.5</v>
      </c>
      <c r="AF789" s="12"/>
      <c r="AG789" s="12">
        <f>1.5*20</f>
        <v>30</v>
      </c>
      <c r="AH789" s="12">
        <v>-777</v>
      </c>
      <c r="AI789" s="12">
        <f t="shared" si="217"/>
        <v>6767.5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31"/>
      <c r="D790" s="32"/>
      <c r="E790" s="32"/>
      <c r="F790" s="32"/>
      <c r="G790" s="32">
        <f t="shared" si="214"/>
        <v>0</v>
      </c>
      <c r="H790" s="12"/>
      <c r="I790" s="12"/>
      <c r="J790" s="12"/>
      <c r="K790" s="12">
        <f t="shared" si="215"/>
        <v>0</v>
      </c>
      <c r="M790" s="10">
        <v>9</v>
      </c>
      <c r="N790" s="30" t="s">
        <v>84</v>
      </c>
      <c r="O790" s="83">
        <f t="shared" si="221"/>
        <v>11506</v>
      </c>
      <c r="P790" s="32">
        <f>650*1+670</f>
        <v>1320</v>
      </c>
      <c r="Q790" s="32"/>
      <c r="R790" s="32"/>
      <c r="S790" s="32">
        <f t="shared" si="218"/>
        <v>1320</v>
      </c>
      <c r="T790" s="12"/>
      <c r="U790" s="12"/>
      <c r="V790" s="12"/>
      <c r="W790" s="12">
        <f t="shared" si="219"/>
        <v>1320</v>
      </c>
      <c r="Y790" s="10">
        <v>9</v>
      </c>
      <c r="Z790" s="30" t="s">
        <v>84</v>
      </c>
      <c r="AA790" s="31">
        <f t="shared" si="222"/>
        <v>11339</v>
      </c>
      <c r="AB790" s="106">
        <f>872*2</f>
        <v>1744</v>
      </c>
      <c r="AC790" s="32"/>
      <c r="AD790" s="32"/>
      <c r="AE790" s="32">
        <f t="shared" si="223"/>
        <v>1744</v>
      </c>
      <c r="AF790" s="12"/>
      <c r="AH790" s="12"/>
      <c r="AI790" s="12">
        <f t="shared" si="217"/>
        <v>1744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31"/>
      <c r="D791" s="32"/>
      <c r="E791" s="32"/>
      <c r="F791" s="32"/>
      <c r="G791" s="32">
        <f t="shared" si="214"/>
        <v>0</v>
      </c>
      <c r="H791" s="12"/>
      <c r="I791" s="12"/>
      <c r="J791" s="12"/>
      <c r="K791" s="12">
        <f t="shared" si="215"/>
        <v>0</v>
      </c>
      <c r="M791" s="10">
        <v>10</v>
      </c>
      <c r="N791" s="30" t="s">
        <v>84</v>
      </c>
      <c r="O791" s="83">
        <f t="shared" si="221"/>
        <v>11507</v>
      </c>
      <c r="P791" s="32">
        <f>650*35+622*5+229</f>
        <v>26089</v>
      </c>
      <c r="Q791" s="32"/>
      <c r="R791" s="32"/>
      <c r="S791" s="32">
        <f t="shared" si="218"/>
        <v>26089</v>
      </c>
      <c r="T791" s="12"/>
      <c r="U791" s="12"/>
      <c r="V791" s="12">
        <f>-111*11</f>
        <v>-1221</v>
      </c>
      <c r="W791" s="12">
        <f t="shared" si="219"/>
        <v>24868</v>
      </c>
      <c r="Y791" s="10">
        <v>10</v>
      </c>
      <c r="Z791" s="30" t="s">
        <v>84</v>
      </c>
      <c r="AA791" s="31">
        <f t="shared" si="222"/>
        <v>11340</v>
      </c>
      <c r="AB791" s="32">
        <f>650*20</f>
        <v>13000</v>
      </c>
      <c r="AC791" s="32"/>
      <c r="AD791" s="32"/>
      <c r="AE791" s="32">
        <f t="shared" si="223"/>
        <v>13000</v>
      </c>
      <c r="AF791" s="12"/>
      <c r="AG791" s="12"/>
      <c r="AH791" s="12"/>
      <c r="AI791" s="12">
        <f t="shared" si="217"/>
        <v>13000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D792" s="32"/>
      <c r="E792" s="32"/>
      <c r="F792" s="32"/>
      <c r="G792" s="32">
        <f t="shared" si="214"/>
        <v>0</v>
      </c>
      <c r="H792" s="12"/>
      <c r="I792" s="12"/>
      <c r="J792" s="12"/>
      <c r="K792" s="12">
        <f t="shared" si="215"/>
        <v>0</v>
      </c>
      <c r="M792" s="10">
        <v>11</v>
      </c>
      <c r="N792" s="30" t="s">
        <v>84</v>
      </c>
      <c r="O792" s="83">
        <f t="shared" si="221"/>
        <v>11508</v>
      </c>
      <c r="P792" s="32">
        <f>650*5+9.5*5</f>
        <v>3297.5</v>
      </c>
      <c r="Q792" s="32"/>
      <c r="R792" s="32"/>
      <c r="S792" s="32">
        <f t="shared" si="218"/>
        <v>3297.5</v>
      </c>
      <c r="T792" s="12"/>
      <c r="U792" s="12"/>
      <c r="V792" s="12"/>
      <c r="W792" s="12">
        <f t="shared" si="219"/>
        <v>3297.5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23"/>
        <v>0</v>
      </c>
      <c r="AF792" s="12"/>
      <c r="AG792" s="12"/>
      <c r="AH792" s="12"/>
      <c r="AI792" s="12">
        <f t="shared" si="217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31"/>
      <c r="D793" s="32"/>
      <c r="E793" s="32"/>
      <c r="F793" s="32"/>
      <c r="G793" s="32">
        <f t="shared" si="214"/>
        <v>0</v>
      </c>
      <c r="H793" s="12"/>
      <c r="I793" s="12"/>
      <c r="J793" s="10"/>
      <c r="K793" s="12">
        <f t="shared" si="215"/>
        <v>0</v>
      </c>
      <c r="M793" s="10">
        <v>12</v>
      </c>
      <c r="N793" s="30" t="s">
        <v>84</v>
      </c>
      <c r="O793" s="83">
        <f t="shared" si="221"/>
        <v>11509</v>
      </c>
      <c r="P793" s="32">
        <f>650+622+9.5*2</f>
        <v>1291</v>
      </c>
      <c r="Q793" s="32"/>
      <c r="R793" s="32"/>
      <c r="S793" s="32">
        <f t="shared" si="218"/>
        <v>1291</v>
      </c>
      <c r="T793" s="12"/>
      <c r="U793" s="12"/>
      <c r="V793" s="12"/>
      <c r="W793" s="12">
        <f t="shared" si="219"/>
        <v>1291</v>
      </c>
      <c r="Y793" s="10">
        <v>12</v>
      </c>
      <c r="Z793" s="30"/>
      <c r="AA793" s="31"/>
      <c r="AB793" s="32"/>
      <c r="AC793" s="32"/>
      <c r="AD793" s="32"/>
      <c r="AE793" s="32">
        <f t="shared" si="223"/>
        <v>0</v>
      </c>
      <c r="AF793" s="12"/>
      <c r="AG793" s="12"/>
      <c r="AH793" s="12"/>
      <c r="AI793" s="12">
        <f t="shared" si="217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57"/>
      <c r="D794" s="32"/>
      <c r="E794" s="32"/>
      <c r="F794" s="32"/>
      <c r="G794" s="32">
        <f t="shared" si="214"/>
        <v>0</v>
      </c>
      <c r="H794" s="12"/>
      <c r="I794" s="12"/>
      <c r="J794" s="12"/>
      <c r="K794" s="12">
        <f t="shared" si="215"/>
        <v>0</v>
      </c>
      <c r="M794" s="10">
        <v>13</v>
      </c>
      <c r="N794" s="30" t="s">
        <v>84</v>
      </c>
      <c r="O794" s="83">
        <f t="shared" si="221"/>
        <v>11510</v>
      </c>
      <c r="P794" s="32">
        <f>650*14+1175+1102+4.5*2</f>
        <v>11386</v>
      </c>
      <c r="Q794" s="32"/>
      <c r="R794" s="32"/>
      <c r="S794" s="32">
        <f t="shared" si="218"/>
        <v>11386</v>
      </c>
      <c r="T794" s="12"/>
      <c r="U794" s="12"/>
      <c r="V794" s="12"/>
      <c r="W794" s="12">
        <f t="shared" si="219"/>
        <v>11386</v>
      </c>
      <c r="Y794" s="10">
        <v>13</v>
      </c>
      <c r="Z794" s="30"/>
      <c r="AA794" s="31"/>
      <c r="AB794" s="32"/>
      <c r="AC794" s="32"/>
      <c r="AD794" s="32"/>
      <c r="AE794" s="32">
        <f t="shared" si="223"/>
        <v>0</v>
      </c>
      <c r="AF794" s="12"/>
      <c r="AG794" s="12"/>
      <c r="AH794" s="12"/>
      <c r="AI794" s="12">
        <f t="shared" si="217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14"/>
        <v>0</v>
      </c>
      <c r="H795" s="12"/>
      <c r="I795" s="12"/>
      <c r="J795" s="12"/>
      <c r="K795" s="12">
        <f t="shared" si="215"/>
        <v>0</v>
      </c>
      <c r="M795" s="10">
        <v>14</v>
      </c>
      <c r="N795" s="30" t="s">
        <v>84</v>
      </c>
      <c r="O795" s="83">
        <f t="shared" si="221"/>
        <v>11511</v>
      </c>
      <c r="P795" s="32">
        <f>670*15+622*20+912*2+872*5+1102+650*7</f>
        <v>34326</v>
      </c>
      <c r="Q795" s="32">
        <f>-42*6</f>
        <v>-252</v>
      </c>
      <c r="R795" s="32"/>
      <c r="S795" s="32">
        <f t="shared" si="218"/>
        <v>34074</v>
      </c>
      <c r="T795" s="12"/>
      <c r="U795" s="12">
        <f>120*6</f>
        <v>720</v>
      </c>
      <c r="V795" s="12">
        <f>-111*15+-78+-42*6</f>
        <v>-1995</v>
      </c>
      <c r="W795" s="12">
        <f t="shared" si="219"/>
        <v>32799</v>
      </c>
      <c r="Y795" s="10">
        <v>14</v>
      </c>
      <c r="Z795" s="30"/>
      <c r="AA795" s="31"/>
      <c r="AB795" s="32"/>
      <c r="AC795" s="32"/>
      <c r="AD795" s="32"/>
      <c r="AE795" s="32">
        <f t="shared" si="223"/>
        <v>0</v>
      </c>
      <c r="AF795" s="12"/>
      <c r="AG795" s="12"/>
      <c r="AH795" s="12"/>
      <c r="AI795" s="12">
        <f t="shared" si="217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14"/>
        <v>0</v>
      </c>
      <c r="H796" s="12"/>
      <c r="I796" s="12"/>
      <c r="J796" s="12"/>
      <c r="K796" s="12">
        <f t="shared" si="215"/>
        <v>0</v>
      </c>
      <c r="M796" s="10">
        <v>15</v>
      </c>
      <c r="N796" s="30" t="s">
        <v>84</v>
      </c>
      <c r="O796" s="83">
        <f t="shared" si="221"/>
        <v>11512</v>
      </c>
      <c r="P796" s="32">
        <f>650*14+622*3</f>
        <v>10966</v>
      </c>
      <c r="Q796" s="32"/>
      <c r="R796" s="32"/>
      <c r="S796" s="32">
        <f t="shared" si="218"/>
        <v>10966</v>
      </c>
      <c r="T796" s="12"/>
      <c r="U796" s="12"/>
      <c r="V796" s="12">
        <f>-111*20</f>
        <v>-2220</v>
      </c>
      <c r="W796" s="12">
        <f t="shared" si="219"/>
        <v>8746</v>
      </c>
      <c r="Y796" s="10">
        <v>15</v>
      </c>
      <c r="Z796" s="30"/>
      <c r="AA796" s="31"/>
      <c r="AB796" s="32"/>
      <c r="AC796" s="32"/>
      <c r="AD796" s="32"/>
      <c r="AE796" s="32">
        <f t="shared" si="223"/>
        <v>0</v>
      </c>
      <c r="AF796" s="12"/>
      <c r="AG796" s="12"/>
      <c r="AH796" s="12"/>
      <c r="AI796" s="12">
        <f t="shared" si="217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14"/>
        <v>0</v>
      </c>
      <c r="H797" s="12"/>
      <c r="I797" s="12"/>
      <c r="J797" s="12"/>
      <c r="K797" s="12">
        <f t="shared" si="215"/>
        <v>0</v>
      </c>
      <c r="M797" s="10">
        <v>16</v>
      </c>
      <c r="N797" s="30" t="s">
        <v>84</v>
      </c>
      <c r="O797" s="83">
        <f t="shared" si="221"/>
        <v>11513</v>
      </c>
      <c r="P797" s="32">
        <f>650*5+9.5*5</f>
        <v>3297.5</v>
      </c>
      <c r="Q797" s="32"/>
      <c r="R797" s="32"/>
      <c r="S797" s="32">
        <f t="shared" si="218"/>
        <v>3297.5</v>
      </c>
      <c r="T797" s="12"/>
      <c r="U797" s="12"/>
      <c r="V797" s="12"/>
      <c r="W797" s="12">
        <f t="shared" si="219"/>
        <v>3297.5</v>
      </c>
      <c r="Y797" s="10">
        <v>16</v>
      </c>
      <c r="Z797" s="30"/>
      <c r="AA797" s="11"/>
      <c r="AB797" s="32"/>
      <c r="AC797" s="32"/>
      <c r="AD797" s="32"/>
      <c r="AE797" s="32">
        <f t="shared" si="223"/>
        <v>0</v>
      </c>
      <c r="AF797" s="12"/>
      <c r="AG797" s="12"/>
      <c r="AH797" s="12"/>
      <c r="AI797" s="12">
        <f t="shared" si="217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57"/>
      <c r="D798" s="32"/>
      <c r="E798" s="32"/>
      <c r="F798" s="32"/>
      <c r="G798" s="32">
        <f t="shared" si="214"/>
        <v>0</v>
      </c>
      <c r="H798" s="12"/>
      <c r="I798" s="12"/>
      <c r="J798" s="12"/>
      <c r="K798" s="12">
        <f t="shared" si="215"/>
        <v>0</v>
      </c>
      <c r="M798" s="10">
        <v>17</v>
      </c>
      <c r="N798" s="30" t="s">
        <v>84</v>
      </c>
      <c r="O798" s="83">
        <f t="shared" si="221"/>
        <v>11514</v>
      </c>
      <c r="P798" s="35">
        <f>670</f>
        <v>670</v>
      </c>
      <c r="Q798" s="32"/>
      <c r="R798" s="32"/>
      <c r="S798" s="32">
        <f t="shared" si="218"/>
        <v>670</v>
      </c>
      <c r="T798" s="12"/>
      <c r="U798" s="12"/>
      <c r="V798" s="12"/>
      <c r="W798" s="12">
        <f t="shared" si="219"/>
        <v>670</v>
      </c>
      <c r="Y798" s="10">
        <v>17</v>
      </c>
      <c r="Z798" s="30"/>
      <c r="AA798" s="31"/>
      <c r="AB798" s="35"/>
      <c r="AC798" s="32"/>
      <c r="AD798" s="32"/>
      <c r="AE798" s="32">
        <f t="shared" si="223"/>
        <v>0</v>
      </c>
      <c r="AF798" s="12"/>
      <c r="AG798" s="12"/>
      <c r="AH798" s="12"/>
      <c r="AI798" s="12">
        <f t="shared" si="217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14"/>
        <v>0</v>
      </c>
      <c r="H799" s="12"/>
      <c r="I799" s="12"/>
      <c r="J799" s="12"/>
      <c r="K799" s="12">
        <f t="shared" si="215"/>
        <v>0</v>
      </c>
      <c r="M799" s="10">
        <v>18</v>
      </c>
      <c r="N799" s="30"/>
      <c r="O799" s="11" t="s">
        <v>27</v>
      </c>
      <c r="P799" s="32"/>
      <c r="Q799" s="32"/>
      <c r="R799" s="32"/>
      <c r="S799" s="32"/>
      <c r="T799" s="12"/>
      <c r="U799" s="12"/>
      <c r="V799" s="12"/>
      <c r="W799" s="12">
        <f t="shared" si="219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23"/>
        <v>0</v>
      </c>
      <c r="AF799" s="12"/>
      <c r="AG799" s="12"/>
      <c r="AH799" s="12"/>
      <c r="AI799" s="12">
        <f t="shared" si="217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14"/>
        <v>0</v>
      </c>
      <c r="H800" s="12"/>
      <c r="I800" s="12"/>
      <c r="J800" s="12"/>
      <c r="K800" s="12">
        <f t="shared" si="215"/>
        <v>0</v>
      </c>
      <c r="M800" s="10">
        <v>19</v>
      </c>
      <c r="N800" s="30"/>
      <c r="O800" s="83"/>
      <c r="P800" s="32"/>
      <c r="Q800" s="32"/>
      <c r="R800" s="32"/>
      <c r="S800" s="32"/>
      <c r="T800" s="12"/>
      <c r="U800" s="12"/>
      <c r="V800" s="12"/>
      <c r="W800" s="12">
        <f t="shared" si="21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23"/>
        <v>0</v>
      </c>
      <c r="AF800" s="12"/>
      <c r="AG800" s="12"/>
      <c r="AH800" s="12"/>
      <c r="AI800" s="12">
        <f t="shared" si="217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14"/>
        <v>0</v>
      </c>
      <c r="H801" s="12"/>
      <c r="I801" s="12"/>
      <c r="J801" s="12"/>
      <c r="K801" s="12">
        <f t="shared" si="215"/>
        <v>0</v>
      </c>
      <c r="M801" s="10">
        <v>20</v>
      </c>
      <c r="N801" s="30"/>
      <c r="O801" s="83"/>
      <c r="P801" s="32"/>
      <c r="Q801" s="32"/>
      <c r="R801" s="32"/>
      <c r="S801" s="32"/>
      <c r="T801" s="12"/>
      <c r="U801" s="12"/>
      <c r="V801" s="12"/>
      <c r="W801" s="12">
        <f t="shared" si="21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23"/>
        <v>0</v>
      </c>
      <c r="AF801" s="12"/>
      <c r="AG801" s="12"/>
      <c r="AH801" s="12"/>
      <c r="AI801" s="12">
        <f t="shared" si="217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11"/>
      <c r="D802" s="32"/>
      <c r="E802" s="32"/>
      <c r="F802" s="32"/>
      <c r="G802" s="32">
        <f t="shared" si="214"/>
        <v>0</v>
      </c>
      <c r="H802" s="10"/>
      <c r="I802" s="10"/>
      <c r="J802" s="10"/>
      <c r="K802" s="12">
        <f t="shared" si="215"/>
        <v>0</v>
      </c>
      <c r="M802" s="10">
        <v>21</v>
      </c>
      <c r="N802" s="30"/>
      <c r="O802" s="83"/>
      <c r="P802" s="46"/>
      <c r="Q802" s="31"/>
      <c r="R802" s="31"/>
      <c r="S802" s="32"/>
      <c r="T802" s="10"/>
      <c r="U802" s="10"/>
      <c r="V802" s="10"/>
      <c r="W802" s="12">
        <f t="shared" si="219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23"/>
        <v>0</v>
      </c>
      <c r="AF802" s="10"/>
      <c r="AG802" s="10"/>
      <c r="AH802" s="10"/>
      <c r="AI802" s="12">
        <f t="shared" si="217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14"/>
        <v>0</v>
      </c>
      <c r="H803" s="10"/>
      <c r="I803" s="10"/>
      <c r="J803" s="10"/>
      <c r="K803" s="12">
        <f t="shared" si="215"/>
        <v>0</v>
      </c>
      <c r="M803" s="10">
        <v>22</v>
      </c>
      <c r="N803" s="30"/>
      <c r="O803" s="83"/>
      <c r="P803" s="45"/>
      <c r="Q803" s="31"/>
      <c r="R803" s="31"/>
      <c r="S803" s="32"/>
      <c r="T803" s="10"/>
      <c r="U803" s="10"/>
      <c r="V803" s="10"/>
      <c r="W803" s="12">
        <f t="shared" si="21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23"/>
        <v>0</v>
      </c>
      <c r="AF803" s="10"/>
      <c r="AG803" s="10"/>
      <c r="AH803" s="10"/>
      <c r="AI803" s="12">
        <f t="shared" si="217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214"/>
        <v>0</v>
      </c>
      <c r="H804" s="10"/>
      <c r="I804" s="10"/>
      <c r="J804" s="12"/>
      <c r="K804" s="12">
        <f t="shared" si="215"/>
        <v>0</v>
      </c>
      <c r="M804" s="10">
        <v>23</v>
      </c>
      <c r="N804" s="30"/>
      <c r="O804" s="83"/>
      <c r="P804" s="47"/>
      <c r="S804" s="32"/>
      <c r="T804" s="10"/>
      <c r="U804" s="10"/>
      <c r="V804" s="10"/>
      <c r="W804" s="12">
        <f t="shared" si="219"/>
        <v>0</v>
      </c>
      <c r="Y804" s="10">
        <v>23</v>
      </c>
      <c r="Z804" s="30"/>
      <c r="AA804" s="31"/>
      <c r="AB804" s="47"/>
      <c r="AE804" s="32">
        <f t="shared" si="223"/>
        <v>0</v>
      </c>
      <c r="AF804" s="10"/>
      <c r="AG804" s="10"/>
      <c r="AH804" s="10"/>
      <c r="AI804" s="12">
        <f t="shared" si="217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14"/>
        <v>0</v>
      </c>
      <c r="H805" s="10"/>
      <c r="I805" s="10"/>
      <c r="J805" s="10"/>
      <c r="K805" s="12">
        <f t="shared" si="215"/>
        <v>0</v>
      </c>
      <c r="M805" s="10">
        <v>24</v>
      </c>
      <c r="N805" s="30"/>
      <c r="O805" s="83"/>
      <c r="P805" s="47"/>
      <c r="Q805" s="31"/>
      <c r="R805" s="31"/>
      <c r="S805" s="32"/>
      <c r="T805" s="10"/>
      <c r="U805" s="10"/>
      <c r="V805" s="10"/>
      <c r="W805" s="12">
        <f t="shared" si="21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23"/>
        <v>0</v>
      </c>
      <c r="AF805" s="10"/>
      <c r="AG805" s="10"/>
      <c r="AH805" s="10"/>
      <c r="AI805" s="12">
        <f t="shared" si="217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11"/>
      <c r="D806" s="32"/>
      <c r="E806" s="32"/>
      <c r="F806" s="32"/>
      <c r="G806" s="32">
        <f t="shared" si="214"/>
        <v>0</v>
      </c>
      <c r="H806" s="10"/>
      <c r="I806" s="10"/>
      <c r="J806" s="10"/>
      <c r="K806" s="12">
        <f t="shared" si="215"/>
        <v>0</v>
      </c>
      <c r="M806" s="10">
        <v>25</v>
      </c>
      <c r="N806" s="30"/>
      <c r="O806" s="83"/>
      <c r="P806" s="47"/>
      <c r="Q806" s="31"/>
      <c r="R806" s="31"/>
      <c r="S806" s="32"/>
      <c r="T806" s="10"/>
      <c r="U806" s="10"/>
      <c r="V806" s="10"/>
      <c r="W806" s="12">
        <f t="shared" si="21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23"/>
        <v>0</v>
      </c>
      <c r="AF806" s="10"/>
      <c r="AG806" s="10"/>
      <c r="AH806" s="10"/>
      <c r="AI806" s="12">
        <f t="shared" si="217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4"/>
        <v>0</v>
      </c>
      <c r="H807" s="10"/>
      <c r="I807" s="10"/>
      <c r="J807" s="10"/>
      <c r="K807" s="12">
        <f t="shared" si="215"/>
        <v>0</v>
      </c>
      <c r="M807" s="10">
        <v>26</v>
      </c>
      <c r="N807" s="30"/>
      <c r="O807" s="83"/>
      <c r="P807" s="47"/>
      <c r="Q807" s="31"/>
      <c r="R807" s="31"/>
      <c r="S807" s="32"/>
      <c r="T807" s="10"/>
      <c r="U807" s="10"/>
      <c r="V807" s="10"/>
      <c r="W807" s="12">
        <f t="shared" si="21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23"/>
        <v>0</v>
      </c>
      <c r="AF807" s="10"/>
      <c r="AG807" s="10"/>
      <c r="AH807" s="10"/>
      <c r="AI807" s="12">
        <f t="shared" si="217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4"/>
        <v>0</v>
      </c>
      <c r="H808" s="10"/>
      <c r="I808" s="10"/>
      <c r="J808" s="10"/>
      <c r="K808" s="12">
        <f t="shared" si="215"/>
        <v>0</v>
      </c>
      <c r="M808" s="10">
        <v>27</v>
      </c>
      <c r="N808" s="30"/>
      <c r="O808" s="83"/>
      <c r="P808" s="47"/>
      <c r="Q808" s="31"/>
      <c r="R808" s="31"/>
      <c r="S808" s="32"/>
      <c r="T808" s="10"/>
      <c r="U808" s="10"/>
      <c r="V808" s="10"/>
      <c r="W808" s="12">
        <f t="shared" si="21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23"/>
        <v>0</v>
      </c>
      <c r="AF808" s="10"/>
      <c r="AG808" s="10"/>
      <c r="AH808" s="10"/>
      <c r="AI808" s="12">
        <f t="shared" si="217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4"/>
        <v>0</v>
      </c>
      <c r="H809" s="10"/>
      <c r="I809" s="10"/>
      <c r="J809" s="10"/>
      <c r="K809" s="12">
        <f t="shared" si="215"/>
        <v>0</v>
      </c>
      <c r="M809" s="10">
        <v>28</v>
      </c>
      <c r="N809" s="30"/>
      <c r="O809" s="83"/>
      <c r="P809" s="47"/>
      <c r="Q809" s="31"/>
      <c r="R809" s="31"/>
      <c r="S809" s="32"/>
      <c r="T809" s="10"/>
      <c r="U809" s="10"/>
      <c r="V809" s="10"/>
      <c r="W809" s="12">
        <f t="shared" si="21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23"/>
        <v>0</v>
      </c>
      <c r="AF809" s="10"/>
      <c r="AG809" s="10"/>
      <c r="AH809" s="10"/>
      <c r="AI809" s="12">
        <f t="shared" si="217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4"/>
        <v>0</v>
      </c>
      <c r="H810" s="10"/>
      <c r="I810" s="10"/>
      <c r="J810" s="10"/>
      <c r="K810" s="12">
        <f t="shared" si="215"/>
        <v>0</v>
      </c>
      <c r="M810" s="10">
        <v>29</v>
      </c>
      <c r="N810" s="30"/>
      <c r="O810" s="83"/>
      <c r="P810" s="47"/>
      <c r="Q810" s="31"/>
      <c r="R810" s="31"/>
      <c r="S810" s="32"/>
      <c r="T810" s="10"/>
      <c r="U810" s="10"/>
      <c r="V810" s="10"/>
      <c r="W810" s="12">
        <f t="shared" si="21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23"/>
        <v>0</v>
      </c>
      <c r="AF810" s="10"/>
      <c r="AG810" s="10"/>
      <c r="AH810" s="10"/>
      <c r="AI810" s="12">
        <f t="shared" si="217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4"/>
        <v>0</v>
      </c>
      <c r="H811" s="10"/>
      <c r="I811" s="10"/>
      <c r="J811" s="10"/>
      <c r="K811" s="12">
        <f t="shared" si="215"/>
        <v>0</v>
      </c>
      <c r="M811" s="10">
        <v>30</v>
      </c>
      <c r="N811" s="30"/>
      <c r="O811" s="83"/>
      <c r="P811" s="47"/>
      <c r="Q811" s="31"/>
      <c r="R811" s="31"/>
      <c r="S811" s="32"/>
      <c r="T811" s="10"/>
      <c r="U811" s="10"/>
      <c r="V811" s="10"/>
      <c r="W811" s="12">
        <f t="shared" si="21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23"/>
        <v>0</v>
      </c>
      <c r="AF811" s="10"/>
      <c r="AG811" s="10"/>
      <c r="AH811" s="10"/>
      <c r="AI811" s="12">
        <f t="shared" si="217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4"/>
        <v>0</v>
      </c>
      <c r="H812" s="10"/>
      <c r="I812" s="10"/>
      <c r="J812" s="10"/>
      <c r="K812" s="12">
        <f t="shared" si="215"/>
        <v>0</v>
      </c>
      <c r="M812" s="10">
        <v>31</v>
      </c>
      <c r="N812" s="30"/>
      <c r="O812" s="11"/>
      <c r="P812" s="47"/>
      <c r="Q812" s="31"/>
      <c r="R812" s="31"/>
      <c r="S812" s="32">
        <f t="shared" si="218"/>
        <v>0</v>
      </c>
      <c r="T812" s="10"/>
      <c r="U812" s="10"/>
      <c r="V812" s="10"/>
      <c r="W812" s="12">
        <f t="shared" si="21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23"/>
        <v>0</v>
      </c>
      <c r="AF812" s="10"/>
      <c r="AG812" s="10"/>
      <c r="AH812" s="10"/>
      <c r="AI812" s="12">
        <f t="shared" si="217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4"/>
        <v>0</v>
      </c>
      <c r="H813" s="10"/>
      <c r="I813" s="10"/>
      <c r="J813" s="10"/>
      <c r="K813" s="12">
        <f t="shared" si="215"/>
        <v>0</v>
      </c>
      <c r="M813" s="10">
        <v>32</v>
      </c>
      <c r="N813" s="30"/>
      <c r="O813" s="31"/>
      <c r="P813" s="47"/>
      <c r="Q813" s="31"/>
      <c r="R813" s="31"/>
      <c r="S813" s="32">
        <f t="shared" si="218"/>
        <v>0</v>
      </c>
      <c r="T813" s="10"/>
      <c r="U813" s="10"/>
      <c r="V813" s="10"/>
      <c r="W813" s="12">
        <f t="shared" si="21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23"/>
        <v>0</v>
      </c>
      <c r="AF813" s="10"/>
      <c r="AG813" s="10"/>
      <c r="AH813" s="10"/>
      <c r="AI813" s="12">
        <f t="shared" si="217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4"/>
        <v>0</v>
      </c>
      <c r="H814" s="10"/>
      <c r="I814" s="10"/>
      <c r="J814" s="10"/>
      <c r="K814" s="12">
        <f t="shared" si="215"/>
        <v>0</v>
      </c>
      <c r="M814" s="10">
        <v>33</v>
      </c>
      <c r="N814" s="30"/>
      <c r="O814" s="31"/>
      <c r="P814" s="47"/>
      <c r="Q814" s="31"/>
      <c r="R814" s="31"/>
      <c r="S814" s="32">
        <f t="shared" si="218"/>
        <v>0</v>
      </c>
      <c r="T814" s="10"/>
      <c r="U814" s="10"/>
      <c r="V814" s="10"/>
      <c r="W814" s="12">
        <f t="shared" si="21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23"/>
        <v>0</v>
      </c>
      <c r="AF814" s="10"/>
      <c r="AG814" s="10"/>
      <c r="AH814" s="10"/>
      <c r="AI814" s="12">
        <f t="shared" si="217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4"/>
        <v>0</v>
      </c>
      <c r="H815" s="10"/>
      <c r="I815" s="10"/>
      <c r="J815" s="10"/>
      <c r="K815" s="12">
        <f t="shared" si="215"/>
        <v>0</v>
      </c>
      <c r="M815" s="10">
        <v>34</v>
      </c>
      <c r="N815" s="30"/>
      <c r="O815" s="31"/>
      <c r="P815" s="47"/>
      <c r="Q815" s="31"/>
      <c r="R815" s="31"/>
      <c r="S815" s="32">
        <f t="shared" si="218"/>
        <v>0</v>
      </c>
      <c r="T815" s="10"/>
      <c r="U815" s="10"/>
      <c r="V815" s="10"/>
      <c r="W815" s="12">
        <f t="shared" si="21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23"/>
        <v>0</v>
      </c>
      <c r="AF815" s="10"/>
      <c r="AG815" s="10"/>
      <c r="AH815" s="10"/>
      <c r="AI815" s="12">
        <f t="shared" si="217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18"/>
        <v>0</v>
      </c>
      <c r="T816" s="10"/>
      <c r="U816" s="10"/>
      <c r="V816" s="10"/>
      <c r="W816" s="12">
        <f t="shared" si="21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23"/>
        <v>0</v>
      </c>
      <c r="AF816" s="10"/>
      <c r="AG816" s="10"/>
      <c r="AH816" s="10"/>
      <c r="AI816" s="12">
        <f t="shared" si="217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8"/>
        <v>0</v>
      </c>
      <c r="T817" s="10"/>
      <c r="U817" s="10"/>
      <c r="V817" s="10"/>
      <c r="W817" s="12">
        <f t="shared" si="21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23"/>
        <v>0</v>
      </c>
      <c r="AF817" s="10"/>
      <c r="AG817" s="10"/>
      <c r="AH817" s="10"/>
      <c r="AI817" s="12">
        <f t="shared" si="217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18"/>
        <v>0</v>
      </c>
      <c r="T818" s="10"/>
      <c r="U818" s="10"/>
      <c r="V818" s="10"/>
      <c r="W818" s="12">
        <f t="shared" si="21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23"/>
        <v>0</v>
      </c>
      <c r="AF818" s="10"/>
      <c r="AG818" s="10"/>
      <c r="AH818" s="10"/>
      <c r="AI818" s="12">
        <f t="shared" si="217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8"/>
        <v>0</v>
      </c>
      <c r="T819" s="10"/>
      <c r="U819" s="10"/>
      <c r="V819" s="10"/>
      <c r="W819" s="12">
        <f t="shared" si="21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23"/>
        <v>0</v>
      </c>
      <c r="AF819" s="10"/>
      <c r="AG819" s="10"/>
      <c r="AH819" s="10"/>
      <c r="AI819" s="12">
        <f t="shared" si="217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8"/>
        <v>0</v>
      </c>
      <c r="T820" s="10"/>
      <c r="U820" s="10"/>
      <c r="V820" s="10"/>
      <c r="W820" s="12">
        <f t="shared" si="21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23"/>
        <v>0</v>
      </c>
      <c r="AF820" s="10"/>
      <c r="AG820" s="10"/>
      <c r="AH820" s="10"/>
      <c r="AI820" s="12">
        <f t="shared" si="217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7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4">SUM(D822:E822)</f>
        <v>0</v>
      </c>
      <c r="H822" s="10"/>
      <c r="I822" s="10"/>
      <c r="J822" s="10"/>
      <c r="K822" s="12">
        <f t="shared" ref="K822" si="225">SUM(G822:J822)</f>
        <v>0</v>
      </c>
      <c r="M822" s="10"/>
      <c r="N822" s="30"/>
      <c r="O822" s="31"/>
      <c r="P822" s="47"/>
      <c r="Q822" s="31"/>
      <c r="R822" s="31"/>
      <c r="S822" s="32">
        <f t="shared" ref="S822" si="226">SUM(P822:Q822)</f>
        <v>0</v>
      </c>
      <c r="T822" s="10"/>
      <c r="U822" s="10"/>
      <c r="V822" s="10"/>
      <c r="W822" s="12">
        <f t="shared" si="219"/>
        <v>0</v>
      </c>
      <c r="Y822" s="10"/>
      <c r="Z822" s="30"/>
      <c r="AA822" s="31"/>
      <c r="AB822" s="47"/>
      <c r="AC822" s="31"/>
      <c r="AD822" s="31"/>
      <c r="AE822" s="32">
        <f t="shared" ref="AE822" si="227">SUM(AB822:AC822)</f>
        <v>0</v>
      </c>
      <c r="AF822" s="10"/>
      <c r="AG822" s="10"/>
      <c r="AH822" s="10"/>
      <c r="AI822" s="12">
        <f t="shared" si="217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7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205575</v>
      </c>
      <c r="E825" s="38">
        <f t="shared" ref="E825:G825" si="228">SUM(E782:E822)</f>
        <v>0</v>
      </c>
      <c r="F825" s="38">
        <f t="shared" si="228"/>
        <v>0</v>
      </c>
      <c r="G825" s="38">
        <f>SUM(G782:G824)</f>
        <v>205575</v>
      </c>
      <c r="H825" s="4"/>
      <c r="I825" s="39">
        <f>SUM(I782:I824)</f>
        <v>40.5</v>
      </c>
      <c r="J825" s="39">
        <f>SUM(J782:J824)</f>
        <v>0</v>
      </c>
      <c r="K825" s="40">
        <f>SUM(K782:K824)</f>
        <v>205615.5</v>
      </c>
      <c r="N825" s="57"/>
      <c r="O825" s="57"/>
      <c r="P825" s="38">
        <f>SUM(P782:P824)</f>
        <v>130612.5</v>
      </c>
      <c r="Q825" s="38">
        <f>SUM(Q782:Q806)</f>
        <v>-252</v>
      </c>
      <c r="R825" s="38">
        <f>SUM(R782:R806)</f>
        <v>0</v>
      </c>
      <c r="S825" s="38">
        <f>SUM(S782:S824)</f>
        <v>130360.5</v>
      </c>
      <c r="T825" s="4"/>
      <c r="U825" s="41">
        <f>SUM(U782:U824)</f>
        <v>738</v>
      </c>
      <c r="V825" s="41">
        <f>SUM(V782:V806)</f>
        <v>-7101</v>
      </c>
      <c r="W825" s="42">
        <f>SUM(W782:W824)</f>
        <v>123997.5</v>
      </c>
      <c r="Z825" s="57"/>
      <c r="AA825" s="57"/>
      <c r="AB825" s="38">
        <f>SUM(AB782:AB824)</f>
        <v>293167.5</v>
      </c>
      <c r="AC825" s="38">
        <f>SUM(AC782:AC806)</f>
        <v>-1104</v>
      </c>
      <c r="AD825" s="38">
        <f>SUM(AD782:AD806)</f>
        <v>0</v>
      </c>
      <c r="AE825" s="38">
        <f>SUM(AE782:AE824)</f>
        <v>292063.5</v>
      </c>
      <c r="AF825" s="4"/>
      <c r="AG825" s="41">
        <f>SUM(AG782:AG824)</f>
        <v>267</v>
      </c>
      <c r="AH825" s="41">
        <f>SUM(AH782:AH806)</f>
        <v>-29641.5</v>
      </c>
      <c r="AI825" s="42">
        <f>SUM(AI782:AI824)</f>
        <v>262689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19"/>
      <c r="E835" s="119"/>
      <c r="F835" s="87"/>
      <c r="G835" s="87"/>
      <c r="H835" s="62"/>
      <c r="I835" s="119"/>
      <c r="J835" s="119"/>
      <c r="K835" s="120"/>
      <c r="L835" s="62"/>
      <c r="M835" s="62"/>
      <c r="N835" s="65"/>
      <c r="O835" s="87"/>
      <c r="P835" s="119"/>
      <c r="Q835" s="119"/>
      <c r="R835" s="87"/>
      <c r="S835" s="87"/>
      <c r="T835" s="62"/>
      <c r="U835" s="119"/>
      <c r="V835" s="119"/>
      <c r="W835" s="120"/>
      <c r="X835" s="62"/>
      <c r="Y835" s="62"/>
      <c r="Z835" s="65"/>
      <c r="AA835" s="87"/>
      <c r="AB835" s="119"/>
      <c r="AC835" s="119"/>
      <c r="AD835" s="87"/>
      <c r="AE835" s="87"/>
      <c r="AF835" s="62"/>
      <c r="AG835" s="119"/>
      <c r="AH835" s="119"/>
      <c r="AI835" s="12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20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20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2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19"/>
      <c r="E890" s="119"/>
      <c r="F890" s="87"/>
      <c r="G890" s="87"/>
      <c r="H890" s="62"/>
      <c r="I890" s="119"/>
      <c r="J890" s="119"/>
      <c r="K890" s="120"/>
      <c r="L890" s="62"/>
      <c r="M890" s="62"/>
      <c r="N890" s="65"/>
      <c r="O890" s="87"/>
      <c r="P890" s="119"/>
      <c r="Q890" s="119"/>
      <c r="R890" s="87"/>
      <c r="S890" s="87"/>
      <c r="T890" s="62"/>
      <c r="U890" s="119"/>
      <c r="V890" s="119"/>
      <c r="W890" s="120"/>
      <c r="X890" s="62"/>
      <c r="Y890" s="62"/>
      <c r="Z890" s="65"/>
      <c r="AA890" s="87"/>
      <c r="AB890" s="119"/>
      <c r="AC890" s="119"/>
      <c r="AD890" s="87"/>
      <c r="AE890" s="87"/>
      <c r="AF890" s="62"/>
      <c r="AG890" s="119"/>
      <c r="AH890" s="119"/>
      <c r="AI890" s="12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20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20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2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19"/>
      <c r="AO943" s="119"/>
      <c r="AP943" s="86"/>
      <c r="AQ943" s="86"/>
      <c r="AR943" s="62"/>
      <c r="AS943" s="119"/>
      <c r="AT943" s="119"/>
      <c r="AU943" s="120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0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19"/>
      <c r="E945" s="119"/>
      <c r="F945" s="87"/>
      <c r="G945" s="87"/>
      <c r="H945" s="62"/>
      <c r="I945" s="119"/>
      <c r="J945" s="119"/>
      <c r="K945" s="120"/>
      <c r="L945" s="62"/>
      <c r="M945" s="62"/>
      <c r="N945" s="65"/>
      <c r="O945" s="87"/>
      <c r="P945" s="119"/>
      <c r="Q945" s="119"/>
      <c r="R945" s="87"/>
      <c r="S945" s="87"/>
      <c r="T945" s="62"/>
      <c r="U945" s="119"/>
      <c r="V945" s="119"/>
      <c r="W945" s="120"/>
      <c r="X945" s="62"/>
      <c r="Y945" s="62"/>
      <c r="Z945" s="65"/>
      <c r="AA945" s="87"/>
      <c r="AB945" s="119"/>
      <c r="AC945" s="119"/>
      <c r="AD945" s="87"/>
      <c r="AE945" s="87"/>
      <c r="AF945" s="62"/>
      <c r="AG945" s="119"/>
      <c r="AH945" s="119"/>
      <c r="AI945" s="120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20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20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20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9"/>
      <c r="E998" s="119"/>
      <c r="F998" s="86"/>
      <c r="G998" s="86"/>
      <c r="H998" s="62"/>
      <c r="I998" s="119"/>
      <c r="J998" s="119"/>
      <c r="K998" s="120"/>
      <c r="L998" s="62"/>
      <c r="M998" s="62"/>
      <c r="N998" s="65"/>
      <c r="O998" s="86"/>
      <c r="P998" s="119"/>
      <c r="Q998" s="119"/>
      <c r="R998" s="86"/>
      <c r="S998" s="86"/>
      <c r="T998" s="62"/>
      <c r="U998" s="119"/>
      <c r="V998" s="119"/>
      <c r="W998" s="120"/>
      <c r="X998" s="62"/>
      <c r="Y998" s="62"/>
      <c r="Z998" s="65"/>
      <c r="AA998" s="86"/>
      <c r="AB998" s="119"/>
      <c r="AC998" s="119"/>
      <c r="AD998" s="86"/>
      <c r="AE998" s="86"/>
      <c r="AF998" s="62"/>
      <c r="AG998" s="119"/>
      <c r="AH998" s="119"/>
      <c r="AI998" s="120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0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0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0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9"/>
      <c r="E1053" s="119"/>
      <c r="F1053" s="86"/>
      <c r="G1053" s="86"/>
      <c r="H1053" s="62"/>
      <c r="I1053" s="119"/>
      <c r="J1053" s="119"/>
      <c r="K1053" s="120"/>
      <c r="L1053" s="62"/>
      <c r="M1053" s="62"/>
      <c r="N1053" s="65"/>
      <c r="O1053" s="86"/>
      <c r="P1053" s="119"/>
      <c r="Q1053" s="119"/>
      <c r="R1053" s="86"/>
      <c r="S1053" s="86"/>
      <c r="T1053" s="62"/>
      <c r="U1053" s="119"/>
      <c r="V1053" s="119"/>
      <c r="W1053" s="120"/>
      <c r="X1053" s="62"/>
      <c r="Y1053" s="62"/>
      <c r="Z1053" s="65"/>
      <c r="AA1053" s="86"/>
      <c r="AB1053" s="119"/>
      <c r="AC1053" s="119"/>
      <c r="AD1053" s="86"/>
      <c r="AE1053" s="86"/>
      <c r="AF1053" s="62"/>
      <c r="AG1053" s="119"/>
      <c r="AH1053" s="119"/>
      <c r="AI1053" s="120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0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0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0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9"/>
      <c r="E1108" s="119"/>
      <c r="F1108" s="86"/>
      <c r="G1108" s="86"/>
      <c r="H1108" s="62"/>
      <c r="I1108" s="119"/>
      <c r="J1108" s="119"/>
      <c r="K1108" s="120"/>
      <c r="L1108" s="62"/>
      <c r="M1108" s="62"/>
      <c r="N1108" s="65"/>
      <c r="O1108" s="86"/>
      <c r="P1108" s="119"/>
      <c r="Q1108" s="119"/>
      <c r="R1108" s="86"/>
      <c r="S1108" s="86"/>
      <c r="T1108" s="62"/>
      <c r="U1108" s="119"/>
      <c r="V1108" s="119"/>
      <c r="W1108" s="120"/>
      <c r="X1108" s="62"/>
      <c r="Y1108" s="62"/>
      <c r="Z1108" s="65"/>
      <c r="AA1108" s="86"/>
      <c r="AB1108" s="119"/>
      <c r="AC1108" s="119"/>
      <c r="AD1108" s="86"/>
      <c r="AE1108" s="86"/>
      <c r="AF1108" s="62"/>
      <c r="AG1108" s="119"/>
      <c r="AH1108" s="119"/>
      <c r="AI1108" s="120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0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0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0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9"/>
      <c r="E1163" s="119"/>
      <c r="F1163" s="86"/>
      <c r="G1163" s="86"/>
      <c r="H1163" s="62"/>
      <c r="I1163" s="119"/>
      <c r="J1163" s="119"/>
      <c r="K1163" s="120"/>
      <c r="L1163" s="62"/>
      <c r="M1163" s="62"/>
      <c r="N1163" s="65"/>
      <c r="O1163" s="86"/>
      <c r="P1163" s="119"/>
      <c r="Q1163" s="119"/>
      <c r="R1163" s="86"/>
      <c r="S1163" s="86"/>
      <c r="T1163" s="62"/>
      <c r="U1163" s="119"/>
      <c r="V1163" s="119"/>
      <c r="W1163" s="120"/>
      <c r="X1163" s="62"/>
      <c r="Y1163" s="62"/>
      <c r="Z1163" s="65"/>
      <c r="AA1163" s="86"/>
      <c r="AB1163" s="119"/>
      <c r="AC1163" s="119"/>
      <c r="AD1163" s="86"/>
      <c r="AE1163" s="86"/>
      <c r="AF1163" s="62"/>
      <c r="AG1163" s="119"/>
      <c r="AH1163" s="119"/>
      <c r="AI1163" s="120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0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0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0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9"/>
      <c r="E1219" s="119"/>
      <c r="F1219" s="86"/>
      <c r="G1219" s="86"/>
      <c r="H1219" s="62"/>
      <c r="I1219" s="119"/>
      <c r="J1219" s="119"/>
      <c r="K1219" s="120"/>
      <c r="L1219" s="62"/>
      <c r="M1219" s="62"/>
      <c r="N1219" s="65"/>
      <c r="O1219" s="86"/>
      <c r="P1219" s="119"/>
      <c r="Q1219" s="119"/>
      <c r="R1219" s="86"/>
      <c r="S1219" s="86"/>
      <c r="T1219" s="62"/>
      <c r="U1219" s="119"/>
      <c r="V1219" s="119"/>
      <c r="W1219" s="120"/>
      <c r="X1219" s="62"/>
      <c r="Y1219" s="62"/>
      <c r="Z1219" s="65"/>
      <c r="AA1219" s="86"/>
      <c r="AB1219" s="119"/>
      <c r="AC1219" s="119"/>
      <c r="AD1219" s="86"/>
      <c r="AE1219" s="86"/>
      <c r="AF1219" s="62"/>
      <c r="AG1219" s="119"/>
      <c r="AH1219" s="119"/>
      <c r="AI1219" s="120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0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0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0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9"/>
      <c r="E1281" s="119"/>
      <c r="F1281" s="86"/>
      <c r="G1281" s="86"/>
      <c r="H1281" s="62"/>
      <c r="I1281" s="119"/>
      <c r="J1281" s="119"/>
      <c r="K1281" s="120"/>
      <c r="L1281" s="62"/>
      <c r="M1281" s="62"/>
      <c r="N1281" s="65"/>
      <c r="O1281" s="86"/>
      <c r="P1281" s="119"/>
      <c r="Q1281" s="119"/>
      <c r="R1281" s="86"/>
      <c r="S1281" s="86"/>
      <c r="T1281" s="62"/>
      <c r="U1281" s="119"/>
      <c r="V1281" s="119"/>
      <c r="W1281" s="120"/>
      <c r="X1281" s="62"/>
      <c r="Y1281" s="62"/>
      <c r="Z1281" s="65"/>
      <c r="AA1281" s="86"/>
      <c r="AB1281" s="119"/>
      <c r="AC1281" s="119"/>
      <c r="AD1281" s="86"/>
      <c r="AE1281" s="86"/>
      <c r="AF1281" s="62"/>
      <c r="AG1281" s="119"/>
      <c r="AH1281" s="119"/>
      <c r="AI1281" s="120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0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0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0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2026-07-22T01:53:55Z</dcterms:modified>
</cp:coreProperties>
</file>