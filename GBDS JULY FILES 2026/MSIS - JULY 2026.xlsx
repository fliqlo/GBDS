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F63C2B95-C70C-42EE-93F8-5486C45B02A7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LY" sheetId="1" r:id="rId1"/>
    <sheet name="DSIS | JUL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511" i="2" l="1"/>
  <c r="AE511" i="2" s="1"/>
  <c r="AI511" i="2" s="1"/>
  <c r="AB510" i="2"/>
  <c r="AE510" i="2" s="1"/>
  <c r="AI510" i="2" s="1"/>
  <c r="AH509" i="2"/>
  <c r="AH550" i="2" s="1"/>
  <c r="AB509" i="2"/>
  <c r="AE508" i="2"/>
  <c r="AI508" i="2" s="1"/>
  <c r="AC508" i="2"/>
  <c r="AB508" i="2"/>
  <c r="AG507" i="2"/>
  <c r="AG550" i="2" s="1"/>
  <c r="AC507" i="2"/>
  <c r="AC550" i="2" s="1"/>
  <c r="AB507" i="2"/>
  <c r="AA508" i="2"/>
  <c r="AA509" i="2"/>
  <c r="AE509" i="2"/>
  <c r="AA511" i="2"/>
  <c r="AE512" i="2"/>
  <c r="AI512" i="2"/>
  <c r="AE513" i="2"/>
  <c r="AI513" i="2"/>
  <c r="AE514" i="2"/>
  <c r="AI514" i="2" s="1"/>
  <c r="AE515" i="2"/>
  <c r="AI515" i="2"/>
  <c r="AE516" i="2"/>
  <c r="AI516" i="2"/>
  <c r="AE517" i="2"/>
  <c r="AI517" i="2"/>
  <c r="AE518" i="2"/>
  <c r="AI518" i="2"/>
  <c r="AE519" i="2"/>
  <c r="AI519" i="2" s="1"/>
  <c r="AE520" i="2"/>
  <c r="AI520" i="2"/>
  <c r="AE521" i="2"/>
  <c r="AI521" i="2"/>
  <c r="AE522" i="2"/>
  <c r="AI522" i="2" s="1"/>
  <c r="AE523" i="2"/>
  <c r="AI523" i="2"/>
  <c r="AE524" i="2"/>
  <c r="AI524" i="2"/>
  <c r="AE525" i="2"/>
  <c r="AI525" i="2"/>
  <c r="AE526" i="2"/>
  <c r="AI526" i="2"/>
  <c r="AE527" i="2"/>
  <c r="AI527" i="2" s="1"/>
  <c r="AE528" i="2"/>
  <c r="AI528" i="2"/>
  <c r="AE529" i="2"/>
  <c r="AI529" i="2"/>
  <c r="AE530" i="2"/>
  <c r="AI530" i="2"/>
  <c r="AE531" i="2"/>
  <c r="AI531" i="2"/>
  <c r="AE532" i="2"/>
  <c r="AI532" i="2"/>
  <c r="AE533" i="2"/>
  <c r="AI533" i="2"/>
  <c r="AE534" i="2"/>
  <c r="AI534" i="2"/>
  <c r="AE535" i="2"/>
  <c r="AI535" i="2" s="1"/>
  <c r="AE536" i="2"/>
  <c r="AI536" i="2"/>
  <c r="AE537" i="2"/>
  <c r="AI537" i="2"/>
  <c r="AE538" i="2"/>
  <c r="AI538" i="2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/>
  <c r="AE545" i="2"/>
  <c r="AI545" i="2"/>
  <c r="AI546" i="2"/>
  <c r="AE547" i="2"/>
  <c r="AI547" i="2"/>
  <c r="AI548" i="2"/>
  <c r="AD550" i="2"/>
  <c r="P510" i="2"/>
  <c r="S510" i="2" s="1"/>
  <c r="W510" i="2" s="1"/>
  <c r="P509" i="2"/>
  <c r="S509" i="2" s="1"/>
  <c r="W509" i="2" s="1"/>
  <c r="Q508" i="2"/>
  <c r="Q550" i="2" s="1"/>
  <c r="P508" i="2"/>
  <c r="P507" i="2"/>
  <c r="O508" i="2"/>
  <c r="O509" i="2" s="1"/>
  <c r="O510" i="2" s="1"/>
  <c r="S507" i="2"/>
  <c r="S511" i="2"/>
  <c r="W511" i="2" s="1"/>
  <c r="S512" i="2"/>
  <c r="W512" i="2" s="1"/>
  <c r="S513" i="2"/>
  <c r="W513" i="2"/>
  <c r="S514" i="2"/>
  <c r="W514" i="2"/>
  <c r="S515" i="2"/>
  <c r="W515" i="2" s="1"/>
  <c r="S516" i="2"/>
  <c r="W516" i="2"/>
  <c r="S517" i="2"/>
  <c r="W517" i="2"/>
  <c r="S518" i="2"/>
  <c r="W518" i="2" s="1"/>
  <c r="S519" i="2"/>
  <c r="W519" i="2"/>
  <c r="S520" i="2"/>
  <c r="W520" i="2"/>
  <c r="S521" i="2"/>
  <c r="W521" i="2"/>
  <c r="S522" i="2"/>
  <c r="W522" i="2"/>
  <c r="S523" i="2"/>
  <c r="W523" i="2" s="1"/>
  <c r="S524" i="2"/>
  <c r="W524" i="2"/>
  <c r="S525" i="2"/>
  <c r="W525" i="2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 s="1"/>
  <c r="S539" i="2"/>
  <c r="W539" i="2" s="1"/>
  <c r="S540" i="2"/>
  <c r="W540" i="2"/>
  <c r="S541" i="2"/>
  <c r="W541" i="2"/>
  <c r="S542" i="2"/>
  <c r="W542" i="2" s="1"/>
  <c r="S543" i="2"/>
  <c r="W543" i="2"/>
  <c r="S544" i="2"/>
  <c r="W544" i="2"/>
  <c r="S545" i="2"/>
  <c r="W545" i="2"/>
  <c r="W546" i="2"/>
  <c r="S547" i="2"/>
  <c r="W547" i="2" s="1"/>
  <c r="W548" i="2"/>
  <c r="R550" i="2"/>
  <c r="U550" i="2"/>
  <c r="V550" i="2"/>
  <c r="J510" i="2"/>
  <c r="D510" i="2"/>
  <c r="G510" i="2" s="1"/>
  <c r="K510" i="2" s="1"/>
  <c r="D509" i="2"/>
  <c r="D508" i="2"/>
  <c r="G508" i="2" s="1"/>
  <c r="K508" i="2" s="1"/>
  <c r="J507" i="2"/>
  <c r="J550" i="2" s="1"/>
  <c r="I507" i="2"/>
  <c r="E507" i="2"/>
  <c r="D507" i="2"/>
  <c r="C508" i="2"/>
  <c r="C509" i="2" s="1"/>
  <c r="C510" i="2" s="1"/>
  <c r="G507" i="2"/>
  <c r="G509" i="2"/>
  <c r="K509" i="2" s="1"/>
  <c r="G511" i="2"/>
  <c r="K511" i="2" s="1"/>
  <c r="E550" i="2"/>
  <c r="G512" i="2"/>
  <c r="K512" i="2" s="1"/>
  <c r="G513" i="2"/>
  <c r="K513" i="2" s="1"/>
  <c r="G514" i="2"/>
  <c r="K514" i="2"/>
  <c r="G515" i="2"/>
  <c r="K515" i="2"/>
  <c r="G516" i="2"/>
  <c r="K516" i="2"/>
  <c r="G517" i="2"/>
  <c r="K517" i="2"/>
  <c r="G518" i="2"/>
  <c r="K518" i="2"/>
  <c r="G519" i="2"/>
  <c r="K519" i="2" s="1"/>
  <c r="G520" i="2"/>
  <c r="K520" i="2"/>
  <c r="G521" i="2"/>
  <c r="K521" i="2" s="1"/>
  <c r="G522" i="2"/>
  <c r="K522" i="2"/>
  <c r="G523" i="2"/>
  <c r="K523" i="2"/>
  <c r="G524" i="2"/>
  <c r="K524" i="2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/>
  <c r="G532" i="2"/>
  <c r="K532" i="2"/>
  <c r="G533" i="2"/>
  <c r="K533" i="2"/>
  <c r="G534" i="2"/>
  <c r="K534" i="2"/>
  <c r="G535" i="2"/>
  <c r="K535" i="2" s="1"/>
  <c r="G536" i="2"/>
  <c r="K536" i="2"/>
  <c r="G537" i="2"/>
  <c r="K537" i="2"/>
  <c r="G538" i="2"/>
  <c r="K538" i="2"/>
  <c r="G539" i="2"/>
  <c r="K539" i="2"/>
  <c r="G540" i="2"/>
  <c r="K540" i="2"/>
  <c r="G547" i="2"/>
  <c r="K547" i="2"/>
  <c r="F550" i="2"/>
  <c r="I550" i="2"/>
  <c r="AI509" i="2" l="1"/>
  <c r="AE507" i="2"/>
  <c r="AB550" i="2"/>
  <c r="AE550" i="2"/>
  <c r="AI507" i="2"/>
  <c r="P550" i="2"/>
  <c r="S508" i="2"/>
  <c r="W508" i="2" s="1"/>
  <c r="W507" i="2"/>
  <c r="S550" i="2"/>
  <c r="K507" i="2"/>
  <c r="K550" i="2" s="1"/>
  <c r="G550" i="2"/>
  <c r="D550" i="2"/>
  <c r="AB457" i="2"/>
  <c r="AH495" i="2"/>
  <c r="AE457" i="2"/>
  <c r="AI457" i="2" s="1"/>
  <c r="AG456" i="2"/>
  <c r="AB456" i="2"/>
  <c r="AB455" i="2"/>
  <c r="AE455" i="2" s="1"/>
  <c r="AI455" i="2" s="1"/>
  <c r="AC454" i="2"/>
  <c r="AB454" i="2"/>
  <c r="AH452" i="2"/>
  <c r="AB452" i="2"/>
  <c r="AC452" i="2"/>
  <c r="AC495" i="2" s="1"/>
  <c r="AE452" i="2"/>
  <c r="AA453" i="2"/>
  <c r="AE454" i="2"/>
  <c r="AI454" i="2"/>
  <c r="AA454" i="2"/>
  <c r="AA455" i="2" s="1"/>
  <c r="AA456" i="2" s="1"/>
  <c r="AA457" i="2" s="1"/>
  <c r="AE456" i="2"/>
  <c r="AE458" i="2"/>
  <c r="AI458" i="2" s="1"/>
  <c r="AE460" i="2"/>
  <c r="AI460" i="2" s="1"/>
  <c r="AE461" i="2"/>
  <c r="AI461" i="2" s="1"/>
  <c r="AE462" i="2"/>
  <c r="AI462" i="2" s="1"/>
  <c r="AE463" i="2"/>
  <c r="AI463" i="2" s="1"/>
  <c r="AE464" i="2"/>
  <c r="AI464" i="2" s="1"/>
  <c r="AE465" i="2"/>
  <c r="AI465" i="2" s="1"/>
  <c r="AE466" i="2"/>
  <c r="AI466" i="2"/>
  <c r="AE467" i="2"/>
  <c r="AI467" i="2"/>
  <c r="AE468" i="2"/>
  <c r="AI468" i="2" s="1"/>
  <c r="AE469" i="2"/>
  <c r="AI469" i="2"/>
  <c r="AE470" i="2"/>
  <c r="AI470" i="2" s="1"/>
  <c r="AE471" i="2"/>
  <c r="AI471" i="2" s="1"/>
  <c r="AE472" i="2"/>
  <c r="AI472" i="2" s="1"/>
  <c r="AE473" i="2"/>
  <c r="AI473" i="2" s="1"/>
  <c r="AE474" i="2"/>
  <c r="AI474" i="2"/>
  <c r="AE475" i="2"/>
  <c r="AI475" i="2"/>
  <c r="AE476" i="2"/>
  <c r="AI476" i="2"/>
  <c r="AE477" i="2"/>
  <c r="AI477" i="2"/>
  <c r="AE478" i="2"/>
  <c r="AI478" i="2" s="1"/>
  <c r="AE479" i="2"/>
  <c r="AI479" i="2" s="1"/>
  <c r="AE480" i="2"/>
  <c r="AI480" i="2" s="1"/>
  <c r="AE481" i="2"/>
  <c r="AI481" i="2" s="1"/>
  <c r="AE482" i="2"/>
  <c r="AI482" i="2"/>
  <c r="AE483" i="2"/>
  <c r="AI483" i="2" s="1"/>
  <c r="AE484" i="2"/>
  <c r="AI484" i="2"/>
  <c r="AE485" i="2"/>
  <c r="AI485" i="2"/>
  <c r="AE486" i="2"/>
  <c r="AI486" i="2" s="1"/>
  <c r="AE487" i="2"/>
  <c r="AI487" i="2" s="1"/>
  <c r="AE488" i="2"/>
  <c r="AI488" i="2" s="1"/>
  <c r="AE489" i="2"/>
  <c r="AI489" i="2" s="1"/>
  <c r="AE490" i="2"/>
  <c r="AI490" i="2" s="1"/>
  <c r="AI491" i="2"/>
  <c r="AE492" i="2"/>
  <c r="AI492" i="2"/>
  <c r="AI493" i="2"/>
  <c r="AD495" i="2"/>
  <c r="AG495" i="2"/>
  <c r="P457" i="2"/>
  <c r="S457" i="2" s="1"/>
  <c r="W457" i="2" s="1"/>
  <c r="U456" i="2"/>
  <c r="P456" i="2"/>
  <c r="S456" i="2" s="1"/>
  <c r="W456" i="2" s="1"/>
  <c r="U455" i="2"/>
  <c r="U495" i="2" s="1"/>
  <c r="Q455" i="2"/>
  <c r="P455" i="2"/>
  <c r="S455" i="2" s="1"/>
  <c r="Q454" i="2"/>
  <c r="P454" i="2"/>
  <c r="S454" i="2" s="1"/>
  <c r="W454" i="2" s="1"/>
  <c r="P453" i="2"/>
  <c r="U452" i="2"/>
  <c r="P452" i="2"/>
  <c r="R495" i="2"/>
  <c r="W493" i="2"/>
  <c r="S492" i="2"/>
  <c r="W492" i="2" s="1"/>
  <c r="W491" i="2"/>
  <c r="S490" i="2"/>
  <c r="W490" i="2" s="1"/>
  <c r="W489" i="2"/>
  <c r="S489" i="2"/>
  <c r="W488" i="2"/>
  <c r="S488" i="2"/>
  <c r="S487" i="2"/>
  <c r="W487" i="2" s="1"/>
  <c r="S486" i="2"/>
  <c r="W486" i="2" s="1"/>
  <c r="W485" i="2"/>
  <c r="S485" i="2"/>
  <c r="W484" i="2"/>
  <c r="S484" i="2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W476" i="2"/>
  <c r="S476" i="2"/>
  <c r="S475" i="2"/>
  <c r="W475" i="2" s="1"/>
  <c r="S474" i="2"/>
  <c r="W474" i="2" s="1"/>
  <c r="W473" i="2"/>
  <c r="S473" i="2"/>
  <c r="W472" i="2"/>
  <c r="S472" i="2"/>
  <c r="S471" i="2"/>
  <c r="W471" i="2" s="1"/>
  <c r="S470" i="2"/>
  <c r="W470" i="2" s="1"/>
  <c r="W469" i="2"/>
  <c r="S469" i="2"/>
  <c r="W468" i="2"/>
  <c r="S468" i="2"/>
  <c r="S467" i="2"/>
  <c r="W467" i="2" s="1"/>
  <c r="S466" i="2"/>
  <c r="W466" i="2" s="1"/>
  <c r="W465" i="2"/>
  <c r="S465" i="2"/>
  <c r="W464" i="2"/>
  <c r="S464" i="2"/>
  <c r="S463" i="2"/>
  <c r="W463" i="2" s="1"/>
  <c r="S462" i="2"/>
  <c r="W462" i="2" s="1"/>
  <c r="S461" i="2"/>
  <c r="W461" i="2" s="1"/>
  <c r="S460" i="2"/>
  <c r="W460" i="2" s="1"/>
  <c r="S459" i="2"/>
  <c r="W459" i="2" s="1"/>
  <c r="S458" i="2"/>
  <c r="W458" i="2" s="1"/>
  <c r="V495" i="2"/>
  <c r="Q495" i="2"/>
  <c r="O454" i="2"/>
  <c r="O455" i="2" s="1"/>
  <c r="O456" i="2" s="1"/>
  <c r="O457" i="2" s="1"/>
  <c r="S452" i="2"/>
  <c r="D457" i="2"/>
  <c r="G457" i="2" s="1"/>
  <c r="K457" i="2" s="1"/>
  <c r="J456" i="2"/>
  <c r="J495" i="2" s="1"/>
  <c r="I456" i="2"/>
  <c r="I495" i="2" s="1"/>
  <c r="E456" i="2"/>
  <c r="D456" i="2"/>
  <c r="G456" i="2" s="1"/>
  <c r="D455" i="2"/>
  <c r="G455" i="2" s="1"/>
  <c r="K455" i="2" s="1"/>
  <c r="D454" i="2"/>
  <c r="G454" i="2" s="1"/>
  <c r="K454" i="2" s="1"/>
  <c r="D453" i="2"/>
  <c r="D452" i="2"/>
  <c r="F495" i="2"/>
  <c r="E495" i="2"/>
  <c r="K492" i="2"/>
  <c r="G492" i="2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K478" i="2"/>
  <c r="G478" i="2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K470" i="2"/>
  <c r="G470" i="2"/>
  <c r="G469" i="2"/>
  <c r="K469" i="2" s="1"/>
  <c r="G468" i="2"/>
  <c r="K468" i="2" s="1"/>
  <c r="G467" i="2"/>
  <c r="K467" i="2" s="1"/>
  <c r="G466" i="2"/>
  <c r="K466" i="2" s="1"/>
  <c r="G465" i="2"/>
  <c r="K465" i="2" s="1"/>
  <c r="G464" i="2"/>
  <c r="K464" i="2" s="1"/>
  <c r="G463" i="2"/>
  <c r="K463" i="2" s="1"/>
  <c r="K462" i="2"/>
  <c r="G462" i="2"/>
  <c r="G461" i="2"/>
  <c r="K461" i="2" s="1"/>
  <c r="G460" i="2"/>
  <c r="K460" i="2" s="1"/>
  <c r="G459" i="2"/>
  <c r="K459" i="2" s="1"/>
  <c r="G458" i="2"/>
  <c r="K458" i="2" s="1"/>
  <c r="G453" i="2"/>
  <c r="K453" i="2" s="1"/>
  <c r="C454" i="2"/>
  <c r="C455" i="2" s="1"/>
  <c r="C456" i="2" s="1"/>
  <c r="C457" i="2" s="1"/>
  <c r="AI550" i="2" l="1"/>
  <c r="W550" i="2"/>
  <c r="AB495" i="2"/>
  <c r="AI456" i="2"/>
  <c r="AI452" i="2"/>
  <c r="AE459" i="2"/>
  <c r="AI459" i="2" s="1"/>
  <c r="W455" i="2"/>
  <c r="P495" i="2"/>
  <c r="W452" i="2"/>
  <c r="S453" i="2"/>
  <c r="W453" i="2" s="1"/>
  <c r="K456" i="2"/>
  <c r="D495" i="2"/>
  <c r="G452" i="2"/>
  <c r="AB407" i="2"/>
  <c r="AB406" i="2"/>
  <c r="AG405" i="2"/>
  <c r="AB405" i="2"/>
  <c r="AA405" i="2"/>
  <c r="AA406" i="2" s="1"/>
  <c r="AA407" i="2" s="1"/>
  <c r="AB404" i="2"/>
  <c r="AE404" i="2" s="1"/>
  <c r="AI404" i="2" s="1"/>
  <c r="AB403" i="2"/>
  <c r="AE403" i="2" s="1"/>
  <c r="AI403" i="2" s="1"/>
  <c r="AB402" i="2"/>
  <c r="AE402" i="2" s="1"/>
  <c r="AI402" i="2" s="1"/>
  <c r="AG401" i="2"/>
  <c r="AG440" i="2" s="1"/>
  <c r="AB401" i="2"/>
  <c r="AE401" i="2" s="1"/>
  <c r="AB400" i="2"/>
  <c r="AE400" i="2" s="1"/>
  <c r="AI400" i="2" s="1"/>
  <c r="AB399" i="2"/>
  <c r="AB398" i="2"/>
  <c r="AC397" i="2"/>
  <c r="AB397" i="2"/>
  <c r="AH440" i="2"/>
  <c r="AD440" i="2"/>
  <c r="AI438" i="2"/>
  <c r="AE437" i="2"/>
  <c r="AI437" i="2" s="1"/>
  <c r="AI436" i="2"/>
  <c r="AE435" i="2"/>
  <c r="AI435" i="2" s="1"/>
  <c r="AI434" i="2"/>
  <c r="AE434" i="2"/>
  <c r="AE433" i="2"/>
  <c r="AI433" i="2" s="1"/>
  <c r="AI432" i="2"/>
  <c r="AE432" i="2"/>
  <c r="AE431" i="2"/>
  <c r="AI431" i="2" s="1"/>
  <c r="AE430" i="2"/>
  <c r="AI430" i="2" s="1"/>
  <c r="AE429" i="2"/>
  <c r="AI429" i="2" s="1"/>
  <c r="AI428" i="2"/>
  <c r="AE428" i="2"/>
  <c r="AE427" i="2"/>
  <c r="AI427" i="2" s="1"/>
  <c r="AE426" i="2"/>
  <c r="AI426" i="2" s="1"/>
  <c r="AE425" i="2"/>
  <c r="AI425" i="2" s="1"/>
  <c r="AI424" i="2"/>
  <c r="AE424" i="2"/>
  <c r="AE423" i="2"/>
  <c r="AI423" i="2" s="1"/>
  <c r="AE422" i="2"/>
  <c r="AI422" i="2" s="1"/>
  <c r="AE421" i="2"/>
  <c r="AI421" i="2" s="1"/>
  <c r="AI420" i="2"/>
  <c r="AE420" i="2"/>
  <c r="AE419" i="2"/>
  <c r="AI419" i="2" s="1"/>
  <c r="AE418" i="2"/>
  <c r="AI418" i="2" s="1"/>
  <c r="AE417" i="2"/>
  <c r="AI417" i="2" s="1"/>
  <c r="AI416" i="2"/>
  <c r="AE416" i="2"/>
  <c r="AE415" i="2"/>
  <c r="AI415" i="2" s="1"/>
  <c r="AE414" i="2"/>
  <c r="AI414" i="2" s="1"/>
  <c r="AE413" i="2"/>
  <c r="AI413" i="2" s="1"/>
  <c r="AI412" i="2"/>
  <c r="AE412" i="2"/>
  <c r="AE411" i="2"/>
  <c r="AI411" i="2" s="1"/>
  <c r="AE410" i="2"/>
  <c r="AI410" i="2" s="1"/>
  <c r="AE409" i="2"/>
  <c r="AI409" i="2" s="1"/>
  <c r="AI408" i="2"/>
  <c r="AE408" i="2"/>
  <c r="AE407" i="2"/>
  <c r="AI407" i="2" s="1"/>
  <c r="AE406" i="2"/>
  <c r="AI406" i="2" s="1"/>
  <c r="AE405" i="2"/>
  <c r="AI405" i="2" s="1"/>
  <c r="AE399" i="2"/>
  <c r="AI399" i="2" s="1"/>
  <c r="AA399" i="2"/>
  <c r="AA400" i="2" s="1"/>
  <c r="AA401" i="2" s="1"/>
  <c r="AA402" i="2" s="1"/>
  <c r="AA403" i="2" s="1"/>
  <c r="AA404" i="2" s="1"/>
  <c r="AE398" i="2"/>
  <c r="AI398" i="2" s="1"/>
  <c r="AA398" i="2"/>
  <c r="AC440" i="2"/>
  <c r="AE495" i="2" l="1"/>
  <c r="AI495" i="2"/>
  <c r="W495" i="2"/>
  <c r="S495" i="2"/>
  <c r="G495" i="2"/>
  <c r="K452" i="2"/>
  <c r="K495" i="2" s="1"/>
  <c r="AI401" i="2"/>
  <c r="AE397" i="2"/>
  <c r="AE440" i="2" s="1"/>
  <c r="AB440" i="2"/>
  <c r="AB349" i="2"/>
  <c r="AE349" i="2" s="1"/>
  <c r="AI349" i="2" s="1"/>
  <c r="AB348" i="2"/>
  <c r="AE348" i="2" s="1"/>
  <c r="AI348" i="2" s="1"/>
  <c r="AB347" i="2"/>
  <c r="AE347" i="2" s="1"/>
  <c r="AI347" i="2" s="1"/>
  <c r="AB346" i="2"/>
  <c r="AE346" i="2" s="1"/>
  <c r="AI346" i="2" s="1"/>
  <c r="AB345" i="2"/>
  <c r="AB344" i="2"/>
  <c r="AG343" i="2"/>
  <c r="AB343" i="2"/>
  <c r="AC342" i="2"/>
  <c r="AC385" i="2" s="1"/>
  <c r="AB342" i="2"/>
  <c r="AE342" i="2"/>
  <c r="AI342" i="2" s="1"/>
  <c r="AA343" i="2"/>
  <c r="AA344" i="2" s="1"/>
  <c r="AA345" i="2" s="1"/>
  <c r="AA346" i="2" s="1"/>
  <c r="AA347" i="2" s="1"/>
  <c r="AA348" i="2" s="1"/>
  <c r="AA349" i="2" s="1"/>
  <c r="AE343" i="2"/>
  <c r="AI343" i="2" s="1"/>
  <c r="AE344" i="2"/>
  <c r="AI344" i="2" s="1"/>
  <c r="AH385" i="2"/>
  <c r="AE350" i="2"/>
  <c r="AI350" i="2"/>
  <c r="AE351" i="2"/>
  <c r="AI351" i="2"/>
  <c r="AE352" i="2"/>
  <c r="AI352" i="2" s="1"/>
  <c r="AE353" i="2"/>
  <c r="AI353" i="2"/>
  <c r="AE354" i="2"/>
  <c r="AI354" i="2"/>
  <c r="AE355" i="2"/>
  <c r="AI355" i="2"/>
  <c r="AE356" i="2"/>
  <c r="AI356" i="2" s="1"/>
  <c r="AE357" i="2"/>
  <c r="AI357" i="2"/>
  <c r="AE358" i="2"/>
  <c r="AI358" i="2"/>
  <c r="AE359" i="2"/>
  <c r="AI359" i="2"/>
  <c r="AE360" i="2"/>
  <c r="AI360" i="2" s="1"/>
  <c r="AE361" i="2"/>
  <c r="AI361" i="2"/>
  <c r="AE362" i="2"/>
  <c r="AI362" i="2"/>
  <c r="AE363" i="2"/>
  <c r="AI363" i="2"/>
  <c r="AE364" i="2"/>
  <c r="AI364" i="2" s="1"/>
  <c r="AE365" i="2"/>
  <c r="AI365" i="2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/>
  <c r="AE372" i="2"/>
  <c r="AI372" i="2"/>
  <c r="AE373" i="2"/>
  <c r="AI373" i="2"/>
  <c r="AE374" i="2"/>
  <c r="AI374" i="2"/>
  <c r="AE375" i="2"/>
  <c r="AI375" i="2"/>
  <c r="AE376" i="2"/>
  <c r="AI376" i="2" s="1"/>
  <c r="AE377" i="2"/>
  <c r="AI377" i="2"/>
  <c r="AE378" i="2"/>
  <c r="AI378" i="2"/>
  <c r="AE379" i="2"/>
  <c r="AI379" i="2"/>
  <c r="AE380" i="2"/>
  <c r="AI380" i="2"/>
  <c r="AI381" i="2"/>
  <c r="AE382" i="2"/>
  <c r="AI382" i="2"/>
  <c r="AI383" i="2"/>
  <c r="AD385" i="2"/>
  <c r="AG385" i="2"/>
  <c r="U351" i="2"/>
  <c r="P351" i="2"/>
  <c r="P350" i="2"/>
  <c r="V349" i="2"/>
  <c r="P349" i="2"/>
  <c r="P348" i="2"/>
  <c r="S348" i="2" s="1"/>
  <c r="W348" i="2" s="1"/>
  <c r="P347" i="2"/>
  <c r="S347" i="2" s="1"/>
  <c r="W347" i="2" s="1"/>
  <c r="P346" i="2"/>
  <c r="S346" i="2" s="1"/>
  <c r="W346" i="2" s="1"/>
  <c r="P345" i="2"/>
  <c r="S345" i="2" s="1"/>
  <c r="W345" i="2" s="1"/>
  <c r="P344" i="2"/>
  <c r="V343" i="2"/>
  <c r="U343" i="2"/>
  <c r="Q343" i="2"/>
  <c r="S343" i="2" s="1"/>
  <c r="W343" i="2" s="1"/>
  <c r="P343" i="2"/>
  <c r="P342" i="2"/>
  <c r="O343" i="2"/>
  <c r="O344" i="2"/>
  <c r="O345" i="2" s="1"/>
  <c r="O346" i="2" s="1"/>
  <c r="O347" i="2" s="1"/>
  <c r="O348" i="2" s="1"/>
  <c r="O349" i="2" s="1"/>
  <c r="O350" i="2" s="1"/>
  <c r="O351" i="2" s="1"/>
  <c r="S344" i="2"/>
  <c r="W344" i="2" s="1"/>
  <c r="S349" i="2"/>
  <c r="W349" i="2" s="1"/>
  <c r="S350" i="2"/>
  <c r="W350" i="2" s="1"/>
  <c r="S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/>
  <c r="S358" i="2"/>
  <c r="W358" i="2" s="1"/>
  <c r="S359" i="2"/>
  <c r="W359" i="2"/>
  <c r="S360" i="2"/>
  <c r="W360" i="2" s="1"/>
  <c r="S361" i="2"/>
  <c r="W361" i="2"/>
  <c r="S362" i="2"/>
  <c r="W362" i="2"/>
  <c r="S363" i="2"/>
  <c r="W363" i="2"/>
  <c r="S364" i="2"/>
  <c r="W364" i="2"/>
  <c r="S365" i="2"/>
  <c r="W365" i="2"/>
  <c r="S366" i="2"/>
  <c r="W366" i="2" s="1"/>
  <c r="S367" i="2"/>
  <c r="W367" i="2"/>
  <c r="S368" i="2"/>
  <c r="W368" i="2" s="1"/>
  <c r="S369" i="2"/>
  <c r="W369" i="2"/>
  <c r="S370" i="2"/>
  <c r="W370" i="2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I385" i="2"/>
  <c r="D347" i="2"/>
  <c r="G347" i="2" s="1"/>
  <c r="J346" i="2"/>
  <c r="D346" i="2"/>
  <c r="D345" i="2"/>
  <c r="D344" i="2"/>
  <c r="D343" i="2"/>
  <c r="G343" i="2" s="1"/>
  <c r="I342" i="2"/>
  <c r="D342" i="2"/>
  <c r="G342" i="2" s="1"/>
  <c r="K342" i="2" s="1"/>
  <c r="C343" i="2"/>
  <c r="C344" i="2" s="1"/>
  <c r="C345" i="2" s="1"/>
  <c r="C346" i="2" s="1"/>
  <c r="C347" i="2" s="1"/>
  <c r="G344" i="2"/>
  <c r="K344" i="2" s="1"/>
  <c r="G345" i="2"/>
  <c r="K345" i="2" s="1"/>
  <c r="G346" i="2"/>
  <c r="G348" i="2"/>
  <c r="K348" i="2"/>
  <c r="G349" i="2"/>
  <c r="K349" i="2"/>
  <c r="G350" i="2"/>
  <c r="K350" i="2" s="1"/>
  <c r="G351" i="2"/>
  <c r="K351" i="2"/>
  <c r="G352" i="2"/>
  <c r="K352" i="2" s="1"/>
  <c r="G353" i="2"/>
  <c r="K353" i="2"/>
  <c r="G354" i="2"/>
  <c r="K354" i="2"/>
  <c r="G355" i="2"/>
  <c r="K355" i="2"/>
  <c r="G356" i="2"/>
  <c r="K356" i="2"/>
  <c r="G357" i="2"/>
  <c r="K357" i="2"/>
  <c r="G358" i="2"/>
  <c r="K358" i="2" s="1"/>
  <c r="G359" i="2"/>
  <c r="K359" i="2"/>
  <c r="G360" i="2"/>
  <c r="K360" i="2" s="1"/>
  <c r="G361" i="2"/>
  <c r="K361" i="2"/>
  <c r="G362" i="2"/>
  <c r="K362" i="2"/>
  <c r="G363" i="2"/>
  <c r="K363" i="2"/>
  <c r="G364" i="2"/>
  <c r="K364" i="2"/>
  <c r="G365" i="2"/>
  <c r="K365" i="2"/>
  <c r="G366" i="2"/>
  <c r="K366" i="2" s="1"/>
  <c r="G367" i="2"/>
  <c r="K367" i="2"/>
  <c r="G368" i="2"/>
  <c r="K368" i="2" s="1"/>
  <c r="G369" i="2"/>
  <c r="K369" i="2"/>
  <c r="G370" i="2"/>
  <c r="K370" i="2"/>
  <c r="G371" i="2"/>
  <c r="K371" i="2"/>
  <c r="G372" i="2"/>
  <c r="K372" i="2"/>
  <c r="G373" i="2"/>
  <c r="K373" i="2"/>
  <c r="G374" i="2"/>
  <c r="K374" i="2" s="1"/>
  <c r="G375" i="2"/>
  <c r="K375" i="2"/>
  <c r="G382" i="2"/>
  <c r="K382" i="2" s="1"/>
  <c r="E385" i="2"/>
  <c r="F385" i="2"/>
  <c r="J385" i="2"/>
  <c r="AI397" i="2" l="1"/>
  <c r="AI440" i="2" s="1"/>
  <c r="AB385" i="2"/>
  <c r="AE345" i="2"/>
  <c r="AI345" i="2" s="1"/>
  <c r="AI385" i="2"/>
  <c r="AE385" i="2"/>
  <c r="U385" i="2"/>
  <c r="W351" i="2"/>
  <c r="W385" i="2" s="1"/>
  <c r="V385" i="2"/>
  <c r="P385" i="2"/>
  <c r="Q385" i="2"/>
  <c r="S342" i="2"/>
  <c r="W342" i="2" s="1"/>
  <c r="S385" i="2"/>
  <c r="K347" i="2"/>
  <c r="K346" i="2"/>
  <c r="K343" i="2"/>
  <c r="G385" i="2"/>
  <c r="D385" i="2"/>
  <c r="AC292" i="2"/>
  <c r="AG291" i="2"/>
  <c r="AB291" i="2"/>
  <c r="K385" i="2" l="1"/>
  <c r="AB292" i="2"/>
  <c r="AB290" i="2"/>
  <c r="AE290" i="2" s="1"/>
  <c r="AI290" i="2" s="1"/>
  <c r="AH289" i="2"/>
  <c r="AB289" i="2"/>
  <c r="AE289" i="2" s="1"/>
  <c r="AI289" i="2" s="1"/>
  <c r="AB288" i="2"/>
  <c r="AB287" i="2"/>
  <c r="AD330" i="2"/>
  <c r="AI328" i="2"/>
  <c r="AI327" i="2"/>
  <c r="AE327" i="2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I320" i="2"/>
  <c r="AE320" i="2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I312" i="2"/>
  <c r="AE312" i="2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I304" i="2"/>
  <c r="AE304" i="2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E295" i="2"/>
  <c r="AI295" i="2" s="1"/>
  <c r="AE294" i="2"/>
  <c r="AI294" i="2" s="1"/>
  <c r="AE293" i="2"/>
  <c r="AI293" i="2" s="1"/>
  <c r="AE292" i="2"/>
  <c r="AI292" i="2" s="1"/>
  <c r="AE291" i="2"/>
  <c r="AI291" i="2" s="1"/>
  <c r="AH330" i="2"/>
  <c r="AE288" i="2"/>
  <c r="AI288" i="2" s="1"/>
  <c r="AA288" i="2"/>
  <c r="AA289" i="2" s="1"/>
  <c r="AA290" i="2" s="1"/>
  <c r="AA291" i="2" s="1"/>
  <c r="AA292" i="2" s="1"/>
  <c r="AG330" i="2"/>
  <c r="AC330" i="2"/>
  <c r="V293" i="2"/>
  <c r="P293" i="2"/>
  <c r="P292" i="2"/>
  <c r="P291" i="2"/>
  <c r="O291" i="2"/>
  <c r="O292" i="2" s="1"/>
  <c r="O293" i="2" s="1"/>
  <c r="O294" i="2" s="1"/>
  <c r="P290" i="2"/>
  <c r="P289" i="2"/>
  <c r="V288" i="2"/>
  <c r="U288" i="2"/>
  <c r="U330" i="2" s="1"/>
  <c r="Q288" i="2"/>
  <c r="S288" i="2" s="1"/>
  <c r="P288" i="2"/>
  <c r="P287" i="2"/>
  <c r="S287" i="2" s="1"/>
  <c r="R330" i="2"/>
  <c r="W328" i="2"/>
  <c r="S327" i="2"/>
  <c r="W327" i="2" s="1"/>
  <c r="W326" i="2"/>
  <c r="S325" i="2"/>
  <c r="W325" i="2" s="1"/>
  <c r="S324" i="2"/>
  <c r="W324" i="2" s="1"/>
  <c r="W323" i="2"/>
  <c r="S323" i="2"/>
  <c r="S322" i="2"/>
  <c r="W322" i="2" s="1"/>
  <c r="S321" i="2"/>
  <c r="W321" i="2" s="1"/>
  <c r="S320" i="2"/>
  <c r="W320" i="2" s="1"/>
  <c r="S319" i="2"/>
  <c r="W319" i="2" s="1"/>
  <c r="S318" i="2"/>
  <c r="W318" i="2" s="1"/>
  <c r="S317" i="2"/>
  <c r="W317" i="2" s="1"/>
  <c r="S316" i="2"/>
  <c r="W316" i="2" s="1"/>
  <c r="W315" i="2"/>
  <c r="S315" i="2"/>
  <c r="W314" i="2"/>
  <c r="S314" i="2"/>
  <c r="S313" i="2"/>
  <c r="W313" i="2" s="1"/>
  <c r="S312" i="2"/>
  <c r="W312" i="2" s="1"/>
  <c r="S311" i="2"/>
  <c r="W311" i="2" s="1"/>
  <c r="S310" i="2"/>
  <c r="W310" i="2" s="1"/>
  <c r="S309" i="2"/>
  <c r="W309" i="2" s="1"/>
  <c r="W308" i="2"/>
  <c r="S308" i="2"/>
  <c r="W307" i="2"/>
  <c r="S307" i="2"/>
  <c r="W306" i="2"/>
  <c r="S306" i="2"/>
  <c r="S305" i="2"/>
  <c r="W305" i="2" s="1"/>
  <c r="S304" i="2"/>
  <c r="W304" i="2" s="1"/>
  <c r="S303" i="2"/>
  <c r="W303" i="2" s="1"/>
  <c r="S302" i="2"/>
  <c r="W302" i="2" s="1"/>
  <c r="S301" i="2"/>
  <c r="W301" i="2" s="1"/>
  <c r="S300" i="2"/>
  <c r="W300" i="2" s="1"/>
  <c r="W299" i="2"/>
  <c r="S299" i="2"/>
  <c r="S298" i="2"/>
  <c r="W298" i="2" s="1"/>
  <c r="S297" i="2"/>
  <c r="W297" i="2" s="1"/>
  <c r="S296" i="2"/>
  <c r="W296" i="2" s="1"/>
  <c r="S295" i="2"/>
  <c r="W295" i="2" s="1"/>
  <c r="S294" i="2"/>
  <c r="W294" i="2" s="1"/>
  <c r="S293" i="2"/>
  <c r="S292" i="2"/>
  <c r="W292" i="2" s="1"/>
  <c r="S291" i="2"/>
  <c r="W291" i="2" s="1"/>
  <c r="S290" i="2"/>
  <c r="W290" i="2" s="1"/>
  <c r="S289" i="2"/>
  <c r="W289" i="2" s="1"/>
  <c r="O288" i="2"/>
  <c r="O289" i="2" s="1"/>
  <c r="O290" i="2" s="1"/>
  <c r="J294" i="2"/>
  <c r="D294" i="2"/>
  <c r="C294" i="2"/>
  <c r="D293" i="2"/>
  <c r="D292" i="2"/>
  <c r="D291" i="2"/>
  <c r="D290" i="2"/>
  <c r="D289" i="2"/>
  <c r="I288" i="2"/>
  <c r="D288" i="2"/>
  <c r="I287" i="2"/>
  <c r="D287" i="2"/>
  <c r="C289" i="2"/>
  <c r="C290" i="2"/>
  <c r="C291" i="2" s="1"/>
  <c r="C292" i="2" s="1"/>
  <c r="C293" i="2" s="1"/>
  <c r="C288" i="2"/>
  <c r="AB330" i="2" l="1"/>
  <c r="AE287" i="2"/>
  <c r="W293" i="2"/>
  <c r="V330" i="2"/>
  <c r="W288" i="2"/>
  <c r="Q330" i="2"/>
  <c r="W287" i="2"/>
  <c r="W330" i="2" s="1"/>
  <c r="S330" i="2"/>
  <c r="P330" i="2"/>
  <c r="J330" i="2"/>
  <c r="F330" i="2"/>
  <c r="E330" i="2"/>
  <c r="D330" i="2"/>
  <c r="K327" i="2"/>
  <c r="G327" i="2"/>
  <c r="K320" i="2"/>
  <c r="G320" i="2"/>
  <c r="G319" i="2"/>
  <c r="K319" i="2" s="1"/>
  <c r="K318" i="2"/>
  <c r="G318" i="2"/>
  <c r="G317" i="2"/>
  <c r="K317" i="2" s="1"/>
  <c r="K316" i="2"/>
  <c r="G316" i="2"/>
  <c r="G315" i="2"/>
  <c r="K315" i="2" s="1"/>
  <c r="G314" i="2"/>
  <c r="K314" i="2" s="1"/>
  <c r="K313" i="2"/>
  <c r="G313" i="2"/>
  <c r="K312" i="2"/>
  <c r="G312" i="2"/>
  <c r="G311" i="2"/>
  <c r="K311" i="2" s="1"/>
  <c r="K310" i="2"/>
  <c r="G310" i="2"/>
  <c r="G309" i="2"/>
  <c r="K309" i="2" s="1"/>
  <c r="K308" i="2"/>
  <c r="G308" i="2"/>
  <c r="G307" i="2"/>
  <c r="K307" i="2" s="1"/>
  <c r="G306" i="2"/>
  <c r="K306" i="2" s="1"/>
  <c r="G305" i="2"/>
  <c r="K305" i="2" s="1"/>
  <c r="K304" i="2"/>
  <c r="G304" i="2"/>
  <c r="G303" i="2"/>
  <c r="K303" i="2" s="1"/>
  <c r="K302" i="2"/>
  <c r="G302" i="2"/>
  <c r="G301" i="2"/>
  <c r="K301" i="2" s="1"/>
  <c r="K300" i="2"/>
  <c r="G300" i="2"/>
  <c r="G299" i="2"/>
  <c r="K299" i="2" s="1"/>
  <c r="G298" i="2"/>
  <c r="K298" i="2" s="1"/>
  <c r="G297" i="2"/>
  <c r="K297" i="2" s="1"/>
  <c r="K296" i="2"/>
  <c r="G296" i="2"/>
  <c r="G295" i="2"/>
  <c r="K295" i="2" s="1"/>
  <c r="K294" i="2"/>
  <c r="G294" i="2"/>
  <c r="G293" i="2"/>
  <c r="K293" i="2" s="1"/>
  <c r="G292" i="2"/>
  <c r="K292" i="2" s="1"/>
  <c r="G291" i="2"/>
  <c r="K291" i="2" s="1"/>
  <c r="G290" i="2"/>
  <c r="K290" i="2" s="1"/>
  <c r="G289" i="2"/>
  <c r="K289" i="2" s="1"/>
  <c r="G288" i="2"/>
  <c r="K288" i="2" s="1"/>
  <c r="I330" i="2"/>
  <c r="G287" i="2"/>
  <c r="AE330" i="2" l="1"/>
  <c r="AI287" i="2"/>
  <c r="AI330" i="2" s="1"/>
  <c r="G330" i="2"/>
  <c r="K287" i="2"/>
  <c r="K330" i="2" s="1"/>
  <c r="AG238" i="2"/>
  <c r="AB238" i="2"/>
  <c r="AB237" i="2"/>
  <c r="AE237" i="2" s="1"/>
  <c r="AI237" i="2" s="1"/>
  <c r="AA237" i="2"/>
  <c r="AA238" i="2" s="1"/>
  <c r="AG236" i="2"/>
  <c r="AG275" i="2" s="1"/>
  <c r="AB236" i="2"/>
  <c r="AE236" i="2" s="1"/>
  <c r="AG235" i="2"/>
  <c r="AB235" i="2"/>
  <c r="AA236" i="2"/>
  <c r="AH234" i="2"/>
  <c r="AH275" i="2" s="1"/>
  <c r="AB234" i="2"/>
  <c r="AE234" i="2" s="1"/>
  <c r="AI234" i="2" s="1"/>
  <c r="AC233" i="2"/>
  <c r="AB233" i="2"/>
  <c r="AE233" i="2" s="1"/>
  <c r="AI233" i="2" s="1"/>
  <c r="AC232" i="2"/>
  <c r="AB232" i="2"/>
  <c r="AG232" i="2"/>
  <c r="AD275" i="2"/>
  <c r="AI273" i="2"/>
  <c r="AE272" i="2"/>
  <c r="AI272" i="2" s="1"/>
  <c r="AI271" i="2"/>
  <c r="AE270" i="2"/>
  <c r="AI270" i="2" s="1"/>
  <c r="AE269" i="2"/>
  <c r="AI269" i="2" s="1"/>
  <c r="AI268" i="2"/>
  <c r="AE268" i="2"/>
  <c r="AE267" i="2"/>
  <c r="AI267" i="2" s="1"/>
  <c r="AI266" i="2"/>
  <c r="AE266" i="2"/>
  <c r="AE265" i="2"/>
  <c r="AI265" i="2" s="1"/>
  <c r="AE264" i="2"/>
  <c r="AI264" i="2" s="1"/>
  <c r="AE263" i="2"/>
  <c r="AI263" i="2" s="1"/>
  <c r="AE262" i="2"/>
  <c r="AI262" i="2" s="1"/>
  <c r="AE261" i="2"/>
  <c r="AI261" i="2" s="1"/>
  <c r="AI260" i="2"/>
  <c r="AE260" i="2"/>
  <c r="AE259" i="2"/>
  <c r="AI259" i="2" s="1"/>
  <c r="AI258" i="2"/>
  <c r="AE258" i="2"/>
  <c r="AE257" i="2"/>
  <c r="AI257" i="2" s="1"/>
  <c r="AE256" i="2"/>
  <c r="AI256" i="2" s="1"/>
  <c r="AE255" i="2"/>
  <c r="AI255" i="2" s="1"/>
  <c r="AE254" i="2"/>
  <c r="AI254" i="2" s="1"/>
  <c r="AE253" i="2"/>
  <c r="AI253" i="2" s="1"/>
  <c r="AI252" i="2"/>
  <c r="AE252" i="2"/>
  <c r="AE251" i="2"/>
  <c r="AI251" i="2" s="1"/>
  <c r="AI250" i="2"/>
  <c r="AE250" i="2"/>
  <c r="AE249" i="2"/>
  <c r="AI249" i="2" s="1"/>
  <c r="AE248" i="2"/>
  <c r="AI248" i="2" s="1"/>
  <c r="AE247" i="2"/>
  <c r="AI247" i="2" s="1"/>
  <c r="AE246" i="2"/>
  <c r="AI246" i="2" s="1"/>
  <c r="AE245" i="2"/>
  <c r="AI245" i="2" s="1"/>
  <c r="AI244" i="2"/>
  <c r="AE244" i="2"/>
  <c r="AE243" i="2"/>
  <c r="AI243" i="2" s="1"/>
  <c r="AI242" i="2"/>
  <c r="AE242" i="2"/>
  <c r="AE241" i="2"/>
  <c r="AI241" i="2" s="1"/>
  <c r="AE240" i="2"/>
  <c r="AI240" i="2" s="1"/>
  <c r="AE239" i="2"/>
  <c r="AI239" i="2" s="1"/>
  <c r="AE238" i="2"/>
  <c r="AI238" i="2" s="1"/>
  <c r="AE235" i="2"/>
  <c r="AA233" i="2"/>
  <c r="AA234" i="2" s="1"/>
  <c r="AA235" i="2" s="1"/>
  <c r="AC275" i="2"/>
  <c r="AE232" i="2"/>
  <c r="V235" i="2"/>
  <c r="P235" i="2"/>
  <c r="V234" i="2"/>
  <c r="P234" i="2"/>
  <c r="V233" i="2"/>
  <c r="U233" i="2"/>
  <c r="U275" i="2" s="1"/>
  <c r="Q233" i="2"/>
  <c r="Q275" i="2" s="1"/>
  <c r="P233" i="2"/>
  <c r="U232" i="2"/>
  <c r="Q232" i="2"/>
  <c r="P232" i="2"/>
  <c r="P275" i="2" s="1"/>
  <c r="O234" i="2"/>
  <c r="O235" i="2" s="1"/>
  <c r="R275" i="2"/>
  <c r="W273" i="2"/>
  <c r="S272" i="2"/>
  <c r="W272" i="2" s="1"/>
  <c r="W271" i="2"/>
  <c r="S270" i="2"/>
  <c r="W270" i="2" s="1"/>
  <c r="S269" i="2"/>
  <c r="W269" i="2" s="1"/>
  <c r="W268" i="2"/>
  <c r="S268" i="2"/>
  <c r="S267" i="2"/>
  <c r="W267" i="2" s="1"/>
  <c r="S266" i="2"/>
  <c r="W266" i="2" s="1"/>
  <c r="S265" i="2"/>
  <c r="W265" i="2" s="1"/>
  <c r="W264" i="2"/>
  <c r="S264" i="2"/>
  <c r="S263" i="2"/>
  <c r="W263" i="2" s="1"/>
  <c r="S262" i="2"/>
  <c r="W262" i="2" s="1"/>
  <c r="S261" i="2"/>
  <c r="W261" i="2" s="1"/>
  <c r="W260" i="2"/>
  <c r="S260" i="2"/>
  <c r="S259" i="2"/>
  <c r="W259" i="2" s="1"/>
  <c r="S258" i="2"/>
  <c r="W258" i="2" s="1"/>
  <c r="S257" i="2"/>
  <c r="W257" i="2" s="1"/>
  <c r="W256" i="2"/>
  <c r="S256" i="2"/>
  <c r="S255" i="2"/>
  <c r="W255" i="2" s="1"/>
  <c r="S254" i="2"/>
  <c r="W254" i="2" s="1"/>
  <c r="S253" i="2"/>
  <c r="W253" i="2" s="1"/>
  <c r="W252" i="2"/>
  <c r="S252" i="2"/>
  <c r="S251" i="2"/>
  <c r="W251" i="2" s="1"/>
  <c r="S250" i="2"/>
  <c r="W250" i="2" s="1"/>
  <c r="S249" i="2"/>
  <c r="W249" i="2" s="1"/>
  <c r="W248" i="2"/>
  <c r="S248" i="2"/>
  <c r="S247" i="2"/>
  <c r="W247" i="2" s="1"/>
  <c r="S246" i="2"/>
  <c r="W246" i="2" s="1"/>
  <c r="S245" i="2"/>
  <c r="W245" i="2" s="1"/>
  <c r="W244" i="2"/>
  <c r="S244" i="2"/>
  <c r="S243" i="2"/>
  <c r="W243" i="2" s="1"/>
  <c r="S242" i="2"/>
  <c r="W242" i="2" s="1"/>
  <c r="S241" i="2"/>
  <c r="W241" i="2" s="1"/>
  <c r="W240" i="2"/>
  <c r="S240" i="2"/>
  <c r="S239" i="2"/>
  <c r="W239" i="2" s="1"/>
  <c r="S238" i="2"/>
  <c r="W238" i="2" s="1"/>
  <c r="S237" i="2"/>
  <c r="W237" i="2" s="1"/>
  <c r="W236" i="2"/>
  <c r="S236" i="2"/>
  <c r="S235" i="2"/>
  <c r="W235" i="2" s="1"/>
  <c r="S234" i="2"/>
  <c r="W234" i="2" s="1"/>
  <c r="S233" i="2"/>
  <c r="O233" i="2"/>
  <c r="V275" i="2"/>
  <c r="I232" i="2"/>
  <c r="E232" i="2"/>
  <c r="E275" i="2" s="1"/>
  <c r="D232" i="2"/>
  <c r="I275" i="2"/>
  <c r="F275" i="2"/>
  <c r="G272" i="2"/>
  <c r="K272" i="2" s="1"/>
  <c r="G265" i="2"/>
  <c r="K265" i="2" s="1"/>
  <c r="G264" i="2"/>
  <c r="K264" i="2" s="1"/>
  <c r="K263" i="2"/>
  <c r="G263" i="2"/>
  <c r="K262" i="2"/>
  <c r="G262" i="2"/>
  <c r="G261" i="2"/>
  <c r="K261" i="2" s="1"/>
  <c r="G260" i="2"/>
  <c r="K260" i="2" s="1"/>
  <c r="G259" i="2"/>
  <c r="K259" i="2" s="1"/>
  <c r="G258" i="2"/>
  <c r="K258" i="2" s="1"/>
  <c r="G257" i="2"/>
  <c r="K257" i="2" s="1"/>
  <c r="G256" i="2"/>
  <c r="K256" i="2" s="1"/>
  <c r="K255" i="2"/>
  <c r="G255" i="2"/>
  <c r="K254" i="2"/>
  <c r="G254" i="2"/>
  <c r="G253" i="2"/>
  <c r="K253" i="2" s="1"/>
  <c r="G252" i="2"/>
  <c r="K252" i="2" s="1"/>
  <c r="G251" i="2"/>
  <c r="K251" i="2" s="1"/>
  <c r="G250" i="2"/>
  <c r="K250" i="2" s="1"/>
  <c r="G249" i="2"/>
  <c r="K249" i="2" s="1"/>
  <c r="G248" i="2"/>
  <c r="K248" i="2" s="1"/>
  <c r="K247" i="2"/>
  <c r="G247" i="2"/>
  <c r="K246" i="2"/>
  <c r="G246" i="2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K239" i="2"/>
  <c r="G239" i="2"/>
  <c r="K238" i="2"/>
  <c r="G238" i="2"/>
  <c r="G237" i="2"/>
  <c r="K237" i="2" s="1"/>
  <c r="G236" i="2"/>
  <c r="K236" i="2" s="1"/>
  <c r="G235" i="2"/>
  <c r="K235" i="2" s="1"/>
  <c r="J275" i="2"/>
  <c r="D275" i="2"/>
  <c r="G233" i="2"/>
  <c r="K233" i="2" s="1"/>
  <c r="G232" i="2"/>
  <c r="AI236" i="2" l="1"/>
  <c r="AI235" i="2"/>
  <c r="AI232" i="2"/>
  <c r="AE275" i="2"/>
  <c r="AB275" i="2"/>
  <c r="W233" i="2"/>
  <c r="S232" i="2"/>
  <c r="K232" i="2"/>
  <c r="G234" i="2"/>
  <c r="K234" i="2" s="1"/>
  <c r="AC180" i="2"/>
  <c r="AB180" i="2"/>
  <c r="AC179" i="2"/>
  <c r="AB179" i="2"/>
  <c r="AC178" i="2"/>
  <c r="AB178" i="2"/>
  <c r="AH177" i="2"/>
  <c r="AC177" i="2"/>
  <c r="AE177" i="2" s="1"/>
  <c r="AI177" i="2" s="1"/>
  <c r="AB177" i="2"/>
  <c r="AG220" i="2"/>
  <c r="AD220" i="2"/>
  <c r="AI218" i="2"/>
  <c r="AI217" i="2"/>
  <c r="AE217" i="2"/>
  <c r="AI216" i="2"/>
  <c r="AE215" i="2"/>
  <c r="AI215" i="2" s="1"/>
  <c r="AI214" i="2"/>
  <c r="AE214" i="2"/>
  <c r="AE213" i="2"/>
  <c r="AI213" i="2" s="1"/>
  <c r="AE212" i="2"/>
  <c r="AI212" i="2" s="1"/>
  <c r="AI211" i="2"/>
  <c r="AE211" i="2"/>
  <c r="AI210" i="2"/>
  <c r="AE210" i="2"/>
  <c r="AE209" i="2"/>
  <c r="AI209" i="2" s="1"/>
  <c r="AE208" i="2"/>
  <c r="AI208" i="2" s="1"/>
  <c r="AE207" i="2"/>
  <c r="AI207" i="2" s="1"/>
  <c r="AI206" i="2"/>
  <c r="AE206" i="2"/>
  <c r="AE205" i="2"/>
  <c r="AI205" i="2" s="1"/>
  <c r="AE204" i="2"/>
  <c r="AI204" i="2" s="1"/>
  <c r="AI203" i="2"/>
  <c r="AE203" i="2"/>
  <c r="AI202" i="2"/>
  <c r="AE202" i="2"/>
  <c r="AE201" i="2"/>
  <c r="AI201" i="2" s="1"/>
  <c r="AE200" i="2"/>
  <c r="AI200" i="2" s="1"/>
  <c r="AE199" i="2"/>
  <c r="AI199" i="2" s="1"/>
  <c r="AI198" i="2"/>
  <c r="AE198" i="2"/>
  <c r="AE197" i="2"/>
  <c r="AI197" i="2" s="1"/>
  <c r="AE196" i="2"/>
  <c r="AI196" i="2" s="1"/>
  <c r="AE195" i="2"/>
  <c r="AI195" i="2" s="1"/>
  <c r="AI194" i="2"/>
  <c r="AE194" i="2"/>
  <c r="AE193" i="2"/>
  <c r="AI193" i="2" s="1"/>
  <c r="AE192" i="2"/>
  <c r="AI192" i="2" s="1"/>
  <c r="AE191" i="2"/>
  <c r="AI191" i="2" s="1"/>
  <c r="AI190" i="2"/>
  <c r="AE190" i="2"/>
  <c r="AE189" i="2"/>
  <c r="AI189" i="2" s="1"/>
  <c r="AE188" i="2"/>
  <c r="AI188" i="2" s="1"/>
  <c r="AE187" i="2"/>
  <c r="AI187" i="2" s="1"/>
  <c r="AI186" i="2"/>
  <c r="AE186" i="2"/>
  <c r="AE185" i="2"/>
  <c r="AI185" i="2" s="1"/>
  <c r="AE184" i="2"/>
  <c r="AI184" i="2" s="1"/>
  <c r="AE183" i="2"/>
  <c r="AI183" i="2" s="1"/>
  <c r="AE182" i="2"/>
  <c r="AI182" i="2" s="1"/>
  <c r="AH220" i="2"/>
  <c r="AE181" i="2"/>
  <c r="AI181" i="2" s="1"/>
  <c r="AE179" i="2"/>
  <c r="AI179" i="2" s="1"/>
  <c r="AA178" i="2"/>
  <c r="AA179" i="2" s="1"/>
  <c r="AA180" i="2" s="1"/>
  <c r="V178" i="2"/>
  <c r="P178" i="2"/>
  <c r="P220" i="2" s="1"/>
  <c r="V177" i="2"/>
  <c r="Q177" i="2"/>
  <c r="S177" i="2" s="1"/>
  <c r="P177" i="2"/>
  <c r="R220" i="2"/>
  <c r="W218" i="2"/>
  <c r="W217" i="2"/>
  <c r="S217" i="2"/>
  <c r="W216" i="2"/>
  <c r="S215" i="2"/>
  <c r="W215" i="2" s="1"/>
  <c r="W214" i="2"/>
  <c r="S214" i="2"/>
  <c r="S213" i="2"/>
  <c r="W213" i="2" s="1"/>
  <c r="S212" i="2"/>
  <c r="W212" i="2" s="1"/>
  <c r="S211" i="2"/>
  <c r="W211" i="2" s="1"/>
  <c r="S210" i="2"/>
  <c r="W210" i="2" s="1"/>
  <c r="W209" i="2"/>
  <c r="S209" i="2"/>
  <c r="S208" i="2"/>
  <c r="W208" i="2" s="1"/>
  <c r="S207" i="2"/>
  <c r="W207" i="2" s="1"/>
  <c r="W206" i="2"/>
  <c r="S206" i="2"/>
  <c r="S205" i="2"/>
  <c r="W205" i="2" s="1"/>
  <c r="S204" i="2"/>
  <c r="W204" i="2" s="1"/>
  <c r="S203" i="2"/>
  <c r="W203" i="2" s="1"/>
  <c r="S202" i="2"/>
  <c r="W202" i="2" s="1"/>
  <c r="W201" i="2"/>
  <c r="S201" i="2"/>
  <c r="S200" i="2"/>
  <c r="W200" i="2" s="1"/>
  <c r="S199" i="2"/>
  <c r="W199" i="2" s="1"/>
  <c r="W198" i="2"/>
  <c r="S198" i="2"/>
  <c r="S197" i="2"/>
  <c r="W197" i="2" s="1"/>
  <c r="S196" i="2"/>
  <c r="W196" i="2" s="1"/>
  <c r="S195" i="2"/>
  <c r="W195" i="2" s="1"/>
  <c r="S194" i="2"/>
  <c r="W194" i="2" s="1"/>
  <c r="W193" i="2"/>
  <c r="S193" i="2"/>
  <c r="S192" i="2"/>
  <c r="W192" i="2" s="1"/>
  <c r="S191" i="2"/>
  <c r="W191" i="2" s="1"/>
  <c r="S190" i="2"/>
  <c r="W190" i="2" s="1"/>
  <c r="S189" i="2"/>
  <c r="W189" i="2" s="1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S181" i="2"/>
  <c r="W181" i="2" s="1"/>
  <c r="S180" i="2"/>
  <c r="W180" i="2" s="1"/>
  <c r="Q220" i="2"/>
  <c r="S179" i="2"/>
  <c r="W179" i="2" s="1"/>
  <c r="U220" i="2"/>
  <c r="O178" i="2"/>
  <c r="D180" i="2"/>
  <c r="J179" i="2"/>
  <c r="E179" i="2"/>
  <c r="D179" i="2"/>
  <c r="G179" i="2" s="1"/>
  <c r="K179" i="2" s="1"/>
  <c r="D178" i="2"/>
  <c r="G178" i="2" s="1"/>
  <c r="K178" i="2" s="1"/>
  <c r="D177" i="2"/>
  <c r="F220" i="2"/>
  <c r="K217" i="2"/>
  <c r="G217" i="2"/>
  <c r="G210" i="2"/>
  <c r="K210" i="2" s="1"/>
  <c r="G209" i="2"/>
  <c r="K209" i="2" s="1"/>
  <c r="G208" i="2"/>
  <c r="K208" i="2" s="1"/>
  <c r="K207" i="2"/>
  <c r="G207" i="2"/>
  <c r="G206" i="2"/>
  <c r="K206" i="2" s="1"/>
  <c r="G205" i="2"/>
  <c r="K205" i="2" s="1"/>
  <c r="G204" i="2"/>
  <c r="K204" i="2" s="1"/>
  <c r="K203" i="2"/>
  <c r="G203" i="2"/>
  <c r="K202" i="2"/>
  <c r="G202" i="2"/>
  <c r="G201" i="2"/>
  <c r="K201" i="2" s="1"/>
  <c r="K200" i="2"/>
  <c r="G200" i="2"/>
  <c r="K199" i="2"/>
  <c r="G199" i="2"/>
  <c r="G198" i="2"/>
  <c r="K198" i="2" s="1"/>
  <c r="G197" i="2"/>
  <c r="K197" i="2" s="1"/>
  <c r="G196" i="2"/>
  <c r="K196" i="2" s="1"/>
  <c r="K195" i="2"/>
  <c r="G195" i="2"/>
  <c r="G194" i="2"/>
  <c r="K194" i="2" s="1"/>
  <c r="G193" i="2"/>
  <c r="K193" i="2" s="1"/>
  <c r="G192" i="2"/>
  <c r="K192" i="2" s="1"/>
  <c r="K191" i="2"/>
  <c r="G191" i="2"/>
  <c r="G190" i="2"/>
  <c r="K190" i="2" s="1"/>
  <c r="G189" i="2"/>
  <c r="K189" i="2" s="1"/>
  <c r="G188" i="2"/>
  <c r="K188" i="2" s="1"/>
  <c r="K187" i="2"/>
  <c r="G187" i="2"/>
  <c r="G186" i="2"/>
  <c r="K186" i="2" s="1"/>
  <c r="G185" i="2"/>
  <c r="K185" i="2" s="1"/>
  <c r="G184" i="2"/>
  <c r="K184" i="2" s="1"/>
  <c r="K183" i="2"/>
  <c r="G183" i="2"/>
  <c r="G182" i="2"/>
  <c r="K182" i="2" s="1"/>
  <c r="G181" i="2"/>
  <c r="K181" i="2" s="1"/>
  <c r="G180" i="2"/>
  <c r="K180" i="2" s="1"/>
  <c r="C178" i="2"/>
  <c r="C179" i="2" s="1"/>
  <c r="C180" i="2" s="1"/>
  <c r="J220" i="2"/>
  <c r="I220" i="2"/>
  <c r="E220" i="2"/>
  <c r="AI275" i="2" l="1"/>
  <c r="S275" i="2"/>
  <c r="W232" i="2"/>
  <c r="W275" i="2" s="1"/>
  <c r="K275" i="2"/>
  <c r="G275" i="2"/>
  <c r="AE180" i="2"/>
  <c r="AI180" i="2" s="1"/>
  <c r="AB220" i="2"/>
  <c r="AC220" i="2"/>
  <c r="AE178" i="2"/>
  <c r="AI178" i="2" s="1"/>
  <c r="AI220" i="2" s="1"/>
  <c r="V220" i="2"/>
  <c r="S178" i="2"/>
  <c r="W178" i="2" s="1"/>
  <c r="S220" i="2"/>
  <c r="W177" i="2"/>
  <c r="W220" i="2" s="1"/>
  <c r="D220" i="2"/>
  <c r="G177" i="2"/>
  <c r="AH126" i="2"/>
  <c r="AB126" i="2"/>
  <c r="AE126" i="2" s="1"/>
  <c r="AI126" i="2" s="1"/>
  <c r="AG125" i="2"/>
  <c r="AB125" i="2"/>
  <c r="AG124" i="2"/>
  <c r="AG165" i="2" s="1"/>
  <c r="AB124" i="2"/>
  <c r="AC123" i="2"/>
  <c r="AC165" i="2" s="1"/>
  <c r="AB123" i="2"/>
  <c r="AH122" i="2"/>
  <c r="AG122" i="2"/>
  <c r="AB122" i="2"/>
  <c r="AD165" i="2"/>
  <c r="AI163" i="2"/>
  <c r="AE162" i="2"/>
  <c r="AI162" i="2" s="1"/>
  <c r="AI161" i="2"/>
  <c r="AE160" i="2"/>
  <c r="AI160" i="2" s="1"/>
  <c r="AI159" i="2"/>
  <c r="AE159" i="2"/>
  <c r="AE158" i="2"/>
  <c r="AI158" i="2" s="1"/>
  <c r="AE157" i="2"/>
  <c r="AI157" i="2" s="1"/>
  <c r="AE156" i="2"/>
  <c r="AI156" i="2" s="1"/>
  <c r="AE155" i="2"/>
  <c r="AI155" i="2" s="1"/>
  <c r="AE154" i="2"/>
  <c r="AI154" i="2" s="1"/>
  <c r="AE153" i="2"/>
  <c r="AI153" i="2" s="1"/>
  <c r="AE152" i="2"/>
  <c r="AI152" i="2" s="1"/>
  <c r="AI151" i="2"/>
  <c r="AE151" i="2"/>
  <c r="AE150" i="2"/>
  <c r="AI150" i="2" s="1"/>
  <c r="AE149" i="2"/>
  <c r="AI149" i="2" s="1"/>
  <c r="AE148" i="2"/>
  <c r="AI148" i="2" s="1"/>
  <c r="AE147" i="2"/>
  <c r="AI147" i="2" s="1"/>
  <c r="AE146" i="2"/>
  <c r="AI146" i="2" s="1"/>
  <c r="AE145" i="2"/>
  <c r="AI145" i="2" s="1"/>
  <c r="AE144" i="2"/>
  <c r="AI144" i="2" s="1"/>
  <c r="AI143" i="2"/>
  <c r="AE143" i="2"/>
  <c r="AE142" i="2"/>
  <c r="AI142" i="2" s="1"/>
  <c r="AE141" i="2"/>
  <c r="AI141" i="2" s="1"/>
  <c r="AE140" i="2"/>
  <c r="AI140" i="2" s="1"/>
  <c r="AE139" i="2"/>
  <c r="AI139" i="2" s="1"/>
  <c r="AE138" i="2"/>
  <c r="AI138" i="2" s="1"/>
  <c r="AE137" i="2"/>
  <c r="AI137" i="2" s="1"/>
  <c r="AE136" i="2"/>
  <c r="AI136" i="2" s="1"/>
  <c r="AI135" i="2"/>
  <c r="AE135" i="2"/>
  <c r="AE134" i="2"/>
  <c r="AI134" i="2" s="1"/>
  <c r="AE133" i="2"/>
  <c r="AI133" i="2" s="1"/>
  <c r="AE132" i="2"/>
  <c r="AI132" i="2" s="1"/>
  <c r="AE131" i="2"/>
  <c r="AI131" i="2" s="1"/>
  <c r="AE130" i="2"/>
  <c r="AI130" i="2" s="1"/>
  <c r="AE129" i="2"/>
  <c r="AI129" i="2" s="1"/>
  <c r="AE128" i="2"/>
  <c r="AI128" i="2" s="1"/>
  <c r="AE127" i="2"/>
  <c r="AI127" i="2" s="1"/>
  <c r="AE125" i="2"/>
  <c r="AE124" i="2"/>
  <c r="AA123" i="2"/>
  <c r="AA124" i="2" s="1"/>
  <c r="AA125" i="2" s="1"/>
  <c r="AA126" i="2" s="1"/>
  <c r="AA128" i="2" s="1"/>
  <c r="AA129" i="2" s="1"/>
  <c r="AH165" i="2"/>
  <c r="AE122" i="2"/>
  <c r="V126" i="2"/>
  <c r="V165" i="2" s="1"/>
  <c r="P126" i="2"/>
  <c r="S126" i="2" s="1"/>
  <c r="P125" i="2"/>
  <c r="S125" i="2" s="1"/>
  <c r="W125" i="2" s="1"/>
  <c r="U124" i="2"/>
  <c r="Q124" i="2"/>
  <c r="Q165" i="2" s="1"/>
  <c r="P124" i="2"/>
  <c r="S124" i="2" s="1"/>
  <c r="W124" i="2" s="1"/>
  <c r="U123" i="2"/>
  <c r="U165" i="2"/>
  <c r="P123" i="2"/>
  <c r="S123" i="2" s="1"/>
  <c r="P122" i="2"/>
  <c r="R165" i="2"/>
  <c r="W163" i="2"/>
  <c r="W162" i="2"/>
  <c r="S162" i="2"/>
  <c r="W161" i="2"/>
  <c r="S160" i="2"/>
  <c r="W160" i="2" s="1"/>
  <c r="S159" i="2"/>
  <c r="W159" i="2" s="1"/>
  <c r="W158" i="2"/>
  <c r="S158" i="2"/>
  <c r="S157" i="2"/>
  <c r="W157" i="2" s="1"/>
  <c r="S156" i="2"/>
  <c r="W156" i="2" s="1"/>
  <c r="W155" i="2"/>
  <c r="S155" i="2"/>
  <c r="S154" i="2"/>
  <c r="W154" i="2" s="1"/>
  <c r="S153" i="2"/>
  <c r="W153" i="2" s="1"/>
  <c r="S152" i="2"/>
  <c r="W152" i="2" s="1"/>
  <c r="S151" i="2"/>
  <c r="W151" i="2" s="1"/>
  <c r="W150" i="2"/>
  <c r="S150" i="2"/>
  <c r="S149" i="2"/>
  <c r="W149" i="2" s="1"/>
  <c r="S148" i="2"/>
  <c r="W148" i="2" s="1"/>
  <c r="W147" i="2"/>
  <c r="S147" i="2"/>
  <c r="S146" i="2"/>
  <c r="W146" i="2" s="1"/>
  <c r="S145" i="2"/>
  <c r="W145" i="2" s="1"/>
  <c r="S144" i="2"/>
  <c r="W144" i="2" s="1"/>
  <c r="S143" i="2"/>
  <c r="W143" i="2" s="1"/>
  <c r="W142" i="2"/>
  <c r="S142" i="2"/>
  <c r="S141" i="2"/>
  <c r="W141" i="2" s="1"/>
  <c r="S140" i="2"/>
  <c r="W140" i="2" s="1"/>
  <c r="W139" i="2"/>
  <c r="S139" i="2"/>
  <c r="S138" i="2"/>
  <c r="W138" i="2" s="1"/>
  <c r="S137" i="2"/>
  <c r="W137" i="2" s="1"/>
  <c r="S136" i="2"/>
  <c r="W136" i="2" s="1"/>
  <c r="S135" i="2"/>
  <c r="W135" i="2" s="1"/>
  <c r="W134" i="2"/>
  <c r="S134" i="2"/>
  <c r="S133" i="2"/>
  <c r="W133" i="2" s="1"/>
  <c r="S132" i="2"/>
  <c r="W132" i="2" s="1"/>
  <c r="W131" i="2"/>
  <c r="S131" i="2"/>
  <c r="S130" i="2"/>
  <c r="W130" i="2" s="1"/>
  <c r="S129" i="2"/>
  <c r="W129" i="2" s="1"/>
  <c r="S128" i="2"/>
  <c r="W128" i="2" s="1"/>
  <c r="S127" i="2"/>
  <c r="W127" i="2" s="1"/>
  <c r="O124" i="2"/>
  <c r="O125" i="2" s="1"/>
  <c r="O126" i="2" s="1"/>
  <c r="O123" i="2"/>
  <c r="D126" i="2"/>
  <c r="J125" i="2"/>
  <c r="D125" i="2"/>
  <c r="I124" i="2"/>
  <c r="D124" i="2"/>
  <c r="D123" i="2"/>
  <c r="J122" i="2"/>
  <c r="I122" i="2"/>
  <c r="E122" i="2"/>
  <c r="D122" i="2"/>
  <c r="AE220" i="2" l="1"/>
  <c r="G220" i="2"/>
  <c r="K177" i="2"/>
  <c r="K220" i="2" s="1"/>
  <c r="AI125" i="2"/>
  <c r="AI124" i="2"/>
  <c r="AE123" i="2"/>
  <c r="AI123" i="2" s="1"/>
  <c r="AB165" i="2"/>
  <c r="AI122" i="2"/>
  <c r="AE165" i="2"/>
  <c r="W126" i="2"/>
  <c r="W123" i="2"/>
  <c r="P165" i="2"/>
  <c r="S122" i="2"/>
  <c r="F165" i="2"/>
  <c r="E165" i="2"/>
  <c r="G162" i="2"/>
  <c r="K162" i="2" s="1"/>
  <c r="G155" i="2"/>
  <c r="K155" i="2" s="1"/>
  <c r="G154" i="2"/>
  <c r="K154" i="2" s="1"/>
  <c r="G153" i="2"/>
  <c r="K153" i="2" s="1"/>
  <c r="K152" i="2"/>
  <c r="G152" i="2"/>
  <c r="G151" i="2"/>
  <c r="K151" i="2" s="1"/>
  <c r="G150" i="2"/>
  <c r="K150" i="2" s="1"/>
  <c r="G149" i="2"/>
  <c r="K149" i="2" s="1"/>
  <c r="G148" i="2"/>
  <c r="K148" i="2" s="1"/>
  <c r="K147" i="2"/>
  <c r="G147" i="2"/>
  <c r="G146" i="2"/>
  <c r="K146" i="2" s="1"/>
  <c r="G145" i="2"/>
  <c r="K145" i="2" s="1"/>
  <c r="K144" i="2"/>
  <c r="G144" i="2"/>
  <c r="G143" i="2"/>
  <c r="K143" i="2" s="1"/>
  <c r="G142" i="2"/>
  <c r="K142" i="2" s="1"/>
  <c r="G141" i="2"/>
  <c r="K141" i="2" s="1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G128" i="2"/>
  <c r="K128" i="2" s="1"/>
  <c r="G127" i="2"/>
  <c r="K127" i="2" s="1"/>
  <c r="J165" i="2"/>
  <c r="G126" i="2"/>
  <c r="K126" i="2" s="1"/>
  <c r="G125" i="2"/>
  <c r="K125" i="2" s="1"/>
  <c r="G124" i="2"/>
  <c r="K124" i="2" s="1"/>
  <c r="G123" i="2"/>
  <c r="K123" i="2" s="1"/>
  <c r="C123" i="2"/>
  <c r="C124" i="2" s="1"/>
  <c r="C125" i="2" s="1"/>
  <c r="C126" i="2" s="1"/>
  <c r="I165" i="2"/>
  <c r="D165" i="2"/>
  <c r="AI165" i="2" l="1"/>
  <c r="W122" i="2"/>
  <c r="W165" i="2" s="1"/>
  <c r="S165" i="2"/>
  <c r="G122" i="2"/>
  <c r="AB73" i="2"/>
  <c r="AE73" i="2" s="1"/>
  <c r="AI73" i="2" s="1"/>
  <c r="AB72" i="2"/>
  <c r="AC71" i="2"/>
  <c r="AB71" i="2"/>
  <c r="AB70" i="2"/>
  <c r="AE70" i="2" s="1"/>
  <c r="AI70" i="2" s="1"/>
  <c r="AC69" i="2"/>
  <c r="AB69" i="2"/>
  <c r="AE69" i="2" s="1"/>
  <c r="AI69" i="2" s="1"/>
  <c r="AH68" i="2"/>
  <c r="AH110" i="2" s="1"/>
  <c r="AC68" i="2"/>
  <c r="AB68" i="2"/>
  <c r="AE68" i="2" s="1"/>
  <c r="AC67" i="2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I101" i="2"/>
  <c r="AE101" i="2"/>
  <c r="AE100" i="2"/>
  <c r="AI100" i="2" s="1"/>
  <c r="AE99" i="2"/>
  <c r="AI99" i="2" s="1"/>
  <c r="AE98" i="2"/>
  <c r="AI98" i="2" s="1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E90" i="2"/>
  <c r="AI90" i="2" s="1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E82" i="2"/>
  <c r="AI82" i="2" s="1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E74" i="2"/>
  <c r="AI74" i="2" s="1"/>
  <c r="AE72" i="2"/>
  <c r="AI72" i="2" s="1"/>
  <c r="AG110" i="2"/>
  <c r="AA68" i="2"/>
  <c r="AA69" i="2" s="1"/>
  <c r="AA70" i="2" s="1"/>
  <c r="AA71" i="2" s="1"/>
  <c r="AA72" i="2" s="1"/>
  <c r="AA73" i="2" s="1"/>
  <c r="D81" i="2"/>
  <c r="D79" i="2"/>
  <c r="D78" i="2"/>
  <c r="I77" i="2"/>
  <c r="D77" i="2"/>
  <c r="D76" i="2"/>
  <c r="D75" i="2"/>
  <c r="D74" i="2"/>
  <c r="I73" i="2"/>
  <c r="D73" i="2"/>
  <c r="D72" i="2"/>
  <c r="J71" i="2"/>
  <c r="D71" i="2"/>
  <c r="D70" i="2"/>
  <c r="D69" i="2"/>
  <c r="D68" i="2"/>
  <c r="I67" i="2"/>
  <c r="D67" i="2"/>
  <c r="K122" i="2" l="1"/>
  <c r="K165" i="2" s="1"/>
  <c r="G165" i="2"/>
  <c r="AC110" i="2"/>
  <c r="AE71" i="2"/>
  <c r="AI71" i="2" s="1"/>
  <c r="AI68" i="2"/>
  <c r="AB110" i="2"/>
  <c r="AE67" i="2"/>
  <c r="AB18" i="2"/>
  <c r="AH17" i="2"/>
  <c r="AB17" i="2"/>
  <c r="AH16" i="2"/>
  <c r="AB16" i="2"/>
  <c r="AC15" i="2"/>
  <c r="AB15" i="2"/>
  <c r="AG14" i="2"/>
  <c r="AC14" i="2"/>
  <c r="AB14" i="2"/>
  <c r="AC13" i="2"/>
  <c r="AH13" i="2"/>
  <c r="AB13" i="2"/>
  <c r="AH12" i="2"/>
  <c r="AB12" i="2"/>
  <c r="J110" i="2"/>
  <c r="I110" i="2"/>
  <c r="F110" i="2"/>
  <c r="E110" i="2"/>
  <c r="D110" i="2"/>
  <c r="G107" i="2"/>
  <c r="K107" i="2" s="1"/>
  <c r="G100" i="2"/>
  <c r="K100" i="2" s="1"/>
  <c r="G99" i="2"/>
  <c r="K99" i="2" s="1"/>
  <c r="G98" i="2"/>
  <c r="K98" i="2" s="1"/>
  <c r="G97" i="2"/>
  <c r="K97" i="2" s="1"/>
  <c r="G96" i="2"/>
  <c r="K96" i="2" s="1"/>
  <c r="G95" i="2"/>
  <c r="K95" i="2" s="1"/>
  <c r="G94" i="2"/>
  <c r="K94" i="2" s="1"/>
  <c r="G93" i="2"/>
  <c r="K93" i="2" s="1"/>
  <c r="G92" i="2"/>
  <c r="K92" i="2" s="1"/>
  <c r="G91" i="2"/>
  <c r="K91" i="2" s="1"/>
  <c r="G90" i="2"/>
  <c r="K90" i="2" s="1"/>
  <c r="G89" i="2"/>
  <c r="K89" i="2" s="1"/>
  <c r="G88" i="2"/>
  <c r="K88" i="2" s="1"/>
  <c r="G87" i="2"/>
  <c r="K87" i="2" s="1"/>
  <c r="G86" i="2"/>
  <c r="K86" i="2" s="1"/>
  <c r="G85" i="2"/>
  <c r="K85" i="2" s="1"/>
  <c r="G84" i="2"/>
  <c r="K84" i="2" s="1"/>
  <c r="G83" i="2"/>
  <c r="K83" i="2" s="1"/>
  <c r="G82" i="2"/>
  <c r="K82" i="2" s="1"/>
  <c r="G81" i="2"/>
  <c r="K81" i="2" s="1"/>
  <c r="G80" i="2"/>
  <c r="K80" i="2" s="1"/>
  <c r="G79" i="2"/>
  <c r="K79" i="2" s="1"/>
  <c r="G78" i="2"/>
  <c r="K78" i="2" s="1"/>
  <c r="G77" i="2"/>
  <c r="K77" i="2" s="1"/>
  <c r="G76" i="2"/>
  <c r="K76" i="2" s="1"/>
  <c r="G75" i="2"/>
  <c r="K75" i="2" s="1"/>
  <c r="G74" i="2"/>
  <c r="K74" i="2" s="1"/>
  <c r="G73" i="2"/>
  <c r="K73" i="2" s="1"/>
  <c r="G72" i="2"/>
  <c r="K72" i="2" s="1"/>
  <c r="G71" i="2"/>
  <c r="K71" i="2" s="1"/>
  <c r="G70" i="2"/>
  <c r="K70" i="2" s="1"/>
  <c r="G69" i="2"/>
  <c r="K69" i="2" s="1"/>
  <c r="G68" i="2"/>
  <c r="K68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C80" i="2" s="1"/>
  <c r="C81" i="2" s="1"/>
  <c r="G67" i="2"/>
  <c r="V15" i="2"/>
  <c r="V13" i="2"/>
  <c r="U13" i="2"/>
  <c r="P17" i="2"/>
  <c r="P16" i="2"/>
  <c r="P15" i="2"/>
  <c r="P14" i="2"/>
  <c r="Q13" i="2"/>
  <c r="P13" i="2"/>
  <c r="O13" i="2"/>
  <c r="O14" i="2" s="1"/>
  <c r="O15" i="2" s="1"/>
  <c r="O16" i="2" s="1"/>
  <c r="O17" i="2" s="1"/>
  <c r="P12" i="2"/>
  <c r="AE110" i="2" l="1"/>
  <c r="AI67" i="2"/>
  <c r="AI110" i="2" s="1"/>
  <c r="G110" i="2"/>
  <c r="K67" i="2"/>
  <c r="K110" i="2" s="1"/>
  <c r="J37" i="1"/>
  <c r="D37" i="1" s="1"/>
  <c r="J29" i="1"/>
  <c r="D29" i="1" s="1"/>
  <c r="J30" i="1"/>
  <c r="D30" i="1" s="1"/>
  <c r="J22" i="1"/>
  <c r="D22" i="1" s="1"/>
  <c r="J23" i="1"/>
  <c r="D23" i="1" s="1"/>
  <c r="J15" i="1"/>
  <c r="D15" i="1" s="1"/>
  <c r="J16" i="1"/>
  <c r="D16" i="1" s="1"/>
  <c r="A40" i="1"/>
  <c r="J39" i="1" l="1"/>
  <c r="D39" i="1" s="1"/>
  <c r="J32" i="1"/>
  <c r="D32" i="1" s="1"/>
  <c r="J33" i="1"/>
  <c r="D33" i="1" s="1"/>
  <c r="J34" i="1"/>
  <c r="J36" i="1"/>
  <c r="J25" i="1"/>
  <c r="D25" i="1" s="1"/>
  <c r="J26" i="1"/>
  <c r="D26" i="1" s="1"/>
  <c r="J27" i="1"/>
  <c r="D27" i="1" s="1"/>
  <c r="J18" i="1"/>
  <c r="D18" i="1" s="1"/>
  <c r="J19" i="1"/>
  <c r="D19" i="1" s="1"/>
  <c r="J20" i="1"/>
  <c r="J12" i="1"/>
  <c r="D12" i="1" s="1"/>
  <c r="J13" i="1"/>
  <c r="J11" i="1" l="1"/>
  <c r="D11" i="1" s="1"/>
  <c r="J10" i="1" l="1"/>
  <c r="D10" i="1" s="1"/>
  <c r="J17" i="1"/>
  <c r="D17" i="1" s="1"/>
  <c r="J24" i="1"/>
  <c r="D24" i="1" s="1"/>
  <c r="J38" i="1"/>
  <c r="D38" i="1" s="1"/>
  <c r="J31" i="1"/>
  <c r="D31" i="1" s="1"/>
  <c r="D34" i="1"/>
  <c r="AA13" i="2" l="1"/>
  <c r="D36" i="1" l="1"/>
  <c r="D42" i="1" l="1"/>
  <c r="AA14" i="2" l="1"/>
  <c r="AA15" i="2" s="1"/>
  <c r="AA16" i="2" s="1"/>
  <c r="AA17" i="2" s="1"/>
  <c r="AA18" i="2" s="1"/>
  <c r="AD55" i="2" l="1"/>
  <c r="R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P55" i="2" l="1"/>
  <c r="S15" i="2"/>
  <c r="W15" i="2" s="1"/>
  <c r="W55" i="2" s="1"/>
  <c r="AI14" i="2"/>
  <c r="AB55" i="2"/>
  <c r="AG55" i="2"/>
  <c r="AE55" i="2"/>
  <c r="AI12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0" authorId="0" shapeId="0" xr:uid="{4A484583-6F40-4508-BAFD-BBD8C0059D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 
VACATION</t>
        </r>
      </text>
    </comment>
    <comment ref="G11" authorId="0" shapeId="0" xr:uid="{5F2C0BC9-79A8-4529-9E5A-82408717BF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9" authorId="0" shapeId="0" xr:uid="{87AA52BC-7858-4331-8E36-F3901E54DB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G19" authorId="0" shapeId="0" xr:uid="{4DB7A35B-32EF-4D98-9E52-A160C3DF0C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O12" authorId="0" shapeId="0" xr:uid="{CB737E69-20C3-40D0-BDE8-DA78117823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PALALON STORE
BRGY. MARAS
</t>
        </r>
      </text>
    </comment>
    <comment ref="AA12" authorId="0" shapeId="0" xr:uid="{36B39E4E-8250-486B-A49A-33837F9709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
</t>
        </r>
      </text>
    </comment>
    <comment ref="O13" authorId="0" shapeId="0" xr:uid="{B1CAD6C2-410B-4C9C-9B38-0C93D1F990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 
BACUNGAN</t>
        </r>
      </text>
    </comment>
    <comment ref="AA13" authorId="0" shapeId="0" xr:uid="{6E7A6870-736A-4331-9018-4319EBAD25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JODIS VARIETY STORE
BAYBAY LILOY</t>
        </r>
      </text>
    </comment>
    <comment ref="O14" authorId="0" shapeId="0" xr:uid="{89BBB16C-E075-4512-ADB0-529357D2DC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</t>
        </r>
      </text>
    </comment>
    <comment ref="AA14" authorId="0" shapeId="0" xr:uid="{2E709E2E-6BF0-4F37-8E20-B2CCB7320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</t>
        </r>
      </text>
    </comment>
    <comment ref="O15" authorId="0" shapeId="0" xr:uid="{CCBF8EA7-737E-460B-BE84-75DA5CF246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 GOLEO
</t>
        </r>
      </text>
    </comment>
    <comment ref="AA15" authorId="0" shapeId="0" xr:uid="{8F27B4CF-F50A-4961-B72C-D9DB659FE6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OSSANAH STORE
BAYBAY LILOY</t>
        </r>
      </text>
    </comment>
    <comment ref="O16" authorId="0" shapeId="0" xr:uid="{BD5EE541-B62C-44CC-8A09-DC182466CB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GERIAN STORE
BRGY. GOLEO
</t>
        </r>
      </text>
    </comment>
    <comment ref="AA16" authorId="0" shapeId="0" xr:uid="{4D4B12B3-B937-4651-BFF3-DA4897F251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ALCAYDE STORE
BAYBAY LILOY,LILOY</t>
        </r>
      </text>
    </comment>
    <comment ref="O17" authorId="0" shapeId="0" xr:uid="{45D08DAE-14C5-4B17-9A6F-253706E838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17" authorId="0" shapeId="0" xr:uid="{D76B49B0-D2C2-497B-888C-8ABE0BA5AA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AA18" authorId="0" shapeId="0" xr:uid="{9C4FB7DD-55FA-4452-B25E-D2AC5F6562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GUM-OS
BAYBAY LILOY</t>
        </r>
      </text>
    </comment>
    <comment ref="C67" authorId="0" shapeId="0" xr:uid="{0478E6F3-B56B-49DE-A922-4B63EBB34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AA67" authorId="0" shapeId="0" xr:uid="{F01F3228-6316-4733-9907-AB7DF1E5E0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 STORE
POB. SALUG</t>
        </r>
      </text>
    </comment>
    <comment ref="C68" authorId="0" shapeId="0" xr:uid="{28F5A055-7CAC-44C0-AD7B-6F1879C325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SINDANGAN
POB. SINDANGAN</t>
        </r>
      </text>
    </comment>
    <comment ref="AA68" authorId="0" shapeId="0" xr:uid="{8EF2B1C6-4D58-4A58-9F92-B862B3DF3F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STORE
POB. SALUG</t>
        </r>
      </text>
    </comment>
    <comment ref="C69" authorId="0" shapeId="0" xr:uid="{A481005D-5C87-49A0-8D5A-480560328A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VAN STORE
POB. SINDANGAN</t>
        </r>
      </text>
    </comment>
    <comment ref="AA69" authorId="0" shapeId="0" xr:uid="{F6C8EE63-7514-4D5E-ABD2-E4E0C04851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POB. SALUG</t>
        </r>
      </text>
    </comment>
    <comment ref="C70" authorId="0" shapeId="0" xr:uid="{2AEF25BC-9494-4E56-BCB3-D71570FFC0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</t>
        </r>
      </text>
    </comment>
    <comment ref="AA70" authorId="0" shapeId="0" xr:uid="{D88BDAFF-879C-4ED5-8A78-6D092E91A5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JAM'S STORE
POB. SALUG</t>
        </r>
      </text>
    </comment>
    <comment ref="C71" authorId="0" shapeId="0" xr:uid="{BF935508-798A-46BF-A0E0-92D594F955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AA71" authorId="0" shapeId="0" xr:uid="{BC444353-C48E-4B8D-BAFE-2EB90734F8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BRGY. CANAWAN SALUG</t>
        </r>
      </text>
    </comment>
    <comment ref="C72" authorId="0" shapeId="0" xr:uid="{8E43207F-9F7C-45D6-B4BC-BC5C84139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 STORE
POB. SIAYAN</t>
        </r>
      </text>
    </comment>
    <comment ref="AA72" authorId="0" shapeId="0" xr:uid="{49120C41-F26F-4BDB-AB1C-9BBDAF31F6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BRGY. BACONG</t>
        </r>
      </text>
    </comment>
    <comment ref="C73" authorId="0" shapeId="0" xr:uid="{F761837C-24C8-4926-BE74-F1C93B91D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AA73" authorId="0" shapeId="0" xr:uid="{77737260-0477-4CAB-9566-226F62E353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 1
BRGY. BACONG</t>
        </r>
      </text>
    </comment>
    <comment ref="C74" authorId="0" shapeId="0" xr:uid="{7352AA98-5DCB-4231-B682-15B53692EE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 
POB.SIAYAN</t>
        </r>
      </text>
    </comment>
    <comment ref="C75" authorId="0" shapeId="0" xr:uid="{B4332619-3300-43E2-A0FB-3EB78E639B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SABILLO STORE
POB. SINDANGAN</t>
        </r>
      </text>
    </comment>
    <comment ref="C76" authorId="0" shapeId="0" xr:uid="{CD03FD55-01B1-4FDF-8AA7-868371CD80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HUNDO STORE
DAGAO SIAYAN</t>
        </r>
      </text>
    </comment>
    <comment ref="C77" authorId="0" shapeId="0" xr:uid="{0E9AD46F-6FA7-4CD2-BCE8-2A9EC5BBF2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</t>
        </r>
      </text>
    </comment>
    <comment ref="C78" authorId="0" shapeId="0" xr:uid="{6E76EEFD-C83C-450F-A52E-F0E7BB4102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C79" authorId="0" shapeId="0" xr:uid="{B1D8E058-5909-41B3-8E78-0689A30D5E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3C1 / VILLAROBIA
LAGAG, SINDANGAN</t>
        </r>
      </text>
    </comment>
    <comment ref="C80" authorId="0" shapeId="0" xr:uid="{7D28750E-CB07-44B6-AA04-96A66EE125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EATERY
DISUD</t>
        </r>
      </text>
    </comment>
    <comment ref="C81" authorId="0" shapeId="0" xr:uid="{6A2154BB-763A-4B5E-A220-FB71244193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C122" authorId="0" shapeId="0" xr:uid="{2856FABC-FD3B-4571-B741-B1F386183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 SINDANGAN</t>
        </r>
      </text>
    </comment>
    <comment ref="O122" authorId="0" shapeId="0" xr:uid="{FAA4EA0F-4815-4240-A374-8E0F0075CF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BRGY. GOLEO</t>
        </r>
      </text>
    </comment>
    <comment ref="AA122" authorId="0" shapeId="0" xr:uid="{EB58427F-28B4-4BEA-80CF-DC4045CE73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
</t>
        </r>
      </text>
    </comment>
    <comment ref="C123" authorId="0" shapeId="0" xr:uid="{8F7B326A-CDC3-4540-B55F-FED3F52D8C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DAPAON. SINDANGAN</t>
        </r>
      </text>
    </comment>
    <comment ref="O123" authorId="0" shapeId="0" xr:uid="{30B805B9-25DD-4237-A482-C702E4283F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BRGY. MANDIH</t>
        </r>
      </text>
    </comment>
    <comment ref="AA123" authorId="0" shapeId="0" xr:uid="{2BFD7E09-FE70-4ADE-B3A8-27D9E16A5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 LILOY, LILOY</t>
        </r>
      </text>
    </comment>
    <comment ref="C124" authorId="0" shapeId="0" xr:uid="{0D268AF4-2C85-4C2C-8AD1-1FDF6E89F1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POB. SINDANGAN</t>
        </r>
      </text>
    </comment>
    <comment ref="O124" authorId="0" shapeId="0" xr:uid="{C25252E9-7819-4FC3-B2BA-F6E1865F6C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BRGY. MANDIH</t>
        </r>
      </text>
    </comment>
    <comment ref="AA124" authorId="0" shapeId="0" xr:uid="{DB9A8A60-4E67-4661-91EB-BB67C19E01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 LILOY, LILOY</t>
        </r>
      </text>
    </comment>
    <comment ref="C125" authorId="0" shapeId="0" xr:uid="{94D3A42A-FDD2-4666-8B83-E9365BAD16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 JULIET
DAPAON</t>
        </r>
      </text>
    </comment>
    <comment ref="O125" authorId="0" shapeId="0" xr:uid="{F712950F-A095-4CBF-BDE1-046B6C0C9F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ALIH STORE
BRGY. TINAPLAN
</t>
        </r>
      </text>
    </comment>
    <comment ref="AA125" authorId="0" shapeId="0" xr:uid="{F5C85C0C-1500-45FA-8B8C-C0253C50C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 LILOY</t>
        </r>
      </text>
    </comment>
    <comment ref="C126" authorId="0" shapeId="0" xr:uid="{43A59302-9F9D-49E6-B2E1-11DB56ABC1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POB. SINDANGAN</t>
        </r>
      </text>
    </comment>
    <comment ref="O126" authorId="0" shapeId="0" xr:uid="{86C40AE3-E06A-4566-AA9A-286B5F3A45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PALMA STORE
BRGY. GOLEO
</t>
        </r>
      </text>
    </comment>
    <comment ref="AA126" authorId="0" shapeId="0" xr:uid="{6B0970BE-8AD3-415B-8F0C-A77E49E76E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STORE
POBLACION EAST SALUG
</t>
        </r>
      </text>
    </comment>
    <comment ref="AA127" authorId="0" shapeId="0" xr:uid="{5A2980AF-2534-4D05-B4E8-DF5CCB4B08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 </t>
        </r>
      </text>
    </comment>
    <comment ref="AA128" authorId="0" shapeId="0" xr:uid="{039671A1-8F52-47C6-8313-5ABDC7CA38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
MANDULOYUNG CITY</t>
        </r>
      </text>
    </comment>
    <comment ref="AA129" authorId="0" shapeId="0" xr:uid="{54CD81A3-73DA-4A37-9D2D-79D4445BCD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 MIGUEL BREWERY INC.
MANDALUYONG CITY</t>
        </r>
      </text>
    </comment>
    <comment ref="C177" authorId="0" shapeId="0" xr:uid="{EA3540D4-8F73-4AAA-9647-55DCEB44E6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</t>
        </r>
      </text>
    </comment>
    <comment ref="O177" authorId="0" shapeId="0" xr:uid="{D2A4062E-33A0-41B3-86F6-2F158312A9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&amp; SON STORE
BACUNGAN</t>
        </r>
      </text>
    </comment>
    <comment ref="AA177" authorId="0" shapeId="0" xr:uid="{4210951B-0414-4BFB-A230-CA1524E834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LILOY</t>
        </r>
      </text>
    </comment>
    <comment ref="C178" authorId="0" shapeId="0" xr:uid="{F1DFBA5E-5665-48CB-9ADE-BAA957494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DART LANE
DISUD</t>
        </r>
      </text>
    </comment>
    <comment ref="O178" authorId="0" shapeId="0" xr:uid="{2C95024B-DBCF-4DD7-BE60-DFDB11FFE7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BETOY'S EATERY
BRGY. UPPER INUMAN</t>
        </r>
      </text>
    </comment>
    <comment ref="AA178" authorId="0" shapeId="0" xr:uid="{B2588165-46A3-43B1-BF18-EBA0895C1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LILOY</t>
        </r>
      </text>
    </comment>
    <comment ref="C179" authorId="0" shapeId="0" xr:uid="{67A674E8-AD49-4D5E-9E4B-94897EEBA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POB. SINDANGAN</t>
        </r>
      </text>
    </comment>
    <comment ref="AA179" authorId="0" shapeId="0" xr:uid="{E3E263B3-8AEC-40AF-B66E-B95C66A8AB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LILOY</t>
        </r>
      </text>
    </comment>
    <comment ref="C180" authorId="0" shapeId="0" xr:uid="{4BD91C7B-F627-45D8-B490-819776276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VILLARIN
POB. SINDANGAN</t>
        </r>
      </text>
    </comment>
    <comment ref="AA180" authorId="0" shapeId="0" xr:uid="{00BFAFCF-DF47-4F1C-9569-57FCA453F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 SALUG</t>
        </r>
      </text>
    </comment>
    <comment ref="C232" authorId="0" shapeId="0" xr:uid="{45D575F4-01B7-4C01-8E00-64CB8F2132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 SIAYAN</t>
        </r>
      </text>
    </comment>
    <comment ref="O232" authorId="0" shapeId="0" xr:uid="{4EF12A07-C930-4621-83A9-FAC85D107A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32" authorId="0" shapeId="0" xr:uid="{2E7ECF41-F1FF-4940-98DA-101F81336E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POBLACION EAST, SALUG</t>
        </r>
      </text>
    </comment>
    <comment ref="O233" authorId="0" shapeId="0" xr:uid="{A5103F8A-2B3C-4403-B1A3-9BD3875EF9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33" authorId="0" shapeId="0" xr:uid="{65C1A86F-9C38-4F8F-83DE-31DBA3A04A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 
POBLACION EAST, SALUG</t>
        </r>
      </text>
    </comment>
    <comment ref="O234" authorId="0" shapeId="0" xr:uid="{C54F1098-D801-4C1C-8E83-72E00BE79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 
BRGY. GOLEO</t>
        </r>
      </text>
    </comment>
    <comment ref="AA234" authorId="0" shapeId="0" xr:uid="{CFB0A0E9-B15D-4851-A253-7814C71052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BLUE HAUZ
POBLACION EAST, SALUG</t>
        </r>
      </text>
    </comment>
    <comment ref="O235" authorId="0" shapeId="0" xr:uid="{C240CC34-5351-40E7-B85C-A4F47DEA59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</t>
        </r>
      </text>
    </comment>
    <comment ref="AA235" authorId="0" shapeId="0" xr:uid="{985DFF69-34B5-4525-9B9F-F0AED2472A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NAONG
BACONG, SALUG</t>
        </r>
      </text>
    </comment>
    <comment ref="AA236" authorId="0" shapeId="0" xr:uid="{025B4E9C-1D37-415B-8273-16E435920E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 </t>
        </r>
      </text>
    </comment>
    <comment ref="AA237" authorId="0" shapeId="0" xr:uid="{478BAAEF-2932-489F-A1A3-1D993AABC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AA238" authorId="0" shapeId="0" xr:uid="{8712C201-1396-4391-979E-60000DB9F9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LETTY TINDI
BACONG, SALUG </t>
        </r>
      </text>
    </comment>
    <comment ref="C287" authorId="0" shapeId="0" xr:uid="{35E6A405-D299-471D-A1AB-A876F2FDD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PADIOTAN STORE
POB. SIAYAN</t>
        </r>
      </text>
    </comment>
    <comment ref="O287" authorId="0" shapeId="0" xr:uid="{5A879D9C-826D-4E21-8E11-56ADB35E8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 BACUNGAN</t>
        </r>
      </text>
    </comment>
    <comment ref="AA287" authorId="0" shapeId="0" xr:uid="{1964982F-0194-43A9-826C-3405701736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 LILOY</t>
        </r>
      </text>
    </comment>
    <comment ref="C288" authorId="0" shapeId="0" xr:uid="{69479EF1-8661-4BB7-BB21-761D203833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POB. SIAYAN</t>
        </r>
      </text>
    </comment>
    <comment ref="O288" authorId="0" shapeId="0" xr:uid="{B8938BAB-39C5-43F7-B07A-EDE8D355B1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 SINDANGAN</t>
        </r>
      </text>
    </comment>
    <comment ref="AA288" authorId="0" shapeId="0" xr:uid="{9A3CB82C-C6E3-4211-BA41-F02460076D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COLEEN
BAYBAY LILOY</t>
        </r>
      </text>
    </comment>
    <comment ref="C289" authorId="0" shapeId="0" xr:uid="{393C4C6E-BCF2-499C-B4FB-1B5F63260E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POB. SIAYAN</t>
        </r>
      </text>
    </comment>
    <comment ref="O289" authorId="0" shapeId="0" xr:uid="{E2AC7DCC-5E34-4C56-A1F7-984D7E5334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GAHUMAN
BRGY.GOLEO</t>
        </r>
      </text>
    </comment>
    <comment ref="AA289" authorId="0" shapeId="0" xr:uid="{733EA0B2-8A3C-4917-8186-65DCF4ED3D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 LILOY</t>
        </r>
      </text>
    </comment>
    <comment ref="C290" authorId="0" shapeId="0" xr:uid="{B7ACCE1E-10C7-452D-8BD0-955EA431D4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PIZONI, ALEJANDRO
POB. SIAYAN</t>
        </r>
      </text>
    </comment>
    <comment ref="O290" authorId="0" shapeId="0" xr:uid="{7C87CB3F-CC90-4792-801C-18D8CCF826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TAGOB STORE
BRGY. GOLEO</t>
        </r>
      </text>
    </comment>
    <comment ref="AA290" authorId="0" shapeId="0" xr:uid="{576FF87A-3BDD-4B97-8B10-A6FC06DC58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C291" authorId="0" shapeId="0" xr:uid="{7E5F3722-226F-4607-81EC-3A98E642B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 SIAYAN</t>
        </r>
      </text>
    </comment>
    <comment ref="O291" authorId="0" shapeId="0" xr:uid="{597CE0C3-CECC-4C9E-9CF9-A0D1240DFD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ESCORIAL STORE
BRGY. GOLEO
</t>
        </r>
      </text>
    </comment>
    <comment ref="AA291" authorId="0" shapeId="0" xr:uid="{1BA3A58C-1B50-4DB1-A197-F25A5B0E30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 STORE
BACONG, SALUG</t>
        </r>
      </text>
    </comment>
    <comment ref="C292" authorId="0" shapeId="0" xr:uid="{55CAE5A8-612B-4D77-9A52-6FCCCD76DB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POB. SINDANGAN</t>
        </r>
      </text>
    </comment>
    <comment ref="O292" authorId="0" shapeId="0" xr:uid="{EEB59C95-042A-476A-9633-ECF7E566E1B4}">
      <text>
        <r>
          <rPr>
            <b/>
            <sz val="9"/>
            <color indexed="81"/>
            <rFont val="Tahoma"/>
            <charset val="1"/>
          </rPr>
          <t xml:space="preserve">User
</t>
        </r>
        <r>
          <rPr>
            <sz val="9"/>
            <color indexed="81"/>
            <rFont val="Tahoma"/>
            <family val="2"/>
          </rPr>
          <t>GERIAN STORE
BRGY. GOLEO</t>
        </r>
      </text>
    </comment>
    <comment ref="AA292" authorId="0" shapeId="0" xr:uid="{EEADCD7A-B5C0-4B9C-8654-74C328EB420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 , SALUG</t>
        </r>
      </text>
    </comment>
    <comment ref="C293" authorId="0" shapeId="0" xr:uid="{20BCEA88-CFBA-41F3-B8BC-920F742A22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?????????</t>
        </r>
      </text>
    </comment>
    <comment ref="O293" authorId="0" shapeId="0" xr:uid="{B4AC042F-F3AA-46FE-A007-0BA762A5ADF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</t>
        </r>
      </text>
    </comment>
    <comment ref="C294" authorId="0" shapeId="0" xr:uid="{B5CCDC42-F179-4370-AB87-E092C0F024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GODDIE
POB. SINDANGAN</t>
        </r>
      </text>
    </comment>
    <comment ref="O294" authorId="0" shapeId="0" xr:uid="{927D5D1D-F70E-4DE3-9ED3-1FC9E9E06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BRGY. GOLEO</t>
        </r>
      </text>
    </comment>
    <comment ref="C342" authorId="0" shapeId="0" xr:uid="{16B973FD-EE2A-46E1-AD45-990750C435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O342" authorId="0" shapeId="0" xr:uid="{BE276DF7-33FB-462F-AE8E-36EEE0E1B3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SANOPAO STORE
MARAS, SINDANGAN</t>
        </r>
      </text>
    </comment>
    <comment ref="AA342" authorId="0" shapeId="0" xr:uid="{41BC7574-97EF-477E-A1BF-7C36DA3E6C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343" authorId="0" shapeId="0" xr:uid="{CACEFFA2-B7CE-4500-8888-3A843BFFD5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AZUSINA
DAGAO, SIAYAN</t>
        </r>
      </text>
    </comment>
    <comment ref="O343" authorId="0" shapeId="0" xr:uid="{E69D73B2-63F3-4EF3-872C-EC20045F0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
</t>
        </r>
      </text>
    </comment>
    <comment ref="AA343" authorId="0" shapeId="0" xr:uid="{DC35A59E-B4DA-4476-A0E0-BF32373EB4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AGURA STORE
BAYBAY, LILOY</t>
        </r>
      </text>
    </comment>
    <comment ref="C344" authorId="0" shapeId="0" xr:uid="{79952B33-8D79-4C5A-8DA7-4FBF9DA0F6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4" authorId="0" shapeId="0" xr:uid="{4BF29584-5DE8-4136-B942-7750C3277C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UNWIND RESTOBAR
POB, BACUNGAN</t>
        </r>
      </text>
    </comment>
    <comment ref="AA344" authorId="0" shapeId="0" xr:uid="{4DAC88F5-A48B-4E6A-9D03-D889ACBB3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JENVEL STORE
BAYBAY, LILOY</t>
        </r>
      </text>
    </comment>
    <comment ref="C345" authorId="0" shapeId="0" xr:uid="{D8341449-987B-4B66-8BC8-78651727CD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JONATHAN CENAS
POB, SIAYAN</t>
        </r>
      </text>
    </comment>
    <comment ref="O345" authorId="0" shapeId="0" xr:uid="{8E6BE2CA-DDC6-4DEF-A988-22C993E7CA4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345" authorId="0" shapeId="0" xr:uid="{F4D3871A-6887-4979-9D9A-2838CC61FE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MARAÑON STORE
VILLA SUICIDAL, LILOY</t>
        </r>
      </text>
    </comment>
    <comment ref="C346" authorId="0" shapeId="0" xr:uid="{2C150150-5A45-47F1-8980-CC2778A7A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SANCHEZ STORE
LAGAG, SINDANGAN</t>
        </r>
      </text>
    </comment>
    <comment ref="O346" authorId="0" shapeId="0" xr:uid="{3F7D1ACE-876C-460C-ABD2-4194BD64F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346" authorId="0" shapeId="0" xr:uid="{32316C91-F9DD-4803-84FE-3C326B210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C347" authorId="0" shapeId="0" xr:uid="{FF92DF86-6B66-4023-BCEF-79D5DF12C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LANLYN STORE
LAGAG, SINDANGAN</t>
        </r>
      </text>
    </comment>
    <comment ref="O347" authorId="0" shapeId="0" xr:uid="{77416DF5-9ECA-4EC2-ADF8-7D94A7A427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347" authorId="0" shapeId="0" xr:uid="{1E2B81A8-B993-4B1D-863A-BC6632D0A8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NELMIN
KAYOK, LILOY</t>
        </r>
      </text>
    </comment>
    <comment ref="O348" authorId="0" shapeId="0" xr:uid="{BD4A2300-76D7-4B1B-A6E1-E6E50AFB6F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SHANES STORE
MARAS, SINDANGAN</t>
        </r>
      </text>
    </comment>
    <comment ref="AA348" authorId="0" shapeId="0" xr:uid="{80B97368-CD39-413A-9391-C51925C05F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PAMANA
BACONG, SALUG
</t>
        </r>
      </text>
    </comment>
    <comment ref="O349" authorId="0" shapeId="0" xr:uid="{71FD973B-7515-4D49-B658-F0A444C6D6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TOQUERO STORE
UPPER INUMAN, SINDANGAN</t>
        </r>
      </text>
    </comment>
    <comment ref="AA349" authorId="0" shapeId="0" xr:uid="{08DA2AB8-7470-4A64-925E-1C22795A0D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DISRAN STORE
?
</t>
        </r>
      </text>
    </comment>
    <comment ref="O350" authorId="0" shapeId="0" xr:uid="{9E0F3347-D5B9-4826-80F8-BF50B5CB9C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NOEL ARIPAL
DATU TANGKILAN, SINDANGAN</t>
        </r>
      </text>
    </comment>
    <comment ref="O351" authorId="0" shapeId="0" xr:uid="{F9637703-C245-45BA-BC2A-1BFC42368E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97" authorId="0" shapeId="0" xr:uid="{53EE34CC-4532-4860-8794-7D836974F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TAGULOB, VILMA
POB.SALUG</t>
        </r>
      </text>
    </comment>
    <comment ref="AA398" authorId="0" shapeId="0" xr:uid="{73150E53-FBBD-4060-BE56-DD9688E8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JINKY SAGARIO
POB. SALUG</t>
        </r>
      </text>
    </comment>
    <comment ref="AA399" authorId="0" shapeId="0" xr:uid="{C8EAE43F-2749-467A-8F3A-869ACA5CDB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 SALUG</t>
        </r>
      </text>
    </comment>
    <comment ref="AA400" authorId="0" shapeId="0" xr:uid="{3C417B3E-76F8-4D6F-9254-29B3055B8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ARLAY SAPIHI
POB. SALUG</t>
        </r>
      </text>
    </comment>
    <comment ref="AA401" authorId="0" shapeId="0" xr:uid="{62EB0B8C-CD1E-422F-88F7-30D49F0E0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REVELO STORE
BACONG SALUG</t>
        </r>
      </text>
    </comment>
    <comment ref="AA402" authorId="0" shapeId="0" xr:uid="{2CACFDEF-D099-4CDA-85D6-B3E4711C31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4JS BAKESHOP
BACONG SALUG</t>
        </r>
      </text>
    </comment>
    <comment ref="AA403" authorId="0" shapeId="0" xr:uid="{CFD52BD6-EFEA-4A89-9FD6-93D007A935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</t>
        </r>
      </text>
    </comment>
    <comment ref="AA404" authorId="0" shapeId="0" xr:uid="{1E23F663-DD12-4155-B85D-5C951AEC2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</t>
        </r>
      </text>
    </comment>
    <comment ref="AA405" authorId="0" shapeId="0" xr:uid="{59C47932-CA8B-4E5C-B191-C024AD442B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MONTEDARO STORE
TINAPLAN SINDANGAN</t>
        </r>
      </text>
    </comment>
    <comment ref="AA406" authorId="0" shapeId="0" xr:uid="{D91C984B-B50F-4881-9EE6-FF50E30D310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EATERY
GOLEO</t>
        </r>
      </text>
    </comment>
    <comment ref="AA407" authorId="0" shapeId="0" xr:uid="{FC1FE35B-8B11-4285-A135-679EC5760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TEMPORADA JERALDINE
GOLEO</t>
        </r>
      </text>
    </comment>
    <comment ref="C452" authorId="0" shapeId="0" xr:uid="{FB3868B0-05E9-4337-9A19-E47D90B7A1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 ANIÑON
DISUD, SINDANGAN</t>
        </r>
      </text>
    </comment>
    <comment ref="O452" authorId="0" shapeId="0" xr:uid="{F9F84C14-2570-4227-9C73-EEA0A1EF3D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ALMA</t>
        </r>
      </text>
    </comment>
    <comment ref="AA452" authorId="0" shapeId="0" xr:uid="{81E256B7-F0D7-48F4-B53F-E29C21B41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453" authorId="0" shapeId="0" xr:uid="{A1BED63B-75D2-44DB-931A-2296336ABD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O453" authorId="0" shapeId="0" xr:uid="{45AA1A31-38E3-40FC-8103-3913576A19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C454" authorId="0" shapeId="0" xr:uid="{0EAA6FDA-DDE7-4121-BE9A-9C194241A8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454" authorId="0" shapeId="0" xr:uid="{EA5F318A-909D-49B6-9320-30530B0023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454" authorId="0" shapeId="0" xr:uid="{03135C30-268A-4988-9888-11D95BB0B4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OSANNAH STORE
BAYBAY, LILOY</t>
        </r>
      </text>
    </comment>
    <comment ref="C455" authorId="0" shapeId="0" xr:uid="{EEB4343A-B286-4F4F-BC95-F721CAEAF6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WILLAM RUSIANA
DISUD, SINDANGAN</t>
        </r>
      </text>
    </comment>
    <comment ref="O455" authorId="0" shapeId="0" xr:uid="{5D88D65B-9DE4-49A4-89AE-B873DC9EF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POB, BACUNGAN</t>
        </r>
      </text>
    </comment>
    <comment ref="AA455" authorId="0" shapeId="0" xr:uid="{CA86D7BD-5416-4F1B-8646-EAAE755175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6" authorId="0" shapeId="0" xr:uid="{713ECDE0-947E-4DC6-B20C-7D97D88E50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TAMPUS STORE
POB, SINDANGAN</t>
        </r>
      </text>
    </comment>
    <comment ref="O456" authorId="0" shapeId="0" xr:uid="{9C3C0424-1482-4D7E-818C-446D93EF3D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456" authorId="0" shapeId="0" xr:uid="{91B14197-1170-4792-A21B-DBE6BD396B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457" authorId="0" shapeId="0" xr:uid="{902BD2C2-4A0A-41FF-BF57-B24993D8E0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457" authorId="0" shapeId="0" xr:uid="{17EBB7A8-AB85-41B9-9099-F968CEC608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7" authorId="0" shapeId="0" xr:uid="{F68BB06D-9FE5-4B96-9F0F-97905BBEAA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507" authorId="0" shapeId="0" xr:uid="{5BA71815-D298-46AC-83B8-B5DD19CDD6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
GUNYAN, SIAYAN</t>
        </r>
      </text>
    </comment>
    <comment ref="O507" authorId="0" shapeId="0" xr:uid="{3DCB0BB6-0F4F-48A9-890F-286C278DCC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AA507" authorId="0" shapeId="0" xr:uid="{95E91A3C-9A3C-47BF-B20D-D918C65D4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EAST SALUG</t>
        </r>
      </text>
    </comment>
    <comment ref="C508" authorId="0" shapeId="0" xr:uid="{D055627E-208B-4F54-BD91-EA0D2DD6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ROMEO OMAO
POB, SIAYAN</t>
        </r>
      </text>
    </comment>
    <comment ref="O508" authorId="0" shapeId="0" xr:uid="{B24B5ACB-B057-4868-BEEC-D6DA79AACF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508" authorId="0" shapeId="0" xr:uid="{1772BFCF-A991-4E20-8A96-645F72B5B9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 EAST, SALUG</t>
        </r>
      </text>
    </comment>
    <comment ref="C509" authorId="0" shapeId="0" xr:uid="{C32B7DD0-62C5-455A-A993-A1AE1B35FE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O509" authorId="0" shapeId="0" xr:uid="{D5F54225-1959-47F6-8AE0-51C67BF201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AGAN STORE
POB, BACUNGAN</t>
        </r>
      </text>
    </comment>
    <comment ref="AA509" authorId="0" shapeId="0" xr:uid="{D35BC030-000C-444C-9F4A-8A2562C446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 EAST, SALUG</t>
        </r>
      </text>
    </comment>
    <comment ref="C510" authorId="0" shapeId="0" xr:uid="{691AEE64-5323-41C9-AE39-9BAFD72D30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DAMONSONG STORE
DENOYAN, SIAYAN</t>
        </r>
      </text>
    </comment>
    <comment ref="O510" authorId="0" shapeId="0" xr:uid="{E876749C-D42A-4CD3-BEF8-B885093168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510" authorId="0" shapeId="0" xr:uid="{13591100-A0A0-4820-ADEF-9D190769D3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PACABO STORE
POB, EAST SALUG</t>
        </r>
      </text>
    </comment>
    <comment ref="AA511" authorId="0" shapeId="0" xr:uid="{336E89FA-D01E-4935-8DAC-3403D1C36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</commentList>
</comments>
</file>

<file path=xl/sharedStrings.xml><?xml version="1.0" encoding="utf-8"?>
<sst xmlns="http://schemas.openxmlformats.org/spreadsheetml/2006/main" count="616" uniqueCount="70">
  <si>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</si>
  <si>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</si>
  <si>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</si>
  <si>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</si>
  <si>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</si>
  <si>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</si>
  <si>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</si>
  <si>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</si>
  <si>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</si>
  <si>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</si>
  <si>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</si>
  <si>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</si>
  <si>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</si>
  <si>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</si>
  <si>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</si>
  <si>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</si>
  <si>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</si>
  <si>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</si>
  <si>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</si>
  <si>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</si>
  <si>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</si>
  <si>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</si>
  <si>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</si>
  <si>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</si>
  <si>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</si>
  <si>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</si>
  <si>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</si>
  <si>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</si>
  <si>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</si>
  <si>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</si>
  <si>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</si>
  <si>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</si>
  <si>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</si>
  <si>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</si>
  <si>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</si>
  <si>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</si>
  <si>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DANDAYO, RONNEL</t>
  </si>
  <si>
    <t>WEDNESDAY</t>
  </si>
  <si>
    <t>JULY 01, 2026</t>
  </si>
  <si>
    <t>JULY 2026</t>
  </si>
  <si>
    <t>JULY 02, 2026</t>
  </si>
  <si>
    <t>THURSDAY</t>
  </si>
  <si>
    <t>11184-11198//11255-11261</t>
  </si>
  <si>
    <t>//11216-11221/11148-11254</t>
  </si>
  <si>
    <t>FRIDAY</t>
  </si>
  <si>
    <t>JULY 03, 2026</t>
  </si>
  <si>
    <t>11199-11019/11222-11226/11262-11266-11301-11303</t>
  </si>
  <si>
    <t>MONDAY</t>
  </si>
  <si>
    <t>JULY 6, 2026</t>
  </si>
  <si>
    <t>JULY 06, 2026</t>
  </si>
  <si>
    <t>LOPEZ, GINA GRACE</t>
  </si>
  <si>
    <t>NO TRIP</t>
  </si>
  <si>
    <t>11020-11023/11227-11228/11267-11270</t>
  </si>
  <si>
    <t>TUESDAY</t>
  </si>
  <si>
    <t>JULY 7, 2026</t>
  </si>
  <si>
    <t>JULY 07, 2026</t>
  </si>
  <si>
    <t>11024/11229-11232/11271-11277</t>
  </si>
  <si>
    <t>JULY 8, 2026</t>
  </si>
  <si>
    <t>JULY 08, 2026</t>
  </si>
  <si>
    <t>11025-11032/11233-11240/11278-11283</t>
  </si>
  <si>
    <t>JULY 09, 2026</t>
  </si>
  <si>
    <t>11033-11038/11241-11250/11284-11291</t>
  </si>
  <si>
    <t>JULY 10, 2026</t>
  </si>
  <si>
    <t>//11039-11049</t>
  </si>
  <si>
    <t>JULY 13, 2026</t>
  </si>
  <si>
    <t>07/13/2026</t>
  </si>
  <si>
    <t>JULY 14, 2026</t>
  </si>
  <si>
    <t>07/14/2026</t>
  </si>
  <si>
    <t>11050,11401-11405/11304,11351-11355/11292-11297</t>
  </si>
  <si>
    <t>11406-11409/11356-11359/11298-11300,11305-11306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</si>
</sst>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5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F24" sqref="F24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4" t="s">
        <v>39</v>
      </c>
      <c r="B6" s="104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12" t="s">
        <v>43</v>
      </c>
      <c r="D10" s="16">
        <f t="shared" ref="D10:D27" si="0">J10</f>
        <v>460859.5</v>
      </c>
      <c r="F10" s="14"/>
      <c r="G10" s="14">
        <v>210661.5</v>
      </c>
      <c r="H10" s="14">
        <v>250198</v>
      </c>
      <c r="I10" s="14"/>
      <c r="J10" s="17">
        <f t="shared" ref="J10:J39" si="1">F10+G10+H10</f>
        <v>460859.5</v>
      </c>
    </row>
    <row r="11" spans="1:10" x14ac:dyDescent="0.25">
      <c r="A11" s="10">
        <f>A10+1</f>
        <v>2</v>
      </c>
      <c r="B11" s="11" t="s">
        <v>30</v>
      </c>
      <c r="C11" s="12" t="s">
        <v>42</v>
      </c>
      <c r="D11" s="16">
        <f t="shared" si="0"/>
        <v>468345</v>
      </c>
      <c r="F11" s="14">
        <v>254227</v>
      </c>
      <c r="G11" s="14"/>
      <c r="H11" s="14">
        <v>214118</v>
      </c>
      <c r="I11" s="14"/>
      <c r="J11" s="17">
        <f t="shared" si="1"/>
        <v>468345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46</v>
      </c>
      <c r="D12" s="16">
        <f t="shared" si="0"/>
        <v>898338.25</v>
      </c>
      <c r="F12" s="14">
        <v>280653</v>
      </c>
      <c r="G12" s="14">
        <v>231291</v>
      </c>
      <c r="H12" s="14">
        <v>386394.25</v>
      </c>
      <c r="I12" s="14"/>
      <c r="J12" s="17">
        <f t="shared" si="1"/>
        <v>898338.25</v>
      </c>
    </row>
    <row r="13" spans="1:10" x14ac:dyDescent="0.25">
      <c r="A13" s="10">
        <f t="shared" si="2"/>
        <v>4</v>
      </c>
      <c r="B13" s="56" t="s">
        <v>5</v>
      </c>
      <c r="C13" s="44" t="s">
        <v>51</v>
      </c>
      <c r="D13" s="55" t="s">
        <v>51</v>
      </c>
      <c r="F13" s="14"/>
      <c r="G13" s="14"/>
      <c r="H13" s="14"/>
      <c r="I13" s="14"/>
      <c r="J13" s="17">
        <f t="shared" si="1"/>
        <v>0</v>
      </c>
    </row>
    <row r="14" spans="1:10" x14ac:dyDescent="0.25">
      <c r="A14" s="10">
        <f t="shared" si="2"/>
        <v>5</v>
      </c>
      <c r="B14" s="13" t="s">
        <v>6</v>
      </c>
      <c r="C14" s="44" t="s">
        <v>29</v>
      </c>
      <c r="D14" s="55" t="s">
        <v>29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52</v>
      </c>
      <c r="D15" s="16">
        <f t="shared" si="0"/>
        <v>665550</v>
      </c>
      <c r="F15" s="14">
        <v>197385</v>
      </c>
      <c r="G15" s="14">
        <v>214847</v>
      </c>
      <c r="H15" s="14">
        <v>253318</v>
      </c>
      <c r="I15" s="14"/>
      <c r="J15" s="17">
        <f t="shared" si="1"/>
        <v>665550</v>
      </c>
    </row>
    <row r="16" spans="1:10" x14ac:dyDescent="0.25">
      <c r="A16" s="10">
        <f t="shared" si="2"/>
        <v>7</v>
      </c>
      <c r="B16" s="43" t="s">
        <v>8</v>
      </c>
      <c r="C16" s="12" t="s">
        <v>56</v>
      </c>
      <c r="D16" s="16">
        <f t="shared" si="0"/>
        <v>732828</v>
      </c>
      <c r="F16" s="14">
        <v>218180</v>
      </c>
      <c r="G16" s="14">
        <v>273892</v>
      </c>
      <c r="H16" s="14">
        <v>240756</v>
      </c>
      <c r="I16" s="14"/>
      <c r="J16" s="17">
        <f t="shared" si="1"/>
        <v>732828</v>
      </c>
    </row>
    <row r="17" spans="1:10" x14ac:dyDescent="0.25">
      <c r="A17" s="10">
        <f t="shared" si="2"/>
        <v>8</v>
      </c>
      <c r="B17" s="56" t="s">
        <v>9</v>
      </c>
      <c r="C17" s="12" t="s">
        <v>59</v>
      </c>
      <c r="D17" s="16">
        <f t="shared" si="0"/>
        <v>734767.5</v>
      </c>
      <c r="F17" s="14">
        <v>249507</v>
      </c>
      <c r="G17" s="14">
        <v>184702.5</v>
      </c>
      <c r="H17" s="14">
        <v>300558</v>
      </c>
      <c r="I17" s="14"/>
      <c r="J17" s="17">
        <f t="shared" si="1"/>
        <v>734767.5</v>
      </c>
    </row>
    <row r="18" spans="1:10" x14ac:dyDescent="0.25">
      <c r="A18" s="10">
        <f t="shared" si="2"/>
        <v>9</v>
      </c>
      <c r="B18" s="11" t="s">
        <v>30</v>
      </c>
      <c r="C18" s="12" t="s">
        <v>61</v>
      </c>
      <c r="D18" s="16">
        <f t="shared" si="0"/>
        <v>548995.5</v>
      </c>
      <c r="F18" s="14">
        <v>252135</v>
      </c>
      <c r="G18" s="14">
        <v>200833</v>
      </c>
      <c r="H18" s="14">
        <v>96027.5</v>
      </c>
      <c r="I18" s="14"/>
      <c r="J18" s="17">
        <f t="shared" si="1"/>
        <v>548995.5</v>
      </c>
    </row>
    <row r="19" spans="1:10" x14ac:dyDescent="0.25">
      <c r="A19" s="10">
        <f t="shared" si="2"/>
        <v>10</v>
      </c>
      <c r="B19" s="43" t="s">
        <v>4</v>
      </c>
      <c r="C19" s="12" t="s">
        <v>63</v>
      </c>
      <c r="D19" s="16">
        <f t="shared" si="0"/>
        <v>212311</v>
      </c>
      <c r="F19" s="14"/>
      <c r="G19" s="14"/>
      <c r="H19" s="14">
        <v>212311</v>
      </c>
      <c r="I19" s="14"/>
      <c r="J19" s="17">
        <f t="shared" si="1"/>
        <v>212311</v>
      </c>
    </row>
    <row r="20" spans="1:10" x14ac:dyDescent="0.25">
      <c r="A20" s="10">
        <f t="shared" si="2"/>
        <v>11</v>
      </c>
      <c r="B20" s="56" t="s">
        <v>5</v>
      </c>
      <c r="C20" s="44" t="s">
        <v>51</v>
      </c>
      <c r="D20" s="55" t="s">
        <v>51</v>
      </c>
      <c r="F20" s="14"/>
      <c r="G20" s="14"/>
      <c r="H20" s="14"/>
      <c r="I20" s="14"/>
      <c r="J20" s="17">
        <f t="shared" si="1"/>
        <v>0</v>
      </c>
    </row>
    <row r="21" spans="1:10" x14ac:dyDescent="0.25">
      <c r="A21" s="10">
        <f t="shared" si="2"/>
        <v>12</v>
      </c>
      <c r="B21" s="13" t="s">
        <v>6</v>
      </c>
      <c r="C21" s="44" t="s">
        <v>29</v>
      </c>
      <c r="D21" s="55" t="s">
        <v>29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68</v>
      </c>
      <c r="D22" s="16">
        <f t="shared" si="0"/>
        <v>779578.5</v>
      </c>
      <c r="F22" s="14">
        <v>227029</v>
      </c>
      <c r="G22" s="14">
        <v>224104.5</v>
      </c>
      <c r="H22" s="14">
        <v>328445</v>
      </c>
      <c r="I22" s="14"/>
      <c r="J22" s="17">
        <f t="shared" ref="J22:J23" si="3">F22+G22+H22</f>
        <v>779578.5</v>
      </c>
    </row>
    <row r="23" spans="1:10" x14ac:dyDescent="0.25">
      <c r="A23" s="10">
        <f t="shared" si="2"/>
        <v>14</v>
      </c>
      <c r="B23" s="43" t="s">
        <v>8</v>
      </c>
      <c r="C23" s="12" t="s">
        <v>69</v>
      </c>
      <c r="D23" s="16">
        <f t="shared" si="0"/>
        <v>620633</v>
      </c>
      <c r="F23" s="14">
        <v>223563</v>
      </c>
      <c r="G23" s="14">
        <v>206206</v>
      </c>
      <c r="H23" s="14">
        <v>190864</v>
      </c>
      <c r="I23" s="14"/>
      <c r="J23" s="17">
        <f t="shared" si="3"/>
        <v>620633</v>
      </c>
    </row>
    <row r="24" spans="1:10" x14ac:dyDescent="0.25">
      <c r="A24" s="10">
        <f t="shared" si="2"/>
        <v>15</v>
      </c>
      <c r="B24" s="56" t="s">
        <v>9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11" t="s">
        <v>30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7" si="4">F25+G25+H25</f>
        <v>0</v>
      </c>
    </row>
    <row r="26" spans="1:10" x14ac:dyDescent="0.25">
      <c r="A26" s="10">
        <f t="shared" si="2"/>
        <v>17</v>
      </c>
      <c r="B26" s="43" t="s">
        <v>4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4"/>
        <v>0</v>
      </c>
    </row>
    <row r="27" spans="1:10" x14ac:dyDescent="0.25">
      <c r="A27" s="10">
        <f t="shared" si="2"/>
        <v>18</v>
      </c>
      <c r="B27" s="56" t="s">
        <v>5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4"/>
        <v>0</v>
      </c>
    </row>
    <row r="28" spans="1:10" x14ac:dyDescent="0.25">
      <c r="A28" s="10">
        <f t="shared" si="2"/>
        <v>19</v>
      </c>
      <c r="B28" s="13" t="s">
        <v>6</v>
      </c>
      <c r="C28" s="44" t="s">
        <v>29</v>
      </c>
      <c r="D28" s="55" t="s">
        <v>29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/>
      <c r="D29" s="16">
        <f t="shared" ref="D29:D33" si="5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43" t="s">
        <v>8</v>
      </c>
      <c r="C30" s="12"/>
      <c r="D30" s="16">
        <f t="shared" si="5"/>
        <v>0</v>
      </c>
      <c r="F30" s="14"/>
      <c r="G30" s="14"/>
      <c r="H30" s="14"/>
      <c r="I30" s="14"/>
      <c r="J30" s="17">
        <f t="shared" si="1"/>
        <v>0</v>
      </c>
    </row>
    <row r="31" spans="1:10" x14ac:dyDescent="0.25">
      <c r="A31" s="10">
        <f t="shared" si="2"/>
        <v>22</v>
      </c>
      <c r="B31" s="56" t="s">
        <v>9</v>
      </c>
      <c r="C31" s="12"/>
      <c r="D31" s="16">
        <f t="shared" si="5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11" t="s">
        <v>30</v>
      </c>
      <c r="C32" s="12"/>
      <c r="D32" s="16">
        <f t="shared" si="5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4</v>
      </c>
      <c r="C33" s="12"/>
      <c r="D33" s="16">
        <f t="shared" si="5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5</v>
      </c>
      <c r="C34" s="12"/>
      <c r="D34" s="16">
        <f t="shared" ref="D34:D39" si="6">J34</f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3" t="s">
        <v>6</v>
      </c>
      <c r="C35" s="44" t="s">
        <v>29</v>
      </c>
      <c r="D35" s="55" t="s">
        <v>29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/>
      <c r="D36" s="16">
        <f t="shared" si="6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8</v>
      </c>
      <c r="C37" s="12"/>
      <c r="D37" s="16">
        <f t="shared" si="6"/>
        <v>0</v>
      </c>
      <c r="E37" s="14"/>
      <c r="F37" s="15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43" t="s">
        <v>9</v>
      </c>
      <c r="C38" s="12"/>
      <c r="D38" s="16">
        <f t="shared" si="6"/>
        <v>0</v>
      </c>
      <c r="E38" s="14"/>
      <c r="F38" s="15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30</v>
      </c>
      <c r="C39" s="12"/>
      <c r="D39" s="16">
        <f t="shared" si="6"/>
        <v>0</v>
      </c>
      <c r="E39" s="14"/>
      <c r="F39" s="15"/>
      <c r="G39" s="14"/>
      <c r="H39" s="14"/>
      <c r="I39" s="14"/>
      <c r="J39" s="17">
        <f t="shared" si="1"/>
        <v>0</v>
      </c>
    </row>
    <row r="40" spans="1:10" x14ac:dyDescent="0.25">
      <c r="A40" s="10">
        <f t="shared" si="2"/>
        <v>31</v>
      </c>
      <c r="B40" s="56" t="s">
        <v>4</v>
      </c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5" t="s">
        <v>10</v>
      </c>
      <c r="B42" s="106"/>
      <c r="C42" s="107"/>
      <c r="D42" s="48">
        <f>SUM(D2:D41)</f>
        <v>6122206.25</v>
      </c>
      <c r="J42" s="49">
        <f>SUM(J10:J41)</f>
        <v>6122206.25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6"/>
  <sheetViews>
    <sheetView topLeftCell="A519" zoomScale="96" zoomScaleNormal="96" workbookViewId="0">
      <selection activeCell="B551" sqref="B55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62"/>
      <c r="B1" s="62"/>
      <c r="C1" s="62"/>
      <c r="D1" s="62"/>
      <c r="E1" s="62"/>
      <c r="F1" s="62"/>
      <c r="G1" s="62"/>
      <c r="H1" s="62"/>
      <c r="I1" s="62"/>
      <c r="J1" s="62"/>
      <c r="K1" s="62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s="62"/>
      <c r="B2" s="91"/>
      <c r="C2" s="91"/>
      <c r="D2" s="91"/>
      <c r="E2" s="91"/>
      <c r="F2" s="91"/>
      <c r="G2" s="91"/>
      <c r="H2" s="62"/>
      <c r="I2" s="62"/>
      <c r="J2" s="62"/>
      <c r="K2" s="62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s="62"/>
      <c r="B3" s="91"/>
      <c r="C3" s="91"/>
      <c r="D3" s="91"/>
      <c r="E3" s="91"/>
      <c r="F3" s="91"/>
      <c r="G3" s="91"/>
      <c r="H3" s="62"/>
      <c r="I3" s="62"/>
      <c r="J3" s="62"/>
      <c r="K3" s="62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A4" s="62"/>
      <c r="B4" s="91"/>
      <c r="C4" s="91"/>
      <c r="D4" s="91"/>
      <c r="E4" s="91"/>
      <c r="F4" s="91"/>
      <c r="G4" s="91"/>
      <c r="H4" s="62"/>
      <c r="I4" s="62"/>
      <c r="J4" s="62"/>
      <c r="K4" s="62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63"/>
      <c r="B5" s="91"/>
      <c r="C5" s="91"/>
      <c r="D5" s="91"/>
      <c r="E5" s="91"/>
      <c r="F5" s="91"/>
      <c r="G5" s="91"/>
      <c r="H5" s="62"/>
      <c r="I5" s="62"/>
      <c r="J5" s="62"/>
      <c r="K5" s="62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A6" s="62"/>
      <c r="B6" s="91"/>
      <c r="C6" s="91"/>
      <c r="D6" s="91"/>
      <c r="E6" s="91"/>
      <c r="F6" s="91"/>
      <c r="G6" s="91"/>
      <c r="H6" s="62"/>
      <c r="I6" s="62"/>
      <c r="J6" s="62"/>
      <c r="K6" s="62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s="62"/>
      <c r="B7" s="91"/>
      <c r="C7" s="91"/>
      <c r="D7" s="91"/>
      <c r="E7" s="91"/>
      <c r="F7" s="91"/>
      <c r="G7" s="91"/>
      <c r="H7" s="62"/>
      <c r="I7" s="91"/>
      <c r="J7" s="73"/>
      <c r="K7" s="62"/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64"/>
      <c r="B8" s="91"/>
      <c r="C8" s="91"/>
      <c r="D8" s="91"/>
      <c r="E8" s="91"/>
      <c r="F8" s="91"/>
      <c r="G8" s="91"/>
      <c r="H8" s="62"/>
      <c r="I8" s="65"/>
      <c r="J8" s="65"/>
      <c r="K8" s="62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A9" s="62"/>
      <c r="B9" s="91"/>
      <c r="C9" s="91"/>
      <c r="D9" s="91"/>
      <c r="E9" s="91"/>
      <c r="F9" s="91"/>
      <c r="G9" s="91"/>
      <c r="H9" s="62"/>
      <c r="I9" s="62"/>
      <c r="J9" s="62"/>
      <c r="K9" s="62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A10" s="62"/>
      <c r="B10" s="65"/>
      <c r="C10" s="91"/>
      <c r="D10" s="108"/>
      <c r="E10" s="108"/>
      <c r="F10" s="91"/>
      <c r="G10" s="91"/>
      <c r="H10" s="62"/>
      <c r="I10" s="108"/>
      <c r="J10" s="108"/>
      <c r="K10" s="109"/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13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13" t="s">
        <v>19</v>
      </c>
    </row>
    <row r="11" spans="1:35" ht="30" x14ac:dyDescent="0.25">
      <c r="A11" s="62"/>
      <c r="B11" s="91"/>
      <c r="C11" s="91"/>
      <c r="D11" s="79"/>
      <c r="E11" s="80"/>
      <c r="F11" s="81"/>
      <c r="G11" s="81"/>
      <c r="H11" s="62"/>
      <c r="I11" s="90"/>
      <c r="J11" s="90"/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14"/>
    </row>
    <row r="12" spans="1:35" x14ac:dyDescent="0.25">
      <c r="A12" s="62"/>
      <c r="B12" s="66"/>
      <c r="C12" s="84"/>
      <c r="D12" s="60"/>
      <c r="E12" s="60"/>
      <c r="F12" s="60"/>
      <c r="G12" s="60"/>
      <c r="H12" s="61"/>
      <c r="I12" s="61"/>
      <c r="J12" s="61"/>
      <c r="K12" s="61"/>
      <c r="M12" s="10">
        <v>1</v>
      </c>
      <c r="N12" s="30">
        <v>46029</v>
      </c>
      <c r="O12" s="83">
        <v>11216</v>
      </c>
      <c r="P12" s="32">
        <f>650*9+872+9.5*9</f>
        <v>6807.5</v>
      </c>
      <c r="Q12" s="32"/>
      <c r="R12" s="32"/>
      <c r="S12" s="32">
        <f>SUM(P12:Q12)</f>
        <v>6807.5</v>
      </c>
      <c r="T12" s="12"/>
      <c r="U12" s="12">
        <v>4.5</v>
      </c>
      <c r="V12" s="12"/>
      <c r="W12" s="12">
        <f>SUM(S12:V12)</f>
        <v>6812</v>
      </c>
      <c r="Y12" s="10">
        <v>1</v>
      </c>
      <c r="Z12" s="30">
        <v>46029</v>
      </c>
      <c r="AA12" s="31">
        <v>11148</v>
      </c>
      <c r="AB12" s="32">
        <f>650*108+670*2+229*4</f>
        <v>72456</v>
      </c>
      <c r="AC12" s="32"/>
      <c r="AD12" s="32"/>
      <c r="AE12" s="32">
        <f>SUM(AB12:AC12)</f>
        <v>72456</v>
      </c>
      <c r="AF12" s="12"/>
      <c r="AG12" s="12"/>
      <c r="AH12" s="12">
        <f>-111*57</f>
        <v>-6327</v>
      </c>
      <c r="AI12" s="12">
        <f>SUM(AE12:AH12)</f>
        <v>66129</v>
      </c>
    </row>
    <row r="13" spans="1:35" x14ac:dyDescent="0.25">
      <c r="A13" s="62"/>
      <c r="B13" s="66"/>
      <c r="C13" s="84"/>
      <c r="D13" s="60"/>
      <c r="E13" s="60"/>
      <c r="F13" s="60"/>
      <c r="G13" s="60"/>
      <c r="H13" s="61"/>
      <c r="I13" s="61"/>
      <c r="J13" s="61"/>
      <c r="K13" s="61"/>
      <c r="M13" s="10">
        <v>2</v>
      </c>
      <c r="N13" s="30">
        <v>46029</v>
      </c>
      <c r="O13" s="83">
        <f>O12+1</f>
        <v>11217</v>
      </c>
      <c r="P13" s="32">
        <f>650*216+670*5+622*50+872*3+229*10</f>
        <v>179756</v>
      </c>
      <c r="Q13" s="32">
        <f>-274*6</f>
        <v>-1644</v>
      </c>
      <c r="R13" s="32"/>
      <c r="S13" s="32">
        <f t="shared" ref="S13:S44" si="0">SUM(P13:Q13)</f>
        <v>178112</v>
      </c>
      <c r="T13" s="12"/>
      <c r="U13" s="12">
        <f>78*5</f>
        <v>390</v>
      </c>
      <c r="V13" s="12">
        <f>-42*5</f>
        <v>-210</v>
      </c>
      <c r="W13" s="12">
        <f t="shared" ref="W13:W44" si="1">SUM(S13:V13)</f>
        <v>178292</v>
      </c>
      <c r="Y13" s="10">
        <v>2</v>
      </c>
      <c r="Z13" s="30">
        <v>46029</v>
      </c>
      <c r="AA13" s="31">
        <f>AA12+1</f>
        <v>11149</v>
      </c>
      <c r="AB13" s="32">
        <f>650*50+872*5+229*2</f>
        <v>37318</v>
      </c>
      <c r="AC13" s="32">
        <f>-50*6</f>
        <v>-300</v>
      </c>
      <c r="AD13" s="32"/>
      <c r="AE13" s="32">
        <f t="shared" ref="AE13:AE44" si="2">SUM(AB13:AC13)</f>
        <v>37018</v>
      </c>
      <c r="AF13" s="12"/>
      <c r="AG13" s="12"/>
      <c r="AH13" s="12">
        <f>-111*50</f>
        <v>-5550</v>
      </c>
      <c r="AI13" s="12">
        <f t="shared" ref="AI13:AI44" si="3">SUM(AE13:AH13)</f>
        <v>31468</v>
      </c>
    </row>
    <row r="14" spans="1:35" x14ac:dyDescent="0.25">
      <c r="A14" s="62"/>
      <c r="B14" s="66"/>
      <c r="C14" s="84"/>
      <c r="D14" s="60"/>
      <c r="E14" s="60"/>
      <c r="F14" s="60"/>
      <c r="G14" s="60"/>
      <c r="H14" s="61"/>
      <c r="I14" s="61"/>
      <c r="J14" s="61"/>
      <c r="K14" s="61"/>
      <c r="M14" s="10">
        <v>3</v>
      </c>
      <c r="N14" s="30">
        <v>46029</v>
      </c>
      <c r="O14" s="83">
        <f t="shared" ref="O14:O17" si="4">O13+1</f>
        <v>11218</v>
      </c>
      <c r="P14" s="33">
        <f>650*12+872</f>
        <v>8672</v>
      </c>
      <c r="Q14" s="33"/>
      <c r="R14" s="32"/>
      <c r="S14" s="32">
        <f t="shared" si="0"/>
        <v>8672</v>
      </c>
      <c r="T14" s="12"/>
      <c r="U14" s="34"/>
      <c r="V14" s="34"/>
      <c r="W14" s="12">
        <f t="shared" si="1"/>
        <v>8672</v>
      </c>
      <c r="Y14" s="10">
        <v>3</v>
      </c>
      <c r="Z14" s="30">
        <v>46029</v>
      </c>
      <c r="AA14" s="31">
        <f t="shared" ref="AA14:AA18" si="5">AA13+1</f>
        <v>11150</v>
      </c>
      <c r="AB14" s="33">
        <f>650*108+650*17+229*4</f>
        <v>82166</v>
      </c>
      <c r="AC14" s="33">
        <f>-125*6</f>
        <v>-750</v>
      </c>
      <c r="AD14" s="32"/>
      <c r="AE14" s="32">
        <f t="shared" si="2"/>
        <v>81416</v>
      </c>
      <c r="AF14" s="12"/>
      <c r="AG14" s="12">
        <f>1.5*96</f>
        <v>144</v>
      </c>
      <c r="AH14" s="12"/>
      <c r="AI14" s="12">
        <f t="shared" si="3"/>
        <v>81560</v>
      </c>
    </row>
    <row r="15" spans="1:35" x14ac:dyDescent="0.25">
      <c r="A15" s="62"/>
      <c r="B15" s="66"/>
      <c r="C15" s="84"/>
      <c r="D15" s="60"/>
      <c r="E15" s="60"/>
      <c r="F15" s="60"/>
      <c r="G15" s="60"/>
      <c r="H15" s="61"/>
      <c r="I15" s="61"/>
      <c r="J15" s="61"/>
      <c r="K15" s="61"/>
      <c r="M15" s="10">
        <v>4</v>
      </c>
      <c r="N15" s="30">
        <v>46029</v>
      </c>
      <c r="O15" s="83">
        <f t="shared" si="4"/>
        <v>11219</v>
      </c>
      <c r="P15" s="32">
        <f>650*12+670*2+622*4+872</f>
        <v>12500</v>
      </c>
      <c r="Q15" s="32"/>
      <c r="R15" s="32"/>
      <c r="S15" s="32">
        <f t="shared" si="0"/>
        <v>12500</v>
      </c>
      <c r="T15" s="12"/>
      <c r="U15" s="12"/>
      <c r="V15" s="12">
        <f>-111*7</f>
        <v>-777</v>
      </c>
      <c r="W15" s="12">
        <f t="shared" si="1"/>
        <v>11723</v>
      </c>
      <c r="Y15" s="10">
        <v>4</v>
      </c>
      <c r="Z15" s="30">
        <v>46029</v>
      </c>
      <c r="AA15" s="31">
        <f t="shared" si="5"/>
        <v>11151</v>
      </c>
      <c r="AB15" s="32">
        <f>650*50+229*2</f>
        <v>32958</v>
      </c>
      <c r="AC15" s="32">
        <f>-50*6</f>
        <v>-300</v>
      </c>
      <c r="AD15" s="32"/>
      <c r="AE15" s="32">
        <f t="shared" si="2"/>
        <v>32658</v>
      </c>
      <c r="AF15" s="12"/>
      <c r="AH15" s="12"/>
      <c r="AI15" s="12">
        <f t="shared" si="3"/>
        <v>32658</v>
      </c>
    </row>
    <row r="16" spans="1:35" x14ac:dyDescent="0.25">
      <c r="A16" s="62"/>
      <c r="B16" s="66"/>
      <c r="C16" s="84"/>
      <c r="D16" s="60"/>
      <c r="E16" s="60"/>
      <c r="F16" s="60"/>
      <c r="G16" s="60"/>
      <c r="H16" s="61"/>
      <c r="I16" s="61"/>
      <c r="J16" s="61"/>
      <c r="K16" s="61"/>
      <c r="M16" s="10">
        <v>5</v>
      </c>
      <c r="N16" s="30">
        <v>46029</v>
      </c>
      <c r="O16" s="83">
        <f t="shared" si="4"/>
        <v>11220</v>
      </c>
      <c r="P16" s="32">
        <f>650*5</f>
        <v>3250</v>
      </c>
      <c r="Q16" s="32"/>
      <c r="R16" s="32"/>
      <c r="S16" s="32">
        <f t="shared" si="0"/>
        <v>3250</v>
      </c>
      <c r="T16" s="12"/>
      <c r="U16" s="12"/>
      <c r="V16" s="12"/>
      <c r="W16" s="12">
        <f t="shared" si="1"/>
        <v>3250</v>
      </c>
      <c r="Y16" s="10">
        <v>5</v>
      </c>
      <c r="Z16" s="30">
        <v>46029</v>
      </c>
      <c r="AA16" s="31">
        <f t="shared" si="5"/>
        <v>11152</v>
      </c>
      <c r="AB16" s="32">
        <f>650*17</f>
        <v>11050</v>
      </c>
      <c r="AC16" s="32"/>
      <c r="AD16" s="32"/>
      <c r="AE16" s="32">
        <f t="shared" ref="AE16:AE21" si="6">SUM(AB16:AC16)</f>
        <v>11050</v>
      </c>
      <c r="AF16" s="12"/>
      <c r="AG16" s="12"/>
      <c r="AH16" s="12">
        <f>-111*12</f>
        <v>-1332</v>
      </c>
      <c r="AI16" s="12">
        <f t="shared" si="3"/>
        <v>9718</v>
      </c>
    </row>
    <row r="17" spans="1:35" x14ac:dyDescent="0.25">
      <c r="A17" s="62"/>
      <c r="B17" s="66"/>
      <c r="C17" s="84"/>
      <c r="D17" s="60"/>
      <c r="E17" s="60"/>
      <c r="F17" s="60"/>
      <c r="G17" s="60"/>
      <c r="H17" s="61"/>
      <c r="I17" s="61"/>
      <c r="J17" s="61"/>
      <c r="K17" s="61"/>
      <c r="M17" s="10">
        <v>6</v>
      </c>
      <c r="N17" s="30">
        <v>46029</v>
      </c>
      <c r="O17" s="83">
        <f t="shared" si="4"/>
        <v>11221</v>
      </c>
      <c r="P17" s="32">
        <f>650+670</f>
        <v>1320</v>
      </c>
      <c r="Q17" s="32"/>
      <c r="R17" s="32"/>
      <c r="S17" s="32">
        <f t="shared" si="0"/>
        <v>1320</v>
      </c>
      <c r="T17" s="12"/>
      <c r="U17" s="12"/>
      <c r="V17" s="10"/>
      <c r="W17" s="12">
        <f t="shared" si="1"/>
        <v>1320</v>
      </c>
      <c r="Y17" s="10">
        <v>6</v>
      </c>
      <c r="Z17" s="30">
        <v>46029</v>
      </c>
      <c r="AA17" s="31">
        <f t="shared" si="5"/>
        <v>11153</v>
      </c>
      <c r="AB17" s="32">
        <f>650*20+650*2</f>
        <v>14300</v>
      </c>
      <c r="AC17" s="32"/>
      <c r="AD17" s="32"/>
      <c r="AE17" s="32">
        <f t="shared" si="6"/>
        <v>14300</v>
      </c>
      <c r="AF17" s="12"/>
      <c r="AG17" s="12"/>
      <c r="AH17" s="10">
        <f>-111*2+-84*8</f>
        <v>-894</v>
      </c>
      <c r="AI17" s="12">
        <f t="shared" si="3"/>
        <v>13406</v>
      </c>
    </row>
    <row r="18" spans="1:35" x14ac:dyDescent="0.25">
      <c r="A18" s="62"/>
      <c r="B18" s="66"/>
      <c r="C18" s="65"/>
      <c r="D18" s="60"/>
      <c r="E18" s="60"/>
      <c r="F18" s="60"/>
      <c r="G18" s="60"/>
      <c r="H18" s="61"/>
      <c r="I18" s="61"/>
      <c r="J18" s="61"/>
      <c r="K18" s="61"/>
      <c r="M18" s="10">
        <v>7</v>
      </c>
      <c r="N18" s="30"/>
      <c r="O18" s="11" t="s">
        <v>27</v>
      </c>
      <c r="P18" s="32"/>
      <c r="Q18" s="32"/>
      <c r="R18" s="32"/>
      <c r="S18" s="32">
        <f t="shared" si="0"/>
        <v>0</v>
      </c>
      <c r="T18" s="12"/>
      <c r="U18" s="12"/>
      <c r="V18" s="12"/>
      <c r="W18" s="12">
        <f t="shared" si="1"/>
        <v>0</v>
      </c>
      <c r="Y18" s="10">
        <v>7</v>
      </c>
      <c r="Z18" s="30">
        <v>46029</v>
      </c>
      <c r="AA18" s="31">
        <f t="shared" si="5"/>
        <v>11154</v>
      </c>
      <c r="AB18" s="32">
        <f>650*2</f>
        <v>1300</v>
      </c>
      <c r="AC18" s="32"/>
      <c r="AD18" s="32"/>
      <c r="AE18" s="32">
        <f t="shared" si="6"/>
        <v>1300</v>
      </c>
      <c r="AF18" s="12"/>
      <c r="AG18" s="58"/>
      <c r="AH18" s="12"/>
      <c r="AI18" s="12">
        <f t="shared" si="3"/>
        <v>1300</v>
      </c>
    </row>
    <row r="19" spans="1:35" x14ac:dyDescent="0.25">
      <c r="A19" s="62"/>
      <c r="B19" s="66"/>
      <c r="C19" s="84"/>
      <c r="D19" s="60"/>
      <c r="E19" s="60"/>
      <c r="F19" s="60"/>
      <c r="G19" s="60"/>
      <c r="H19" s="61"/>
      <c r="I19" s="61"/>
      <c r="J19" s="61"/>
      <c r="K19" s="61"/>
      <c r="M19" s="10">
        <v>8</v>
      </c>
      <c r="N19" s="30"/>
      <c r="O19" s="31"/>
      <c r="P19" s="32"/>
      <c r="Q19" s="32"/>
      <c r="R19" s="32"/>
      <c r="S19" s="32">
        <f t="shared" si="0"/>
        <v>0</v>
      </c>
      <c r="T19" s="12"/>
      <c r="U19" s="12"/>
      <c r="V19" s="12"/>
      <c r="W19" s="12">
        <f t="shared" si="1"/>
        <v>0</v>
      </c>
      <c r="Y19" s="10">
        <v>8</v>
      </c>
      <c r="Z19" s="30"/>
      <c r="AA19" s="11" t="s">
        <v>27</v>
      </c>
      <c r="AB19" s="32"/>
      <c r="AC19" s="32"/>
      <c r="AE19" s="32">
        <f t="shared" si="6"/>
        <v>0</v>
      </c>
      <c r="AF19" s="12"/>
      <c r="AG19" s="12"/>
      <c r="AH19" s="12"/>
      <c r="AI19" s="12">
        <f t="shared" si="3"/>
        <v>0</v>
      </c>
    </row>
    <row r="20" spans="1:35" x14ac:dyDescent="0.25">
      <c r="A20" s="62"/>
      <c r="B20" s="66"/>
      <c r="C20" s="84"/>
      <c r="D20" s="60"/>
      <c r="E20" s="60"/>
      <c r="F20" s="60"/>
      <c r="G20" s="60"/>
      <c r="H20" s="61"/>
      <c r="I20" s="61"/>
      <c r="J20" s="61"/>
      <c r="K20" s="61"/>
      <c r="M20" s="10">
        <v>9</v>
      </c>
      <c r="N20" s="30"/>
      <c r="O20" s="31"/>
      <c r="P20" s="32"/>
      <c r="Q20" s="32"/>
      <c r="R20" s="32"/>
      <c r="S20" s="32">
        <f t="shared" si="0"/>
        <v>0</v>
      </c>
      <c r="T20" s="12"/>
      <c r="U20" s="12"/>
      <c r="V20" s="12"/>
      <c r="W20" s="12">
        <f t="shared" si="1"/>
        <v>0</v>
      </c>
      <c r="Y20" s="10">
        <v>9</v>
      </c>
      <c r="Z20" s="30"/>
      <c r="AC20" s="32"/>
      <c r="AD20" s="32"/>
      <c r="AE20" s="32">
        <f t="shared" si="6"/>
        <v>0</v>
      </c>
      <c r="AF20" s="12"/>
      <c r="AH20" s="12"/>
      <c r="AI20" s="12">
        <f t="shared" si="3"/>
        <v>0</v>
      </c>
    </row>
    <row r="21" spans="1:35" x14ac:dyDescent="0.25">
      <c r="A21" s="62"/>
      <c r="B21" s="66"/>
      <c r="C21" s="84"/>
      <c r="D21" s="60"/>
      <c r="E21" s="60"/>
      <c r="F21" s="60"/>
      <c r="G21" s="60"/>
      <c r="H21" s="61"/>
      <c r="I21" s="61"/>
      <c r="J21" s="61"/>
      <c r="K21" s="61"/>
      <c r="M21" s="10">
        <v>10</v>
      </c>
      <c r="N21" s="30"/>
      <c r="O21" s="31"/>
      <c r="P21" s="32"/>
      <c r="Q21" s="32"/>
      <c r="R21" s="32"/>
      <c r="S21" s="32">
        <f t="shared" si="0"/>
        <v>0</v>
      </c>
      <c r="T21" s="12"/>
      <c r="U21" s="12"/>
      <c r="V21" s="12"/>
      <c r="W21" s="12">
        <f t="shared" si="1"/>
        <v>0</v>
      </c>
      <c r="Y21" s="10">
        <v>10</v>
      </c>
      <c r="Z21" s="30"/>
      <c r="AA21" s="31"/>
      <c r="AB21" s="32"/>
      <c r="AC21" s="32"/>
      <c r="AD21" s="32"/>
      <c r="AE21" s="32">
        <f t="shared" si="6"/>
        <v>0</v>
      </c>
      <c r="AF21" s="12"/>
      <c r="AG21" s="12"/>
      <c r="AH21" s="12"/>
      <c r="AI21" s="12">
        <f t="shared" si="3"/>
        <v>0</v>
      </c>
    </row>
    <row r="22" spans="1:35" x14ac:dyDescent="0.25">
      <c r="A22" s="62"/>
      <c r="B22" s="66"/>
      <c r="C22" s="84"/>
      <c r="D22" s="60"/>
      <c r="E22" s="60"/>
      <c r="F22" s="60"/>
      <c r="G22" s="60"/>
      <c r="H22" s="61"/>
      <c r="I22" s="61"/>
      <c r="J22" s="61"/>
      <c r="K22" s="61"/>
      <c r="M22" s="10">
        <v>11</v>
      </c>
      <c r="N22" s="30"/>
      <c r="O22" s="31"/>
      <c r="P22" s="32"/>
      <c r="Q22" s="32"/>
      <c r="R22" s="32"/>
      <c r="S22" s="32">
        <f t="shared" si="0"/>
        <v>0</v>
      </c>
      <c r="T22" s="12"/>
      <c r="U22" s="12"/>
      <c r="V22" s="12"/>
      <c r="W22" s="12">
        <f t="shared" si="1"/>
        <v>0</v>
      </c>
      <c r="Y22" s="10">
        <v>11</v>
      </c>
      <c r="Z22" s="30"/>
      <c r="AA22" s="31"/>
      <c r="AB22" s="32"/>
      <c r="AC22" s="32"/>
      <c r="AD22" s="32"/>
      <c r="AE22" s="32">
        <f t="shared" si="2"/>
        <v>0</v>
      </c>
      <c r="AF22" s="12"/>
      <c r="AG22" s="12"/>
      <c r="AH22" s="12"/>
      <c r="AI22" s="12">
        <f t="shared" si="3"/>
        <v>0</v>
      </c>
    </row>
    <row r="23" spans="1:35" x14ac:dyDescent="0.25">
      <c r="A23" s="62"/>
      <c r="B23" s="66"/>
      <c r="C23" s="84"/>
      <c r="D23" s="60"/>
      <c r="E23" s="60"/>
      <c r="F23" s="60"/>
      <c r="G23" s="60"/>
      <c r="H23" s="61"/>
      <c r="I23" s="61"/>
      <c r="J23" s="62"/>
      <c r="K23" s="61"/>
      <c r="M23" s="10">
        <v>12</v>
      </c>
      <c r="N23" s="30"/>
      <c r="O23" s="31"/>
      <c r="P23" s="32"/>
      <c r="Q23" s="32"/>
      <c r="R23" s="32"/>
      <c r="S23" s="32">
        <f t="shared" si="0"/>
        <v>0</v>
      </c>
      <c r="T23" s="12"/>
      <c r="U23" s="12"/>
      <c r="V23" s="12"/>
      <c r="W23" s="12">
        <f t="shared" si="1"/>
        <v>0</v>
      </c>
      <c r="Y23" s="10">
        <v>12</v>
      </c>
      <c r="Z23" s="30"/>
      <c r="AA23" s="31"/>
      <c r="AB23" s="32"/>
      <c r="AC23" s="32"/>
      <c r="AD23" s="32"/>
      <c r="AE23" s="32">
        <f t="shared" si="2"/>
        <v>0</v>
      </c>
      <c r="AF23" s="12"/>
      <c r="AG23" s="12"/>
      <c r="AH23" s="12"/>
      <c r="AI23" s="12">
        <f t="shared" si="3"/>
        <v>0</v>
      </c>
    </row>
    <row r="24" spans="1:35" x14ac:dyDescent="0.25">
      <c r="A24" s="62"/>
      <c r="B24" s="66"/>
      <c r="C24" s="84"/>
      <c r="D24" s="60"/>
      <c r="E24" s="60"/>
      <c r="F24" s="60"/>
      <c r="G24" s="60"/>
      <c r="H24" s="61"/>
      <c r="I24" s="61"/>
      <c r="J24" s="61"/>
      <c r="K24" s="61"/>
      <c r="M24" s="10">
        <v>13</v>
      </c>
      <c r="N24" s="30"/>
      <c r="O24" s="31"/>
      <c r="P24" s="32"/>
      <c r="Q24" s="32"/>
      <c r="R24" s="32"/>
      <c r="S24" s="32">
        <f t="shared" si="0"/>
        <v>0</v>
      </c>
      <c r="T24" s="12"/>
      <c r="U24" s="12"/>
      <c r="V24" s="12"/>
      <c r="W24" s="12">
        <f t="shared" si="1"/>
        <v>0</v>
      </c>
      <c r="Y24" s="10">
        <v>13</v>
      </c>
      <c r="Z24" s="30"/>
      <c r="AA24" s="31"/>
      <c r="AB24" s="32"/>
      <c r="AC24" s="32"/>
      <c r="AD24" s="32"/>
      <c r="AE24" s="32">
        <f t="shared" si="2"/>
        <v>0</v>
      </c>
      <c r="AF24" s="12"/>
      <c r="AG24" s="12"/>
      <c r="AH24" s="12"/>
      <c r="AI24" s="12">
        <f t="shared" si="3"/>
        <v>0</v>
      </c>
    </row>
    <row r="25" spans="1:35" x14ac:dyDescent="0.25">
      <c r="A25" s="62"/>
      <c r="B25" s="66"/>
      <c r="C25" s="84"/>
      <c r="D25" s="60"/>
      <c r="E25" s="60"/>
      <c r="F25" s="60"/>
      <c r="G25" s="60"/>
      <c r="H25" s="61"/>
      <c r="I25" s="61"/>
      <c r="J25" s="61"/>
      <c r="K25" s="61"/>
      <c r="M25" s="10">
        <v>14</v>
      </c>
      <c r="N25" s="30"/>
      <c r="O25" s="31"/>
      <c r="P25" s="32"/>
      <c r="Q25" s="32"/>
      <c r="R25" s="32"/>
      <c r="S25" s="32">
        <f t="shared" si="0"/>
        <v>0</v>
      </c>
      <c r="T25" s="12"/>
      <c r="U25" s="12"/>
      <c r="V25" s="12"/>
      <c r="W25" s="12">
        <f t="shared" si="1"/>
        <v>0</v>
      </c>
      <c r="Y25" s="10">
        <v>14</v>
      </c>
      <c r="Z25" s="30"/>
      <c r="AA25" s="31"/>
      <c r="AB25" s="32"/>
      <c r="AC25" s="32"/>
      <c r="AD25" s="32"/>
      <c r="AE25" s="32">
        <f t="shared" si="2"/>
        <v>0</v>
      </c>
      <c r="AF25" s="12"/>
      <c r="AG25" s="12"/>
      <c r="AH25" s="12"/>
      <c r="AI25" s="12">
        <f t="shared" si="3"/>
        <v>0</v>
      </c>
    </row>
    <row r="26" spans="1:35" x14ac:dyDescent="0.25">
      <c r="A26" s="62"/>
      <c r="B26" s="66"/>
      <c r="C26" s="84"/>
      <c r="D26" s="60"/>
      <c r="E26" s="60"/>
      <c r="F26" s="60"/>
      <c r="G26" s="60"/>
      <c r="H26" s="61"/>
      <c r="I26" s="61"/>
      <c r="J26" s="61"/>
      <c r="K26" s="61"/>
      <c r="M26" s="10">
        <v>15</v>
      </c>
      <c r="N26" s="30"/>
      <c r="O26" s="31"/>
      <c r="P26" s="32"/>
      <c r="Q26" s="32"/>
      <c r="R26" s="32"/>
      <c r="S26" s="32">
        <f t="shared" si="0"/>
        <v>0</v>
      </c>
      <c r="T26" s="12"/>
      <c r="U26" s="12"/>
      <c r="V26" s="12"/>
      <c r="W26" s="12">
        <f t="shared" si="1"/>
        <v>0</v>
      </c>
      <c r="Y26" s="10">
        <v>15</v>
      </c>
      <c r="Z26" s="30"/>
      <c r="AA26" s="31"/>
      <c r="AB26" s="32"/>
      <c r="AC26" s="32"/>
      <c r="AD26" s="32"/>
      <c r="AE26" s="32">
        <f t="shared" si="2"/>
        <v>0</v>
      </c>
      <c r="AF26" s="12"/>
      <c r="AG26" s="12"/>
      <c r="AH26" s="12"/>
      <c r="AI26" s="12">
        <f t="shared" si="3"/>
        <v>0</v>
      </c>
    </row>
    <row r="27" spans="1:35" x14ac:dyDescent="0.25">
      <c r="A27" s="62"/>
      <c r="B27" s="66"/>
      <c r="C27" s="91"/>
      <c r="D27" s="60"/>
      <c r="E27" s="60"/>
      <c r="F27" s="60"/>
      <c r="G27" s="60"/>
      <c r="H27" s="61"/>
      <c r="I27" s="61"/>
      <c r="J27" s="61"/>
      <c r="K27" s="61"/>
      <c r="M27" s="10">
        <v>16</v>
      </c>
      <c r="N27" s="30"/>
      <c r="P27" s="32"/>
      <c r="Q27" s="32"/>
      <c r="R27" s="32"/>
      <c r="S27" s="32">
        <f t="shared" si="0"/>
        <v>0</v>
      </c>
      <c r="T27" s="12"/>
      <c r="U27" s="12"/>
      <c r="V27" s="12"/>
      <c r="W27" s="12">
        <f t="shared" si="1"/>
        <v>0</v>
      </c>
      <c r="Y27" s="10">
        <v>16</v>
      </c>
      <c r="Z27" s="30"/>
      <c r="AB27" s="32"/>
      <c r="AC27" s="32"/>
      <c r="AD27" s="32"/>
      <c r="AE27" s="32">
        <f t="shared" si="2"/>
        <v>0</v>
      </c>
      <c r="AF27" s="12"/>
      <c r="AG27" s="12"/>
      <c r="AH27" s="12"/>
      <c r="AI27" s="12">
        <f t="shared" si="3"/>
        <v>0</v>
      </c>
    </row>
    <row r="28" spans="1:35" x14ac:dyDescent="0.25">
      <c r="A28" s="62"/>
      <c r="B28" s="66"/>
      <c r="C28" s="84"/>
      <c r="D28" s="60"/>
      <c r="E28" s="60"/>
      <c r="F28" s="60"/>
      <c r="G28" s="60"/>
      <c r="H28" s="61"/>
      <c r="I28" s="61"/>
      <c r="J28" s="61"/>
      <c r="K28" s="61"/>
      <c r="M28" s="10">
        <v>17</v>
      </c>
      <c r="N28" s="30"/>
      <c r="O28" s="31"/>
      <c r="P28" s="35"/>
      <c r="Q28" s="32"/>
      <c r="R28" s="32"/>
      <c r="S28" s="32">
        <f t="shared" si="0"/>
        <v>0</v>
      </c>
      <c r="T28" s="12"/>
      <c r="U28" s="12"/>
      <c r="V28" s="12"/>
      <c r="W28" s="12">
        <f t="shared" si="1"/>
        <v>0</v>
      </c>
      <c r="Y28" s="10">
        <v>17</v>
      </c>
      <c r="Z28" s="30"/>
      <c r="AA28" s="31"/>
      <c r="AB28" s="35"/>
      <c r="AC28" s="32"/>
      <c r="AD28" s="32"/>
      <c r="AE28" s="32">
        <f t="shared" si="2"/>
        <v>0</v>
      </c>
      <c r="AF28" s="12"/>
      <c r="AG28" s="12"/>
      <c r="AH28" s="12"/>
      <c r="AI28" s="12">
        <f t="shared" si="3"/>
        <v>0</v>
      </c>
    </row>
    <row r="29" spans="1:35" x14ac:dyDescent="0.25">
      <c r="A29" s="62"/>
      <c r="B29" s="66"/>
      <c r="C29" s="84"/>
      <c r="D29" s="60"/>
      <c r="E29" s="60"/>
      <c r="F29" s="60"/>
      <c r="G29" s="60"/>
      <c r="H29" s="61"/>
      <c r="I29" s="61"/>
      <c r="J29" s="61"/>
      <c r="K29" s="61"/>
      <c r="M29" s="10">
        <v>18</v>
      </c>
      <c r="N29" s="30"/>
      <c r="O29" s="31"/>
      <c r="P29" s="32"/>
      <c r="Q29" s="32"/>
      <c r="R29" s="32"/>
      <c r="S29" s="32">
        <f t="shared" si="0"/>
        <v>0</v>
      </c>
      <c r="T29" s="12"/>
      <c r="U29" s="12"/>
      <c r="V29" s="12"/>
      <c r="W29" s="12">
        <f t="shared" si="1"/>
        <v>0</v>
      </c>
      <c r="Y29" s="10">
        <v>18</v>
      </c>
      <c r="Z29" s="30"/>
      <c r="AA29" s="31"/>
      <c r="AB29" s="32"/>
      <c r="AC29" s="32"/>
      <c r="AD29" s="32"/>
      <c r="AE29" s="32">
        <f t="shared" si="2"/>
        <v>0</v>
      </c>
      <c r="AF29" s="12"/>
      <c r="AG29" s="12"/>
      <c r="AH29" s="12"/>
      <c r="AI29" s="12">
        <f t="shared" si="3"/>
        <v>0</v>
      </c>
    </row>
    <row r="30" spans="1:35" x14ac:dyDescent="0.25">
      <c r="A30" s="62"/>
      <c r="B30" s="66"/>
      <c r="C30" s="84"/>
      <c r="D30" s="60"/>
      <c r="E30" s="60"/>
      <c r="F30" s="60"/>
      <c r="G30" s="60"/>
      <c r="H30" s="61"/>
      <c r="I30" s="61"/>
      <c r="J30" s="61"/>
      <c r="K30" s="61"/>
      <c r="M30" s="10">
        <v>19</v>
      </c>
      <c r="N30" s="30"/>
      <c r="O30" s="31"/>
      <c r="P30" s="32"/>
      <c r="Q30" s="32"/>
      <c r="R30" s="32"/>
      <c r="S30" s="32">
        <f t="shared" si="0"/>
        <v>0</v>
      </c>
      <c r="T30" s="12"/>
      <c r="U30" s="12"/>
      <c r="V30" s="12"/>
      <c r="W30" s="12">
        <f t="shared" si="1"/>
        <v>0</v>
      </c>
      <c r="Y30" s="10">
        <v>19</v>
      </c>
      <c r="Z30" s="30"/>
      <c r="AA30" s="31"/>
      <c r="AB30" s="32"/>
      <c r="AC30" s="32"/>
      <c r="AD30" s="32"/>
      <c r="AE30" s="32">
        <f t="shared" si="2"/>
        <v>0</v>
      </c>
      <c r="AF30" s="12"/>
      <c r="AG30" s="12"/>
      <c r="AH30" s="12"/>
      <c r="AI30" s="12">
        <f t="shared" si="3"/>
        <v>0</v>
      </c>
    </row>
    <row r="31" spans="1:35" x14ac:dyDescent="0.25">
      <c r="A31" s="62"/>
      <c r="B31" s="66"/>
      <c r="C31" s="84"/>
      <c r="D31" s="60"/>
      <c r="E31" s="60"/>
      <c r="F31" s="60"/>
      <c r="G31" s="60"/>
      <c r="H31" s="61"/>
      <c r="I31" s="61"/>
      <c r="J31" s="61"/>
      <c r="K31" s="61"/>
      <c r="M31" s="10">
        <v>20</v>
      </c>
      <c r="N31" s="30"/>
      <c r="O31" s="31"/>
      <c r="P31" s="32"/>
      <c r="Q31" s="32"/>
      <c r="R31" s="32"/>
      <c r="S31" s="32">
        <f t="shared" si="0"/>
        <v>0</v>
      </c>
      <c r="T31" s="12"/>
      <c r="U31" s="12"/>
      <c r="V31" s="12"/>
      <c r="W31" s="12">
        <f t="shared" si="1"/>
        <v>0</v>
      </c>
      <c r="Y31" s="10">
        <v>20</v>
      </c>
      <c r="Z31" s="30"/>
      <c r="AB31" s="32"/>
      <c r="AC31" s="32"/>
      <c r="AD31" s="32"/>
      <c r="AE31" s="32">
        <f t="shared" si="2"/>
        <v>0</v>
      </c>
      <c r="AF31" s="12"/>
      <c r="AG31" s="12"/>
      <c r="AH31" s="12"/>
      <c r="AI31" s="12">
        <f t="shared" si="3"/>
        <v>0</v>
      </c>
    </row>
    <row r="32" spans="1:35" x14ac:dyDescent="0.25">
      <c r="A32" s="62"/>
      <c r="B32" s="66"/>
      <c r="C32" s="84"/>
      <c r="D32" s="60"/>
      <c r="E32" s="60"/>
      <c r="F32" s="60"/>
      <c r="G32" s="60"/>
      <c r="H32" s="62"/>
      <c r="I32" s="62"/>
      <c r="J32" s="62"/>
      <c r="K32" s="61"/>
      <c r="M32" s="10">
        <v>21</v>
      </c>
      <c r="N32" s="30"/>
      <c r="O32" s="31"/>
      <c r="P32" s="46"/>
      <c r="Q32" s="31"/>
      <c r="R32" s="31"/>
      <c r="S32" s="32">
        <f t="shared" si="0"/>
        <v>0</v>
      </c>
      <c r="T32" s="10"/>
      <c r="U32" s="10"/>
      <c r="V32" s="10"/>
      <c r="W32" s="12">
        <f t="shared" si="1"/>
        <v>0</v>
      </c>
      <c r="Y32" s="10">
        <v>21</v>
      </c>
      <c r="Z32" s="30"/>
      <c r="AA32" s="31"/>
      <c r="AB32" s="46"/>
      <c r="AC32" s="31"/>
      <c r="AD32" s="31"/>
      <c r="AE32" s="32">
        <f t="shared" si="2"/>
        <v>0</v>
      </c>
      <c r="AF32" s="10"/>
      <c r="AG32" s="10"/>
      <c r="AH32" s="10"/>
      <c r="AI32" s="12">
        <f t="shared" si="3"/>
        <v>0</v>
      </c>
    </row>
    <row r="33" spans="1:35" x14ac:dyDescent="0.25">
      <c r="A33" s="62"/>
      <c r="B33" s="66"/>
      <c r="C33" s="84"/>
      <c r="D33" s="60"/>
      <c r="E33" s="60"/>
      <c r="F33" s="60"/>
      <c r="G33" s="60"/>
      <c r="H33" s="62"/>
      <c r="I33" s="62"/>
      <c r="J33" s="62"/>
      <c r="K33" s="61"/>
      <c r="M33" s="10">
        <v>22</v>
      </c>
      <c r="N33" s="30"/>
      <c r="O33" s="31"/>
      <c r="P33" s="45"/>
      <c r="Q33" s="31"/>
      <c r="R33" s="31"/>
      <c r="S33" s="32">
        <f t="shared" si="0"/>
        <v>0</v>
      </c>
      <c r="T33" s="10"/>
      <c r="U33" s="10"/>
      <c r="V33" s="10"/>
      <c r="W33" s="12">
        <f t="shared" si="1"/>
        <v>0</v>
      </c>
      <c r="Y33" s="10">
        <v>22</v>
      </c>
      <c r="Z33" s="30"/>
      <c r="AA33" s="31"/>
      <c r="AB33" s="45"/>
      <c r="AC33" s="31"/>
      <c r="AD33" s="31"/>
      <c r="AE33" s="32">
        <f t="shared" si="2"/>
        <v>0</v>
      </c>
      <c r="AF33" s="10"/>
      <c r="AG33" s="10"/>
      <c r="AH33" s="10"/>
      <c r="AI33" s="12">
        <f t="shared" si="3"/>
        <v>0</v>
      </c>
    </row>
    <row r="34" spans="1:35" x14ac:dyDescent="0.25">
      <c r="A34" s="62"/>
      <c r="B34" s="66"/>
      <c r="C34" s="84"/>
      <c r="D34" s="60"/>
      <c r="E34" s="60"/>
      <c r="F34" s="60"/>
      <c r="G34" s="60"/>
      <c r="H34" s="62"/>
      <c r="I34" s="62"/>
      <c r="J34" s="61"/>
      <c r="K34" s="61"/>
      <c r="M34" s="10">
        <v>23</v>
      </c>
      <c r="N34" s="30"/>
      <c r="O34" s="31"/>
      <c r="P34" s="47"/>
      <c r="S34" s="32">
        <f t="shared" si="0"/>
        <v>0</v>
      </c>
      <c r="T34" s="10"/>
      <c r="U34" s="10"/>
      <c r="V34" s="10"/>
      <c r="W34" s="12">
        <f t="shared" si="1"/>
        <v>0</v>
      </c>
      <c r="Y34" s="10">
        <v>23</v>
      </c>
      <c r="Z34" s="30"/>
      <c r="AA34" s="31"/>
      <c r="AB34" s="47"/>
      <c r="AE34" s="32">
        <f t="shared" si="2"/>
        <v>0</v>
      </c>
      <c r="AF34" s="10"/>
      <c r="AG34" s="10"/>
      <c r="AH34" s="10"/>
      <c r="AI34" s="12">
        <f t="shared" si="3"/>
        <v>0</v>
      </c>
    </row>
    <row r="35" spans="1:35" x14ac:dyDescent="0.25">
      <c r="A35" s="62"/>
      <c r="B35" s="66"/>
      <c r="C35" s="84"/>
      <c r="D35" s="60"/>
      <c r="E35" s="60"/>
      <c r="F35" s="60"/>
      <c r="G35" s="60"/>
      <c r="H35" s="62"/>
      <c r="I35" s="62"/>
      <c r="J35" s="62"/>
      <c r="K35" s="61"/>
      <c r="M35" s="10">
        <v>24</v>
      </c>
      <c r="N35" s="30"/>
      <c r="O35" s="31"/>
      <c r="P35" s="47"/>
      <c r="Q35" s="31"/>
      <c r="R35" s="31"/>
      <c r="S35" s="32">
        <f t="shared" si="0"/>
        <v>0</v>
      </c>
      <c r="T35" s="10"/>
      <c r="U35" s="10"/>
      <c r="V35" s="10"/>
      <c r="W35" s="12">
        <f t="shared" si="1"/>
        <v>0</v>
      </c>
      <c r="Y35" s="10">
        <v>24</v>
      </c>
      <c r="Z35" s="30"/>
      <c r="AA35" s="31"/>
      <c r="AB35" s="47"/>
      <c r="AC35" s="31"/>
      <c r="AD35" s="31"/>
      <c r="AE35" s="32">
        <f t="shared" si="2"/>
        <v>0</v>
      </c>
      <c r="AF35" s="10"/>
      <c r="AG35" s="10"/>
      <c r="AH35" s="10"/>
      <c r="AI35" s="12">
        <f t="shared" si="3"/>
        <v>0</v>
      </c>
    </row>
    <row r="36" spans="1:35" x14ac:dyDescent="0.25">
      <c r="A36" s="62"/>
      <c r="B36" s="66"/>
      <c r="C36" s="84"/>
      <c r="D36" s="60"/>
      <c r="E36" s="60"/>
      <c r="F36" s="60"/>
      <c r="G36" s="60"/>
      <c r="H36" s="62"/>
      <c r="I36" s="62"/>
      <c r="J36" s="62"/>
      <c r="K36" s="61"/>
      <c r="M36" s="10">
        <v>25</v>
      </c>
      <c r="N36" s="30"/>
      <c r="O36" s="31"/>
      <c r="P36" s="47"/>
      <c r="Q36" s="31"/>
      <c r="R36" s="31"/>
      <c r="S36" s="32">
        <f t="shared" si="0"/>
        <v>0</v>
      </c>
      <c r="T36" s="10"/>
      <c r="U36" s="10"/>
      <c r="V36" s="10"/>
      <c r="W36" s="12">
        <f t="shared" si="1"/>
        <v>0</v>
      </c>
      <c r="Y36" s="10">
        <v>25</v>
      </c>
      <c r="Z36" s="30"/>
      <c r="AA36" s="31"/>
      <c r="AB36" s="47"/>
      <c r="AC36" s="31"/>
      <c r="AD36" s="31"/>
      <c r="AE36" s="32">
        <f t="shared" si="2"/>
        <v>0</v>
      </c>
      <c r="AF36" s="10"/>
      <c r="AG36" s="10"/>
      <c r="AH36" s="10"/>
      <c r="AI36" s="12">
        <f t="shared" si="3"/>
        <v>0</v>
      </c>
    </row>
    <row r="37" spans="1:35" x14ac:dyDescent="0.25">
      <c r="A37" s="62"/>
      <c r="B37" s="66"/>
      <c r="C37" s="84"/>
      <c r="D37" s="60"/>
      <c r="E37" s="60"/>
      <c r="F37" s="60"/>
      <c r="G37" s="60"/>
      <c r="H37" s="62"/>
      <c r="I37" s="62"/>
      <c r="J37" s="62"/>
      <c r="K37" s="61"/>
      <c r="M37" s="10">
        <v>26</v>
      </c>
      <c r="N37" s="30"/>
      <c r="O37" s="31"/>
      <c r="P37" s="47"/>
      <c r="Q37" s="31"/>
      <c r="R37" s="31"/>
      <c r="S37" s="32">
        <f t="shared" si="0"/>
        <v>0</v>
      </c>
      <c r="T37" s="10"/>
      <c r="U37" s="10"/>
      <c r="V37" s="10"/>
      <c r="W37" s="12">
        <f t="shared" si="1"/>
        <v>0</v>
      </c>
      <c r="Y37" s="10">
        <v>26</v>
      </c>
      <c r="Z37" s="30"/>
      <c r="AA37" s="31"/>
      <c r="AB37" s="47"/>
      <c r="AC37" s="31"/>
      <c r="AD37" s="31"/>
      <c r="AE37" s="32">
        <f t="shared" si="2"/>
        <v>0</v>
      </c>
      <c r="AF37" s="10"/>
      <c r="AG37" s="10"/>
      <c r="AH37" s="10"/>
      <c r="AI37" s="12">
        <f t="shared" si="3"/>
        <v>0</v>
      </c>
    </row>
    <row r="38" spans="1:35" x14ac:dyDescent="0.25">
      <c r="A38" s="62"/>
      <c r="B38" s="66"/>
      <c r="C38" s="84"/>
      <c r="D38" s="60"/>
      <c r="E38" s="60"/>
      <c r="F38" s="60"/>
      <c r="G38" s="60"/>
      <c r="H38" s="62"/>
      <c r="I38" s="62"/>
      <c r="J38" s="62"/>
      <c r="K38" s="61"/>
      <c r="M38" s="10">
        <v>27</v>
      </c>
      <c r="N38" s="30"/>
      <c r="O38" s="31"/>
      <c r="P38" s="47"/>
      <c r="Q38" s="31"/>
      <c r="R38" s="31"/>
      <c r="S38" s="32">
        <f t="shared" si="0"/>
        <v>0</v>
      </c>
      <c r="T38" s="10"/>
      <c r="U38" s="10"/>
      <c r="V38" s="10"/>
      <c r="W38" s="12">
        <f t="shared" si="1"/>
        <v>0</v>
      </c>
      <c r="Y38" s="10">
        <v>27</v>
      </c>
      <c r="Z38" s="30"/>
      <c r="AA38" s="31"/>
      <c r="AB38" s="47"/>
      <c r="AC38" s="31"/>
      <c r="AD38" s="31"/>
      <c r="AE38" s="32">
        <f t="shared" si="2"/>
        <v>0</v>
      </c>
      <c r="AF38" s="10"/>
      <c r="AG38" s="10"/>
      <c r="AH38" s="10"/>
      <c r="AI38" s="12">
        <f t="shared" si="3"/>
        <v>0</v>
      </c>
    </row>
    <row r="39" spans="1:35" x14ac:dyDescent="0.25">
      <c r="A39" s="62"/>
      <c r="B39" s="66"/>
      <c r="C39" s="84"/>
      <c r="D39" s="60"/>
      <c r="E39" s="60"/>
      <c r="F39" s="60"/>
      <c r="G39" s="60"/>
      <c r="H39" s="62"/>
      <c r="I39" s="62"/>
      <c r="J39" s="62"/>
      <c r="K39" s="61"/>
      <c r="M39" s="10">
        <v>28</v>
      </c>
      <c r="N39" s="30"/>
      <c r="O39" s="31"/>
      <c r="P39" s="47"/>
      <c r="Q39" s="31"/>
      <c r="R39" s="31"/>
      <c r="S39" s="32">
        <f t="shared" si="0"/>
        <v>0</v>
      </c>
      <c r="T39" s="10"/>
      <c r="U39" s="10"/>
      <c r="V39" s="10"/>
      <c r="W39" s="12">
        <f t="shared" si="1"/>
        <v>0</v>
      </c>
      <c r="Y39" s="10">
        <v>28</v>
      </c>
      <c r="Z39" s="30"/>
      <c r="AA39" s="31"/>
      <c r="AB39" s="47"/>
      <c r="AC39" s="31"/>
      <c r="AD39" s="31"/>
      <c r="AE39" s="32">
        <f t="shared" si="2"/>
        <v>0</v>
      </c>
      <c r="AF39" s="10"/>
      <c r="AG39" s="10"/>
      <c r="AH39" s="10"/>
      <c r="AI39" s="12">
        <f t="shared" si="3"/>
        <v>0</v>
      </c>
    </row>
    <row r="40" spans="1:35" x14ac:dyDescent="0.25">
      <c r="A40" s="62"/>
      <c r="B40" s="66"/>
      <c r="C40" s="84"/>
      <c r="D40" s="60"/>
      <c r="E40" s="60"/>
      <c r="F40" s="60"/>
      <c r="G40" s="60"/>
      <c r="H40" s="62"/>
      <c r="I40" s="62"/>
      <c r="J40" s="62"/>
      <c r="K40" s="61"/>
      <c r="M40" s="10">
        <v>29</v>
      </c>
      <c r="N40" s="30"/>
      <c r="O40" s="31"/>
      <c r="P40" s="47"/>
      <c r="Q40" s="31"/>
      <c r="R40" s="31"/>
      <c r="S40" s="32">
        <f t="shared" si="0"/>
        <v>0</v>
      </c>
      <c r="T40" s="10"/>
      <c r="U40" s="10"/>
      <c r="V40" s="10"/>
      <c r="W40" s="12">
        <f t="shared" si="1"/>
        <v>0</v>
      </c>
      <c r="Y40" s="10">
        <v>29</v>
      </c>
      <c r="Z40" s="30"/>
      <c r="AA40" s="31"/>
      <c r="AB40" s="47"/>
      <c r="AC40" s="31"/>
      <c r="AD40" s="31"/>
      <c r="AE40" s="32">
        <f t="shared" si="2"/>
        <v>0</v>
      </c>
      <c r="AF40" s="10"/>
      <c r="AG40" s="10"/>
      <c r="AH40" s="10"/>
      <c r="AI40" s="12">
        <f t="shared" si="3"/>
        <v>0</v>
      </c>
    </row>
    <row r="41" spans="1:35" x14ac:dyDescent="0.25">
      <c r="A41" s="62"/>
      <c r="B41" s="66"/>
      <c r="C41" s="84"/>
      <c r="D41" s="60"/>
      <c r="E41" s="60"/>
      <c r="F41" s="60"/>
      <c r="G41" s="60"/>
      <c r="H41" s="62"/>
      <c r="I41" s="62"/>
      <c r="J41" s="62"/>
      <c r="K41" s="61"/>
      <c r="M41" s="10">
        <v>30</v>
      </c>
      <c r="N41" s="30"/>
      <c r="O41" s="31"/>
      <c r="P41" s="47"/>
      <c r="Q41" s="31"/>
      <c r="R41" s="31"/>
      <c r="S41" s="32">
        <f t="shared" si="0"/>
        <v>0</v>
      </c>
      <c r="T41" s="10"/>
      <c r="U41" s="10"/>
      <c r="V41" s="10"/>
      <c r="W41" s="12">
        <f t="shared" si="1"/>
        <v>0</v>
      </c>
      <c r="Y41" s="10">
        <v>30</v>
      </c>
      <c r="Z41" s="30"/>
      <c r="AA41" s="31"/>
      <c r="AB41" s="47"/>
      <c r="AC41" s="31"/>
      <c r="AD41" s="31"/>
      <c r="AE41" s="32">
        <f t="shared" si="2"/>
        <v>0</v>
      </c>
      <c r="AF41" s="10"/>
      <c r="AG41" s="10"/>
      <c r="AH41" s="10"/>
      <c r="AI41" s="12">
        <f t="shared" si="3"/>
        <v>0</v>
      </c>
    </row>
    <row r="42" spans="1:35" x14ac:dyDescent="0.25">
      <c r="A42" s="62"/>
      <c r="B42" s="66"/>
      <c r="C42" s="84"/>
      <c r="D42" s="60"/>
      <c r="E42" s="60"/>
      <c r="F42" s="60"/>
      <c r="G42" s="60"/>
      <c r="H42" s="62"/>
      <c r="I42" s="62"/>
      <c r="J42" s="62"/>
      <c r="K42" s="61"/>
      <c r="M42" s="10">
        <v>31</v>
      </c>
      <c r="N42" s="30"/>
      <c r="O42" s="31"/>
      <c r="P42" s="47"/>
      <c r="Q42" s="31"/>
      <c r="R42" s="31"/>
      <c r="S42" s="32">
        <f t="shared" si="0"/>
        <v>0</v>
      </c>
      <c r="T42" s="10"/>
      <c r="U42" s="10"/>
      <c r="V42" s="10"/>
      <c r="W42" s="12">
        <f t="shared" si="1"/>
        <v>0</v>
      </c>
      <c r="Y42" s="10">
        <v>31</v>
      </c>
      <c r="Z42" s="30"/>
      <c r="AA42" s="31"/>
      <c r="AB42" s="47"/>
      <c r="AC42" s="31"/>
      <c r="AD42" s="31"/>
      <c r="AE42" s="32">
        <f t="shared" si="2"/>
        <v>0</v>
      </c>
      <c r="AF42" s="10"/>
      <c r="AG42" s="10"/>
      <c r="AH42" s="10"/>
      <c r="AI42" s="12">
        <f t="shared" si="3"/>
        <v>0</v>
      </c>
    </row>
    <row r="43" spans="1:35" x14ac:dyDescent="0.25">
      <c r="A43" s="62"/>
      <c r="B43" s="66"/>
      <c r="C43" s="84"/>
      <c r="D43" s="60"/>
      <c r="E43" s="60"/>
      <c r="F43" s="60"/>
      <c r="G43" s="60"/>
      <c r="H43" s="62"/>
      <c r="I43" s="62"/>
      <c r="J43" s="62"/>
      <c r="K43" s="61"/>
      <c r="M43" s="10">
        <v>32</v>
      </c>
      <c r="N43" s="30"/>
      <c r="O43" s="31"/>
      <c r="P43" s="47"/>
      <c r="Q43" s="31"/>
      <c r="R43" s="31"/>
      <c r="S43" s="32">
        <f t="shared" si="0"/>
        <v>0</v>
      </c>
      <c r="T43" s="10"/>
      <c r="U43" s="10"/>
      <c r="V43" s="10"/>
      <c r="W43" s="12">
        <f t="shared" si="1"/>
        <v>0</v>
      </c>
      <c r="Y43" s="10">
        <v>32</v>
      </c>
      <c r="Z43" s="30"/>
      <c r="AA43" s="31"/>
      <c r="AB43" s="47"/>
      <c r="AC43" s="31"/>
      <c r="AD43" s="31"/>
      <c r="AE43" s="32">
        <f t="shared" si="2"/>
        <v>0</v>
      </c>
      <c r="AF43" s="10"/>
      <c r="AG43" s="10"/>
      <c r="AH43" s="10"/>
      <c r="AI43" s="12">
        <f t="shared" si="3"/>
        <v>0</v>
      </c>
    </row>
    <row r="44" spans="1:35" x14ac:dyDescent="0.25">
      <c r="A44" s="62"/>
      <c r="B44" s="66"/>
      <c r="C44" s="84"/>
      <c r="D44" s="60"/>
      <c r="E44" s="60"/>
      <c r="F44" s="60"/>
      <c r="G44" s="60"/>
      <c r="H44" s="62"/>
      <c r="I44" s="62"/>
      <c r="J44" s="62"/>
      <c r="K44" s="61"/>
      <c r="M44" s="10">
        <v>33</v>
      </c>
      <c r="N44" s="30"/>
      <c r="O44" s="31"/>
      <c r="P44" s="47"/>
      <c r="Q44" s="31"/>
      <c r="R44" s="31"/>
      <c r="S44" s="32">
        <f t="shared" si="0"/>
        <v>0</v>
      </c>
      <c r="T44" s="10"/>
      <c r="U44" s="10"/>
      <c r="V44" s="10"/>
      <c r="W44" s="12">
        <f t="shared" si="1"/>
        <v>0</v>
      </c>
      <c r="Y44" s="10">
        <v>33</v>
      </c>
      <c r="Z44" s="30"/>
      <c r="AA44" s="31"/>
      <c r="AB44" s="47"/>
      <c r="AC44" s="31"/>
      <c r="AD44" s="31"/>
      <c r="AE44" s="32">
        <f t="shared" si="2"/>
        <v>0</v>
      </c>
      <c r="AF44" s="10"/>
      <c r="AG44" s="10"/>
      <c r="AH44" s="10"/>
      <c r="AI44" s="12">
        <f t="shared" si="3"/>
        <v>0</v>
      </c>
    </row>
    <row r="45" spans="1:35" x14ac:dyDescent="0.25">
      <c r="A45" s="62"/>
      <c r="B45" s="66"/>
      <c r="C45" s="84"/>
      <c r="D45" s="60"/>
      <c r="E45" s="60"/>
      <c r="F45" s="60"/>
      <c r="G45" s="60"/>
      <c r="H45" s="62"/>
      <c r="I45" s="62"/>
      <c r="J45" s="62"/>
      <c r="K45" s="61"/>
      <c r="M45" s="10">
        <v>34</v>
      </c>
      <c r="N45" s="30"/>
      <c r="O45" s="31"/>
      <c r="P45" s="47"/>
      <c r="Q45" s="31"/>
      <c r="R45" s="31"/>
      <c r="S45" s="32">
        <f t="shared" ref="S45:S50" si="7">SUM(P45:Q45)</f>
        <v>0</v>
      </c>
      <c r="T45" s="10"/>
      <c r="U45" s="10"/>
      <c r="V45" s="10"/>
      <c r="W45" s="12">
        <f t="shared" ref="W45:W53" si="8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9">SUM(AB45:AC45)</f>
        <v>0</v>
      </c>
      <c r="AF45" s="10"/>
      <c r="AG45" s="10"/>
      <c r="AH45" s="10"/>
      <c r="AI45" s="12">
        <f t="shared" ref="AI45:AI53" si="10">SUM(AE45:AH45)</f>
        <v>0</v>
      </c>
    </row>
    <row r="46" spans="1:35" x14ac:dyDescent="0.25">
      <c r="A46" s="62"/>
      <c r="B46" s="66"/>
      <c r="C46" s="84"/>
      <c r="D46" s="60"/>
      <c r="E46" s="60"/>
      <c r="F46" s="60"/>
      <c r="G46" s="60"/>
      <c r="H46" s="62"/>
      <c r="I46" s="62"/>
      <c r="J46" s="62"/>
      <c r="K46" s="61"/>
      <c r="M46" s="10">
        <v>35</v>
      </c>
      <c r="N46" s="30"/>
      <c r="O46" s="31"/>
      <c r="P46" s="47"/>
      <c r="Q46" s="31"/>
      <c r="R46" s="31"/>
      <c r="S46" s="32">
        <f t="shared" si="7"/>
        <v>0</v>
      </c>
      <c r="T46" s="10"/>
      <c r="U46" s="10"/>
      <c r="V46" s="10"/>
      <c r="W46" s="12">
        <f t="shared" si="8"/>
        <v>0</v>
      </c>
      <c r="Y46" s="10">
        <v>35</v>
      </c>
      <c r="Z46" s="30"/>
      <c r="AA46" s="31"/>
      <c r="AB46" s="47"/>
      <c r="AC46" s="31"/>
      <c r="AD46" s="31"/>
      <c r="AE46" s="32">
        <f t="shared" si="9"/>
        <v>0</v>
      </c>
      <c r="AF46" s="10"/>
      <c r="AG46" s="10"/>
      <c r="AH46" s="10"/>
      <c r="AI46" s="12">
        <f t="shared" si="10"/>
        <v>0</v>
      </c>
    </row>
    <row r="47" spans="1:35" x14ac:dyDescent="0.25">
      <c r="A47" s="62"/>
      <c r="B47" s="66"/>
      <c r="C47" s="84"/>
      <c r="D47" s="60"/>
      <c r="E47" s="60"/>
      <c r="F47" s="60"/>
      <c r="G47" s="60"/>
      <c r="H47" s="62"/>
      <c r="I47" s="62"/>
      <c r="J47" s="62"/>
      <c r="K47" s="61"/>
      <c r="M47" s="10">
        <v>36</v>
      </c>
      <c r="N47" s="30"/>
      <c r="O47" s="31"/>
      <c r="P47" s="47"/>
      <c r="Q47" s="31"/>
      <c r="R47" s="31"/>
      <c r="S47" s="32">
        <f t="shared" si="7"/>
        <v>0</v>
      </c>
      <c r="T47" s="10"/>
      <c r="U47" s="10"/>
      <c r="V47" s="10"/>
      <c r="W47" s="12">
        <f t="shared" si="8"/>
        <v>0</v>
      </c>
      <c r="Y47" s="10">
        <v>36</v>
      </c>
      <c r="Z47" s="30"/>
      <c r="AA47" s="31"/>
      <c r="AB47" s="47"/>
      <c r="AC47" s="31"/>
      <c r="AD47" s="31"/>
      <c r="AE47" s="32">
        <f t="shared" si="9"/>
        <v>0</v>
      </c>
      <c r="AF47" s="10"/>
      <c r="AG47" s="10"/>
      <c r="AH47" s="10"/>
      <c r="AI47" s="12">
        <f t="shared" si="10"/>
        <v>0</v>
      </c>
    </row>
    <row r="48" spans="1:35" x14ac:dyDescent="0.25">
      <c r="A48" s="62"/>
      <c r="B48" s="66"/>
      <c r="C48" s="91"/>
      <c r="D48" s="60"/>
      <c r="E48" s="60"/>
      <c r="F48" s="60"/>
      <c r="G48" s="60"/>
      <c r="H48" s="62"/>
      <c r="I48" s="62"/>
      <c r="J48" s="62"/>
      <c r="K48" s="61"/>
      <c r="M48" s="10">
        <v>37</v>
      </c>
      <c r="N48" s="30"/>
      <c r="P48" s="47"/>
      <c r="Q48" s="31"/>
      <c r="R48" s="31"/>
      <c r="S48" s="32">
        <f t="shared" si="7"/>
        <v>0</v>
      </c>
      <c r="T48" s="10"/>
      <c r="U48" s="10"/>
      <c r="V48" s="10"/>
      <c r="W48" s="12">
        <f t="shared" si="8"/>
        <v>0</v>
      </c>
      <c r="Y48" s="10">
        <v>37</v>
      </c>
      <c r="Z48" s="30"/>
      <c r="AA48" s="31"/>
      <c r="AB48" s="47"/>
      <c r="AC48" s="31"/>
      <c r="AD48" s="31"/>
      <c r="AE48" s="32">
        <f t="shared" si="9"/>
        <v>0</v>
      </c>
      <c r="AF48" s="10"/>
      <c r="AG48" s="10"/>
      <c r="AH48" s="10"/>
      <c r="AI48" s="12">
        <f t="shared" si="10"/>
        <v>0</v>
      </c>
    </row>
    <row r="49" spans="1:52" x14ac:dyDescent="0.25">
      <c r="A49" s="62"/>
      <c r="B49" s="66"/>
      <c r="C49" s="91"/>
      <c r="D49" s="60"/>
      <c r="E49" s="60"/>
      <c r="F49" s="60"/>
      <c r="G49" s="60"/>
      <c r="H49" s="62"/>
      <c r="I49" s="62"/>
      <c r="J49" s="62"/>
      <c r="K49" s="61"/>
      <c r="M49" s="10">
        <v>38</v>
      </c>
      <c r="N49" s="30"/>
      <c r="O49" s="31"/>
      <c r="P49" s="47"/>
      <c r="Q49" s="31"/>
      <c r="R49" s="31"/>
      <c r="S49" s="32">
        <f t="shared" si="7"/>
        <v>0</v>
      </c>
      <c r="T49" s="10"/>
      <c r="U49" s="10"/>
      <c r="V49" s="10"/>
      <c r="W49" s="12">
        <f t="shared" si="8"/>
        <v>0</v>
      </c>
      <c r="Y49" s="10">
        <v>38</v>
      </c>
      <c r="Z49" s="30"/>
      <c r="AA49" s="31"/>
      <c r="AB49" s="47"/>
      <c r="AC49" s="31"/>
      <c r="AD49" s="31"/>
      <c r="AE49" s="32">
        <f t="shared" si="9"/>
        <v>0</v>
      </c>
      <c r="AF49" s="10"/>
      <c r="AG49" s="10"/>
      <c r="AH49" s="10"/>
      <c r="AI49" s="12">
        <f t="shared" si="10"/>
        <v>0</v>
      </c>
    </row>
    <row r="50" spans="1:52" x14ac:dyDescent="0.25">
      <c r="A50" s="62"/>
      <c r="B50" s="66"/>
      <c r="C50" s="91"/>
      <c r="D50" s="60"/>
      <c r="E50" s="60"/>
      <c r="F50" s="60"/>
      <c r="G50" s="60"/>
      <c r="H50" s="62"/>
      <c r="I50" s="62"/>
      <c r="J50" s="62"/>
      <c r="K50" s="61"/>
      <c r="M50" s="10">
        <v>39</v>
      </c>
      <c r="N50" s="30"/>
      <c r="O50" s="31"/>
      <c r="P50" s="47"/>
      <c r="Q50" s="31"/>
      <c r="R50" s="31"/>
      <c r="S50" s="32">
        <f t="shared" si="7"/>
        <v>0</v>
      </c>
      <c r="T50" s="10"/>
      <c r="U50" s="10"/>
      <c r="V50" s="10"/>
      <c r="W50" s="12">
        <f t="shared" si="8"/>
        <v>0</v>
      </c>
      <c r="Y50" s="10">
        <v>39</v>
      </c>
      <c r="Z50" s="30"/>
      <c r="AA50" s="31"/>
      <c r="AB50" s="47"/>
      <c r="AC50" s="31"/>
      <c r="AD50" s="31"/>
      <c r="AE50" s="32">
        <f t="shared" si="9"/>
        <v>0</v>
      </c>
      <c r="AF50" s="10"/>
      <c r="AG50" s="10"/>
      <c r="AH50" s="10"/>
      <c r="AI50" s="12">
        <f t="shared" si="10"/>
        <v>0</v>
      </c>
    </row>
    <row r="51" spans="1:52" x14ac:dyDescent="0.25">
      <c r="A51" s="62"/>
      <c r="B51" s="66"/>
      <c r="C51" s="91"/>
      <c r="D51" s="60"/>
      <c r="E51" s="60"/>
      <c r="F51" s="60"/>
      <c r="G51" s="60"/>
      <c r="H51" s="62"/>
      <c r="I51" s="62"/>
      <c r="J51" s="62"/>
      <c r="K51" s="61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8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0"/>
        <v>0</v>
      </c>
    </row>
    <row r="52" spans="1:52" x14ac:dyDescent="0.25">
      <c r="A52" s="62"/>
      <c r="B52" s="66"/>
      <c r="C52" s="91"/>
      <c r="D52" s="60"/>
      <c r="E52" s="60"/>
      <c r="F52" s="60"/>
      <c r="G52" s="60"/>
      <c r="H52" s="62"/>
      <c r="I52" s="62"/>
      <c r="J52" s="62"/>
      <c r="K52" s="61"/>
      <c r="M52" s="10"/>
      <c r="N52" s="30"/>
      <c r="O52" s="31"/>
      <c r="P52" s="47"/>
      <c r="Q52" s="31"/>
      <c r="R52" s="31"/>
      <c r="S52" s="32">
        <f t="shared" ref="S52" si="11">SUM(P52:Q52)</f>
        <v>0</v>
      </c>
      <c r="T52" s="10"/>
      <c r="U52" s="10"/>
      <c r="V52" s="10"/>
      <c r="W52" s="12">
        <f t="shared" si="8"/>
        <v>0</v>
      </c>
      <c r="Y52" s="10"/>
      <c r="Z52" s="30"/>
      <c r="AA52" s="31"/>
      <c r="AB52" s="47"/>
      <c r="AC52" s="31"/>
      <c r="AD52" s="31"/>
      <c r="AE52" s="32">
        <f t="shared" ref="AE52" si="12">SUM(AB52:AC52)</f>
        <v>0</v>
      </c>
      <c r="AF52" s="10"/>
      <c r="AG52" s="10"/>
      <c r="AH52" s="10"/>
      <c r="AI52" s="12">
        <f t="shared" si="10"/>
        <v>0</v>
      </c>
    </row>
    <row r="53" spans="1:52" x14ac:dyDescent="0.25">
      <c r="A53" s="62"/>
      <c r="B53" s="66"/>
      <c r="C53" s="66"/>
      <c r="D53" s="60"/>
      <c r="E53" s="60"/>
      <c r="F53" s="60"/>
      <c r="G53" s="60"/>
      <c r="H53" s="62"/>
      <c r="I53" s="62"/>
      <c r="J53" s="62"/>
      <c r="K53" s="61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8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0"/>
        <v>0</v>
      </c>
    </row>
    <row r="54" spans="1:52" x14ac:dyDescent="0.25">
      <c r="A54" s="62"/>
      <c r="B54" s="91"/>
      <c r="C54" s="91"/>
      <c r="D54" s="91"/>
      <c r="E54" s="91"/>
      <c r="F54" s="91"/>
      <c r="G54" s="91"/>
      <c r="H54" s="62"/>
      <c r="I54" s="62"/>
      <c r="J54" s="62"/>
      <c r="K54" s="62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A55" s="62"/>
      <c r="B55" s="91"/>
      <c r="C55" s="91"/>
      <c r="D55" s="70"/>
      <c r="E55" s="70"/>
      <c r="F55" s="70"/>
      <c r="G55" s="70"/>
      <c r="H55" s="63"/>
      <c r="I55" s="70"/>
      <c r="J55" s="70"/>
      <c r="K55" s="70"/>
      <c r="N55" s="57"/>
      <c r="O55" s="57"/>
      <c r="P55" s="38">
        <f>SUM(P12:P54)</f>
        <v>212305.5</v>
      </c>
      <c r="Q55" s="38">
        <f>SUM(Q12:Q36)</f>
        <v>-1644</v>
      </c>
      <c r="R55" s="38">
        <f>SUM(R12:R36)</f>
        <v>0</v>
      </c>
      <c r="S55" s="38">
        <f>SUM(S12:S54)</f>
        <v>210661.5</v>
      </c>
      <c r="T55" s="4"/>
      <c r="U55" s="41">
        <f>SUM(U12:U54)</f>
        <v>394.5</v>
      </c>
      <c r="V55" s="41">
        <f>SUM(V12:V36)</f>
        <v>-987</v>
      </c>
      <c r="W55" s="42">
        <f>SUM(W12:W54)</f>
        <v>210069</v>
      </c>
      <c r="Z55" s="57"/>
      <c r="AA55" s="57"/>
      <c r="AB55" s="38">
        <f>SUM(AB12:AB54)</f>
        <v>251548</v>
      </c>
      <c r="AC55" s="38">
        <f>SUM(AC12:AC36)</f>
        <v>-1350</v>
      </c>
      <c r="AD55" s="38">
        <f>SUM(AD12:AD36)</f>
        <v>0</v>
      </c>
      <c r="AE55" s="38">
        <f>SUM(AE12:AE54)</f>
        <v>250198</v>
      </c>
      <c r="AF55" s="4"/>
      <c r="AG55" s="41">
        <f>SUM(AG12:AG54)</f>
        <v>144</v>
      </c>
      <c r="AH55" s="41">
        <f>SUM(AH12:AH36)</f>
        <v>-14103</v>
      </c>
      <c r="AI55" s="42">
        <f>SUM(AI12:AI54)</f>
        <v>236239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s="62"/>
      <c r="N57" s="87"/>
      <c r="O57" s="87"/>
      <c r="P57" s="87"/>
      <c r="Q57" s="87"/>
      <c r="R57" s="87"/>
      <c r="S57" s="87"/>
      <c r="T57" s="62"/>
      <c r="U57" s="62"/>
      <c r="V57" s="62"/>
      <c r="W57" s="62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s="62"/>
      <c r="N58" s="87"/>
      <c r="O58" s="87"/>
      <c r="P58" s="87"/>
      <c r="Q58" s="87"/>
      <c r="R58" s="87"/>
      <c r="S58" s="87"/>
      <c r="T58" s="62"/>
      <c r="U58" s="62"/>
      <c r="V58" s="62"/>
      <c r="W58" s="62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M59" s="62"/>
      <c r="N59" s="87"/>
      <c r="O59" s="87"/>
      <c r="P59" s="87"/>
      <c r="Q59" s="87"/>
      <c r="R59" s="87"/>
      <c r="S59" s="87"/>
      <c r="T59" s="62"/>
      <c r="U59" s="62"/>
      <c r="V59" s="62"/>
      <c r="W59" s="62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63"/>
      <c r="N60" s="87"/>
      <c r="O60" s="87"/>
      <c r="P60" s="87"/>
      <c r="Q60" s="87"/>
      <c r="R60" s="87"/>
      <c r="S60" s="87"/>
      <c r="T60" s="62"/>
      <c r="U60" s="62"/>
      <c r="V60" s="62"/>
      <c r="W60" s="62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M61" s="62"/>
      <c r="N61" s="87"/>
      <c r="O61" s="87"/>
      <c r="P61" s="87"/>
      <c r="Q61" s="87"/>
      <c r="R61" s="87"/>
      <c r="S61" s="87"/>
      <c r="T61" s="62"/>
      <c r="U61" s="62"/>
      <c r="V61" s="62"/>
      <c r="W61" s="62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s="62"/>
      <c r="N62" s="87"/>
      <c r="O62" s="87"/>
      <c r="P62" s="87"/>
      <c r="Q62" s="87"/>
      <c r="R62" s="87"/>
      <c r="S62" s="87"/>
      <c r="T62" s="62"/>
      <c r="U62" s="87"/>
      <c r="V62" s="73"/>
      <c r="W62" s="62"/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36</v>
      </c>
      <c r="K63" s="24"/>
      <c r="M63" s="64"/>
      <c r="N63" s="87"/>
      <c r="O63" s="87"/>
      <c r="P63" s="87"/>
      <c r="Q63" s="87"/>
      <c r="R63" s="87"/>
      <c r="S63" s="87"/>
      <c r="T63" s="62"/>
      <c r="U63" s="65"/>
      <c r="V63" s="65"/>
      <c r="W63" s="62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32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M64" s="62"/>
      <c r="N64" s="87"/>
      <c r="O64" s="87"/>
      <c r="P64" s="87"/>
      <c r="Q64" s="87"/>
      <c r="R64" s="87"/>
      <c r="S64" s="87"/>
      <c r="T64" s="62"/>
      <c r="U64" s="62"/>
      <c r="V64" s="62"/>
      <c r="W64" s="62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89"/>
      <c r="G65" s="27"/>
      <c r="I65" s="110" t="s">
        <v>18</v>
      </c>
      <c r="J65" s="111"/>
      <c r="K65" s="113" t="s">
        <v>19</v>
      </c>
      <c r="M65" s="62"/>
      <c r="N65" s="65"/>
      <c r="O65" s="87"/>
      <c r="P65" s="108"/>
      <c r="Q65" s="108"/>
      <c r="R65" s="87"/>
      <c r="S65" s="87"/>
      <c r="T65" s="62"/>
      <c r="U65" s="108"/>
      <c r="V65" s="108"/>
      <c r="W65" s="109"/>
      <c r="Z65" s="25"/>
      <c r="AA65" s="26"/>
      <c r="AB65" s="112" t="s">
        <v>17</v>
      </c>
      <c r="AC65" s="112"/>
      <c r="AD65" s="92"/>
      <c r="AE65" s="27"/>
      <c r="AG65" s="110" t="s">
        <v>18</v>
      </c>
      <c r="AH65" s="111"/>
      <c r="AI65" s="11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14"/>
      <c r="M66" s="62"/>
      <c r="N66" s="87"/>
      <c r="O66" s="87"/>
      <c r="P66" s="79"/>
      <c r="Q66" s="81"/>
      <c r="R66" s="81"/>
      <c r="S66" s="81"/>
      <c r="T66" s="62"/>
      <c r="U66" s="88"/>
      <c r="V66" s="88"/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1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46060</v>
      </c>
      <c r="C67" s="83">
        <v>11184</v>
      </c>
      <c r="D67" s="32">
        <f>650*19+670*3+622+912+872+650</f>
        <v>17416</v>
      </c>
      <c r="E67" s="32"/>
      <c r="F67" s="32"/>
      <c r="G67" s="32">
        <f t="shared" ref="G67:G100" si="13">SUM(D67:E67)</f>
        <v>17416</v>
      </c>
      <c r="H67" s="12"/>
      <c r="I67" s="12">
        <f>4.5*42</f>
        <v>189</v>
      </c>
      <c r="J67" s="12"/>
      <c r="K67" s="12">
        <f t="shared" ref="K67:K100" si="14">SUM(G67:J67)</f>
        <v>17605</v>
      </c>
      <c r="M67" s="62"/>
      <c r="N67" s="66"/>
      <c r="O67" s="87"/>
      <c r="P67" s="60"/>
      <c r="Q67" s="60"/>
      <c r="R67" s="60"/>
      <c r="S67" s="60"/>
      <c r="T67" s="61"/>
      <c r="U67" s="61"/>
      <c r="V67" s="61"/>
      <c r="W67" s="61"/>
      <c r="Y67" s="10">
        <v>1</v>
      </c>
      <c r="Z67" s="30">
        <v>46060</v>
      </c>
      <c r="AA67" s="31">
        <v>11255</v>
      </c>
      <c r="AB67" s="32">
        <f>650*82+872+229*3</f>
        <v>54859</v>
      </c>
      <c r="AC67" s="32">
        <f>-83*6</f>
        <v>-498</v>
      </c>
      <c r="AD67" s="32"/>
      <c r="AE67" s="32">
        <f>SUM(AB67:AC67)</f>
        <v>54361</v>
      </c>
      <c r="AF67" s="12"/>
      <c r="AG67" s="12"/>
      <c r="AH67" s="12"/>
      <c r="AI67" s="12">
        <f>SUM(AE67:AH67)</f>
        <v>54361</v>
      </c>
      <c r="AK67" s="62"/>
      <c r="AL67" s="65"/>
      <c r="AM67" s="86"/>
      <c r="AN67" s="108"/>
      <c r="AO67" s="108"/>
      <c r="AP67" s="86"/>
      <c r="AQ67" s="62"/>
      <c r="AR67" s="108"/>
      <c r="AS67" s="108"/>
      <c r="AT67" s="109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46060</v>
      </c>
      <c r="C68" s="83">
        <f>C67+1</f>
        <v>11185</v>
      </c>
      <c r="D68" s="32">
        <f>650*21+650</f>
        <v>14300</v>
      </c>
      <c r="E68" s="32"/>
      <c r="F68" s="32"/>
      <c r="G68" s="32">
        <f t="shared" si="13"/>
        <v>14300</v>
      </c>
      <c r="H68" s="12"/>
      <c r="I68" s="12"/>
      <c r="J68" s="12"/>
      <c r="K68" s="12">
        <f t="shared" si="14"/>
        <v>14300</v>
      </c>
      <c r="M68" s="62"/>
      <c r="N68" s="66"/>
      <c r="O68" s="87"/>
      <c r="P68" s="60"/>
      <c r="Q68" s="60"/>
      <c r="R68" s="60"/>
      <c r="S68" s="60"/>
      <c r="T68" s="61"/>
      <c r="U68" s="61"/>
      <c r="V68" s="61"/>
      <c r="W68" s="61"/>
      <c r="Y68" s="10">
        <v>2</v>
      </c>
      <c r="Z68" s="30">
        <v>46060</v>
      </c>
      <c r="AA68" s="31">
        <f>AA67+1</f>
        <v>11256</v>
      </c>
      <c r="AB68" s="32">
        <f>650*30+670*3+622*30+229*2</f>
        <v>40628</v>
      </c>
      <c r="AC68" s="32">
        <f>-63*6</f>
        <v>-378</v>
      </c>
      <c r="AD68" s="32"/>
      <c r="AE68" s="32">
        <f t="shared" ref="AE68:AE70" si="15">SUM(AB68:AC68)</f>
        <v>40250</v>
      </c>
      <c r="AF68" s="12"/>
      <c r="AG68" s="12"/>
      <c r="AH68" s="12">
        <f>-111*8</f>
        <v>-888</v>
      </c>
      <c r="AI68" s="12">
        <f t="shared" ref="AI68:AI108" si="16">SUM(AE68:AH68)</f>
        <v>39362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9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46060</v>
      </c>
      <c r="C69" s="83">
        <f t="shared" ref="C69:C81" si="17">C68+1</f>
        <v>11186</v>
      </c>
      <c r="D69" s="33">
        <f>650+670</f>
        <v>1320</v>
      </c>
      <c r="E69" s="33"/>
      <c r="F69" s="33"/>
      <c r="G69" s="33">
        <f t="shared" si="13"/>
        <v>1320</v>
      </c>
      <c r="H69" s="34"/>
      <c r="I69" s="34"/>
      <c r="J69" s="34"/>
      <c r="K69" s="34">
        <f t="shared" si="14"/>
        <v>1320</v>
      </c>
      <c r="M69" s="62"/>
      <c r="N69" s="66"/>
      <c r="O69" s="87"/>
      <c r="P69" s="60"/>
      <c r="Q69" s="60"/>
      <c r="R69" s="60"/>
      <c r="S69" s="60"/>
      <c r="T69" s="61"/>
      <c r="U69" s="61"/>
      <c r="V69" s="61"/>
      <c r="W69" s="61"/>
      <c r="Y69" s="10">
        <v>3</v>
      </c>
      <c r="Z69" s="30">
        <v>46060</v>
      </c>
      <c r="AA69" s="31">
        <f t="shared" ref="AA69:AA73" si="18">AA68+1</f>
        <v>11257</v>
      </c>
      <c r="AB69" s="33">
        <f>650*100+229*2</f>
        <v>65458</v>
      </c>
      <c r="AC69" s="33">
        <f>-100*6</f>
        <v>-600</v>
      </c>
      <c r="AD69" s="32"/>
      <c r="AE69" s="32">
        <f t="shared" si="15"/>
        <v>64858</v>
      </c>
      <c r="AF69" s="12"/>
      <c r="AG69" s="12"/>
      <c r="AH69" s="12"/>
      <c r="AI69" s="12">
        <f t="shared" si="16"/>
        <v>64858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46060</v>
      </c>
      <c r="C70" s="83">
        <f t="shared" si="17"/>
        <v>11187</v>
      </c>
      <c r="D70" s="32">
        <f>650*5+670*2</f>
        <v>4590</v>
      </c>
      <c r="E70" s="32"/>
      <c r="F70" s="32"/>
      <c r="G70" s="32">
        <f t="shared" si="13"/>
        <v>4590</v>
      </c>
      <c r="H70" s="12"/>
      <c r="I70" s="12"/>
      <c r="J70" s="12"/>
      <c r="K70" s="12">
        <f t="shared" si="14"/>
        <v>4590</v>
      </c>
      <c r="M70" s="62"/>
      <c r="N70" s="66"/>
      <c r="O70" s="87"/>
      <c r="P70" s="60"/>
      <c r="Q70" s="60"/>
      <c r="R70" s="60"/>
      <c r="S70" s="60"/>
      <c r="T70" s="61"/>
      <c r="U70" s="61"/>
      <c r="V70" s="61"/>
      <c r="W70" s="61"/>
      <c r="Y70" s="10">
        <v>4</v>
      </c>
      <c r="Z70" s="30">
        <v>46060</v>
      </c>
      <c r="AA70" s="31">
        <f t="shared" si="18"/>
        <v>11258</v>
      </c>
      <c r="AB70" s="32">
        <f>650*20</f>
        <v>13000</v>
      </c>
      <c r="AC70" s="32"/>
      <c r="AD70" s="32"/>
      <c r="AE70" s="32">
        <f t="shared" si="15"/>
        <v>13000</v>
      </c>
      <c r="AF70" s="12"/>
      <c r="AH70" s="12"/>
      <c r="AI70" s="12">
        <f t="shared" si="16"/>
        <v>13000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46060</v>
      </c>
      <c r="C71" s="83">
        <f t="shared" si="17"/>
        <v>11188</v>
      </c>
      <c r="D71" s="32">
        <f>650*90+622*10</f>
        <v>64720</v>
      </c>
      <c r="E71" s="32"/>
      <c r="F71" s="32"/>
      <c r="G71" s="32">
        <f t="shared" si="13"/>
        <v>64720</v>
      </c>
      <c r="H71" s="12"/>
      <c r="I71" s="12"/>
      <c r="J71" s="12">
        <f>-111*54</f>
        <v>-5994</v>
      </c>
      <c r="K71" s="12">
        <f t="shared" si="14"/>
        <v>58726</v>
      </c>
      <c r="M71" s="62"/>
      <c r="N71" s="66"/>
      <c r="O71" s="65"/>
      <c r="P71" s="60"/>
      <c r="Q71" s="60"/>
      <c r="R71" s="60"/>
      <c r="S71" s="60"/>
      <c r="T71" s="61"/>
      <c r="U71" s="61"/>
      <c r="V71" s="61"/>
      <c r="W71" s="61"/>
      <c r="Y71" s="10">
        <v>5</v>
      </c>
      <c r="Z71" s="30">
        <v>46060</v>
      </c>
      <c r="AA71" s="31">
        <f t="shared" si="18"/>
        <v>11259</v>
      </c>
      <c r="AB71" s="32">
        <f>650*30+670+622*10+229</f>
        <v>26619</v>
      </c>
      <c r="AC71" s="32">
        <f>-41*6</f>
        <v>-246</v>
      </c>
      <c r="AD71" s="32"/>
      <c r="AE71" s="32">
        <f t="shared" ref="AE71:AE76" si="19">SUM(AB71:AC71)</f>
        <v>26373</v>
      </c>
      <c r="AF71" s="12"/>
      <c r="AG71" s="12"/>
      <c r="AH71" s="12"/>
      <c r="AI71" s="12">
        <f t="shared" si="16"/>
        <v>26373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46060</v>
      </c>
      <c r="C72" s="83">
        <f t="shared" si="17"/>
        <v>11189</v>
      </c>
      <c r="D72" s="32">
        <f>650*20</f>
        <v>13000</v>
      </c>
      <c r="E72" s="32"/>
      <c r="F72" s="32"/>
      <c r="G72" s="32">
        <f t="shared" si="13"/>
        <v>13000</v>
      </c>
      <c r="H72" s="12"/>
      <c r="I72" s="12"/>
      <c r="J72" s="12"/>
      <c r="K72" s="12">
        <f t="shared" si="14"/>
        <v>13000</v>
      </c>
      <c r="M72" s="62"/>
      <c r="N72" s="66"/>
      <c r="O72" s="87"/>
      <c r="P72" s="60"/>
      <c r="Q72" s="60"/>
      <c r="R72" s="60"/>
      <c r="S72" s="60"/>
      <c r="T72" s="61"/>
      <c r="U72" s="61"/>
      <c r="V72" s="62"/>
      <c r="W72" s="61"/>
      <c r="Y72" s="10">
        <v>6</v>
      </c>
      <c r="Z72" s="30">
        <v>46060</v>
      </c>
      <c r="AA72" s="31">
        <f t="shared" si="18"/>
        <v>11260</v>
      </c>
      <c r="AB72" s="32">
        <f>622*8</f>
        <v>4976</v>
      </c>
      <c r="AC72" s="32"/>
      <c r="AD72" s="32"/>
      <c r="AE72" s="32">
        <f t="shared" si="19"/>
        <v>4976</v>
      </c>
      <c r="AF72" s="12"/>
      <c r="AG72" s="12"/>
      <c r="AH72" s="10"/>
      <c r="AI72" s="12">
        <f t="shared" si="16"/>
        <v>4976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46060</v>
      </c>
      <c r="C73" s="83">
        <f t="shared" si="17"/>
        <v>11190</v>
      </c>
      <c r="D73" s="32">
        <f>650*19</f>
        <v>12350</v>
      </c>
      <c r="E73" s="32"/>
      <c r="F73" s="32"/>
      <c r="G73" s="32">
        <f t="shared" si="13"/>
        <v>12350</v>
      </c>
      <c r="H73" s="12"/>
      <c r="I73" s="12">
        <f>4.5*16</f>
        <v>72</v>
      </c>
      <c r="J73" s="12"/>
      <c r="K73" s="12">
        <f t="shared" si="14"/>
        <v>12422</v>
      </c>
      <c r="M73" s="62"/>
      <c r="N73" s="66"/>
      <c r="O73" s="87"/>
      <c r="P73" s="60"/>
      <c r="Q73" s="60"/>
      <c r="R73" s="60"/>
      <c r="S73" s="60"/>
      <c r="T73" s="61"/>
      <c r="U73" s="61"/>
      <c r="V73" s="61"/>
      <c r="W73" s="61"/>
      <c r="Y73" s="10">
        <v>7</v>
      </c>
      <c r="Z73" s="30">
        <v>46060</v>
      </c>
      <c r="AA73" s="31">
        <f t="shared" si="18"/>
        <v>11261</v>
      </c>
      <c r="AB73" s="32">
        <f>650*9+670*2+622*5</f>
        <v>10300</v>
      </c>
      <c r="AC73" s="32"/>
      <c r="AD73" s="32"/>
      <c r="AE73" s="32">
        <f t="shared" si="19"/>
        <v>10300</v>
      </c>
      <c r="AF73" s="12"/>
      <c r="AG73" s="58"/>
      <c r="AH73" s="12"/>
      <c r="AI73" s="12">
        <f t="shared" si="16"/>
        <v>10300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46060</v>
      </c>
      <c r="C74" s="83">
        <f t="shared" si="17"/>
        <v>11191</v>
      </c>
      <c r="D74" s="32">
        <f>650*35+670+622*5+229</f>
        <v>26759</v>
      </c>
      <c r="E74" s="32"/>
      <c r="F74" s="32"/>
      <c r="G74" s="32">
        <f t="shared" si="13"/>
        <v>26759</v>
      </c>
      <c r="H74" s="12"/>
      <c r="I74" s="12"/>
      <c r="J74" s="12"/>
      <c r="K74" s="12">
        <f t="shared" si="14"/>
        <v>26759</v>
      </c>
      <c r="M74" s="62"/>
      <c r="N74" s="66"/>
      <c r="O74" s="87"/>
      <c r="P74" s="60"/>
      <c r="Q74" s="60"/>
      <c r="R74" s="60"/>
      <c r="S74" s="60"/>
      <c r="T74" s="61"/>
      <c r="U74" s="61"/>
      <c r="V74" s="61"/>
      <c r="W74" s="61"/>
      <c r="Y74" s="10">
        <v>8</v>
      </c>
      <c r="Z74" s="30"/>
      <c r="AA74" s="11" t="s">
        <v>27</v>
      </c>
      <c r="AB74" s="32"/>
      <c r="AC74" s="32"/>
      <c r="AE74" s="32">
        <f t="shared" si="19"/>
        <v>0</v>
      </c>
      <c r="AF74" s="12"/>
      <c r="AG74" s="12"/>
      <c r="AH74" s="12"/>
      <c r="AI74" s="12">
        <f t="shared" si="16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46060</v>
      </c>
      <c r="C75" s="83">
        <f t="shared" si="17"/>
        <v>11192</v>
      </c>
      <c r="D75" s="32">
        <f>650*6</f>
        <v>3900</v>
      </c>
      <c r="E75" s="32"/>
      <c r="F75" s="32"/>
      <c r="G75" s="32">
        <f t="shared" si="13"/>
        <v>3900</v>
      </c>
      <c r="H75" s="12"/>
      <c r="I75" s="12"/>
      <c r="J75" s="12"/>
      <c r="K75" s="12">
        <f t="shared" si="14"/>
        <v>3900</v>
      </c>
      <c r="M75" s="62"/>
      <c r="N75" s="66"/>
      <c r="O75" s="87"/>
      <c r="P75" s="60"/>
      <c r="Q75" s="60"/>
      <c r="R75" s="60"/>
      <c r="S75" s="60"/>
      <c r="T75" s="61"/>
      <c r="U75" s="61"/>
      <c r="V75" s="61"/>
      <c r="W75" s="61"/>
      <c r="Y75" s="10">
        <v>9</v>
      </c>
      <c r="Z75" s="30"/>
      <c r="AA75" s="31"/>
      <c r="AC75" s="32"/>
      <c r="AD75" s="32"/>
      <c r="AE75" s="32">
        <f t="shared" si="19"/>
        <v>0</v>
      </c>
      <c r="AF75" s="12"/>
      <c r="AH75" s="12"/>
      <c r="AI75" s="12">
        <f t="shared" si="16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46060</v>
      </c>
      <c r="C76" s="83">
        <f t="shared" si="17"/>
        <v>11193</v>
      </c>
      <c r="D76" s="32">
        <f>650*3+670</f>
        <v>2620</v>
      </c>
      <c r="E76" s="32"/>
      <c r="F76" s="32"/>
      <c r="G76" s="32">
        <f t="shared" si="13"/>
        <v>2620</v>
      </c>
      <c r="H76" s="12"/>
      <c r="I76" s="12"/>
      <c r="J76" s="12"/>
      <c r="K76" s="12">
        <f t="shared" si="14"/>
        <v>2620</v>
      </c>
      <c r="M76" s="62"/>
      <c r="N76" s="66"/>
      <c r="O76" s="87"/>
      <c r="P76" s="60"/>
      <c r="Q76" s="60"/>
      <c r="R76" s="60"/>
      <c r="S76" s="60"/>
      <c r="T76" s="61"/>
      <c r="U76" s="61"/>
      <c r="V76" s="61"/>
      <c r="W76" s="61"/>
      <c r="Y76" s="10">
        <v>10</v>
      </c>
      <c r="Z76" s="30"/>
      <c r="AA76" s="31"/>
      <c r="AB76" s="32"/>
      <c r="AC76" s="32"/>
      <c r="AD76" s="32"/>
      <c r="AE76" s="32">
        <f t="shared" si="19"/>
        <v>0</v>
      </c>
      <c r="AF76" s="12"/>
      <c r="AG76" s="12"/>
      <c r="AH76" s="12"/>
      <c r="AI76" s="12">
        <f t="shared" si="16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46060</v>
      </c>
      <c r="C77" s="83">
        <f t="shared" si="17"/>
        <v>11194</v>
      </c>
      <c r="D77" s="32">
        <f>650*18+670*3+622*4+872</f>
        <v>17070</v>
      </c>
      <c r="E77" s="32"/>
      <c r="F77" s="32"/>
      <c r="G77" s="32">
        <f t="shared" si="13"/>
        <v>17070</v>
      </c>
      <c r="H77" s="12"/>
      <c r="I77" s="12">
        <f>4.5*24+1.5*23</f>
        <v>142.5</v>
      </c>
      <c r="J77" s="12"/>
      <c r="K77" s="12">
        <f t="shared" si="14"/>
        <v>17212.5</v>
      </c>
      <c r="M77" s="62"/>
      <c r="N77" s="66"/>
      <c r="O77" s="87"/>
      <c r="P77" s="60"/>
      <c r="Q77" s="60"/>
      <c r="R77" s="60"/>
      <c r="S77" s="60"/>
      <c r="T77" s="61"/>
      <c r="U77" s="61"/>
      <c r="V77" s="61"/>
      <c r="W77" s="61"/>
      <c r="Y77" s="10">
        <v>11</v>
      </c>
      <c r="Z77" s="30"/>
      <c r="AA77" s="31"/>
      <c r="AB77" s="32"/>
      <c r="AC77" s="32"/>
      <c r="AD77" s="32"/>
      <c r="AE77" s="32">
        <f t="shared" ref="AE77:AE99" si="20">SUM(AB77:AC77)</f>
        <v>0</v>
      </c>
      <c r="AF77" s="12"/>
      <c r="AG77" s="12"/>
      <c r="AH77" s="12"/>
      <c r="AI77" s="12">
        <f t="shared" si="16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46060</v>
      </c>
      <c r="C78" s="83">
        <f t="shared" si="17"/>
        <v>11195</v>
      </c>
      <c r="D78" s="32">
        <f>650*44+622*5+229</f>
        <v>31939</v>
      </c>
      <c r="E78" s="32"/>
      <c r="F78" s="32"/>
      <c r="G78" s="32">
        <f t="shared" si="13"/>
        <v>31939</v>
      </c>
      <c r="H78" s="12"/>
      <c r="I78" s="12"/>
      <c r="J78" s="10"/>
      <c r="K78" s="12">
        <f t="shared" si="14"/>
        <v>31939</v>
      </c>
      <c r="M78" s="62"/>
      <c r="N78" s="66"/>
      <c r="O78" s="62"/>
      <c r="P78" s="60"/>
      <c r="Q78" s="60"/>
      <c r="R78" s="60"/>
      <c r="S78" s="60"/>
      <c r="T78" s="61"/>
      <c r="U78" s="61"/>
      <c r="V78" s="61"/>
      <c r="W78" s="61"/>
      <c r="Y78" s="10">
        <v>12</v>
      </c>
      <c r="Z78" s="30"/>
      <c r="AA78" s="31"/>
      <c r="AB78" s="32"/>
      <c r="AC78" s="32"/>
      <c r="AD78" s="32"/>
      <c r="AE78" s="32">
        <f t="shared" si="20"/>
        <v>0</v>
      </c>
      <c r="AF78" s="12"/>
      <c r="AG78" s="12"/>
      <c r="AH78" s="12"/>
      <c r="AI78" s="12">
        <f t="shared" si="16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46060</v>
      </c>
      <c r="C79" s="83">
        <f t="shared" si="17"/>
        <v>11196</v>
      </c>
      <c r="D79" s="32">
        <f>229</f>
        <v>229</v>
      </c>
      <c r="E79" s="32"/>
      <c r="F79" s="32"/>
      <c r="G79" s="32">
        <f t="shared" si="13"/>
        <v>229</v>
      </c>
      <c r="H79" s="12"/>
      <c r="I79" s="12"/>
      <c r="J79" s="12"/>
      <c r="K79" s="12">
        <f t="shared" si="14"/>
        <v>229</v>
      </c>
      <c r="M79" s="62"/>
      <c r="N79" s="66"/>
      <c r="O79" s="87"/>
      <c r="P79" s="60"/>
      <c r="Q79" s="60"/>
      <c r="R79" s="60"/>
      <c r="S79" s="60"/>
      <c r="T79" s="61"/>
      <c r="U79" s="61"/>
      <c r="V79" s="61"/>
      <c r="W79" s="61"/>
      <c r="Y79" s="10">
        <v>13</v>
      </c>
      <c r="Z79" s="30"/>
      <c r="AA79" s="31"/>
      <c r="AB79" s="32"/>
      <c r="AC79" s="32"/>
      <c r="AD79" s="32"/>
      <c r="AE79" s="32">
        <f t="shared" si="20"/>
        <v>0</v>
      </c>
      <c r="AF79" s="12"/>
      <c r="AG79" s="12"/>
      <c r="AH79" s="12"/>
      <c r="AI79" s="12">
        <f t="shared" si="16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46060</v>
      </c>
      <c r="C80" s="83">
        <f t="shared" si="17"/>
        <v>11197</v>
      </c>
      <c r="D80" s="32">
        <v>229</v>
      </c>
      <c r="E80" s="32"/>
      <c r="F80" s="32"/>
      <c r="G80" s="32">
        <f t="shared" si="13"/>
        <v>229</v>
      </c>
      <c r="H80" s="12"/>
      <c r="I80" s="12"/>
      <c r="J80" s="12"/>
      <c r="K80" s="12">
        <f t="shared" si="14"/>
        <v>229</v>
      </c>
      <c r="M80" s="62"/>
      <c r="N80" s="66"/>
      <c r="O80" s="87"/>
      <c r="P80" s="60"/>
      <c r="Q80" s="60"/>
      <c r="R80" s="60"/>
      <c r="S80" s="60"/>
      <c r="T80" s="61"/>
      <c r="U80" s="61"/>
      <c r="V80" s="61"/>
      <c r="W80" s="61"/>
      <c r="Y80" s="10">
        <v>14</v>
      </c>
      <c r="Z80" s="30"/>
      <c r="AA80" s="31"/>
      <c r="AB80" s="32"/>
      <c r="AC80" s="32"/>
      <c r="AD80" s="32"/>
      <c r="AE80" s="32">
        <f t="shared" si="20"/>
        <v>0</v>
      </c>
      <c r="AF80" s="12"/>
      <c r="AG80" s="12"/>
      <c r="AH80" s="12"/>
      <c r="AI80" s="12">
        <f t="shared" si="16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46060</v>
      </c>
      <c r="C81" s="83">
        <f t="shared" si="17"/>
        <v>11198</v>
      </c>
      <c r="D81" s="32">
        <f>973*45</f>
        <v>43785</v>
      </c>
      <c r="E81" s="32"/>
      <c r="F81" s="32"/>
      <c r="G81" s="32">
        <f t="shared" si="13"/>
        <v>43785</v>
      </c>
      <c r="H81" s="12"/>
      <c r="I81" s="12"/>
      <c r="J81" s="12"/>
      <c r="K81" s="12">
        <f t="shared" si="14"/>
        <v>43785</v>
      </c>
      <c r="M81" s="62"/>
      <c r="N81" s="66"/>
      <c r="O81" s="87"/>
      <c r="P81" s="60"/>
      <c r="Q81" s="60"/>
      <c r="R81" s="60"/>
      <c r="S81" s="60"/>
      <c r="T81" s="61"/>
      <c r="U81" s="61"/>
      <c r="V81" s="61"/>
      <c r="W81" s="61"/>
      <c r="Y81" s="10">
        <v>15</v>
      </c>
      <c r="Z81" s="30"/>
      <c r="AA81" s="31"/>
      <c r="AB81" s="32"/>
      <c r="AC81" s="32"/>
      <c r="AD81" s="32"/>
      <c r="AE81" s="32">
        <f t="shared" si="20"/>
        <v>0</v>
      </c>
      <c r="AF81" s="12"/>
      <c r="AG81" s="12"/>
      <c r="AH81" s="12"/>
      <c r="AI81" s="12">
        <f t="shared" si="16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11" t="s">
        <v>27</v>
      </c>
      <c r="D82" s="32"/>
      <c r="E82" s="32"/>
      <c r="F82" s="32"/>
      <c r="G82" s="32">
        <f t="shared" si="13"/>
        <v>0</v>
      </c>
      <c r="H82" s="12"/>
      <c r="I82" s="12"/>
      <c r="J82" s="12"/>
      <c r="K82" s="12">
        <f t="shared" si="14"/>
        <v>0</v>
      </c>
      <c r="M82" s="62"/>
      <c r="N82" s="66"/>
      <c r="O82" s="62"/>
      <c r="P82" s="60"/>
      <c r="Q82" s="60"/>
      <c r="R82" s="60"/>
      <c r="S82" s="60"/>
      <c r="T82" s="61"/>
      <c r="U82" s="61"/>
      <c r="V82" s="61"/>
      <c r="W82" s="61"/>
      <c r="Y82" s="10">
        <v>16</v>
      </c>
      <c r="Z82" s="30"/>
      <c r="AB82" s="32"/>
      <c r="AC82" s="32"/>
      <c r="AD82" s="32"/>
      <c r="AE82" s="32">
        <f t="shared" si="20"/>
        <v>0</v>
      </c>
      <c r="AF82" s="12"/>
      <c r="AG82" s="12"/>
      <c r="AH82" s="12"/>
      <c r="AI82" s="12">
        <f t="shared" si="16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3"/>
        <v>0</v>
      </c>
      <c r="H83" s="12"/>
      <c r="I83" s="12"/>
      <c r="J83" s="12"/>
      <c r="K83" s="12">
        <f t="shared" si="14"/>
        <v>0</v>
      </c>
      <c r="M83" s="62"/>
      <c r="N83" s="66"/>
      <c r="O83" s="87"/>
      <c r="P83" s="60"/>
      <c r="Q83" s="60"/>
      <c r="R83" s="60"/>
      <c r="S83" s="60"/>
      <c r="T83" s="61"/>
      <c r="U83" s="61"/>
      <c r="V83" s="61"/>
      <c r="W83" s="61"/>
      <c r="Y83" s="10">
        <v>17</v>
      </c>
      <c r="Z83" s="30"/>
      <c r="AA83" s="31"/>
      <c r="AB83" s="35"/>
      <c r="AC83" s="32"/>
      <c r="AD83" s="32"/>
      <c r="AE83" s="32">
        <f t="shared" si="20"/>
        <v>0</v>
      </c>
      <c r="AF83" s="12"/>
      <c r="AG83" s="12"/>
      <c r="AH83" s="12"/>
      <c r="AI83" s="12">
        <f t="shared" si="16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3"/>
        <v>0</v>
      </c>
      <c r="H84" s="12"/>
      <c r="I84" s="12"/>
      <c r="J84" s="12"/>
      <c r="K84" s="12">
        <f t="shared" si="14"/>
        <v>0</v>
      </c>
      <c r="M84" s="62"/>
      <c r="N84" s="66"/>
      <c r="O84" s="87"/>
      <c r="P84" s="60"/>
      <c r="Q84" s="60"/>
      <c r="R84" s="60"/>
      <c r="S84" s="60"/>
      <c r="T84" s="61"/>
      <c r="U84" s="61"/>
      <c r="V84" s="61"/>
      <c r="W84" s="61"/>
      <c r="Y84" s="10">
        <v>18</v>
      </c>
      <c r="Z84" s="30"/>
      <c r="AA84" s="31"/>
      <c r="AB84" s="32"/>
      <c r="AC84" s="32"/>
      <c r="AD84" s="32"/>
      <c r="AE84" s="32">
        <f t="shared" si="20"/>
        <v>0</v>
      </c>
      <c r="AF84" s="12"/>
      <c r="AG84" s="12"/>
      <c r="AH84" s="12"/>
      <c r="AI84" s="12">
        <f t="shared" si="16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3"/>
        <v>0</v>
      </c>
      <c r="H85" s="12"/>
      <c r="I85" s="12"/>
      <c r="J85" s="12"/>
      <c r="K85" s="12">
        <f t="shared" si="14"/>
        <v>0</v>
      </c>
      <c r="M85" s="62"/>
      <c r="N85" s="66"/>
      <c r="O85" s="87"/>
      <c r="P85" s="60"/>
      <c r="Q85" s="60"/>
      <c r="R85" s="60"/>
      <c r="S85" s="60"/>
      <c r="T85" s="61"/>
      <c r="U85" s="61"/>
      <c r="V85" s="61"/>
      <c r="W85" s="61"/>
      <c r="Y85" s="10">
        <v>19</v>
      </c>
      <c r="Z85" s="30"/>
      <c r="AA85" s="31"/>
      <c r="AB85" s="32"/>
      <c r="AC85" s="32"/>
      <c r="AD85" s="32"/>
      <c r="AE85" s="32">
        <f t="shared" si="20"/>
        <v>0</v>
      </c>
      <c r="AF85" s="12"/>
      <c r="AG85" s="12"/>
      <c r="AH85" s="12"/>
      <c r="AI85" s="12">
        <f t="shared" si="16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3"/>
        <v>0</v>
      </c>
      <c r="H86" s="12"/>
      <c r="I86" s="12"/>
      <c r="J86" s="12"/>
      <c r="K86" s="12">
        <f t="shared" si="14"/>
        <v>0</v>
      </c>
      <c r="M86" s="62"/>
      <c r="N86" s="66"/>
      <c r="O86" s="87"/>
      <c r="P86" s="60"/>
      <c r="Q86" s="60"/>
      <c r="R86" s="60"/>
      <c r="S86" s="60"/>
      <c r="T86" s="61"/>
      <c r="U86" s="61"/>
      <c r="V86" s="61"/>
      <c r="W86" s="61"/>
      <c r="Y86" s="10">
        <v>20</v>
      </c>
      <c r="Z86" s="30"/>
      <c r="AB86" s="32"/>
      <c r="AC86" s="32"/>
      <c r="AD86" s="32"/>
      <c r="AE86" s="32">
        <f t="shared" si="20"/>
        <v>0</v>
      </c>
      <c r="AF86" s="12"/>
      <c r="AG86" s="12"/>
      <c r="AH86" s="12"/>
      <c r="AI86" s="12">
        <f t="shared" si="16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3"/>
        <v>0</v>
      </c>
      <c r="H87" s="10"/>
      <c r="I87" s="10"/>
      <c r="J87" s="10"/>
      <c r="K87" s="12">
        <f t="shared" si="14"/>
        <v>0</v>
      </c>
      <c r="M87" s="62"/>
      <c r="N87" s="66"/>
      <c r="O87" s="87"/>
      <c r="P87" s="67"/>
      <c r="Q87" s="87"/>
      <c r="R87" s="87"/>
      <c r="S87" s="60"/>
      <c r="T87" s="62"/>
      <c r="U87" s="62"/>
      <c r="V87" s="62"/>
      <c r="W87" s="61"/>
      <c r="Y87" s="10">
        <v>21</v>
      </c>
      <c r="Z87" s="30"/>
      <c r="AA87" s="31"/>
      <c r="AB87" s="46"/>
      <c r="AC87" s="31"/>
      <c r="AD87" s="31"/>
      <c r="AE87" s="32">
        <f t="shared" si="20"/>
        <v>0</v>
      </c>
      <c r="AF87" s="10"/>
      <c r="AG87" s="10"/>
      <c r="AH87" s="10"/>
      <c r="AI87" s="12">
        <f t="shared" si="16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3"/>
        <v>0</v>
      </c>
      <c r="H88" s="10"/>
      <c r="I88" s="10"/>
      <c r="J88" s="10"/>
      <c r="K88" s="12">
        <f t="shared" si="14"/>
        <v>0</v>
      </c>
      <c r="M88" s="62"/>
      <c r="N88" s="66"/>
      <c r="O88" s="87"/>
      <c r="P88" s="68"/>
      <c r="Q88" s="87"/>
      <c r="R88" s="87"/>
      <c r="S88" s="60"/>
      <c r="T88" s="62"/>
      <c r="U88" s="62"/>
      <c r="V88" s="62"/>
      <c r="W88" s="61"/>
      <c r="Y88" s="10">
        <v>22</v>
      </c>
      <c r="Z88" s="30"/>
      <c r="AA88" s="31"/>
      <c r="AB88" s="45"/>
      <c r="AC88" s="31"/>
      <c r="AD88" s="31"/>
      <c r="AE88" s="32">
        <f t="shared" si="20"/>
        <v>0</v>
      </c>
      <c r="AF88" s="10"/>
      <c r="AG88" s="10"/>
      <c r="AH88" s="10"/>
      <c r="AI88" s="12">
        <f t="shared" si="16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3"/>
        <v>0</v>
      </c>
      <c r="H89" s="10"/>
      <c r="I89" s="10"/>
      <c r="J89" s="12"/>
      <c r="K89" s="12">
        <f t="shared" si="14"/>
        <v>0</v>
      </c>
      <c r="M89" s="62"/>
      <c r="N89" s="66"/>
      <c r="O89" s="87"/>
      <c r="P89" s="69"/>
      <c r="Q89" s="62"/>
      <c r="R89" s="62"/>
      <c r="S89" s="60"/>
      <c r="T89" s="62"/>
      <c r="U89" s="62"/>
      <c r="V89" s="62"/>
      <c r="W89" s="61"/>
      <c r="Y89" s="10">
        <v>23</v>
      </c>
      <c r="Z89" s="30"/>
      <c r="AA89" s="31"/>
      <c r="AB89" s="47"/>
      <c r="AE89" s="32">
        <f t="shared" si="20"/>
        <v>0</v>
      </c>
      <c r="AF89" s="10"/>
      <c r="AG89" s="10"/>
      <c r="AH89" s="10"/>
      <c r="AI89" s="12">
        <f t="shared" si="16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3"/>
        <v>0</v>
      </c>
      <c r="H90" s="10"/>
      <c r="I90" s="10"/>
      <c r="J90" s="10"/>
      <c r="K90" s="12">
        <f t="shared" si="14"/>
        <v>0</v>
      </c>
      <c r="M90" s="62"/>
      <c r="N90" s="66"/>
      <c r="O90" s="87"/>
      <c r="P90" s="69"/>
      <c r="Q90" s="87"/>
      <c r="R90" s="87"/>
      <c r="S90" s="60"/>
      <c r="T90" s="62"/>
      <c r="U90" s="62"/>
      <c r="V90" s="62"/>
      <c r="W90" s="61"/>
      <c r="Y90" s="10">
        <v>24</v>
      </c>
      <c r="Z90" s="30"/>
      <c r="AA90" s="31"/>
      <c r="AB90" s="47"/>
      <c r="AC90" s="31"/>
      <c r="AD90" s="31"/>
      <c r="AE90" s="32">
        <f t="shared" si="20"/>
        <v>0</v>
      </c>
      <c r="AF90" s="10"/>
      <c r="AG90" s="10"/>
      <c r="AH90" s="10"/>
      <c r="AI90" s="12">
        <f t="shared" si="16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3"/>
        <v>0</v>
      </c>
      <c r="H91" s="10"/>
      <c r="I91" s="10"/>
      <c r="J91" s="10"/>
      <c r="K91" s="12">
        <f t="shared" si="14"/>
        <v>0</v>
      </c>
      <c r="M91" s="62"/>
      <c r="N91" s="66"/>
      <c r="O91" s="87"/>
      <c r="P91" s="69"/>
      <c r="Q91" s="87"/>
      <c r="R91" s="87"/>
      <c r="S91" s="60"/>
      <c r="T91" s="62"/>
      <c r="U91" s="62"/>
      <c r="V91" s="62"/>
      <c r="W91" s="61"/>
      <c r="Y91" s="10">
        <v>25</v>
      </c>
      <c r="Z91" s="30"/>
      <c r="AA91" s="31"/>
      <c r="AB91" s="47"/>
      <c r="AC91" s="31"/>
      <c r="AD91" s="31"/>
      <c r="AE91" s="32">
        <f t="shared" si="20"/>
        <v>0</v>
      </c>
      <c r="AF91" s="10"/>
      <c r="AG91" s="10"/>
      <c r="AH91" s="10"/>
      <c r="AI91" s="12">
        <f t="shared" si="16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3"/>
        <v>0</v>
      </c>
      <c r="H92" s="10"/>
      <c r="I92" s="10"/>
      <c r="J92" s="10"/>
      <c r="K92" s="12">
        <f t="shared" si="14"/>
        <v>0</v>
      </c>
      <c r="M92" s="62"/>
      <c r="N92" s="66"/>
      <c r="O92" s="87"/>
      <c r="P92" s="69"/>
      <c r="Q92" s="87"/>
      <c r="R92" s="87"/>
      <c r="S92" s="60"/>
      <c r="T92" s="62"/>
      <c r="U92" s="62"/>
      <c r="V92" s="62"/>
      <c r="W92" s="61"/>
      <c r="Y92" s="10">
        <v>26</v>
      </c>
      <c r="Z92" s="30"/>
      <c r="AA92" s="31"/>
      <c r="AB92" s="47"/>
      <c r="AC92" s="31"/>
      <c r="AD92" s="31"/>
      <c r="AE92" s="32">
        <f t="shared" si="20"/>
        <v>0</v>
      </c>
      <c r="AF92" s="10"/>
      <c r="AG92" s="10"/>
      <c r="AH92" s="10"/>
      <c r="AI92" s="12">
        <f t="shared" si="16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3"/>
        <v>0</v>
      </c>
      <c r="H93" s="10"/>
      <c r="I93" s="10"/>
      <c r="J93" s="10"/>
      <c r="K93" s="12">
        <f t="shared" si="14"/>
        <v>0</v>
      </c>
      <c r="M93" s="62"/>
      <c r="N93" s="66"/>
      <c r="O93" s="87"/>
      <c r="P93" s="69"/>
      <c r="Q93" s="87"/>
      <c r="R93" s="87"/>
      <c r="S93" s="60"/>
      <c r="T93" s="62"/>
      <c r="U93" s="62"/>
      <c r="V93" s="62"/>
      <c r="W93" s="61"/>
      <c r="Y93" s="10">
        <v>27</v>
      </c>
      <c r="Z93" s="30"/>
      <c r="AA93" s="31"/>
      <c r="AB93" s="47"/>
      <c r="AC93" s="31"/>
      <c r="AD93" s="31"/>
      <c r="AE93" s="32">
        <f t="shared" si="20"/>
        <v>0</v>
      </c>
      <c r="AF93" s="10"/>
      <c r="AG93" s="10"/>
      <c r="AH93" s="10"/>
      <c r="AI93" s="12">
        <f t="shared" si="16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3"/>
        <v>0</v>
      </c>
      <c r="H94" s="10"/>
      <c r="I94" s="10"/>
      <c r="J94" s="10"/>
      <c r="K94" s="12">
        <f t="shared" si="14"/>
        <v>0</v>
      </c>
      <c r="M94" s="62"/>
      <c r="N94" s="66"/>
      <c r="O94" s="87"/>
      <c r="P94" s="69"/>
      <c r="Q94" s="87"/>
      <c r="R94" s="87"/>
      <c r="S94" s="60"/>
      <c r="T94" s="62"/>
      <c r="U94" s="62"/>
      <c r="V94" s="62"/>
      <c r="W94" s="61"/>
      <c r="Y94" s="10">
        <v>28</v>
      </c>
      <c r="Z94" s="30"/>
      <c r="AA94" s="31"/>
      <c r="AB94" s="47"/>
      <c r="AC94" s="31"/>
      <c r="AD94" s="31"/>
      <c r="AE94" s="32">
        <f t="shared" si="20"/>
        <v>0</v>
      </c>
      <c r="AF94" s="10"/>
      <c r="AG94" s="10"/>
      <c r="AH94" s="10"/>
      <c r="AI94" s="12">
        <f t="shared" si="16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3"/>
        <v>0</v>
      </c>
      <c r="H95" s="10"/>
      <c r="I95" s="10"/>
      <c r="J95" s="10"/>
      <c r="K95" s="12">
        <f t="shared" si="14"/>
        <v>0</v>
      </c>
      <c r="M95" s="62"/>
      <c r="N95" s="66"/>
      <c r="O95" s="87"/>
      <c r="P95" s="69"/>
      <c r="Q95" s="87"/>
      <c r="R95" s="87"/>
      <c r="S95" s="60"/>
      <c r="T95" s="62"/>
      <c r="U95" s="62"/>
      <c r="V95" s="62"/>
      <c r="W95" s="61"/>
      <c r="Y95" s="10">
        <v>29</v>
      </c>
      <c r="Z95" s="30"/>
      <c r="AA95" s="31"/>
      <c r="AB95" s="47"/>
      <c r="AC95" s="31"/>
      <c r="AD95" s="31"/>
      <c r="AE95" s="32">
        <f t="shared" si="20"/>
        <v>0</v>
      </c>
      <c r="AF95" s="10"/>
      <c r="AG95" s="10"/>
      <c r="AH95" s="10"/>
      <c r="AI95" s="12">
        <f t="shared" si="16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3"/>
        <v>0</v>
      </c>
      <c r="H96" s="10"/>
      <c r="I96" s="10"/>
      <c r="J96" s="10"/>
      <c r="K96" s="12">
        <f t="shared" si="14"/>
        <v>0</v>
      </c>
      <c r="M96" s="62"/>
      <c r="N96" s="66"/>
      <c r="O96" s="87"/>
      <c r="P96" s="69"/>
      <c r="Q96" s="87"/>
      <c r="R96" s="87"/>
      <c r="S96" s="60"/>
      <c r="T96" s="62"/>
      <c r="U96" s="62"/>
      <c r="V96" s="62"/>
      <c r="W96" s="61"/>
      <c r="Y96" s="10">
        <v>30</v>
      </c>
      <c r="Z96" s="30"/>
      <c r="AA96" s="31"/>
      <c r="AB96" s="47"/>
      <c r="AC96" s="31"/>
      <c r="AD96" s="31"/>
      <c r="AE96" s="32">
        <f t="shared" si="20"/>
        <v>0</v>
      </c>
      <c r="AF96" s="10"/>
      <c r="AG96" s="10"/>
      <c r="AH96" s="10"/>
      <c r="AI96" s="12">
        <f t="shared" si="16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3"/>
        <v>0</v>
      </c>
      <c r="H97" s="10"/>
      <c r="I97" s="10"/>
      <c r="J97" s="10"/>
      <c r="K97" s="12">
        <f t="shared" si="14"/>
        <v>0</v>
      </c>
      <c r="M97" s="62"/>
      <c r="N97" s="66"/>
      <c r="O97" s="87"/>
      <c r="P97" s="69"/>
      <c r="Q97" s="87"/>
      <c r="R97" s="87"/>
      <c r="S97" s="60"/>
      <c r="T97" s="62"/>
      <c r="U97" s="62"/>
      <c r="V97" s="62"/>
      <c r="W97" s="61"/>
      <c r="Y97" s="10">
        <v>31</v>
      </c>
      <c r="Z97" s="30"/>
      <c r="AA97" s="31"/>
      <c r="AB97" s="47"/>
      <c r="AC97" s="31"/>
      <c r="AD97" s="31"/>
      <c r="AE97" s="32">
        <f t="shared" si="20"/>
        <v>0</v>
      </c>
      <c r="AF97" s="10"/>
      <c r="AG97" s="10"/>
      <c r="AH97" s="10"/>
      <c r="AI97" s="12">
        <f t="shared" si="16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3"/>
        <v>0</v>
      </c>
      <c r="H98" s="10"/>
      <c r="I98" s="10"/>
      <c r="J98" s="10"/>
      <c r="K98" s="12">
        <f t="shared" si="14"/>
        <v>0</v>
      </c>
      <c r="M98" s="62"/>
      <c r="N98" s="66"/>
      <c r="O98" s="87"/>
      <c r="P98" s="69"/>
      <c r="Q98" s="87"/>
      <c r="R98" s="87"/>
      <c r="S98" s="60"/>
      <c r="T98" s="62"/>
      <c r="U98" s="62"/>
      <c r="V98" s="62"/>
      <c r="W98" s="61"/>
      <c r="Y98" s="10">
        <v>32</v>
      </c>
      <c r="Z98" s="30"/>
      <c r="AA98" s="31"/>
      <c r="AB98" s="47"/>
      <c r="AC98" s="31"/>
      <c r="AD98" s="31"/>
      <c r="AE98" s="32">
        <f t="shared" si="20"/>
        <v>0</v>
      </c>
      <c r="AF98" s="10"/>
      <c r="AG98" s="10"/>
      <c r="AH98" s="10"/>
      <c r="AI98" s="12">
        <f t="shared" si="16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3"/>
        <v>0</v>
      </c>
      <c r="H99" s="10"/>
      <c r="I99" s="10"/>
      <c r="J99" s="10"/>
      <c r="K99" s="12">
        <f t="shared" si="14"/>
        <v>0</v>
      </c>
      <c r="M99" s="62"/>
      <c r="N99" s="66"/>
      <c r="O99" s="87"/>
      <c r="P99" s="69"/>
      <c r="Q99" s="87"/>
      <c r="R99" s="87"/>
      <c r="S99" s="60"/>
      <c r="T99" s="62"/>
      <c r="U99" s="62"/>
      <c r="V99" s="62"/>
      <c r="W99" s="61"/>
      <c r="Y99" s="10">
        <v>33</v>
      </c>
      <c r="Z99" s="30"/>
      <c r="AA99" s="31"/>
      <c r="AB99" s="47"/>
      <c r="AC99" s="31"/>
      <c r="AD99" s="31"/>
      <c r="AE99" s="32">
        <f t="shared" si="20"/>
        <v>0</v>
      </c>
      <c r="AF99" s="10"/>
      <c r="AG99" s="10"/>
      <c r="AH99" s="10"/>
      <c r="AI99" s="12">
        <f t="shared" si="16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3"/>
        <v>0</v>
      </c>
      <c r="H100" s="10"/>
      <c r="I100" s="10"/>
      <c r="J100" s="10"/>
      <c r="K100" s="12">
        <f t="shared" si="14"/>
        <v>0</v>
      </c>
      <c r="M100" s="62"/>
      <c r="N100" s="66"/>
      <c r="O100" s="87"/>
      <c r="P100" s="69"/>
      <c r="Q100" s="87"/>
      <c r="R100" s="87"/>
      <c r="S100" s="60"/>
      <c r="T100" s="62"/>
      <c r="U100" s="62"/>
      <c r="V100" s="62"/>
      <c r="W100" s="61"/>
      <c r="Y100" s="10">
        <v>34</v>
      </c>
      <c r="Z100" s="30"/>
      <c r="AA100" s="31"/>
      <c r="AB100" s="47"/>
      <c r="AC100" s="31"/>
      <c r="AD100" s="31"/>
      <c r="AE100" s="32">
        <f t="shared" ref="AE100:AE105" si="21">SUM(AB100:AC100)</f>
        <v>0</v>
      </c>
      <c r="AF100" s="10"/>
      <c r="AG100" s="10"/>
      <c r="AH100" s="10"/>
      <c r="AI100" s="12">
        <f t="shared" si="16"/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62"/>
      <c r="N101" s="66"/>
      <c r="O101" s="87"/>
      <c r="P101" s="69"/>
      <c r="Q101" s="87"/>
      <c r="R101" s="87"/>
      <c r="S101" s="60"/>
      <c r="T101" s="62"/>
      <c r="U101" s="62"/>
      <c r="V101" s="62"/>
      <c r="W101" s="61"/>
      <c r="Y101" s="10">
        <v>35</v>
      </c>
      <c r="Z101" s="30"/>
      <c r="AA101" s="31"/>
      <c r="AB101" s="47"/>
      <c r="AC101" s="31"/>
      <c r="AD101" s="31"/>
      <c r="AE101" s="32">
        <f t="shared" si="21"/>
        <v>0</v>
      </c>
      <c r="AF101" s="10"/>
      <c r="AG101" s="10"/>
      <c r="AH101" s="10"/>
      <c r="AI101" s="12">
        <f t="shared" si="16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62"/>
      <c r="N102" s="66"/>
      <c r="O102" s="87"/>
      <c r="P102" s="69"/>
      <c r="Q102" s="87"/>
      <c r="R102" s="87"/>
      <c r="S102" s="60"/>
      <c r="T102" s="62"/>
      <c r="U102" s="62"/>
      <c r="V102" s="62"/>
      <c r="W102" s="61"/>
      <c r="Y102" s="10">
        <v>36</v>
      </c>
      <c r="Z102" s="30"/>
      <c r="AA102" s="31"/>
      <c r="AB102" s="47"/>
      <c r="AC102" s="31"/>
      <c r="AD102" s="31"/>
      <c r="AE102" s="32">
        <f t="shared" si="21"/>
        <v>0</v>
      </c>
      <c r="AF102" s="10"/>
      <c r="AG102" s="10"/>
      <c r="AH102" s="10"/>
      <c r="AI102" s="12">
        <f t="shared" si="16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62"/>
      <c r="N103" s="66"/>
      <c r="O103" s="62"/>
      <c r="P103" s="69"/>
      <c r="Q103" s="87"/>
      <c r="R103" s="87"/>
      <c r="S103" s="60"/>
      <c r="T103" s="62"/>
      <c r="U103" s="62"/>
      <c r="V103" s="62"/>
      <c r="W103" s="61"/>
      <c r="Y103" s="10">
        <v>37</v>
      </c>
      <c r="Z103" s="30"/>
      <c r="AA103" s="31"/>
      <c r="AB103" s="47"/>
      <c r="AC103" s="31"/>
      <c r="AD103" s="31"/>
      <c r="AE103" s="32">
        <f t="shared" si="21"/>
        <v>0</v>
      </c>
      <c r="AF103" s="10"/>
      <c r="AG103" s="10"/>
      <c r="AH103" s="10"/>
      <c r="AI103" s="12">
        <f t="shared" si="16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62"/>
      <c r="N104" s="66"/>
      <c r="O104" s="87"/>
      <c r="P104" s="69"/>
      <c r="Q104" s="87"/>
      <c r="R104" s="87"/>
      <c r="S104" s="60"/>
      <c r="T104" s="62"/>
      <c r="U104" s="62"/>
      <c r="V104" s="62"/>
      <c r="W104" s="61"/>
      <c r="Y104" s="10">
        <v>38</v>
      </c>
      <c r="Z104" s="30"/>
      <c r="AA104" s="31"/>
      <c r="AB104" s="47"/>
      <c r="AC104" s="31"/>
      <c r="AD104" s="31"/>
      <c r="AE104" s="32">
        <f t="shared" si="21"/>
        <v>0</v>
      </c>
      <c r="AF104" s="10"/>
      <c r="AG104" s="10"/>
      <c r="AH104" s="10"/>
      <c r="AI104" s="12">
        <f t="shared" si="16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62"/>
      <c r="N105" s="66"/>
      <c r="O105" s="87"/>
      <c r="P105" s="69"/>
      <c r="Q105" s="87"/>
      <c r="R105" s="87"/>
      <c r="S105" s="60"/>
      <c r="T105" s="62"/>
      <c r="U105" s="62"/>
      <c r="V105" s="62"/>
      <c r="W105" s="61"/>
      <c r="Y105" s="10">
        <v>39</v>
      </c>
      <c r="Z105" s="30"/>
      <c r="AA105" s="31"/>
      <c r="AB105" s="47"/>
      <c r="AC105" s="31"/>
      <c r="AD105" s="31"/>
      <c r="AE105" s="32">
        <f t="shared" si="21"/>
        <v>0</v>
      </c>
      <c r="AF105" s="10"/>
      <c r="AG105" s="10"/>
      <c r="AH105" s="10"/>
      <c r="AI105" s="12">
        <f t="shared" si="16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62"/>
      <c r="N106" s="66"/>
      <c r="O106" s="62"/>
      <c r="P106" s="69"/>
      <c r="Q106" s="87"/>
      <c r="R106" s="87"/>
      <c r="S106" s="60"/>
      <c r="T106" s="62"/>
      <c r="U106" s="62"/>
      <c r="V106" s="62"/>
      <c r="W106" s="61"/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16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22">SUM(D107:E107)</f>
        <v>0</v>
      </c>
      <c r="H107" s="10"/>
      <c r="I107" s="10"/>
      <c r="J107" s="10"/>
      <c r="K107" s="12">
        <f t="shared" ref="K107" si="23">SUM(G107:J107)</f>
        <v>0</v>
      </c>
      <c r="M107" s="62"/>
      <c r="N107" s="66"/>
      <c r="O107" s="87"/>
      <c r="P107" s="69"/>
      <c r="Q107" s="87"/>
      <c r="R107" s="87"/>
      <c r="S107" s="60"/>
      <c r="T107" s="62"/>
      <c r="U107" s="62"/>
      <c r="V107" s="62"/>
      <c r="W107" s="61"/>
      <c r="Y107" s="10"/>
      <c r="Z107" s="30"/>
      <c r="AA107" s="31"/>
      <c r="AB107" s="47"/>
      <c r="AC107" s="31"/>
      <c r="AD107" s="31"/>
      <c r="AE107" s="32">
        <f t="shared" ref="AE107" si="24">SUM(AB107:AC107)</f>
        <v>0</v>
      </c>
      <c r="AF107" s="10"/>
      <c r="AG107" s="10"/>
      <c r="AH107" s="10"/>
      <c r="AI107" s="12">
        <f t="shared" si="16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62"/>
      <c r="N108" s="87"/>
      <c r="O108" s="87"/>
      <c r="P108" s="87"/>
      <c r="Q108" s="87"/>
      <c r="R108" s="87"/>
      <c r="S108" s="87"/>
      <c r="T108" s="62"/>
      <c r="U108" s="62"/>
      <c r="V108" s="62"/>
      <c r="W108" s="61"/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16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M109" s="62"/>
      <c r="N109" s="87"/>
      <c r="O109" s="87"/>
      <c r="P109" s="87"/>
      <c r="Q109" s="87"/>
      <c r="R109" s="87"/>
      <c r="S109" s="87"/>
      <c r="T109" s="62"/>
      <c r="U109" s="62"/>
      <c r="V109" s="62"/>
      <c r="W109" s="62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254227</v>
      </c>
      <c r="E110" s="38">
        <f t="shared" ref="E110:F110" si="25">SUM(E67:E107)</f>
        <v>0</v>
      </c>
      <c r="F110" s="38">
        <f t="shared" si="25"/>
        <v>0</v>
      </c>
      <c r="G110" s="38">
        <f>SUM(G67:G109)</f>
        <v>254227</v>
      </c>
      <c r="H110" s="4"/>
      <c r="I110" s="39">
        <f>SUM(I67:I109)</f>
        <v>403.5</v>
      </c>
      <c r="J110" s="39">
        <f>SUM(J67:J109)</f>
        <v>-5994</v>
      </c>
      <c r="K110" s="40">
        <f>SUM(K67:K109)</f>
        <v>248636.5</v>
      </c>
      <c r="M110" s="62"/>
      <c r="N110" s="87"/>
      <c r="O110" s="87"/>
      <c r="P110" s="70"/>
      <c r="Q110" s="70"/>
      <c r="R110" s="70"/>
      <c r="S110" s="70"/>
      <c r="T110" s="63"/>
      <c r="U110" s="71"/>
      <c r="V110" s="71"/>
      <c r="W110" s="71"/>
      <c r="Z110" s="57"/>
      <c r="AA110" s="57"/>
      <c r="AB110" s="38">
        <f>SUM(AB67:AB109)</f>
        <v>215840</v>
      </c>
      <c r="AC110" s="38">
        <f>SUM(AC67:AC91)</f>
        <v>-1722</v>
      </c>
      <c r="AD110" s="38">
        <f>SUM(AD67:AD91)</f>
        <v>0</v>
      </c>
      <c r="AE110" s="38">
        <f>SUM(AE67:AE109)</f>
        <v>214118</v>
      </c>
      <c r="AF110" s="4"/>
      <c r="AG110" s="41">
        <f>SUM(AG67:AG109)</f>
        <v>0</v>
      </c>
      <c r="AH110" s="41">
        <f>SUM(AH67:AH91)</f>
        <v>-888</v>
      </c>
      <c r="AI110" s="42">
        <f>SUM(AI67:AI109)</f>
        <v>213230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36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32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33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3"/>
      <c r="G120" s="27"/>
      <c r="I120" s="110" t="s">
        <v>18</v>
      </c>
      <c r="J120" s="111"/>
      <c r="K120" s="113" t="s">
        <v>19</v>
      </c>
      <c r="N120" s="25"/>
      <c r="O120" s="26"/>
      <c r="P120" s="112" t="s">
        <v>17</v>
      </c>
      <c r="Q120" s="112"/>
      <c r="R120" s="93"/>
      <c r="S120" s="27"/>
      <c r="U120" s="110" t="s">
        <v>18</v>
      </c>
      <c r="V120" s="111"/>
      <c r="W120" s="113" t="s">
        <v>19</v>
      </c>
      <c r="Z120" s="25"/>
      <c r="AA120" s="26"/>
      <c r="AB120" s="112" t="s">
        <v>17</v>
      </c>
      <c r="AC120" s="112"/>
      <c r="AD120" s="93"/>
      <c r="AE120" s="27"/>
      <c r="AG120" s="110" t="s">
        <v>18</v>
      </c>
      <c r="AH120" s="111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31</v>
      </c>
      <c r="S121" s="78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31</v>
      </c>
      <c r="AE121" s="78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46088</v>
      </c>
      <c r="C122" s="83">
        <v>11199</v>
      </c>
      <c r="D122" s="32">
        <f>650*324+670*16+229*6</f>
        <v>222694</v>
      </c>
      <c r="E122" s="32">
        <f>-340*6</f>
        <v>-2040</v>
      </c>
      <c r="F122" s="32"/>
      <c r="G122" s="32">
        <f t="shared" ref="G122:G155" si="26">SUM(D122:E122)</f>
        <v>220654</v>
      </c>
      <c r="H122" s="12"/>
      <c r="I122" s="12">
        <f>78*3</f>
        <v>234</v>
      </c>
      <c r="J122" s="12">
        <f>-111*41+-84*11</f>
        <v>-5475</v>
      </c>
      <c r="K122" s="12">
        <f t="shared" ref="K122:K155" si="27">SUM(G122:J122)</f>
        <v>215413</v>
      </c>
      <c r="M122" s="10">
        <v>1</v>
      </c>
      <c r="N122" s="30">
        <v>46088</v>
      </c>
      <c r="O122" s="83">
        <v>11222</v>
      </c>
      <c r="P122" s="32">
        <f>650*7+622</f>
        <v>5172</v>
      </c>
      <c r="Q122" s="32"/>
      <c r="R122" s="32"/>
      <c r="S122" s="32">
        <f>SUM(P122:Q122)</f>
        <v>5172</v>
      </c>
      <c r="T122" s="12"/>
      <c r="U122" s="12"/>
      <c r="V122" s="12"/>
      <c r="W122" s="12">
        <f>SUM(S122:V122)</f>
        <v>5172</v>
      </c>
      <c r="Y122" s="10">
        <v>1</v>
      </c>
      <c r="Z122" s="30">
        <v>46088</v>
      </c>
      <c r="AA122" s="31">
        <v>11262</v>
      </c>
      <c r="AB122" s="32">
        <f>650*216+670*30+229*9</f>
        <v>162561</v>
      </c>
      <c r="AC122" s="32"/>
      <c r="AD122" s="32"/>
      <c r="AE122" s="32">
        <f>SUM(AB122:AC122)</f>
        <v>162561</v>
      </c>
      <c r="AF122" s="12"/>
      <c r="AG122" s="12">
        <f>111*181+78*9</f>
        <v>20793</v>
      </c>
      <c r="AH122" s="12">
        <f>-120*20+-84*5+-84*25</f>
        <v>-4920</v>
      </c>
      <c r="AI122" s="12">
        <f>SUM(AE122:AH122)</f>
        <v>178434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46088</v>
      </c>
      <c r="C123" s="83">
        <f>C122+1</f>
        <v>11200</v>
      </c>
      <c r="D123" s="32">
        <f>650*14+973+622*4+1050+500*2</f>
        <v>14611</v>
      </c>
      <c r="E123" s="32"/>
      <c r="F123" s="32"/>
      <c r="G123" s="32">
        <f t="shared" si="26"/>
        <v>14611</v>
      </c>
      <c r="H123" s="12"/>
      <c r="I123" s="12"/>
      <c r="J123" s="12"/>
      <c r="K123" s="12">
        <f t="shared" si="27"/>
        <v>14611</v>
      </c>
      <c r="M123" s="10">
        <v>2</v>
      </c>
      <c r="N123" s="30">
        <v>46088</v>
      </c>
      <c r="O123" s="83">
        <f>O122+1</f>
        <v>11223</v>
      </c>
      <c r="P123" s="32">
        <f>650*60+622*11+872+229*2+500</f>
        <v>47672</v>
      </c>
      <c r="Q123" s="32"/>
      <c r="R123" s="32"/>
      <c r="S123" s="32">
        <f t="shared" ref="S123:S154" si="28">SUM(P123:Q123)</f>
        <v>47672</v>
      </c>
      <c r="T123" s="12"/>
      <c r="U123" s="12">
        <f>120*2</f>
        <v>240</v>
      </c>
      <c r="V123" s="12"/>
      <c r="W123" s="12">
        <f t="shared" ref="W123:W154" si="29">SUM(S123:V123)</f>
        <v>47912</v>
      </c>
      <c r="Y123" s="10">
        <v>2</v>
      </c>
      <c r="Z123" s="30">
        <v>46088</v>
      </c>
      <c r="AA123" s="31">
        <f>AA122+1</f>
        <v>11263</v>
      </c>
      <c r="AB123" s="32">
        <f>650*78+622*30+872*10+229*4</f>
        <v>78996</v>
      </c>
      <c r="AC123" s="32">
        <f>-108*6</f>
        <v>-648</v>
      </c>
      <c r="AD123" s="32"/>
      <c r="AE123" s="32">
        <f t="shared" ref="AE123:AE125" si="30">SUM(AB123:AC123)</f>
        <v>78348</v>
      </c>
      <c r="AF123" s="12"/>
      <c r="AG123" s="12"/>
      <c r="AH123" s="12"/>
      <c r="AI123" s="12">
        <f t="shared" ref="AI123:AI163" si="31">SUM(AE123:AH123)</f>
        <v>78348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46088</v>
      </c>
      <c r="C124" s="83">
        <f t="shared" ref="C124:C126" si="32">C123+1</f>
        <v>11201</v>
      </c>
      <c r="D124" s="33">
        <f>650*42+622*4</f>
        <v>29788</v>
      </c>
      <c r="E124" s="33"/>
      <c r="F124" s="33"/>
      <c r="G124" s="33">
        <f t="shared" si="26"/>
        <v>29788</v>
      </c>
      <c r="H124" s="34"/>
      <c r="I124" s="34">
        <f>4.5*24</f>
        <v>108</v>
      </c>
      <c r="J124" s="34"/>
      <c r="K124" s="34">
        <f t="shared" si="27"/>
        <v>29896</v>
      </c>
      <c r="M124" s="10">
        <v>3</v>
      </c>
      <c r="N124" s="30">
        <v>46088</v>
      </c>
      <c r="O124" s="83">
        <f t="shared" ref="O124:O126" si="33">O123+1</f>
        <v>11224</v>
      </c>
      <c r="P124" s="33">
        <f>650*216+670*2+229*6</f>
        <v>143114</v>
      </c>
      <c r="Q124" s="33">
        <f>-218*6</f>
        <v>-1308</v>
      </c>
      <c r="R124" s="32"/>
      <c r="S124" s="32">
        <f t="shared" si="28"/>
        <v>141806</v>
      </c>
      <c r="T124" s="12"/>
      <c r="U124" s="34">
        <f>78*6</f>
        <v>468</v>
      </c>
      <c r="V124" s="34"/>
      <c r="W124" s="12">
        <f t="shared" si="29"/>
        <v>142274</v>
      </c>
      <c r="Y124" s="10">
        <v>3</v>
      </c>
      <c r="Z124" s="30">
        <v>46088</v>
      </c>
      <c r="AA124" s="31">
        <f t="shared" ref="AA124:AA129" si="34">AA123+1</f>
        <v>11264</v>
      </c>
      <c r="AB124" s="33">
        <f>650*108+622*24</f>
        <v>85128</v>
      </c>
      <c r="AC124" s="33"/>
      <c r="AD124" s="32"/>
      <c r="AE124" s="32">
        <f t="shared" si="30"/>
        <v>85128</v>
      </c>
      <c r="AF124" s="12"/>
      <c r="AG124" s="12">
        <f>111*108+111*24</f>
        <v>14652</v>
      </c>
      <c r="AH124" s="12"/>
      <c r="AI124" s="12">
        <f t="shared" si="31"/>
        <v>99780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46088</v>
      </c>
      <c r="C125" s="83">
        <f t="shared" si="32"/>
        <v>11202</v>
      </c>
      <c r="D125" s="32">
        <f>650*20</f>
        <v>13000</v>
      </c>
      <c r="E125" s="32"/>
      <c r="F125" s="32"/>
      <c r="G125" s="32">
        <f t="shared" si="26"/>
        <v>13000</v>
      </c>
      <c r="H125" s="12"/>
      <c r="I125" s="12"/>
      <c r="J125" s="12">
        <f>-120*4+-111*24</f>
        <v>-3144</v>
      </c>
      <c r="K125" s="12">
        <f t="shared" si="27"/>
        <v>9856</v>
      </c>
      <c r="M125" s="10">
        <v>4</v>
      </c>
      <c r="N125" s="30">
        <v>46088</v>
      </c>
      <c r="O125" s="83">
        <f t="shared" si="33"/>
        <v>11225</v>
      </c>
      <c r="P125" s="32">
        <f>650*19+622*15</f>
        <v>21680</v>
      </c>
      <c r="Q125" s="32"/>
      <c r="R125" s="32"/>
      <c r="S125" s="32">
        <f t="shared" si="28"/>
        <v>21680</v>
      </c>
      <c r="T125" s="12"/>
      <c r="U125" s="12"/>
      <c r="V125" s="12"/>
      <c r="W125" s="12">
        <f t="shared" si="29"/>
        <v>21680</v>
      </c>
      <c r="Y125" s="10">
        <v>4</v>
      </c>
      <c r="Z125" s="30">
        <v>46088</v>
      </c>
      <c r="AA125" s="31">
        <f t="shared" si="34"/>
        <v>11265</v>
      </c>
      <c r="AB125" s="32">
        <f>650*44+973*2+1050*2+872*2</f>
        <v>34390</v>
      </c>
      <c r="AC125" s="32"/>
      <c r="AD125" s="32"/>
      <c r="AE125" s="32">
        <f t="shared" si="30"/>
        <v>34390</v>
      </c>
      <c r="AF125" s="12"/>
      <c r="AG125">
        <f>4.5*37</f>
        <v>166.5</v>
      </c>
      <c r="AH125" s="12"/>
      <c r="AI125" s="12">
        <f t="shared" si="31"/>
        <v>34556.5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46088</v>
      </c>
      <c r="C126" s="83">
        <f t="shared" si="32"/>
        <v>11203</v>
      </c>
      <c r="D126" s="32">
        <f>650*4</f>
        <v>2600</v>
      </c>
      <c r="E126" s="32"/>
      <c r="F126" s="32"/>
      <c r="G126" s="32">
        <f t="shared" si="26"/>
        <v>2600</v>
      </c>
      <c r="H126" s="12"/>
      <c r="I126" s="12"/>
      <c r="J126" s="12"/>
      <c r="K126" s="12">
        <f t="shared" si="27"/>
        <v>2600</v>
      </c>
      <c r="M126" s="10">
        <v>5</v>
      </c>
      <c r="N126" s="30">
        <v>46088</v>
      </c>
      <c r="O126" s="83">
        <f t="shared" si="33"/>
        <v>11226</v>
      </c>
      <c r="P126" s="32">
        <f>650*20+622*3+9.5*10</f>
        <v>14961</v>
      </c>
      <c r="Q126" s="32"/>
      <c r="R126" s="32"/>
      <c r="S126" s="32">
        <f t="shared" si="28"/>
        <v>14961</v>
      </c>
      <c r="T126" s="12"/>
      <c r="U126" s="12"/>
      <c r="V126" s="12">
        <f>-111*3</f>
        <v>-333</v>
      </c>
      <c r="W126" s="12">
        <f t="shared" si="29"/>
        <v>14628</v>
      </c>
      <c r="Y126" s="10">
        <v>5</v>
      </c>
      <c r="Z126" s="30">
        <v>46088</v>
      </c>
      <c r="AA126" s="31">
        <f t="shared" si="34"/>
        <v>11266</v>
      </c>
      <c r="AB126" s="32">
        <f>650*20</f>
        <v>13000</v>
      </c>
      <c r="AC126" s="32"/>
      <c r="AD126" s="32"/>
      <c r="AE126" s="32">
        <f t="shared" ref="AE126:AE131" si="35">SUM(AB126:AC126)</f>
        <v>13000</v>
      </c>
      <c r="AF126" s="12"/>
      <c r="AG126" s="12"/>
      <c r="AH126" s="12">
        <f>-111*19</f>
        <v>-2109</v>
      </c>
      <c r="AI126" s="12">
        <f t="shared" si="31"/>
        <v>10891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11" t="s">
        <v>27</v>
      </c>
      <c r="D127" s="32"/>
      <c r="E127" s="32"/>
      <c r="F127" s="32"/>
      <c r="G127" s="32">
        <f t="shared" si="26"/>
        <v>0</v>
      </c>
      <c r="H127" s="12"/>
      <c r="I127" s="12"/>
      <c r="J127" s="12"/>
      <c r="K127" s="12">
        <f t="shared" si="27"/>
        <v>0</v>
      </c>
      <c r="M127" s="10">
        <v>6</v>
      </c>
      <c r="N127" s="30"/>
      <c r="O127" s="11" t="s">
        <v>27</v>
      </c>
      <c r="P127" s="32"/>
      <c r="Q127" s="32"/>
      <c r="R127" s="32"/>
      <c r="S127" s="32">
        <f t="shared" si="28"/>
        <v>0</v>
      </c>
      <c r="T127" s="12"/>
      <c r="U127" s="12"/>
      <c r="V127" s="10"/>
      <c r="W127" s="12">
        <f t="shared" si="29"/>
        <v>0</v>
      </c>
      <c r="Y127" s="10">
        <v>6</v>
      </c>
      <c r="Z127" s="30">
        <v>46088</v>
      </c>
      <c r="AA127" s="31">
        <v>11301</v>
      </c>
      <c r="AB127" s="32">
        <v>4918.62</v>
      </c>
      <c r="AC127" s="32"/>
      <c r="AD127" s="32"/>
      <c r="AE127" s="32">
        <f t="shared" si="35"/>
        <v>4918.62</v>
      </c>
      <c r="AF127" s="12"/>
      <c r="AG127" s="12"/>
      <c r="AH127" s="10"/>
      <c r="AI127" s="12">
        <f t="shared" si="31"/>
        <v>4918.62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26"/>
        <v>0</v>
      </c>
      <c r="H128" s="12"/>
      <c r="I128" s="12"/>
      <c r="J128" s="12"/>
      <c r="K128" s="12">
        <f t="shared" si="27"/>
        <v>0</v>
      </c>
      <c r="M128" s="10">
        <v>7</v>
      </c>
      <c r="N128" s="30"/>
      <c r="P128" s="32"/>
      <c r="Q128" s="32"/>
      <c r="R128" s="32"/>
      <c r="S128" s="32">
        <f t="shared" si="28"/>
        <v>0</v>
      </c>
      <c r="T128" s="12"/>
      <c r="U128" s="12"/>
      <c r="V128" s="12"/>
      <c r="W128" s="12">
        <f t="shared" si="29"/>
        <v>0</v>
      </c>
      <c r="Y128" s="10">
        <v>7</v>
      </c>
      <c r="Z128" s="30">
        <v>46088</v>
      </c>
      <c r="AA128" s="31">
        <f t="shared" si="34"/>
        <v>11302</v>
      </c>
      <c r="AB128" s="32">
        <v>6851.93</v>
      </c>
      <c r="AC128" s="32"/>
      <c r="AD128" s="32"/>
      <c r="AE128" s="32">
        <f t="shared" si="35"/>
        <v>6851.93</v>
      </c>
      <c r="AF128" s="12"/>
      <c r="AG128" s="58"/>
      <c r="AH128" s="12"/>
      <c r="AI128" s="12">
        <f t="shared" si="31"/>
        <v>6851.93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26"/>
        <v>0</v>
      </c>
      <c r="H129" s="12"/>
      <c r="I129" s="12"/>
      <c r="J129" s="12"/>
      <c r="K129" s="12">
        <f t="shared" si="27"/>
        <v>0</v>
      </c>
      <c r="M129" s="10">
        <v>8</v>
      </c>
      <c r="N129" s="30"/>
      <c r="O129" s="31"/>
      <c r="P129" s="32"/>
      <c r="Q129" s="32"/>
      <c r="R129" s="32"/>
      <c r="S129" s="32">
        <f t="shared" si="28"/>
        <v>0</v>
      </c>
      <c r="T129" s="12"/>
      <c r="U129" s="12"/>
      <c r="V129" s="12"/>
      <c r="W129" s="12">
        <f t="shared" si="29"/>
        <v>0</v>
      </c>
      <c r="Y129" s="10">
        <v>8</v>
      </c>
      <c r="Z129" s="30">
        <v>46088</v>
      </c>
      <c r="AA129" s="31">
        <f t="shared" si="34"/>
        <v>11303</v>
      </c>
      <c r="AB129" s="32">
        <v>1196.7</v>
      </c>
      <c r="AC129" s="32"/>
      <c r="AE129" s="32">
        <f t="shared" si="35"/>
        <v>1196.7</v>
      </c>
      <c r="AF129" s="12"/>
      <c r="AG129" s="12"/>
      <c r="AH129" s="12"/>
      <c r="AI129" s="12">
        <f t="shared" si="31"/>
        <v>1196.7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26"/>
        <v>0</v>
      </c>
      <c r="H130" s="12"/>
      <c r="I130" s="12"/>
      <c r="J130" s="12"/>
      <c r="K130" s="12">
        <f t="shared" si="27"/>
        <v>0</v>
      </c>
      <c r="M130" s="10">
        <v>9</v>
      </c>
      <c r="N130" s="30"/>
      <c r="O130" s="31"/>
      <c r="P130" s="32"/>
      <c r="Q130" s="32"/>
      <c r="R130" s="32"/>
      <c r="S130" s="32">
        <f t="shared" si="28"/>
        <v>0</v>
      </c>
      <c r="T130" s="12"/>
      <c r="U130" s="12"/>
      <c r="V130" s="12"/>
      <c r="W130" s="12">
        <f t="shared" si="29"/>
        <v>0</v>
      </c>
      <c r="Y130" s="10">
        <v>9</v>
      </c>
      <c r="Z130" s="30"/>
      <c r="AA130" s="11" t="s">
        <v>27</v>
      </c>
      <c r="AC130" s="32"/>
      <c r="AD130" s="32"/>
      <c r="AE130" s="32">
        <f t="shared" si="35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26"/>
        <v>0</v>
      </c>
      <c r="H131" s="12"/>
      <c r="I131" s="12"/>
      <c r="J131" s="12"/>
      <c r="K131" s="12">
        <f t="shared" si="27"/>
        <v>0</v>
      </c>
      <c r="M131" s="10">
        <v>10</v>
      </c>
      <c r="N131" s="30"/>
      <c r="P131" s="32"/>
      <c r="Q131" s="32"/>
      <c r="R131" s="32"/>
      <c r="S131" s="32">
        <f t="shared" si="28"/>
        <v>0</v>
      </c>
      <c r="T131" s="12"/>
      <c r="U131" s="12"/>
      <c r="V131" s="12"/>
      <c r="W131" s="12">
        <f t="shared" si="29"/>
        <v>0</v>
      </c>
      <c r="Y131" s="10">
        <v>10</v>
      </c>
      <c r="Z131" s="30"/>
      <c r="AB131" s="32"/>
      <c r="AC131" s="32"/>
      <c r="AD131" s="32"/>
      <c r="AE131" s="32">
        <f t="shared" si="35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26"/>
        <v>0</v>
      </c>
      <c r="H132" s="12"/>
      <c r="I132" s="12"/>
      <c r="J132" s="12"/>
      <c r="K132" s="12">
        <f t="shared" si="27"/>
        <v>0</v>
      </c>
      <c r="M132" s="10">
        <v>11</v>
      </c>
      <c r="N132" s="30"/>
      <c r="O132" s="31"/>
      <c r="P132" s="32"/>
      <c r="Q132" s="32"/>
      <c r="R132" s="32"/>
      <c r="S132" s="32">
        <f t="shared" si="28"/>
        <v>0</v>
      </c>
      <c r="T132" s="12"/>
      <c r="U132" s="12"/>
      <c r="V132" s="12"/>
      <c r="W132" s="12">
        <f t="shared" si="29"/>
        <v>0</v>
      </c>
      <c r="Y132" s="10">
        <v>11</v>
      </c>
      <c r="Z132" s="30"/>
      <c r="AA132" s="31"/>
      <c r="AB132" s="32"/>
      <c r="AC132" s="32"/>
      <c r="AD132" s="32"/>
      <c r="AE132" s="32">
        <f t="shared" ref="AE132:AE154" si="36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26"/>
        <v>0</v>
      </c>
      <c r="H133" s="12"/>
      <c r="I133" s="12"/>
      <c r="J133" s="10"/>
      <c r="K133" s="12">
        <f t="shared" si="27"/>
        <v>0</v>
      </c>
      <c r="M133" s="10">
        <v>12</v>
      </c>
      <c r="N133" s="30"/>
      <c r="O133" s="31"/>
      <c r="P133" s="32"/>
      <c r="Q133" s="32"/>
      <c r="R133" s="32"/>
      <c r="S133" s="32">
        <f t="shared" si="28"/>
        <v>0</v>
      </c>
      <c r="T133" s="12"/>
      <c r="U133" s="12"/>
      <c r="V133" s="12"/>
      <c r="W133" s="12">
        <f t="shared" si="29"/>
        <v>0</v>
      </c>
      <c r="Y133" s="10">
        <v>12</v>
      </c>
      <c r="Z133" s="30"/>
      <c r="AA133" s="31"/>
      <c r="AB133" s="32"/>
      <c r="AC133" s="32"/>
      <c r="AD133" s="32"/>
      <c r="AE133" s="32">
        <f t="shared" si="36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26"/>
        <v>0</v>
      </c>
      <c r="H134" s="12"/>
      <c r="I134" s="12"/>
      <c r="J134" s="12"/>
      <c r="K134" s="12">
        <f t="shared" si="27"/>
        <v>0</v>
      </c>
      <c r="M134" s="10">
        <v>13</v>
      </c>
      <c r="N134" s="30"/>
      <c r="O134" s="31"/>
      <c r="P134" s="32"/>
      <c r="Q134" s="32"/>
      <c r="R134" s="32"/>
      <c r="S134" s="32">
        <f t="shared" si="28"/>
        <v>0</v>
      </c>
      <c r="T134" s="12"/>
      <c r="U134" s="12"/>
      <c r="V134" s="12"/>
      <c r="W134" s="12">
        <f t="shared" si="29"/>
        <v>0</v>
      </c>
      <c r="Y134" s="10">
        <v>13</v>
      </c>
      <c r="Z134" s="30"/>
      <c r="AA134" s="31"/>
      <c r="AB134" s="32"/>
      <c r="AC134" s="32"/>
      <c r="AD134" s="32"/>
      <c r="AE134" s="32">
        <f t="shared" si="36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83"/>
      <c r="D135" s="32"/>
      <c r="E135" s="32"/>
      <c r="F135" s="32"/>
      <c r="G135" s="32">
        <f t="shared" si="26"/>
        <v>0</v>
      </c>
      <c r="H135" s="12"/>
      <c r="I135" s="12"/>
      <c r="J135" s="12"/>
      <c r="K135" s="12">
        <f t="shared" si="27"/>
        <v>0</v>
      </c>
      <c r="M135" s="10">
        <v>14</v>
      </c>
      <c r="N135" s="30"/>
      <c r="O135" s="31"/>
      <c r="P135" s="32"/>
      <c r="Q135" s="32"/>
      <c r="R135" s="32"/>
      <c r="S135" s="32">
        <f t="shared" si="28"/>
        <v>0</v>
      </c>
      <c r="T135" s="12"/>
      <c r="U135" s="12"/>
      <c r="V135" s="12"/>
      <c r="W135" s="12">
        <f t="shared" si="29"/>
        <v>0</v>
      </c>
      <c r="Y135" s="10">
        <v>14</v>
      </c>
      <c r="Z135" s="30"/>
      <c r="AA135" s="31"/>
      <c r="AB135" s="32"/>
      <c r="AC135" s="32"/>
      <c r="AD135" s="32"/>
      <c r="AE135" s="32">
        <f t="shared" si="36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26"/>
        <v>0</v>
      </c>
      <c r="H136" s="12"/>
      <c r="I136" s="12"/>
      <c r="J136" s="12"/>
      <c r="K136" s="12">
        <f t="shared" si="27"/>
        <v>0</v>
      </c>
      <c r="M136" s="10">
        <v>15</v>
      </c>
      <c r="N136" s="30"/>
      <c r="O136" s="31"/>
      <c r="P136" s="32"/>
      <c r="Q136" s="32"/>
      <c r="R136" s="32"/>
      <c r="S136" s="32">
        <f t="shared" si="28"/>
        <v>0</v>
      </c>
      <c r="T136" s="12"/>
      <c r="U136" s="12"/>
      <c r="V136" s="12"/>
      <c r="W136" s="12">
        <f t="shared" si="29"/>
        <v>0</v>
      </c>
      <c r="Y136" s="10">
        <v>15</v>
      </c>
      <c r="Z136" s="30"/>
      <c r="AA136" s="31"/>
      <c r="AB136" s="32"/>
      <c r="AC136" s="32"/>
      <c r="AD136" s="32"/>
      <c r="AE136" s="32">
        <f t="shared" si="36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D137" s="32"/>
      <c r="E137" s="32"/>
      <c r="F137" s="32"/>
      <c r="G137" s="32">
        <f t="shared" si="26"/>
        <v>0</v>
      </c>
      <c r="H137" s="12"/>
      <c r="I137" s="12"/>
      <c r="J137" s="12"/>
      <c r="K137" s="12">
        <f t="shared" si="27"/>
        <v>0</v>
      </c>
      <c r="M137" s="10">
        <v>16</v>
      </c>
      <c r="N137" s="30"/>
      <c r="P137" s="32"/>
      <c r="Q137" s="32"/>
      <c r="R137" s="32"/>
      <c r="S137" s="32">
        <f t="shared" si="28"/>
        <v>0</v>
      </c>
      <c r="T137" s="12"/>
      <c r="U137" s="12"/>
      <c r="V137" s="12"/>
      <c r="W137" s="12">
        <f t="shared" si="29"/>
        <v>0</v>
      </c>
      <c r="Y137" s="10">
        <v>16</v>
      </c>
      <c r="Z137" s="30"/>
      <c r="AB137" s="32"/>
      <c r="AC137" s="32"/>
      <c r="AD137" s="32"/>
      <c r="AE137" s="32">
        <f t="shared" si="36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26"/>
        <v>0</v>
      </c>
      <c r="H138" s="12"/>
      <c r="I138" s="12"/>
      <c r="J138" s="12"/>
      <c r="K138" s="12">
        <f t="shared" si="27"/>
        <v>0</v>
      </c>
      <c r="M138" s="10">
        <v>17</v>
      </c>
      <c r="N138" s="30"/>
      <c r="O138" s="31"/>
      <c r="P138" s="35"/>
      <c r="Q138" s="32"/>
      <c r="R138" s="32"/>
      <c r="S138" s="32">
        <f t="shared" si="28"/>
        <v>0</v>
      </c>
      <c r="T138" s="12"/>
      <c r="U138" s="12"/>
      <c r="V138" s="12"/>
      <c r="W138" s="12">
        <f t="shared" si="29"/>
        <v>0</v>
      </c>
      <c r="Y138" s="10">
        <v>17</v>
      </c>
      <c r="Z138" s="30"/>
      <c r="AA138" s="31"/>
      <c r="AB138" s="35"/>
      <c r="AC138" s="32"/>
      <c r="AD138" s="32"/>
      <c r="AE138" s="32">
        <f t="shared" si="36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26"/>
        <v>0</v>
      </c>
      <c r="H139" s="12"/>
      <c r="I139" s="12"/>
      <c r="J139" s="12"/>
      <c r="K139" s="12">
        <f t="shared" si="27"/>
        <v>0</v>
      </c>
      <c r="M139" s="10">
        <v>18</v>
      </c>
      <c r="N139" s="30"/>
      <c r="O139" s="31"/>
      <c r="P139" s="32"/>
      <c r="Q139" s="32"/>
      <c r="R139" s="32"/>
      <c r="S139" s="32">
        <f t="shared" si="28"/>
        <v>0</v>
      </c>
      <c r="T139" s="12"/>
      <c r="U139" s="12"/>
      <c r="V139" s="12"/>
      <c r="W139" s="12">
        <f t="shared" si="29"/>
        <v>0</v>
      </c>
      <c r="Y139" s="10">
        <v>18</v>
      </c>
      <c r="Z139" s="30"/>
      <c r="AA139" s="31"/>
      <c r="AB139" s="32"/>
      <c r="AC139" s="32"/>
      <c r="AD139" s="32"/>
      <c r="AE139" s="32">
        <f t="shared" si="36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26"/>
        <v>0</v>
      </c>
      <c r="H140" s="12"/>
      <c r="I140" s="12"/>
      <c r="J140" s="12"/>
      <c r="K140" s="12">
        <f t="shared" si="27"/>
        <v>0</v>
      </c>
      <c r="M140" s="10">
        <v>19</v>
      </c>
      <c r="N140" s="30"/>
      <c r="O140" s="31"/>
      <c r="P140" s="32"/>
      <c r="Q140" s="32"/>
      <c r="R140" s="32"/>
      <c r="S140" s="32">
        <f t="shared" si="28"/>
        <v>0</v>
      </c>
      <c r="T140" s="12"/>
      <c r="U140" s="12"/>
      <c r="V140" s="12"/>
      <c r="W140" s="12">
        <f t="shared" si="29"/>
        <v>0</v>
      </c>
      <c r="Y140" s="10">
        <v>19</v>
      </c>
      <c r="Z140" s="30"/>
      <c r="AA140" s="31"/>
      <c r="AB140" s="32"/>
      <c r="AC140" s="32"/>
      <c r="AD140" s="32"/>
      <c r="AE140" s="32">
        <f t="shared" si="36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26"/>
        <v>0</v>
      </c>
      <c r="H141" s="12"/>
      <c r="I141" s="12"/>
      <c r="J141" s="12"/>
      <c r="K141" s="12">
        <f t="shared" si="27"/>
        <v>0</v>
      </c>
      <c r="M141" s="10">
        <v>20</v>
      </c>
      <c r="N141" s="30"/>
      <c r="O141" s="31"/>
      <c r="P141" s="32"/>
      <c r="Q141" s="32"/>
      <c r="R141" s="32"/>
      <c r="S141" s="32">
        <f t="shared" si="28"/>
        <v>0</v>
      </c>
      <c r="T141" s="12"/>
      <c r="U141" s="12"/>
      <c r="V141" s="12"/>
      <c r="W141" s="12">
        <f t="shared" si="29"/>
        <v>0</v>
      </c>
      <c r="Y141" s="10">
        <v>20</v>
      </c>
      <c r="Z141" s="30"/>
      <c r="AB141" s="32"/>
      <c r="AC141" s="32"/>
      <c r="AD141" s="32"/>
      <c r="AE141" s="32">
        <f t="shared" si="36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26"/>
        <v>0</v>
      </c>
      <c r="H142" s="10"/>
      <c r="I142" s="10"/>
      <c r="J142" s="10"/>
      <c r="K142" s="12">
        <f t="shared" si="27"/>
        <v>0</v>
      </c>
      <c r="M142" s="10">
        <v>21</v>
      </c>
      <c r="N142" s="30"/>
      <c r="O142" s="31"/>
      <c r="P142" s="46"/>
      <c r="Q142" s="31"/>
      <c r="R142" s="31"/>
      <c r="S142" s="32">
        <f t="shared" si="28"/>
        <v>0</v>
      </c>
      <c r="T142" s="10"/>
      <c r="U142" s="10"/>
      <c r="V142" s="10"/>
      <c r="W142" s="12">
        <f t="shared" si="29"/>
        <v>0</v>
      </c>
      <c r="Y142" s="10">
        <v>21</v>
      </c>
      <c r="Z142" s="30"/>
      <c r="AA142" s="31"/>
      <c r="AB142" s="46"/>
      <c r="AC142" s="31"/>
      <c r="AD142" s="31"/>
      <c r="AE142" s="32">
        <f t="shared" si="36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26"/>
        <v>0</v>
      </c>
      <c r="H143" s="10"/>
      <c r="I143" s="10"/>
      <c r="J143" s="10"/>
      <c r="K143" s="12">
        <f t="shared" si="27"/>
        <v>0</v>
      </c>
      <c r="M143" s="10">
        <v>22</v>
      </c>
      <c r="N143" s="30"/>
      <c r="O143" s="31"/>
      <c r="P143" s="45"/>
      <c r="Q143" s="31"/>
      <c r="R143" s="31"/>
      <c r="S143" s="32">
        <f t="shared" si="28"/>
        <v>0</v>
      </c>
      <c r="T143" s="10"/>
      <c r="U143" s="10"/>
      <c r="V143" s="10"/>
      <c r="W143" s="12">
        <f t="shared" si="29"/>
        <v>0</v>
      </c>
      <c r="Y143" s="10">
        <v>22</v>
      </c>
      <c r="Z143" s="30"/>
      <c r="AA143" s="31"/>
      <c r="AB143" s="45"/>
      <c r="AC143" s="31"/>
      <c r="AD143" s="31"/>
      <c r="AE143" s="32">
        <f t="shared" si="36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26"/>
        <v>0</v>
      </c>
      <c r="H144" s="10"/>
      <c r="I144" s="10"/>
      <c r="J144" s="12"/>
      <c r="K144" s="12">
        <f t="shared" si="27"/>
        <v>0</v>
      </c>
      <c r="M144" s="10">
        <v>23</v>
      </c>
      <c r="N144" s="30"/>
      <c r="O144" s="31"/>
      <c r="P144" s="47"/>
      <c r="S144" s="32">
        <f t="shared" si="28"/>
        <v>0</v>
      </c>
      <c r="T144" s="10"/>
      <c r="U144" s="10"/>
      <c r="V144" s="10"/>
      <c r="W144" s="12">
        <f t="shared" si="29"/>
        <v>0</v>
      </c>
      <c r="Y144" s="10">
        <v>23</v>
      </c>
      <c r="Z144" s="30"/>
      <c r="AA144" s="31"/>
      <c r="AB144" s="47"/>
      <c r="AE144" s="32">
        <f t="shared" si="36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26"/>
        <v>0</v>
      </c>
      <c r="H145" s="10"/>
      <c r="I145" s="10"/>
      <c r="J145" s="10"/>
      <c r="K145" s="12">
        <f t="shared" si="27"/>
        <v>0</v>
      </c>
      <c r="M145" s="10">
        <v>24</v>
      </c>
      <c r="N145" s="30"/>
      <c r="O145" s="31"/>
      <c r="P145" s="47"/>
      <c r="Q145" s="31"/>
      <c r="R145" s="31"/>
      <c r="S145" s="32">
        <f t="shared" si="28"/>
        <v>0</v>
      </c>
      <c r="T145" s="10"/>
      <c r="U145" s="10"/>
      <c r="V145" s="10"/>
      <c r="W145" s="12">
        <f t="shared" si="29"/>
        <v>0</v>
      </c>
      <c r="Y145" s="10">
        <v>24</v>
      </c>
      <c r="Z145" s="30"/>
      <c r="AA145" s="31"/>
      <c r="AB145" s="47"/>
      <c r="AC145" s="31"/>
      <c r="AD145" s="31"/>
      <c r="AE145" s="32">
        <f t="shared" si="36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26"/>
        <v>0</v>
      </c>
      <c r="H146" s="10"/>
      <c r="I146" s="10"/>
      <c r="J146" s="10"/>
      <c r="K146" s="12">
        <f t="shared" si="27"/>
        <v>0</v>
      </c>
      <c r="M146" s="10">
        <v>25</v>
      </c>
      <c r="N146" s="30"/>
      <c r="O146" s="31"/>
      <c r="P146" s="47"/>
      <c r="Q146" s="31"/>
      <c r="R146" s="31"/>
      <c r="S146" s="32">
        <f t="shared" si="28"/>
        <v>0</v>
      </c>
      <c r="T146" s="10"/>
      <c r="U146" s="10"/>
      <c r="V146" s="10"/>
      <c r="W146" s="12">
        <f t="shared" si="29"/>
        <v>0</v>
      </c>
      <c r="Y146" s="10">
        <v>25</v>
      </c>
      <c r="Z146" s="30"/>
      <c r="AA146" s="31"/>
      <c r="AB146" s="47"/>
      <c r="AC146" s="31"/>
      <c r="AD146" s="31"/>
      <c r="AE146" s="32">
        <f t="shared" si="36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26"/>
        <v>0</v>
      </c>
      <c r="H147" s="10"/>
      <c r="I147" s="10"/>
      <c r="J147" s="10"/>
      <c r="K147" s="12">
        <f t="shared" si="27"/>
        <v>0</v>
      </c>
      <c r="M147" s="10">
        <v>26</v>
      </c>
      <c r="N147" s="30"/>
      <c r="O147" s="31"/>
      <c r="P147" s="47"/>
      <c r="Q147" s="31"/>
      <c r="R147" s="31"/>
      <c r="S147" s="32">
        <f t="shared" si="28"/>
        <v>0</v>
      </c>
      <c r="T147" s="10"/>
      <c r="U147" s="10"/>
      <c r="V147" s="10"/>
      <c r="W147" s="12">
        <f t="shared" si="29"/>
        <v>0</v>
      </c>
      <c r="Y147" s="10">
        <v>26</v>
      </c>
      <c r="Z147" s="30"/>
      <c r="AA147" s="31"/>
      <c r="AB147" s="47"/>
      <c r="AC147" s="31"/>
      <c r="AD147" s="31"/>
      <c r="AE147" s="32">
        <f t="shared" si="36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26"/>
        <v>0</v>
      </c>
      <c r="H148" s="10"/>
      <c r="I148" s="10"/>
      <c r="J148" s="10"/>
      <c r="K148" s="12">
        <f t="shared" si="27"/>
        <v>0</v>
      </c>
      <c r="M148" s="10">
        <v>27</v>
      </c>
      <c r="N148" s="30"/>
      <c r="O148" s="31"/>
      <c r="P148" s="47"/>
      <c r="Q148" s="31"/>
      <c r="R148" s="31"/>
      <c r="S148" s="32">
        <f t="shared" si="28"/>
        <v>0</v>
      </c>
      <c r="T148" s="10"/>
      <c r="U148" s="10"/>
      <c r="V148" s="10"/>
      <c r="W148" s="12">
        <f t="shared" si="29"/>
        <v>0</v>
      </c>
      <c r="Y148" s="10">
        <v>27</v>
      </c>
      <c r="Z148" s="30"/>
      <c r="AA148" s="31"/>
      <c r="AB148" s="47"/>
      <c r="AC148" s="31"/>
      <c r="AD148" s="31"/>
      <c r="AE148" s="32">
        <f t="shared" si="36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26"/>
        <v>0</v>
      </c>
      <c r="H149" s="10"/>
      <c r="I149" s="10"/>
      <c r="J149" s="10"/>
      <c r="K149" s="12">
        <f t="shared" si="27"/>
        <v>0</v>
      </c>
      <c r="M149" s="10">
        <v>28</v>
      </c>
      <c r="N149" s="30"/>
      <c r="O149" s="31"/>
      <c r="P149" s="47"/>
      <c r="Q149" s="31"/>
      <c r="R149" s="31"/>
      <c r="S149" s="32">
        <f t="shared" si="28"/>
        <v>0</v>
      </c>
      <c r="T149" s="10"/>
      <c r="U149" s="10"/>
      <c r="V149" s="10"/>
      <c r="W149" s="12">
        <f t="shared" si="29"/>
        <v>0</v>
      </c>
      <c r="Y149" s="10">
        <v>28</v>
      </c>
      <c r="Z149" s="30"/>
      <c r="AA149" s="31"/>
      <c r="AB149" s="47"/>
      <c r="AC149" s="31"/>
      <c r="AD149" s="31"/>
      <c r="AE149" s="32">
        <f t="shared" si="36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26"/>
        <v>0</v>
      </c>
      <c r="H150" s="10"/>
      <c r="I150" s="10"/>
      <c r="J150" s="10"/>
      <c r="K150" s="12">
        <f t="shared" si="27"/>
        <v>0</v>
      </c>
      <c r="M150" s="10">
        <v>29</v>
      </c>
      <c r="N150" s="30"/>
      <c r="O150" s="31"/>
      <c r="P150" s="47"/>
      <c r="Q150" s="31"/>
      <c r="R150" s="31"/>
      <c r="S150" s="32">
        <f t="shared" si="28"/>
        <v>0</v>
      </c>
      <c r="T150" s="10"/>
      <c r="U150" s="10"/>
      <c r="V150" s="10"/>
      <c r="W150" s="12">
        <f t="shared" si="29"/>
        <v>0</v>
      </c>
      <c r="Y150" s="10">
        <v>29</v>
      </c>
      <c r="Z150" s="30"/>
      <c r="AA150" s="31"/>
      <c r="AB150" s="47"/>
      <c r="AC150" s="31"/>
      <c r="AD150" s="31"/>
      <c r="AE150" s="32">
        <f t="shared" si="36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26"/>
        <v>0</v>
      </c>
      <c r="H151" s="10"/>
      <c r="I151" s="10"/>
      <c r="J151" s="10"/>
      <c r="K151" s="12">
        <f t="shared" si="27"/>
        <v>0</v>
      </c>
      <c r="M151" s="10">
        <v>30</v>
      </c>
      <c r="N151" s="30"/>
      <c r="O151" s="31"/>
      <c r="P151" s="47"/>
      <c r="Q151" s="31"/>
      <c r="R151" s="31"/>
      <c r="S151" s="32">
        <f t="shared" si="28"/>
        <v>0</v>
      </c>
      <c r="T151" s="10"/>
      <c r="U151" s="10"/>
      <c r="V151" s="10"/>
      <c r="W151" s="12">
        <f t="shared" si="29"/>
        <v>0</v>
      </c>
      <c r="Y151" s="10">
        <v>30</v>
      </c>
      <c r="Z151" s="30"/>
      <c r="AA151" s="31"/>
      <c r="AB151" s="47"/>
      <c r="AC151" s="31"/>
      <c r="AD151" s="31"/>
      <c r="AE151" s="32">
        <f t="shared" si="36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26"/>
        <v>0</v>
      </c>
      <c r="H152" s="10"/>
      <c r="I152" s="10"/>
      <c r="J152" s="10"/>
      <c r="K152" s="12">
        <f t="shared" si="27"/>
        <v>0</v>
      </c>
      <c r="M152" s="10">
        <v>31</v>
      </c>
      <c r="N152" s="30"/>
      <c r="O152" s="31"/>
      <c r="P152" s="47"/>
      <c r="Q152" s="31"/>
      <c r="R152" s="31"/>
      <c r="S152" s="32">
        <f t="shared" si="28"/>
        <v>0</v>
      </c>
      <c r="T152" s="10"/>
      <c r="U152" s="10"/>
      <c r="V152" s="10"/>
      <c r="W152" s="12">
        <f t="shared" si="29"/>
        <v>0</v>
      </c>
      <c r="Y152" s="10">
        <v>31</v>
      </c>
      <c r="Z152" s="30"/>
      <c r="AA152" s="31"/>
      <c r="AB152" s="47"/>
      <c r="AC152" s="31"/>
      <c r="AD152" s="31"/>
      <c r="AE152" s="32">
        <f t="shared" si="36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26"/>
        <v>0</v>
      </c>
      <c r="H153" s="10"/>
      <c r="I153" s="10"/>
      <c r="J153" s="10"/>
      <c r="K153" s="12">
        <f t="shared" si="27"/>
        <v>0</v>
      </c>
      <c r="M153" s="10">
        <v>32</v>
      </c>
      <c r="N153" s="30"/>
      <c r="O153" s="31"/>
      <c r="P153" s="47"/>
      <c r="Q153" s="31"/>
      <c r="R153" s="31"/>
      <c r="S153" s="32">
        <f t="shared" si="28"/>
        <v>0</v>
      </c>
      <c r="T153" s="10"/>
      <c r="U153" s="10"/>
      <c r="V153" s="10"/>
      <c r="W153" s="12">
        <f t="shared" si="29"/>
        <v>0</v>
      </c>
      <c r="Y153" s="10">
        <v>32</v>
      </c>
      <c r="Z153" s="30"/>
      <c r="AA153" s="31"/>
      <c r="AB153" s="47"/>
      <c r="AC153" s="31"/>
      <c r="AD153" s="31"/>
      <c r="AE153" s="32">
        <f t="shared" si="36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26"/>
        <v>0</v>
      </c>
      <c r="H154" s="10"/>
      <c r="I154" s="10"/>
      <c r="J154" s="10"/>
      <c r="K154" s="12">
        <f t="shared" si="27"/>
        <v>0</v>
      </c>
      <c r="M154" s="10">
        <v>33</v>
      </c>
      <c r="N154" s="30"/>
      <c r="O154" s="31"/>
      <c r="P154" s="47"/>
      <c r="Q154" s="31"/>
      <c r="R154" s="31"/>
      <c r="S154" s="32">
        <f t="shared" si="28"/>
        <v>0</v>
      </c>
      <c r="T154" s="10"/>
      <c r="U154" s="10"/>
      <c r="V154" s="10"/>
      <c r="W154" s="12">
        <f t="shared" si="29"/>
        <v>0</v>
      </c>
      <c r="Y154" s="10">
        <v>33</v>
      </c>
      <c r="Z154" s="30"/>
      <c r="AA154" s="31"/>
      <c r="AB154" s="47"/>
      <c r="AC154" s="31"/>
      <c r="AD154" s="31"/>
      <c r="AE154" s="32">
        <f t="shared" si="36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26"/>
        <v>0</v>
      </c>
      <c r="H155" s="10"/>
      <c r="I155" s="10"/>
      <c r="J155" s="10"/>
      <c r="K155" s="12">
        <f t="shared" si="27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37">SUM(P155:Q155)</f>
        <v>0</v>
      </c>
      <c r="T155" s="10"/>
      <c r="U155" s="10"/>
      <c r="V155" s="10"/>
      <c r="W155" s="12">
        <f t="shared" ref="W155:W163" si="38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39">SUM(AB155:AC155)</f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37"/>
        <v>0</v>
      </c>
      <c r="T156" s="10"/>
      <c r="U156" s="10"/>
      <c r="V156" s="10"/>
      <c r="W156" s="12">
        <f t="shared" si="38"/>
        <v>0</v>
      </c>
      <c r="Y156" s="10">
        <v>35</v>
      </c>
      <c r="Z156" s="30"/>
      <c r="AA156" s="31"/>
      <c r="AB156" s="47"/>
      <c r="AC156" s="31"/>
      <c r="AD156" s="31"/>
      <c r="AE156" s="32">
        <f t="shared" si="39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37"/>
        <v>0</v>
      </c>
      <c r="T157" s="10"/>
      <c r="U157" s="10"/>
      <c r="V157" s="10"/>
      <c r="W157" s="12">
        <f t="shared" si="38"/>
        <v>0</v>
      </c>
      <c r="Y157" s="10">
        <v>36</v>
      </c>
      <c r="Z157" s="30"/>
      <c r="AA157" s="31"/>
      <c r="AB157" s="47"/>
      <c r="AC157" s="31"/>
      <c r="AD157" s="31"/>
      <c r="AE157" s="32">
        <f t="shared" si="39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37"/>
        <v>0</v>
      </c>
      <c r="T158" s="10"/>
      <c r="U158" s="10"/>
      <c r="V158" s="10"/>
      <c r="W158" s="12">
        <f t="shared" si="38"/>
        <v>0</v>
      </c>
      <c r="Y158" s="10">
        <v>37</v>
      </c>
      <c r="Z158" s="30"/>
      <c r="AA158" s="31"/>
      <c r="AB158" s="47"/>
      <c r="AC158" s="31"/>
      <c r="AD158" s="31"/>
      <c r="AE158" s="32">
        <f t="shared" si="39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37"/>
        <v>0</v>
      </c>
      <c r="T159" s="10"/>
      <c r="U159" s="10"/>
      <c r="V159" s="10"/>
      <c r="W159" s="12">
        <f t="shared" si="38"/>
        <v>0</v>
      </c>
      <c r="Y159" s="10">
        <v>38</v>
      </c>
      <c r="Z159" s="30"/>
      <c r="AA159" s="31"/>
      <c r="AB159" s="47"/>
      <c r="AC159" s="31"/>
      <c r="AD159" s="31"/>
      <c r="AE159" s="32">
        <f t="shared" si="39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37"/>
        <v>0</v>
      </c>
      <c r="T160" s="10"/>
      <c r="U160" s="10"/>
      <c r="V160" s="10"/>
      <c r="W160" s="12">
        <f t="shared" si="38"/>
        <v>0</v>
      </c>
      <c r="Y160" s="10">
        <v>39</v>
      </c>
      <c r="Z160" s="30"/>
      <c r="AA160" s="31"/>
      <c r="AB160" s="47"/>
      <c r="AC160" s="31"/>
      <c r="AD160" s="31"/>
      <c r="AE160" s="32">
        <f t="shared" si="39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38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0">SUM(D162:E162)</f>
        <v>0</v>
      </c>
      <c r="H162" s="10"/>
      <c r="I162" s="10"/>
      <c r="J162" s="10"/>
      <c r="K162" s="12">
        <f t="shared" ref="K162" si="41">SUM(G162:J162)</f>
        <v>0</v>
      </c>
      <c r="M162" s="10"/>
      <c r="N162" s="30"/>
      <c r="O162" s="31"/>
      <c r="P162" s="47"/>
      <c r="Q162" s="31"/>
      <c r="R162" s="31"/>
      <c r="S162" s="32">
        <f t="shared" ref="S162" si="42">SUM(P162:Q162)</f>
        <v>0</v>
      </c>
      <c r="T162" s="10"/>
      <c r="U162" s="10"/>
      <c r="V162" s="10"/>
      <c r="W162" s="12">
        <f t="shared" si="38"/>
        <v>0</v>
      </c>
      <c r="Y162" s="10"/>
      <c r="Z162" s="30"/>
      <c r="AA162" s="31"/>
      <c r="AB162" s="47"/>
      <c r="AC162" s="31"/>
      <c r="AD162" s="31"/>
      <c r="AE162" s="32">
        <f t="shared" ref="AE162" si="43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38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282693</v>
      </c>
      <c r="E165" s="38">
        <f t="shared" ref="E165:F165" si="44">SUM(E122:E162)</f>
        <v>-2040</v>
      </c>
      <c r="F165" s="38">
        <f t="shared" si="44"/>
        <v>0</v>
      </c>
      <c r="G165" s="38">
        <f>SUM(G122:G164)</f>
        <v>280653</v>
      </c>
      <c r="H165" s="4"/>
      <c r="I165" s="39">
        <f>SUM(I122:I164)</f>
        <v>342</v>
      </c>
      <c r="J165" s="39">
        <f>SUM(J122:J164)</f>
        <v>-8619</v>
      </c>
      <c r="K165" s="40">
        <f>SUM(K122:K164)</f>
        <v>272376</v>
      </c>
      <c r="N165" s="57"/>
      <c r="O165" s="57"/>
      <c r="P165" s="38">
        <f>SUM(P122:P164)</f>
        <v>232599</v>
      </c>
      <c r="Q165" s="38">
        <f>SUM(Q122:Q146)</f>
        <v>-1308</v>
      </c>
      <c r="R165" s="38">
        <f>SUM(R122:R146)</f>
        <v>0</v>
      </c>
      <c r="S165" s="38">
        <f>SUM(S122:S164)</f>
        <v>231291</v>
      </c>
      <c r="T165" s="4"/>
      <c r="U165" s="41">
        <f>SUM(U122:U164)</f>
        <v>708</v>
      </c>
      <c r="V165" s="41">
        <f>SUM(V122:V146)</f>
        <v>-333</v>
      </c>
      <c r="W165" s="42">
        <f>SUM(W122:W164)</f>
        <v>231666</v>
      </c>
      <c r="Z165" s="57"/>
      <c r="AA165" s="57"/>
      <c r="AB165" s="38">
        <f>SUM(AB122:AB164)</f>
        <v>387042.25</v>
      </c>
      <c r="AC165" s="38">
        <f>SUM(AC122:AC146)</f>
        <v>-648</v>
      </c>
      <c r="AD165" s="38">
        <f>SUM(AD122:AD146)</f>
        <v>0</v>
      </c>
      <c r="AE165" s="38">
        <f>SUM(AE122:AE164)</f>
        <v>386394.25</v>
      </c>
      <c r="AF165" s="4"/>
      <c r="AG165" s="41">
        <f>SUM(AG122:AG164)</f>
        <v>35611.5</v>
      </c>
      <c r="AH165" s="41">
        <f>SUM(AH122:AH146)</f>
        <v>-7029</v>
      </c>
      <c r="AI165" s="42">
        <f>SUM(AI122:AI164)</f>
        <v>414976.75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36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50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4"/>
      <c r="G175" s="27"/>
      <c r="I175" s="110" t="s">
        <v>18</v>
      </c>
      <c r="J175" s="111"/>
      <c r="K175" s="113" t="s">
        <v>19</v>
      </c>
      <c r="N175" s="25"/>
      <c r="O175" s="26"/>
      <c r="P175" s="112" t="s">
        <v>17</v>
      </c>
      <c r="Q175" s="112"/>
      <c r="R175" s="94"/>
      <c r="S175" s="27"/>
      <c r="U175" s="110" t="s">
        <v>18</v>
      </c>
      <c r="V175" s="111"/>
      <c r="W175" s="113" t="s">
        <v>19</v>
      </c>
      <c r="Z175" s="25"/>
      <c r="AA175" s="26"/>
      <c r="AB175" s="112" t="s">
        <v>17</v>
      </c>
      <c r="AC175" s="112"/>
      <c r="AD175" s="94"/>
      <c r="AE175" s="27"/>
      <c r="AG175" s="110" t="s">
        <v>18</v>
      </c>
      <c r="AH175" s="111"/>
      <c r="AI175" s="11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1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46180</v>
      </c>
      <c r="C177" s="83">
        <v>11020</v>
      </c>
      <c r="D177" s="32">
        <f>650*33</f>
        <v>21450</v>
      </c>
      <c r="E177" s="32"/>
      <c r="F177" s="32"/>
      <c r="G177" s="32">
        <f t="shared" ref="G177:G210" si="45">SUM(D177:E177)</f>
        <v>21450</v>
      </c>
      <c r="H177" s="12"/>
      <c r="I177" s="12"/>
      <c r="J177" s="12"/>
      <c r="K177" s="12">
        <f t="shared" ref="K177:K210" si="46">SUM(G177:J177)</f>
        <v>21450</v>
      </c>
      <c r="M177" s="10">
        <v>1</v>
      </c>
      <c r="N177" s="30">
        <v>46180</v>
      </c>
      <c r="O177" s="83">
        <v>11227</v>
      </c>
      <c r="P177" s="32">
        <f>650*300+622*25+229*10</f>
        <v>212840</v>
      </c>
      <c r="Q177" s="32">
        <f>-325*6</f>
        <v>-1950</v>
      </c>
      <c r="R177" s="32"/>
      <c r="S177" s="32">
        <f>SUM(P177:Q177)</f>
        <v>210890</v>
      </c>
      <c r="T177" s="12"/>
      <c r="U177" s="12"/>
      <c r="V177" s="12">
        <f>-120*5+-111*26+-84*3+-42*8</f>
        <v>-4074</v>
      </c>
      <c r="W177" s="12">
        <f>SUM(S177:V177)</f>
        <v>206816</v>
      </c>
      <c r="Y177" s="10">
        <v>1</v>
      </c>
      <c r="Z177" s="30">
        <v>46180</v>
      </c>
      <c r="AA177" s="31">
        <v>11267</v>
      </c>
      <c r="AB177" s="32">
        <f>650*100+1050*2+229*4</f>
        <v>68016</v>
      </c>
      <c r="AC177" s="32">
        <f>-102*6</f>
        <v>-612</v>
      </c>
      <c r="AD177" s="32"/>
      <c r="AE177" s="32">
        <f>SUM(AB177:AC177)</f>
        <v>67404</v>
      </c>
      <c r="AF177" s="12"/>
      <c r="AG177" s="12"/>
      <c r="AH177" s="12">
        <f>-111*50</f>
        <v>-5550</v>
      </c>
      <c r="AI177" s="12">
        <f>SUM(AE177:AH177)</f>
        <v>61854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46180</v>
      </c>
      <c r="C178" s="83">
        <f>C177+1</f>
        <v>11021</v>
      </c>
      <c r="D178" s="32">
        <f>650*5+622</f>
        <v>3872</v>
      </c>
      <c r="E178" s="32"/>
      <c r="F178" s="32"/>
      <c r="G178" s="32">
        <f t="shared" si="45"/>
        <v>3872</v>
      </c>
      <c r="H178" s="12"/>
      <c r="I178" s="12"/>
      <c r="J178" s="12"/>
      <c r="K178" s="12">
        <f t="shared" si="46"/>
        <v>3872</v>
      </c>
      <c r="M178" s="10">
        <v>2</v>
      </c>
      <c r="N178" s="30">
        <v>46180</v>
      </c>
      <c r="O178" s="83">
        <f>O177+1</f>
        <v>11228</v>
      </c>
      <c r="P178" s="32">
        <f>650*6+9.5*6</f>
        <v>3957</v>
      </c>
      <c r="Q178" s="32"/>
      <c r="R178" s="32"/>
      <c r="S178" s="32">
        <f t="shared" ref="S178:S209" si="47">SUM(P178:Q178)</f>
        <v>3957</v>
      </c>
      <c r="T178" s="12"/>
      <c r="U178" s="12"/>
      <c r="V178" s="12">
        <f>-4.5*18</f>
        <v>-81</v>
      </c>
      <c r="W178" s="12">
        <f t="shared" ref="W178:W209" si="48">SUM(S178:V178)</f>
        <v>3876</v>
      </c>
      <c r="Y178" s="10">
        <v>2</v>
      </c>
      <c r="Z178" s="30">
        <v>46180</v>
      </c>
      <c r="AA178" s="31">
        <f>AA177+1</f>
        <v>11268</v>
      </c>
      <c r="AB178" s="32">
        <f>650*108+622*20+229*4</f>
        <v>83556</v>
      </c>
      <c r="AC178" s="32">
        <f>-128*6</f>
        <v>-768</v>
      </c>
      <c r="AD178" s="32"/>
      <c r="AE178" s="32">
        <f t="shared" ref="AE178:AE180" si="49">SUM(AB178:AC178)</f>
        <v>82788</v>
      </c>
      <c r="AF178" s="12"/>
      <c r="AG178" s="12"/>
      <c r="AH178" s="12"/>
      <c r="AI178" s="12">
        <f t="shared" ref="AI178:AI218" si="50">SUM(AE178:AH178)</f>
        <v>82788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46180</v>
      </c>
      <c r="C179" s="83">
        <f t="shared" ref="C179:C180" si="51">C178+1</f>
        <v>11022</v>
      </c>
      <c r="D179" s="33">
        <f>650*216+1050*5+229*5+650*2</f>
        <v>148095</v>
      </c>
      <c r="E179" s="33">
        <f>-221*6</f>
        <v>-1326</v>
      </c>
      <c r="F179" s="33"/>
      <c r="G179" s="33">
        <f t="shared" si="45"/>
        <v>146769</v>
      </c>
      <c r="H179" s="34"/>
      <c r="I179" s="34"/>
      <c r="J179" s="34">
        <f>-120*5+-111*2+-78*2+-42*9+-84</f>
        <v>-1440</v>
      </c>
      <c r="K179" s="34">
        <f t="shared" si="46"/>
        <v>145329</v>
      </c>
      <c r="M179" s="10">
        <v>3</v>
      </c>
      <c r="N179" s="30"/>
      <c r="O179" s="11" t="s">
        <v>27</v>
      </c>
      <c r="P179" s="33"/>
      <c r="Q179" s="33"/>
      <c r="R179" s="32"/>
      <c r="S179" s="32">
        <f t="shared" si="47"/>
        <v>0</v>
      </c>
      <c r="T179" s="12"/>
      <c r="U179" s="34"/>
      <c r="V179" s="34"/>
      <c r="W179" s="12">
        <f t="shared" si="48"/>
        <v>0</v>
      </c>
      <c r="Y179" s="10">
        <v>3</v>
      </c>
      <c r="Z179" s="30">
        <v>46180</v>
      </c>
      <c r="AA179" s="31">
        <f t="shared" ref="AA179:AA180" si="52">AA178+1</f>
        <v>11269</v>
      </c>
      <c r="AB179" s="33">
        <f>650*108+229*4</f>
        <v>71116</v>
      </c>
      <c r="AC179" s="33">
        <f>-108*6</f>
        <v>-648</v>
      </c>
      <c r="AD179" s="32"/>
      <c r="AE179" s="32">
        <f t="shared" si="49"/>
        <v>70468</v>
      </c>
      <c r="AF179" s="12"/>
      <c r="AG179" s="12"/>
      <c r="AH179" s="12"/>
      <c r="AI179" s="12">
        <f t="shared" si="50"/>
        <v>70468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46180</v>
      </c>
      <c r="C180" s="83">
        <f t="shared" si="51"/>
        <v>11023</v>
      </c>
      <c r="D180" s="32">
        <f>650*37+622*2</f>
        <v>25294</v>
      </c>
      <c r="E180" s="32"/>
      <c r="F180" s="32"/>
      <c r="G180" s="32">
        <f t="shared" si="45"/>
        <v>25294</v>
      </c>
      <c r="H180" s="12"/>
      <c r="I180" s="12"/>
      <c r="J180" s="12"/>
      <c r="K180" s="12">
        <f t="shared" si="46"/>
        <v>25294</v>
      </c>
      <c r="M180" s="10">
        <v>4</v>
      </c>
      <c r="N180" s="30"/>
      <c r="O180" s="83"/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46180</v>
      </c>
      <c r="AA180" s="31">
        <f t="shared" si="52"/>
        <v>11270</v>
      </c>
      <c r="AB180" s="32">
        <f>650*50+229*2</f>
        <v>32958</v>
      </c>
      <c r="AC180" s="32">
        <f>-50*6</f>
        <v>-300</v>
      </c>
      <c r="AD180" s="32"/>
      <c r="AE180" s="32">
        <f t="shared" si="49"/>
        <v>32658</v>
      </c>
      <c r="AF180" s="12"/>
      <c r="AH180" s="12"/>
      <c r="AI180" s="12">
        <f t="shared" si="50"/>
        <v>32658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/>
      <c r="C181" s="11" t="s">
        <v>27</v>
      </c>
      <c r="D181" s="32"/>
      <c r="E181" s="32"/>
      <c r="F181" s="32"/>
      <c r="G181" s="32">
        <f t="shared" si="45"/>
        <v>0</v>
      </c>
      <c r="H181" s="12"/>
      <c r="I181" s="12"/>
      <c r="J181" s="12"/>
      <c r="K181" s="12">
        <f t="shared" si="46"/>
        <v>0</v>
      </c>
      <c r="M181" s="10">
        <v>5</v>
      </c>
      <c r="N181" s="30"/>
      <c r="O181" s="83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215" si="53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8"/>
      <c r="AO181" s="108"/>
      <c r="AP181" s="86"/>
      <c r="AQ181" s="62"/>
      <c r="AR181" s="108"/>
      <c r="AS181" s="108"/>
      <c r="AT181" s="109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/>
      <c r="D182" s="32"/>
      <c r="E182" s="32"/>
      <c r="F182" s="32"/>
      <c r="G182" s="32">
        <f t="shared" si="45"/>
        <v>0</v>
      </c>
      <c r="H182" s="12"/>
      <c r="I182" s="12"/>
      <c r="J182" s="12"/>
      <c r="K182" s="12">
        <f t="shared" si="46"/>
        <v>0</v>
      </c>
      <c r="M182" s="10">
        <v>6</v>
      </c>
      <c r="N182" s="30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3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9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/>
      <c r="C183" s="83"/>
      <c r="D183" s="32"/>
      <c r="E183" s="32"/>
      <c r="F183" s="32"/>
      <c r="G183" s="32">
        <f t="shared" si="45"/>
        <v>0</v>
      </c>
      <c r="H183" s="12"/>
      <c r="I183" s="12"/>
      <c r="J183" s="12"/>
      <c r="K183" s="12">
        <f t="shared" si="46"/>
        <v>0</v>
      </c>
      <c r="M183" s="10">
        <v>7</v>
      </c>
      <c r="N183" s="30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3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/>
      <c r="C184" s="83"/>
      <c r="D184" s="32"/>
      <c r="E184" s="32"/>
      <c r="F184" s="32"/>
      <c r="G184" s="32">
        <f t="shared" si="45"/>
        <v>0</v>
      </c>
      <c r="H184" s="12"/>
      <c r="I184" s="12"/>
      <c r="J184" s="12"/>
      <c r="K184" s="12">
        <f t="shared" si="46"/>
        <v>0</v>
      </c>
      <c r="M184" s="10">
        <v>8</v>
      </c>
      <c r="N184" s="30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A184" s="31"/>
      <c r="AB184" s="32"/>
      <c r="AC184" s="32"/>
      <c r="AE184" s="32">
        <f t="shared" si="53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C185" s="32"/>
      <c r="AD185" s="32"/>
      <c r="AE185" s="32">
        <f t="shared" si="53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C186" s="83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B186" s="32"/>
      <c r="AC186" s="32"/>
      <c r="AD186" s="32"/>
      <c r="AE186" s="32">
        <f t="shared" si="53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si="53"/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83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O188" s="31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3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3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31"/>
      <c r="AB190" s="32"/>
      <c r="AC190" s="32"/>
      <c r="AD190" s="32"/>
      <c r="AE190" s="32">
        <f t="shared" si="53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3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57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3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3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3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3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3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3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3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3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3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3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3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3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3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3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3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3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3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3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4">SUM(P210:Q210)</f>
        <v>0</v>
      </c>
      <c r="T210" s="10"/>
      <c r="U210" s="10"/>
      <c r="V210" s="10"/>
      <c r="W210" s="12">
        <f t="shared" ref="W210:W218" si="55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si="53"/>
        <v>0</v>
      </c>
      <c r="AF210" s="10"/>
      <c r="AG210" s="10"/>
      <c r="AH210" s="10"/>
      <c r="AI210" s="12">
        <f t="shared" si="50"/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4"/>
        <v>0</v>
      </c>
      <c r="T211" s="10"/>
      <c r="U211" s="10"/>
      <c r="V211" s="10"/>
      <c r="W211" s="12">
        <f t="shared" si="55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3"/>
        <v>0</v>
      </c>
      <c r="AF211" s="10"/>
      <c r="AG211" s="10"/>
      <c r="AH211" s="10"/>
      <c r="AI211" s="12">
        <f t="shared" si="50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4"/>
        <v>0</v>
      </c>
      <c r="T212" s="10"/>
      <c r="U212" s="10"/>
      <c r="V212" s="10"/>
      <c r="W212" s="12">
        <f t="shared" si="55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3"/>
        <v>0</v>
      </c>
      <c r="AF212" s="10"/>
      <c r="AG212" s="10"/>
      <c r="AH212" s="10"/>
      <c r="AI212" s="12">
        <f t="shared" si="50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4"/>
        <v>0</v>
      </c>
      <c r="T213" s="10"/>
      <c r="U213" s="10"/>
      <c r="V213" s="10"/>
      <c r="W213" s="12">
        <f t="shared" si="55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3"/>
        <v>0</v>
      </c>
      <c r="AF213" s="10"/>
      <c r="AG213" s="10"/>
      <c r="AH213" s="10"/>
      <c r="AI213" s="12">
        <f t="shared" si="50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4"/>
        <v>0</v>
      </c>
      <c r="T214" s="10"/>
      <c r="U214" s="10"/>
      <c r="V214" s="10"/>
      <c r="W214" s="12">
        <f t="shared" si="55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3"/>
        <v>0</v>
      </c>
      <c r="AF214" s="10"/>
      <c r="AG214" s="10"/>
      <c r="AH214" s="10"/>
      <c r="AI214" s="12">
        <f t="shared" si="50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4"/>
        <v>0</v>
      </c>
      <c r="T215" s="10"/>
      <c r="U215" s="10"/>
      <c r="V215" s="10"/>
      <c r="W215" s="12">
        <f t="shared" si="55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3"/>
        <v>0</v>
      </c>
      <c r="AF215" s="10"/>
      <c r="AG215" s="10"/>
      <c r="AH215" s="10"/>
      <c r="AI215" s="12">
        <f t="shared" si="50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5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0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6">SUM(D217:E217)</f>
        <v>0</v>
      </c>
      <c r="H217" s="10"/>
      <c r="I217" s="10"/>
      <c r="J217" s="10"/>
      <c r="K217" s="12">
        <f t="shared" ref="K217" si="57">SUM(G217:J217)</f>
        <v>0</v>
      </c>
      <c r="M217" s="10"/>
      <c r="N217" s="30"/>
      <c r="O217" s="31"/>
      <c r="P217" s="47"/>
      <c r="Q217" s="31"/>
      <c r="R217" s="31"/>
      <c r="S217" s="32">
        <f t="shared" ref="S217" si="58">SUM(P217:Q217)</f>
        <v>0</v>
      </c>
      <c r="T217" s="10"/>
      <c r="U217" s="10"/>
      <c r="V217" s="10"/>
      <c r="W217" s="12">
        <f t="shared" si="55"/>
        <v>0</v>
      </c>
      <c r="Y217" s="10"/>
      <c r="Z217" s="30"/>
      <c r="AA217" s="31"/>
      <c r="AB217" s="47"/>
      <c r="AC217" s="31"/>
      <c r="AD217" s="31"/>
      <c r="AE217" s="32">
        <f t="shared" ref="AE217" si="59">SUM(AB217:AC217)</f>
        <v>0</v>
      </c>
      <c r="AF217" s="10"/>
      <c r="AG217" s="10"/>
      <c r="AH217" s="10"/>
      <c r="AI217" s="12">
        <f t="shared" si="50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5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0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198711</v>
      </c>
      <c r="E220" s="38">
        <f t="shared" ref="E220:F220" si="60">SUM(E177:E217)</f>
        <v>-1326</v>
      </c>
      <c r="F220" s="38">
        <f t="shared" si="60"/>
        <v>0</v>
      </c>
      <c r="G220" s="38">
        <f>SUM(G177:G219)</f>
        <v>197385</v>
      </c>
      <c r="H220" s="4"/>
      <c r="I220" s="39">
        <f>SUM(I177:I219)</f>
        <v>0</v>
      </c>
      <c r="J220" s="39">
        <f>SUM(J177:J219)</f>
        <v>-1440</v>
      </c>
      <c r="K220" s="40">
        <f>SUM(K177:K219)</f>
        <v>195945</v>
      </c>
      <c r="N220" s="57"/>
      <c r="O220" s="57"/>
      <c r="P220" s="38">
        <f>SUM(P177:P219)</f>
        <v>216797</v>
      </c>
      <c r="Q220" s="38">
        <f>SUM(Q177:Q201)</f>
        <v>-1950</v>
      </c>
      <c r="R220" s="38">
        <f>SUM(R177:R201)</f>
        <v>0</v>
      </c>
      <c r="S220" s="38">
        <f>SUM(S177:S219)</f>
        <v>214847</v>
      </c>
      <c r="T220" s="4"/>
      <c r="U220" s="41">
        <f>SUM(U177:U219)</f>
        <v>0</v>
      </c>
      <c r="V220" s="41">
        <f>SUM(V177:V201)</f>
        <v>-4155</v>
      </c>
      <c r="W220" s="42">
        <f>SUM(W177:W219)</f>
        <v>210692</v>
      </c>
      <c r="Z220" s="57"/>
      <c r="AA220" s="57"/>
      <c r="AB220" s="38">
        <f>SUM(AB177:AB219)</f>
        <v>255646</v>
      </c>
      <c r="AC220" s="38">
        <f>SUM(AC177:AC201)</f>
        <v>-2328</v>
      </c>
      <c r="AD220" s="38">
        <f>SUM(AD177:AD201)</f>
        <v>0</v>
      </c>
      <c r="AE220" s="38">
        <f>SUM(AE177:AE219)</f>
        <v>253318</v>
      </c>
      <c r="AF220" s="4"/>
      <c r="AG220" s="41">
        <f>SUM(AG177:AG219)</f>
        <v>0</v>
      </c>
      <c r="AH220" s="41">
        <f>SUM(AH177:AH201)</f>
        <v>-5550</v>
      </c>
      <c r="AI220" s="42">
        <f>SUM(AI177:AI219)</f>
        <v>247768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53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53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53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54</v>
      </c>
      <c r="B228" s="20"/>
      <c r="C228" s="57"/>
      <c r="D228" s="57"/>
      <c r="E228" s="57"/>
      <c r="G228" s="57"/>
      <c r="I228" s="22" t="s">
        <v>16</v>
      </c>
      <c r="J228" s="23" t="s">
        <v>36</v>
      </c>
      <c r="K228" s="24"/>
      <c r="M228" s="21" t="s">
        <v>55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55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2" t="s">
        <v>17</v>
      </c>
      <c r="E230" s="112"/>
      <c r="F230" s="95"/>
      <c r="G230" s="27"/>
      <c r="I230" s="110" t="s">
        <v>18</v>
      </c>
      <c r="J230" s="111"/>
      <c r="K230" s="113" t="s">
        <v>19</v>
      </c>
      <c r="N230" s="25"/>
      <c r="O230" s="26"/>
      <c r="P230" s="112" t="s">
        <v>17</v>
      </c>
      <c r="Q230" s="112"/>
      <c r="R230" s="95"/>
      <c r="S230" s="27"/>
      <c r="U230" s="110" t="s">
        <v>18</v>
      </c>
      <c r="V230" s="111"/>
      <c r="W230" s="113" t="s">
        <v>19</v>
      </c>
      <c r="Z230" s="25"/>
      <c r="AA230" s="26"/>
      <c r="AB230" s="112" t="s">
        <v>17</v>
      </c>
      <c r="AC230" s="112"/>
      <c r="AD230" s="95"/>
      <c r="AE230" s="27"/>
      <c r="AG230" s="110" t="s">
        <v>18</v>
      </c>
      <c r="AH230" s="111"/>
      <c r="AI230" s="113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31</v>
      </c>
      <c r="G231" s="78" t="s">
        <v>24</v>
      </c>
      <c r="I231" s="29" t="s">
        <v>25</v>
      </c>
      <c r="J231" s="29" t="s">
        <v>26</v>
      </c>
      <c r="K231" s="11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14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14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46210</v>
      </c>
      <c r="C232" s="83">
        <v>11024</v>
      </c>
      <c r="D232" s="32">
        <f>650*324+622*11+229*12</f>
        <v>220190</v>
      </c>
      <c r="E232" s="32">
        <f>-335*6</f>
        <v>-2010</v>
      </c>
      <c r="F232" s="32"/>
      <c r="G232" s="32">
        <f t="shared" ref="G232:G265" si="61">SUM(D232:E232)</f>
        <v>218180</v>
      </c>
      <c r="H232" s="12"/>
      <c r="I232" s="12">
        <f>1.5*48</f>
        <v>72</v>
      </c>
      <c r="J232" s="12"/>
      <c r="K232" s="12">
        <f t="shared" ref="K232:K265" si="62">SUM(G232:J232)</f>
        <v>218252</v>
      </c>
      <c r="M232" s="10">
        <v>1</v>
      </c>
      <c r="N232" s="30">
        <v>46210</v>
      </c>
      <c r="O232" s="83">
        <v>11229</v>
      </c>
      <c r="P232" s="32">
        <f>650*130+622*20+229*2</f>
        <v>97398</v>
      </c>
      <c r="Q232" s="32">
        <f>-150*6</f>
        <v>-900</v>
      </c>
      <c r="R232" s="32"/>
      <c r="S232" s="32">
        <f>SUM(P232:Q232)</f>
        <v>96498</v>
      </c>
      <c r="T232" s="12"/>
      <c r="U232" s="12">
        <f>1.5*20</f>
        <v>30</v>
      </c>
      <c r="V232" s="12"/>
      <c r="W232" s="12">
        <f>SUM(S232:V232)</f>
        <v>96528</v>
      </c>
      <c r="Y232" s="10">
        <v>1</v>
      </c>
      <c r="Z232" s="30">
        <v>46210</v>
      </c>
      <c r="AA232" s="31">
        <v>11271</v>
      </c>
      <c r="AB232" s="32">
        <f>650*117+622*66+872*2+229*4</f>
        <v>119762</v>
      </c>
      <c r="AC232" s="32">
        <f>-185*6</f>
        <v>-1110</v>
      </c>
      <c r="AD232" s="32"/>
      <c r="AE232" s="32">
        <f>SUM(AB232:AC232)</f>
        <v>118652</v>
      </c>
      <c r="AF232" s="12"/>
      <c r="AG232" s="12">
        <f>4.5+2.25*2+1.5*43</f>
        <v>73.5</v>
      </c>
      <c r="AH232" s="12"/>
      <c r="AI232" s="12">
        <f>SUM(AE232:AH232)</f>
        <v>118725.5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/>
      <c r="C233" s="11" t="s">
        <v>27</v>
      </c>
      <c r="D233" s="32"/>
      <c r="E233" s="32"/>
      <c r="F233" s="32"/>
      <c r="G233" s="32">
        <f t="shared" si="61"/>
        <v>0</v>
      </c>
      <c r="H233" s="12"/>
      <c r="I233" s="12"/>
      <c r="J233" s="12"/>
      <c r="K233" s="12">
        <f t="shared" si="62"/>
        <v>0</v>
      </c>
      <c r="M233" s="10">
        <v>2</v>
      </c>
      <c r="N233" s="30">
        <v>46210</v>
      </c>
      <c r="O233" s="83">
        <f>O232+1</f>
        <v>11230</v>
      </c>
      <c r="P233" s="32">
        <f>650*216+622*50+229*10</f>
        <v>173790</v>
      </c>
      <c r="Q233" s="32">
        <f>-266*6</f>
        <v>-1596</v>
      </c>
      <c r="R233" s="32"/>
      <c r="S233" s="32">
        <f t="shared" ref="S233:S264" si="63">SUM(P233:Q233)</f>
        <v>172194</v>
      </c>
      <c r="T233" s="12"/>
      <c r="U233" s="12">
        <f>78*9</f>
        <v>702</v>
      </c>
      <c r="V233" s="12">
        <f>-42*15</f>
        <v>-630</v>
      </c>
      <c r="W233" s="12">
        <f t="shared" ref="W233:W264" si="64">SUM(S233:V233)</f>
        <v>172266</v>
      </c>
      <c r="Y233" s="10">
        <v>2</v>
      </c>
      <c r="Z233" s="30">
        <v>46210</v>
      </c>
      <c r="AA233" s="31">
        <f>AA232+1</f>
        <v>11272</v>
      </c>
      <c r="AB233" s="32">
        <f>650*93+622*22+912*2+872*2+229*4</f>
        <v>78618</v>
      </c>
      <c r="AC233" s="32">
        <f>-119*6</f>
        <v>-714</v>
      </c>
      <c r="AD233" s="32"/>
      <c r="AE233" s="32">
        <f t="shared" ref="AE233:AE235" si="65">SUM(AB233:AC233)</f>
        <v>77904</v>
      </c>
      <c r="AF233" s="12"/>
      <c r="AG233" s="12"/>
      <c r="AH233" s="12"/>
      <c r="AI233" s="12">
        <f t="shared" ref="AI233:AI273" si="66">SUM(AE233:AH233)</f>
        <v>77904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/>
      <c r="C234" s="83"/>
      <c r="D234" s="33"/>
      <c r="E234" s="33"/>
      <c r="F234" s="33"/>
      <c r="G234" s="33">
        <f t="shared" si="61"/>
        <v>0</v>
      </c>
      <c r="H234" s="34"/>
      <c r="I234" s="34"/>
      <c r="J234" s="34"/>
      <c r="K234" s="34">
        <f t="shared" si="62"/>
        <v>0</v>
      </c>
      <c r="M234" s="10">
        <v>3</v>
      </c>
      <c r="N234" s="30">
        <v>46210</v>
      </c>
      <c r="O234" s="83">
        <f t="shared" ref="O234:O235" si="67">O233+1</f>
        <v>11231</v>
      </c>
      <c r="P234" s="33">
        <f>650*6</f>
        <v>3900</v>
      </c>
      <c r="Q234" s="33"/>
      <c r="R234" s="32"/>
      <c r="S234" s="32">
        <f t="shared" si="63"/>
        <v>3900</v>
      </c>
      <c r="T234" s="12"/>
      <c r="U234" s="34"/>
      <c r="V234" s="34">
        <f>-111*6</f>
        <v>-666</v>
      </c>
      <c r="W234" s="12">
        <f t="shared" si="64"/>
        <v>3234</v>
      </c>
      <c r="Y234" s="10">
        <v>3</v>
      </c>
      <c r="Z234" s="30">
        <v>46210</v>
      </c>
      <c r="AA234" s="31">
        <f t="shared" ref="AA234:AA238" si="68">AA233+1</f>
        <v>11273</v>
      </c>
      <c r="AB234" s="33">
        <f>650*5</f>
        <v>3250</v>
      </c>
      <c r="AC234" s="33"/>
      <c r="AD234" s="32"/>
      <c r="AE234" s="32">
        <f t="shared" si="65"/>
        <v>3250</v>
      </c>
      <c r="AF234" s="12"/>
      <c r="AG234" s="12"/>
      <c r="AH234" s="12">
        <f>-111*9</f>
        <v>-999</v>
      </c>
      <c r="AI234" s="12">
        <f t="shared" si="66"/>
        <v>2251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/>
      <c r="C235" s="83"/>
      <c r="D235" s="32"/>
      <c r="E235" s="32"/>
      <c r="F235" s="32"/>
      <c r="G235" s="32">
        <f t="shared" si="61"/>
        <v>0</v>
      </c>
      <c r="H235" s="12"/>
      <c r="I235" s="12"/>
      <c r="J235" s="12"/>
      <c r="K235" s="12">
        <f t="shared" si="62"/>
        <v>0</v>
      </c>
      <c r="M235" s="10">
        <v>4</v>
      </c>
      <c r="N235" s="30">
        <v>46210</v>
      </c>
      <c r="O235" s="83">
        <f t="shared" si="67"/>
        <v>11232</v>
      </c>
      <c r="P235" s="32">
        <f>650*2</f>
        <v>1300</v>
      </c>
      <c r="Q235" s="32"/>
      <c r="R235" s="32"/>
      <c r="S235" s="32">
        <f t="shared" si="63"/>
        <v>1300</v>
      </c>
      <c r="T235" s="12"/>
      <c r="U235" s="12"/>
      <c r="V235" s="12">
        <f>-111*2</f>
        <v>-222</v>
      </c>
      <c r="W235" s="12">
        <f t="shared" si="64"/>
        <v>1078</v>
      </c>
      <c r="Y235" s="10">
        <v>4</v>
      </c>
      <c r="Z235" s="30">
        <v>46210</v>
      </c>
      <c r="AA235" s="31">
        <f t="shared" si="68"/>
        <v>11274</v>
      </c>
      <c r="AB235" s="32">
        <f>650*13</f>
        <v>8450</v>
      </c>
      <c r="AC235" s="32"/>
      <c r="AD235" s="32"/>
      <c r="AE235" s="32">
        <f t="shared" si="65"/>
        <v>8450</v>
      </c>
      <c r="AF235" s="12"/>
      <c r="AG235">
        <f>4.5*24</f>
        <v>108</v>
      </c>
      <c r="AH235" s="12"/>
      <c r="AI235" s="12">
        <f t="shared" si="66"/>
        <v>8558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/>
      <c r="D236" s="32"/>
      <c r="E236" s="32"/>
      <c r="F236" s="32"/>
      <c r="G236" s="32">
        <f t="shared" si="61"/>
        <v>0</v>
      </c>
      <c r="H236" s="12"/>
      <c r="I236" s="12"/>
      <c r="J236" s="12"/>
      <c r="K236" s="12">
        <f t="shared" si="62"/>
        <v>0</v>
      </c>
      <c r="M236" s="10">
        <v>5</v>
      </c>
      <c r="N236" s="30"/>
      <c r="O236" s="11" t="s">
        <v>27</v>
      </c>
      <c r="P236" s="32"/>
      <c r="Q236" s="32"/>
      <c r="R236" s="32"/>
      <c r="S236" s="32">
        <f t="shared" si="63"/>
        <v>0</v>
      </c>
      <c r="T236" s="12"/>
      <c r="U236" s="12"/>
      <c r="V236" s="12"/>
      <c r="W236" s="12">
        <f t="shared" si="64"/>
        <v>0</v>
      </c>
      <c r="Y236" s="10">
        <v>5</v>
      </c>
      <c r="Z236" s="30">
        <v>46210</v>
      </c>
      <c r="AA236" s="31">
        <f t="shared" si="68"/>
        <v>11275</v>
      </c>
      <c r="AB236" s="32">
        <f>650*30</f>
        <v>19500</v>
      </c>
      <c r="AC236" s="32"/>
      <c r="AD236" s="32"/>
      <c r="AE236" s="32">
        <f t="shared" ref="AE236:AE270" si="69">SUM(AB236:AC236)</f>
        <v>19500</v>
      </c>
      <c r="AF236" s="12"/>
      <c r="AG236" s="12">
        <f>4.5*3</f>
        <v>13.5</v>
      </c>
      <c r="AH236" s="12"/>
      <c r="AI236" s="12">
        <f t="shared" si="66"/>
        <v>19513.5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/>
      <c r="C237" s="57"/>
      <c r="D237" s="32"/>
      <c r="E237" s="32"/>
      <c r="F237" s="32"/>
      <c r="G237" s="32">
        <f t="shared" si="61"/>
        <v>0</v>
      </c>
      <c r="H237" s="12"/>
      <c r="I237" s="12"/>
      <c r="J237" s="12"/>
      <c r="K237" s="12">
        <f t="shared" si="62"/>
        <v>0</v>
      </c>
      <c r="M237" s="10">
        <v>6</v>
      </c>
      <c r="N237" s="30"/>
      <c r="P237" s="32"/>
      <c r="Q237" s="32"/>
      <c r="R237" s="32"/>
      <c r="S237" s="32">
        <f t="shared" si="63"/>
        <v>0</v>
      </c>
      <c r="T237" s="12"/>
      <c r="U237" s="12"/>
      <c r="V237" s="10"/>
      <c r="W237" s="12">
        <f t="shared" si="64"/>
        <v>0</v>
      </c>
      <c r="Y237" s="10">
        <v>6</v>
      </c>
      <c r="Z237" s="30">
        <v>46210</v>
      </c>
      <c r="AA237" s="31">
        <f t="shared" si="68"/>
        <v>11276</v>
      </c>
      <c r="AB237" s="32">
        <f>650*10</f>
        <v>6500</v>
      </c>
      <c r="AC237" s="32"/>
      <c r="AD237" s="32"/>
      <c r="AE237" s="32">
        <f t="shared" si="69"/>
        <v>6500</v>
      </c>
      <c r="AF237" s="12"/>
      <c r="AG237" s="12"/>
      <c r="AH237" s="10"/>
      <c r="AI237" s="12">
        <f t="shared" si="66"/>
        <v>6500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83"/>
      <c r="D238" s="32"/>
      <c r="E238" s="32"/>
      <c r="F238" s="32"/>
      <c r="G238" s="32">
        <f t="shared" si="61"/>
        <v>0</v>
      </c>
      <c r="H238" s="12"/>
      <c r="I238" s="12"/>
      <c r="J238" s="12"/>
      <c r="K238" s="12">
        <f t="shared" si="62"/>
        <v>0</v>
      </c>
      <c r="M238" s="10">
        <v>7</v>
      </c>
      <c r="N238" s="30"/>
      <c r="P238" s="32"/>
      <c r="Q238" s="32"/>
      <c r="R238" s="32"/>
      <c r="S238" s="32">
        <f t="shared" si="63"/>
        <v>0</v>
      </c>
      <c r="T238" s="12"/>
      <c r="U238" s="12"/>
      <c r="V238" s="12"/>
      <c r="W238" s="12">
        <f t="shared" si="64"/>
        <v>0</v>
      </c>
      <c r="Y238" s="10">
        <v>7</v>
      </c>
      <c r="Z238" s="30">
        <v>46210</v>
      </c>
      <c r="AA238" s="31">
        <f t="shared" si="68"/>
        <v>11277</v>
      </c>
      <c r="AB238" s="32">
        <f>650*10</f>
        <v>6500</v>
      </c>
      <c r="AC238" s="32"/>
      <c r="AD238" s="32"/>
      <c r="AE238" s="32">
        <f t="shared" si="69"/>
        <v>6500</v>
      </c>
      <c r="AF238" s="12"/>
      <c r="AG238" s="58">
        <f>111*10</f>
        <v>1110</v>
      </c>
      <c r="AH238" s="12"/>
      <c r="AI238" s="12">
        <f t="shared" si="66"/>
        <v>7610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83"/>
      <c r="D239" s="32"/>
      <c r="E239" s="32"/>
      <c r="F239" s="32"/>
      <c r="G239" s="32">
        <f t="shared" si="61"/>
        <v>0</v>
      </c>
      <c r="H239" s="12"/>
      <c r="I239" s="12"/>
      <c r="J239" s="12"/>
      <c r="K239" s="12">
        <f t="shared" si="62"/>
        <v>0</v>
      </c>
      <c r="M239" s="10">
        <v>8</v>
      </c>
      <c r="N239" s="30"/>
      <c r="P239" s="32"/>
      <c r="Q239" s="32"/>
      <c r="R239" s="32"/>
      <c r="S239" s="32">
        <f t="shared" si="63"/>
        <v>0</v>
      </c>
      <c r="T239" s="12"/>
      <c r="U239" s="12"/>
      <c r="V239" s="12"/>
      <c r="W239" s="12">
        <f t="shared" si="64"/>
        <v>0</v>
      </c>
      <c r="Y239" s="10">
        <v>8</v>
      </c>
      <c r="Z239" s="30"/>
      <c r="AA239" s="11" t="s">
        <v>27</v>
      </c>
      <c r="AB239" s="32"/>
      <c r="AC239" s="32"/>
      <c r="AE239" s="32">
        <f t="shared" si="69"/>
        <v>0</v>
      </c>
      <c r="AF239" s="12"/>
      <c r="AG239" s="12"/>
      <c r="AH239" s="12"/>
      <c r="AI239" s="12">
        <f t="shared" si="66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57"/>
      <c r="D240" s="32"/>
      <c r="E240" s="32"/>
      <c r="F240" s="32"/>
      <c r="G240" s="32">
        <f t="shared" si="61"/>
        <v>0</v>
      </c>
      <c r="H240" s="12"/>
      <c r="I240" s="12"/>
      <c r="J240" s="12"/>
      <c r="K240" s="12">
        <f t="shared" si="62"/>
        <v>0</v>
      </c>
      <c r="M240" s="10">
        <v>9</v>
      </c>
      <c r="N240" s="30"/>
      <c r="O240" s="31"/>
      <c r="P240" s="32"/>
      <c r="Q240" s="32"/>
      <c r="R240" s="32"/>
      <c r="S240" s="32">
        <f t="shared" si="63"/>
        <v>0</v>
      </c>
      <c r="T240" s="12"/>
      <c r="U240" s="12"/>
      <c r="V240" s="12"/>
      <c r="W240" s="12">
        <f t="shared" si="64"/>
        <v>0</v>
      </c>
      <c r="Y240" s="10">
        <v>9</v>
      </c>
      <c r="Z240" s="30"/>
      <c r="AC240" s="32"/>
      <c r="AD240" s="32"/>
      <c r="AE240" s="32">
        <f t="shared" si="69"/>
        <v>0</v>
      </c>
      <c r="AF240" s="12"/>
      <c r="AH240" s="12"/>
      <c r="AI240" s="12">
        <f t="shared" si="66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83"/>
      <c r="D241" s="32"/>
      <c r="E241" s="32"/>
      <c r="F241" s="32"/>
      <c r="G241" s="32">
        <f t="shared" si="61"/>
        <v>0</v>
      </c>
      <c r="H241" s="12"/>
      <c r="I241" s="12"/>
      <c r="J241" s="12"/>
      <c r="K241" s="12">
        <f t="shared" si="62"/>
        <v>0</v>
      </c>
      <c r="M241" s="10">
        <v>10</v>
      </c>
      <c r="N241" s="30"/>
      <c r="P241" s="32"/>
      <c r="Q241" s="32"/>
      <c r="R241" s="32"/>
      <c r="S241" s="32">
        <f t="shared" si="63"/>
        <v>0</v>
      </c>
      <c r="T241" s="12"/>
      <c r="U241" s="12"/>
      <c r="V241" s="12"/>
      <c r="W241" s="12">
        <f t="shared" si="64"/>
        <v>0</v>
      </c>
      <c r="Y241" s="10">
        <v>10</v>
      </c>
      <c r="Z241" s="30"/>
      <c r="AB241" s="32"/>
      <c r="AC241" s="32"/>
      <c r="AD241" s="32"/>
      <c r="AE241" s="32">
        <f t="shared" si="69"/>
        <v>0</v>
      </c>
      <c r="AF241" s="12"/>
      <c r="AG241" s="12"/>
      <c r="AH241" s="12"/>
      <c r="AI241" s="12">
        <f t="shared" si="66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83"/>
      <c r="D242" s="32"/>
      <c r="E242" s="32"/>
      <c r="F242" s="32"/>
      <c r="G242" s="32">
        <f t="shared" si="61"/>
        <v>0</v>
      </c>
      <c r="H242" s="12"/>
      <c r="I242" s="12"/>
      <c r="J242" s="12"/>
      <c r="K242" s="12">
        <f t="shared" si="62"/>
        <v>0</v>
      </c>
      <c r="M242" s="10">
        <v>11</v>
      </c>
      <c r="N242" s="30"/>
      <c r="O242" s="31"/>
      <c r="P242" s="32"/>
      <c r="Q242" s="32"/>
      <c r="R242" s="32"/>
      <c r="S242" s="32">
        <f t="shared" si="63"/>
        <v>0</v>
      </c>
      <c r="T242" s="12"/>
      <c r="U242" s="12"/>
      <c r="V242" s="12"/>
      <c r="W242" s="12">
        <f t="shared" si="64"/>
        <v>0</v>
      </c>
      <c r="Y242" s="10">
        <v>11</v>
      </c>
      <c r="Z242" s="30"/>
      <c r="AA242" s="31"/>
      <c r="AB242" s="32"/>
      <c r="AC242" s="32"/>
      <c r="AD242" s="32"/>
      <c r="AE242" s="32">
        <f t="shared" si="69"/>
        <v>0</v>
      </c>
      <c r="AF242" s="12"/>
      <c r="AG242" s="12"/>
      <c r="AH242" s="12"/>
      <c r="AI242" s="12">
        <f t="shared" si="66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83"/>
      <c r="D243" s="32"/>
      <c r="E243" s="32"/>
      <c r="F243" s="32"/>
      <c r="G243" s="32">
        <f t="shared" si="61"/>
        <v>0</v>
      </c>
      <c r="H243" s="12"/>
      <c r="I243" s="12"/>
      <c r="J243" s="10"/>
      <c r="K243" s="12">
        <f t="shared" si="62"/>
        <v>0</v>
      </c>
      <c r="M243" s="10">
        <v>12</v>
      </c>
      <c r="N243" s="30"/>
      <c r="O243" s="31"/>
      <c r="P243" s="32"/>
      <c r="Q243" s="32"/>
      <c r="R243" s="32"/>
      <c r="S243" s="32">
        <f t="shared" si="63"/>
        <v>0</v>
      </c>
      <c r="T243" s="12"/>
      <c r="U243" s="12"/>
      <c r="V243" s="12"/>
      <c r="W243" s="12">
        <f t="shared" si="64"/>
        <v>0</v>
      </c>
      <c r="Y243" s="10">
        <v>12</v>
      </c>
      <c r="Z243" s="30"/>
      <c r="AA243" s="31"/>
      <c r="AB243" s="32"/>
      <c r="AC243" s="32"/>
      <c r="AD243" s="32"/>
      <c r="AE243" s="32">
        <f t="shared" si="69"/>
        <v>0</v>
      </c>
      <c r="AF243" s="12"/>
      <c r="AG243" s="12"/>
      <c r="AH243" s="12"/>
      <c r="AI243" s="12">
        <f t="shared" si="66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61"/>
        <v>0</v>
      </c>
      <c r="H244" s="12"/>
      <c r="I244" s="12"/>
      <c r="J244" s="12"/>
      <c r="K244" s="12">
        <f t="shared" si="62"/>
        <v>0</v>
      </c>
      <c r="M244" s="10">
        <v>13</v>
      </c>
      <c r="N244" s="30"/>
      <c r="O244" s="31"/>
      <c r="P244" s="32"/>
      <c r="Q244" s="32"/>
      <c r="R244" s="32"/>
      <c r="S244" s="32">
        <f t="shared" si="63"/>
        <v>0</v>
      </c>
      <c r="T244" s="12"/>
      <c r="U244" s="12"/>
      <c r="V244" s="12"/>
      <c r="W244" s="12">
        <f t="shared" si="64"/>
        <v>0</v>
      </c>
      <c r="Y244" s="10">
        <v>13</v>
      </c>
      <c r="Z244" s="30"/>
      <c r="AA244" s="31"/>
      <c r="AB244" s="32"/>
      <c r="AC244" s="32"/>
      <c r="AD244" s="32"/>
      <c r="AE244" s="32">
        <f t="shared" si="69"/>
        <v>0</v>
      </c>
      <c r="AF244" s="12"/>
      <c r="AG244" s="12"/>
      <c r="AH244" s="12"/>
      <c r="AI244" s="12">
        <f t="shared" si="66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61"/>
        <v>0</v>
      </c>
      <c r="H245" s="12"/>
      <c r="I245" s="12"/>
      <c r="J245" s="12"/>
      <c r="K245" s="12">
        <f t="shared" si="62"/>
        <v>0</v>
      </c>
      <c r="M245" s="10">
        <v>14</v>
      </c>
      <c r="N245" s="30"/>
      <c r="O245" s="31"/>
      <c r="P245" s="32"/>
      <c r="Q245" s="32"/>
      <c r="R245" s="32"/>
      <c r="S245" s="32">
        <f t="shared" si="63"/>
        <v>0</v>
      </c>
      <c r="T245" s="12"/>
      <c r="U245" s="12"/>
      <c r="V245" s="12"/>
      <c r="W245" s="12">
        <f t="shared" si="64"/>
        <v>0</v>
      </c>
      <c r="Y245" s="10">
        <v>14</v>
      </c>
      <c r="Z245" s="30"/>
      <c r="AA245" s="31"/>
      <c r="AB245" s="32"/>
      <c r="AC245" s="32"/>
      <c r="AD245" s="32"/>
      <c r="AE245" s="32">
        <f t="shared" si="69"/>
        <v>0</v>
      </c>
      <c r="AF245" s="12"/>
      <c r="AG245" s="12"/>
      <c r="AH245" s="12"/>
      <c r="AI245" s="12">
        <f t="shared" si="66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61"/>
        <v>0</v>
      </c>
      <c r="H246" s="12"/>
      <c r="I246" s="12"/>
      <c r="J246" s="12"/>
      <c r="K246" s="12">
        <f t="shared" si="62"/>
        <v>0</v>
      </c>
      <c r="M246" s="10">
        <v>15</v>
      </c>
      <c r="N246" s="30"/>
      <c r="O246" s="31"/>
      <c r="P246" s="32"/>
      <c r="Q246" s="32"/>
      <c r="R246" s="32"/>
      <c r="S246" s="32">
        <f t="shared" si="63"/>
        <v>0</v>
      </c>
      <c r="T246" s="12"/>
      <c r="U246" s="12"/>
      <c r="V246" s="12"/>
      <c r="W246" s="12">
        <f t="shared" si="64"/>
        <v>0</v>
      </c>
      <c r="Y246" s="10">
        <v>15</v>
      </c>
      <c r="Z246" s="30"/>
      <c r="AA246" s="31"/>
      <c r="AB246" s="32"/>
      <c r="AC246" s="32"/>
      <c r="AD246" s="32"/>
      <c r="AE246" s="32">
        <f t="shared" si="69"/>
        <v>0</v>
      </c>
      <c r="AF246" s="12"/>
      <c r="AG246" s="12"/>
      <c r="AH246" s="12"/>
      <c r="AI246" s="12">
        <f t="shared" si="66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57"/>
      <c r="D247" s="32"/>
      <c r="E247" s="32"/>
      <c r="F247" s="32"/>
      <c r="G247" s="32">
        <f t="shared" si="61"/>
        <v>0</v>
      </c>
      <c r="H247" s="12"/>
      <c r="I247" s="12"/>
      <c r="J247" s="12"/>
      <c r="K247" s="12">
        <f t="shared" si="62"/>
        <v>0</v>
      </c>
      <c r="M247" s="10">
        <v>16</v>
      </c>
      <c r="N247" s="30"/>
      <c r="P247" s="32"/>
      <c r="Q247" s="32"/>
      <c r="R247" s="32"/>
      <c r="S247" s="32">
        <f t="shared" si="63"/>
        <v>0</v>
      </c>
      <c r="T247" s="12"/>
      <c r="U247" s="12"/>
      <c r="V247" s="12"/>
      <c r="W247" s="12">
        <f t="shared" si="64"/>
        <v>0</v>
      </c>
      <c r="Y247" s="10">
        <v>16</v>
      </c>
      <c r="Z247" s="30"/>
      <c r="AB247" s="32"/>
      <c r="AC247" s="32"/>
      <c r="AD247" s="32"/>
      <c r="AE247" s="32">
        <f t="shared" si="69"/>
        <v>0</v>
      </c>
      <c r="AF247" s="12"/>
      <c r="AG247" s="12"/>
      <c r="AH247" s="12"/>
      <c r="AI247" s="12">
        <f t="shared" si="66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61"/>
        <v>0</v>
      </c>
      <c r="H248" s="12"/>
      <c r="I248" s="12"/>
      <c r="J248" s="12"/>
      <c r="K248" s="12">
        <f t="shared" si="62"/>
        <v>0</v>
      </c>
      <c r="M248" s="10">
        <v>17</v>
      </c>
      <c r="N248" s="30"/>
      <c r="O248" s="31"/>
      <c r="P248" s="35"/>
      <c r="Q248" s="32"/>
      <c r="R248" s="32"/>
      <c r="S248" s="32">
        <f t="shared" si="63"/>
        <v>0</v>
      </c>
      <c r="T248" s="12"/>
      <c r="U248" s="12"/>
      <c r="V248" s="12"/>
      <c r="W248" s="12">
        <f t="shared" si="64"/>
        <v>0</v>
      </c>
      <c r="Y248" s="10">
        <v>17</v>
      </c>
      <c r="Z248" s="30"/>
      <c r="AA248" s="31"/>
      <c r="AB248" s="35"/>
      <c r="AC248" s="32"/>
      <c r="AD248" s="32"/>
      <c r="AE248" s="32">
        <f t="shared" si="69"/>
        <v>0</v>
      </c>
      <c r="AF248" s="12"/>
      <c r="AG248" s="12"/>
      <c r="AH248" s="12"/>
      <c r="AI248" s="12">
        <f t="shared" si="66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61"/>
        <v>0</v>
      </c>
      <c r="H249" s="12"/>
      <c r="I249" s="12"/>
      <c r="J249" s="12"/>
      <c r="K249" s="12">
        <f t="shared" si="62"/>
        <v>0</v>
      </c>
      <c r="M249" s="10">
        <v>18</v>
      </c>
      <c r="N249" s="30"/>
      <c r="O249" s="31"/>
      <c r="P249" s="32"/>
      <c r="Q249" s="32"/>
      <c r="R249" s="32"/>
      <c r="S249" s="32">
        <f t="shared" si="63"/>
        <v>0</v>
      </c>
      <c r="T249" s="12"/>
      <c r="U249" s="12"/>
      <c r="V249" s="12"/>
      <c r="W249" s="12">
        <f t="shared" si="64"/>
        <v>0</v>
      </c>
      <c r="Y249" s="10">
        <v>18</v>
      </c>
      <c r="Z249" s="30"/>
      <c r="AA249" s="31"/>
      <c r="AB249" s="32"/>
      <c r="AC249" s="32"/>
      <c r="AD249" s="32"/>
      <c r="AE249" s="32">
        <f t="shared" si="69"/>
        <v>0</v>
      </c>
      <c r="AF249" s="12"/>
      <c r="AG249" s="12"/>
      <c r="AH249" s="12"/>
      <c r="AI249" s="12">
        <f t="shared" si="66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61"/>
        <v>0</v>
      </c>
      <c r="H250" s="12"/>
      <c r="I250" s="12"/>
      <c r="J250" s="12"/>
      <c r="K250" s="12">
        <f t="shared" si="62"/>
        <v>0</v>
      </c>
      <c r="M250" s="10">
        <v>19</v>
      </c>
      <c r="N250" s="30"/>
      <c r="O250" s="31"/>
      <c r="P250" s="32"/>
      <c r="Q250" s="32"/>
      <c r="R250" s="32"/>
      <c r="S250" s="32">
        <f t="shared" si="63"/>
        <v>0</v>
      </c>
      <c r="T250" s="12"/>
      <c r="U250" s="12"/>
      <c r="V250" s="12"/>
      <c r="W250" s="12">
        <f t="shared" si="64"/>
        <v>0</v>
      </c>
      <c r="Y250" s="10">
        <v>19</v>
      </c>
      <c r="Z250" s="30"/>
      <c r="AA250" s="31"/>
      <c r="AB250" s="32"/>
      <c r="AC250" s="32"/>
      <c r="AD250" s="32"/>
      <c r="AE250" s="32">
        <f t="shared" si="69"/>
        <v>0</v>
      </c>
      <c r="AF250" s="12"/>
      <c r="AG250" s="12"/>
      <c r="AH250" s="12"/>
      <c r="AI250" s="12">
        <f t="shared" si="66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61"/>
        <v>0</v>
      </c>
      <c r="H251" s="12"/>
      <c r="I251" s="12"/>
      <c r="J251" s="12"/>
      <c r="K251" s="12">
        <f t="shared" si="62"/>
        <v>0</v>
      </c>
      <c r="M251" s="10">
        <v>20</v>
      </c>
      <c r="N251" s="30"/>
      <c r="O251" s="31"/>
      <c r="P251" s="32"/>
      <c r="Q251" s="32"/>
      <c r="R251" s="32"/>
      <c r="S251" s="32">
        <f t="shared" si="63"/>
        <v>0</v>
      </c>
      <c r="T251" s="12"/>
      <c r="U251" s="12"/>
      <c r="V251" s="12"/>
      <c r="W251" s="12">
        <f t="shared" si="64"/>
        <v>0</v>
      </c>
      <c r="Y251" s="10">
        <v>20</v>
      </c>
      <c r="Z251" s="30"/>
      <c r="AB251" s="32"/>
      <c r="AC251" s="32"/>
      <c r="AD251" s="32"/>
      <c r="AE251" s="32">
        <f t="shared" si="69"/>
        <v>0</v>
      </c>
      <c r="AF251" s="12"/>
      <c r="AG251" s="12"/>
      <c r="AH251" s="12"/>
      <c r="AI251" s="12">
        <f t="shared" si="66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83"/>
      <c r="D252" s="32"/>
      <c r="E252" s="32"/>
      <c r="F252" s="32"/>
      <c r="G252" s="32">
        <f t="shared" si="61"/>
        <v>0</v>
      </c>
      <c r="H252" s="10"/>
      <c r="I252" s="10"/>
      <c r="J252" s="10"/>
      <c r="K252" s="12">
        <f t="shared" si="62"/>
        <v>0</v>
      </c>
      <c r="M252" s="10">
        <v>21</v>
      </c>
      <c r="N252" s="30"/>
      <c r="O252" s="31"/>
      <c r="P252" s="46"/>
      <c r="Q252" s="31"/>
      <c r="R252" s="31"/>
      <c r="S252" s="32">
        <f t="shared" si="63"/>
        <v>0</v>
      </c>
      <c r="T252" s="10"/>
      <c r="U252" s="10"/>
      <c r="V252" s="10"/>
      <c r="W252" s="12">
        <f t="shared" si="64"/>
        <v>0</v>
      </c>
      <c r="Y252" s="10">
        <v>21</v>
      </c>
      <c r="Z252" s="30"/>
      <c r="AA252" s="31"/>
      <c r="AB252" s="46"/>
      <c r="AC252" s="31"/>
      <c r="AD252" s="31"/>
      <c r="AE252" s="32">
        <f t="shared" si="69"/>
        <v>0</v>
      </c>
      <c r="AF252" s="10"/>
      <c r="AG252" s="10"/>
      <c r="AH252" s="10"/>
      <c r="AI252" s="12">
        <f t="shared" si="66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61"/>
        <v>0</v>
      </c>
      <c r="H253" s="10"/>
      <c r="I253" s="10"/>
      <c r="J253" s="10"/>
      <c r="K253" s="12">
        <f t="shared" si="62"/>
        <v>0</v>
      </c>
      <c r="M253" s="10">
        <v>22</v>
      </c>
      <c r="N253" s="30"/>
      <c r="O253" s="31"/>
      <c r="P253" s="45"/>
      <c r="Q253" s="31"/>
      <c r="R253" s="31"/>
      <c r="S253" s="32">
        <f t="shared" si="63"/>
        <v>0</v>
      </c>
      <c r="T253" s="10"/>
      <c r="U253" s="10"/>
      <c r="V253" s="10"/>
      <c r="W253" s="12">
        <f t="shared" si="64"/>
        <v>0</v>
      </c>
      <c r="Y253" s="10">
        <v>22</v>
      </c>
      <c r="Z253" s="30"/>
      <c r="AA253" s="31"/>
      <c r="AB253" s="45"/>
      <c r="AC253" s="31"/>
      <c r="AD253" s="31"/>
      <c r="AE253" s="32">
        <f t="shared" si="69"/>
        <v>0</v>
      </c>
      <c r="AF253" s="10"/>
      <c r="AG253" s="10"/>
      <c r="AH253" s="10"/>
      <c r="AI253" s="12">
        <f t="shared" si="66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61"/>
        <v>0</v>
      </c>
      <c r="H254" s="10"/>
      <c r="I254" s="10"/>
      <c r="J254" s="12"/>
      <c r="K254" s="12">
        <f t="shared" si="62"/>
        <v>0</v>
      </c>
      <c r="M254" s="10">
        <v>23</v>
      </c>
      <c r="N254" s="30"/>
      <c r="O254" s="31"/>
      <c r="P254" s="47"/>
      <c r="S254" s="32">
        <f t="shared" si="63"/>
        <v>0</v>
      </c>
      <c r="T254" s="10"/>
      <c r="U254" s="10"/>
      <c r="V254" s="10"/>
      <c r="W254" s="12">
        <f t="shared" si="64"/>
        <v>0</v>
      </c>
      <c r="Y254" s="10">
        <v>23</v>
      </c>
      <c r="Z254" s="30"/>
      <c r="AA254" s="31"/>
      <c r="AB254" s="47"/>
      <c r="AE254" s="32">
        <f t="shared" si="69"/>
        <v>0</v>
      </c>
      <c r="AF254" s="10"/>
      <c r="AG254" s="10"/>
      <c r="AH254" s="10"/>
      <c r="AI254" s="12">
        <f t="shared" si="66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61"/>
        <v>0</v>
      </c>
      <c r="H255" s="10"/>
      <c r="I255" s="10"/>
      <c r="J255" s="10"/>
      <c r="K255" s="12">
        <f t="shared" si="62"/>
        <v>0</v>
      </c>
      <c r="M255" s="10">
        <v>24</v>
      </c>
      <c r="N255" s="30"/>
      <c r="O255" s="31"/>
      <c r="P255" s="47"/>
      <c r="Q255" s="31"/>
      <c r="R255" s="31"/>
      <c r="S255" s="32">
        <f t="shared" si="63"/>
        <v>0</v>
      </c>
      <c r="T255" s="10"/>
      <c r="U255" s="10"/>
      <c r="V255" s="10"/>
      <c r="W255" s="12">
        <f t="shared" si="64"/>
        <v>0</v>
      </c>
      <c r="Y255" s="10">
        <v>24</v>
      </c>
      <c r="Z255" s="30"/>
      <c r="AA255" s="31"/>
      <c r="AB255" s="47"/>
      <c r="AC255" s="31"/>
      <c r="AD255" s="31"/>
      <c r="AE255" s="32">
        <f t="shared" si="69"/>
        <v>0</v>
      </c>
      <c r="AF255" s="10"/>
      <c r="AG255" s="10"/>
      <c r="AH255" s="10"/>
      <c r="AI255" s="12">
        <f t="shared" si="66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61"/>
        <v>0</v>
      </c>
      <c r="H256" s="10"/>
      <c r="I256" s="10"/>
      <c r="J256" s="10"/>
      <c r="K256" s="12">
        <f t="shared" si="62"/>
        <v>0</v>
      </c>
      <c r="M256" s="10">
        <v>25</v>
      </c>
      <c r="N256" s="30"/>
      <c r="O256" s="31"/>
      <c r="P256" s="47"/>
      <c r="Q256" s="31"/>
      <c r="R256" s="31"/>
      <c r="S256" s="32">
        <f t="shared" si="63"/>
        <v>0</v>
      </c>
      <c r="T256" s="10"/>
      <c r="U256" s="10"/>
      <c r="V256" s="10"/>
      <c r="W256" s="12">
        <f t="shared" si="64"/>
        <v>0</v>
      </c>
      <c r="Y256" s="10">
        <v>25</v>
      </c>
      <c r="Z256" s="30"/>
      <c r="AA256" s="31"/>
      <c r="AB256" s="47"/>
      <c r="AC256" s="31"/>
      <c r="AD256" s="31"/>
      <c r="AE256" s="32">
        <f t="shared" si="69"/>
        <v>0</v>
      </c>
      <c r="AF256" s="10"/>
      <c r="AG256" s="10"/>
      <c r="AH256" s="10"/>
      <c r="AI256" s="12">
        <f t="shared" si="66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61"/>
        <v>0</v>
      </c>
      <c r="H257" s="10"/>
      <c r="I257" s="10"/>
      <c r="J257" s="10"/>
      <c r="K257" s="12">
        <f t="shared" si="62"/>
        <v>0</v>
      </c>
      <c r="M257" s="10">
        <v>26</v>
      </c>
      <c r="N257" s="30"/>
      <c r="O257" s="31"/>
      <c r="P257" s="47"/>
      <c r="Q257" s="31"/>
      <c r="R257" s="31"/>
      <c r="S257" s="32">
        <f t="shared" si="63"/>
        <v>0</v>
      </c>
      <c r="T257" s="10"/>
      <c r="U257" s="10"/>
      <c r="V257" s="10"/>
      <c r="W257" s="12">
        <f t="shared" si="64"/>
        <v>0</v>
      </c>
      <c r="Y257" s="10">
        <v>26</v>
      </c>
      <c r="Z257" s="30"/>
      <c r="AA257" s="31"/>
      <c r="AB257" s="47"/>
      <c r="AC257" s="31"/>
      <c r="AD257" s="31"/>
      <c r="AE257" s="32">
        <f t="shared" si="69"/>
        <v>0</v>
      </c>
      <c r="AF257" s="10"/>
      <c r="AG257" s="10"/>
      <c r="AH257" s="10"/>
      <c r="AI257" s="12">
        <f t="shared" si="66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61"/>
        <v>0</v>
      </c>
      <c r="H258" s="10"/>
      <c r="I258" s="10"/>
      <c r="J258" s="10"/>
      <c r="K258" s="12">
        <f t="shared" si="62"/>
        <v>0</v>
      </c>
      <c r="M258" s="10">
        <v>27</v>
      </c>
      <c r="N258" s="30"/>
      <c r="O258" s="31"/>
      <c r="P258" s="47"/>
      <c r="Q258" s="31"/>
      <c r="R258" s="31"/>
      <c r="S258" s="32">
        <f t="shared" si="63"/>
        <v>0</v>
      </c>
      <c r="T258" s="10"/>
      <c r="U258" s="10"/>
      <c r="V258" s="10"/>
      <c r="W258" s="12">
        <f t="shared" si="64"/>
        <v>0</v>
      </c>
      <c r="Y258" s="10">
        <v>27</v>
      </c>
      <c r="Z258" s="30"/>
      <c r="AA258" s="31"/>
      <c r="AB258" s="47"/>
      <c r="AC258" s="31"/>
      <c r="AD258" s="31"/>
      <c r="AE258" s="32">
        <f t="shared" si="69"/>
        <v>0</v>
      </c>
      <c r="AF258" s="10"/>
      <c r="AG258" s="10"/>
      <c r="AH258" s="10"/>
      <c r="AI258" s="12">
        <f t="shared" si="66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61"/>
        <v>0</v>
      </c>
      <c r="H259" s="10"/>
      <c r="I259" s="10"/>
      <c r="J259" s="10"/>
      <c r="K259" s="12">
        <f t="shared" si="62"/>
        <v>0</v>
      </c>
      <c r="M259" s="10">
        <v>28</v>
      </c>
      <c r="N259" s="30"/>
      <c r="O259" s="31"/>
      <c r="P259" s="47"/>
      <c r="Q259" s="31"/>
      <c r="R259" s="31"/>
      <c r="S259" s="32">
        <f t="shared" si="63"/>
        <v>0</v>
      </c>
      <c r="T259" s="10"/>
      <c r="U259" s="10"/>
      <c r="V259" s="10"/>
      <c r="W259" s="12">
        <f t="shared" si="64"/>
        <v>0</v>
      </c>
      <c r="Y259" s="10">
        <v>28</v>
      </c>
      <c r="Z259" s="30"/>
      <c r="AA259" s="31"/>
      <c r="AB259" s="47"/>
      <c r="AC259" s="31"/>
      <c r="AD259" s="31"/>
      <c r="AE259" s="32">
        <f t="shared" si="69"/>
        <v>0</v>
      </c>
      <c r="AF259" s="10"/>
      <c r="AG259" s="10"/>
      <c r="AH259" s="10"/>
      <c r="AI259" s="12">
        <f t="shared" si="66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83"/>
      <c r="D260" s="32"/>
      <c r="E260" s="32"/>
      <c r="F260" s="32"/>
      <c r="G260" s="32">
        <f t="shared" si="61"/>
        <v>0</v>
      </c>
      <c r="H260" s="10"/>
      <c r="I260" s="10"/>
      <c r="J260" s="10"/>
      <c r="K260" s="12">
        <f t="shared" si="62"/>
        <v>0</v>
      </c>
      <c r="M260" s="10">
        <v>29</v>
      </c>
      <c r="N260" s="30"/>
      <c r="O260" s="31"/>
      <c r="P260" s="47"/>
      <c r="Q260" s="31"/>
      <c r="R260" s="31"/>
      <c r="S260" s="32">
        <f t="shared" si="63"/>
        <v>0</v>
      </c>
      <c r="T260" s="10"/>
      <c r="U260" s="10"/>
      <c r="V260" s="10"/>
      <c r="W260" s="12">
        <f t="shared" si="64"/>
        <v>0</v>
      </c>
      <c r="Y260" s="10">
        <v>29</v>
      </c>
      <c r="Z260" s="30"/>
      <c r="AA260" s="31"/>
      <c r="AB260" s="47"/>
      <c r="AC260" s="31"/>
      <c r="AD260" s="31"/>
      <c r="AE260" s="32">
        <f t="shared" si="69"/>
        <v>0</v>
      </c>
      <c r="AF260" s="10"/>
      <c r="AG260" s="10"/>
      <c r="AH260" s="10"/>
      <c r="AI260" s="12">
        <f t="shared" si="66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61"/>
        <v>0</v>
      </c>
      <c r="H261" s="10"/>
      <c r="I261" s="10"/>
      <c r="J261" s="10"/>
      <c r="K261" s="12">
        <f t="shared" si="62"/>
        <v>0</v>
      </c>
      <c r="M261" s="10">
        <v>30</v>
      </c>
      <c r="N261" s="30"/>
      <c r="O261" s="31"/>
      <c r="P261" s="47"/>
      <c r="Q261" s="31"/>
      <c r="R261" s="31"/>
      <c r="S261" s="32">
        <f t="shared" si="63"/>
        <v>0</v>
      </c>
      <c r="T261" s="10"/>
      <c r="U261" s="10"/>
      <c r="V261" s="10"/>
      <c r="W261" s="12">
        <f t="shared" si="64"/>
        <v>0</v>
      </c>
      <c r="Y261" s="10">
        <v>30</v>
      </c>
      <c r="Z261" s="30"/>
      <c r="AA261" s="31"/>
      <c r="AB261" s="47"/>
      <c r="AC261" s="31"/>
      <c r="AD261" s="31"/>
      <c r="AE261" s="32">
        <f t="shared" si="69"/>
        <v>0</v>
      </c>
      <c r="AF261" s="10"/>
      <c r="AG261" s="10"/>
      <c r="AH261" s="10"/>
      <c r="AI261" s="12">
        <f t="shared" si="66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61"/>
        <v>0</v>
      </c>
      <c r="H262" s="10"/>
      <c r="I262" s="10"/>
      <c r="J262" s="10"/>
      <c r="K262" s="12">
        <f t="shared" si="62"/>
        <v>0</v>
      </c>
      <c r="M262" s="10">
        <v>31</v>
      </c>
      <c r="N262" s="30"/>
      <c r="O262" s="31"/>
      <c r="P262" s="47"/>
      <c r="Q262" s="31"/>
      <c r="R262" s="31"/>
      <c r="S262" s="32">
        <f t="shared" si="63"/>
        <v>0</v>
      </c>
      <c r="T262" s="10"/>
      <c r="U262" s="10"/>
      <c r="V262" s="10"/>
      <c r="W262" s="12">
        <f t="shared" si="64"/>
        <v>0</v>
      </c>
      <c r="Y262" s="10">
        <v>31</v>
      </c>
      <c r="Z262" s="30"/>
      <c r="AA262" s="31"/>
      <c r="AB262" s="47"/>
      <c r="AC262" s="31"/>
      <c r="AD262" s="31"/>
      <c r="AE262" s="32">
        <f t="shared" si="69"/>
        <v>0</v>
      </c>
      <c r="AF262" s="10"/>
      <c r="AG262" s="10"/>
      <c r="AH262" s="10"/>
      <c r="AI262" s="12">
        <f t="shared" si="66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61"/>
        <v>0</v>
      </c>
      <c r="H263" s="10"/>
      <c r="I263" s="10"/>
      <c r="J263" s="10"/>
      <c r="K263" s="12">
        <f t="shared" si="62"/>
        <v>0</v>
      </c>
      <c r="M263" s="10">
        <v>32</v>
      </c>
      <c r="N263" s="30"/>
      <c r="O263" s="31"/>
      <c r="P263" s="47"/>
      <c r="Q263" s="31"/>
      <c r="R263" s="31"/>
      <c r="S263" s="32">
        <f t="shared" si="63"/>
        <v>0</v>
      </c>
      <c r="T263" s="10"/>
      <c r="U263" s="10"/>
      <c r="V263" s="10"/>
      <c r="W263" s="12">
        <f t="shared" si="64"/>
        <v>0</v>
      </c>
      <c r="Y263" s="10">
        <v>32</v>
      </c>
      <c r="Z263" s="30"/>
      <c r="AA263" s="31"/>
      <c r="AB263" s="47"/>
      <c r="AC263" s="31"/>
      <c r="AD263" s="31"/>
      <c r="AE263" s="32">
        <f t="shared" si="69"/>
        <v>0</v>
      </c>
      <c r="AF263" s="10"/>
      <c r="AG263" s="10"/>
      <c r="AH263" s="10"/>
      <c r="AI263" s="12">
        <f t="shared" si="66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61"/>
        <v>0</v>
      </c>
      <c r="H264" s="10"/>
      <c r="I264" s="10"/>
      <c r="J264" s="10"/>
      <c r="K264" s="12">
        <f t="shared" si="62"/>
        <v>0</v>
      </c>
      <c r="M264" s="10">
        <v>33</v>
      </c>
      <c r="N264" s="30"/>
      <c r="O264" s="31"/>
      <c r="P264" s="47"/>
      <c r="Q264" s="31"/>
      <c r="R264" s="31"/>
      <c r="S264" s="32">
        <f t="shared" si="63"/>
        <v>0</v>
      </c>
      <c r="T264" s="10"/>
      <c r="U264" s="10"/>
      <c r="V264" s="10"/>
      <c r="W264" s="12">
        <f t="shared" si="64"/>
        <v>0</v>
      </c>
      <c r="Y264" s="10">
        <v>33</v>
      </c>
      <c r="Z264" s="30"/>
      <c r="AA264" s="31"/>
      <c r="AB264" s="47"/>
      <c r="AC264" s="31"/>
      <c r="AD264" s="31"/>
      <c r="AE264" s="32">
        <f t="shared" si="69"/>
        <v>0</v>
      </c>
      <c r="AF264" s="10"/>
      <c r="AG264" s="10"/>
      <c r="AH264" s="10"/>
      <c r="AI264" s="12">
        <f t="shared" si="66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61"/>
        <v>0</v>
      </c>
      <c r="H265" s="10"/>
      <c r="I265" s="10"/>
      <c r="J265" s="10"/>
      <c r="K265" s="12">
        <f t="shared" si="62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70">SUM(P265:Q265)</f>
        <v>0</v>
      </c>
      <c r="T265" s="10"/>
      <c r="U265" s="10"/>
      <c r="V265" s="10"/>
      <c r="W265" s="12">
        <f t="shared" ref="W265:W273" si="71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si="69"/>
        <v>0</v>
      </c>
      <c r="AF265" s="10"/>
      <c r="AG265" s="10"/>
      <c r="AH265" s="10"/>
      <c r="AI265" s="12">
        <f t="shared" si="66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70"/>
        <v>0</v>
      </c>
      <c r="T266" s="10"/>
      <c r="U266" s="10"/>
      <c r="V266" s="10"/>
      <c r="W266" s="12">
        <f t="shared" si="7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69"/>
        <v>0</v>
      </c>
      <c r="AF266" s="10"/>
      <c r="AG266" s="10"/>
      <c r="AH266" s="10"/>
      <c r="AI266" s="12">
        <f t="shared" si="66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70"/>
        <v>0</v>
      </c>
      <c r="T267" s="10"/>
      <c r="U267" s="10"/>
      <c r="V267" s="10"/>
      <c r="W267" s="12">
        <f t="shared" si="7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69"/>
        <v>0</v>
      </c>
      <c r="AF267" s="10"/>
      <c r="AG267" s="10"/>
      <c r="AH267" s="10"/>
      <c r="AI267" s="12">
        <f t="shared" si="66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70"/>
        <v>0</v>
      </c>
      <c r="T268" s="10"/>
      <c r="U268" s="10"/>
      <c r="V268" s="10"/>
      <c r="W268" s="12">
        <f t="shared" si="7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69"/>
        <v>0</v>
      </c>
      <c r="AF268" s="10"/>
      <c r="AG268" s="10"/>
      <c r="AH268" s="10"/>
      <c r="AI268" s="12">
        <f t="shared" si="66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70"/>
        <v>0</v>
      </c>
      <c r="T269" s="10"/>
      <c r="U269" s="10"/>
      <c r="V269" s="10"/>
      <c r="W269" s="12">
        <f t="shared" si="7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69"/>
        <v>0</v>
      </c>
      <c r="AF269" s="10"/>
      <c r="AG269" s="10"/>
      <c r="AH269" s="10"/>
      <c r="AI269" s="12">
        <f t="shared" si="66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70"/>
        <v>0</v>
      </c>
      <c r="T270" s="10"/>
      <c r="U270" s="10"/>
      <c r="V270" s="10"/>
      <c r="W270" s="12">
        <f t="shared" si="7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69"/>
        <v>0</v>
      </c>
      <c r="AF270" s="10"/>
      <c r="AG270" s="10"/>
      <c r="AH270" s="10"/>
      <c r="AI270" s="12">
        <f t="shared" si="66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66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72">SUM(D272:E272)</f>
        <v>0</v>
      </c>
      <c r="H272" s="10"/>
      <c r="I272" s="10"/>
      <c r="J272" s="10"/>
      <c r="K272" s="12">
        <f t="shared" ref="K272" si="73">SUM(G272:J272)</f>
        <v>0</v>
      </c>
      <c r="M272" s="10"/>
      <c r="N272" s="30"/>
      <c r="O272" s="31"/>
      <c r="P272" s="47"/>
      <c r="Q272" s="31"/>
      <c r="R272" s="31"/>
      <c r="S272" s="32">
        <f t="shared" ref="S272" si="74">SUM(P272:Q272)</f>
        <v>0</v>
      </c>
      <c r="T272" s="10"/>
      <c r="U272" s="10"/>
      <c r="V272" s="10"/>
      <c r="W272" s="12">
        <f t="shared" si="71"/>
        <v>0</v>
      </c>
      <c r="Y272" s="10"/>
      <c r="Z272" s="30"/>
      <c r="AA272" s="31"/>
      <c r="AB272" s="47"/>
      <c r="AC272" s="31"/>
      <c r="AD272" s="31"/>
      <c r="AE272" s="32">
        <f t="shared" ref="AE272" si="75">SUM(AB272:AC272)</f>
        <v>0</v>
      </c>
      <c r="AF272" s="10"/>
      <c r="AG272" s="10"/>
      <c r="AH272" s="10"/>
      <c r="AI272" s="12">
        <f t="shared" si="66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66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220190</v>
      </c>
      <c r="E275" s="38">
        <f t="shared" ref="E275:F275" si="76">SUM(E232:E272)</f>
        <v>-2010</v>
      </c>
      <c r="F275" s="38">
        <f t="shared" si="76"/>
        <v>0</v>
      </c>
      <c r="G275" s="38">
        <f>SUM(G232:G274)</f>
        <v>218180</v>
      </c>
      <c r="H275" s="4"/>
      <c r="I275" s="39">
        <f>SUM(I232:I274)</f>
        <v>72</v>
      </c>
      <c r="J275" s="39">
        <f>SUM(J232:J274)</f>
        <v>0</v>
      </c>
      <c r="K275" s="40">
        <f>SUM(K232:K274)</f>
        <v>218252</v>
      </c>
      <c r="N275" s="57"/>
      <c r="O275" s="57"/>
      <c r="P275" s="38">
        <f>SUM(P232:P274)</f>
        <v>276388</v>
      </c>
      <c r="Q275" s="38">
        <f>SUM(Q232:Q256)</f>
        <v>-2496</v>
      </c>
      <c r="R275" s="38">
        <f>SUM(R232:R256)</f>
        <v>0</v>
      </c>
      <c r="S275" s="38">
        <f>SUM(S232:S274)</f>
        <v>273892</v>
      </c>
      <c r="T275" s="4"/>
      <c r="U275" s="41">
        <f>SUM(U232:U274)</f>
        <v>732</v>
      </c>
      <c r="V275" s="41">
        <f>SUM(V232:V256)</f>
        <v>-1518</v>
      </c>
      <c r="W275" s="42">
        <f>SUM(W232:W274)</f>
        <v>273106</v>
      </c>
      <c r="Z275" s="57"/>
      <c r="AA275" s="57"/>
      <c r="AB275" s="38">
        <f>SUM(AB232:AB274)</f>
        <v>242580</v>
      </c>
      <c r="AC275" s="38">
        <f>SUM(AC232:AC256)</f>
        <v>-1824</v>
      </c>
      <c r="AD275" s="38">
        <f>SUM(AD232:AD256)</f>
        <v>0</v>
      </c>
      <c r="AE275" s="38">
        <f>SUM(AE232:AE274)</f>
        <v>240756</v>
      </c>
      <c r="AF275" s="4"/>
      <c r="AG275" s="41">
        <f>SUM(AG232:AG274)</f>
        <v>1305</v>
      </c>
      <c r="AH275" s="41">
        <f>SUM(AH232:AH256)</f>
        <v>-999</v>
      </c>
      <c r="AI275" s="42">
        <f>SUM(AI232:AI274)</f>
        <v>241062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37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37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37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57</v>
      </c>
      <c r="B283" s="20"/>
      <c r="C283" s="57"/>
      <c r="D283" s="57"/>
      <c r="E283" s="57"/>
      <c r="G283" s="57"/>
      <c r="I283" s="22" t="s">
        <v>16</v>
      </c>
      <c r="J283" s="23" t="s">
        <v>36</v>
      </c>
      <c r="K283" s="24"/>
      <c r="M283" s="21" t="s">
        <v>58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58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33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2" t="s">
        <v>17</v>
      </c>
      <c r="E285" s="112"/>
      <c r="F285" s="96"/>
      <c r="G285" s="27"/>
      <c r="I285" s="110" t="s">
        <v>18</v>
      </c>
      <c r="J285" s="111"/>
      <c r="K285" s="113" t="s">
        <v>19</v>
      </c>
      <c r="N285" s="25"/>
      <c r="O285" s="26"/>
      <c r="P285" s="112" t="s">
        <v>17</v>
      </c>
      <c r="Q285" s="112"/>
      <c r="R285" s="97"/>
      <c r="S285" s="27"/>
      <c r="U285" s="110" t="s">
        <v>18</v>
      </c>
      <c r="V285" s="111"/>
      <c r="W285" s="113" t="s">
        <v>19</v>
      </c>
      <c r="Z285" s="25"/>
      <c r="AA285" s="26"/>
      <c r="AB285" s="112" t="s">
        <v>17</v>
      </c>
      <c r="AC285" s="112"/>
      <c r="AD285" s="97"/>
      <c r="AE285" s="27"/>
      <c r="AG285" s="110" t="s">
        <v>18</v>
      </c>
      <c r="AH285" s="111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31</v>
      </c>
      <c r="G286" s="78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46241</v>
      </c>
      <c r="C287" s="83">
        <v>11025</v>
      </c>
      <c r="D287" s="32">
        <f>650*110+622*15</f>
        <v>80830</v>
      </c>
      <c r="E287" s="32"/>
      <c r="F287" s="32"/>
      <c r="G287" s="32">
        <f t="shared" ref="G287:G320" si="77">SUM(D287:E287)</f>
        <v>80830</v>
      </c>
      <c r="H287" s="12"/>
      <c r="I287" s="12">
        <f>4.5*33</f>
        <v>148.5</v>
      </c>
      <c r="J287" s="12"/>
      <c r="K287" s="12">
        <f t="shared" ref="K287:K320" si="78">SUM(G287:J287)</f>
        <v>80978.5</v>
      </c>
      <c r="M287" s="10">
        <v>1</v>
      </c>
      <c r="N287" s="30">
        <v>46241</v>
      </c>
      <c r="O287" s="83">
        <v>11233</v>
      </c>
      <c r="P287" s="32">
        <f>650*39+229</f>
        <v>25579</v>
      </c>
      <c r="Q287" s="32"/>
      <c r="R287" s="32"/>
      <c r="S287" s="32">
        <f>SUM(P287:Q287)</f>
        <v>25579</v>
      </c>
      <c r="T287" s="12"/>
      <c r="U287" s="12"/>
      <c r="V287" s="12"/>
      <c r="W287" s="12">
        <f>SUM(S287:V287)</f>
        <v>25579</v>
      </c>
      <c r="Y287" s="10">
        <v>1</v>
      </c>
      <c r="Z287" s="30">
        <v>46241</v>
      </c>
      <c r="AA287" s="31">
        <v>11278</v>
      </c>
      <c r="AB287" s="32">
        <f>650*16+650*9+622*2</f>
        <v>17494</v>
      </c>
      <c r="AC287" s="32"/>
      <c r="AD287" s="32"/>
      <c r="AE287" s="32">
        <f>SUM(AB287:AC287)</f>
        <v>17494</v>
      </c>
      <c r="AF287" s="12"/>
      <c r="AG287" s="12"/>
      <c r="AH287" s="12"/>
      <c r="AI287" s="12">
        <f>SUM(AE287:AH287)</f>
        <v>17494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46241</v>
      </c>
      <c r="C288" s="3">
        <f>C287+1</f>
        <v>11026</v>
      </c>
      <c r="D288" s="32">
        <f>650*10+872</f>
        <v>7372</v>
      </c>
      <c r="E288" s="32"/>
      <c r="F288" s="32"/>
      <c r="G288" s="32">
        <f t="shared" si="77"/>
        <v>7372</v>
      </c>
      <c r="H288" s="12"/>
      <c r="I288" s="12">
        <f>1.5*24</f>
        <v>36</v>
      </c>
      <c r="J288" s="12"/>
      <c r="K288" s="12">
        <f t="shared" si="78"/>
        <v>7408</v>
      </c>
      <c r="M288" s="10">
        <v>2</v>
      </c>
      <c r="N288" s="30">
        <v>46241</v>
      </c>
      <c r="O288" s="83">
        <f>O287+1</f>
        <v>11234</v>
      </c>
      <c r="P288" s="32">
        <f>650*180+622*20+912+229*7</f>
        <v>131955</v>
      </c>
      <c r="Q288" s="32">
        <f>-201*6</f>
        <v>-1206</v>
      </c>
      <c r="R288" s="32"/>
      <c r="S288" s="32">
        <f t="shared" ref="S288:S319" si="79">SUM(P288:Q288)</f>
        <v>130749</v>
      </c>
      <c r="T288" s="12"/>
      <c r="U288" s="12">
        <f>111*25+78*5</f>
        <v>3165</v>
      </c>
      <c r="V288" s="12">
        <f>-84*4+-42*4</f>
        <v>-504</v>
      </c>
      <c r="W288" s="12">
        <f t="shared" ref="W288:W319" si="80">SUM(S288:V288)</f>
        <v>133410</v>
      </c>
      <c r="Y288" s="10">
        <v>2</v>
      </c>
      <c r="Z288" s="30">
        <v>46241</v>
      </c>
      <c r="AA288" s="31">
        <f>AA287+1</f>
        <v>11279</v>
      </c>
      <c r="AB288" s="32">
        <f>650*15+650*15</f>
        <v>19500</v>
      </c>
      <c r="AC288" s="32"/>
      <c r="AD288" s="32"/>
      <c r="AE288" s="32">
        <f t="shared" ref="AE288:AE290" si="81">SUM(AB288:AC288)</f>
        <v>19500</v>
      </c>
      <c r="AF288" s="12"/>
      <c r="AG288" s="12"/>
      <c r="AH288" s="12"/>
      <c r="AI288" s="12">
        <f t="shared" ref="AI288:AI328" si="82">SUM(AE288:AH288)</f>
        <v>19500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46241</v>
      </c>
      <c r="C289" s="57">
        <f t="shared" ref="C289:C294" si="83">C288+1</f>
        <v>11027</v>
      </c>
      <c r="D289" s="33">
        <f>650*15+622*3</f>
        <v>11616</v>
      </c>
      <c r="E289" s="33"/>
      <c r="F289" s="33"/>
      <c r="G289" s="33">
        <f t="shared" si="77"/>
        <v>11616</v>
      </c>
      <c r="H289" s="34"/>
      <c r="I289" s="34"/>
      <c r="J289" s="34"/>
      <c r="K289" s="34">
        <f t="shared" si="78"/>
        <v>11616</v>
      </c>
      <c r="M289" s="10">
        <v>3</v>
      </c>
      <c r="N289" s="30">
        <v>46241</v>
      </c>
      <c r="O289" s="83">
        <f t="shared" ref="O289:O294" si="84">O288+1</f>
        <v>11235</v>
      </c>
      <c r="P289" s="33">
        <f>650*10+622*2+872</f>
        <v>8616</v>
      </c>
      <c r="Q289" s="33"/>
      <c r="R289" s="32"/>
      <c r="S289" s="32">
        <f t="shared" si="79"/>
        <v>8616</v>
      </c>
      <c r="T289" s="12"/>
      <c r="U289" s="34"/>
      <c r="V289" s="34"/>
      <c r="W289" s="12">
        <f t="shared" si="80"/>
        <v>8616</v>
      </c>
      <c r="Y289" s="10">
        <v>3</v>
      </c>
      <c r="Z289" s="30">
        <v>46241</v>
      </c>
      <c r="AA289" s="31">
        <f t="shared" ref="AA289:AA292" si="85">AA288+1</f>
        <v>11280</v>
      </c>
      <c r="AB289" s="33">
        <f>650*108+229*3</f>
        <v>70887</v>
      </c>
      <c r="AC289" s="33"/>
      <c r="AD289" s="32"/>
      <c r="AE289" s="32">
        <f t="shared" si="81"/>
        <v>70887</v>
      </c>
      <c r="AF289" s="12"/>
      <c r="AG289" s="12"/>
      <c r="AH289" s="12">
        <f>-111*50</f>
        <v>-5550</v>
      </c>
      <c r="AI289" s="12">
        <f t="shared" si="82"/>
        <v>65337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46241</v>
      </c>
      <c r="C290" s="57">
        <f t="shared" si="83"/>
        <v>11028</v>
      </c>
      <c r="D290" s="32">
        <f>650*108+622*2</f>
        <v>71444</v>
      </c>
      <c r="E290" s="32"/>
      <c r="F290" s="32"/>
      <c r="G290" s="32">
        <f t="shared" si="77"/>
        <v>71444</v>
      </c>
      <c r="H290" s="12"/>
      <c r="I290" s="12"/>
      <c r="J290" s="12"/>
      <c r="K290" s="12">
        <f t="shared" si="78"/>
        <v>71444</v>
      </c>
      <c r="M290" s="10">
        <v>4</v>
      </c>
      <c r="N290" s="30">
        <v>46241</v>
      </c>
      <c r="O290" s="83">
        <f t="shared" si="84"/>
        <v>11236</v>
      </c>
      <c r="P290" s="32">
        <f>650+622</f>
        <v>1272</v>
      </c>
      <c r="Q290" s="32"/>
      <c r="R290" s="32"/>
      <c r="S290" s="32">
        <f t="shared" si="79"/>
        <v>1272</v>
      </c>
      <c r="T290" s="12"/>
      <c r="U290" s="12"/>
      <c r="V290" s="12"/>
      <c r="W290" s="12">
        <f t="shared" si="80"/>
        <v>1272</v>
      </c>
      <c r="Y290" s="10">
        <v>4</v>
      </c>
      <c r="Z290" s="30">
        <v>46241</v>
      </c>
      <c r="AA290" s="31">
        <f t="shared" si="85"/>
        <v>11281</v>
      </c>
      <c r="AB290" s="32">
        <f>650*28</f>
        <v>18200</v>
      </c>
      <c r="AC290" s="32"/>
      <c r="AD290" s="32"/>
      <c r="AE290" s="32">
        <f t="shared" si="81"/>
        <v>18200</v>
      </c>
      <c r="AF290" s="12"/>
      <c r="AH290" s="12"/>
      <c r="AI290" s="12">
        <f t="shared" si="82"/>
        <v>18200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46241</v>
      </c>
      <c r="C291" s="57">
        <f t="shared" si="83"/>
        <v>11029</v>
      </c>
      <c r="D291" s="32">
        <f>650*40</f>
        <v>26000</v>
      </c>
      <c r="E291" s="32"/>
      <c r="F291" s="32"/>
      <c r="G291" s="32">
        <f t="shared" si="77"/>
        <v>26000</v>
      </c>
      <c r="H291" s="12"/>
      <c r="I291" s="12"/>
      <c r="J291" s="12"/>
      <c r="K291" s="12">
        <f t="shared" si="78"/>
        <v>26000</v>
      </c>
      <c r="M291" s="10">
        <v>5</v>
      </c>
      <c r="N291" s="30">
        <v>46241</v>
      </c>
      <c r="O291" s="83">
        <f t="shared" si="84"/>
        <v>11237</v>
      </c>
      <c r="P291" s="32">
        <f>650*5+622</f>
        <v>3872</v>
      </c>
      <c r="Q291" s="32"/>
      <c r="R291" s="32"/>
      <c r="S291" s="32">
        <f t="shared" si="79"/>
        <v>3872</v>
      </c>
      <c r="T291" s="12"/>
      <c r="U291" s="12"/>
      <c r="V291" s="12"/>
      <c r="W291" s="12">
        <f t="shared" si="80"/>
        <v>3872</v>
      </c>
      <c r="Y291" s="10">
        <v>5</v>
      </c>
      <c r="Z291" s="30">
        <v>46241</v>
      </c>
      <c r="AA291" s="31">
        <f t="shared" si="85"/>
        <v>11282</v>
      </c>
      <c r="AB291" s="32">
        <f>650*162+650+622*53+229*9+650*2</f>
        <v>142277</v>
      </c>
      <c r="AC291" s="32"/>
      <c r="AD291" s="32"/>
      <c r="AE291" s="32">
        <f t="shared" ref="AE291:AE325" si="86">SUM(AB291:AC291)</f>
        <v>142277</v>
      </c>
      <c r="AF291" s="12"/>
      <c r="AG291" s="12">
        <f>111*84+78*7+1.5*5</f>
        <v>9877.5</v>
      </c>
      <c r="AH291" s="12"/>
      <c r="AI291" s="12">
        <f t="shared" si="82"/>
        <v>152154.5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46241</v>
      </c>
      <c r="C292" s="57">
        <f t="shared" si="83"/>
        <v>11030</v>
      </c>
      <c r="D292" s="32">
        <f>973*45+912*5</f>
        <v>48345</v>
      </c>
      <c r="E292" s="32"/>
      <c r="F292" s="32"/>
      <c r="G292" s="32">
        <f t="shared" si="77"/>
        <v>48345</v>
      </c>
      <c r="H292" s="12"/>
      <c r="I292" s="12"/>
      <c r="J292" s="12"/>
      <c r="K292" s="12">
        <f t="shared" si="78"/>
        <v>48345</v>
      </c>
      <c r="M292" s="10">
        <v>6</v>
      </c>
      <c r="N292" s="30">
        <v>46241</v>
      </c>
      <c r="O292" s="83">
        <f t="shared" si="84"/>
        <v>11238</v>
      </c>
      <c r="P292" s="32">
        <f>650*5+9.5*5</f>
        <v>3297.5</v>
      </c>
      <c r="Q292" s="32"/>
      <c r="R292" s="32"/>
      <c r="S292" s="32">
        <f t="shared" si="79"/>
        <v>3297.5</v>
      </c>
      <c r="T292" s="12"/>
      <c r="U292" s="12"/>
      <c r="V292" s="10"/>
      <c r="W292" s="12">
        <f t="shared" si="80"/>
        <v>3297.5</v>
      </c>
      <c r="Y292" s="10">
        <v>6</v>
      </c>
      <c r="Z292" s="30">
        <v>46241</v>
      </c>
      <c r="AA292" s="31">
        <f t="shared" si="85"/>
        <v>11283</v>
      </c>
      <c r="AB292" s="32">
        <f>650*50</f>
        <v>32500</v>
      </c>
      <c r="AC292" s="32">
        <f>-50*6</f>
        <v>-300</v>
      </c>
      <c r="AD292" s="32"/>
      <c r="AE292" s="32">
        <f t="shared" si="86"/>
        <v>32200</v>
      </c>
      <c r="AF292" s="12"/>
      <c r="AG292" s="12"/>
      <c r="AH292" s="10"/>
      <c r="AI292" s="12">
        <f t="shared" si="82"/>
        <v>32200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46241</v>
      </c>
      <c r="C293" s="57">
        <f t="shared" si="83"/>
        <v>11031</v>
      </c>
      <c r="D293" s="32">
        <f>650*4</f>
        <v>2600</v>
      </c>
      <c r="E293" s="32"/>
      <c r="F293" s="32"/>
      <c r="G293" s="32">
        <f t="shared" si="77"/>
        <v>2600</v>
      </c>
      <c r="H293" s="12"/>
      <c r="I293" s="12"/>
      <c r="J293" s="12"/>
      <c r="K293" s="12">
        <f t="shared" si="78"/>
        <v>2600</v>
      </c>
      <c r="M293" s="10">
        <v>7</v>
      </c>
      <c r="N293" s="30">
        <v>46241</v>
      </c>
      <c r="O293" s="83">
        <f t="shared" si="84"/>
        <v>11239</v>
      </c>
      <c r="P293" s="32">
        <f>650*14+622*2</f>
        <v>10344</v>
      </c>
      <c r="Q293" s="32"/>
      <c r="R293" s="32"/>
      <c r="S293" s="32">
        <f t="shared" si="79"/>
        <v>10344</v>
      </c>
      <c r="T293" s="12"/>
      <c r="U293" s="12"/>
      <c r="V293" s="12">
        <f>-111*14</f>
        <v>-1554</v>
      </c>
      <c r="W293" s="12">
        <f t="shared" si="80"/>
        <v>8790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86"/>
        <v>0</v>
      </c>
      <c r="AF293" s="12"/>
      <c r="AG293" s="58"/>
      <c r="AH293" s="12"/>
      <c r="AI293" s="12">
        <f t="shared" si="82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46241</v>
      </c>
      <c r="C294" s="57">
        <f t="shared" si="83"/>
        <v>11032</v>
      </c>
      <c r="D294" s="32">
        <f>650*2</f>
        <v>1300</v>
      </c>
      <c r="E294" s="32"/>
      <c r="F294" s="32"/>
      <c r="G294" s="32">
        <f t="shared" si="77"/>
        <v>1300</v>
      </c>
      <c r="H294" s="12"/>
      <c r="I294" s="12"/>
      <c r="J294" s="12">
        <f>-111*10</f>
        <v>-1110</v>
      </c>
      <c r="K294" s="12">
        <f t="shared" si="78"/>
        <v>190</v>
      </c>
      <c r="M294" s="10">
        <v>8</v>
      </c>
      <c r="N294" s="30">
        <v>46241</v>
      </c>
      <c r="O294" s="83">
        <f t="shared" si="84"/>
        <v>11240</v>
      </c>
      <c r="P294" s="32">
        <v>973</v>
      </c>
      <c r="Q294" s="32"/>
      <c r="R294" s="32"/>
      <c r="S294" s="32">
        <f t="shared" si="79"/>
        <v>973</v>
      </c>
      <c r="T294" s="12"/>
      <c r="U294" s="12"/>
      <c r="V294" s="12"/>
      <c r="W294" s="12">
        <f t="shared" si="80"/>
        <v>973</v>
      </c>
      <c r="Y294" s="10">
        <v>8</v>
      </c>
      <c r="Z294" s="30"/>
      <c r="AB294" s="32"/>
      <c r="AC294" s="32"/>
      <c r="AE294" s="32">
        <f t="shared" si="86"/>
        <v>0</v>
      </c>
      <c r="AF294" s="12"/>
      <c r="AG294" s="12"/>
      <c r="AH294" s="12"/>
      <c r="AI294" s="12">
        <f t="shared" si="82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/>
      <c r="C295" s="11" t="s">
        <v>27</v>
      </c>
      <c r="D295" s="32"/>
      <c r="E295" s="32"/>
      <c r="F295" s="32"/>
      <c r="G295" s="32">
        <f t="shared" si="77"/>
        <v>0</v>
      </c>
      <c r="H295" s="12"/>
      <c r="I295" s="12"/>
      <c r="J295" s="12"/>
      <c r="K295" s="12">
        <f t="shared" si="78"/>
        <v>0</v>
      </c>
      <c r="M295" s="10">
        <v>9</v>
      </c>
      <c r="N295" s="30"/>
      <c r="O295" s="11" t="s">
        <v>27</v>
      </c>
      <c r="P295" s="32"/>
      <c r="Q295" s="32"/>
      <c r="R295" s="32"/>
      <c r="S295" s="32">
        <f t="shared" si="79"/>
        <v>0</v>
      </c>
      <c r="T295" s="12"/>
      <c r="U295" s="12"/>
      <c r="V295" s="12"/>
      <c r="W295" s="12">
        <f t="shared" si="80"/>
        <v>0</v>
      </c>
      <c r="Y295" s="10">
        <v>9</v>
      </c>
      <c r="Z295" s="30"/>
      <c r="AC295" s="32"/>
      <c r="AD295" s="32"/>
      <c r="AE295" s="32">
        <f t="shared" si="86"/>
        <v>0</v>
      </c>
      <c r="AF295" s="12"/>
      <c r="AH295" s="12"/>
      <c r="AI295" s="12">
        <f t="shared" si="82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/>
      <c r="C296" s="83"/>
      <c r="D296" s="32"/>
      <c r="E296" s="32"/>
      <c r="F296" s="32"/>
      <c r="G296" s="32">
        <f t="shared" si="77"/>
        <v>0</v>
      </c>
      <c r="H296" s="12"/>
      <c r="I296" s="12"/>
      <c r="J296" s="12"/>
      <c r="K296" s="12">
        <f t="shared" si="78"/>
        <v>0</v>
      </c>
      <c r="M296" s="10">
        <v>10</v>
      </c>
      <c r="N296" s="30"/>
      <c r="P296" s="32"/>
      <c r="Q296" s="32"/>
      <c r="R296" s="32"/>
      <c r="S296" s="32">
        <f t="shared" si="79"/>
        <v>0</v>
      </c>
      <c r="T296" s="12"/>
      <c r="U296" s="12"/>
      <c r="V296" s="12"/>
      <c r="W296" s="12">
        <f t="shared" si="80"/>
        <v>0</v>
      </c>
      <c r="Y296" s="10">
        <v>10</v>
      </c>
      <c r="Z296" s="30"/>
      <c r="AB296" s="32"/>
      <c r="AC296" s="32"/>
      <c r="AD296" s="32"/>
      <c r="AE296" s="32">
        <f t="shared" si="86"/>
        <v>0</v>
      </c>
      <c r="AF296" s="12"/>
      <c r="AG296" s="12"/>
      <c r="AH296" s="12"/>
      <c r="AI296" s="12">
        <f t="shared" si="82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83"/>
      <c r="D297" s="32"/>
      <c r="E297" s="32"/>
      <c r="F297" s="32"/>
      <c r="G297" s="32">
        <f t="shared" si="77"/>
        <v>0</v>
      </c>
      <c r="H297" s="12"/>
      <c r="I297" s="12"/>
      <c r="J297" s="12"/>
      <c r="K297" s="12">
        <f t="shared" si="78"/>
        <v>0</v>
      </c>
      <c r="M297" s="10">
        <v>11</v>
      </c>
      <c r="N297" s="30"/>
      <c r="O297" s="31"/>
      <c r="P297" s="32"/>
      <c r="Q297" s="32"/>
      <c r="R297" s="32"/>
      <c r="S297" s="32">
        <f t="shared" si="79"/>
        <v>0</v>
      </c>
      <c r="T297" s="12"/>
      <c r="U297" s="12"/>
      <c r="V297" s="12"/>
      <c r="W297" s="12">
        <f t="shared" si="80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6"/>
        <v>0</v>
      </c>
      <c r="AF297" s="12"/>
      <c r="AG297" s="12"/>
      <c r="AH297" s="12"/>
      <c r="AI297" s="12">
        <f t="shared" si="82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83"/>
      <c r="D298" s="32"/>
      <c r="E298" s="32"/>
      <c r="F298" s="32"/>
      <c r="G298" s="32">
        <f t="shared" si="77"/>
        <v>0</v>
      </c>
      <c r="H298" s="12"/>
      <c r="I298" s="12"/>
      <c r="J298" s="10"/>
      <c r="K298" s="12">
        <f t="shared" si="78"/>
        <v>0</v>
      </c>
      <c r="M298" s="10">
        <v>12</v>
      </c>
      <c r="N298" s="30"/>
      <c r="O298" s="31"/>
      <c r="P298" s="32"/>
      <c r="Q298" s="32"/>
      <c r="R298" s="32"/>
      <c r="S298" s="32">
        <f t="shared" si="79"/>
        <v>0</v>
      </c>
      <c r="T298" s="12"/>
      <c r="U298" s="12"/>
      <c r="V298" s="12"/>
      <c r="W298" s="12">
        <f t="shared" si="80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6"/>
        <v>0</v>
      </c>
      <c r="AF298" s="12"/>
      <c r="AG298" s="12"/>
      <c r="AH298" s="12"/>
      <c r="AI298" s="12">
        <f t="shared" si="82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77"/>
        <v>0</v>
      </c>
      <c r="H299" s="12"/>
      <c r="I299" s="12"/>
      <c r="J299" s="12"/>
      <c r="K299" s="12">
        <f t="shared" si="78"/>
        <v>0</v>
      </c>
      <c r="M299" s="10">
        <v>13</v>
      </c>
      <c r="N299" s="30"/>
      <c r="O299" s="31"/>
      <c r="P299" s="32"/>
      <c r="Q299" s="32"/>
      <c r="R299" s="32"/>
      <c r="S299" s="32">
        <f t="shared" si="79"/>
        <v>0</v>
      </c>
      <c r="T299" s="12"/>
      <c r="U299" s="12"/>
      <c r="V299" s="12"/>
      <c r="W299" s="12">
        <f t="shared" si="80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6"/>
        <v>0</v>
      </c>
      <c r="AF299" s="12"/>
      <c r="AG299" s="12"/>
      <c r="AH299" s="12"/>
      <c r="AI299" s="12">
        <f t="shared" si="82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77"/>
        <v>0</v>
      </c>
      <c r="H300" s="12"/>
      <c r="I300" s="12"/>
      <c r="J300" s="12"/>
      <c r="K300" s="12">
        <f t="shared" si="78"/>
        <v>0</v>
      </c>
      <c r="M300" s="10">
        <v>14</v>
      </c>
      <c r="N300" s="30"/>
      <c r="O300" s="31"/>
      <c r="P300" s="32"/>
      <c r="Q300" s="32"/>
      <c r="R300" s="32"/>
      <c r="S300" s="32">
        <f t="shared" si="79"/>
        <v>0</v>
      </c>
      <c r="T300" s="12"/>
      <c r="U300" s="12"/>
      <c r="V300" s="12"/>
      <c r="W300" s="12">
        <f t="shared" si="80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6"/>
        <v>0</v>
      </c>
      <c r="AF300" s="12"/>
      <c r="AG300" s="12"/>
      <c r="AH300" s="12"/>
      <c r="AI300" s="12">
        <f t="shared" si="82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77"/>
        <v>0</v>
      </c>
      <c r="H301" s="12"/>
      <c r="I301" s="12"/>
      <c r="J301" s="12"/>
      <c r="K301" s="12">
        <f t="shared" si="78"/>
        <v>0</v>
      </c>
      <c r="M301" s="10">
        <v>15</v>
      </c>
      <c r="N301" s="30"/>
      <c r="O301" s="31"/>
      <c r="P301" s="32"/>
      <c r="Q301" s="32"/>
      <c r="R301" s="32"/>
      <c r="S301" s="32">
        <f t="shared" si="79"/>
        <v>0</v>
      </c>
      <c r="T301" s="12"/>
      <c r="U301" s="12"/>
      <c r="V301" s="12"/>
      <c r="W301" s="12">
        <f t="shared" si="80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6"/>
        <v>0</v>
      </c>
      <c r="AF301" s="12"/>
      <c r="AG301" s="12"/>
      <c r="AH301" s="12"/>
      <c r="AI301" s="12">
        <f t="shared" si="82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77"/>
        <v>0</v>
      </c>
      <c r="H302" s="12"/>
      <c r="I302" s="12"/>
      <c r="J302" s="12"/>
      <c r="K302" s="12">
        <f t="shared" si="78"/>
        <v>0</v>
      </c>
      <c r="M302" s="10">
        <v>16</v>
      </c>
      <c r="N302" s="30"/>
      <c r="P302" s="32"/>
      <c r="Q302" s="32"/>
      <c r="R302" s="32"/>
      <c r="S302" s="32">
        <f t="shared" si="79"/>
        <v>0</v>
      </c>
      <c r="T302" s="12"/>
      <c r="U302" s="12"/>
      <c r="V302" s="12"/>
      <c r="W302" s="12">
        <f t="shared" si="80"/>
        <v>0</v>
      </c>
      <c r="Y302" s="10">
        <v>16</v>
      </c>
      <c r="Z302" s="30"/>
      <c r="AB302" s="32"/>
      <c r="AC302" s="32"/>
      <c r="AD302" s="32"/>
      <c r="AE302" s="32">
        <f t="shared" si="86"/>
        <v>0</v>
      </c>
      <c r="AF302" s="12"/>
      <c r="AG302" s="12"/>
      <c r="AH302" s="12"/>
      <c r="AI302" s="12">
        <f t="shared" si="82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77"/>
        <v>0</v>
      </c>
      <c r="H303" s="12"/>
      <c r="I303" s="12"/>
      <c r="J303" s="12"/>
      <c r="K303" s="12">
        <f t="shared" si="78"/>
        <v>0</v>
      </c>
      <c r="M303" s="10">
        <v>17</v>
      </c>
      <c r="N303" s="30"/>
      <c r="O303" s="31"/>
      <c r="P303" s="35"/>
      <c r="Q303" s="32"/>
      <c r="R303" s="32"/>
      <c r="S303" s="32">
        <f t="shared" si="79"/>
        <v>0</v>
      </c>
      <c r="T303" s="12"/>
      <c r="U303" s="12"/>
      <c r="V303" s="12"/>
      <c r="W303" s="12">
        <f t="shared" si="80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6"/>
        <v>0</v>
      </c>
      <c r="AF303" s="12"/>
      <c r="AG303" s="12"/>
      <c r="AH303" s="12"/>
      <c r="AI303" s="12">
        <f t="shared" si="82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77"/>
        <v>0</v>
      </c>
      <c r="H304" s="12"/>
      <c r="I304" s="12"/>
      <c r="J304" s="12"/>
      <c r="K304" s="12">
        <f t="shared" si="78"/>
        <v>0</v>
      </c>
      <c r="M304" s="10">
        <v>18</v>
      </c>
      <c r="N304" s="30"/>
      <c r="O304" s="31"/>
      <c r="P304" s="32"/>
      <c r="Q304" s="32"/>
      <c r="R304" s="32"/>
      <c r="S304" s="32">
        <f t="shared" si="79"/>
        <v>0</v>
      </c>
      <c r="T304" s="12"/>
      <c r="U304" s="12"/>
      <c r="V304" s="12"/>
      <c r="W304" s="12">
        <f t="shared" si="80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6"/>
        <v>0</v>
      </c>
      <c r="AF304" s="12"/>
      <c r="AG304" s="12"/>
      <c r="AH304" s="12"/>
      <c r="AI304" s="12">
        <f t="shared" si="82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77"/>
        <v>0</v>
      </c>
      <c r="H305" s="12"/>
      <c r="I305" s="12"/>
      <c r="J305" s="12"/>
      <c r="K305" s="12">
        <f t="shared" si="78"/>
        <v>0</v>
      </c>
      <c r="M305" s="10">
        <v>19</v>
      </c>
      <c r="N305" s="30"/>
      <c r="O305" s="31"/>
      <c r="P305" s="32"/>
      <c r="Q305" s="32"/>
      <c r="R305" s="32"/>
      <c r="S305" s="32">
        <f t="shared" si="79"/>
        <v>0</v>
      </c>
      <c r="T305" s="12"/>
      <c r="U305" s="12"/>
      <c r="V305" s="12"/>
      <c r="W305" s="12">
        <f t="shared" si="80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6"/>
        <v>0</v>
      </c>
      <c r="AF305" s="12"/>
      <c r="AG305" s="12"/>
      <c r="AH305" s="12"/>
      <c r="AI305" s="12">
        <f t="shared" si="82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77"/>
        <v>0</v>
      </c>
      <c r="H306" s="12"/>
      <c r="I306" s="12"/>
      <c r="J306" s="12"/>
      <c r="K306" s="12">
        <f t="shared" si="78"/>
        <v>0</v>
      </c>
      <c r="M306" s="10">
        <v>20</v>
      </c>
      <c r="N306" s="30"/>
      <c r="O306" s="31"/>
      <c r="P306" s="32"/>
      <c r="Q306" s="32"/>
      <c r="R306" s="32"/>
      <c r="S306" s="32">
        <f t="shared" si="79"/>
        <v>0</v>
      </c>
      <c r="T306" s="12"/>
      <c r="U306" s="12"/>
      <c r="V306" s="12"/>
      <c r="W306" s="12">
        <f t="shared" si="80"/>
        <v>0</v>
      </c>
      <c r="Y306" s="10">
        <v>20</v>
      </c>
      <c r="Z306" s="30"/>
      <c r="AB306" s="32"/>
      <c r="AC306" s="32"/>
      <c r="AD306" s="32"/>
      <c r="AE306" s="32">
        <f t="shared" si="86"/>
        <v>0</v>
      </c>
      <c r="AF306" s="12"/>
      <c r="AG306" s="12"/>
      <c r="AH306" s="12"/>
      <c r="AI306" s="12">
        <f t="shared" si="82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83"/>
      <c r="D307" s="32"/>
      <c r="E307" s="32"/>
      <c r="F307" s="32"/>
      <c r="G307" s="32">
        <f t="shared" si="77"/>
        <v>0</v>
      </c>
      <c r="H307" s="10"/>
      <c r="I307" s="10"/>
      <c r="J307" s="10"/>
      <c r="K307" s="12">
        <f t="shared" si="78"/>
        <v>0</v>
      </c>
      <c r="M307" s="10">
        <v>21</v>
      </c>
      <c r="N307" s="30"/>
      <c r="O307" s="31"/>
      <c r="P307" s="46"/>
      <c r="Q307" s="31"/>
      <c r="R307" s="31"/>
      <c r="S307" s="32">
        <f t="shared" si="79"/>
        <v>0</v>
      </c>
      <c r="T307" s="10"/>
      <c r="U307" s="10"/>
      <c r="V307" s="10"/>
      <c r="W307" s="12">
        <f t="shared" si="80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6"/>
        <v>0</v>
      </c>
      <c r="AF307" s="10"/>
      <c r="AG307" s="10"/>
      <c r="AH307" s="10"/>
      <c r="AI307" s="12">
        <f t="shared" si="82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77"/>
        <v>0</v>
      </c>
      <c r="H308" s="10"/>
      <c r="I308" s="10"/>
      <c r="J308" s="10"/>
      <c r="K308" s="12">
        <f t="shared" si="78"/>
        <v>0</v>
      </c>
      <c r="M308" s="10">
        <v>22</v>
      </c>
      <c r="N308" s="30"/>
      <c r="O308" s="31"/>
      <c r="P308" s="45"/>
      <c r="Q308" s="31"/>
      <c r="R308" s="31"/>
      <c r="S308" s="32">
        <f t="shared" si="79"/>
        <v>0</v>
      </c>
      <c r="T308" s="10"/>
      <c r="U308" s="10"/>
      <c r="V308" s="10"/>
      <c r="W308" s="12">
        <f t="shared" si="80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6"/>
        <v>0</v>
      </c>
      <c r="AF308" s="10"/>
      <c r="AG308" s="10"/>
      <c r="AH308" s="10"/>
      <c r="AI308" s="12">
        <f t="shared" si="82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77"/>
        <v>0</v>
      </c>
      <c r="H309" s="10"/>
      <c r="I309" s="10"/>
      <c r="J309" s="12"/>
      <c r="K309" s="12">
        <f t="shared" si="78"/>
        <v>0</v>
      </c>
      <c r="M309" s="10">
        <v>23</v>
      </c>
      <c r="N309" s="30"/>
      <c r="O309" s="31"/>
      <c r="P309" s="47"/>
      <c r="S309" s="32">
        <f t="shared" si="79"/>
        <v>0</v>
      </c>
      <c r="T309" s="10"/>
      <c r="U309" s="10"/>
      <c r="V309" s="10"/>
      <c r="W309" s="12">
        <f t="shared" si="80"/>
        <v>0</v>
      </c>
      <c r="Y309" s="10">
        <v>23</v>
      </c>
      <c r="Z309" s="30"/>
      <c r="AA309" s="31"/>
      <c r="AB309" s="47"/>
      <c r="AE309" s="32">
        <f t="shared" si="86"/>
        <v>0</v>
      </c>
      <c r="AF309" s="10"/>
      <c r="AG309" s="10"/>
      <c r="AH309" s="10"/>
      <c r="AI309" s="12">
        <f t="shared" si="82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77"/>
        <v>0</v>
      </c>
      <c r="H310" s="10"/>
      <c r="I310" s="10"/>
      <c r="J310" s="10"/>
      <c r="K310" s="12">
        <f t="shared" si="78"/>
        <v>0</v>
      </c>
      <c r="M310" s="10">
        <v>24</v>
      </c>
      <c r="N310" s="30"/>
      <c r="O310" s="31"/>
      <c r="P310" s="47"/>
      <c r="Q310" s="31"/>
      <c r="R310" s="31"/>
      <c r="S310" s="32">
        <f t="shared" si="79"/>
        <v>0</v>
      </c>
      <c r="T310" s="10"/>
      <c r="U310" s="10"/>
      <c r="V310" s="10"/>
      <c r="W310" s="12">
        <f t="shared" si="80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6"/>
        <v>0</v>
      </c>
      <c r="AF310" s="10"/>
      <c r="AG310" s="10"/>
      <c r="AH310" s="10"/>
      <c r="AI310" s="12">
        <f t="shared" si="82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77"/>
        <v>0</v>
      </c>
      <c r="H311" s="10"/>
      <c r="I311" s="10"/>
      <c r="J311" s="10"/>
      <c r="K311" s="12">
        <f t="shared" si="78"/>
        <v>0</v>
      </c>
      <c r="M311" s="10">
        <v>25</v>
      </c>
      <c r="N311" s="30"/>
      <c r="O311" s="31"/>
      <c r="P311" s="47"/>
      <c r="Q311" s="31"/>
      <c r="R311" s="31"/>
      <c r="S311" s="32">
        <f t="shared" si="79"/>
        <v>0</v>
      </c>
      <c r="T311" s="10"/>
      <c r="U311" s="10"/>
      <c r="V311" s="10"/>
      <c r="W311" s="12">
        <f t="shared" si="80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6"/>
        <v>0</v>
      </c>
      <c r="AF311" s="10"/>
      <c r="AG311" s="10"/>
      <c r="AH311" s="10"/>
      <c r="AI311" s="12">
        <f t="shared" si="82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77"/>
        <v>0</v>
      </c>
      <c r="H312" s="10"/>
      <c r="I312" s="10"/>
      <c r="J312" s="10"/>
      <c r="K312" s="12">
        <f t="shared" si="78"/>
        <v>0</v>
      </c>
      <c r="M312" s="10">
        <v>26</v>
      </c>
      <c r="N312" s="30"/>
      <c r="O312" s="31"/>
      <c r="P312" s="47"/>
      <c r="Q312" s="31"/>
      <c r="R312" s="31"/>
      <c r="S312" s="32">
        <f t="shared" si="79"/>
        <v>0</v>
      </c>
      <c r="T312" s="10"/>
      <c r="U312" s="10"/>
      <c r="V312" s="10"/>
      <c r="W312" s="12">
        <f t="shared" si="80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6"/>
        <v>0</v>
      </c>
      <c r="AF312" s="10"/>
      <c r="AG312" s="10"/>
      <c r="AH312" s="10"/>
      <c r="AI312" s="12">
        <f t="shared" si="82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77"/>
        <v>0</v>
      </c>
      <c r="H313" s="10"/>
      <c r="I313" s="10"/>
      <c r="J313" s="10"/>
      <c r="K313" s="12">
        <f t="shared" si="78"/>
        <v>0</v>
      </c>
      <c r="M313" s="10">
        <v>27</v>
      </c>
      <c r="N313" s="30"/>
      <c r="O313" s="31"/>
      <c r="P313" s="47"/>
      <c r="Q313" s="31"/>
      <c r="R313" s="31"/>
      <c r="S313" s="32">
        <f t="shared" si="79"/>
        <v>0</v>
      </c>
      <c r="T313" s="10"/>
      <c r="U313" s="10"/>
      <c r="V313" s="10"/>
      <c r="W313" s="12">
        <f t="shared" si="80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6"/>
        <v>0</v>
      </c>
      <c r="AF313" s="10"/>
      <c r="AG313" s="10"/>
      <c r="AH313" s="10"/>
      <c r="AI313" s="12">
        <f t="shared" si="82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77"/>
        <v>0</v>
      </c>
      <c r="H314" s="10"/>
      <c r="I314" s="10"/>
      <c r="J314" s="10"/>
      <c r="K314" s="12">
        <f t="shared" si="78"/>
        <v>0</v>
      </c>
      <c r="M314" s="10">
        <v>28</v>
      </c>
      <c r="N314" s="30"/>
      <c r="O314" s="31"/>
      <c r="P314" s="47"/>
      <c r="Q314" s="31"/>
      <c r="R314" s="31"/>
      <c r="S314" s="32">
        <f t="shared" si="79"/>
        <v>0</v>
      </c>
      <c r="T314" s="10"/>
      <c r="U314" s="10"/>
      <c r="V314" s="10"/>
      <c r="W314" s="12">
        <f t="shared" si="80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6"/>
        <v>0</v>
      </c>
      <c r="AF314" s="10"/>
      <c r="AG314" s="10"/>
      <c r="AH314" s="10"/>
      <c r="AI314" s="12">
        <f t="shared" si="82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83"/>
      <c r="D315" s="32"/>
      <c r="E315" s="32"/>
      <c r="F315" s="32"/>
      <c r="G315" s="32">
        <f t="shared" si="77"/>
        <v>0</v>
      </c>
      <c r="H315" s="10"/>
      <c r="I315" s="10"/>
      <c r="J315" s="10"/>
      <c r="K315" s="12">
        <f t="shared" si="78"/>
        <v>0</v>
      </c>
      <c r="M315" s="10">
        <v>29</v>
      </c>
      <c r="N315" s="30"/>
      <c r="O315" s="31"/>
      <c r="P315" s="47"/>
      <c r="Q315" s="31"/>
      <c r="R315" s="31"/>
      <c r="S315" s="32">
        <f t="shared" si="79"/>
        <v>0</v>
      </c>
      <c r="T315" s="10"/>
      <c r="U315" s="10"/>
      <c r="V315" s="10"/>
      <c r="W315" s="12">
        <f t="shared" si="80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6"/>
        <v>0</v>
      </c>
      <c r="AF315" s="10"/>
      <c r="AG315" s="10"/>
      <c r="AH315" s="10"/>
      <c r="AI315" s="12">
        <f t="shared" si="82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77"/>
        <v>0</v>
      </c>
      <c r="H316" s="10"/>
      <c r="I316" s="10"/>
      <c r="J316" s="10"/>
      <c r="K316" s="12">
        <f t="shared" si="78"/>
        <v>0</v>
      </c>
      <c r="M316" s="10">
        <v>30</v>
      </c>
      <c r="N316" s="30"/>
      <c r="O316" s="31"/>
      <c r="P316" s="47"/>
      <c r="Q316" s="31"/>
      <c r="R316" s="31"/>
      <c r="S316" s="32">
        <f t="shared" si="79"/>
        <v>0</v>
      </c>
      <c r="T316" s="10"/>
      <c r="U316" s="10"/>
      <c r="V316" s="10"/>
      <c r="W316" s="12">
        <f t="shared" si="80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6"/>
        <v>0</v>
      </c>
      <c r="AF316" s="10"/>
      <c r="AG316" s="10"/>
      <c r="AH316" s="10"/>
      <c r="AI316" s="12">
        <f t="shared" si="82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77"/>
        <v>0</v>
      </c>
      <c r="H317" s="10"/>
      <c r="I317" s="10"/>
      <c r="J317" s="10"/>
      <c r="K317" s="12">
        <f t="shared" si="78"/>
        <v>0</v>
      </c>
      <c r="M317" s="10">
        <v>31</v>
      </c>
      <c r="N317" s="30"/>
      <c r="O317" s="31"/>
      <c r="P317" s="47"/>
      <c r="Q317" s="31"/>
      <c r="R317" s="31"/>
      <c r="S317" s="32">
        <f t="shared" si="79"/>
        <v>0</v>
      </c>
      <c r="T317" s="10"/>
      <c r="U317" s="10"/>
      <c r="V317" s="10"/>
      <c r="W317" s="12">
        <f t="shared" si="80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6"/>
        <v>0</v>
      </c>
      <c r="AF317" s="10"/>
      <c r="AG317" s="10"/>
      <c r="AH317" s="10"/>
      <c r="AI317" s="12">
        <f t="shared" si="82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77"/>
        <v>0</v>
      </c>
      <c r="H318" s="10"/>
      <c r="I318" s="10"/>
      <c r="J318" s="10"/>
      <c r="K318" s="12">
        <f t="shared" si="78"/>
        <v>0</v>
      </c>
      <c r="M318" s="10">
        <v>32</v>
      </c>
      <c r="N318" s="30"/>
      <c r="O318" s="31"/>
      <c r="P318" s="47"/>
      <c r="Q318" s="31"/>
      <c r="R318" s="31"/>
      <c r="S318" s="32">
        <f t="shared" si="79"/>
        <v>0</v>
      </c>
      <c r="T318" s="10"/>
      <c r="U318" s="10"/>
      <c r="V318" s="10"/>
      <c r="W318" s="12">
        <f t="shared" si="80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6"/>
        <v>0</v>
      </c>
      <c r="AF318" s="10"/>
      <c r="AG318" s="10"/>
      <c r="AH318" s="10"/>
      <c r="AI318" s="12">
        <f t="shared" si="82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77"/>
        <v>0</v>
      </c>
      <c r="H319" s="10"/>
      <c r="I319" s="10"/>
      <c r="J319" s="10"/>
      <c r="K319" s="12">
        <f t="shared" si="78"/>
        <v>0</v>
      </c>
      <c r="M319" s="10">
        <v>33</v>
      </c>
      <c r="N319" s="30"/>
      <c r="O319" s="31"/>
      <c r="P319" s="47"/>
      <c r="Q319" s="31"/>
      <c r="R319" s="31"/>
      <c r="S319" s="32">
        <f t="shared" si="79"/>
        <v>0</v>
      </c>
      <c r="T319" s="10"/>
      <c r="U319" s="10"/>
      <c r="V319" s="10"/>
      <c r="W319" s="12">
        <f t="shared" si="80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6"/>
        <v>0</v>
      </c>
      <c r="AF319" s="10"/>
      <c r="AG319" s="10"/>
      <c r="AH319" s="10"/>
      <c r="AI319" s="12">
        <f t="shared" si="82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77"/>
        <v>0</v>
      </c>
      <c r="H320" s="10"/>
      <c r="I320" s="10"/>
      <c r="J320" s="10"/>
      <c r="K320" s="12">
        <f t="shared" si="78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87">SUM(P320:Q320)</f>
        <v>0</v>
      </c>
      <c r="T320" s="10"/>
      <c r="U320" s="10"/>
      <c r="V320" s="10"/>
      <c r="W320" s="12">
        <f t="shared" ref="W320:W328" si="88">SUM(S320:V320)</f>
        <v>0</v>
      </c>
      <c r="Y320" s="10">
        <v>34</v>
      </c>
      <c r="Z320" s="30"/>
      <c r="AA320" s="31"/>
      <c r="AB320" s="47"/>
      <c r="AC320" s="31"/>
      <c r="AD320" s="31"/>
      <c r="AE320" s="32">
        <f t="shared" si="86"/>
        <v>0</v>
      </c>
      <c r="AF320" s="10"/>
      <c r="AG320" s="10"/>
      <c r="AH320" s="10"/>
      <c r="AI320" s="12">
        <f t="shared" si="82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87"/>
        <v>0</v>
      </c>
      <c r="T321" s="10"/>
      <c r="U321" s="10"/>
      <c r="V321" s="10"/>
      <c r="W321" s="12">
        <f t="shared" si="88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6"/>
        <v>0</v>
      </c>
      <c r="AF321" s="10"/>
      <c r="AG321" s="10"/>
      <c r="AH321" s="10"/>
      <c r="AI321" s="12">
        <f t="shared" si="8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87"/>
        <v>0</v>
      </c>
      <c r="T322" s="10"/>
      <c r="U322" s="10"/>
      <c r="V322" s="10"/>
      <c r="W322" s="12">
        <f t="shared" si="88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6"/>
        <v>0</v>
      </c>
      <c r="AF322" s="10"/>
      <c r="AG322" s="10"/>
      <c r="AH322" s="10"/>
      <c r="AI322" s="12">
        <f t="shared" si="8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87"/>
        <v>0</v>
      </c>
      <c r="T323" s="10"/>
      <c r="U323" s="10"/>
      <c r="V323" s="10"/>
      <c r="W323" s="12">
        <f t="shared" si="88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6"/>
        <v>0</v>
      </c>
      <c r="AF323" s="10"/>
      <c r="AG323" s="10"/>
      <c r="AH323" s="10"/>
      <c r="AI323" s="12">
        <f t="shared" si="8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87"/>
        <v>0</v>
      </c>
      <c r="T324" s="10"/>
      <c r="U324" s="10"/>
      <c r="V324" s="10"/>
      <c r="W324" s="12">
        <f t="shared" si="88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6"/>
        <v>0</v>
      </c>
      <c r="AF324" s="10"/>
      <c r="AG324" s="10"/>
      <c r="AH324" s="10"/>
      <c r="AI324" s="12">
        <f t="shared" si="8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87"/>
        <v>0</v>
      </c>
      <c r="T325" s="10"/>
      <c r="U325" s="10"/>
      <c r="V325" s="10"/>
      <c r="W325" s="12">
        <f t="shared" si="88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6"/>
        <v>0</v>
      </c>
      <c r="AF325" s="10"/>
      <c r="AG325" s="10"/>
      <c r="AH325" s="10"/>
      <c r="AI325" s="12">
        <f t="shared" si="8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88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89">SUM(D327:E327)</f>
        <v>0</v>
      </c>
      <c r="H327" s="10"/>
      <c r="I327" s="10"/>
      <c r="J327" s="10"/>
      <c r="K327" s="12">
        <f t="shared" ref="K327" si="90">SUM(G327:J327)</f>
        <v>0</v>
      </c>
      <c r="M327" s="10"/>
      <c r="N327" s="30"/>
      <c r="O327" s="31"/>
      <c r="P327" s="47"/>
      <c r="Q327" s="31"/>
      <c r="R327" s="31"/>
      <c r="S327" s="32">
        <f t="shared" ref="S327" si="91">SUM(P327:Q327)</f>
        <v>0</v>
      </c>
      <c r="T327" s="10"/>
      <c r="U327" s="10"/>
      <c r="V327" s="10"/>
      <c r="W327" s="12">
        <f t="shared" si="88"/>
        <v>0</v>
      </c>
      <c r="Y327" s="10"/>
      <c r="Z327" s="30"/>
      <c r="AA327" s="31"/>
      <c r="AB327" s="47"/>
      <c r="AC327" s="31"/>
      <c r="AD327" s="31"/>
      <c r="AE327" s="32">
        <f t="shared" ref="AE327" si="92">SUM(AB327:AC327)</f>
        <v>0</v>
      </c>
      <c r="AF327" s="10"/>
      <c r="AG327" s="10"/>
      <c r="AH327" s="10"/>
      <c r="AI327" s="12">
        <f t="shared" si="8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88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249507</v>
      </c>
      <c r="E330" s="38">
        <f t="shared" ref="E330:F330" si="93">SUM(E287:E327)</f>
        <v>0</v>
      </c>
      <c r="F330" s="38">
        <f t="shared" si="93"/>
        <v>0</v>
      </c>
      <c r="G330" s="38">
        <f>SUM(G287:G329)</f>
        <v>249507</v>
      </c>
      <c r="H330" s="4"/>
      <c r="I330" s="39">
        <f>SUM(I287:I329)</f>
        <v>184.5</v>
      </c>
      <c r="J330" s="39">
        <f>SUM(J287:J329)</f>
        <v>-1110</v>
      </c>
      <c r="K330" s="40">
        <f>SUM(K287:K329)</f>
        <v>248581.5</v>
      </c>
      <c r="N330" s="57"/>
      <c r="O330" s="57"/>
      <c r="P330" s="38">
        <f>SUM(P287:P329)</f>
        <v>185908.5</v>
      </c>
      <c r="Q330" s="38">
        <f>SUM(Q287:Q311)</f>
        <v>-1206</v>
      </c>
      <c r="R330" s="38">
        <f>SUM(R287:R311)</f>
        <v>0</v>
      </c>
      <c r="S330" s="38">
        <f>SUM(S287:S329)</f>
        <v>184702.5</v>
      </c>
      <c r="T330" s="4"/>
      <c r="U330" s="41">
        <f>SUM(U287:U329)</f>
        <v>3165</v>
      </c>
      <c r="V330" s="41">
        <f>SUM(V287:V311)</f>
        <v>-2058</v>
      </c>
      <c r="W330" s="42">
        <f>SUM(W287:W329)</f>
        <v>185809.5</v>
      </c>
      <c r="Z330" s="57"/>
      <c r="AA330" s="57"/>
      <c r="AB330" s="38">
        <f>SUM(AB287:AB329)</f>
        <v>300858</v>
      </c>
      <c r="AC330" s="38">
        <f>SUM(AC287:AC311)</f>
        <v>-300</v>
      </c>
      <c r="AD330" s="38">
        <f>SUM(AD287:AD311)</f>
        <v>0</v>
      </c>
      <c r="AE330" s="38">
        <f>SUM(AE287:AE329)</f>
        <v>300558</v>
      </c>
      <c r="AF330" s="4"/>
      <c r="AG330" s="41">
        <f>SUM(AG287:AG329)</f>
        <v>9877.5</v>
      </c>
      <c r="AH330" s="41">
        <f>SUM(AH287:AH311)</f>
        <v>-5550</v>
      </c>
      <c r="AI330" s="42">
        <f>SUM(AI287:AI329)</f>
        <v>304885.5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60</v>
      </c>
      <c r="B338" s="20"/>
      <c r="C338" s="57"/>
      <c r="D338" s="57"/>
      <c r="E338" s="57"/>
      <c r="G338" s="57"/>
      <c r="I338" s="22" t="s">
        <v>16</v>
      </c>
      <c r="J338" s="23" t="s">
        <v>36</v>
      </c>
      <c r="K338" s="24"/>
      <c r="M338" s="21" t="s">
        <v>60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60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33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8"/>
      <c r="G340" s="27"/>
      <c r="I340" s="110" t="s">
        <v>18</v>
      </c>
      <c r="J340" s="111"/>
      <c r="K340" s="113" t="s">
        <v>19</v>
      </c>
      <c r="N340" s="25"/>
      <c r="O340" s="26"/>
      <c r="P340" s="112" t="s">
        <v>17</v>
      </c>
      <c r="Q340" s="112"/>
      <c r="R340" s="98"/>
      <c r="S340" s="27"/>
      <c r="U340" s="110" t="s">
        <v>18</v>
      </c>
      <c r="V340" s="111"/>
      <c r="W340" s="113" t="s">
        <v>19</v>
      </c>
      <c r="Z340" s="25"/>
      <c r="AA340" s="26"/>
      <c r="AB340" s="112" t="s">
        <v>17</v>
      </c>
      <c r="AC340" s="112"/>
      <c r="AD340" s="98"/>
      <c r="AE340" s="27"/>
      <c r="AG340" s="110" t="s">
        <v>18</v>
      </c>
      <c r="AH340" s="111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46272</v>
      </c>
      <c r="C342" s="83">
        <v>11033</v>
      </c>
      <c r="D342" s="32">
        <f>650*126+700*3+622*10+912+1050+872+229*5+650*2</f>
        <v>95499</v>
      </c>
      <c r="E342" s="32"/>
      <c r="F342" s="32"/>
      <c r="G342" s="32">
        <f t="shared" ref="G342:G375" si="94">SUM(D342:E342)</f>
        <v>95499</v>
      </c>
      <c r="H342" s="12"/>
      <c r="I342" s="12">
        <f>4.5*78+24*1.5</f>
        <v>387</v>
      </c>
      <c r="J342" s="12"/>
      <c r="K342" s="12">
        <f t="shared" ref="K342:K375" si="95">SUM(G342:J342)</f>
        <v>95886</v>
      </c>
      <c r="M342" s="10">
        <v>1</v>
      </c>
      <c r="N342" s="30">
        <v>46272</v>
      </c>
      <c r="O342" s="83">
        <v>11241</v>
      </c>
      <c r="P342" s="32">
        <f>650*4+622*2+9.5*6</f>
        <v>3901</v>
      </c>
      <c r="Q342" s="32"/>
      <c r="R342" s="32"/>
      <c r="S342" s="32">
        <f>SUM(P342:Q342)</f>
        <v>3901</v>
      </c>
      <c r="T342" s="12"/>
      <c r="U342" s="12"/>
      <c r="V342" s="12"/>
      <c r="W342" s="12">
        <f>SUM(S342:V342)</f>
        <v>3901</v>
      </c>
      <c r="Y342" s="10">
        <v>1</v>
      </c>
      <c r="Z342" s="30">
        <v>46272</v>
      </c>
      <c r="AA342" s="31">
        <v>11284</v>
      </c>
      <c r="AB342" s="32">
        <f>650*50</f>
        <v>32500</v>
      </c>
      <c r="AC342" s="32">
        <f>-50*6</f>
        <v>-300</v>
      </c>
      <c r="AD342" s="32"/>
      <c r="AE342" s="32">
        <f>SUM(AB342:AC342)</f>
        <v>32200</v>
      </c>
      <c r="AF342" s="12"/>
      <c r="AG342" s="12"/>
      <c r="AH342" s="12"/>
      <c r="AI342" s="12">
        <f>SUM(AE342:AH342)</f>
        <v>32200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46272</v>
      </c>
      <c r="C343" s="31">
        <f>C342+1</f>
        <v>11034</v>
      </c>
      <c r="D343" s="32">
        <f>650*46+229</f>
        <v>30129</v>
      </c>
      <c r="E343" s="32"/>
      <c r="F343" s="32"/>
      <c r="G343" s="32">
        <f t="shared" si="94"/>
        <v>30129</v>
      </c>
      <c r="H343" s="12"/>
      <c r="I343" s="12"/>
      <c r="J343" s="12"/>
      <c r="K343" s="12">
        <f t="shared" si="95"/>
        <v>30129</v>
      </c>
      <c r="M343" s="10">
        <v>2</v>
      </c>
      <c r="N343" s="30">
        <v>46272</v>
      </c>
      <c r="O343" s="83">
        <f>O342+1</f>
        <v>11242</v>
      </c>
      <c r="P343" s="32">
        <f>650*216+229*9+650*2</f>
        <v>143761</v>
      </c>
      <c r="Q343" s="32">
        <f>-216*6</f>
        <v>-1296</v>
      </c>
      <c r="R343" s="32"/>
      <c r="S343" s="32">
        <f t="shared" ref="S343:S374" si="96">SUM(P343:Q343)</f>
        <v>142465</v>
      </c>
      <c r="T343" s="12"/>
      <c r="U343" s="12">
        <f>78*9</f>
        <v>702</v>
      </c>
      <c r="V343" s="12">
        <f>-42*5</f>
        <v>-210</v>
      </c>
      <c r="W343" s="12">
        <f t="shared" ref="W343:W374" si="97">SUM(S343:V343)</f>
        <v>142957</v>
      </c>
      <c r="Y343" s="10">
        <v>2</v>
      </c>
      <c r="Z343" s="30">
        <v>46272</v>
      </c>
      <c r="AA343" s="31">
        <f>AA342+1</f>
        <v>11285</v>
      </c>
      <c r="AB343" s="32">
        <f>650*20+229</f>
        <v>13229</v>
      </c>
      <c r="AC343" s="32"/>
      <c r="AD343" s="32"/>
      <c r="AE343" s="32">
        <f t="shared" ref="AE343:AE345" si="98">SUM(AB343:AC343)</f>
        <v>13229</v>
      </c>
      <c r="AF343" s="12"/>
      <c r="AG343" s="12">
        <f>1.5*5</f>
        <v>7.5</v>
      </c>
      <c r="AH343" s="12"/>
      <c r="AI343" s="12">
        <f t="shared" ref="AI343:AI383" si="99">SUM(AE343:AH343)</f>
        <v>13236.5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46272</v>
      </c>
      <c r="C344" s="31">
        <f t="shared" ref="C344:C347" si="100">C343+1</f>
        <v>11035</v>
      </c>
      <c r="D344" s="33">
        <f>650*24+622*3</f>
        <v>17466</v>
      </c>
      <c r="E344" s="33"/>
      <c r="F344" s="33"/>
      <c r="G344" s="33">
        <f t="shared" si="94"/>
        <v>17466</v>
      </c>
      <c r="H344" s="34"/>
      <c r="I344" s="34"/>
      <c r="J344" s="34"/>
      <c r="K344" s="34">
        <f t="shared" si="95"/>
        <v>17466</v>
      </c>
      <c r="M344" s="10">
        <v>3</v>
      </c>
      <c r="N344" s="30">
        <v>46272</v>
      </c>
      <c r="O344" s="83">
        <f t="shared" ref="O344:O351" si="101">O343+1</f>
        <v>11243</v>
      </c>
      <c r="P344" s="33">
        <f>650*17</f>
        <v>11050</v>
      </c>
      <c r="Q344" s="33"/>
      <c r="R344" s="32"/>
      <c r="S344" s="32">
        <f t="shared" si="96"/>
        <v>11050</v>
      </c>
      <c r="T344" s="12"/>
      <c r="U344" s="34">
        <v>36</v>
      </c>
      <c r="V344" s="34"/>
      <c r="W344" s="12">
        <f t="shared" si="97"/>
        <v>11086</v>
      </c>
      <c r="Y344" s="10">
        <v>3</v>
      </c>
      <c r="Z344" s="30">
        <v>46272</v>
      </c>
      <c r="AA344" s="31">
        <f t="shared" ref="AA344:AA349" si="102">AA343+1</f>
        <v>11286</v>
      </c>
      <c r="AB344" s="33">
        <f>650*2</f>
        <v>1300</v>
      </c>
      <c r="AC344" s="33"/>
      <c r="AD344" s="32"/>
      <c r="AE344" s="32">
        <f t="shared" si="98"/>
        <v>1300</v>
      </c>
      <c r="AF344" s="12"/>
      <c r="AG344" s="12"/>
      <c r="AH344" s="12"/>
      <c r="AI344" s="12">
        <f t="shared" si="99"/>
        <v>1300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46272</v>
      </c>
      <c r="C345" s="31">
        <f t="shared" si="100"/>
        <v>11036</v>
      </c>
      <c r="D345" s="32">
        <f>650*146+622*7+229*2</f>
        <v>99712</v>
      </c>
      <c r="E345" s="32"/>
      <c r="F345" s="32"/>
      <c r="G345" s="32">
        <f t="shared" si="94"/>
        <v>99712</v>
      </c>
      <c r="H345" s="12"/>
      <c r="I345" s="12"/>
      <c r="J345" s="12"/>
      <c r="K345" s="12">
        <f t="shared" si="95"/>
        <v>99712</v>
      </c>
      <c r="M345" s="10">
        <v>4</v>
      </c>
      <c r="N345" s="30">
        <v>46272</v>
      </c>
      <c r="O345" s="83">
        <f t="shared" si="101"/>
        <v>11244</v>
      </c>
      <c r="P345" s="32">
        <f>650*9+622*2+872+9.5*11</f>
        <v>8070.5</v>
      </c>
      <c r="Q345" s="32"/>
      <c r="R345" s="32"/>
      <c r="S345" s="32">
        <f t="shared" si="96"/>
        <v>8070.5</v>
      </c>
      <c r="T345" s="12"/>
      <c r="U345" s="12"/>
      <c r="V345" s="12"/>
      <c r="W345" s="12">
        <f t="shared" si="97"/>
        <v>8070.5</v>
      </c>
      <c r="Y345" s="10">
        <v>4</v>
      </c>
      <c r="Z345" s="30">
        <v>46272</v>
      </c>
      <c r="AA345" s="31">
        <f t="shared" si="102"/>
        <v>11287</v>
      </c>
      <c r="AB345" s="32">
        <f>650*15+622*5</f>
        <v>12860</v>
      </c>
      <c r="AC345" s="32"/>
      <c r="AD345" s="32"/>
      <c r="AE345" s="32">
        <f t="shared" si="98"/>
        <v>12860</v>
      </c>
      <c r="AF345" s="12"/>
      <c r="AG345">
        <v>-1665</v>
      </c>
      <c r="AH345" s="12"/>
      <c r="AI345" s="12">
        <f t="shared" si="99"/>
        <v>11195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46272</v>
      </c>
      <c r="C346" s="31">
        <f t="shared" si="100"/>
        <v>11037</v>
      </c>
      <c r="D346" s="32">
        <f>650*3+229</f>
        <v>2179</v>
      </c>
      <c r="E346" s="32"/>
      <c r="F346" s="32"/>
      <c r="G346" s="32">
        <f t="shared" si="94"/>
        <v>2179</v>
      </c>
      <c r="H346" s="12"/>
      <c r="I346" s="12"/>
      <c r="J346" s="12">
        <f>-777</f>
        <v>-777</v>
      </c>
      <c r="K346" s="12">
        <f t="shared" si="95"/>
        <v>1402</v>
      </c>
      <c r="M346" s="10">
        <v>5</v>
      </c>
      <c r="N346" s="30">
        <v>46272</v>
      </c>
      <c r="O346" s="83">
        <f t="shared" si="101"/>
        <v>11245</v>
      </c>
      <c r="P346" s="32">
        <f>650*7+9.5*7</f>
        <v>4616.5</v>
      </c>
      <c r="Q346" s="32"/>
      <c r="R346" s="32"/>
      <c r="S346" s="32">
        <f t="shared" si="96"/>
        <v>4616.5</v>
      </c>
      <c r="T346" s="12"/>
      <c r="U346" s="12">
        <v>4.5</v>
      </c>
      <c r="V346" s="12"/>
      <c r="W346" s="12">
        <f t="shared" si="97"/>
        <v>4621</v>
      </c>
      <c r="Y346" s="10">
        <v>5</v>
      </c>
      <c r="Z346" s="30">
        <v>46272</v>
      </c>
      <c r="AA346" s="31">
        <f t="shared" si="102"/>
        <v>11288</v>
      </c>
      <c r="AB346" s="32">
        <f>650*30+872*4+229*2</f>
        <v>23446</v>
      </c>
      <c r="AC346" s="32"/>
      <c r="AD346" s="32"/>
      <c r="AE346" s="32">
        <f t="shared" ref="AE346:AE380" si="103">SUM(AB346:AC346)</f>
        <v>23446</v>
      </c>
      <c r="AF346" s="12"/>
      <c r="AG346" s="12"/>
      <c r="AH346" s="12"/>
      <c r="AI346" s="12">
        <f t="shared" si="99"/>
        <v>23446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46272</v>
      </c>
      <c r="C347" s="31">
        <f t="shared" si="100"/>
        <v>11038</v>
      </c>
      <c r="D347" s="32">
        <f>650*11</f>
        <v>7150</v>
      </c>
      <c r="E347" s="32"/>
      <c r="F347" s="32"/>
      <c r="G347" s="32">
        <f t="shared" si="94"/>
        <v>7150</v>
      </c>
      <c r="H347" s="12"/>
      <c r="I347" s="12"/>
      <c r="J347" s="12">
        <v>-444</v>
      </c>
      <c r="K347" s="12">
        <f t="shared" si="95"/>
        <v>6706</v>
      </c>
      <c r="M347" s="10">
        <v>6</v>
      </c>
      <c r="N347" s="30">
        <v>46272</v>
      </c>
      <c r="O347" s="83">
        <f t="shared" si="101"/>
        <v>11246</v>
      </c>
      <c r="P347" s="32">
        <f>650*5+9.5*3</f>
        <v>3278.5</v>
      </c>
      <c r="Q347" s="32"/>
      <c r="R347" s="32"/>
      <c r="S347" s="32">
        <f t="shared" si="96"/>
        <v>3278.5</v>
      </c>
      <c r="T347" s="12"/>
      <c r="U347" s="12"/>
      <c r="V347" s="10"/>
      <c r="W347" s="12">
        <f t="shared" si="97"/>
        <v>3278.5</v>
      </c>
      <c r="Y347" s="10">
        <v>6</v>
      </c>
      <c r="Z347" s="30">
        <v>46272</v>
      </c>
      <c r="AA347" s="31">
        <f t="shared" si="102"/>
        <v>11289</v>
      </c>
      <c r="AB347" s="32">
        <f>650*5+622*2</f>
        <v>4494</v>
      </c>
      <c r="AC347" s="32"/>
      <c r="AD347" s="32"/>
      <c r="AE347" s="32">
        <f t="shared" si="103"/>
        <v>4494</v>
      </c>
      <c r="AF347" s="12"/>
      <c r="AG347" s="12"/>
      <c r="AH347" s="10"/>
      <c r="AI347" s="12">
        <f t="shared" si="99"/>
        <v>4494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11" t="s">
        <v>27</v>
      </c>
      <c r="D348" s="32"/>
      <c r="E348" s="32"/>
      <c r="F348" s="32"/>
      <c r="G348" s="32">
        <f t="shared" si="94"/>
        <v>0</v>
      </c>
      <c r="H348" s="12"/>
      <c r="I348" s="12"/>
      <c r="J348" s="12"/>
      <c r="K348" s="12">
        <f t="shared" si="95"/>
        <v>0</v>
      </c>
      <c r="M348" s="10">
        <v>7</v>
      </c>
      <c r="N348" s="30">
        <v>46272</v>
      </c>
      <c r="O348" s="83">
        <f t="shared" si="101"/>
        <v>11247</v>
      </c>
      <c r="P348" s="32">
        <f>650*5+9.5*5</f>
        <v>3297.5</v>
      </c>
      <c r="Q348" s="32"/>
      <c r="R348" s="32"/>
      <c r="S348" s="32">
        <f t="shared" si="96"/>
        <v>3297.5</v>
      </c>
      <c r="T348" s="12"/>
      <c r="U348" s="12"/>
      <c r="V348" s="12"/>
      <c r="W348" s="12">
        <f t="shared" si="97"/>
        <v>3297.5</v>
      </c>
      <c r="Y348" s="10">
        <v>7</v>
      </c>
      <c r="Z348" s="30">
        <v>46272</v>
      </c>
      <c r="AA348" s="31">
        <f t="shared" si="102"/>
        <v>11290</v>
      </c>
      <c r="AB348" s="32">
        <f>650*10+622+9.5*11</f>
        <v>7226.5</v>
      </c>
      <c r="AC348" s="32"/>
      <c r="AD348" s="32"/>
      <c r="AE348" s="32">
        <f t="shared" si="103"/>
        <v>7226.5</v>
      </c>
      <c r="AF348" s="12"/>
      <c r="AG348" s="58"/>
      <c r="AH348" s="12"/>
      <c r="AI348" s="12">
        <f t="shared" si="99"/>
        <v>7226.5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94"/>
        <v>0</v>
      </c>
      <c r="H349" s="12"/>
      <c r="I349" s="12"/>
      <c r="J349" s="12"/>
      <c r="K349" s="12">
        <f t="shared" si="95"/>
        <v>0</v>
      </c>
      <c r="M349" s="10">
        <v>8</v>
      </c>
      <c r="N349" s="30">
        <v>46272</v>
      </c>
      <c r="O349" s="83">
        <f t="shared" si="101"/>
        <v>11248</v>
      </c>
      <c r="P349" s="32">
        <f>650*13+700+622*4</f>
        <v>11638</v>
      </c>
      <c r="Q349" s="32"/>
      <c r="R349" s="32"/>
      <c r="S349" s="32">
        <f t="shared" si="96"/>
        <v>11638</v>
      </c>
      <c r="T349" s="12"/>
      <c r="U349" s="12"/>
      <c r="V349" s="12">
        <f>-111*4</f>
        <v>-444</v>
      </c>
      <c r="W349" s="12">
        <f t="shared" si="97"/>
        <v>11194</v>
      </c>
      <c r="Y349" s="10">
        <v>8</v>
      </c>
      <c r="Z349" s="30">
        <v>46272</v>
      </c>
      <c r="AA349" s="31">
        <f t="shared" si="102"/>
        <v>11291</v>
      </c>
      <c r="AB349" s="32">
        <f>650+622</f>
        <v>1272</v>
      </c>
      <c r="AC349" s="32"/>
      <c r="AE349" s="32">
        <f t="shared" si="103"/>
        <v>1272</v>
      </c>
      <c r="AF349" s="12"/>
      <c r="AG349" s="12"/>
      <c r="AH349" s="12"/>
      <c r="AI349" s="12">
        <f t="shared" si="99"/>
        <v>1272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D350" s="32"/>
      <c r="E350" s="32"/>
      <c r="F350" s="32"/>
      <c r="G350" s="32">
        <f t="shared" si="94"/>
        <v>0</v>
      </c>
      <c r="H350" s="12"/>
      <c r="I350" s="12"/>
      <c r="J350" s="12"/>
      <c r="K350" s="12">
        <f t="shared" si="95"/>
        <v>0</v>
      </c>
      <c r="M350" s="10">
        <v>9</v>
      </c>
      <c r="N350" s="30">
        <v>46272</v>
      </c>
      <c r="O350" s="83">
        <f t="shared" si="101"/>
        <v>11249</v>
      </c>
      <c r="P350" s="32">
        <f>650*6+622*2</f>
        <v>5144</v>
      </c>
      <c r="Q350" s="32"/>
      <c r="R350" s="32"/>
      <c r="S350" s="32">
        <f t="shared" si="96"/>
        <v>5144</v>
      </c>
      <c r="T350" s="12"/>
      <c r="U350" s="12"/>
      <c r="V350" s="12"/>
      <c r="W350" s="12">
        <f t="shared" si="97"/>
        <v>5144</v>
      </c>
      <c r="Y350" s="10">
        <v>9</v>
      </c>
      <c r="Z350" s="30"/>
      <c r="AA350" s="11" t="s">
        <v>27</v>
      </c>
      <c r="AC350" s="32"/>
      <c r="AD350" s="32"/>
      <c r="AE350" s="32">
        <f t="shared" si="103"/>
        <v>0</v>
      </c>
      <c r="AF350" s="12"/>
      <c r="AH350" s="12"/>
      <c r="AI350" s="12">
        <f t="shared" si="99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94"/>
        <v>0</v>
      </c>
      <c r="H351" s="12"/>
      <c r="I351" s="12"/>
      <c r="J351" s="12"/>
      <c r="K351" s="12">
        <f t="shared" si="95"/>
        <v>0</v>
      </c>
      <c r="M351" s="10">
        <v>10</v>
      </c>
      <c r="N351" s="30">
        <v>46272</v>
      </c>
      <c r="O351" s="83">
        <f t="shared" si="101"/>
        <v>11250</v>
      </c>
      <c r="P351" s="32">
        <f>650*10+872</f>
        <v>7372</v>
      </c>
      <c r="Q351" s="32"/>
      <c r="R351" s="32"/>
      <c r="S351" s="32">
        <f t="shared" si="96"/>
        <v>7372</v>
      </c>
      <c r="T351" s="12"/>
      <c r="U351" s="12">
        <f>1.5*13+4.5*5</f>
        <v>42</v>
      </c>
      <c r="V351" s="12"/>
      <c r="W351" s="12">
        <f t="shared" si="97"/>
        <v>7414</v>
      </c>
      <c r="Y351" s="10">
        <v>10</v>
      </c>
      <c r="Z351" s="30"/>
      <c r="AA351" s="31"/>
      <c r="AB351" s="32"/>
      <c r="AC351" s="32"/>
      <c r="AD351" s="32"/>
      <c r="AE351" s="32">
        <f t="shared" si="103"/>
        <v>0</v>
      </c>
      <c r="AF351" s="12"/>
      <c r="AG351" s="12"/>
      <c r="AH351" s="12"/>
      <c r="AI351" s="12">
        <f t="shared" si="99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94"/>
        <v>0</v>
      </c>
      <c r="H352" s="12"/>
      <c r="I352" s="12"/>
      <c r="J352" s="12"/>
      <c r="K352" s="12">
        <f t="shared" si="95"/>
        <v>0</v>
      </c>
      <c r="M352" s="10">
        <v>11</v>
      </c>
      <c r="N352" s="30"/>
      <c r="O352" s="11" t="s">
        <v>27</v>
      </c>
      <c r="P352" s="32"/>
      <c r="Q352" s="32"/>
      <c r="R352" s="32"/>
      <c r="S352" s="32">
        <f t="shared" si="96"/>
        <v>0</v>
      </c>
      <c r="T352" s="12"/>
      <c r="U352" s="12"/>
      <c r="V352" s="12"/>
      <c r="W352" s="12">
        <f t="shared" si="97"/>
        <v>0</v>
      </c>
      <c r="Y352" s="10">
        <v>11</v>
      </c>
      <c r="Z352" s="30"/>
      <c r="AA352" s="31"/>
      <c r="AB352" s="32"/>
      <c r="AC352" s="32"/>
      <c r="AD352" s="32"/>
      <c r="AE352" s="32">
        <f t="shared" si="103"/>
        <v>0</v>
      </c>
      <c r="AF352" s="12"/>
      <c r="AG352" s="12"/>
      <c r="AH352" s="12"/>
      <c r="AI352" s="12">
        <f t="shared" si="99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94"/>
        <v>0</v>
      </c>
      <c r="H353" s="12"/>
      <c r="I353" s="12"/>
      <c r="J353" s="10"/>
      <c r="K353" s="12">
        <f t="shared" si="95"/>
        <v>0</v>
      </c>
      <c r="M353" s="10">
        <v>12</v>
      </c>
      <c r="N353" s="30"/>
      <c r="O353" s="83"/>
      <c r="P353" s="32"/>
      <c r="Q353" s="32"/>
      <c r="R353" s="32"/>
      <c r="S353" s="32">
        <f t="shared" si="96"/>
        <v>0</v>
      </c>
      <c r="T353" s="12"/>
      <c r="U353" s="12"/>
      <c r="V353" s="12"/>
      <c r="W353" s="12">
        <f t="shared" si="97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03"/>
        <v>0</v>
      </c>
      <c r="AF353" s="12"/>
      <c r="AG353" s="12"/>
      <c r="AH353" s="12"/>
      <c r="AI353" s="12">
        <f t="shared" si="99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94"/>
        <v>0</v>
      </c>
      <c r="H354" s="12"/>
      <c r="I354" s="12"/>
      <c r="J354" s="12"/>
      <c r="K354" s="12">
        <f t="shared" si="95"/>
        <v>0</v>
      </c>
      <c r="M354" s="10">
        <v>13</v>
      </c>
      <c r="N354" s="30"/>
      <c r="O354" s="83"/>
      <c r="P354" s="32"/>
      <c r="Q354" s="32"/>
      <c r="R354" s="32"/>
      <c r="S354" s="32">
        <f t="shared" si="96"/>
        <v>0</v>
      </c>
      <c r="T354" s="12"/>
      <c r="U354" s="12"/>
      <c r="V354" s="12"/>
      <c r="W354" s="12">
        <f t="shared" si="97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03"/>
        <v>0</v>
      </c>
      <c r="AF354" s="12"/>
      <c r="AG354" s="12"/>
      <c r="AH354" s="12"/>
      <c r="AI354" s="12">
        <f t="shared" si="99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94"/>
        <v>0</v>
      </c>
      <c r="H355" s="12"/>
      <c r="I355" s="12"/>
      <c r="J355" s="12"/>
      <c r="K355" s="12">
        <f t="shared" si="95"/>
        <v>0</v>
      </c>
      <c r="M355" s="10">
        <v>14</v>
      </c>
      <c r="N355" s="30"/>
      <c r="O355" s="83"/>
      <c r="P355" s="32"/>
      <c r="Q355" s="32"/>
      <c r="R355" s="32"/>
      <c r="S355" s="32">
        <f t="shared" si="96"/>
        <v>0</v>
      </c>
      <c r="T355" s="12"/>
      <c r="U355" s="12"/>
      <c r="V355" s="12"/>
      <c r="W355" s="12">
        <f t="shared" si="97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03"/>
        <v>0</v>
      </c>
      <c r="AF355" s="12"/>
      <c r="AG355" s="12"/>
      <c r="AH355" s="12"/>
      <c r="AI355" s="12">
        <f t="shared" si="99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94"/>
        <v>0</v>
      </c>
      <c r="H356" s="12"/>
      <c r="I356" s="12"/>
      <c r="J356" s="12"/>
      <c r="K356" s="12">
        <f t="shared" si="95"/>
        <v>0</v>
      </c>
      <c r="M356" s="10">
        <v>15</v>
      </c>
      <c r="N356" s="30"/>
      <c r="O356" s="83"/>
      <c r="P356" s="32"/>
      <c r="Q356" s="32"/>
      <c r="R356" s="32"/>
      <c r="S356" s="32">
        <f t="shared" si="96"/>
        <v>0</v>
      </c>
      <c r="T356" s="12"/>
      <c r="U356" s="12"/>
      <c r="V356" s="12"/>
      <c r="W356" s="12">
        <f t="shared" si="97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03"/>
        <v>0</v>
      </c>
      <c r="AF356" s="12"/>
      <c r="AG356" s="12"/>
      <c r="AH356" s="12"/>
      <c r="AI356" s="12">
        <f t="shared" si="99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57"/>
      <c r="D357" s="32"/>
      <c r="E357" s="32"/>
      <c r="F357" s="32"/>
      <c r="G357" s="32">
        <f t="shared" si="94"/>
        <v>0</v>
      </c>
      <c r="H357" s="12"/>
      <c r="I357" s="12"/>
      <c r="J357" s="12"/>
      <c r="K357" s="12">
        <f t="shared" si="95"/>
        <v>0</v>
      </c>
      <c r="M357" s="10">
        <v>16</v>
      </c>
      <c r="N357" s="30"/>
      <c r="P357" s="32"/>
      <c r="Q357" s="32"/>
      <c r="R357" s="32"/>
      <c r="S357" s="32">
        <f t="shared" si="96"/>
        <v>0</v>
      </c>
      <c r="T357" s="12"/>
      <c r="U357" s="12"/>
      <c r="V357" s="12"/>
      <c r="W357" s="12">
        <f t="shared" si="97"/>
        <v>0</v>
      </c>
      <c r="Y357" s="10">
        <v>16</v>
      </c>
      <c r="Z357" s="30"/>
      <c r="AA357" s="11"/>
      <c r="AB357" s="32"/>
      <c r="AC357" s="32"/>
      <c r="AD357" s="32"/>
      <c r="AE357" s="32">
        <f t="shared" si="103"/>
        <v>0</v>
      </c>
      <c r="AF357" s="12"/>
      <c r="AG357" s="12"/>
      <c r="AH357" s="12"/>
      <c r="AI357" s="12">
        <f t="shared" si="99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94"/>
        <v>0</v>
      </c>
      <c r="H358" s="12"/>
      <c r="I358" s="12"/>
      <c r="J358" s="12"/>
      <c r="K358" s="12">
        <f t="shared" si="95"/>
        <v>0</v>
      </c>
      <c r="M358" s="10">
        <v>17</v>
      </c>
      <c r="N358" s="30"/>
      <c r="O358" s="31"/>
      <c r="P358" s="35"/>
      <c r="Q358" s="32"/>
      <c r="R358" s="32"/>
      <c r="S358" s="32">
        <f t="shared" si="96"/>
        <v>0</v>
      </c>
      <c r="T358" s="12"/>
      <c r="U358" s="12"/>
      <c r="V358" s="12"/>
      <c r="W358" s="12">
        <f t="shared" si="97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03"/>
        <v>0</v>
      </c>
      <c r="AF358" s="12"/>
      <c r="AG358" s="12"/>
      <c r="AH358" s="12"/>
      <c r="AI358" s="12">
        <f t="shared" si="99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94"/>
        <v>0</v>
      </c>
      <c r="H359" s="12"/>
      <c r="I359" s="12"/>
      <c r="J359" s="12"/>
      <c r="K359" s="12">
        <f t="shared" si="95"/>
        <v>0</v>
      </c>
      <c r="M359" s="10">
        <v>18</v>
      </c>
      <c r="N359" s="30"/>
      <c r="O359" s="31"/>
      <c r="P359" s="32"/>
      <c r="Q359" s="32"/>
      <c r="R359" s="32"/>
      <c r="S359" s="32">
        <f t="shared" si="96"/>
        <v>0</v>
      </c>
      <c r="T359" s="12"/>
      <c r="U359" s="12"/>
      <c r="V359" s="12"/>
      <c r="W359" s="12">
        <f t="shared" si="97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03"/>
        <v>0</v>
      </c>
      <c r="AF359" s="12"/>
      <c r="AG359" s="12"/>
      <c r="AH359" s="12"/>
      <c r="AI359" s="12">
        <f t="shared" si="99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94"/>
        <v>0</v>
      </c>
      <c r="H360" s="12"/>
      <c r="I360" s="12"/>
      <c r="J360" s="12"/>
      <c r="K360" s="12">
        <f t="shared" si="95"/>
        <v>0</v>
      </c>
      <c r="M360" s="10">
        <v>19</v>
      </c>
      <c r="N360" s="30"/>
      <c r="O360" s="31"/>
      <c r="P360" s="32"/>
      <c r="Q360" s="32"/>
      <c r="R360" s="32"/>
      <c r="S360" s="32">
        <f t="shared" si="96"/>
        <v>0</v>
      </c>
      <c r="T360" s="12"/>
      <c r="U360" s="12"/>
      <c r="V360" s="12"/>
      <c r="W360" s="12">
        <f t="shared" si="97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03"/>
        <v>0</v>
      </c>
      <c r="AF360" s="12"/>
      <c r="AG360" s="12"/>
      <c r="AH360" s="12"/>
      <c r="AI360" s="12">
        <f t="shared" si="99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94"/>
        <v>0</v>
      </c>
      <c r="H361" s="12"/>
      <c r="I361" s="12"/>
      <c r="J361" s="12"/>
      <c r="K361" s="12">
        <f t="shared" si="95"/>
        <v>0</v>
      </c>
      <c r="M361" s="10">
        <v>20</v>
      </c>
      <c r="N361" s="30"/>
      <c r="O361" s="31"/>
      <c r="P361" s="32"/>
      <c r="Q361" s="32"/>
      <c r="R361" s="32"/>
      <c r="S361" s="32">
        <f t="shared" si="96"/>
        <v>0</v>
      </c>
      <c r="T361" s="12"/>
      <c r="U361" s="12"/>
      <c r="V361" s="12"/>
      <c r="W361" s="12">
        <f t="shared" si="97"/>
        <v>0</v>
      </c>
      <c r="Y361" s="10">
        <v>20</v>
      </c>
      <c r="Z361" s="30"/>
      <c r="AB361" s="32"/>
      <c r="AC361" s="32"/>
      <c r="AD361" s="32"/>
      <c r="AE361" s="32">
        <f t="shared" si="103"/>
        <v>0</v>
      </c>
      <c r="AF361" s="12"/>
      <c r="AG361" s="12"/>
      <c r="AH361" s="12"/>
      <c r="AI361" s="12">
        <f t="shared" si="99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94"/>
        <v>0</v>
      </c>
      <c r="H362" s="10"/>
      <c r="I362" s="10"/>
      <c r="J362" s="10"/>
      <c r="K362" s="12">
        <f t="shared" si="95"/>
        <v>0</v>
      </c>
      <c r="M362" s="10">
        <v>21</v>
      </c>
      <c r="N362" s="30"/>
      <c r="O362" s="31"/>
      <c r="P362" s="46"/>
      <c r="Q362" s="31"/>
      <c r="R362" s="31"/>
      <c r="S362" s="32">
        <f t="shared" si="96"/>
        <v>0</v>
      </c>
      <c r="T362" s="10"/>
      <c r="U362" s="10"/>
      <c r="V362" s="10"/>
      <c r="W362" s="12">
        <f t="shared" si="97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03"/>
        <v>0</v>
      </c>
      <c r="AF362" s="10"/>
      <c r="AG362" s="10"/>
      <c r="AH362" s="10"/>
      <c r="AI362" s="12">
        <f t="shared" si="99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94"/>
        <v>0</v>
      </c>
      <c r="H363" s="10"/>
      <c r="I363" s="10"/>
      <c r="J363" s="10"/>
      <c r="K363" s="12">
        <f t="shared" si="95"/>
        <v>0</v>
      </c>
      <c r="M363" s="10">
        <v>22</v>
      </c>
      <c r="N363" s="30"/>
      <c r="O363" s="31"/>
      <c r="P363" s="45"/>
      <c r="Q363" s="31"/>
      <c r="R363" s="31"/>
      <c r="S363" s="32">
        <f t="shared" si="96"/>
        <v>0</v>
      </c>
      <c r="T363" s="10"/>
      <c r="U363" s="10"/>
      <c r="V363" s="10"/>
      <c r="W363" s="12">
        <f t="shared" si="97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03"/>
        <v>0</v>
      </c>
      <c r="AF363" s="10"/>
      <c r="AG363" s="10"/>
      <c r="AH363" s="10"/>
      <c r="AI363" s="12">
        <f t="shared" si="99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94"/>
        <v>0</v>
      </c>
      <c r="H364" s="10"/>
      <c r="I364" s="10"/>
      <c r="J364" s="12"/>
      <c r="K364" s="12">
        <f t="shared" si="95"/>
        <v>0</v>
      </c>
      <c r="M364" s="10">
        <v>23</v>
      </c>
      <c r="N364" s="30"/>
      <c r="O364" s="31"/>
      <c r="P364" s="47"/>
      <c r="S364" s="32">
        <f t="shared" si="96"/>
        <v>0</v>
      </c>
      <c r="T364" s="10"/>
      <c r="U364" s="10"/>
      <c r="V364" s="10"/>
      <c r="W364" s="12">
        <f t="shared" si="97"/>
        <v>0</v>
      </c>
      <c r="Y364" s="10">
        <v>23</v>
      </c>
      <c r="Z364" s="30"/>
      <c r="AA364" s="31"/>
      <c r="AB364" s="47"/>
      <c r="AE364" s="32">
        <f t="shared" si="103"/>
        <v>0</v>
      </c>
      <c r="AF364" s="10"/>
      <c r="AG364" s="10"/>
      <c r="AH364" s="10"/>
      <c r="AI364" s="12">
        <f t="shared" si="99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94"/>
        <v>0</v>
      </c>
      <c r="H365" s="10"/>
      <c r="I365" s="10"/>
      <c r="J365" s="10"/>
      <c r="K365" s="12">
        <f t="shared" si="95"/>
        <v>0</v>
      </c>
      <c r="M365" s="10">
        <v>24</v>
      </c>
      <c r="N365" s="30"/>
      <c r="O365" s="31"/>
      <c r="P365" s="47"/>
      <c r="Q365" s="31"/>
      <c r="R365" s="31"/>
      <c r="S365" s="32">
        <f t="shared" si="96"/>
        <v>0</v>
      </c>
      <c r="T365" s="10"/>
      <c r="U365" s="10"/>
      <c r="V365" s="10"/>
      <c r="W365" s="12">
        <f t="shared" si="97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03"/>
        <v>0</v>
      </c>
      <c r="AF365" s="10"/>
      <c r="AG365" s="10"/>
      <c r="AH365" s="10"/>
      <c r="AI365" s="12">
        <f t="shared" si="99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94"/>
        <v>0</v>
      </c>
      <c r="H366" s="10"/>
      <c r="I366" s="10"/>
      <c r="J366" s="10"/>
      <c r="K366" s="12">
        <f t="shared" si="95"/>
        <v>0</v>
      </c>
      <c r="M366" s="10">
        <v>25</v>
      </c>
      <c r="N366" s="30"/>
      <c r="O366" s="31"/>
      <c r="P366" s="47"/>
      <c r="Q366" s="31"/>
      <c r="R366" s="31"/>
      <c r="S366" s="32">
        <f t="shared" si="96"/>
        <v>0</v>
      </c>
      <c r="T366" s="10"/>
      <c r="U366" s="10"/>
      <c r="V366" s="10"/>
      <c r="W366" s="12">
        <f t="shared" si="97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03"/>
        <v>0</v>
      </c>
      <c r="AF366" s="10"/>
      <c r="AG366" s="10"/>
      <c r="AH366" s="10"/>
      <c r="AI366" s="12">
        <f t="shared" si="99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94"/>
        <v>0</v>
      </c>
      <c r="H367" s="10"/>
      <c r="I367" s="10"/>
      <c r="J367" s="10"/>
      <c r="K367" s="12">
        <f t="shared" si="95"/>
        <v>0</v>
      </c>
      <c r="M367" s="10">
        <v>26</v>
      </c>
      <c r="N367" s="30"/>
      <c r="O367" s="31"/>
      <c r="P367" s="47"/>
      <c r="Q367" s="31"/>
      <c r="R367" s="31"/>
      <c r="S367" s="32">
        <f t="shared" si="96"/>
        <v>0</v>
      </c>
      <c r="T367" s="10"/>
      <c r="U367" s="10"/>
      <c r="V367" s="10"/>
      <c r="W367" s="12">
        <f t="shared" si="97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03"/>
        <v>0</v>
      </c>
      <c r="AF367" s="10"/>
      <c r="AG367" s="10"/>
      <c r="AH367" s="10"/>
      <c r="AI367" s="12">
        <f t="shared" si="99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94"/>
        <v>0</v>
      </c>
      <c r="H368" s="10"/>
      <c r="I368" s="10"/>
      <c r="J368" s="10"/>
      <c r="K368" s="12">
        <f t="shared" si="95"/>
        <v>0</v>
      </c>
      <c r="M368" s="10">
        <v>27</v>
      </c>
      <c r="N368" s="30"/>
      <c r="O368" s="31"/>
      <c r="P368" s="47"/>
      <c r="Q368" s="31"/>
      <c r="R368" s="31"/>
      <c r="S368" s="32">
        <f t="shared" si="96"/>
        <v>0</v>
      </c>
      <c r="T368" s="10"/>
      <c r="U368" s="10"/>
      <c r="V368" s="10"/>
      <c r="W368" s="12">
        <f t="shared" si="97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03"/>
        <v>0</v>
      </c>
      <c r="AF368" s="10"/>
      <c r="AG368" s="10"/>
      <c r="AH368" s="10"/>
      <c r="AI368" s="12">
        <f t="shared" si="99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94"/>
        <v>0</v>
      </c>
      <c r="H369" s="10"/>
      <c r="I369" s="10"/>
      <c r="J369" s="10"/>
      <c r="K369" s="12">
        <f t="shared" si="95"/>
        <v>0</v>
      </c>
      <c r="M369" s="10">
        <v>28</v>
      </c>
      <c r="N369" s="30"/>
      <c r="O369" s="31"/>
      <c r="P369" s="47"/>
      <c r="Q369" s="31"/>
      <c r="R369" s="31"/>
      <c r="S369" s="32">
        <f t="shared" si="96"/>
        <v>0</v>
      </c>
      <c r="T369" s="10"/>
      <c r="U369" s="10"/>
      <c r="V369" s="10"/>
      <c r="W369" s="12">
        <f t="shared" si="97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03"/>
        <v>0</v>
      </c>
      <c r="AF369" s="10"/>
      <c r="AG369" s="10"/>
      <c r="AH369" s="10"/>
      <c r="AI369" s="12">
        <f t="shared" si="99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94"/>
        <v>0</v>
      </c>
      <c r="H370" s="10"/>
      <c r="I370" s="10"/>
      <c r="J370" s="10"/>
      <c r="K370" s="12">
        <f t="shared" si="95"/>
        <v>0</v>
      </c>
      <c r="M370" s="10">
        <v>29</v>
      </c>
      <c r="N370" s="30"/>
      <c r="O370" s="31"/>
      <c r="P370" s="47"/>
      <c r="Q370" s="31"/>
      <c r="R370" s="31"/>
      <c r="S370" s="32">
        <f t="shared" si="96"/>
        <v>0</v>
      </c>
      <c r="T370" s="10"/>
      <c r="U370" s="10"/>
      <c r="V370" s="10"/>
      <c r="W370" s="12">
        <f t="shared" si="97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03"/>
        <v>0</v>
      </c>
      <c r="AF370" s="10"/>
      <c r="AG370" s="10"/>
      <c r="AH370" s="10"/>
      <c r="AI370" s="12">
        <f t="shared" si="99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94"/>
        <v>0</v>
      </c>
      <c r="H371" s="10"/>
      <c r="I371" s="10"/>
      <c r="J371" s="10"/>
      <c r="K371" s="12">
        <f t="shared" si="95"/>
        <v>0</v>
      </c>
      <c r="M371" s="10">
        <v>30</v>
      </c>
      <c r="N371" s="30"/>
      <c r="O371" s="31"/>
      <c r="P371" s="47"/>
      <c r="Q371" s="31"/>
      <c r="R371" s="31"/>
      <c r="S371" s="32">
        <f t="shared" si="96"/>
        <v>0</v>
      </c>
      <c r="T371" s="10"/>
      <c r="U371" s="10"/>
      <c r="V371" s="10"/>
      <c r="W371" s="12">
        <f t="shared" si="97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03"/>
        <v>0</v>
      </c>
      <c r="AF371" s="10"/>
      <c r="AG371" s="10"/>
      <c r="AH371" s="10"/>
      <c r="AI371" s="12">
        <f t="shared" si="99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94"/>
        <v>0</v>
      </c>
      <c r="H372" s="10"/>
      <c r="I372" s="10"/>
      <c r="J372" s="10"/>
      <c r="K372" s="12">
        <f t="shared" si="95"/>
        <v>0</v>
      </c>
      <c r="M372" s="10">
        <v>31</v>
      </c>
      <c r="N372" s="30"/>
      <c r="O372" s="31"/>
      <c r="P372" s="47"/>
      <c r="Q372" s="31"/>
      <c r="R372" s="31"/>
      <c r="S372" s="32">
        <f t="shared" si="96"/>
        <v>0</v>
      </c>
      <c r="T372" s="10"/>
      <c r="U372" s="10"/>
      <c r="V372" s="10"/>
      <c r="W372" s="12">
        <f t="shared" si="97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03"/>
        <v>0</v>
      </c>
      <c r="AF372" s="10"/>
      <c r="AG372" s="10"/>
      <c r="AH372" s="10"/>
      <c r="AI372" s="12">
        <f t="shared" si="99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94"/>
        <v>0</v>
      </c>
      <c r="H373" s="10"/>
      <c r="I373" s="10"/>
      <c r="J373" s="10"/>
      <c r="K373" s="12">
        <f t="shared" si="95"/>
        <v>0</v>
      </c>
      <c r="M373" s="10">
        <v>32</v>
      </c>
      <c r="N373" s="30"/>
      <c r="O373" s="31"/>
      <c r="P373" s="47"/>
      <c r="Q373" s="31"/>
      <c r="R373" s="31"/>
      <c r="S373" s="32">
        <f t="shared" si="96"/>
        <v>0</v>
      </c>
      <c r="T373" s="10"/>
      <c r="U373" s="10"/>
      <c r="V373" s="10"/>
      <c r="W373" s="12">
        <f t="shared" si="97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03"/>
        <v>0</v>
      </c>
      <c r="AF373" s="10"/>
      <c r="AG373" s="10"/>
      <c r="AH373" s="10"/>
      <c r="AI373" s="12">
        <f t="shared" si="99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94"/>
        <v>0</v>
      </c>
      <c r="H374" s="10"/>
      <c r="I374" s="10"/>
      <c r="J374" s="10"/>
      <c r="K374" s="12">
        <f t="shared" si="95"/>
        <v>0</v>
      </c>
      <c r="M374" s="10">
        <v>33</v>
      </c>
      <c r="N374" s="30"/>
      <c r="O374" s="31"/>
      <c r="P374" s="47"/>
      <c r="Q374" s="31"/>
      <c r="R374" s="31"/>
      <c r="S374" s="32">
        <f t="shared" si="96"/>
        <v>0</v>
      </c>
      <c r="T374" s="10"/>
      <c r="U374" s="10"/>
      <c r="V374" s="10"/>
      <c r="W374" s="12">
        <f t="shared" si="97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03"/>
        <v>0</v>
      </c>
      <c r="AF374" s="10"/>
      <c r="AG374" s="10"/>
      <c r="AH374" s="10"/>
      <c r="AI374" s="12">
        <f t="shared" si="99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94"/>
        <v>0</v>
      </c>
      <c r="H375" s="10"/>
      <c r="I375" s="10"/>
      <c r="J375" s="10"/>
      <c r="K375" s="12">
        <f t="shared" si="95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04">SUM(P375:Q375)</f>
        <v>0</v>
      </c>
      <c r="T375" s="10"/>
      <c r="U375" s="10"/>
      <c r="V375" s="10"/>
      <c r="W375" s="12">
        <f t="shared" ref="W375:W383" si="105">SUM(S375:V375)</f>
        <v>0</v>
      </c>
      <c r="Y375" s="10">
        <v>34</v>
      </c>
      <c r="Z375" s="30"/>
      <c r="AA375" s="31"/>
      <c r="AB375" s="47"/>
      <c r="AC375" s="31"/>
      <c r="AD375" s="31"/>
      <c r="AE375" s="32">
        <f t="shared" si="103"/>
        <v>0</v>
      </c>
      <c r="AF375" s="10"/>
      <c r="AG375" s="10"/>
      <c r="AH375" s="10"/>
      <c r="AI375" s="12">
        <f t="shared" si="99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04"/>
        <v>0</v>
      </c>
      <c r="T376" s="10"/>
      <c r="U376" s="10"/>
      <c r="V376" s="10"/>
      <c r="W376" s="12">
        <f t="shared" si="105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03"/>
        <v>0</v>
      </c>
      <c r="AF376" s="10"/>
      <c r="AG376" s="10"/>
      <c r="AH376" s="10"/>
      <c r="AI376" s="12">
        <f t="shared" si="99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04"/>
        <v>0</v>
      </c>
      <c r="T377" s="10"/>
      <c r="U377" s="10"/>
      <c r="V377" s="10"/>
      <c r="W377" s="12">
        <f t="shared" si="105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03"/>
        <v>0</v>
      </c>
      <c r="AF377" s="10"/>
      <c r="AG377" s="10"/>
      <c r="AH377" s="10"/>
      <c r="AI377" s="12">
        <f t="shared" si="99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04"/>
        <v>0</v>
      </c>
      <c r="T378" s="10"/>
      <c r="U378" s="10"/>
      <c r="V378" s="10"/>
      <c r="W378" s="12">
        <f t="shared" si="105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03"/>
        <v>0</v>
      </c>
      <c r="AF378" s="10"/>
      <c r="AG378" s="10"/>
      <c r="AH378" s="10"/>
      <c r="AI378" s="12">
        <f t="shared" si="99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04"/>
        <v>0</v>
      </c>
      <c r="T379" s="10"/>
      <c r="U379" s="10"/>
      <c r="V379" s="10"/>
      <c r="W379" s="12">
        <f t="shared" si="105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03"/>
        <v>0</v>
      </c>
      <c r="AF379" s="10"/>
      <c r="AG379" s="10"/>
      <c r="AH379" s="10"/>
      <c r="AI379" s="12">
        <f t="shared" si="99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04"/>
        <v>0</v>
      </c>
      <c r="T380" s="10"/>
      <c r="U380" s="10"/>
      <c r="V380" s="10"/>
      <c r="W380" s="12">
        <f t="shared" si="105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03"/>
        <v>0</v>
      </c>
      <c r="AF380" s="10"/>
      <c r="AG380" s="10"/>
      <c r="AH380" s="10"/>
      <c r="AI380" s="12">
        <f t="shared" si="99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05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9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06">SUM(D382:E382)</f>
        <v>0</v>
      </c>
      <c r="H382" s="10"/>
      <c r="I382" s="10"/>
      <c r="J382" s="10"/>
      <c r="K382" s="12">
        <f t="shared" ref="K382" si="107">SUM(G382:J382)</f>
        <v>0</v>
      </c>
      <c r="M382" s="10"/>
      <c r="N382" s="30"/>
      <c r="O382" s="31"/>
      <c r="P382" s="47"/>
      <c r="Q382" s="31"/>
      <c r="R382" s="31"/>
      <c r="S382" s="32">
        <f t="shared" ref="S382" si="108">SUM(P382:Q382)</f>
        <v>0</v>
      </c>
      <c r="T382" s="10"/>
      <c r="U382" s="10"/>
      <c r="V382" s="10"/>
      <c r="W382" s="12">
        <f t="shared" si="105"/>
        <v>0</v>
      </c>
      <c r="Y382" s="10"/>
      <c r="Z382" s="30"/>
      <c r="AA382" s="31"/>
      <c r="AB382" s="47"/>
      <c r="AC382" s="31"/>
      <c r="AD382" s="31"/>
      <c r="AE382" s="32">
        <f t="shared" ref="AE382" si="109">SUM(AB382:AC382)</f>
        <v>0</v>
      </c>
      <c r="AF382" s="10"/>
      <c r="AG382" s="10"/>
      <c r="AH382" s="10"/>
      <c r="AI382" s="12">
        <f t="shared" si="99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05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9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252135</v>
      </c>
      <c r="E385" s="38">
        <f t="shared" ref="E385:F385" si="110">SUM(E342:E382)</f>
        <v>0</v>
      </c>
      <c r="F385" s="38">
        <f t="shared" si="110"/>
        <v>0</v>
      </c>
      <c r="G385" s="38">
        <f>SUM(G342:G384)</f>
        <v>252135</v>
      </c>
      <c r="H385" s="4"/>
      <c r="I385" s="39">
        <f>SUM(I342:I384)</f>
        <v>387</v>
      </c>
      <c r="J385" s="39">
        <f>SUM(J342:J384)</f>
        <v>-1221</v>
      </c>
      <c r="K385" s="40">
        <f>SUM(K342:K384)</f>
        <v>251301</v>
      </c>
      <c r="N385" s="57"/>
      <c r="O385" s="57"/>
      <c r="P385" s="38">
        <f>SUM(P342:P384)</f>
        <v>202129</v>
      </c>
      <c r="Q385" s="38">
        <f>SUM(Q342:Q366)</f>
        <v>-1296</v>
      </c>
      <c r="R385" s="38">
        <f>SUM(R342:R366)</f>
        <v>0</v>
      </c>
      <c r="S385" s="38">
        <f>SUM(S342:S384)</f>
        <v>200833</v>
      </c>
      <c r="T385" s="4"/>
      <c r="U385" s="41">
        <f>SUM(U342:U384)</f>
        <v>784.5</v>
      </c>
      <c r="V385" s="41">
        <f>SUM(V342:V366)</f>
        <v>-654</v>
      </c>
      <c r="W385" s="42">
        <f>SUM(W342:W384)</f>
        <v>200963.5</v>
      </c>
      <c r="Z385" s="57"/>
      <c r="AA385" s="57"/>
      <c r="AB385" s="38">
        <f>SUM(AB342:AB384)</f>
        <v>96327.5</v>
      </c>
      <c r="AC385" s="38">
        <f>SUM(AC342:AC366)</f>
        <v>-300</v>
      </c>
      <c r="AD385" s="38">
        <f>SUM(AD342:AD366)</f>
        <v>0</v>
      </c>
      <c r="AE385" s="38">
        <f>SUM(AE342:AE384)</f>
        <v>96027.5</v>
      </c>
      <c r="AF385" s="4"/>
      <c r="AG385" s="41">
        <f>SUM(AG342:AG384)</f>
        <v>-1657.5</v>
      </c>
      <c r="AH385" s="41">
        <f>SUM(AH342:AH366)</f>
        <v>0</v>
      </c>
      <c r="AI385" s="42">
        <f>SUM(AI342:AI384)</f>
        <v>94370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100"/>
      <c r="C387" s="100"/>
      <c r="D387" s="100"/>
      <c r="E387" s="100"/>
      <c r="F387" s="100"/>
      <c r="G387" s="100"/>
      <c r="H387" s="62"/>
      <c r="I387" s="62"/>
      <c r="J387" s="62"/>
      <c r="K387" s="62"/>
      <c r="L387" s="62"/>
      <c r="M387" s="62"/>
      <c r="N387" s="87"/>
      <c r="O387" s="87"/>
      <c r="P387" s="87"/>
      <c r="Q387" s="87"/>
      <c r="R387" s="87"/>
      <c r="S387" s="87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100"/>
      <c r="C388" s="100"/>
      <c r="D388" s="100"/>
      <c r="E388" s="100"/>
      <c r="F388" s="100"/>
      <c r="G388" s="100"/>
      <c r="H388" s="62"/>
      <c r="I388" s="62"/>
      <c r="J388" s="62"/>
      <c r="K388" s="62"/>
      <c r="L388" s="62"/>
      <c r="M388" s="62"/>
      <c r="N388" s="87"/>
      <c r="O388" s="87"/>
      <c r="P388" s="87"/>
      <c r="Q388" s="87"/>
      <c r="R388" s="87"/>
      <c r="S388" s="87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100"/>
      <c r="C389" s="100"/>
      <c r="D389" s="100"/>
      <c r="E389" s="100"/>
      <c r="F389" s="100"/>
      <c r="G389" s="100"/>
      <c r="H389" s="62"/>
      <c r="I389" s="62"/>
      <c r="J389" s="62"/>
      <c r="K389" s="62"/>
      <c r="L389" s="62"/>
      <c r="M389" s="62"/>
      <c r="N389" s="87"/>
      <c r="O389" s="87"/>
      <c r="P389" s="87"/>
      <c r="Q389" s="87"/>
      <c r="R389" s="87"/>
      <c r="S389" s="87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100"/>
      <c r="C390" s="100"/>
      <c r="D390" s="100"/>
      <c r="E390" s="100"/>
      <c r="F390" s="100"/>
      <c r="G390" s="100"/>
      <c r="H390" s="62"/>
      <c r="I390" s="62"/>
      <c r="J390" s="62"/>
      <c r="K390" s="62"/>
      <c r="L390" s="62"/>
      <c r="M390" s="63"/>
      <c r="N390" s="87"/>
      <c r="O390" s="87"/>
      <c r="P390" s="87"/>
      <c r="Q390" s="87"/>
      <c r="R390" s="87"/>
      <c r="S390" s="87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100"/>
      <c r="C391" s="100"/>
      <c r="D391" s="100"/>
      <c r="E391" s="100"/>
      <c r="F391" s="100"/>
      <c r="G391" s="100"/>
      <c r="H391" s="62"/>
      <c r="I391" s="62"/>
      <c r="J391" s="62"/>
      <c r="K391" s="62"/>
      <c r="L391" s="62"/>
      <c r="M391" s="62"/>
      <c r="N391" s="87"/>
      <c r="O391" s="87"/>
      <c r="P391" s="87"/>
      <c r="Q391" s="87"/>
      <c r="R391" s="87"/>
      <c r="S391" s="87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100"/>
      <c r="C392" s="100"/>
      <c r="D392" s="100"/>
      <c r="E392" s="100"/>
      <c r="F392" s="100"/>
      <c r="G392" s="100"/>
      <c r="H392" s="62"/>
      <c r="I392" s="100"/>
      <c r="J392" s="73"/>
      <c r="K392" s="62"/>
      <c r="L392" s="62"/>
      <c r="M392" s="62"/>
      <c r="N392" s="87"/>
      <c r="O392" s="87"/>
      <c r="P392" s="87"/>
      <c r="Q392" s="87"/>
      <c r="R392" s="87"/>
      <c r="S392" s="87"/>
      <c r="T392" s="62"/>
      <c r="U392" s="87"/>
      <c r="V392" s="73"/>
      <c r="W392" s="62"/>
      <c r="Y392" t="s">
        <v>44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100"/>
      <c r="C393" s="100"/>
      <c r="D393" s="100"/>
      <c r="E393" s="100"/>
      <c r="F393" s="100"/>
      <c r="G393" s="100"/>
      <c r="H393" s="62"/>
      <c r="I393" s="65"/>
      <c r="J393" s="65"/>
      <c r="K393" s="62"/>
      <c r="L393" s="62"/>
      <c r="M393" s="64"/>
      <c r="N393" s="87"/>
      <c r="O393" s="87"/>
      <c r="P393" s="87"/>
      <c r="Q393" s="87"/>
      <c r="R393" s="87"/>
      <c r="S393" s="87"/>
      <c r="T393" s="62"/>
      <c r="U393" s="65"/>
      <c r="V393" s="65"/>
      <c r="W393" s="62"/>
      <c r="Y393" s="21" t="s">
        <v>62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36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100"/>
      <c r="C394" s="100"/>
      <c r="D394" s="100"/>
      <c r="E394" s="100"/>
      <c r="F394" s="100"/>
      <c r="G394" s="100"/>
      <c r="H394" s="62"/>
      <c r="I394" s="62"/>
      <c r="J394" s="62"/>
      <c r="K394" s="62"/>
      <c r="L394" s="62"/>
      <c r="M394" s="62"/>
      <c r="N394" s="87"/>
      <c r="O394" s="87"/>
      <c r="P394" s="87"/>
      <c r="Q394" s="87"/>
      <c r="R394" s="87"/>
      <c r="S394" s="87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100"/>
      <c r="D395" s="108"/>
      <c r="E395" s="108"/>
      <c r="F395" s="100"/>
      <c r="G395" s="100"/>
      <c r="H395" s="62"/>
      <c r="I395" s="108"/>
      <c r="J395" s="108"/>
      <c r="K395" s="109"/>
      <c r="L395" s="62"/>
      <c r="M395" s="62"/>
      <c r="N395" s="65"/>
      <c r="O395" s="87"/>
      <c r="P395" s="108"/>
      <c r="Q395" s="108"/>
      <c r="R395" s="87"/>
      <c r="S395" s="87"/>
      <c r="T395" s="62"/>
      <c r="U395" s="108"/>
      <c r="V395" s="108"/>
      <c r="W395" s="109"/>
      <c r="Z395" s="25"/>
      <c r="AA395" s="26"/>
      <c r="AB395" s="112" t="s">
        <v>17</v>
      </c>
      <c r="AC395" s="112"/>
      <c r="AD395" s="99"/>
      <c r="AE395" s="27"/>
      <c r="AG395" s="110" t="s">
        <v>18</v>
      </c>
      <c r="AH395" s="111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100"/>
      <c r="C396" s="100"/>
      <c r="D396" s="79"/>
      <c r="E396" s="80"/>
      <c r="F396" s="81"/>
      <c r="G396" s="81"/>
      <c r="H396" s="62"/>
      <c r="I396" s="101"/>
      <c r="J396" s="101"/>
      <c r="K396" s="109"/>
      <c r="L396" s="62"/>
      <c r="M396" s="62"/>
      <c r="N396" s="87"/>
      <c r="O396" s="87"/>
      <c r="P396" s="79"/>
      <c r="Q396" s="81"/>
      <c r="R396" s="81"/>
      <c r="S396" s="81"/>
      <c r="T396" s="62"/>
      <c r="U396" s="88"/>
      <c r="V396" s="88"/>
      <c r="W396" s="109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4"/>
      <c r="D397" s="60"/>
      <c r="E397" s="60"/>
      <c r="F397" s="60"/>
      <c r="G397" s="60"/>
      <c r="H397" s="61"/>
      <c r="I397" s="61"/>
      <c r="J397" s="61"/>
      <c r="K397" s="61"/>
      <c r="L397" s="62"/>
      <c r="M397" s="62"/>
      <c r="N397" s="66"/>
      <c r="O397" s="87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46302</v>
      </c>
      <c r="AA397" s="31">
        <v>11039</v>
      </c>
      <c r="AB397" s="32">
        <f>650*157+229*2</f>
        <v>102508</v>
      </c>
      <c r="AC397" s="32">
        <f>-157*6</f>
        <v>-942</v>
      </c>
      <c r="AD397" s="32"/>
      <c r="AE397" s="32">
        <f>SUM(AB397:AC397)</f>
        <v>101566</v>
      </c>
      <c r="AF397" s="12"/>
      <c r="AG397" s="12"/>
      <c r="AH397" s="12"/>
      <c r="AI397" s="12">
        <f>SUM(AE397:AH397)</f>
        <v>101566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4"/>
      <c r="D398" s="60"/>
      <c r="E398" s="60"/>
      <c r="F398" s="60"/>
      <c r="G398" s="60"/>
      <c r="H398" s="61"/>
      <c r="I398" s="61"/>
      <c r="J398" s="61"/>
      <c r="K398" s="61"/>
      <c r="L398" s="62"/>
      <c r="M398" s="62"/>
      <c r="N398" s="66"/>
      <c r="O398" s="87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46302</v>
      </c>
      <c r="AA398" s="31">
        <f>AA397+1</f>
        <v>11040</v>
      </c>
      <c r="AB398" s="32">
        <f>650*14+973*2+622*5</f>
        <v>14156</v>
      </c>
      <c r="AC398" s="32"/>
      <c r="AD398" s="32"/>
      <c r="AE398" s="32">
        <f t="shared" ref="AE398:AE400" si="111">SUM(AB398:AC398)</f>
        <v>14156</v>
      </c>
      <c r="AF398" s="12"/>
      <c r="AG398" s="12"/>
      <c r="AH398" s="12"/>
      <c r="AI398" s="12">
        <f t="shared" ref="AI398:AI438" si="112">SUM(AE398:AH398)</f>
        <v>14156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4"/>
      <c r="D399" s="60"/>
      <c r="E399" s="60"/>
      <c r="F399" s="60"/>
      <c r="G399" s="60"/>
      <c r="H399" s="61"/>
      <c r="I399" s="61"/>
      <c r="J399" s="61"/>
      <c r="K399" s="61"/>
      <c r="L399" s="62"/>
      <c r="M399" s="62"/>
      <c r="N399" s="66"/>
      <c r="O399" s="87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46302</v>
      </c>
      <c r="AA399" s="31">
        <f t="shared" ref="AA399:AA407" si="113">AA398+1</f>
        <v>11041</v>
      </c>
      <c r="AB399" s="33">
        <f>650*32+622*6+229</f>
        <v>24761</v>
      </c>
      <c r="AC399" s="33"/>
      <c r="AD399" s="32"/>
      <c r="AE399" s="32">
        <f t="shared" si="111"/>
        <v>24761</v>
      </c>
      <c r="AF399" s="12"/>
      <c r="AG399" s="12"/>
      <c r="AH399" s="12"/>
      <c r="AI399" s="12">
        <f t="shared" si="112"/>
        <v>24761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4"/>
      <c r="D400" s="60"/>
      <c r="E400" s="60"/>
      <c r="F400" s="60"/>
      <c r="G400" s="60"/>
      <c r="H400" s="61"/>
      <c r="I400" s="61"/>
      <c r="J400" s="61"/>
      <c r="K400" s="61"/>
      <c r="L400" s="62"/>
      <c r="M400" s="62"/>
      <c r="N400" s="66"/>
      <c r="O400" s="87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46302</v>
      </c>
      <c r="AA400" s="31">
        <f t="shared" si="113"/>
        <v>11042</v>
      </c>
      <c r="AB400" s="32">
        <f>650*10+9.5*10</f>
        <v>6595</v>
      </c>
      <c r="AC400" s="32"/>
      <c r="AD400" s="32"/>
      <c r="AE400" s="32">
        <f t="shared" si="111"/>
        <v>6595</v>
      </c>
      <c r="AF400" s="12"/>
      <c r="AH400" s="12"/>
      <c r="AI400" s="12">
        <f t="shared" si="112"/>
        <v>6595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4"/>
      <c r="D401" s="60"/>
      <c r="E401" s="60"/>
      <c r="F401" s="60"/>
      <c r="G401" s="60"/>
      <c r="H401" s="61"/>
      <c r="I401" s="61"/>
      <c r="J401" s="61"/>
      <c r="K401" s="61"/>
      <c r="L401" s="62"/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46302</v>
      </c>
      <c r="AA401" s="31">
        <f t="shared" si="113"/>
        <v>11043</v>
      </c>
      <c r="AB401" s="32">
        <f>650*20+622*8+229</f>
        <v>18205</v>
      </c>
      <c r="AC401" s="32"/>
      <c r="AD401" s="32"/>
      <c r="AE401" s="32">
        <f t="shared" ref="AE401:AE435" si="114">SUM(AB401:AC401)</f>
        <v>18205</v>
      </c>
      <c r="AF401" s="12"/>
      <c r="AG401" s="12">
        <f>4.5*18</f>
        <v>81</v>
      </c>
      <c r="AH401" s="12"/>
      <c r="AI401" s="12">
        <f t="shared" si="112"/>
        <v>18286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65"/>
      <c r="D402" s="60"/>
      <c r="E402" s="60"/>
      <c r="F402" s="60"/>
      <c r="G402" s="60"/>
      <c r="H402" s="61"/>
      <c r="I402" s="61"/>
      <c r="J402" s="61"/>
      <c r="K402" s="61"/>
      <c r="L402" s="62"/>
      <c r="M402" s="62"/>
      <c r="N402" s="66"/>
      <c r="O402" s="87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46302</v>
      </c>
      <c r="AA402" s="31">
        <f t="shared" si="113"/>
        <v>11044</v>
      </c>
      <c r="AB402" s="32">
        <f>650*7+622*2+912+872</f>
        <v>7578</v>
      </c>
      <c r="AC402" s="32"/>
      <c r="AD402" s="32"/>
      <c r="AE402" s="32">
        <f t="shared" si="114"/>
        <v>7578</v>
      </c>
      <c r="AF402" s="12"/>
      <c r="AG402" s="12"/>
      <c r="AH402" s="10"/>
      <c r="AI402" s="12">
        <f t="shared" si="112"/>
        <v>7578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84"/>
      <c r="D403" s="60"/>
      <c r="E403" s="60"/>
      <c r="F403" s="60"/>
      <c r="G403" s="60"/>
      <c r="H403" s="61"/>
      <c r="I403" s="61"/>
      <c r="J403" s="61"/>
      <c r="K403" s="61"/>
      <c r="L403" s="62"/>
      <c r="M403" s="62"/>
      <c r="N403" s="66"/>
      <c r="O403" s="87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46302</v>
      </c>
      <c r="AA403" s="31">
        <f t="shared" si="113"/>
        <v>11045</v>
      </c>
      <c r="AB403" s="32">
        <f>622*10</f>
        <v>6220</v>
      </c>
      <c r="AC403" s="32"/>
      <c r="AD403" s="32"/>
      <c r="AE403" s="32">
        <f t="shared" si="114"/>
        <v>6220</v>
      </c>
      <c r="AF403" s="12"/>
      <c r="AG403" s="58"/>
      <c r="AH403" s="12"/>
      <c r="AI403" s="12">
        <f t="shared" si="112"/>
        <v>6220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4"/>
      <c r="D404" s="60"/>
      <c r="E404" s="60"/>
      <c r="F404" s="60"/>
      <c r="G404" s="60"/>
      <c r="H404" s="61"/>
      <c r="I404" s="61"/>
      <c r="J404" s="61"/>
      <c r="K404" s="61"/>
      <c r="L404" s="62"/>
      <c r="M404" s="62"/>
      <c r="N404" s="66"/>
      <c r="O404" s="87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>
        <v>46302</v>
      </c>
      <c r="AA404" s="31">
        <f t="shared" si="113"/>
        <v>11046</v>
      </c>
      <c r="AB404" s="32">
        <f>622*11+622*4</f>
        <v>9330</v>
      </c>
      <c r="AC404" s="32"/>
      <c r="AE404" s="32">
        <f t="shared" si="114"/>
        <v>9330</v>
      </c>
      <c r="AF404" s="12"/>
      <c r="AG404" s="12"/>
      <c r="AH404" s="12"/>
      <c r="AI404" s="12">
        <f t="shared" si="112"/>
        <v>9330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100"/>
      <c r="D405" s="60"/>
      <c r="E405" s="60"/>
      <c r="F405" s="60"/>
      <c r="G405" s="60"/>
      <c r="H405" s="61"/>
      <c r="I405" s="61"/>
      <c r="J405" s="61"/>
      <c r="K405" s="61"/>
      <c r="L405" s="62"/>
      <c r="M405" s="62"/>
      <c r="N405" s="66"/>
      <c r="O405" s="87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>
        <v>46302</v>
      </c>
      <c r="AA405" s="31">
        <f t="shared" si="113"/>
        <v>11047</v>
      </c>
      <c r="AB405">
        <f>650*31</f>
        <v>20150</v>
      </c>
      <c r="AC405" s="32"/>
      <c r="AD405" s="32"/>
      <c r="AE405" s="32">
        <f t="shared" si="114"/>
        <v>20150</v>
      </c>
      <c r="AF405" s="12"/>
      <c r="AG405">
        <f>4.5*24</f>
        <v>108</v>
      </c>
      <c r="AH405" s="12"/>
      <c r="AI405" s="12">
        <f t="shared" si="112"/>
        <v>20258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4"/>
      <c r="D406" s="60"/>
      <c r="E406" s="60"/>
      <c r="F406" s="60"/>
      <c r="G406" s="60"/>
      <c r="H406" s="61"/>
      <c r="I406" s="61"/>
      <c r="J406" s="61"/>
      <c r="K406" s="61"/>
      <c r="L406" s="62"/>
      <c r="M406" s="62"/>
      <c r="N406" s="66"/>
      <c r="O406" s="87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>
        <v>46302</v>
      </c>
      <c r="AA406" s="31">
        <f t="shared" si="113"/>
        <v>11048</v>
      </c>
      <c r="AB406" s="32">
        <f>500</f>
        <v>500</v>
      </c>
      <c r="AC406" s="32"/>
      <c r="AD406" s="32"/>
      <c r="AE406" s="32">
        <f t="shared" si="114"/>
        <v>500</v>
      </c>
      <c r="AF406" s="12"/>
      <c r="AG406" s="12"/>
      <c r="AH406" s="12"/>
      <c r="AI406" s="12">
        <f t="shared" si="112"/>
        <v>500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4"/>
      <c r="D407" s="60"/>
      <c r="E407" s="60"/>
      <c r="F407" s="60"/>
      <c r="G407" s="60"/>
      <c r="H407" s="61"/>
      <c r="I407" s="61"/>
      <c r="J407" s="61"/>
      <c r="K407" s="61"/>
      <c r="L407" s="62"/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>
        <v>46302</v>
      </c>
      <c r="AA407" s="31">
        <f t="shared" si="113"/>
        <v>11049</v>
      </c>
      <c r="AB407" s="32">
        <f>650*5</f>
        <v>3250</v>
      </c>
      <c r="AC407" s="32"/>
      <c r="AD407" s="32"/>
      <c r="AE407" s="32">
        <f t="shared" si="114"/>
        <v>3250</v>
      </c>
      <c r="AF407" s="12"/>
      <c r="AG407" s="12"/>
      <c r="AH407" s="12"/>
      <c r="AI407" s="12">
        <f t="shared" si="112"/>
        <v>3250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4"/>
      <c r="D408" s="60"/>
      <c r="E408" s="60"/>
      <c r="F408" s="60"/>
      <c r="G408" s="60"/>
      <c r="H408" s="61"/>
      <c r="I408" s="61"/>
      <c r="J408" s="62"/>
      <c r="K408" s="61"/>
      <c r="L408" s="62"/>
      <c r="M408" s="62"/>
      <c r="N408" s="66"/>
      <c r="O408" s="87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11" t="s">
        <v>27</v>
      </c>
      <c r="AB408" s="32"/>
      <c r="AC408" s="32"/>
      <c r="AD408" s="32"/>
      <c r="AE408" s="32">
        <f t="shared" si="114"/>
        <v>0</v>
      </c>
      <c r="AF408" s="12"/>
      <c r="AG408" s="12"/>
      <c r="AH408" s="12"/>
      <c r="AI408" s="12">
        <f t="shared" si="112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100"/>
      <c r="D409" s="60"/>
      <c r="E409" s="60"/>
      <c r="F409" s="60"/>
      <c r="G409" s="60"/>
      <c r="H409" s="61"/>
      <c r="I409" s="61"/>
      <c r="J409" s="61"/>
      <c r="K409" s="61"/>
      <c r="L409" s="62"/>
      <c r="M409" s="62"/>
      <c r="N409" s="66"/>
      <c r="O409" s="87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4"/>
        <v>0</v>
      </c>
      <c r="AF409" s="12"/>
      <c r="AG409" s="12"/>
      <c r="AH409" s="12"/>
      <c r="AI409" s="12">
        <f t="shared" si="112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4"/>
      <c r="D410" s="60"/>
      <c r="E410" s="60"/>
      <c r="F410" s="60"/>
      <c r="G410" s="60"/>
      <c r="H410" s="61"/>
      <c r="I410" s="61"/>
      <c r="J410" s="61"/>
      <c r="K410" s="61"/>
      <c r="L410" s="62"/>
      <c r="M410" s="62"/>
      <c r="N410" s="66"/>
      <c r="O410" s="87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4"/>
        <v>0</v>
      </c>
      <c r="AF410" s="12"/>
      <c r="AG410" s="12"/>
      <c r="AH410" s="12"/>
      <c r="AI410" s="12">
        <f t="shared" si="112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4"/>
      <c r="D411" s="60"/>
      <c r="E411" s="60"/>
      <c r="F411" s="60"/>
      <c r="G411" s="60"/>
      <c r="H411" s="61"/>
      <c r="I411" s="61"/>
      <c r="J411" s="61"/>
      <c r="K411" s="61"/>
      <c r="L411" s="62"/>
      <c r="M411" s="62"/>
      <c r="N411" s="66"/>
      <c r="O411" s="87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4"/>
        <v>0</v>
      </c>
      <c r="AF411" s="12"/>
      <c r="AG411" s="12"/>
      <c r="AH411" s="12"/>
      <c r="AI411" s="12">
        <f t="shared" si="112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65"/>
      <c r="D412" s="60"/>
      <c r="E412" s="60"/>
      <c r="F412" s="60"/>
      <c r="G412" s="60"/>
      <c r="H412" s="61"/>
      <c r="I412" s="61"/>
      <c r="J412" s="61"/>
      <c r="K412" s="61"/>
      <c r="L412" s="62"/>
      <c r="M412" s="62"/>
      <c r="N412" s="66"/>
      <c r="O412" s="87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4"/>
        <v>0</v>
      </c>
      <c r="AF412" s="12"/>
      <c r="AG412" s="12"/>
      <c r="AH412" s="12"/>
      <c r="AI412" s="12">
        <f t="shared" si="112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4"/>
      <c r="D413" s="60"/>
      <c r="E413" s="60"/>
      <c r="F413" s="60"/>
      <c r="G413" s="60"/>
      <c r="H413" s="61"/>
      <c r="I413" s="61"/>
      <c r="J413" s="61"/>
      <c r="K413" s="61"/>
      <c r="L413" s="62"/>
      <c r="M413" s="62"/>
      <c r="N413" s="66"/>
      <c r="O413" s="87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4"/>
        <v>0</v>
      </c>
      <c r="AF413" s="12"/>
      <c r="AG413" s="12"/>
      <c r="AH413" s="12"/>
      <c r="AI413" s="12">
        <f t="shared" si="112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4"/>
      <c r="D414" s="60"/>
      <c r="E414" s="60"/>
      <c r="F414" s="60"/>
      <c r="G414" s="60"/>
      <c r="H414" s="61"/>
      <c r="I414" s="61"/>
      <c r="J414" s="61"/>
      <c r="K414" s="61"/>
      <c r="L414" s="62"/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4"/>
        <v>0</v>
      </c>
      <c r="AF414" s="12"/>
      <c r="AG414" s="12"/>
      <c r="AH414" s="12"/>
      <c r="AI414" s="12">
        <f t="shared" si="112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4"/>
      <c r="D415" s="60"/>
      <c r="E415" s="60"/>
      <c r="F415" s="60"/>
      <c r="G415" s="60"/>
      <c r="H415" s="61"/>
      <c r="I415" s="61"/>
      <c r="J415" s="61"/>
      <c r="K415" s="61"/>
      <c r="L415" s="62"/>
      <c r="M415" s="62"/>
      <c r="N415" s="66"/>
      <c r="O415" s="87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4"/>
        <v>0</v>
      </c>
      <c r="AF415" s="12"/>
      <c r="AG415" s="12"/>
      <c r="AH415" s="12"/>
      <c r="AI415" s="12">
        <f t="shared" si="112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4"/>
      <c r="D416" s="60"/>
      <c r="E416" s="60"/>
      <c r="F416" s="60"/>
      <c r="G416" s="60"/>
      <c r="H416" s="61"/>
      <c r="I416" s="61"/>
      <c r="J416" s="61"/>
      <c r="K416" s="61"/>
      <c r="L416" s="62"/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4"/>
        <v>0</v>
      </c>
      <c r="AF416" s="12"/>
      <c r="AG416" s="12"/>
      <c r="AH416" s="12"/>
      <c r="AI416" s="12">
        <f t="shared" si="112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4"/>
      <c r="D417" s="60"/>
      <c r="E417" s="60"/>
      <c r="F417" s="60"/>
      <c r="G417" s="60"/>
      <c r="H417" s="62"/>
      <c r="I417" s="62"/>
      <c r="J417" s="62"/>
      <c r="K417" s="61"/>
      <c r="L417" s="62"/>
      <c r="M417" s="62"/>
      <c r="N417" s="66"/>
      <c r="O417" s="87"/>
      <c r="P417" s="67"/>
      <c r="Q417" s="87"/>
      <c r="R417" s="87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4"/>
        <v>0</v>
      </c>
      <c r="AF417" s="10"/>
      <c r="AG417" s="10"/>
      <c r="AH417" s="10"/>
      <c r="AI417" s="12">
        <f t="shared" si="112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4"/>
      <c r="D418" s="60"/>
      <c r="E418" s="60"/>
      <c r="F418" s="60"/>
      <c r="G418" s="60"/>
      <c r="H418" s="62"/>
      <c r="I418" s="62"/>
      <c r="J418" s="62"/>
      <c r="K418" s="61"/>
      <c r="L418" s="62"/>
      <c r="M418" s="62"/>
      <c r="N418" s="66"/>
      <c r="O418" s="87"/>
      <c r="P418" s="68"/>
      <c r="Q418" s="87"/>
      <c r="R418" s="87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4"/>
        <v>0</v>
      </c>
      <c r="AF418" s="10"/>
      <c r="AG418" s="10"/>
      <c r="AH418" s="10"/>
      <c r="AI418" s="12">
        <f t="shared" si="112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4"/>
      <c r="D419" s="60"/>
      <c r="E419" s="60"/>
      <c r="F419" s="60"/>
      <c r="G419" s="60"/>
      <c r="H419" s="62"/>
      <c r="I419" s="62"/>
      <c r="J419" s="61"/>
      <c r="K419" s="61"/>
      <c r="L419" s="62"/>
      <c r="M419" s="62"/>
      <c r="N419" s="66"/>
      <c r="O419" s="87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4"/>
        <v>0</v>
      </c>
      <c r="AF419" s="10"/>
      <c r="AG419" s="10"/>
      <c r="AH419" s="10"/>
      <c r="AI419" s="12">
        <f t="shared" si="112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4"/>
      <c r="D420" s="60"/>
      <c r="E420" s="60"/>
      <c r="F420" s="60"/>
      <c r="G420" s="60"/>
      <c r="H420" s="62"/>
      <c r="I420" s="62"/>
      <c r="J420" s="62"/>
      <c r="K420" s="61"/>
      <c r="L420" s="62"/>
      <c r="M420" s="62"/>
      <c r="N420" s="66"/>
      <c r="O420" s="87"/>
      <c r="P420" s="69"/>
      <c r="Q420" s="87"/>
      <c r="R420" s="87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4"/>
        <v>0</v>
      </c>
      <c r="AF420" s="10"/>
      <c r="AG420" s="10"/>
      <c r="AH420" s="10"/>
      <c r="AI420" s="12">
        <f t="shared" si="112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4"/>
      <c r="D421" s="60"/>
      <c r="E421" s="60"/>
      <c r="F421" s="60"/>
      <c r="G421" s="60"/>
      <c r="H421" s="62"/>
      <c r="I421" s="62"/>
      <c r="J421" s="62"/>
      <c r="K421" s="61"/>
      <c r="L421" s="62"/>
      <c r="M421" s="62"/>
      <c r="N421" s="66"/>
      <c r="O421" s="87"/>
      <c r="P421" s="69"/>
      <c r="Q421" s="87"/>
      <c r="R421" s="87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4"/>
        <v>0</v>
      </c>
      <c r="AF421" s="10"/>
      <c r="AG421" s="10"/>
      <c r="AH421" s="10"/>
      <c r="AI421" s="12">
        <f t="shared" si="112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4"/>
      <c r="D422" s="60"/>
      <c r="E422" s="60"/>
      <c r="F422" s="60"/>
      <c r="G422" s="60"/>
      <c r="H422" s="62"/>
      <c r="I422" s="62"/>
      <c r="J422" s="62"/>
      <c r="K422" s="61"/>
      <c r="L422" s="62"/>
      <c r="M422" s="62"/>
      <c r="N422" s="66"/>
      <c r="O422" s="87"/>
      <c r="P422" s="69"/>
      <c r="Q422" s="87"/>
      <c r="R422" s="87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4"/>
        <v>0</v>
      </c>
      <c r="AF422" s="10"/>
      <c r="AG422" s="10"/>
      <c r="AH422" s="10"/>
      <c r="AI422" s="12">
        <f t="shared" si="112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4"/>
      <c r="D423" s="60"/>
      <c r="E423" s="60"/>
      <c r="F423" s="60"/>
      <c r="G423" s="60"/>
      <c r="H423" s="62"/>
      <c r="I423" s="62"/>
      <c r="J423" s="62"/>
      <c r="K423" s="61"/>
      <c r="L423" s="62"/>
      <c r="M423" s="62"/>
      <c r="N423" s="66"/>
      <c r="O423" s="87"/>
      <c r="P423" s="69"/>
      <c r="Q423" s="87"/>
      <c r="R423" s="87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4"/>
        <v>0</v>
      </c>
      <c r="AF423" s="10"/>
      <c r="AG423" s="10"/>
      <c r="AH423" s="10"/>
      <c r="AI423" s="12">
        <f t="shared" si="112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4"/>
      <c r="D424" s="60"/>
      <c r="E424" s="60"/>
      <c r="F424" s="60"/>
      <c r="G424" s="60"/>
      <c r="H424" s="62"/>
      <c r="I424" s="62"/>
      <c r="J424" s="62"/>
      <c r="K424" s="61"/>
      <c r="L424" s="62"/>
      <c r="M424" s="62"/>
      <c r="N424" s="66"/>
      <c r="O424" s="87"/>
      <c r="P424" s="69"/>
      <c r="Q424" s="87"/>
      <c r="R424" s="87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4"/>
        <v>0</v>
      </c>
      <c r="AF424" s="10"/>
      <c r="AG424" s="10"/>
      <c r="AH424" s="10"/>
      <c r="AI424" s="12">
        <f t="shared" si="112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4"/>
      <c r="D425" s="60"/>
      <c r="E425" s="60"/>
      <c r="F425" s="60"/>
      <c r="G425" s="60"/>
      <c r="H425" s="62"/>
      <c r="I425" s="62"/>
      <c r="J425" s="62"/>
      <c r="K425" s="61"/>
      <c r="L425" s="62"/>
      <c r="M425" s="62"/>
      <c r="N425" s="66"/>
      <c r="O425" s="87"/>
      <c r="P425" s="69"/>
      <c r="Q425" s="87"/>
      <c r="R425" s="87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4"/>
        <v>0</v>
      </c>
      <c r="AF425" s="10"/>
      <c r="AG425" s="10"/>
      <c r="AH425" s="10"/>
      <c r="AI425" s="12">
        <f t="shared" si="112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4"/>
      <c r="D426" s="60"/>
      <c r="E426" s="60"/>
      <c r="F426" s="60"/>
      <c r="G426" s="60"/>
      <c r="H426" s="62"/>
      <c r="I426" s="62"/>
      <c r="J426" s="62"/>
      <c r="K426" s="61"/>
      <c r="L426" s="62"/>
      <c r="M426" s="62"/>
      <c r="N426" s="66"/>
      <c r="O426" s="87"/>
      <c r="P426" s="69"/>
      <c r="Q426" s="87"/>
      <c r="R426" s="87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4"/>
        <v>0</v>
      </c>
      <c r="AF426" s="10"/>
      <c r="AG426" s="10"/>
      <c r="AH426" s="10"/>
      <c r="AI426" s="12">
        <f t="shared" si="112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4"/>
      <c r="D427" s="60"/>
      <c r="E427" s="60"/>
      <c r="F427" s="60"/>
      <c r="G427" s="60"/>
      <c r="H427" s="62"/>
      <c r="I427" s="62"/>
      <c r="J427" s="62"/>
      <c r="K427" s="61"/>
      <c r="L427" s="62"/>
      <c r="M427" s="62"/>
      <c r="N427" s="66"/>
      <c r="O427" s="87"/>
      <c r="P427" s="69"/>
      <c r="Q427" s="87"/>
      <c r="R427" s="87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4"/>
        <v>0</v>
      </c>
      <c r="AF427" s="10"/>
      <c r="AG427" s="10"/>
      <c r="AH427" s="10"/>
      <c r="AI427" s="12">
        <f t="shared" si="112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4"/>
      <c r="D428" s="60"/>
      <c r="E428" s="60"/>
      <c r="F428" s="60"/>
      <c r="G428" s="60"/>
      <c r="H428" s="62"/>
      <c r="I428" s="62"/>
      <c r="J428" s="62"/>
      <c r="K428" s="61"/>
      <c r="L428" s="62"/>
      <c r="M428" s="62"/>
      <c r="N428" s="66"/>
      <c r="O428" s="87"/>
      <c r="P428" s="69"/>
      <c r="Q428" s="87"/>
      <c r="R428" s="87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4"/>
        <v>0</v>
      </c>
      <c r="AF428" s="10"/>
      <c r="AG428" s="10"/>
      <c r="AH428" s="10"/>
      <c r="AI428" s="12">
        <f t="shared" si="112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4"/>
      <c r="D429" s="60"/>
      <c r="E429" s="60"/>
      <c r="F429" s="60"/>
      <c r="G429" s="60"/>
      <c r="H429" s="62"/>
      <c r="I429" s="62"/>
      <c r="J429" s="62"/>
      <c r="K429" s="61"/>
      <c r="L429" s="62"/>
      <c r="M429" s="62"/>
      <c r="N429" s="66"/>
      <c r="O429" s="87"/>
      <c r="P429" s="69"/>
      <c r="Q429" s="87"/>
      <c r="R429" s="87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4"/>
        <v>0</v>
      </c>
      <c r="AF429" s="10"/>
      <c r="AG429" s="10"/>
      <c r="AH429" s="10"/>
      <c r="AI429" s="12">
        <f t="shared" si="112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4"/>
      <c r="D430" s="60"/>
      <c r="E430" s="60"/>
      <c r="F430" s="60"/>
      <c r="G430" s="60"/>
      <c r="H430" s="62"/>
      <c r="I430" s="62"/>
      <c r="J430" s="62"/>
      <c r="K430" s="61"/>
      <c r="L430" s="62"/>
      <c r="M430" s="62"/>
      <c r="N430" s="66"/>
      <c r="O430" s="87"/>
      <c r="P430" s="69"/>
      <c r="Q430" s="87"/>
      <c r="R430" s="87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si="114"/>
        <v>0</v>
      </c>
      <c r="AF430" s="10"/>
      <c r="AG430" s="10"/>
      <c r="AH430" s="10"/>
      <c r="AI430" s="12">
        <f t="shared" si="112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4"/>
      <c r="D431" s="60"/>
      <c r="E431" s="60"/>
      <c r="F431" s="60"/>
      <c r="G431" s="60"/>
      <c r="H431" s="62"/>
      <c r="I431" s="62"/>
      <c r="J431" s="62"/>
      <c r="K431" s="61"/>
      <c r="L431" s="62"/>
      <c r="M431" s="62"/>
      <c r="N431" s="66"/>
      <c r="O431" s="87"/>
      <c r="P431" s="69"/>
      <c r="Q431" s="87"/>
      <c r="R431" s="87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4"/>
        <v>0</v>
      </c>
      <c r="AF431" s="10"/>
      <c r="AG431" s="10"/>
      <c r="AH431" s="10"/>
      <c r="AI431" s="12">
        <f t="shared" si="112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4"/>
      <c r="D432" s="60"/>
      <c r="E432" s="60"/>
      <c r="F432" s="60"/>
      <c r="G432" s="60"/>
      <c r="H432" s="62"/>
      <c r="I432" s="62"/>
      <c r="J432" s="62"/>
      <c r="K432" s="61"/>
      <c r="L432" s="62"/>
      <c r="M432" s="62"/>
      <c r="N432" s="66"/>
      <c r="O432" s="87"/>
      <c r="P432" s="69"/>
      <c r="Q432" s="87"/>
      <c r="R432" s="87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4"/>
        <v>0</v>
      </c>
      <c r="AF432" s="10"/>
      <c r="AG432" s="10"/>
      <c r="AH432" s="10"/>
      <c r="AI432" s="12">
        <f t="shared" si="112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100"/>
      <c r="D433" s="60"/>
      <c r="E433" s="60"/>
      <c r="F433" s="60"/>
      <c r="G433" s="60"/>
      <c r="H433" s="62"/>
      <c r="I433" s="62"/>
      <c r="J433" s="62"/>
      <c r="K433" s="61"/>
      <c r="L433" s="62"/>
      <c r="M433" s="62"/>
      <c r="N433" s="66"/>
      <c r="O433" s="62"/>
      <c r="P433" s="69"/>
      <c r="Q433" s="87"/>
      <c r="R433" s="87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4"/>
        <v>0</v>
      </c>
      <c r="AF433" s="10"/>
      <c r="AG433" s="10"/>
      <c r="AH433" s="10"/>
      <c r="AI433" s="12">
        <f t="shared" si="112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100"/>
      <c r="D434" s="60"/>
      <c r="E434" s="60"/>
      <c r="F434" s="60"/>
      <c r="G434" s="60"/>
      <c r="H434" s="62"/>
      <c r="I434" s="62"/>
      <c r="J434" s="62"/>
      <c r="K434" s="61"/>
      <c r="L434" s="62"/>
      <c r="M434" s="62"/>
      <c r="N434" s="66"/>
      <c r="O434" s="87"/>
      <c r="P434" s="69"/>
      <c r="Q434" s="87"/>
      <c r="R434" s="87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4"/>
        <v>0</v>
      </c>
      <c r="AF434" s="10"/>
      <c r="AG434" s="10"/>
      <c r="AH434" s="10"/>
      <c r="AI434" s="12">
        <f t="shared" si="112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100"/>
      <c r="D435" s="60"/>
      <c r="E435" s="60"/>
      <c r="F435" s="60"/>
      <c r="G435" s="60"/>
      <c r="H435" s="62"/>
      <c r="I435" s="62"/>
      <c r="J435" s="62"/>
      <c r="K435" s="61"/>
      <c r="L435" s="62"/>
      <c r="M435" s="62"/>
      <c r="N435" s="66"/>
      <c r="O435" s="87"/>
      <c r="P435" s="69"/>
      <c r="Q435" s="87"/>
      <c r="R435" s="87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4"/>
        <v>0</v>
      </c>
      <c r="AF435" s="10"/>
      <c r="AG435" s="10"/>
      <c r="AH435" s="10"/>
      <c r="AI435" s="12">
        <f t="shared" si="112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100"/>
      <c r="D436" s="60"/>
      <c r="E436" s="60"/>
      <c r="F436" s="60"/>
      <c r="G436" s="60"/>
      <c r="H436" s="62"/>
      <c r="I436" s="62"/>
      <c r="J436" s="62"/>
      <c r="K436" s="61"/>
      <c r="L436" s="62"/>
      <c r="M436" s="62"/>
      <c r="N436" s="66"/>
      <c r="O436" s="62"/>
      <c r="P436" s="69"/>
      <c r="Q436" s="87"/>
      <c r="R436" s="87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12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100"/>
      <c r="D437" s="60"/>
      <c r="E437" s="60"/>
      <c r="F437" s="60"/>
      <c r="G437" s="60"/>
      <c r="H437" s="62"/>
      <c r="I437" s="62"/>
      <c r="J437" s="62"/>
      <c r="K437" s="61"/>
      <c r="L437" s="62"/>
      <c r="M437" s="62"/>
      <c r="N437" s="66"/>
      <c r="O437" s="87"/>
      <c r="P437" s="69"/>
      <c r="Q437" s="87"/>
      <c r="R437" s="87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5">SUM(AB437:AC437)</f>
        <v>0</v>
      </c>
      <c r="AF437" s="10"/>
      <c r="AG437" s="10"/>
      <c r="AH437" s="10"/>
      <c r="AI437" s="12">
        <f t="shared" si="112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L438" s="62"/>
      <c r="M438" s="62"/>
      <c r="N438" s="87"/>
      <c r="O438" s="87"/>
      <c r="P438" s="87"/>
      <c r="Q438" s="87"/>
      <c r="R438" s="87"/>
      <c r="S438" s="87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12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100"/>
      <c r="C439" s="100"/>
      <c r="D439" s="100"/>
      <c r="E439" s="100"/>
      <c r="F439" s="100"/>
      <c r="G439" s="100"/>
      <c r="H439" s="62"/>
      <c r="I439" s="62"/>
      <c r="J439" s="62"/>
      <c r="K439" s="62"/>
      <c r="L439" s="62"/>
      <c r="M439" s="62"/>
      <c r="N439" s="87"/>
      <c r="O439" s="87"/>
      <c r="P439" s="87"/>
      <c r="Q439" s="87"/>
      <c r="R439" s="87"/>
      <c r="S439" s="87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100"/>
      <c r="C440" s="100"/>
      <c r="D440" s="70"/>
      <c r="E440" s="70"/>
      <c r="F440" s="70"/>
      <c r="G440" s="70"/>
      <c r="H440" s="63"/>
      <c r="I440" s="70"/>
      <c r="J440" s="70"/>
      <c r="K440" s="70"/>
      <c r="L440" s="62"/>
      <c r="M440" s="62"/>
      <c r="N440" s="87"/>
      <c r="O440" s="87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213253</v>
      </c>
      <c r="AC440" s="38">
        <f>SUM(AC397:AC421)</f>
        <v>-942</v>
      </c>
      <c r="AD440" s="38">
        <f>SUM(AD397:AD421)</f>
        <v>0</v>
      </c>
      <c r="AE440" s="38">
        <f>SUM(AE397:AE439)</f>
        <v>212311</v>
      </c>
      <c r="AF440" s="4"/>
      <c r="AG440" s="41">
        <f>SUM(AG397:AG439)</f>
        <v>189</v>
      </c>
      <c r="AH440" s="41">
        <f>SUM(AH397:AH421)</f>
        <v>0</v>
      </c>
      <c r="AI440" s="42">
        <f>SUM(AI397:AI439)</f>
        <v>212500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47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47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47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64</v>
      </c>
      <c r="B448" s="20"/>
      <c r="C448" s="57"/>
      <c r="D448" s="57"/>
      <c r="E448" s="57"/>
      <c r="G448" s="57"/>
      <c r="I448" s="22" t="s">
        <v>16</v>
      </c>
      <c r="J448" s="23" t="s">
        <v>36</v>
      </c>
      <c r="K448" s="24"/>
      <c r="M448" s="21" t="s">
        <v>64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64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36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2" t="s">
        <v>17</v>
      </c>
      <c r="E450" s="112"/>
      <c r="F450" s="102"/>
      <c r="G450" s="27"/>
      <c r="I450" s="110" t="s">
        <v>18</v>
      </c>
      <c r="J450" s="111"/>
      <c r="K450" s="113" t="s">
        <v>19</v>
      </c>
      <c r="N450" s="25"/>
      <c r="O450" s="26"/>
      <c r="P450" s="112" t="s">
        <v>17</v>
      </c>
      <c r="Q450" s="112"/>
      <c r="R450" s="102"/>
      <c r="S450" s="27"/>
      <c r="U450" s="110" t="s">
        <v>18</v>
      </c>
      <c r="V450" s="111"/>
      <c r="W450" s="113" t="s">
        <v>19</v>
      </c>
      <c r="Z450" s="25"/>
      <c r="AA450" s="26"/>
      <c r="AB450" s="112" t="s">
        <v>17</v>
      </c>
      <c r="AC450" s="112"/>
      <c r="AD450" s="102"/>
      <c r="AE450" s="27"/>
      <c r="AG450" s="110" t="s">
        <v>18</v>
      </c>
      <c r="AH450" s="111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31</v>
      </c>
      <c r="G451" s="78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 t="s">
        <v>65</v>
      </c>
      <c r="C452" s="83">
        <v>11050</v>
      </c>
      <c r="D452" s="32">
        <f>650*21+650</f>
        <v>14300</v>
      </c>
      <c r="E452" s="32"/>
      <c r="F452" s="32"/>
      <c r="G452" s="32">
        <f t="shared" ref="G452:G485" si="116">SUM(D452:E452)</f>
        <v>14300</v>
      </c>
      <c r="H452" s="12"/>
      <c r="I452" s="12"/>
      <c r="J452" s="12"/>
      <c r="K452" s="12">
        <f t="shared" ref="K452:K485" si="117">SUM(G452:J452)</f>
        <v>14300</v>
      </c>
      <c r="M452" s="10">
        <v>1</v>
      </c>
      <c r="N452" s="30" t="s">
        <v>65</v>
      </c>
      <c r="O452" s="83">
        <v>11304</v>
      </c>
      <c r="P452" s="32">
        <f>622*2</f>
        <v>1244</v>
      </c>
      <c r="Q452" s="32"/>
      <c r="R452" s="32"/>
      <c r="S452" s="32">
        <f>SUM(P452:Q452)</f>
        <v>1244</v>
      </c>
      <c r="T452" s="12"/>
      <c r="U452" s="12">
        <f>2*111</f>
        <v>222</v>
      </c>
      <c r="V452" s="12"/>
      <c r="W452" s="12">
        <f>SUM(S452:V452)</f>
        <v>1466</v>
      </c>
      <c r="Y452" s="10">
        <v>1</v>
      </c>
      <c r="Z452" s="30" t="s">
        <v>65</v>
      </c>
      <c r="AA452" s="31">
        <v>11292</v>
      </c>
      <c r="AB452" s="32">
        <f>650*88+622*20+229*4</f>
        <v>70556</v>
      </c>
      <c r="AC452" s="32">
        <f>-108*6</f>
        <v>-648</v>
      </c>
      <c r="AD452" s="32"/>
      <c r="AE452" s="32">
        <f>SUM(AB452:AC452)</f>
        <v>69908</v>
      </c>
      <c r="AF452" s="12"/>
      <c r="AG452" s="12"/>
      <c r="AH452" s="12">
        <f>-111*73</f>
        <v>-8103</v>
      </c>
      <c r="AI452" s="12">
        <f>SUM(AE452:AH452)</f>
        <v>61805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 t="s">
        <v>65</v>
      </c>
      <c r="C453" s="31">
        <v>11401</v>
      </c>
      <c r="D453" s="32">
        <f>650*60+622*7</f>
        <v>43354</v>
      </c>
      <c r="E453" s="32"/>
      <c r="F453" s="32"/>
      <c r="G453" s="32">
        <f t="shared" si="116"/>
        <v>43354</v>
      </c>
      <c r="H453" s="12"/>
      <c r="I453" s="12">
        <v>189</v>
      </c>
      <c r="J453" s="12"/>
      <c r="K453" s="12">
        <f t="shared" si="117"/>
        <v>43543</v>
      </c>
      <c r="M453" s="10">
        <v>2</v>
      </c>
      <c r="N453" s="30" t="s">
        <v>65</v>
      </c>
      <c r="O453" s="83">
        <v>11351</v>
      </c>
      <c r="P453" s="32">
        <f>650*63+229*3</f>
        <v>41637</v>
      </c>
      <c r="Q453" s="32"/>
      <c r="R453" s="32"/>
      <c r="S453" s="32">
        <f t="shared" ref="S453:S484" si="118">SUM(P453:Q453)</f>
        <v>41637</v>
      </c>
      <c r="T453" s="12"/>
      <c r="U453" s="12">
        <v>54</v>
      </c>
      <c r="V453" s="12"/>
      <c r="W453" s="12">
        <f t="shared" ref="W453:W484" si="119">SUM(S453:V453)</f>
        <v>41691</v>
      </c>
      <c r="Y453" s="10">
        <v>2</v>
      </c>
      <c r="Z453" s="30" t="s">
        <v>65</v>
      </c>
      <c r="AA453" s="31">
        <f>AA452+1</f>
        <v>11293</v>
      </c>
      <c r="AB453" s="10"/>
      <c r="AC453" s="10"/>
      <c r="AD453" s="10"/>
      <c r="AE453" s="10"/>
      <c r="AG453" s="10"/>
      <c r="AH453" s="10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 t="s">
        <v>65</v>
      </c>
      <c r="C454" s="31">
        <f t="shared" ref="C454:C457" si="120">C453+1</f>
        <v>11402</v>
      </c>
      <c r="D454" s="33">
        <f>650*7+229</f>
        <v>4779</v>
      </c>
      <c r="E454" s="33"/>
      <c r="F454" s="33"/>
      <c r="G454" s="33">
        <f t="shared" si="116"/>
        <v>4779</v>
      </c>
      <c r="H454" s="34"/>
      <c r="I454" s="34"/>
      <c r="J454" s="34"/>
      <c r="K454" s="34">
        <f t="shared" si="117"/>
        <v>4779</v>
      </c>
      <c r="M454" s="10">
        <v>3</v>
      </c>
      <c r="N454" s="30" t="s">
        <v>65</v>
      </c>
      <c r="O454" s="83">
        <f t="shared" ref="O454:O457" si="121">O453+1</f>
        <v>11352</v>
      </c>
      <c r="P454" s="33">
        <f>650*108+229*3</f>
        <v>70887</v>
      </c>
      <c r="Q454" s="33">
        <f>-108*6</f>
        <v>-648</v>
      </c>
      <c r="R454" s="32"/>
      <c r="S454" s="32">
        <f t="shared" si="118"/>
        <v>70239</v>
      </c>
      <c r="T454" s="12"/>
      <c r="U454" s="34"/>
      <c r="V454" s="34"/>
      <c r="W454" s="12">
        <f t="shared" si="119"/>
        <v>70239</v>
      </c>
      <c r="Y454" s="10">
        <v>3</v>
      </c>
      <c r="Z454" s="30" t="s">
        <v>65</v>
      </c>
      <c r="AA454" s="31">
        <f t="shared" ref="AA454:AA457" si="122">AA453+1</f>
        <v>11294</v>
      </c>
      <c r="AB454" s="32">
        <f>650*108+229*4</f>
        <v>71116</v>
      </c>
      <c r="AC454" s="32">
        <f>-108*6</f>
        <v>-648</v>
      </c>
      <c r="AD454" s="32"/>
      <c r="AE454" s="32">
        <f>SUM(AB454:AC454)</f>
        <v>70468</v>
      </c>
      <c r="AF454" s="12"/>
      <c r="AG454" s="12"/>
      <c r="AH454" s="12"/>
      <c r="AI454" s="12">
        <f>SUM(AE454:AH454)</f>
        <v>70468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 t="s">
        <v>65</v>
      </c>
      <c r="C455" s="31">
        <f t="shared" si="120"/>
        <v>11403</v>
      </c>
      <c r="D455" s="32">
        <f>650*15+622*2+229</f>
        <v>11223</v>
      </c>
      <c r="E455" s="32"/>
      <c r="F455" s="32"/>
      <c r="G455" s="32">
        <f t="shared" si="116"/>
        <v>11223</v>
      </c>
      <c r="H455" s="12"/>
      <c r="I455" s="12"/>
      <c r="J455" s="12"/>
      <c r="K455" s="12">
        <f t="shared" si="117"/>
        <v>11223</v>
      </c>
      <c r="M455" s="10">
        <v>4</v>
      </c>
      <c r="N455" s="30" t="s">
        <v>65</v>
      </c>
      <c r="O455" s="83">
        <f t="shared" si="121"/>
        <v>11353</v>
      </c>
      <c r="P455" s="32">
        <f>650*130+622*20+229*2</f>
        <v>97398</v>
      </c>
      <c r="Q455" s="32">
        <f>-150*6</f>
        <v>-900</v>
      </c>
      <c r="R455" s="32"/>
      <c r="S455" s="32">
        <f t="shared" si="118"/>
        <v>96498</v>
      </c>
      <c r="T455" s="12"/>
      <c r="U455" s="12">
        <f>1.5*48</f>
        <v>72</v>
      </c>
      <c r="V455" s="12"/>
      <c r="W455" s="12">
        <f t="shared" si="119"/>
        <v>96570</v>
      </c>
      <c r="Y455" s="10">
        <v>4</v>
      </c>
      <c r="Z455" s="30" t="s">
        <v>65</v>
      </c>
      <c r="AA455" s="31">
        <f t="shared" si="122"/>
        <v>11295</v>
      </c>
      <c r="AB455" s="33">
        <f>650*216+622*37+1050*3+229*9</f>
        <v>168625</v>
      </c>
      <c r="AC455" s="33"/>
      <c r="AD455" s="32"/>
      <c r="AE455" s="32">
        <f>SUM(AB455:AC455)</f>
        <v>168625</v>
      </c>
      <c r="AF455" s="12"/>
      <c r="AG455" s="12"/>
      <c r="AH455" s="12"/>
      <c r="AI455" s="12">
        <f>SUM(AE455:AH455)</f>
        <v>168625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 t="s">
        <v>65</v>
      </c>
      <c r="C456" s="31">
        <f t="shared" si="120"/>
        <v>11404</v>
      </c>
      <c r="D456" s="32">
        <f>650*216+912*10+229*3+650*2</f>
        <v>151507</v>
      </c>
      <c r="E456" s="32">
        <f>-226*6</f>
        <v>-1356</v>
      </c>
      <c r="F456" s="32"/>
      <c r="G456" s="32">
        <f t="shared" si="116"/>
        <v>150151</v>
      </c>
      <c r="H456" s="12"/>
      <c r="I456" s="12">
        <f>222+960</f>
        <v>1182</v>
      </c>
      <c r="J456" s="12">
        <f>-78*3+-84*3+-462+-4.5+-1.5*15</f>
        <v>-975</v>
      </c>
      <c r="K456" s="12">
        <f t="shared" si="117"/>
        <v>150358</v>
      </c>
      <c r="M456" s="10">
        <v>5</v>
      </c>
      <c r="N456" s="30" t="s">
        <v>65</v>
      </c>
      <c r="O456" s="83">
        <f t="shared" si="121"/>
        <v>11354</v>
      </c>
      <c r="P456" s="32">
        <f>650*15+622*5+872+9.5*10</f>
        <v>13827</v>
      </c>
      <c r="Q456" s="32"/>
      <c r="R456" s="32"/>
      <c r="S456" s="32">
        <f t="shared" si="118"/>
        <v>13827</v>
      </c>
      <c r="T456" s="12"/>
      <c r="U456" s="12">
        <f>1.5*24</f>
        <v>36</v>
      </c>
      <c r="V456" s="12"/>
      <c r="W456" s="12">
        <f t="shared" si="119"/>
        <v>13863</v>
      </c>
      <c r="Y456" s="10">
        <v>5</v>
      </c>
      <c r="Z456" s="30" t="s">
        <v>65</v>
      </c>
      <c r="AA456" s="31">
        <f t="shared" si="122"/>
        <v>11296</v>
      </c>
      <c r="AB456" s="32">
        <f>650*26+622*2</f>
        <v>18144</v>
      </c>
      <c r="AC456" s="32"/>
      <c r="AD456" s="32"/>
      <c r="AE456" s="32">
        <f>SUM(AB456:AC456)</f>
        <v>18144</v>
      </c>
      <c r="AF456" s="12"/>
      <c r="AG456">
        <f>4.5*24</f>
        <v>108</v>
      </c>
      <c r="AH456" s="12"/>
      <c r="AI456" s="12">
        <f>SUM(AE456:AH456)</f>
        <v>18252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 t="s">
        <v>65</v>
      </c>
      <c r="C457" s="31">
        <f t="shared" si="120"/>
        <v>11405</v>
      </c>
      <c r="D457" s="32">
        <f>650*4+622</f>
        <v>3222</v>
      </c>
      <c r="E457" s="32"/>
      <c r="F457" s="32"/>
      <c r="G457" s="32">
        <f t="shared" si="116"/>
        <v>3222</v>
      </c>
      <c r="H457" s="12"/>
      <c r="I457" s="12"/>
      <c r="J457" s="12"/>
      <c r="K457" s="12">
        <f t="shared" si="117"/>
        <v>3222</v>
      </c>
      <c r="M457" s="10">
        <v>6</v>
      </c>
      <c r="N457" s="30" t="s">
        <v>65</v>
      </c>
      <c r="O457" s="83">
        <f t="shared" si="121"/>
        <v>11355</v>
      </c>
      <c r="P457" s="32">
        <f>650+9.5</f>
        <v>659.5</v>
      </c>
      <c r="Q457" s="32"/>
      <c r="R457" s="32"/>
      <c r="S457" s="32">
        <f t="shared" si="118"/>
        <v>659.5</v>
      </c>
      <c r="T457" s="12"/>
      <c r="U457" s="12"/>
      <c r="V457" s="10"/>
      <c r="W457" s="12">
        <f t="shared" si="119"/>
        <v>659.5</v>
      </c>
      <c r="Y457" s="10">
        <v>6</v>
      </c>
      <c r="Z457" s="30" t="s">
        <v>65</v>
      </c>
      <c r="AA457" s="31">
        <f t="shared" si="122"/>
        <v>11297</v>
      </c>
      <c r="AB457" s="32">
        <f>650*2</f>
        <v>1300</v>
      </c>
      <c r="AC457" s="32"/>
      <c r="AD457" s="32"/>
      <c r="AE457" s="32">
        <f>SUM(AB457:AC457)</f>
        <v>1300</v>
      </c>
      <c r="AF457" s="12"/>
      <c r="AG457" s="12"/>
      <c r="AH457" s="12">
        <v>-1221</v>
      </c>
      <c r="AI457" s="12">
        <f>SUM(AE457:AH457)</f>
        <v>79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/>
      <c r="C458" s="11" t="s">
        <v>27</v>
      </c>
      <c r="D458" s="32"/>
      <c r="E458" s="32"/>
      <c r="F458" s="32"/>
      <c r="G458" s="32">
        <f t="shared" si="116"/>
        <v>0</v>
      </c>
      <c r="H458" s="12"/>
      <c r="I458" s="12"/>
      <c r="J458" s="12"/>
      <c r="K458" s="12">
        <f t="shared" si="117"/>
        <v>0</v>
      </c>
      <c r="M458" s="10">
        <v>7</v>
      </c>
      <c r="N458" s="30"/>
      <c r="O458" s="11" t="s">
        <v>27</v>
      </c>
      <c r="P458" s="32"/>
      <c r="Q458" s="32"/>
      <c r="R458" s="32"/>
      <c r="S458" s="32">
        <f t="shared" si="118"/>
        <v>0</v>
      </c>
      <c r="T458" s="12"/>
      <c r="U458" s="12"/>
      <c r="V458" s="12"/>
      <c r="W458" s="12">
        <f t="shared" si="119"/>
        <v>0</v>
      </c>
      <c r="Y458" s="10">
        <v>7</v>
      </c>
      <c r="Z458" s="30"/>
      <c r="AA458" s="11" t="s">
        <v>27</v>
      </c>
      <c r="AB458" s="32"/>
      <c r="AC458" s="32"/>
      <c r="AD458" s="32"/>
      <c r="AE458" s="32">
        <f t="shared" ref="AE458:AE490" si="123">SUM(AB458:AC458)</f>
        <v>0</v>
      </c>
      <c r="AF458" s="12"/>
      <c r="AG458" s="58"/>
      <c r="AH458" s="12"/>
      <c r="AI458" s="12">
        <f t="shared" ref="AI458:AI493" si="124">SUM(AE458:AH458)</f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31"/>
      <c r="D459" s="32"/>
      <c r="E459" s="32"/>
      <c r="F459" s="32"/>
      <c r="G459" s="32">
        <f t="shared" si="116"/>
        <v>0</v>
      </c>
      <c r="H459" s="12"/>
      <c r="I459" s="12"/>
      <c r="J459" s="12"/>
      <c r="K459" s="12">
        <f t="shared" si="117"/>
        <v>0</v>
      </c>
      <c r="M459" s="10">
        <v>8</v>
      </c>
      <c r="N459" s="30"/>
      <c r="O459" s="83"/>
      <c r="P459" s="32"/>
      <c r="Q459" s="32"/>
      <c r="R459" s="32"/>
      <c r="S459" s="32">
        <f t="shared" si="118"/>
        <v>0</v>
      </c>
      <c r="T459" s="12"/>
      <c r="U459" s="12"/>
      <c r="V459" s="12"/>
      <c r="W459" s="12">
        <f t="shared" si="119"/>
        <v>0</v>
      </c>
      <c r="Y459" s="10">
        <v>8</v>
      </c>
      <c r="Z459" s="30"/>
      <c r="AA459" s="31"/>
      <c r="AB459" s="32"/>
      <c r="AC459" s="32"/>
      <c r="AE459" s="32">
        <f t="shared" si="123"/>
        <v>0</v>
      </c>
      <c r="AF459" s="12"/>
      <c r="AG459" s="12"/>
      <c r="AH459" s="12"/>
      <c r="AI459" s="12">
        <f t="shared" si="124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31"/>
      <c r="D460" s="32"/>
      <c r="E460" s="32"/>
      <c r="F460" s="32"/>
      <c r="G460" s="32">
        <f t="shared" si="116"/>
        <v>0</v>
      </c>
      <c r="H460" s="12"/>
      <c r="I460" s="12"/>
      <c r="J460" s="12"/>
      <c r="K460" s="12">
        <f t="shared" si="117"/>
        <v>0</v>
      </c>
      <c r="M460" s="10">
        <v>9</v>
      </c>
      <c r="N460" s="30"/>
      <c r="O460" s="83"/>
      <c r="P460" s="32"/>
      <c r="Q460" s="32"/>
      <c r="R460" s="32"/>
      <c r="S460" s="32">
        <f t="shared" si="118"/>
        <v>0</v>
      </c>
      <c r="T460" s="12"/>
      <c r="U460" s="12"/>
      <c r="V460" s="12"/>
      <c r="W460" s="12">
        <f t="shared" si="119"/>
        <v>0</v>
      </c>
      <c r="Y460" s="10">
        <v>9</v>
      </c>
      <c r="Z460" s="30"/>
      <c r="AA460" s="31"/>
      <c r="AC460" s="32"/>
      <c r="AD460" s="32"/>
      <c r="AE460" s="32">
        <f t="shared" si="123"/>
        <v>0</v>
      </c>
      <c r="AF460" s="12"/>
      <c r="AH460" s="12"/>
      <c r="AI460" s="12">
        <f t="shared" si="124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31"/>
      <c r="D461" s="32"/>
      <c r="E461" s="32"/>
      <c r="F461" s="32"/>
      <c r="G461" s="32">
        <f t="shared" si="116"/>
        <v>0</v>
      </c>
      <c r="H461" s="12"/>
      <c r="I461" s="12"/>
      <c r="J461" s="12"/>
      <c r="K461" s="12">
        <f t="shared" si="117"/>
        <v>0</v>
      </c>
      <c r="M461" s="10">
        <v>10</v>
      </c>
      <c r="N461" s="30"/>
      <c r="O461" s="83"/>
      <c r="P461" s="32"/>
      <c r="Q461" s="32"/>
      <c r="R461" s="32"/>
      <c r="S461" s="32">
        <f t="shared" si="118"/>
        <v>0</v>
      </c>
      <c r="T461" s="12"/>
      <c r="U461" s="12"/>
      <c r="V461" s="12"/>
      <c r="W461" s="12">
        <f t="shared" si="119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23"/>
        <v>0</v>
      </c>
      <c r="AF461" s="12"/>
      <c r="AG461" s="12"/>
      <c r="AH461" s="12"/>
      <c r="AI461" s="12">
        <f t="shared" si="124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31"/>
      <c r="D462" s="32"/>
      <c r="E462" s="32"/>
      <c r="F462" s="32"/>
      <c r="G462" s="32">
        <f t="shared" si="116"/>
        <v>0</v>
      </c>
      <c r="H462" s="12"/>
      <c r="I462" s="12"/>
      <c r="J462" s="12"/>
      <c r="K462" s="12">
        <f t="shared" si="117"/>
        <v>0</v>
      </c>
      <c r="M462" s="10">
        <v>11</v>
      </c>
      <c r="N462" s="30"/>
      <c r="O462" s="83"/>
      <c r="P462" s="32"/>
      <c r="Q462" s="32"/>
      <c r="R462" s="32"/>
      <c r="S462" s="32">
        <f t="shared" si="118"/>
        <v>0</v>
      </c>
      <c r="T462" s="12"/>
      <c r="U462" s="12"/>
      <c r="V462" s="12"/>
      <c r="W462" s="12">
        <f t="shared" si="119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3"/>
        <v>0</v>
      </c>
      <c r="AF462" s="12"/>
      <c r="AG462" s="12"/>
      <c r="AH462" s="12"/>
      <c r="AI462" s="12">
        <f t="shared" si="124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31"/>
      <c r="D463" s="32"/>
      <c r="E463" s="32"/>
      <c r="F463" s="32"/>
      <c r="G463" s="32">
        <f t="shared" si="116"/>
        <v>0</v>
      </c>
      <c r="H463" s="12"/>
      <c r="I463" s="12"/>
      <c r="J463" s="10"/>
      <c r="K463" s="12">
        <f t="shared" si="117"/>
        <v>0</v>
      </c>
      <c r="M463" s="10">
        <v>12</v>
      </c>
      <c r="N463" s="30"/>
      <c r="O463" s="83"/>
      <c r="P463" s="32"/>
      <c r="Q463" s="32"/>
      <c r="R463" s="32"/>
      <c r="S463" s="32">
        <f t="shared" si="118"/>
        <v>0</v>
      </c>
      <c r="T463" s="12"/>
      <c r="U463" s="12"/>
      <c r="V463" s="12"/>
      <c r="W463" s="12">
        <f t="shared" si="119"/>
        <v>0</v>
      </c>
      <c r="Y463" s="10">
        <v>12</v>
      </c>
      <c r="Z463" s="30"/>
      <c r="AB463" s="32"/>
      <c r="AC463" s="32"/>
      <c r="AD463" s="32"/>
      <c r="AE463" s="32">
        <f t="shared" si="123"/>
        <v>0</v>
      </c>
      <c r="AF463" s="12"/>
      <c r="AG463" s="12"/>
      <c r="AH463" s="12"/>
      <c r="AI463" s="12">
        <f t="shared" si="124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31"/>
      <c r="D464" s="32"/>
      <c r="E464" s="32"/>
      <c r="F464" s="32"/>
      <c r="G464" s="32">
        <f t="shared" si="116"/>
        <v>0</v>
      </c>
      <c r="H464" s="12"/>
      <c r="I464" s="12"/>
      <c r="J464" s="12"/>
      <c r="K464" s="12">
        <f t="shared" si="117"/>
        <v>0</v>
      </c>
      <c r="M464" s="10">
        <v>13</v>
      </c>
      <c r="N464" s="30"/>
      <c r="O464" s="83"/>
      <c r="P464" s="32"/>
      <c r="Q464" s="32"/>
      <c r="R464" s="32"/>
      <c r="S464" s="32">
        <f t="shared" si="118"/>
        <v>0</v>
      </c>
      <c r="T464" s="12"/>
      <c r="U464" s="12"/>
      <c r="V464" s="12"/>
      <c r="W464" s="12">
        <f t="shared" si="119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3"/>
        <v>0</v>
      </c>
      <c r="AF464" s="12"/>
      <c r="AG464" s="12"/>
      <c r="AH464" s="12"/>
      <c r="AI464" s="12">
        <f t="shared" si="124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31"/>
      <c r="D465" s="32"/>
      <c r="E465" s="32"/>
      <c r="F465" s="32"/>
      <c r="G465" s="32">
        <f t="shared" si="116"/>
        <v>0</v>
      </c>
      <c r="H465" s="12"/>
      <c r="I465" s="12"/>
      <c r="J465" s="12"/>
      <c r="K465" s="12">
        <f t="shared" si="117"/>
        <v>0</v>
      </c>
      <c r="M465" s="10">
        <v>14</v>
      </c>
      <c r="N465" s="30"/>
      <c r="O465" s="83"/>
      <c r="P465" s="32"/>
      <c r="Q465" s="32"/>
      <c r="R465" s="32"/>
      <c r="S465" s="32">
        <f t="shared" si="118"/>
        <v>0</v>
      </c>
      <c r="T465" s="12"/>
      <c r="U465" s="12"/>
      <c r="V465" s="12"/>
      <c r="W465" s="12">
        <f t="shared" si="119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3"/>
        <v>0</v>
      </c>
      <c r="AF465" s="12"/>
      <c r="AG465" s="12"/>
      <c r="AH465" s="12"/>
      <c r="AI465" s="12">
        <f t="shared" si="124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31"/>
      <c r="D466" s="32"/>
      <c r="E466" s="32"/>
      <c r="F466" s="32"/>
      <c r="G466" s="32">
        <f t="shared" si="116"/>
        <v>0</v>
      </c>
      <c r="H466" s="12"/>
      <c r="I466" s="12"/>
      <c r="J466" s="12"/>
      <c r="K466" s="12">
        <f t="shared" si="117"/>
        <v>0</v>
      </c>
      <c r="M466" s="10">
        <v>15</v>
      </c>
      <c r="N466" s="30"/>
      <c r="O466" s="83"/>
      <c r="P466" s="32"/>
      <c r="Q466" s="32"/>
      <c r="R466" s="32"/>
      <c r="S466" s="32">
        <f t="shared" si="118"/>
        <v>0</v>
      </c>
      <c r="T466" s="12"/>
      <c r="U466" s="12"/>
      <c r="V466" s="12"/>
      <c r="W466" s="12">
        <f t="shared" si="119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3"/>
        <v>0</v>
      </c>
      <c r="AF466" s="12"/>
      <c r="AG466" s="12"/>
      <c r="AH466" s="12"/>
      <c r="AI466" s="12">
        <f t="shared" si="124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16"/>
        <v>0</v>
      </c>
      <c r="H467" s="12"/>
      <c r="I467" s="12"/>
      <c r="J467" s="12"/>
      <c r="K467" s="12">
        <f t="shared" si="117"/>
        <v>0</v>
      </c>
      <c r="M467" s="10">
        <v>16</v>
      </c>
      <c r="N467" s="30"/>
      <c r="O467" s="11"/>
      <c r="P467" s="32"/>
      <c r="Q467" s="32"/>
      <c r="R467" s="32"/>
      <c r="S467" s="32">
        <f t="shared" si="118"/>
        <v>0</v>
      </c>
      <c r="T467" s="12"/>
      <c r="U467" s="12"/>
      <c r="V467" s="12"/>
      <c r="W467" s="12">
        <f t="shared" si="119"/>
        <v>0</v>
      </c>
      <c r="Y467" s="10">
        <v>16</v>
      </c>
      <c r="Z467" s="30"/>
      <c r="AA467" s="11"/>
      <c r="AB467" s="32"/>
      <c r="AC467" s="32"/>
      <c r="AD467" s="32"/>
      <c r="AE467" s="32">
        <f t="shared" si="123"/>
        <v>0</v>
      </c>
      <c r="AF467" s="12"/>
      <c r="AG467" s="12"/>
      <c r="AH467" s="12"/>
      <c r="AI467" s="12">
        <f t="shared" si="124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16"/>
        <v>0</v>
      </c>
      <c r="H468" s="12"/>
      <c r="I468" s="12"/>
      <c r="J468" s="12"/>
      <c r="K468" s="12">
        <f t="shared" si="117"/>
        <v>0</v>
      </c>
      <c r="M468" s="10">
        <v>17</v>
      </c>
      <c r="N468" s="30"/>
      <c r="O468" s="31"/>
      <c r="P468" s="35"/>
      <c r="Q468" s="32"/>
      <c r="R468" s="32"/>
      <c r="S468" s="32">
        <f t="shared" si="118"/>
        <v>0</v>
      </c>
      <c r="T468" s="12"/>
      <c r="U468" s="12"/>
      <c r="V468" s="12"/>
      <c r="W468" s="12">
        <f t="shared" si="119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3"/>
        <v>0</v>
      </c>
      <c r="AF468" s="12"/>
      <c r="AG468" s="12"/>
      <c r="AH468" s="12"/>
      <c r="AI468" s="12">
        <f t="shared" si="124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16"/>
        <v>0</v>
      </c>
      <c r="H469" s="12"/>
      <c r="I469" s="12"/>
      <c r="J469" s="12"/>
      <c r="K469" s="12">
        <f t="shared" si="117"/>
        <v>0</v>
      </c>
      <c r="M469" s="10">
        <v>18</v>
      </c>
      <c r="N469" s="30"/>
      <c r="O469" s="31"/>
      <c r="P469" s="32"/>
      <c r="Q469" s="32"/>
      <c r="R469" s="32"/>
      <c r="S469" s="32">
        <f t="shared" si="118"/>
        <v>0</v>
      </c>
      <c r="T469" s="12"/>
      <c r="U469" s="12"/>
      <c r="V469" s="12"/>
      <c r="W469" s="12">
        <f t="shared" si="119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3"/>
        <v>0</v>
      </c>
      <c r="AF469" s="12"/>
      <c r="AG469" s="12"/>
      <c r="AH469" s="12"/>
      <c r="AI469" s="12">
        <f t="shared" si="124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16"/>
        <v>0</v>
      </c>
      <c r="H470" s="12"/>
      <c r="I470" s="12"/>
      <c r="J470" s="12"/>
      <c r="K470" s="12">
        <f t="shared" si="117"/>
        <v>0</v>
      </c>
      <c r="M470" s="10">
        <v>19</v>
      </c>
      <c r="N470" s="30"/>
      <c r="O470" s="31"/>
      <c r="P470" s="32"/>
      <c r="Q470" s="32"/>
      <c r="R470" s="32"/>
      <c r="S470" s="32">
        <f t="shared" si="118"/>
        <v>0</v>
      </c>
      <c r="T470" s="12"/>
      <c r="U470" s="12"/>
      <c r="V470" s="12"/>
      <c r="W470" s="12">
        <f t="shared" si="119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3"/>
        <v>0</v>
      </c>
      <c r="AF470" s="12"/>
      <c r="AG470" s="12"/>
      <c r="AH470" s="12"/>
      <c r="AI470" s="12">
        <f t="shared" si="124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16"/>
        <v>0</v>
      </c>
      <c r="H471" s="12"/>
      <c r="I471" s="12"/>
      <c r="J471" s="12"/>
      <c r="K471" s="12">
        <f t="shared" si="117"/>
        <v>0</v>
      </c>
      <c r="M471" s="10">
        <v>20</v>
      </c>
      <c r="N471" s="30"/>
      <c r="O471" s="31"/>
      <c r="P471" s="32"/>
      <c r="Q471" s="32"/>
      <c r="R471" s="32"/>
      <c r="S471" s="32">
        <f t="shared" si="118"/>
        <v>0</v>
      </c>
      <c r="T471" s="12"/>
      <c r="U471" s="12"/>
      <c r="V471" s="12"/>
      <c r="W471" s="12">
        <f t="shared" si="119"/>
        <v>0</v>
      </c>
      <c r="Y471" s="10">
        <v>20</v>
      </c>
      <c r="Z471" s="30"/>
      <c r="AB471" s="32"/>
      <c r="AC471" s="32"/>
      <c r="AD471" s="32"/>
      <c r="AE471" s="32">
        <f t="shared" si="123"/>
        <v>0</v>
      </c>
      <c r="AF471" s="12"/>
      <c r="AG471" s="12"/>
      <c r="AH471" s="12"/>
      <c r="AI471" s="12">
        <f t="shared" si="124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83"/>
      <c r="D472" s="32"/>
      <c r="E472" s="32"/>
      <c r="F472" s="32"/>
      <c r="G472" s="32">
        <f t="shared" si="116"/>
        <v>0</v>
      </c>
      <c r="H472" s="10"/>
      <c r="I472" s="10"/>
      <c r="J472" s="10"/>
      <c r="K472" s="12">
        <f t="shared" si="117"/>
        <v>0</v>
      </c>
      <c r="M472" s="10">
        <v>21</v>
      </c>
      <c r="N472" s="30"/>
      <c r="O472" s="31"/>
      <c r="P472" s="46"/>
      <c r="Q472" s="31"/>
      <c r="R472" s="31"/>
      <c r="S472" s="32">
        <f t="shared" si="118"/>
        <v>0</v>
      </c>
      <c r="T472" s="10"/>
      <c r="U472" s="10"/>
      <c r="V472" s="10"/>
      <c r="W472" s="12">
        <f t="shared" si="119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3"/>
        <v>0</v>
      </c>
      <c r="AF472" s="10"/>
      <c r="AG472" s="10"/>
      <c r="AH472" s="10"/>
      <c r="AI472" s="12">
        <f t="shared" si="124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16"/>
        <v>0</v>
      </c>
      <c r="H473" s="10"/>
      <c r="I473" s="10"/>
      <c r="J473" s="10"/>
      <c r="K473" s="12">
        <f t="shared" si="117"/>
        <v>0</v>
      </c>
      <c r="M473" s="10">
        <v>22</v>
      </c>
      <c r="N473" s="30"/>
      <c r="O473" s="31"/>
      <c r="P473" s="45"/>
      <c r="Q473" s="31"/>
      <c r="R473" s="31"/>
      <c r="S473" s="32">
        <f t="shared" si="118"/>
        <v>0</v>
      </c>
      <c r="T473" s="10"/>
      <c r="U473" s="10"/>
      <c r="V473" s="10"/>
      <c r="W473" s="12">
        <f t="shared" si="119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3"/>
        <v>0</v>
      </c>
      <c r="AF473" s="10"/>
      <c r="AG473" s="10"/>
      <c r="AH473" s="10"/>
      <c r="AI473" s="12">
        <f t="shared" si="124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16"/>
        <v>0</v>
      </c>
      <c r="H474" s="10"/>
      <c r="I474" s="10"/>
      <c r="J474" s="12"/>
      <c r="K474" s="12">
        <f t="shared" si="117"/>
        <v>0</v>
      </c>
      <c r="M474" s="10">
        <v>23</v>
      </c>
      <c r="N474" s="30"/>
      <c r="O474" s="31"/>
      <c r="P474" s="47"/>
      <c r="S474" s="32">
        <f t="shared" si="118"/>
        <v>0</v>
      </c>
      <c r="T474" s="10"/>
      <c r="U474" s="10"/>
      <c r="V474" s="10"/>
      <c r="W474" s="12">
        <f t="shared" si="119"/>
        <v>0</v>
      </c>
      <c r="Y474" s="10">
        <v>23</v>
      </c>
      <c r="Z474" s="30"/>
      <c r="AA474" s="31"/>
      <c r="AB474" s="47"/>
      <c r="AE474" s="32">
        <f t="shared" si="123"/>
        <v>0</v>
      </c>
      <c r="AF474" s="10"/>
      <c r="AG474" s="10"/>
      <c r="AH474" s="10"/>
      <c r="AI474" s="12">
        <f t="shared" si="124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16"/>
        <v>0</v>
      </c>
      <c r="H475" s="10"/>
      <c r="I475" s="10"/>
      <c r="J475" s="10"/>
      <c r="K475" s="12">
        <f t="shared" si="117"/>
        <v>0</v>
      </c>
      <c r="M475" s="10">
        <v>24</v>
      </c>
      <c r="N475" s="30"/>
      <c r="O475" s="31"/>
      <c r="P475" s="47"/>
      <c r="Q475" s="31"/>
      <c r="R475" s="31"/>
      <c r="S475" s="32">
        <f t="shared" si="118"/>
        <v>0</v>
      </c>
      <c r="T475" s="10"/>
      <c r="U475" s="10"/>
      <c r="V475" s="10"/>
      <c r="W475" s="12">
        <f t="shared" si="119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3"/>
        <v>0</v>
      </c>
      <c r="AF475" s="10"/>
      <c r="AG475" s="10"/>
      <c r="AH475" s="10"/>
      <c r="AI475" s="12">
        <f t="shared" si="124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16"/>
        <v>0</v>
      </c>
      <c r="H476" s="10"/>
      <c r="I476" s="10"/>
      <c r="J476" s="10"/>
      <c r="K476" s="12">
        <f t="shared" si="117"/>
        <v>0</v>
      </c>
      <c r="M476" s="10">
        <v>25</v>
      </c>
      <c r="N476" s="30"/>
      <c r="O476" s="31"/>
      <c r="P476" s="47"/>
      <c r="Q476" s="31"/>
      <c r="R476" s="31"/>
      <c r="S476" s="32">
        <f t="shared" si="118"/>
        <v>0</v>
      </c>
      <c r="T476" s="10"/>
      <c r="U476" s="10"/>
      <c r="V476" s="10"/>
      <c r="W476" s="12">
        <f t="shared" si="119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3"/>
        <v>0</v>
      </c>
      <c r="AF476" s="10"/>
      <c r="AG476" s="10"/>
      <c r="AH476" s="10"/>
      <c r="AI476" s="12">
        <f t="shared" si="124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16"/>
        <v>0</v>
      </c>
      <c r="H477" s="10"/>
      <c r="I477" s="10"/>
      <c r="J477" s="10"/>
      <c r="K477" s="12">
        <f t="shared" si="117"/>
        <v>0</v>
      </c>
      <c r="M477" s="10">
        <v>26</v>
      </c>
      <c r="N477" s="30"/>
      <c r="O477" s="31"/>
      <c r="P477" s="47"/>
      <c r="Q477" s="31"/>
      <c r="R477" s="31"/>
      <c r="S477" s="32">
        <f t="shared" si="118"/>
        <v>0</v>
      </c>
      <c r="T477" s="10"/>
      <c r="U477" s="10"/>
      <c r="V477" s="10"/>
      <c r="W477" s="12">
        <f t="shared" si="119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3"/>
        <v>0</v>
      </c>
      <c r="AF477" s="10"/>
      <c r="AG477" s="10"/>
      <c r="AH477" s="10"/>
      <c r="AI477" s="12">
        <f t="shared" si="124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16"/>
        <v>0</v>
      </c>
      <c r="H478" s="10"/>
      <c r="I478" s="10"/>
      <c r="J478" s="10"/>
      <c r="K478" s="12">
        <f t="shared" si="117"/>
        <v>0</v>
      </c>
      <c r="M478" s="10">
        <v>27</v>
      </c>
      <c r="N478" s="30"/>
      <c r="O478" s="31"/>
      <c r="P478" s="47"/>
      <c r="Q478" s="31"/>
      <c r="R478" s="31"/>
      <c r="S478" s="32">
        <f t="shared" si="118"/>
        <v>0</v>
      </c>
      <c r="T478" s="10"/>
      <c r="U478" s="10"/>
      <c r="V478" s="10"/>
      <c r="W478" s="12">
        <f t="shared" si="119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3"/>
        <v>0</v>
      </c>
      <c r="AF478" s="10"/>
      <c r="AG478" s="10"/>
      <c r="AH478" s="10"/>
      <c r="AI478" s="12">
        <f t="shared" si="124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16"/>
        <v>0</v>
      </c>
      <c r="H479" s="10"/>
      <c r="I479" s="10"/>
      <c r="J479" s="10"/>
      <c r="K479" s="12">
        <f t="shared" si="117"/>
        <v>0</v>
      </c>
      <c r="M479" s="10">
        <v>28</v>
      </c>
      <c r="N479" s="30"/>
      <c r="O479" s="31"/>
      <c r="P479" s="47"/>
      <c r="Q479" s="31"/>
      <c r="R479" s="31"/>
      <c r="S479" s="32">
        <f t="shared" si="118"/>
        <v>0</v>
      </c>
      <c r="T479" s="10"/>
      <c r="U479" s="10"/>
      <c r="V479" s="10"/>
      <c r="W479" s="12">
        <f t="shared" si="119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3"/>
        <v>0</v>
      </c>
      <c r="AF479" s="10"/>
      <c r="AG479" s="10"/>
      <c r="AH479" s="10"/>
      <c r="AI479" s="12">
        <f t="shared" si="124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83"/>
      <c r="D480" s="32"/>
      <c r="E480" s="32"/>
      <c r="F480" s="32"/>
      <c r="G480" s="32">
        <f t="shared" si="116"/>
        <v>0</v>
      </c>
      <c r="H480" s="10"/>
      <c r="I480" s="10"/>
      <c r="J480" s="10"/>
      <c r="K480" s="12">
        <f t="shared" si="117"/>
        <v>0</v>
      </c>
      <c r="M480" s="10">
        <v>29</v>
      </c>
      <c r="N480" s="30"/>
      <c r="O480" s="31"/>
      <c r="P480" s="47"/>
      <c r="Q480" s="31"/>
      <c r="R480" s="31"/>
      <c r="S480" s="32">
        <f t="shared" si="118"/>
        <v>0</v>
      </c>
      <c r="T480" s="10"/>
      <c r="U480" s="10"/>
      <c r="V480" s="10"/>
      <c r="W480" s="12">
        <f t="shared" si="119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3"/>
        <v>0</v>
      </c>
      <c r="AF480" s="10"/>
      <c r="AG480" s="10"/>
      <c r="AH480" s="10"/>
      <c r="AI480" s="12">
        <f t="shared" si="124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16"/>
        <v>0</v>
      </c>
      <c r="H481" s="10"/>
      <c r="I481" s="10"/>
      <c r="J481" s="10"/>
      <c r="K481" s="12">
        <f t="shared" si="117"/>
        <v>0</v>
      </c>
      <c r="M481" s="10">
        <v>30</v>
      </c>
      <c r="N481" s="30"/>
      <c r="O481" s="31"/>
      <c r="P481" s="47"/>
      <c r="Q481" s="31"/>
      <c r="R481" s="31"/>
      <c r="S481" s="32">
        <f t="shared" si="118"/>
        <v>0</v>
      </c>
      <c r="T481" s="10"/>
      <c r="U481" s="10"/>
      <c r="V481" s="10"/>
      <c r="W481" s="12">
        <f t="shared" si="119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3"/>
        <v>0</v>
      </c>
      <c r="AF481" s="10"/>
      <c r="AG481" s="10"/>
      <c r="AH481" s="10"/>
      <c r="AI481" s="12">
        <f t="shared" si="124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16"/>
        <v>0</v>
      </c>
      <c r="H482" s="10"/>
      <c r="I482" s="10"/>
      <c r="J482" s="10"/>
      <c r="K482" s="12">
        <f t="shared" si="117"/>
        <v>0</v>
      </c>
      <c r="M482" s="10">
        <v>31</v>
      </c>
      <c r="N482" s="30"/>
      <c r="O482" s="31"/>
      <c r="P482" s="47"/>
      <c r="Q482" s="31"/>
      <c r="R482" s="31"/>
      <c r="S482" s="32">
        <f t="shared" si="118"/>
        <v>0</v>
      </c>
      <c r="T482" s="10"/>
      <c r="U482" s="10"/>
      <c r="V482" s="10"/>
      <c r="W482" s="12">
        <f t="shared" si="119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3"/>
        <v>0</v>
      </c>
      <c r="AF482" s="10"/>
      <c r="AG482" s="10"/>
      <c r="AH482" s="10"/>
      <c r="AI482" s="12">
        <f t="shared" si="124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16"/>
        <v>0</v>
      </c>
      <c r="H483" s="10"/>
      <c r="I483" s="10"/>
      <c r="J483" s="10"/>
      <c r="K483" s="12">
        <f t="shared" si="117"/>
        <v>0</v>
      </c>
      <c r="M483" s="10">
        <v>32</v>
      </c>
      <c r="N483" s="30"/>
      <c r="O483" s="31"/>
      <c r="P483" s="47"/>
      <c r="Q483" s="31"/>
      <c r="R483" s="31"/>
      <c r="S483" s="32">
        <f t="shared" si="118"/>
        <v>0</v>
      </c>
      <c r="T483" s="10"/>
      <c r="U483" s="10"/>
      <c r="V483" s="10"/>
      <c r="W483" s="12">
        <f t="shared" si="119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3"/>
        <v>0</v>
      </c>
      <c r="AF483" s="10"/>
      <c r="AG483" s="10"/>
      <c r="AH483" s="10"/>
      <c r="AI483" s="12">
        <f t="shared" si="124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16"/>
        <v>0</v>
      </c>
      <c r="H484" s="10"/>
      <c r="I484" s="10"/>
      <c r="J484" s="10"/>
      <c r="K484" s="12">
        <f t="shared" si="117"/>
        <v>0</v>
      </c>
      <c r="M484" s="10">
        <v>33</v>
      </c>
      <c r="N484" s="30"/>
      <c r="O484" s="31"/>
      <c r="P484" s="47"/>
      <c r="Q484" s="31"/>
      <c r="R484" s="31"/>
      <c r="S484" s="32">
        <f t="shared" si="118"/>
        <v>0</v>
      </c>
      <c r="T484" s="10"/>
      <c r="U484" s="10"/>
      <c r="V484" s="10"/>
      <c r="W484" s="12">
        <f t="shared" si="119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3"/>
        <v>0</v>
      </c>
      <c r="AF484" s="10"/>
      <c r="AG484" s="10"/>
      <c r="AH484" s="10"/>
      <c r="AI484" s="12">
        <f t="shared" si="124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16"/>
        <v>0</v>
      </c>
      <c r="H485" s="10"/>
      <c r="I485" s="10"/>
      <c r="J485" s="10"/>
      <c r="K485" s="12">
        <f t="shared" si="117"/>
        <v>0</v>
      </c>
      <c r="M485" s="10">
        <v>34</v>
      </c>
      <c r="N485" s="30"/>
      <c r="O485" s="31"/>
      <c r="P485" s="47"/>
      <c r="Q485" s="31"/>
      <c r="R485" s="31"/>
      <c r="S485" s="32">
        <f t="shared" ref="S485:S490" si="125">SUM(P485:Q485)</f>
        <v>0</v>
      </c>
      <c r="T485" s="10"/>
      <c r="U485" s="10"/>
      <c r="V485" s="10"/>
      <c r="W485" s="12">
        <f t="shared" ref="W485:W493" si="126">SUM(S485:V485)</f>
        <v>0</v>
      </c>
      <c r="Y485" s="10">
        <v>34</v>
      </c>
      <c r="Z485" s="30"/>
      <c r="AA485" s="31"/>
      <c r="AB485" s="47"/>
      <c r="AC485" s="31"/>
      <c r="AD485" s="31"/>
      <c r="AE485" s="32">
        <f t="shared" si="123"/>
        <v>0</v>
      </c>
      <c r="AF485" s="10"/>
      <c r="AG485" s="10"/>
      <c r="AH485" s="10"/>
      <c r="AI485" s="12">
        <f t="shared" si="124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25"/>
        <v>0</v>
      </c>
      <c r="T486" s="10"/>
      <c r="U486" s="10"/>
      <c r="V486" s="10"/>
      <c r="W486" s="12">
        <f t="shared" si="126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24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25"/>
        <v>0</v>
      </c>
      <c r="T487" s="10"/>
      <c r="U487" s="10"/>
      <c r="V487" s="10"/>
      <c r="W487" s="12">
        <f t="shared" si="126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24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25"/>
        <v>0</v>
      </c>
      <c r="T488" s="10"/>
      <c r="U488" s="10"/>
      <c r="V488" s="10"/>
      <c r="W488" s="12">
        <f t="shared" si="126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24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25"/>
        <v>0</v>
      </c>
      <c r="T489" s="10"/>
      <c r="U489" s="10"/>
      <c r="V489" s="10"/>
      <c r="W489" s="12">
        <f t="shared" si="126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24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25"/>
        <v>0</v>
      </c>
      <c r="T490" s="10"/>
      <c r="U490" s="10"/>
      <c r="V490" s="10"/>
      <c r="W490" s="12">
        <f t="shared" si="126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24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26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24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27">SUM(D492:E492)</f>
        <v>0</v>
      </c>
      <c r="H492" s="10"/>
      <c r="I492" s="10"/>
      <c r="J492" s="10"/>
      <c r="K492" s="12">
        <f t="shared" ref="K492" si="128">SUM(G492:J492)</f>
        <v>0</v>
      </c>
      <c r="M492" s="10"/>
      <c r="N492" s="30"/>
      <c r="O492" s="31"/>
      <c r="P492" s="47"/>
      <c r="Q492" s="31"/>
      <c r="R492" s="31"/>
      <c r="S492" s="32">
        <f t="shared" ref="S492" si="129">SUM(P492:Q492)</f>
        <v>0</v>
      </c>
      <c r="T492" s="10"/>
      <c r="U492" s="10"/>
      <c r="V492" s="10"/>
      <c r="W492" s="12">
        <f t="shared" si="126"/>
        <v>0</v>
      </c>
      <c r="Y492" s="10"/>
      <c r="Z492" s="30"/>
      <c r="AA492" s="31"/>
      <c r="AB492" s="47"/>
      <c r="AC492" s="31"/>
      <c r="AD492" s="31"/>
      <c r="AE492" s="32">
        <f t="shared" ref="AE492" si="130">SUM(AB492:AC492)</f>
        <v>0</v>
      </c>
      <c r="AF492" s="10"/>
      <c r="AG492" s="10"/>
      <c r="AH492" s="10"/>
      <c r="AI492" s="12">
        <f t="shared" si="124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26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24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228385</v>
      </c>
      <c r="E495" s="38">
        <f t="shared" ref="E495:F495" si="131">SUM(E452:E492)</f>
        <v>-1356</v>
      </c>
      <c r="F495" s="38">
        <f t="shared" si="131"/>
        <v>0</v>
      </c>
      <c r="G495" s="38">
        <f>SUM(G452:G494)</f>
        <v>227029</v>
      </c>
      <c r="H495" s="4"/>
      <c r="I495" s="39">
        <f>SUM(I452:I494)</f>
        <v>1371</v>
      </c>
      <c r="J495" s="39">
        <f>SUM(J452:J494)</f>
        <v>-975</v>
      </c>
      <c r="K495" s="40">
        <f>SUM(K452:K494)</f>
        <v>227425</v>
      </c>
      <c r="N495" s="57"/>
      <c r="O495" s="57"/>
      <c r="P495" s="38">
        <f>SUM(P452:P494)</f>
        <v>225652.5</v>
      </c>
      <c r="Q495" s="38">
        <f>SUM(Q452:Q476)</f>
        <v>-1548</v>
      </c>
      <c r="R495" s="38">
        <f>SUM(R452:R476)</f>
        <v>0</v>
      </c>
      <c r="S495" s="38">
        <f>SUM(S452:S494)</f>
        <v>224104.5</v>
      </c>
      <c r="T495" s="4"/>
      <c r="U495" s="41">
        <f>SUM(U452:U494)</f>
        <v>384</v>
      </c>
      <c r="V495" s="41">
        <f>SUM(V452:V476)</f>
        <v>0</v>
      </c>
      <c r="W495" s="42">
        <f>SUM(W452:W494)</f>
        <v>224488.5</v>
      </c>
      <c r="Z495" s="57"/>
      <c r="AA495" s="57"/>
      <c r="AB495" s="38">
        <f>SUM(AB452:AB494)</f>
        <v>329741</v>
      </c>
      <c r="AC495" s="38">
        <f>SUM(AC452:AC476)</f>
        <v>-1296</v>
      </c>
      <c r="AD495" s="38">
        <f>SUM(AD452:AD476)</f>
        <v>0</v>
      </c>
      <c r="AE495" s="38">
        <f>SUM(AE452:AE494)</f>
        <v>328445</v>
      </c>
      <c r="AF495" s="4"/>
      <c r="AG495" s="41">
        <f>SUM(AG452:AG494)</f>
        <v>108</v>
      </c>
      <c r="AH495" s="41">
        <f>SUM(AH452:AH476)</f>
        <v>-9324</v>
      </c>
      <c r="AI495" s="42">
        <f>SUM(AI452:AI494)</f>
        <v>319229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53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53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53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66</v>
      </c>
      <c r="B503" s="20"/>
      <c r="C503" s="57"/>
      <c r="D503" s="57"/>
      <c r="E503" s="57"/>
      <c r="G503" s="57"/>
      <c r="I503" s="22" t="s">
        <v>16</v>
      </c>
      <c r="J503" s="23" t="s">
        <v>36</v>
      </c>
      <c r="K503" s="24"/>
      <c r="M503" s="21" t="s">
        <v>66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32</v>
      </c>
      <c r="W503" s="24"/>
      <c r="Y503" s="21" t="s">
        <v>66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36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ht="15" customHeight="1" x14ac:dyDescent="0.25">
      <c r="B505" s="25"/>
      <c r="C505" s="26"/>
      <c r="D505" s="112" t="s">
        <v>17</v>
      </c>
      <c r="E505" s="112"/>
      <c r="F505" s="103"/>
      <c r="G505" s="27"/>
      <c r="I505" s="110" t="s">
        <v>18</v>
      </c>
      <c r="J505" s="111"/>
      <c r="K505" s="113" t="s">
        <v>19</v>
      </c>
      <c r="N505" s="25"/>
      <c r="O505" s="26"/>
      <c r="P505" s="112" t="s">
        <v>17</v>
      </c>
      <c r="Q505" s="112"/>
      <c r="R505" s="103"/>
      <c r="S505" s="27"/>
      <c r="U505" s="110" t="s">
        <v>18</v>
      </c>
      <c r="V505" s="111"/>
      <c r="W505" s="113" t="s">
        <v>19</v>
      </c>
      <c r="Z505" s="25"/>
      <c r="AA505" s="26"/>
      <c r="AB505" s="112" t="s">
        <v>17</v>
      </c>
      <c r="AC505" s="112"/>
      <c r="AD505" s="103"/>
      <c r="AE505" s="27"/>
      <c r="AG505" s="110" t="s">
        <v>18</v>
      </c>
      <c r="AH505" s="111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31</v>
      </c>
      <c r="G506" s="78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31</v>
      </c>
      <c r="S506" s="78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31</v>
      </c>
      <c r="AE506" s="78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67</v>
      </c>
      <c r="C507" s="83">
        <v>11406</v>
      </c>
      <c r="D507" s="32">
        <f>650*216+622*18+229*8</f>
        <v>153428</v>
      </c>
      <c r="E507" s="32">
        <f>-234*6</f>
        <v>-1404</v>
      </c>
      <c r="F507" s="32"/>
      <c r="G507" s="32">
        <f t="shared" ref="G507:G551" si="132">SUM(D507:E507)</f>
        <v>152024</v>
      </c>
      <c r="H507" s="12"/>
      <c r="I507" s="12">
        <f>1.5*120+111*3</f>
        <v>513</v>
      </c>
      <c r="J507" s="12">
        <f>-42*2+-1.5*11</f>
        <v>-100.5</v>
      </c>
      <c r="K507" s="12">
        <f t="shared" ref="K507:K551" si="133">SUM(G507:J507)</f>
        <v>152436.5</v>
      </c>
      <c r="M507" s="10">
        <v>1</v>
      </c>
      <c r="N507" s="30" t="s">
        <v>67</v>
      </c>
      <c r="O507" s="83">
        <v>11356</v>
      </c>
      <c r="P507" s="32">
        <f>650*22+622*2+229</f>
        <v>15773</v>
      </c>
      <c r="Q507" s="32"/>
      <c r="R507" s="32"/>
      <c r="S507" s="32">
        <f>SUM(P507:Q507)</f>
        <v>15773</v>
      </c>
      <c r="T507" s="12"/>
      <c r="U507" s="12">
        <v>27</v>
      </c>
      <c r="V507" s="12"/>
      <c r="W507" s="12">
        <f>SUM(S507:V507)</f>
        <v>15800</v>
      </c>
      <c r="Y507" s="10">
        <v>1</v>
      </c>
      <c r="Z507" s="30" t="s">
        <v>67</v>
      </c>
      <c r="AA507" s="31">
        <v>11298</v>
      </c>
      <c r="AB507" s="32">
        <f>650*108+622*20+872*3+229*4+650*2</f>
        <v>87472</v>
      </c>
      <c r="AC507" s="32">
        <f>-131*6</f>
        <v>-786</v>
      </c>
      <c r="AD507" s="32"/>
      <c r="AE507" s="32">
        <f>SUM(AB507:AC507)</f>
        <v>86686</v>
      </c>
      <c r="AF507" s="12"/>
      <c r="AG507" s="12">
        <f>1.5*72+1.5*24</f>
        <v>144</v>
      </c>
      <c r="AH507" s="12"/>
      <c r="AI507" s="12">
        <f>SUM(AE507:AH507)</f>
        <v>86830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67</v>
      </c>
      <c r="C508" s="31">
        <f>C507+1</f>
        <v>11407</v>
      </c>
      <c r="D508" s="32">
        <f>650*10+9.5*10</f>
        <v>6595</v>
      </c>
      <c r="E508" s="32"/>
      <c r="F508" s="32"/>
      <c r="G508" s="32">
        <f t="shared" si="132"/>
        <v>6595</v>
      </c>
      <c r="H508" s="12"/>
      <c r="I508" s="12"/>
      <c r="J508" s="12"/>
      <c r="K508" s="12">
        <f t="shared" si="133"/>
        <v>6595</v>
      </c>
      <c r="M508" s="10">
        <v>2</v>
      </c>
      <c r="N508" s="30" t="s">
        <v>67</v>
      </c>
      <c r="O508" s="83">
        <f>O507+1</f>
        <v>11357</v>
      </c>
      <c r="P508" s="32">
        <f>650*216+229*9</f>
        <v>142461</v>
      </c>
      <c r="Q508" s="32">
        <f>-216*6</f>
        <v>-1296</v>
      </c>
      <c r="R508" s="32"/>
      <c r="S508" s="32">
        <f t="shared" ref="S508:S551" si="134">SUM(P508:Q508)</f>
        <v>141165</v>
      </c>
      <c r="T508" s="12"/>
      <c r="U508" s="12">
        <v>546</v>
      </c>
      <c r="V508" s="12">
        <v>-420</v>
      </c>
      <c r="W508" s="12">
        <f t="shared" ref="W508:W551" si="135">SUM(S508:V508)</f>
        <v>141291</v>
      </c>
      <c r="Y508" s="10">
        <v>2</v>
      </c>
      <c r="Z508" s="30" t="s">
        <v>67</v>
      </c>
      <c r="AA508" s="31">
        <f>AA507+1</f>
        <v>11299</v>
      </c>
      <c r="AB508" s="10">
        <f>650*84+622*26+229*4</f>
        <v>71688</v>
      </c>
      <c r="AC508" s="10">
        <f>-110*6</f>
        <v>-660</v>
      </c>
      <c r="AD508" s="10"/>
      <c r="AE508" s="32">
        <f>SUM(AB508:AC508)</f>
        <v>71028</v>
      </c>
      <c r="AG508" s="10"/>
      <c r="AH508" s="10"/>
      <c r="AI508" s="12">
        <f>SUM(AE508:AH508)</f>
        <v>71028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67</v>
      </c>
      <c r="C509" s="31">
        <f t="shared" ref="C509:C512" si="136">C508+1</f>
        <v>11408</v>
      </c>
      <c r="D509" s="33">
        <f>650*86+622*2</f>
        <v>57144</v>
      </c>
      <c r="E509" s="33"/>
      <c r="F509" s="33"/>
      <c r="G509" s="33">
        <f t="shared" si="132"/>
        <v>57144</v>
      </c>
      <c r="H509" s="34"/>
      <c r="I509" s="34"/>
      <c r="J509" s="34"/>
      <c r="K509" s="34">
        <f t="shared" si="133"/>
        <v>57144</v>
      </c>
      <c r="M509" s="10">
        <v>3</v>
      </c>
      <c r="N509" s="30" t="s">
        <v>67</v>
      </c>
      <c r="O509" s="83">
        <f t="shared" ref="O509:O512" si="137">O508+1</f>
        <v>11358</v>
      </c>
      <c r="P509" s="33">
        <f>650*60+622*13+116*2</f>
        <v>47318</v>
      </c>
      <c r="Q509" s="33"/>
      <c r="R509" s="32"/>
      <c r="S509" s="32">
        <f t="shared" si="134"/>
        <v>47318</v>
      </c>
      <c r="T509" s="12"/>
      <c r="U509" s="34"/>
      <c r="V509" s="34">
        <v>-1998</v>
      </c>
      <c r="W509" s="12">
        <f t="shared" si="135"/>
        <v>45320</v>
      </c>
      <c r="Y509" s="10">
        <v>3</v>
      </c>
      <c r="Z509" s="30" t="s">
        <v>67</v>
      </c>
      <c r="AA509" s="31">
        <f t="shared" ref="AA509:AA512" si="138">AA508+1</f>
        <v>11300</v>
      </c>
      <c r="AB509" s="32">
        <f>650*25</f>
        <v>16250</v>
      </c>
      <c r="AC509" s="32"/>
      <c r="AD509" s="32"/>
      <c r="AE509" s="32">
        <f>SUM(AB509:AC509)</f>
        <v>16250</v>
      </c>
      <c r="AF509" s="12"/>
      <c r="AG509" s="12"/>
      <c r="AH509" s="12">
        <f>-111*9</f>
        <v>-999</v>
      </c>
      <c r="AI509" s="12">
        <f>SUM(AE509:AH509)</f>
        <v>15251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67</v>
      </c>
      <c r="C510" s="31">
        <f t="shared" si="136"/>
        <v>11409</v>
      </c>
      <c r="D510" s="32">
        <f>650*12</f>
        <v>7800</v>
      </c>
      <c r="E510" s="32"/>
      <c r="F510" s="32"/>
      <c r="G510" s="32">
        <f t="shared" si="132"/>
        <v>7800</v>
      </c>
      <c r="H510" s="12"/>
      <c r="I510" s="12"/>
      <c r="J510" s="12">
        <f>-111*18</f>
        <v>-1998</v>
      </c>
      <c r="K510" s="12">
        <f t="shared" si="133"/>
        <v>5802</v>
      </c>
      <c r="M510" s="10">
        <v>4</v>
      </c>
      <c r="N510" s="30" t="s">
        <v>67</v>
      </c>
      <c r="O510" s="83">
        <f t="shared" si="137"/>
        <v>11359</v>
      </c>
      <c r="P510" s="32">
        <f>650*3</f>
        <v>1950</v>
      </c>
      <c r="Q510" s="32"/>
      <c r="R510" s="32"/>
      <c r="S510" s="32">
        <f t="shared" si="134"/>
        <v>1950</v>
      </c>
      <c r="T510" s="12"/>
      <c r="U510" s="12"/>
      <c r="V510" s="12"/>
      <c r="W510" s="12">
        <f t="shared" si="135"/>
        <v>1950</v>
      </c>
      <c r="Y510" s="10">
        <v>4</v>
      </c>
      <c r="Z510" s="30" t="s">
        <v>67</v>
      </c>
      <c r="AA510" s="31">
        <v>11305</v>
      </c>
      <c r="AB510" s="33">
        <f>650*6</f>
        <v>3900</v>
      </c>
      <c r="AC510" s="33"/>
      <c r="AD510" s="32"/>
      <c r="AE510" s="32">
        <f>SUM(AB510:AC510)</f>
        <v>3900</v>
      </c>
      <c r="AF510" s="12"/>
      <c r="AG510" s="12">
        <v>4.5</v>
      </c>
      <c r="AH510" s="12"/>
      <c r="AI510" s="12">
        <f>SUM(AE510:AH510)</f>
        <v>3904.5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32"/>
        <v>0</v>
      </c>
      <c r="H511" s="12"/>
      <c r="I511" s="12"/>
      <c r="J511" s="12"/>
      <c r="K511" s="12">
        <f t="shared" si="133"/>
        <v>0</v>
      </c>
      <c r="M511" s="10">
        <v>5</v>
      </c>
      <c r="N511" s="30"/>
      <c r="O511" s="11" t="s">
        <v>27</v>
      </c>
      <c r="P511" s="32"/>
      <c r="Q511" s="32"/>
      <c r="R511" s="32"/>
      <c r="S511" s="32">
        <f t="shared" si="134"/>
        <v>0</v>
      </c>
      <c r="T511" s="12"/>
      <c r="U511" s="12"/>
      <c r="V511" s="12"/>
      <c r="W511" s="12">
        <f t="shared" si="135"/>
        <v>0</v>
      </c>
      <c r="Y511" s="10">
        <v>5</v>
      </c>
      <c r="Z511" s="30" t="s">
        <v>67</v>
      </c>
      <c r="AA511" s="31">
        <f t="shared" si="138"/>
        <v>11306</v>
      </c>
      <c r="AB511" s="32">
        <f>650*20</f>
        <v>13000</v>
      </c>
      <c r="AC511" s="32"/>
      <c r="AD511" s="32"/>
      <c r="AE511" s="32">
        <f>SUM(AB511:AC511)</f>
        <v>13000</v>
      </c>
      <c r="AF511" s="12"/>
      <c r="AH511" s="12"/>
      <c r="AI511" s="12">
        <f>SUM(AE511:AH511)</f>
        <v>13000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31"/>
      <c r="D512" s="32"/>
      <c r="E512" s="32"/>
      <c r="F512" s="32"/>
      <c r="G512" s="32">
        <f t="shared" si="132"/>
        <v>0</v>
      </c>
      <c r="H512" s="12"/>
      <c r="I512" s="12"/>
      <c r="J512" s="12"/>
      <c r="K512" s="12">
        <f t="shared" si="133"/>
        <v>0</v>
      </c>
      <c r="M512" s="10">
        <v>6</v>
      </c>
      <c r="N512" s="30"/>
      <c r="O512" s="83"/>
      <c r="P512" s="32"/>
      <c r="Q512" s="32"/>
      <c r="R512" s="32"/>
      <c r="S512" s="32">
        <f t="shared" si="134"/>
        <v>0</v>
      </c>
      <c r="T512" s="12"/>
      <c r="U512" s="12"/>
      <c r="V512" s="10"/>
      <c r="W512" s="12">
        <f t="shared" si="135"/>
        <v>0</v>
      </c>
      <c r="Y512" s="10">
        <v>6</v>
      </c>
      <c r="Z512" s="30"/>
      <c r="AA512" s="11" t="s">
        <v>27</v>
      </c>
      <c r="AB512" s="32"/>
      <c r="AC512" s="32"/>
      <c r="AD512" s="32"/>
      <c r="AE512" s="32">
        <f>SUM(AB512:AC512)</f>
        <v>0</v>
      </c>
      <c r="AF512" s="12"/>
      <c r="AG512" s="12"/>
      <c r="AH512" s="12"/>
      <c r="AI512" s="12">
        <f>SUM(AE512:AH512)</f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D513" s="32"/>
      <c r="E513" s="32"/>
      <c r="F513" s="32"/>
      <c r="G513" s="32">
        <f t="shared" si="132"/>
        <v>0</v>
      </c>
      <c r="H513" s="12"/>
      <c r="I513" s="12"/>
      <c r="J513" s="12"/>
      <c r="K513" s="12">
        <f t="shared" si="133"/>
        <v>0</v>
      </c>
      <c r="M513" s="10">
        <v>7</v>
      </c>
      <c r="N513" s="30"/>
      <c r="O513" s="11"/>
      <c r="P513" s="32"/>
      <c r="Q513" s="32"/>
      <c r="R513" s="32"/>
      <c r="S513" s="32">
        <f t="shared" si="134"/>
        <v>0</v>
      </c>
      <c r="T513" s="12"/>
      <c r="U513" s="12"/>
      <c r="V513" s="12"/>
      <c r="W513" s="12">
        <f t="shared" si="135"/>
        <v>0</v>
      </c>
      <c r="Y513" s="10">
        <v>7</v>
      </c>
      <c r="Z513" s="30"/>
      <c r="AA513" s="11"/>
      <c r="AB513" s="32"/>
      <c r="AC513" s="32"/>
      <c r="AD513" s="32"/>
      <c r="AE513" s="32">
        <f t="shared" ref="AE513:AE551" si="139">SUM(AB513:AC513)</f>
        <v>0</v>
      </c>
      <c r="AF513" s="12"/>
      <c r="AG513" s="58"/>
      <c r="AH513" s="12"/>
      <c r="AI513" s="12">
        <f t="shared" ref="AI513:AI551" si="140">SUM(AE513:AH513)</f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31"/>
      <c r="D514" s="32"/>
      <c r="E514" s="32"/>
      <c r="F514" s="32"/>
      <c r="G514" s="32">
        <f t="shared" si="132"/>
        <v>0</v>
      </c>
      <c r="H514" s="12"/>
      <c r="I514" s="12"/>
      <c r="J514" s="12"/>
      <c r="K514" s="12">
        <f t="shared" si="133"/>
        <v>0</v>
      </c>
      <c r="M514" s="10">
        <v>8</v>
      </c>
      <c r="N514" s="30"/>
      <c r="O514" s="83"/>
      <c r="P514" s="32"/>
      <c r="Q514" s="32"/>
      <c r="R514" s="32"/>
      <c r="S514" s="32">
        <f t="shared" si="134"/>
        <v>0</v>
      </c>
      <c r="T514" s="12"/>
      <c r="U514" s="12"/>
      <c r="V514" s="12"/>
      <c r="W514" s="12">
        <f t="shared" si="135"/>
        <v>0</v>
      </c>
      <c r="Y514" s="10">
        <v>8</v>
      </c>
      <c r="Z514" s="30"/>
      <c r="AA514" s="31"/>
      <c r="AB514" s="32"/>
      <c r="AC514" s="32"/>
      <c r="AE514" s="32">
        <f t="shared" si="139"/>
        <v>0</v>
      </c>
      <c r="AF514" s="12"/>
      <c r="AG514" s="12"/>
      <c r="AH514" s="12"/>
      <c r="AI514" s="12">
        <f t="shared" si="140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31"/>
      <c r="D515" s="32"/>
      <c r="E515" s="32"/>
      <c r="F515" s="32"/>
      <c r="G515" s="32">
        <f t="shared" si="132"/>
        <v>0</v>
      </c>
      <c r="H515" s="12"/>
      <c r="I515" s="12"/>
      <c r="J515" s="12"/>
      <c r="K515" s="12">
        <f t="shared" si="133"/>
        <v>0</v>
      </c>
      <c r="M515" s="10">
        <v>9</v>
      </c>
      <c r="N515" s="30"/>
      <c r="O515" s="83"/>
      <c r="P515" s="32"/>
      <c r="Q515" s="32"/>
      <c r="R515" s="32"/>
      <c r="S515" s="32">
        <f t="shared" si="134"/>
        <v>0</v>
      </c>
      <c r="T515" s="12"/>
      <c r="U515" s="12"/>
      <c r="V515" s="12"/>
      <c r="W515" s="12">
        <f t="shared" si="135"/>
        <v>0</v>
      </c>
      <c r="Y515" s="10">
        <v>9</v>
      </c>
      <c r="Z515" s="30"/>
      <c r="AA515" s="31"/>
      <c r="AC515" s="32"/>
      <c r="AD515" s="32"/>
      <c r="AE515" s="32">
        <f t="shared" si="139"/>
        <v>0</v>
      </c>
      <c r="AF515" s="12"/>
      <c r="AH515" s="12"/>
      <c r="AI515" s="12">
        <f t="shared" si="140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31"/>
      <c r="D516" s="32"/>
      <c r="E516" s="32"/>
      <c r="F516" s="32"/>
      <c r="G516" s="32">
        <f t="shared" si="132"/>
        <v>0</v>
      </c>
      <c r="H516" s="12"/>
      <c r="I516" s="12"/>
      <c r="J516" s="12"/>
      <c r="K516" s="12">
        <f t="shared" si="133"/>
        <v>0</v>
      </c>
      <c r="M516" s="10">
        <v>10</v>
      </c>
      <c r="N516" s="30"/>
      <c r="O516" s="83"/>
      <c r="P516" s="32"/>
      <c r="Q516" s="32"/>
      <c r="R516" s="32"/>
      <c r="S516" s="32">
        <f t="shared" si="134"/>
        <v>0</v>
      </c>
      <c r="T516" s="12"/>
      <c r="U516" s="12"/>
      <c r="V516" s="12"/>
      <c r="W516" s="12">
        <f t="shared" si="135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39"/>
        <v>0</v>
      </c>
      <c r="AF516" s="12"/>
      <c r="AG516" s="12"/>
      <c r="AH516" s="12"/>
      <c r="AI516" s="12">
        <f t="shared" si="140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31"/>
      <c r="D517" s="32"/>
      <c r="E517" s="32"/>
      <c r="F517" s="32"/>
      <c r="G517" s="32">
        <f t="shared" si="132"/>
        <v>0</v>
      </c>
      <c r="H517" s="12"/>
      <c r="I517" s="12"/>
      <c r="J517" s="12"/>
      <c r="K517" s="12">
        <f t="shared" si="133"/>
        <v>0</v>
      </c>
      <c r="M517" s="10">
        <v>11</v>
      </c>
      <c r="N517" s="30"/>
      <c r="O517" s="83"/>
      <c r="P517" s="32"/>
      <c r="Q517" s="32"/>
      <c r="R517" s="32"/>
      <c r="S517" s="32">
        <f t="shared" si="134"/>
        <v>0</v>
      </c>
      <c r="T517" s="12"/>
      <c r="U517" s="12"/>
      <c r="V517" s="12"/>
      <c r="W517" s="12">
        <f t="shared" si="135"/>
        <v>0</v>
      </c>
      <c r="Y517" s="10">
        <v>11</v>
      </c>
      <c r="Z517" s="30"/>
      <c r="AA517" s="31"/>
      <c r="AB517" s="32"/>
      <c r="AC517" s="32"/>
      <c r="AD517" s="32"/>
      <c r="AE517" s="32">
        <f t="shared" si="139"/>
        <v>0</v>
      </c>
      <c r="AF517" s="12"/>
      <c r="AG517" s="12"/>
      <c r="AH517" s="12"/>
      <c r="AI517" s="12">
        <f t="shared" si="140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31"/>
      <c r="D518" s="32"/>
      <c r="E518" s="32"/>
      <c r="F518" s="32"/>
      <c r="G518" s="32">
        <f t="shared" si="132"/>
        <v>0</v>
      </c>
      <c r="H518" s="12"/>
      <c r="I518" s="12"/>
      <c r="J518" s="10"/>
      <c r="K518" s="12">
        <f t="shared" si="133"/>
        <v>0</v>
      </c>
      <c r="M518" s="10">
        <v>12</v>
      </c>
      <c r="N518" s="30"/>
      <c r="O518" s="83"/>
      <c r="P518" s="32"/>
      <c r="Q518" s="32"/>
      <c r="R518" s="32"/>
      <c r="S518" s="32">
        <f t="shared" si="134"/>
        <v>0</v>
      </c>
      <c r="T518" s="12"/>
      <c r="U518" s="12"/>
      <c r="V518" s="12"/>
      <c r="W518" s="12">
        <f t="shared" si="135"/>
        <v>0</v>
      </c>
      <c r="Y518" s="10">
        <v>12</v>
      </c>
      <c r="Z518" s="30"/>
      <c r="AB518" s="32"/>
      <c r="AC518" s="32"/>
      <c r="AD518" s="32"/>
      <c r="AE518" s="32">
        <f t="shared" si="139"/>
        <v>0</v>
      </c>
      <c r="AF518" s="12"/>
      <c r="AG518" s="12"/>
      <c r="AH518" s="12"/>
      <c r="AI518" s="12">
        <f t="shared" si="140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31"/>
      <c r="D519" s="32"/>
      <c r="E519" s="32"/>
      <c r="F519" s="32"/>
      <c r="G519" s="32">
        <f t="shared" si="132"/>
        <v>0</v>
      </c>
      <c r="H519" s="12"/>
      <c r="I519" s="12"/>
      <c r="J519" s="12"/>
      <c r="K519" s="12">
        <f t="shared" si="133"/>
        <v>0</v>
      </c>
      <c r="M519" s="10">
        <v>13</v>
      </c>
      <c r="N519" s="30"/>
      <c r="O519" s="83"/>
      <c r="P519" s="32"/>
      <c r="Q519" s="32"/>
      <c r="R519" s="32"/>
      <c r="S519" s="32">
        <f t="shared" si="134"/>
        <v>0</v>
      </c>
      <c r="T519" s="12"/>
      <c r="U519" s="12"/>
      <c r="V519" s="12"/>
      <c r="W519" s="12">
        <f t="shared" si="135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39"/>
        <v>0</v>
      </c>
      <c r="AF519" s="12"/>
      <c r="AG519" s="12"/>
      <c r="AH519" s="12"/>
      <c r="AI519" s="12">
        <f t="shared" si="140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31"/>
      <c r="D520" s="32"/>
      <c r="E520" s="32"/>
      <c r="F520" s="32"/>
      <c r="G520" s="32">
        <f t="shared" si="132"/>
        <v>0</v>
      </c>
      <c r="H520" s="12"/>
      <c r="I520" s="12"/>
      <c r="J520" s="12"/>
      <c r="K520" s="12">
        <f t="shared" si="133"/>
        <v>0</v>
      </c>
      <c r="M520" s="10">
        <v>14</v>
      </c>
      <c r="N520" s="30"/>
      <c r="O520" s="83"/>
      <c r="P520" s="32"/>
      <c r="Q520" s="32"/>
      <c r="R520" s="32"/>
      <c r="S520" s="32">
        <f t="shared" si="134"/>
        <v>0</v>
      </c>
      <c r="T520" s="12"/>
      <c r="U520" s="12"/>
      <c r="V520" s="12"/>
      <c r="W520" s="12">
        <f t="shared" si="135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39"/>
        <v>0</v>
      </c>
      <c r="AF520" s="12"/>
      <c r="AG520" s="12"/>
      <c r="AH520" s="12"/>
      <c r="AI520" s="12">
        <f t="shared" si="140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31"/>
      <c r="D521" s="32"/>
      <c r="E521" s="32"/>
      <c r="F521" s="32"/>
      <c r="G521" s="32">
        <f t="shared" si="132"/>
        <v>0</v>
      </c>
      <c r="H521" s="12"/>
      <c r="I521" s="12"/>
      <c r="J521" s="12"/>
      <c r="K521" s="12">
        <f t="shared" si="133"/>
        <v>0</v>
      </c>
      <c r="M521" s="10">
        <v>15</v>
      </c>
      <c r="N521" s="30"/>
      <c r="O521" s="83"/>
      <c r="P521" s="32"/>
      <c r="Q521" s="32"/>
      <c r="R521" s="32"/>
      <c r="S521" s="32">
        <f t="shared" si="134"/>
        <v>0</v>
      </c>
      <c r="T521" s="12"/>
      <c r="U521" s="12"/>
      <c r="V521" s="12"/>
      <c r="W521" s="12">
        <f t="shared" si="135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39"/>
        <v>0</v>
      </c>
      <c r="AF521" s="12"/>
      <c r="AG521" s="12"/>
      <c r="AH521" s="12"/>
      <c r="AI521" s="12">
        <f t="shared" si="140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C522" s="11"/>
      <c r="D522" s="32"/>
      <c r="E522" s="32"/>
      <c r="F522" s="32"/>
      <c r="G522" s="32">
        <f t="shared" si="132"/>
        <v>0</v>
      </c>
      <c r="H522" s="12"/>
      <c r="I522" s="12"/>
      <c r="J522" s="12"/>
      <c r="K522" s="12">
        <f t="shared" si="133"/>
        <v>0</v>
      </c>
      <c r="M522" s="10">
        <v>16</v>
      </c>
      <c r="N522" s="30"/>
      <c r="O522" s="11"/>
      <c r="P522" s="32"/>
      <c r="Q522" s="32"/>
      <c r="R522" s="32"/>
      <c r="S522" s="32">
        <f t="shared" si="134"/>
        <v>0</v>
      </c>
      <c r="T522" s="12"/>
      <c r="U522" s="12"/>
      <c r="V522" s="12"/>
      <c r="W522" s="12">
        <f t="shared" si="135"/>
        <v>0</v>
      </c>
      <c r="Y522" s="10">
        <v>16</v>
      </c>
      <c r="Z522" s="30"/>
      <c r="AA522" s="11"/>
      <c r="AB522" s="32"/>
      <c r="AC522" s="32"/>
      <c r="AD522" s="32"/>
      <c r="AE522" s="32">
        <f t="shared" si="139"/>
        <v>0</v>
      </c>
      <c r="AF522" s="12"/>
      <c r="AG522" s="12"/>
      <c r="AH522" s="12"/>
      <c r="AI522" s="12">
        <f t="shared" si="140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32"/>
        <v>0</v>
      </c>
      <c r="H523" s="12"/>
      <c r="I523" s="12"/>
      <c r="J523" s="12"/>
      <c r="K523" s="12">
        <f t="shared" si="133"/>
        <v>0</v>
      </c>
      <c r="M523" s="10">
        <v>17</v>
      </c>
      <c r="N523" s="30"/>
      <c r="O523" s="31"/>
      <c r="P523" s="35"/>
      <c r="Q523" s="32"/>
      <c r="R523" s="32"/>
      <c r="S523" s="32">
        <f t="shared" si="134"/>
        <v>0</v>
      </c>
      <c r="T523" s="12"/>
      <c r="U523" s="12"/>
      <c r="V523" s="12"/>
      <c r="W523" s="12">
        <f t="shared" si="135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39"/>
        <v>0</v>
      </c>
      <c r="AF523" s="12"/>
      <c r="AG523" s="12"/>
      <c r="AH523" s="12"/>
      <c r="AI523" s="12">
        <f t="shared" si="140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32"/>
        <v>0</v>
      </c>
      <c r="H524" s="12"/>
      <c r="I524" s="12"/>
      <c r="J524" s="12"/>
      <c r="K524" s="12">
        <f t="shared" si="133"/>
        <v>0</v>
      </c>
      <c r="M524" s="10">
        <v>18</v>
      </c>
      <c r="N524" s="30"/>
      <c r="O524" s="31"/>
      <c r="P524" s="32"/>
      <c r="Q524" s="32"/>
      <c r="R524" s="32"/>
      <c r="S524" s="32">
        <f t="shared" si="134"/>
        <v>0</v>
      </c>
      <c r="T524" s="12"/>
      <c r="U524" s="12"/>
      <c r="V524" s="12"/>
      <c r="W524" s="12">
        <f t="shared" si="135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39"/>
        <v>0</v>
      </c>
      <c r="AF524" s="12"/>
      <c r="AG524" s="12"/>
      <c r="AH524" s="12"/>
      <c r="AI524" s="12">
        <f t="shared" si="140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32"/>
        <v>0</v>
      </c>
      <c r="H525" s="12"/>
      <c r="I525" s="12"/>
      <c r="J525" s="12"/>
      <c r="K525" s="12">
        <f t="shared" si="133"/>
        <v>0</v>
      </c>
      <c r="M525" s="10">
        <v>19</v>
      </c>
      <c r="N525" s="30"/>
      <c r="O525" s="31"/>
      <c r="P525" s="32"/>
      <c r="Q525" s="32"/>
      <c r="R525" s="32"/>
      <c r="S525" s="32">
        <f t="shared" si="134"/>
        <v>0</v>
      </c>
      <c r="T525" s="12"/>
      <c r="U525" s="12"/>
      <c r="V525" s="12"/>
      <c r="W525" s="12">
        <f t="shared" si="135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39"/>
        <v>0</v>
      </c>
      <c r="AF525" s="12"/>
      <c r="AG525" s="12"/>
      <c r="AH525" s="12"/>
      <c r="AI525" s="12">
        <f t="shared" si="140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32"/>
        <v>0</v>
      </c>
      <c r="H526" s="12"/>
      <c r="I526" s="12"/>
      <c r="J526" s="12"/>
      <c r="K526" s="12">
        <f t="shared" si="133"/>
        <v>0</v>
      </c>
      <c r="M526" s="10">
        <v>20</v>
      </c>
      <c r="N526" s="30"/>
      <c r="O526" s="31"/>
      <c r="P526" s="32"/>
      <c r="Q526" s="32"/>
      <c r="R526" s="32"/>
      <c r="S526" s="32">
        <f t="shared" si="134"/>
        <v>0</v>
      </c>
      <c r="T526" s="12"/>
      <c r="U526" s="12"/>
      <c r="V526" s="12"/>
      <c r="W526" s="12">
        <f t="shared" si="135"/>
        <v>0</v>
      </c>
      <c r="Y526" s="10">
        <v>20</v>
      </c>
      <c r="Z526" s="30"/>
      <c r="AB526" s="32"/>
      <c r="AC526" s="32"/>
      <c r="AD526" s="32"/>
      <c r="AE526" s="32">
        <f t="shared" si="139"/>
        <v>0</v>
      </c>
      <c r="AF526" s="12"/>
      <c r="AG526" s="12"/>
      <c r="AH526" s="12"/>
      <c r="AI526" s="12">
        <f t="shared" si="140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83"/>
      <c r="D527" s="32"/>
      <c r="E527" s="32"/>
      <c r="F527" s="32"/>
      <c r="G527" s="32">
        <f t="shared" si="132"/>
        <v>0</v>
      </c>
      <c r="H527" s="10"/>
      <c r="I527" s="10"/>
      <c r="J527" s="10"/>
      <c r="K527" s="12">
        <f t="shared" si="133"/>
        <v>0</v>
      </c>
      <c r="M527" s="10">
        <v>21</v>
      </c>
      <c r="N527" s="30"/>
      <c r="O527" s="31"/>
      <c r="P527" s="46"/>
      <c r="Q527" s="31"/>
      <c r="R527" s="31"/>
      <c r="S527" s="32">
        <f t="shared" si="134"/>
        <v>0</v>
      </c>
      <c r="T527" s="10"/>
      <c r="U527" s="10"/>
      <c r="V527" s="10"/>
      <c r="W527" s="12">
        <f t="shared" si="135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39"/>
        <v>0</v>
      </c>
      <c r="AF527" s="10"/>
      <c r="AG527" s="10"/>
      <c r="AH527" s="10"/>
      <c r="AI527" s="12">
        <f t="shared" si="140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32"/>
        <v>0</v>
      </c>
      <c r="H528" s="10"/>
      <c r="I528" s="10"/>
      <c r="J528" s="10"/>
      <c r="K528" s="12">
        <f t="shared" si="133"/>
        <v>0</v>
      </c>
      <c r="M528" s="10">
        <v>22</v>
      </c>
      <c r="N528" s="30"/>
      <c r="O528" s="31"/>
      <c r="P528" s="45"/>
      <c r="Q528" s="31"/>
      <c r="R528" s="31"/>
      <c r="S528" s="32">
        <f t="shared" si="134"/>
        <v>0</v>
      </c>
      <c r="T528" s="10"/>
      <c r="U528" s="10"/>
      <c r="V528" s="10"/>
      <c r="W528" s="12">
        <f t="shared" si="135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39"/>
        <v>0</v>
      </c>
      <c r="AF528" s="10"/>
      <c r="AG528" s="10"/>
      <c r="AH528" s="10"/>
      <c r="AI528" s="12">
        <f t="shared" si="140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32"/>
        <v>0</v>
      </c>
      <c r="H529" s="10"/>
      <c r="I529" s="10"/>
      <c r="J529" s="12"/>
      <c r="K529" s="12">
        <f t="shared" si="133"/>
        <v>0</v>
      </c>
      <c r="M529" s="10">
        <v>23</v>
      </c>
      <c r="N529" s="30"/>
      <c r="O529" s="31"/>
      <c r="P529" s="47"/>
      <c r="S529" s="32">
        <f t="shared" si="134"/>
        <v>0</v>
      </c>
      <c r="T529" s="10"/>
      <c r="U529" s="10"/>
      <c r="V529" s="10"/>
      <c r="W529" s="12">
        <f t="shared" si="135"/>
        <v>0</v>
      </c>
      <c r="Y529" s="10">
        <v>23</v>
      </c>
      <c r="Z529" s="30"/>
      <c r="AA529" s="31"/>
      <c r="AB529" s="47"/>
      <c r="AE529" s="32">
        <f t="shared" si="139"/>
        <v>0</v>
      </c>
      <c r="AF529" s="10"/>
      <c r="AG529" s="10"/>
      <c r="AH529" s="10"/>
      <c r="AI529" s="12">
        <f t="shared" si="140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32"/>
        <v>0</v>
      </c>
      <c r="H530" s="10"/>
      <c r="I530" s="10"/>
      <c r="J530" s="10"/>
      <c r="K530" s="12">
        <f t="shared" si="133"/>
        <v>0</v>
      </c>
      <c r="M530" s="10">
        <v>24</v>
      </c>
      <c r="N530" s="30"/>
      <c r="O530" s="31"/>
      <c r="P530" s="47"/>
      <c r="Q530" s="31"/>
      <c r="R530" s="31"/>
      <c r="S530" s="32">
        <f t="shared" si="134"/>
        <v>0</v>
      </c>
      <c r="T530" s="10"/>
      <c r="U530" s="10"/>
      <c r="V530" s="10"/>
      <c r="W530" s="12">
        <f t="shared" si="135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39"/>
        <v>0</v>
      </c>
      <c r="AF530" s="10"/>
      <c r="AG530" s="10"/>
      <c r="AH530" s="10"/>
      <c r="AI530" s="12">
        <f t="shared" si="140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32"/>
        <v>0</v>
      </c>
      <c r="H531" s="10"/>
      <c r="I531" s="10"/>
      <c r="J531" s="10"/>
      <c r="K531" s="12">
        <f t="shared" si="133"/>
        <v>0</v>
      </c>
      <c r="M531" s="10">
        <v>25</v>
      </c>
      <c r="N531" s="30"/>
      <c r="O531" s="31"/>
      <c r="P531" s="47"/>
      <c r="Q531" s="31"/>
      <c r="R531" s="31"/>
      <c r="S531" s="32">
        <f t="shared" si="134"/>
        <v>0</v>
      </c>
      <c r="T531" s="10"/>
      <c r="U531" s="10"/>
      <c r="V531" s="10"/>
      <c r="W531" s="12">
        <f t="shared" si="135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39"/>
        <v>0</v>
      </c>
      <c r="AF531" s="10"/>
      <c r="AG531" s="10"/>
      <c r="AH531" s="10"/>
      <c r="AI531" s="12">
        <f t="shared" si="140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32"/>
        <v>0</v>
      </c>
      <c r="H532" s="10"/>
      <c r="I532" s="10"/>
      <c r="J532" s="10"/>
      <c r="K532" s="12">
        <f t="shared" si="133"/>
        <v>0</v>
      </c>
      <c r="M532" s="10">
        <v>26</v>
      </c>
      <c r="N532" s="30"/>
      <c r="O532" s="31"/>
      <c r="P532" s="47"/>
      <c r="Q532" s="31"/>
      <c r="R532" s="31"/>
      <c r="S532" s="32">
        <f t="shared" si="134"/>
        <v>0</v>
      </c>
      <c r="T532" s="10"/>
      <c r="U532" s="10"/>
      <c r="V532" s="10"/>
      <c r="W532" s="12">
        <f t="shared" si="135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39"/>
        <v>0</v>
      </c>
      <c r="AF532" s="10"/>
      <c r="AG532" s="10"/>
      <c r="AH532" s="10"/>
      <c r="AI532" s="12">
        <f t="shared" si="140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32"/>
        <v>0</v>
      </c>
      <c r="H533" s="10"/>
      <c r="I533" s="10"/>
      <c r="J533" s="10"/>
      <c r="K533" s="12">
        <f t="shared" si="133"/>
        <v>0</v>
      </c>
      <c r="M533" s="10">
        <v>27</v>
      </c>
      <c r="N533" s="30"/>
      <c r="O533" s="31"/>
      <c r="P533" s="47"/>
      <c r="Q533" s="31"/>
      <c r="R533" s="31"/>
      <c r="S533" s="32">
        <f t="shared" si="134"/>
        <v>0</v>
      </c>
      <c r="T533" s="10"/>
      <c r="U533" s="10"/>
      <c r="V533" s="10"/>
      <c r="W533" s="12">
        <f t="shared" si="135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39"/>
        <v>0</v>
      </c>
      <c r="AF533" s="10"/>
      <c r="AG533" s="10"/>
      <c r="AH533" s="10"/>
      <c r="AI533" s="12">
        <f t="shared" si="140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32"/>
        <v>0</v>
      </c>
      <c r="H534" s="10"/>
      <c r="I534" s="10"/>
      <c r="J534" s="10"/>
      <c r="K534" s="12">
        <f t="shared" si="133"/>
        <v>0</v>
      </c>
      <c r="M534" s="10">
        <v>28</v>
      </c>
      <c r="N534" s="30"/>
      <c r="O534" s="31"/>
      <c r="P534" s="47"/>
      <c r="Q534" s="31"/>
      <c r="R534" s="31"/>
      <c r="S534" s="32">
        <f t="shared" si="134"/>
        <v>0</v>
      </c>
      <c r="T534" s="10"/>
      <c r="U534" s="10"/>
      <c r="V534" s="10"/>
      <c r="W534" s="12">
        <f t="shared" si="135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39"/>
        <v>0</v>
      </c>
      <c r="AF534" s="10"/>
      <c r="AG534" s="10"/>
      <c r="AH534" s="10"/>
      <c r="AI534" s="12">
        <f t="shared" si="140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83"/>
      <c r="D535" s="32"/>
      <c r="E535" s="32"/>
      <c r="F535" s="32"/>
      <c r="G535" s="32">
        <f t="shared" si="132"/>
        <v>0</v>
      </c>
      <c r="H535" s="10"/>
      <c r="I535" s="10"/>
      <c r="J535" s="10"/>
      <c r="K535" s="12">
        <f t="shared" si="133"/>
        <v>0</v>
      </c>
      <c r="M535" s="10">
        <v>29</v>
      </c>
      <c r="N535" s="30"/>
      <c r="O535" s="31"/>
      <c r="P535" s="47"/>
      <c r="Q535" s="31"/>
      <c r="R535" s="31"/>
      <c r="S535" s="32">
        <f t="shared" si="134"/>
        <v>0</v>
      </c>
      <c r="T535" s="10"/>
      <c r="U535" s="10"/>
      <c r="V535" s="10"/>
      <c r="W535" s="12">
        <f t="shared" si="135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39"/>
        <v>0</v>
      </c>
      <c r="AF535" s="10"/>
      <c r="AG535" s="10"/>
      <c r="AH535" s="10"/>
      <c r="AI535" s="12">
        <f t="shared" si="140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32"/>
        <v>0</v>
      </c>
      <c r="H536" s="10"/>
      <c r="I536" s="10"/>
      <c r="J536" s="10"/>
      <c r="K536" s="12">
        <f t="shared" si="133"/>
        <v>0</v>
      </c>
      <c r="M536" s="10">
        <v>30</v>
      </c>
      <c r="N536" s="30"/>
      <c r="O536" s="31"/>
      <c r="P536" s="47"/>
      <c r="Q536" s="31"/>
      <c r="R536" s="31"/>
      <c r="S536" s="32">
        <f t="shared" si="134"/>
        <v>0</v>
      </c>
      <c r="T536" s="10"/>
      <c r="U536" s="10"/>
      <c r="V536" s="10"/>
      <c r="W536" s="12">
        <f t="shared" si="135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39"/>
        <v>0</v>
      </c>
      <c r="AF536" s="10"/>
      <c r="AG536" s="10"/>
      <c r="AH536" s="10"/>
      <c r="AI536" s="12">
        <f t="shared" si="140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32"/>
        <v>0</v>
      </c>
      <c r="H537" s="10"/>
      <c r="I537" s="10"/>
      <c r="J537" s="10"/>
      <c r="K537" s="12">
        <f t="shared" si="133"/>
        <v>0</v>
      </c>
      <c r="M537" s="10">
        <v>31</v>
      </c>
      <c r="N537" s="30"/>
      <c r="O537" s="31"/>
      <c r="P537" s="47"/>
      <c r="Q537" s="31"/>
      <c r="R537" s="31"/>
      <c r="S537" s="32">
        <f t="shared" si="134"/>
        <v>0</v>
      </c>
      <c r="T537" s="10"/>
      <c r="U537" s="10"/>
      <c r="V537" s="10"/>
      <c r="W537" s="12">
        <f t="shared" si="135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39"/>
        <v>0</v>
      </c>
      <c r="AF537" s="10"/>
      <c r="AG537" s="10"/>
      <c r="AH537" s="10"/>
      <c r="AI537" s="12">
        <f t="shared" si="140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32"/>
        <v>0</v>
      </c>
      <c r="H538" s="10"/>
      <c r="I538" s="10"/>
      <c r="J538" s="10"/>
      <c r="K538" s="12">
        <f t="shared" si="133"/>
        <v>0</v>
      </c>
      <c r="M538" s="10">
        <v>32</v>
      </c>
      <c r="N538" s="30"/>
      <c r="O538" s="31"/>
      <c r="P538" s="47"/>
      <c r="Q538" s="31"/>
      <c r="R538" s="31"/>
      <c r="S538" s="32">
        <f t="shared" si="134"/>
        <v>0</v>
      </c>
      <c r="T538" s="10"/>
      <c r="U538" s="10"/>
      <c r="V538" s="10"/>
      <c r="W538" s="12">
        <f t="shared" si="135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39"/>
        <v>0</v>
      </c>
      <c r="AF538" s="10"/>
      <c r="AG538" s="10"/>
      <c r="AH538" s="10"/>
      <c r="AI538" s="12">
        <f t="shared" si="140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32"/>
        <v>0</v>
      </c>
      <c r="H539" s="10"/>
      <c r="I539" s="10"/>
      <c r="J539" s="10"/>
      <c r="K539" s="12">
        <f t="shared" si="133"/>
        <v>0</v>
      </c>
      <c r="M539" s="10">
        <v>33</v>
      </c>
      <c r="N539" s="30"/>
      <c r="O539" s="31"/>
      <c r="P539" s="47"/>
      <c r="Q539" s="31"/>
      <c r="R539" s="31"/>
      <c r="S539" s="32">
        <f t="shared" si="134"/>
        <v>0</v>
      </c>
      <c r="T539" s="10"/>
      <c r="U539" s="10"/>
      <c r="V539" s="10"/>
      <c r="W539" s="12">
        <f t="shared" si="135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39"/>
        <v>0</v>
      </c>
      <c r="AF539" s="10"/>
      <c r="AG539" s="10"/>
      <c r="AH539" s="10"/>
      <c r="AI539" s="12">
        <f t="shared" si="140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32"/>
        <v>0</v>
      </c>
      <c r="H540" s="10"/>
      <c r="I540" s="10"/>
      <c r="J540" s="10"/>
      <c r="K540" s="12">
        <f t="shared" si="133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50" si="141">SUM(P540:Q540)</f>
        <v>0</v>
      </c>
      <c r="T540" s="10"/>
      <c r="U540" s="10"/>
      <c r="V540" s="10"/>
      <c r="W540" s="12">
        <f t="shared" ref="W540:W551" si="142">SUM(S540:V540)</f>
        <v>0</v>
      </c>
      <c r="Y540" s="10">
        <v>34</v>
      </c>
      <c r="Z540" s="30"/>
      <c r="AA540" s="31"/>
      <c r="AB540" s="47"/>
      <c r="AC540" s="31"/>
      <c r="AD540" s="31"/>
      <c r="AE540" s="32">
        <f t="shared" si="139"/>
        <v>0</v>
      </c>
      <c r="AF540" s="10"/>
      <c r="AG540" s="10"/>
      <c r="AH540" s="10"/>
      <c r="AI540" s="12">
        <f t="shared" si="140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41"/>
        <v>0</v>
      </c>
      <c r="T541" s="10"/>
      <c r="U541" s="10"/>
      <c r="V541" s="10"/>
      <c r="W541" s="12">
        <f t="shared" si="142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39"/>
        <v>0</v>
      </c>
      <c r="AF541" s="10"/>
      <c r="AG541" s="10"/>
      <c r="AH541" s="10"/>
      <c r="AI541" s="12">
        <f t="shared" si="140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41"/>
        <v>0</v>
      </c>
      <c r="T542" s="10"/>
      <c r="U542" s="10"/>
      <c r="V542" s="10"/>
      <c r="W542" s="12">
        <f t="shared" si="142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39"/>
        <v>0</v>
      </c>
      <c r="AF542" s="10"/>
      <c r="AG542" s="10"/>
      <c r="AH542" s="10"/>
      <c r="AI542" s="12">
        <f t="shared" si="140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41"/>
        <v>0</v>
      </c>
      <c r="T543" s="10"/>
      <c r="U543" s="10"/>
      <c r="V543" s="10"/>
      <c r="W543" s="12">
        <f t="shared" si="142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39"/>
        <v>0</v>
      </c>
      <c r="AF543" s="10"/>
      <c r="AG543" s="10"/>
      <c r="AH543" s="10"/>
      <c r="AI543" s="12">
        <f t="shared" si="140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41"/>
        <v>0</v>
      </c>
      <c r="T544" s="10"/>
      <c r="U544" s="10"/>
      <c r="V544" s="10"/>
      <c r="W544" s="12">
        <f t="shared" si="142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39"/>
        <v>0</v>
      </c>
      <c r="AF544" s="10"/>
      <c r="AG544" s="10"/>
      <c r="AH544" s="10"/>
      <c r="AI544" s="12">
        <f t="shared" si="140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41"/>
        <v>0</v>
      </c>
      <c r="T545" s="10"/>
      <c r="U545" s="10"/>
      <c r="V545" s="10"/>
      <c r="W545" s="12">
        <f t="shared" si="142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39"/>
        <v>0</v>
      </c>
      <c r="AF545" s="10"/>
      <c r="AG545" s="10"/>
      <c r="AH545" s="10"/>
      <c r="AI545" s="12">
        <f t="shared" si="140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42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40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43">SUM(D547:E547)</f>
        <v>0</v>
      </c>
      <c r="H547" s="10"/>
      <c r="I547" s="10"/>
      <c r="J547" s="10"/>
      <c r="K547" s="12">
        <f t="shared" ref="K547" si="144">SUM(G547:J547)</f>
        <v>0</v>
      </c>
      <c r="M547" s="10"/>
      <c r="N547" s="30"/>
      <c r="O547" s="31"/>
      <c r="P547" s="47"/>
      <c r="Q547" s="31"/>
      <c r="R547" s="31"/>
      <c r="S547" s="32">
        <f t="shared" ref="S547" si="145">SUM(P547:Q547)</f>
        <v>0</v>
      </c>
      <c r="T547" s="10"/>
      <c r="U547" s="10"/>
      <c r="V547" s="10"/>
      <c r="W547" s="12">
        <f t="shared" si="142"/>
        <v>0</v>
      </c>
      <c r="Y547" s="10"/>
      <c r="Z547" s="30"/>
      <c r="AA547" s="31"/>
      <c r="AB547" s="47"/>
      <c r="AC547" s="31"/>
      <c r="AD547" s="31"/>
      <c r="AE547" s="32">
        <f t="shared" ref="AE547" si="146">SUM(AB547:AC547)</f>
        <v>0</v>
      </c>
      <c r="AF547" s="10"/>
      <c r="AG547" s="10"/>
      <c r="AH547" s="10"/>
      <c r="AI547" s="12">
        <f t="shared" si="140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42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40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224967</v>
      </c>
      <c r="E550" s="38">
        <f t="shared" ref="E550:G550" si="147">SUM(E507:E547)</f>
        <v>-1404</v>
      </c>
      <c r="F550" s="38">
        <f t="shared" si="147"/>
        <v>0</v>
      </c>
      <c r="G550" s="38">
        <f>SUM(G507:G549)</f>
        <v>223563</v>
      </c>
      <c r="H550" s="4"/>
      <c r="I550" s="39">
        <f>SUM(I507:I549)</f>
        <v>513</v>
      </c>
      <c r="J550" s="39">
        <f>SUM(J507:J549)</f>
        <v>-2098.5</v>
      </c>
      <c r="K550" s="40">
        <f>SUM(K507:K549)</f>
        <v>221977.5</v>
      </c>
      <c r="N550" s="57"/>
      <c r="O550" s="57"/>
      <c r="P550" s="38">
        <f>SUM(P507:P549)</f>
        <v>207502</v>
      </c>
      <c r="Q550" s="38">
        <f>SUM(Q507:Q531)</f>
        <v>-1296</v>
      </c>
      <c r="R550" s="38">
        <f>SUM(R507:R531)</f>
        <v>0</v>
      </c>
      <c r="S550" s="38">
        <f>SUM(S507:S549)</f>
        <v>206206</v>
      </c>
      <c r="T550" s="4"/>
      <c r="U550" s="41">
        <f>SUM(U507:U549)</f>
        <v>573</v>
      </c>
      <c r="V550" s="41">
        <f>SUM(V507:V531)</f>
        <v>-2418</v>
      </c>
      <c r="W550" s="42">
        <f>SUM(W507:W549)</f>
        <v>204361</v>
      </c>
      <c r="Z550" s="57"/>
      <c r="AA550" s="57"/>
      <c r="AB550" s="38">
        <f>SUM(AB507:AB549)</f>
        <v>192310</v>
      </c>
      <c r="AC550" s="38">
        <f>SUM(AC507:AC531)</f>
        <v>-1446</v>
      </c>
      <c r="AD550" s="38">
        <f>SUM(AD507:AD531)</f>
        <v>0</v>
      </c>
      <c r="AE550" s="38">
        <f>SUM(AE507:AE549)</f>
        <v>190864</v>
      </c>
      <c r="AF550" s="4"/>
      <c r="AG550" s="41">
        <f>SUM(AG507:AG549)</f>
        <v>148.5</v>
      </c>
      <c r="AH550" s="41">
        <f>SUM(AH507:AH531)</f>
        <v>-999</v>
      </c>
      <c r="AI550" s="42">
        <f>SUM(AI507:AI549)</f>
        <v>190013.5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7"/>
      <c r="C552" s="87"/>
      <c r="D552" s="87"/>
      <c r="E552" s="87"/>
      <c r="F552" s="87"/>
      <c r="G552" s="87"/>
      <c r="H552" s="62"/>
      <c r="I552" s="62"/>
      <c r="J552" s="62"/>
      <c r="K552" s="62"/>
      <c r="L552" s="62"/>
      <c r="M552" s="62"/>
      <c r="N552" s="87"/>
      <c r="O552" s="87"/>
      <c r="P552" s="87"/>
      <c r="Q552" s="87"/>
      <c r="R552" s="87"/>
      <c r="S552" s="87"/>
      <c r="T552" s="62"/>
      <c r="U552" s="62"/>
      <c r="V552" s="62"/>
      <c r="W552" s="62"/>
      <c r="X552" s="62"/>
      <c r="Y552" s="62"/>
      <c r="Z552" s="87"/>
      <c r="AA552" s="87"/>
      <c r="AB552" s="87"/>
      <c r="AC552" s="87"/>
      <c r="AD552" s="87"/>
      <c r="AE552" s="87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7"/>
      <c r="C553" s="87"/>
      <c r="D553" s="87"/>
      <c r="E553" s="87"/>
      <c r="F553" s="87"/>
      <c r="G553" s="87"/>
      <c r="H553" s="62"/>
      <c r="I553" s="62"/>
      <c r="J553" s="62"/>
      <c r="K553" s="62"/>
      <c r="L553" s="62"/>
      <c r="M553" s="62"/>
      <c r="N553" s="87"/>
      <c r="O553" s="87"/>
      <c r="P553" s="87"/>
      <c r="Q553" s="87"/>
      <c r="R553" s="87"/>
      <c r="S553" s="87"/>
      <c r="T553" s="62"/>
      <c r="U553" s="62"/>
      <c r="V553" s="62"/>
      <c r="W553" s="62"/>
      <c r="X553" s="62"/>
      <c r="Y553" s="62"/>
      <c r="Z553" s="87"/>
      <c r="AA553" s="87"/>
      <c r="AB553" s="87"/>
      <c r="AC553" s="87"/>
      <c r="AD553" s="87"/>
      <c r="AE553" s="87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7"/>
      <c r="C554" s="87"/>
      <c r="D554" s="87"/>
      <c r="E554" s="87"/>
      <c r="F554" s="87"/>
      <c r="G554" s="87"/>
      <c r="H554" s="62"/>
      <c r="I554" s="62"/>
      <c r="J554" s="62"/>
      <c r="K554" s="62"/>
      <c r="L554" s="62"/>
      <c r="M554" s="62"/>
      <c r="N554" s="87"/>
      <c r="O554" s="87"/>
      <c r="P554" s="87"/>
      <c r="Q554" s="87"/>
      <c r="R554" s="87"/>
      <c r="S554" s="87"/>
      <c r="T554" s="62"/>
      <c r="U554" s="62"/>
      <c r="V554" s="62"/>
      <c r="W554" s="62"/>
      <c r="X554" s="62"/>
      <c r="Y554" s="62"/>
      <c r="Z554" s="87"/>
      <c r="AA554" s="87"/>
      <c r="AB554" s="87"/>
      <c r="AC554" s="87"/>
      <c r="AD554" s="87"/>
      <c r="AE554" s="87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7"/>
      <c r="C555" s="87"/>
      <c r="D555" s="87"/>
      <c r="E555" s="87"/>
      <c r="F555" s="87"/>
      <c r="G555" s="87"/>
      <c r="H555" s="62"/>
      <c r="I555" s="62"/>
      <c r="J555" s="62"/>
      <c r="K555" s="62"/>
      <c r="L555" s="62"/>
      <c r="M555" s="63"/>
      <c r="N555" s="87"/>
      <c r="O555" s="87"/>
      <c r="P555" s="87"/>
      <c r="Q555" s="87"/>
      <c r="R555" s="87"/>
      <c r="S555" s="87"/>
      <c r="T555" s="62"/>
      <c r="U555" s="62"/>
      <c r="V555" s="62"/>
      <c r="W555" s="62"/>
      <c r="X555" s="62"/>
      <c r="Y555" s="63"/>
      <c r="Z555" s="87"/>
      <c r="AA555" s="87"/>
      <c r="AB555" s="87"/>
      <c r="AC555" s="87"/>
      <c r="AD555" s="87"/>
      <c r="AE555" s="87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7"/>
      <c r="C556" s="87"/>
      <c r="D556" s="87"/>
      <c r="E556" s="87"/>
      <c r="F556" s="87"/>
      <c r="G556" s="87"/>
      <c r="H556" s="62"/>
      <c r="I556" s="62"/>
      <c r="J556" s="62"/>
      <c r="K556" s="62"/>
      <c r="L556" s="62"/>
      <c r="M556" s="62"/>
      <c r="N556" s="87"/>
      <c r="O556" s="87"/>
      <c r="P556" s="87"/>
      <c r="Q556" s="87"/>
      <c r="R556" s="87"/>
      <c r="S556" s="87"/>
      <c r="T556" s="62"/>
      <c r="U556" s="62"/>
      <c r="V556" s="62"/>
      <c r="W556" s="62"/>
      <c r="X556" s="62"/>
      <c r="Y556" s="62"/>
      <c r="Z556" s="87"/>
      <c r="AA556" s="87"/>
      <c r="AB556" s="87"/>
      <c r="AC556" s="87"/>
      <c r="AD556" s="87"/>
      <c r="AE556" s="87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7"/>
      <c r="C557" s="87"/>
      <c r="D557" s="87"/>
      <c r="E557" s="87"/>
      <c r="F557" s="87"/>
      <c r="G557" s="87"/>
      <c r="H557" s="62"/>
      <c r="I557" s="87"/>
      <c r="J557" s="73"/>
      <c r="K557" s="62"/>
      <c r="L557" s="62"/>
      <c r="M557" s="62"/>
      <c r="N557" s="87"/>
      <c r="O557" s="87"/>
      <c r="P557" s="87"/>
      <c r="Q557" s="87"/>
      <c r="R557" s="87"/>
      <c r="S557" s="87"/>
      <c r="T557" s="62"/>
      <c r="U557" s="87"/>
      <c r="V557" s="73"/>
      <c r="W557" s="62"/>
      <c r="X557" s="62"/>
      <c r="Y557" s="62"/>
      <c r="Z557" s="87"/>
      <c r="AA557" s="87"/>
      <c r="AB557" s="87"/>
      <c r="AC557" s="87"/>
      <c r="AD557" s="87"/>
      <c r="AE557" s="87"/>
      <c r="AF557" s="62"/>
      <c r="AG557" s="87"/>
      <c r="AH557" s="87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7"/>
      <c r="C558" s="87"/>
      <c r="D558" s="87"/>
      <c r="E558" s="87"/>
      <c r="F558" s="87"/>
      <c r="G558" s="87"/>
      <c r="H558" s="62"/>
      <c r="I558" s="65"/>
      <c r="J558" s="65"/>
      <c r="K558" s="62"/>
      <c r="L558" s="62"/>
      <c r="M558" s="64"/>
      <c r="N558" s="87"/>
      <c r="O558" s="87"/>
      <c r="P558" s="87"/>
      <c r="Q558" s="87"/>
      <c r="R558" s="87"/>
      <c r="S558" s="87"/>
      <c r="T558" s="62"/>
      <c r="U558" s="65"/>
      <c r="V558" s="65"/>
      <c r="W558" s="62"/>
      <c r="X558" s="62"/>
      <c r="Y558" s="64"/>
      <c r="Z558" s="87"/>
      <c r="AA558" s="87"/>
      <c r="AB558" s="87"/>
      <c r="AC558" s="87"/>
      <c r="AD558" s="87"/>
      <c r="AE558" s="87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ht="15" customHeight="1" x14ac:dyDescent="0.25">
      <c r="A559" s="62"/>
      <c r="B559" s="87"/>
      <c r="C559" s="87"/>
      <c r="D559" s="87"/>
      <c r="E559" s="87"/>
      <c r="F559" s="87"/>
      <c r="G559" s="87"/>
      <c r="H559" s="62"/>
      <c r="I559" s="62"/>
      <c r="J559" s="62"/>
      <c r="K559" s="62"/>
      <c r="L559" s="62"/>
      <c r="M559" s="62"/>
      <c r="N559" s="87"/>
      <c r="O559" s="87"/>
      <c r="P559" s="87"/>
      <c r="Q559" s="87"/>
      <c r="R559" s="87"/>
      <c r="S559" s="87"/>
      <c r="T559" s="62"/>
      <c r="U559" s="62"/>
      <c r="V559" s="62"/>
      <c r="W559" s="62"/>
      <c r="X559" s="62"/>
      <c r="Y559" s="62"/>
      <c r="Z559" s="87"/>
      <c r="AA559" s="87"/>
      <c r="AB559" s="87"/>
      <c r="AC559" s="87"/>
      <c r="AD559" s="87"/>
      <c r="AE559" s="87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x14ac:dyDescent="0.25">
      <c r="A560" s="62"/>
      <c r="B560" s="65"/>
      <c r="C560" s="87"/>
      <c r="D560" s="108"/>
      <c r="E560" s="108"/>
      <c r="F560" s="87"/>
      <c r="G560" s="87"/>
      <c r="H560" s="62"/>
      <c r="I560" s="108"/>
      <c r="J560" s="108"/>
      <c r="K560" s="109"/>
      <c r="L560" s="62"/>
      <c r="M560" s="62"/>
      <c r="N560" s="65"/>
      <c r="O560" s="87"/>
      <c r="P560" s="108"/>
      <c r="Q560" s="108"/>
      <c r="R560" s="87"/>
      <c r="S560" s="87"/>
      <c r="T560" s="62"/>
      <c r="U560" s="108"/>
      <c r="V560" s="108"/>
      <c r="W560" s="109"/>
      <c r="X560" s="62"/>
      <c r="Y560" s="62"/>
      <c r="Z560" s="65"/>
      <c r="AA560" s="87"/>
      <c r="AB560" s="108"/>
      <c r="AC560" s="108"/>
      <c r="AD560" s="87"/>
      <c r="AE560" s="87"/>
      <c r="AF560" s="62"/>
      <c r="AG560" s="108"/>
      <c r="AH560" s="108"/>
      <c r="AI560" s="109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87"/>
      <c r="C561" s="87"/>
      <c r="D561" s="79"/>
      <c r="E561" s="80"/>
      <c r="F561" s="81"/>
      <c r="G561" s="81"/>
      <c r="H561" s="62"/>
      <c r="I561" s="88"/>
      <c r="J561" s="88"/>
      <c r="K561" s="109"/>
      <c r="L561" s="62"/>
      <c r="M561" s="62"/>
      <c r="N561" s="87"/>
      <c r="O561" s="87"/>
      <c r="P561" s="79"/>
      <c r="Q561" s="81"/>
      <c r="R561" s="81"/>
      <c r="S561" s="81"/>
      <c r="T561" s="62"/>
      <c r="U561" s="88"/>
      <c r="V561" s="88"/>
      <c r="W561" s="109"/>
      <c r="X561" s="62"/>
      <c r="Y561" s="62"/>
      <c r="Z561" s="87"/>
      <c r="AA561" s="87"/>
      <c r="AB561" s="79"/>
      <c r="AC561" s="81"/>
      <c r="AD561" s="81"/>
      <c r="AE561" s="81"/>
      <c r="AF561" s="62"/>
      <c r="AG561" s="88"/>
      <c r="AH561" s="88"/>
      <c r="AI561" s="109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87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87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87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87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87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87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65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87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65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87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87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87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87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7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62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87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62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65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7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87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87"/>
      <c r="AB570" s="60"/>
      <c r="AC570" s="60"/>
      <c r="AD570" s="60"/>
      <c r="AE570" s="60"/>
      <c r="AF570" s="61"/>
      <c r="AG570" s="62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87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62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87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87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87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87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7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87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87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87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87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87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87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65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87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87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87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87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87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87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87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87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87"/>
      <c r="P582" s="67"/>
      <c r="Q582" s="87"/>
      <c r="R582" s="87"/>
      <c r="S582" s="60"/>
      <c r="T582" s="62"/>
      <c r="U582" s="62"/>
      <c r="V582" s="62"/>
      <c r="W582" s="61"/>
      <c r="X582" s="62"/>
      <c r="Y582" s="62"/>
      <c r="Z582" s="66"/>
      <c r="AA582" s="87"/>
      <c r="AB582" s="67"/>
      <c r="AC582" s="87"/>
      <c r="AD582" s="87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87"/>
      <c r="P583" s="68"/>
      <c r="Q583" s="87"/>
      <c r="R583" s="87"/>
      <c r="S583" s="60"/>
      <c r="T583" s="62"/>
      <c r="U583" s="62"/>
      <c r="V583" s="62"/>
      <c r="W583" s="61"/>
      <c r="X583" s="62"/>
      <c r="Y583" s="62"/>
      <c r="Z583" s="66"/>
      <c r="AA583" s="87"/>
      <c r="AB583" s="68"/>
      <c r="AC583" s="87"/>
      <c r="AD583" s="87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87"/>
      <c r="P584" s="69"/>
      <c r="Q584" s="87"/>
      <c r="R584" s="62"/>
      <c r="S584" s="60"/>
      <c r="T584" s="62"/>
      <c r="U584" s="62"/>
      <c r="V584" s="62"/>
      <c r="W584" s="61"/>
      <c r="X584" s="62"/>
      <c r="Y584" s="62"/>
      <c r="Z584" s="66"/>
      <c r="AA584" s="87"/>
      <c r="AB584" s="69"/>
      <c r="AC584" s="62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87"/>
      <c r="P585" s="69"/>
      <c r="Q585" s="87"/>
      <c r="R585" s="87"/>
      <c r="S585" s="60"/>
      <c r="T585" s="62"/>
      <c r="U585" s="62"/>
      <c r="V585" s="62"/>
      <c r="W585" s="61"/>
      <c r="X585" s="62"/>
      <c r="Y585" s="62"/>
      <c r="Z585" s="66"/>
      <c r="AA585" s="87"/>
      <c r="AB585" s="69"/>
      <c r="AC585" s="87"/>
      <c r="AD585" s="87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4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87"/>
      <c r="P586" s="69"/>
      <c r="Q586" s="87"/>
      <c r="R586" s="87"/>
      <c r="S586" s="60"/>
      <c r="T586" s="62"/>
      <c r="U586" s="62"/>
      <c r="V586" s="62"/>
      <c r="W586" s="61"/>
      <c r="X586" s="62"/>
      <c r="Y586" s="62"/>
      <c r="Z586" s="66"/>
      <c r="AA586" s="87"/>
      <c r="AB586" s="69"/>
      <c r="AC586" s="87"/>
      <c r="AD586" s="87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87"/>
      <c r="P587" s="69"/>
      <c r="Q587" s="87"/>
      <c r="R587" s="87"/>
      <c r="S587" s="60"/>
      <c r="T587" s="62"/>
      <c r="U587" s="62"/>
      <c r="V587" s="62"/>
      <c r="W587" s="61"/>
      <c r="X587" s="62"/>
      <c r="Y587" s="62"/>
      <c r="Z587" s="66"/>
      <c r="AA587" s="87"/>
      <c r="AB587" s="69"/>
      <c r="AC587" s="87"/>
      <c r="AD587" s="87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87"/>
      <c r="P588" s="69"/>
      <c r="Q588" s="87"/>
      <c r="R588" s="87"/>
      <c r="S588" s="60"/>
      <c r="T588" s="62"/>
      <c r="U588" s="62"/>
      <c r="V588" s="62"/>
      <c r="W588" s="61"/>
      <c r="X588" s="62"/>
      <c r="Y588" s="62"/>
      <c r="Z588" s="66"/>
      <c r="AA588" s="87"/>
      <c r="AB588" s="69"/>
      <c r="AC588" s="87"/>
      <c r="AD588" s="87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87"/>
      <c r="P589" s="69"/>
      <c r="Q589" s="87"/>
      <c r="R589" s="87"/>
      <c r="S589" s="60"/>
      <c r="T589" s="62"/>
      <c r="U589" s="62"/>
      <c r="V589" s="62"/>
      <c r="W589" s="61"/>
      <c r="X589" s="62"/>
      <c r="Y589" s="62"/>
      <c r="Z589" s="66"/>
      <c r="AA589" s="87"/>
      <c r="AB589" s="69"/>
      <c r="AC589" s="87"/>
      <c r="AD589" s="87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87"/>
      <c r="P590" s="69"/>
      <c r="Q590" s="87"/>
      <c r="R590" s="87"/>
      <c r="S590" s="60"/>
      <c r="T590" s="62"/>
      <c r="U590" s="62"/>
      <c r="V590" s="62"/>
      <c r="W590" s="61"/>
      <c r="X590" s="62"/>
      <c r="Y590" s="62"/>
      <c r="Z590" s="66"/>
      <c r="AA590" s="87"/>
      <c r="AB590" s="69"/>
      <c r="AC590" s="87"/>
      <c r="AD590" s="87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87"/>
      <c r="P591" s="69"/>
      <c r="Q591" s="87"/>
      <c r="R591" s="87"/>
      <c r="S591" s="60"/>
      <c r="T591" s="62"/>
      <c r="U591" s="62"/>
      <c r="V591" s="62"/>
      <c r="W591" s="61"/>
      <c r="X591" s="62"/>
      <c r="Y591" s="62"/>
      <c r="Z591" s="66"/>
      <c r="AA591" s="87"/>
      <c r="AB591" s="69"/>
      <c r="AC591" s="87"/>
      <c r="AD591" s="87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87"/>
      <c r="P592" s="69"/>
      <c r="Q592" s="87"/>
      <c r="R592" s="87"/>
      <c r="S592" s="60"/>
      <c r="T592" s="62"/>
      <c r="U592" s="62"/>
      <c r="V592" s="62"/>
      <c r="W592" s="61"/>
      <c r="X592" s="62"/>
      <c r="Y592" s="62"/>
      <c r="Z592" s="66"/>
      <c r="AA592" s="87"/>
      <c r="AB592" s="69"/>
      <c r="AC592" s="87"/>
      <c r="AD592" s="87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87"/>
      <c r="P593" s="69"/>
      <c r="Q593" s="87"/>
      <c r="R593" s="87"/>
      <c r="S593" s="60"/>
      <c r="T593" s="62"/>
      <c r="U593" s="62"/>
      <c r="V593" s="62"/>
      <c r="W593" s="61"/>
      <c r="X593" s="62"/>
      <c r="Y593" s="62"/>
      <c r="Z593" s="66"/>
      <c r="AA593" s="87"/>
      <c r="AB593" s="69"/>
      <c r="AC593" s="87"/>
      <c r="AD593" s="87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87"/>
      <c r="P594" s="69"/>
      <c r="Q594" s="87"/>
      <c r="R594" s="87"/>
      <c r="S594" s="60"/>
      <c r="T594" s="62"/>
      <c r="U594" s="62"/>
      <c r="V594" s="62"/>
      <c r="W594" s="61"/>
      <c r="X594" s="62"/>
      <c r="Y594" s="62"/>
      <c r="Z594" s="66"/>
      <c r="AA594" s="87"/>
      <c r="AB594" s="69"/>
      <c r="AC594" s="87"/>
      <c r="AD594" s="87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87"/>
      <c r="P595" s="69"/>
      <c r="Q595" s="87"/>
      <c r="R595" s="87"/>
      <c r="S595" s="60"/>
      <c r="T595" s="62"/>
      <c r="U595" s="62"/>
      <c r="V595" s="62"/>
      <c r="W595" s="61"/>
      <c r="X595" s="62"/>
      <c r="Y595" s="62"/>
      <c r="Z595" s="66"/>
      <c r="AA595" s="87"/>
      <c r="AB595" s="69"/>
      <c r="AC595" s="87"/>
      <c r="AD595" s="87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87"/>
      <c r="P596" s="69"/>
      <c r="Q596" s="87"/>
      <c r="R596" s="87"/>
      <c r="S596" s="60"/>
      <c r="T596" s="62"/>
      <c r="U596" s="62"/>
      <c r="V596" s="62"/>
      <c r="W596" s="61"/>
      <c r="X596" s="62"/>
      <c r="Y596" s="62"/>
      <c r="Z596" s="66"/>
      <c r="AA596" s="87"/>
      <c r="AB596" s="69"/>
      <c r="AC596" s="87"/>
      <c r="AD596" s="87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87"/>
      <c r="P597" s="69"/>
      <c r="Q597" s="87"/>
      <c r="R597" s="87"/>
      <c r="S597" s="60"/>
      <c r="T597" s="62"/>
      <c r="U597" s="62"/>
      <c r="V597" s="62"/>
      <c r="W597" s="61"/>
      <c r="X597" s="62"/>
      <c r="Y597" s="62"/>
      <c r="Z597" s="66"/>
      <c r="AA597" s="87"/>
      <c r="AB597" s="69"/>
      <c r="AC597" s="87"/>
      <c r="AD597" s="87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7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87"/>
      <c r="R598" s="87"/>
      <c r="S598" s="60"/>
      <c r="T598" s="62"/>
      <c r="U598" s="62"/>
      <c r="V598" s="62"/>
      <c r="W598" s="61"/>
      <c r="X598" s="62"/>
      <c r="Y598" s="62"/>
      <c r="Z598" s="66"/>
      <c r="AA598" s="87"/>
      <c r="AB598" s="69"/>
      <c r="AC598" s="87"/>
      <c r="AD598" s="87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7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87"/>
      <c r="P599" s="69"/>
      <c r="Q599" s="87"/>
      <c r="R599" s="87"/>
      <c r="S599" s="60"/>
      <c r="T599" s="62"/>
      <c r="U599" s="62"/>
      <c r="V599" s="62"/>
      <c r="W599" s="61"/>
      <c r="X599" s="62"/>
      <c r="Y599" s="62"/>
      <c r="Z599" s="66"/>
      <c r="AA599" s="87"/>
      <c r="AB599" s="69"/>
      <c r="AC599" s="87"/>
      <c r="AD599" s="87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7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87"/>
      <c r="P600" s="69"/>
      <c r="Q600" s="87"/>
      <c r="R600" s="87"/>
      <c r="S600" s="60"/>
      <c r="T600" s="62"/>
      <c r="U600" s="62"/>
      <c r="V600" s="62"/>
      <c r="W600" s="61"/>
      <c r="X600" s="62"/>
      <c r="Y600" s="62"/>
      <c r="Z600" s="66"/>
      <c r="AA600" s="87"/>
      <c r="AB600" s="69"/>
      <c r="AC600" s="87"/>
      <c r="AD600" s="87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7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87"/>
      <c r="R601" s="87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87"/>
      <c r="AD601" s="87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7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87"/>
      <c r="P602" s="69"/>
      <c r="Q602" s="87"/>
      <c r="R602" s="87"/>
      <c r="S602" s="60"/>
      <c r="T602" s="62"/>
      <c r="U602" s="62"/>
      <c r="V602" s="62"/>
      <c r="W602" s="61"/>
      <c r="X602" s="62"/>
      <c r="Y602" s="62"/>
      <c r="Z602" s="66"/>
      <c r="AA602" s="87"/>
      <c r="AB602" s="69"/>
      <c r="AC602" s="87"/>
      <c r="AD602" s="87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87"/>
      <c r="O603" s="87"/>
      <c r="P603" s="87"/>
      <c r="Q603" s="87"/>
      <c r="R603" s="87"/>
      <c r="S603" s="87"/>
      <c r="T603" s="62"/>
      <c r="U603" s="62"/>
      <c r="V603" s="62"/>
      <c r="W603" s="61"/>
      <c r="X603" s="62"/>
      <c r="Y603" s="62"/>
      <c r="Z603" s="87"/>
      <c r="AA603" s="87"/>
      <c r="AB603" s="87"/>
      <c r="AC603" s="87"/>
      <c r="AD603" s="87"/>
      <c r="AE603" s="87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7"/>
      <c r="C604" s="87"/>
      <c r="D604" s="87"/>
      <c r="E604" s="87"/>
      <c r="F604" s="87"/>
      <c r="G604" s="87"/>
      <c r="H604" s="62"/>
      <c r="I604" s="62"/>
      <c r="J604" s="62"/>
      <c r="K604" s="62"/>
      <c r="L604" s="62"/>
      <c r="M604" s="62"/>
      <c r="N604" s="87"/>
      <c r="O604" s="87"/>
      <c r="P604" s="87"/>
      <c r="Q604" s="87"/>
      <c r="R604" s="87"/>
      <c r="S604" s="87"/>
      <c r="T604" s="62"/>
      <c r="U604" s="62"/>
      <c r="V604" s="62"/>
      <c r="W604" s="62"/>
      <c r="X604" s="62"/>
      <c r="Y604" s="62"/>
      <c r="Z604" s="87"/>
      <c r="AA604" s="87"/>
      <c r="AB604" s="87"/>
      <c r="AC604" s="87"/>
      <c r="AD604" s="87"/>
      <c r="AE604" s="87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7"/>
      <c r="C605" s="87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87"/>
      <c r="O605" s="87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87"/>
      <c r="AA605" s="87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87"/>
      <c r="C607" s="87"/>
      <c r="D607" s="87"/>
      <c r="E607" s="87"/>
      <c r="F607" s="87"/>
      <c r="G607" s="87"/>
      <c r="H607" s="62"/>
      <c r="I607" s="62"/>
      <c r="J607" s="62"/>
      <c r="K607" s="62"/>
      <c r="L607" s="62"/>
      <c r="M607" s="62"/>
      <c r="N607" s="87"/>
      <c r="O607" s="87"/>
      <c r="P607" s="87"/>
      <c r="Q607" s="87"/>
      <c r="R607" s="87"/>
      <c r="S607" s="87"/>
      <c r="T607" s="62"/>
      <c r="U607" s="62"/>
      <c r="V607" s="62"/>
      <c r="W607" s="62"/>
      <c r="X607" s="62"/>
      <c r="Y607" s="62"/>
      <c r="Z607" s="87"/>
      <c r="AA607" s="87"/>
      <c r="AB607" s="87"/>
      <c r="AC607" s="87"/>
      <c r="AD607" s="87"/>
      <c r="AE607" s="87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87"/>
      <c r="C608" s="87"/>
      <c r="D608" s="87"/>
      <c r="E608" s="87"/>
      <c r="F608" s="87"/>
      <c r="G608" s="87"/>
      <c r="H608" s="62"/>
      <c r="I608" s="62"/>
      <c r="J608" s="62"/>
      <c r="K608" s="62"/>
      <c r="L608" s="62"/>
      <c r="M608" s="62"/>
      <c r="N608" s="87"/>
      <c r="O608" s="87"/>
      <c r="P608" s="87"/>
      <c r="Q608" s="87"/>
      <c r="R608" s="87"/>
      <c r="S608" s="87"/>
      <c r="T608" s="62"/>
      <c r="U608" s="62"/>
      <c r="V608" s="62"/>
      <c r="W608" s="62"/>
      <c r="X608" s="62"/>
      <c r="Y608" s="62"/>
      <c r="Z608" s="87"/>
      <c r="AA608" s="87"/>
      <c r="AB608" s="87"/>
      <c r="AC608" s="87"/>
      <c r="AD608" s="87"/>
      <c r="AE608" s="87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87"/>
      <c r="C609" s="87"/>
      <c r="D609" s="87"/>
      <c r="E609" s="87"/>
      <c r="F609" s="87"/>
      <c r="G609" s="87"/>
      <c r="H609" s="62"/>
      <c r="I609" s="62"/>
      <c r="J609" s="62"/>
      <c r="K609" s="62"/>
      <c r="L609" s="62"/>
      <c r="M609" s="62"/>
      <c r="N609" s="87"/>
      <c r="O609" s="87"/>
      <c r="P609" s="87"/>
      <c r="Q609" s="87"/>
      <c r="R609" s="87"/>
      <c r="S609" s="87"/>
      <c r="T609" s="62"/>
      <c r="U609" s="62"/>
      <c r="V609" s="62"/>
      <c r="W609" s="62"/>
      <c r="X609" s="62"/>
      <c r="Y609" s="62"/>
      <c r="Z609" s="87"/>
      <c r="AA609" s="87"/>
      <c r="AB609" s="87"/>
      <c r="AC609" s="87"/>
      <c r="AD609" s="87"/>
      <c r="AE609" s="87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87"/>
      <c r="C610" s="87"/>
      <c r="D610" s="87"/>
      <c r="E610" s="87"/>
      <c r="F610" s="87"/>
      <c r="G610" s="87"/>
      <c r="H610" s="62"/>
      <c r="I610" s="62"/>
      <c r="J610" s="62"/>
      <c r="K610" s="62"/>
      <c r="L610" s="62"/>
      <c r="M610" s="63"/>
      <c r="N610" s="87"/>
      <c r="O610" s="87"/>
      <c r="P610" s="87"/>
      <c r="Q610" s="87"/>
      <c r="R610" s="87"/>
      <c r="S610" s="87"/>
      <c r="T610" s="62"/>
      <c r="U610" s="62"/>
      <c r="V610" s="62"/>
      <c r="W610" s="62"/>
      <c r="X610" s="62"/>
      <c r="Y610" s="63"/>
      <c r="Z610" s="87"/>
      <c r="AA610" s="87"/>
      <c r="AB610" s="87"/>
      <c r="AC610" s="87"/>
      <c r="AD610" s="87"/>
      <c r="AE610" s="87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87"/>
      <c r="C611" s="87"/>
      <c r="D611" s="87"/>
      <c r="E611" s="87"/>
      <c r="F611" s="87"/>
      <c r="G611" s="87"/>
      <c r="H611" s="62"/>
      <c r="I611" s="62"/>
      <c r="J611" s="62"/>
      <c r="K611" s="62"/>
      <c r="L611" s="62"/>
      <c r="M611" s="62"/>
      <c r="N611" s="87"/>
      <c r="O611" s="87"/>
      <c r="P611" s="87"/>
      <c r="Q611" s="87"/>
      <c r="R611" s="87"/>
      <c r="S611" s="87"/>
      <c r="T611" s="62"/>
      <c r="U611" s="62"/>
      <c r="V611" s="62"/>
      <c r="W611" s="62"/>
      <c r="X611" s="62"/>
      <c r="Y611" s="62"/>
      <c r="Z611" s="87"/>
      <c r="AA611" s="87"/>
      <c r="AB611" s="87"/>
      <c r="AC611" s="87"/>
      <c r="AD611" s="87"/>
      <c r="AE611" s="87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87"/>
      <c r="C612" s="87"/>
      <c r="D612" s="87"/>
      <c r="E612" s="87"/>
      <c r="F612" s="87"/>
      <c r="G612" s="87"/>
      <c r="H612" s="62"/>
      <c r="I612" s="87"/>
      <c r="J612" s="73"/>
      <c r="K612" s="62"/>
      <c r="L612" s="62"/>
      <c r="M612" s="62"/>
      <c r="N612" s="87"/>
      <c r="O612" s="87"/>
      <c r="P612" s="87"/>
      <c r="Q612" s="87"/>
      <c r="R612" s="87"/>
      <c r="S612" s="87"/>
      <c r="T612" s="62"/>
      <c r="U612" s="87"/>
      <c r="V612" s="73"/>
      <c r="W612" s="62"/>
      <c r="X612" s="62"/>
      <c r="Y612" s="62"/>
      <c r="Z612" s="87"/>
      <c r="AA612" s="87"/>
      <c r="AB612" s="87"/>
      <c r="AC612" s="87"/>
      <c r="AD612" s="87"/>
      <c r="AE612" s="87"/>
      <c r="AF612" s="62"/>
      <c r="AG612" s="87"/>
      <c r="AH612" s="87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87"/>
      <c r="C613" s="87"/>
      <c r="D613" s="87"/>
      <c r="E613" s="87"/>
      <c r="F613" s="87"/>
      <c r="G613" s="87"/>
      <c r="H613" s="62"/>
      <c r="I613" s="65"/>
      <c r="J613" s="65"/>
      <c r="K613" s="62"/>
      <c r="L613" s="62"/>
      <c r="M613" s="64"/>
      <c r="N613" s="87"/>
      <c r="O613" s="87"/>
      <c r="P613" s="87"/>
      <c r="Q613" s="87"/>
      <c r="R613" s="87"/>
      <c r="S613" s="87"/>
      <c r="T613" s="62"/>
      <c r="U613" s="65"/>
      <c r="V613" s="65"/>
      <c r="W613" s="62"/>
      <c r="X613" s="62"/>
      <c r="Y613" s="64"/>
      <c r="Z613" s="87"/>
      <c r="AA613" s="87"/>
      <c r="AB613" s="87"/>
      <c r="AC613" s="87"/>
      <c r="AD613" s="87"/>
      <c r="AE613" s="87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ht="15" customHeight="1" x14ac:dyDescent="0.25">
      <c r="A614" s="62"/>
      <c r="B614" s="87"/>
      <c r="C614" s="87"/>
      <c r="D614" s="87"/>
      <c r="E614" s="87"/>
      <c r="F614" s="87"/>
      <c r="G614" s="87"/>
      <c r="H614" s="62"/>
      <c r="I614" s="62"/>
      <c r="J614" s="62"/>
      <c r="K614" s="62"/>
      <c r="L614" s="62"/>
      <c r="M614" s="62"/>
      <c r="N614" s="87"/>
      <c r="O614" s="87"/>
      <c r="P614" s="87"/>
      <c r="Q614" s="87"/>
      <c r="R614" s="87"/>
      <c r="S614" s="87"/>
      <c r="T614" s="62"/>
      <c r="U614" s="62"/>
      <c r="V614" s="62"/>
      <c r="W614" s="62"/>
      <c r="X614" s="62"/>
      <c r="Y614" s="62"/>
      <c r="Z614" s="87"/>
      <c r="AA614" s="87"/>
      <c r="AB614" s="87"/>
      <c r="AC614" s="87"/>
      <c r="AD614" s="87"/>
      <c r="AE614" s="87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x14ac:dyDescent="0.25">
      <c r="A615" s="62"/>
      <c r="B615" s="65"/>
      <c r="C615" s="87"/>
      <c r="D615" s="108"/>
      <c r="E615" s="108"/>
      <c r="F615" s="87"/>
      <c r="G615" s="87"/>
      <c r="H615" s="62"/>
      <c r="I615" s="108"/>
      <c r="J615" s="108"/>
      <c r="K615" s="109"/>
      <c r="L615" s="62"/>
      <c r="M615" s="62"/>
      <c r="N615" s="65"/>
      <c r="O615" s="87"/>
      <c r="P615" s="108"/>
      <c r="Q615" s="108"/>
      <c r="R615" s="87"/>
      <c r="S615" s="87"/>
      <c r="T615" s="62"/>
      <c r="U615" s="108"/>
      <c r="V615" s="108"/>
      <c r="W615" s="109"/>
      <c r="X615" s="62"/>
      <c r="Y615" s="62"/>
      <c r="Z615" s="65"/>
      <c r="AA615" s="87"/>
      <c r="AB615" s="108"/>
      <c r="AC615" s="108"/>
      <c r="AD615" s="87"/>
      <c r="AE615" s="87"/>
      <c r="AF615" s="62"/>
      <c r="AG615" s="108"/>
      <c r="AH615" s="108"/>
      <c r="AI615" s="109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87"/>
      <c r="C616" s="87"/>
      <c r="D616" s="79"/>
      <c r="E616" s="80"/>
      <c r="F616" s="81"/>
      <c r="G616" s="81"/>
      <c r="H616" s="62"/>
      <c r="I616" s="88"/>
      <c r="J616" s="88"/>
      <c r="K616" s="109"/>
      <c r="L616" s="62"/>
      <c r="M616" s="62"/>
      <c r="N616" s="87"/>
      <c r="O616" s="87"/>
      <c r="P616" s="79"/>
      <c r="Q616" s="81"/>
      <c r="R616" s="81"/>
      <c r="S616" s="81"/>
      <c r="T616" s="62"/>
      <c r="U616" s="88"/>
      <c r="V616" s="88"/>
      <c r="W616" s="109"/>
      <c r="X616" s="62"/>
      <c r="Y616" s="62"/>
      <c r="Z616" s="87"/>
      <c r="AA616" s="87"/>
      <c r="AB616" s="79"/>
      <c r="AC616" s="81"/>
      <c r="AD616" s="81"/>
      <c r="AE616" s="81"/>
      <c r="AF616" s="62"/>
      <c r="AG616" s="88"/>
      <c r="AH616" s="88"/>
      <c r="AI616" s="109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87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87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87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87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87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87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84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87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87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84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87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65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87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87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65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65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87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87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87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87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87"/>
      <c r="AB625" s="60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87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87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84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87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87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87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87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87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87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87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87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87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87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65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6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5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87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87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87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87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87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87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87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84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87"/>
      <c r="P637" s="67"/>
      <c r="Q637" s="87"/>
      <c r="R637" s="87"/>
      <c r="S637" s="60"/>
      <c r="T637" s="62"/>
      <c r="U637" s="62"/>
      <c r="V637" s="62"/>
      <c r="W637" s="61"/>
      <c r="X637" s="62"/>
      <c r="Y637" s="62"/>
      <c r="Z637" s="66"/>
      <c r="AA637" s="87"/>
      <c r="AB637" s="67"/>
      <c r="AC637" s="87"/>
      <c r="AD637" s="87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87"/>
      <c r="P638" s="68"/>
      <c r="Q638" s="87"/>
      <c r="R638" s="87"/>
      <c r="S638" s="60"/>
      <c r="T638" s="62"/>
      <c r="U638" s="62"/>
      <c r="V638" s="62"/>
      <c r="W638" s="61"/>
      <c r="X638" s="62"/>
      <c r="Y638" s="62"/>
      <c r="Z638" s="66"/>
      <c r="AA638" s="87"/>
      <c r="AB638" s="68"/>
      <c r="AC638" s="87"/>
      <c r="AD638" s="87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87"/>
      <c r="P639" s="69"/>
      <c r="Q639" s="87"/>
      <c r="R639" s="62"/>
      <c r="S639" s="60"/>
      <c r="T639" s="62"/>
      <c r="U639" s="62"/>
      <c r="V639" s="62"/>
      <c r="W639" s="61"/>
      <c r="X639" s="62"/>
      <c r="Y639" s="62"/>
      <c r="Z639" s="66"/>
      <c r="AA639" s="87"/>
      <c r="AB639" s="69"/>
      <c r="AC639" s="6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87"/>
      <c r="P640" s="69"/>
      <c r="Q640" s="87"/>
      <c r="R640" s="87"/>
      <c r="S640" s="60"/>
      <c r="T640" s="62"/>
      <c r="U640" s="62"/>
      <c r="V640" s="62"/>
      <c r="W640" s="61"/>
      <c r="X640" s="62"/>
      <c r="Y640" s="62"/>
      <c r="Z640" s="66"/>
      <c r="AA640" s="87"/>
      <c r="AB640" s="69"/>
      <c r="AC640" s="87"/>
      <c r="AD640" s="87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84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87"/>
      <c r="P641" s="69"/>
      <c r="Q641" s="87"/>
      <c r="R641" s="87"/>
      <c r="S641" s="60"/>
      <c r="T641" s="62"/>
      <c r="U641" s="62"/>
      <c r="V641" s="62"/>
      <c r="W641" s="61"/>
      <c r="X641" s="62"/>
      <c r="Y641" s="62"/>
      <c r="Z641" s="66"/>
      <c r="AA641" s="87"/>
      <c r="AB641" s="69"/>
      <c r="AC641" s="87"/>
      <c r="AD641" s="87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87"/>
      <c r="P642" s="69"/>
      <c r="Q642" s="87"/>
      <c r="R642" s="87"/>
      <c r="S642" s="60"/>
      <c r="T642" s="62"/>
      <c r="U642" s="62"/>
      <c r="V642" s="62"/>
      <c r="W642" s="61"/>
      <c r="X642" s="62"/>
      <c r="Y642" s="62"/>
      <c r="Z642" s="66"/>
      <c r="AA642" s="87"/>
      <c r="AB642" s="69"/>
      <c r="AC642" s="87"/>
      <c r="AD642" s="87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87"/>
      <c r="P643" s="69"/>
      <c r="Q643" s="87"/>
      <c r="R643" s="87"/>
      <c r="S643" s="60"/>
      <c r="T643" s="62"/>
      <c r="U643" s="62"/>
      <c r="V643" s="62"/>
      <c r="W643" s="61"/>
      <c r="X643" s="62"/>
      <c r="Y643" s="62"/>
      <c r="Z643" s="66"/>
      <c r="AA643" s="87"/>
      <c r="AB643" s="69"/>
      <c r="AC643" s="87"/>
      <c r="AD643" s="87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87"/>
      <c r="P644" s="69"/>
      <c r="Q644" s="87"/>
      <c r="R644" s="87"/>
      <c r="S644" s="60"/>
      <c r="T644" s="62"/>
      <c r="U644" s="62"/>
      <c r="V644" s="62"/>
      <c r="W644" s="61"/>
      <c r="X644" s="62"/>
      <c r="Y644" s="62"/>
      <c r="Z644" s="66"/>
      <c r="AA644" s="87"/>
      <c r="AB644" s="69"/>
      <c r="AC644" s="87"/>
      <c r="AD644" s="87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87"/>
      <c r="P645" s="69"/>
      <c r="Q645" s="87"/>
      <c r="R645" s="87"/>
      <c r="S645" s="60"/>
      <c r="T645" s="62"/>
      <c r="U645" s="62"/>
      <c r="V645" s="62"/>
      <c r="W645" s="61"/>
      <c r="X645" s="62"/>
      <c r="Y645" s="62"/>
      <c r="Z645" s="66"/>
      <c r="AA645" s="87"/>
      <c r="AB645" s="69"/>
      <c r="AC645" s="87"/>
      <c r="AD645" s="87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87"/>
      <c r="P646" s="69"/>
      <c r="Q646" s="87"/>
      <c r="R646" s="87"/>
      <c r="S646" s="60"/>
      <c r="T646" s="62"/>
      <c r="U646" s="62"/>
      <c r="V646" s="62"/>
      <c r="W646" s="61"/>
      <c r="X646" s="62"/>
      <c r="Y646" s="62"/>
      <c r="Z646" s="66"/>
      <c r="AA646" s="87"/>
      <c r="AB646" s="69"/>
      <c r="AC646" s="87"/>
      <c r="AD646" s="87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87"/>
      <c r="P647" s="69"/>
      <c r="Q647" s="87"/>
      <c r="R647" s="87"/>
      <c r="S647" s="60"/>
      <c r="T647" s="62"/>
      <c r="U647" s="62"/>
      <c r="V647" s="62"/>
      <c r="W647" s="61"/>
      <c r="X647" s="62"/>
      <c r="Y647" s="62"/>
      <c r="Z647" s="66"/>
      <c r="AA647" s="87"/>
      <c r="AB647" s="69"/>
      <c r="AC647" s="87"/>
      <c r="AD647" s="87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87"/>
      <c r="P648" s="69"/>
      <c r="Q648" s="87"/>
      <c r="R648" s="87"/>
      <c r="S648" s="60"/>
      <c r="T648" s="62"/>
      <c r="U648" s="62"/>
      <c r="V648" s="62"/>
      <c r="W648" s="61"/>
      <c r="X648" s="62"/>
      <c r="Y648" s="62"/>
      <c r="Z648" s="66"/>
      <c r="AA648" s="87"/>
      <c r="AB648" s="69"/>
      <c r="AC648" s="87"/>
      <c r="AD648" s="87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87"/>
      <c r="P649" s="69"/>
      <c r="Q649" s="87"/>
      <c r="R649" s="87"/>
      <c r="S649" s="60"/>
      <c r="T649" s="62"/>
      <c r="U649" s="62"/>
      <c r="V649" s="62"/>
      <c r="W649" s="61"/>
      <c r="X649" s="62"/>
      <c r="Y649" s="62"/>
      <c r="Z649" s="66"/>
      <c r="AA649" s="87"/>
      <c r="AB649" s="69"/>
      <c r="AC649" s="87"/>
      <c r="AD649" s="87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87"/>
      <c r="P650" s="69"/>
      <c r="Q650" s="87"/>
      <c r="R650" s="87"/>
      <c r="S650" s="60"/>
      <c r="T650" s="62"/>
      <c r="U650" s="62"/>
      <c r="V650" s="62"/>
      <c r="W650" s="61"/>
      <c r="X650" s="62"/>
      <c r="Y650" s="62"/>
      <c r="Z650" s="66"/>
      <c r="AA650" s="87"/>
      <c r="AB650" s="69"/>
      <c r="AC650" s="87"/>
      <c r="AD650" s="87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87"/>
      <c r="P651" s="69"/>
      <c r="Q651" s="87"/>
      <c r="R651" s="87"/>
      <c r="S651" s="60"/>
      <c r="T651" s="62"/>
      <c r="U651" s="62"/>
      <c r="V651" s="62"/>
      <c r="W651" s="61"/>
      <c r="X651" s="62"/>
      <c r="Y651" s="62"/>
      <c r="Z651" s="66"/>
      <c r="AA651" s="87"/>
      <c r="AB651" s="69"/>
      <c r="AC651" s="87"/>
      <c r="AD651" s="87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87"/>
      <c r="P652" s="69"/>
      <c r="Q652" s="87"/>
      <c r="R652" s="87"/>
      <c r="S652" s="60"/>
      <c r="T652" s="62"/>
      <c r="U652" s="62"/>
      <c r="V652" s="62"/>
      <c r="W652" s="61"/>
      <c r="X652" s="62"/>
      <c r="Y652" s="62"/>
      <c r="Z652" s="66"/>
      <c r="AA652" s="87"/>
      <c r="AB652" s="69"/>
      <c r="AC652" s="87"/>
      <c r="AD652" s="87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87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87"/>
      <c r="R653" s="87"/>
      <c r="S653" s="60"/>
      <c r="T653" s="62"/>
      <c r="U653" s="62"/>
      <c r="V653" s="62"/>
      <c r="W653" s="61"/>
      <c r="X653" s="62"/>
      <c r="Y653" s="62"/>
      <c r="Z653" s="66"/>
      <c r="AA653" s="87"/>
      <c r="AB653" s="69"/>
      <c r="AC653" s="87"/>
      <c r="AD653" s="87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87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87"/>
      <c r="P654" s="69"/>
      <c r="Q654" s="87"/>
      <c r="R654" s="87"/>
      <c r="S654" s="60"/>
      <c r="T654" s="62"/>
      <c r="U654" s="62"/>
      <c r="V654" s="62"/>
      <c r="W654" s="61"/>
      <c r="X654" s="62"/>
      <c r="Y654" s="62"/>
      <c r="Z654" s="66"/>
      <c r="AA654" s="87"/>
      <c r="AB654" s="69"/>
      <c r="AC654" s="87"/>
      <c r="AD654" s="87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87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87"/>
      <c r="P655" s="69"/>
      <c r="Q655" s="87"/>
      <c r="R655" s="87"/>
      <c r="S655" s="60"/>
      <c r="T655" s="62"/>
      <c r="U655" s="62"/>
      <c r="V655" s="62"/>
      <c r="W655" s="61"/>
      <c r="X655" s="62"/>
      <c r="Y655" s="62"/>
      <c r="Z655" s="66"/>
      <c r="AA655" s="87"/>
      <c r="AB655" s="69"/>
      <c r="AC655" s="87"/>
      <c r="AD655" s="87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87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87"/>
      <c r="R656" s="87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87"/>
      <c r="AD656" s="87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87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87"/>
      <c r="P657" s="69"/>
      <c r="Q657" s="87"/>
      <c r="R657" s="87"/>
      <c r="S657" s="60"/>
      <c r="T657" s="62"/>
      <c r="U657" s="62"/>
      <c r="V657" s="62"/>
      <c r="W657" s="61"/>
      <c r="X657" s="62"/>
      <c r="Y657" s="62"/>
      <c r="Z657" s="66"/>
      <c r="AA657" s="87"/>
      <c r="AB657" s="69"/>
      <c r="AC657" s="87"/>
      <c r="AD657" s="87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87"/>
      <c r="O658" s="87"/>
      <c r="P658" s="87"/>
      <c r="Q658" s="87"/>
      <c r="R658" s="87"/>
      <c r="S658" s="87"/>
      <c r="T658" s="62"/>
      <c r="U658" s="62"/>
      <c r="V658" s="62"/>
      <c r="W658" s="61"/>
      <c r="X658" s="62"/>
      <c r="Y658" s="62"/>
      <c r="Z658" s="87"/>
      <c r="AA658" s="87"/>
      <c r="AB658" s="87"/>
      <c r="AC658" s="87"/>
      <c r="AD658" s="87"/>
      <c r="AE658" s="87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87"/>
      <c r="C659" s="87"/>
      <c r="D659" s="87"/>
      <c r="E659" s="87"/>
      <c r="F659" s="87"/>
      <c r="G659" s="87"/>
      <c r="H659" s="62"/>
      <c r="I659" s="62"/>
      <c r="J659" s="62"/>
      <c r="K659" s="62"/>
      <c r="L659" s="62"/>
      <c r="M659" s="62"/>
      <c r="N659" s="87"/>
      <c r="O659" s="87"/>
      <c r="P659" s="87"/>
      <c r="Q659" s="87"/>
      <c r="R659" s="87"/>
      <c r="S659" s="87"/>
      <c r="T659" s="62"/>
      <c r="U659" s="62"/>
      <c r="V659" s="62"/>
      <c r="W659" s="62"/>
      <c r="X659" s="62"/>
      <c r="Y659" s="62"/>
      <c r="Z659" s="87"/>
      <c r="AA659" s="87"/>
      <c r="AB659" s="87"/>
      <c r="AC659" s="87"/>
      <c r="AD659" s="87"/>
      <c r="AE659" s="87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87"/>
      <c r="C660" s="87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87"/>
      <c r="O660" s="87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87"/>
      <c r="AA660" s="87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7"/>
      <c r="C662" s="87"/>
      <c r="D662" s="87"/>
      <c r="E662" s="87"/>
      <c r="F662" s="87"/>
      <c r="G662" s="87"/>
      <c r="H662" s="62"/>
      <c r="I662" s="62"/>
      <c r="J662" s="62"/>
      <c r="K662" s="62"/>
      <c r="L662" s="62"/>
      <c r="M662" s="62"/>
      <c r="N662" s="87"/>
      <c r="O662" s="87"/>
      <c r="P662" s="87"/>
      <c r="Q662" s="87"/>
      <c r="R662" s="87"/>
      <c r="S662" s="87"/>
      <c r="T662" s="62"/>
      <c r="U662" s="62"/>
      <c r="V662" s="62"/>
      <c r="W662" s="62"/>
      <c r="X662" s="62"/>
      <c r="Y662" s="62"/>
      <c r="Z662" s="87"/>
      <c r="AA662" s="87"/>
      <c r="AB662" s="87"/>
      <c r="AC662" s="87"/>
      <c r="AD662" s="87"/>
      <c r="AE662" s="87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7"/>
      <c r="C663" s="87"/>
      <c r="D663" s="87"/>
      <c r="E663" s="87"/>
      <c r="F663" s="87"/>
      <c r="G663" s="87"/>
      <c r="H663" s="62"/>
      <c r="I663" s="62"/>
      <c r="J663" s="62"/>
      <c r="K663" s="62"/>
      <c r="L663" s="62"/>
      <c r="M663" s="62"/>
      <c r="N663" s="87"/>
      <c r="O663" s="87"/>
      <c r="P663" s="87"/>
      <c r="Q663" s="87"/>
      <c r="R663" s="87"/>
      <c r="S663" s="87"/>
      <c r="T663" s="62"/>
      <c r="U663" s="62"/>
      <c r="V663" s="62"/>
      <c r="W663" s="62"/>
      <c r="X663" s="62"/>
      <c r="Y663" s="62"/>
      <c r="Z663" s="87"/>
      <c r="AA663" s="87"/>
      <c r="AB663" s="87"/>
      <c r="AC663" s="87"/>
      <c r="AD663" s="87"/>
      <c r="AE663" s="87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7"/>
      <c r="C664" s="87"/>
      <c r="D664" s="87"/>
      <c r="E664" s="87"/>
      <c r="F664" s="87"/>
      <c r="G664" s="87"/>
      <c r="H664" s="62"/>
      <c r="I664" s="62"/>
      <c r="J664" s="62"/>
      <c r="K664" s="62"/>
      <c r="L664" s="62"/>
      <c r="M664" s="62"/>
      <c r="N664" s="87"/>
      <c r="O664" s="87"/>
      <c r="P664" s="87"/>
      <c r="Q664" s="87"/>
      <c r="R664" s="87"/>
      <c r="S664" s="87"/>
      <c r="T664" s="62"/>
      <c r="U664" s="62"/>
      <c r="V664" s="62"/>
      <c r="W664" s="62"/>
      <c r="X664" s="62"/>
      <c r="Y664" s="62"/>
      <c r="Z664" s="87"/>
      <c r="AA664" s="87"/>
      <c r="AB664" s="87"/>
      <c r="AC664" s="87"/>
      <c r="AD664" s="87"/>
      <c r="AE664" s="87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7"/>
      <c r="C665" s="87"/>
      <c r="D665" s="87"/>
      <c r="E665" s="87"/>
      <c r="F665" s="87"/>
      <c r="G665" s="87"/>
      <c r="H665" s="62"/>
      <c r="I665" s="62"/>
      <c r="J665" s="62"/>
      <c r="K665" s="62"/>
      <c r="L665" s="62"/>
      <c r="M665" s="63"/>
      <c r="N665" s="87"/>
      <c r="O665" s="87"/>
      <c r="P665" s="87"/>
      <c r="Q665" s="87"/>
      <c r="R665" s="87"/>
      <c r="S665" s="87"/>
      <c r="T665" s="62"/>
      <c r="U665" s="62"/>
      <c r="V665" s="62"/>
      <c r="W665" s="62"/>
      <c r="X665" s="62"/>
      <c r="Y665" s="63"/>
      <c r="Z665" s="87"/>
      <c r="AA665" s="87"/>
      <c r="AB665" s="87"/>
      <c r="AC665" s="87"/>
      <c r="AD665" s="87"/>
      <c r="AE665" s="87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7"/>
      <c r="C666" s="87"/>
      <c r="D666" s="87"/>
      <c r="E666" s="87"/>
      <c r="F666" s="87"/>
      <c r="G666" s="87"/>
      <c r="H666" s="62"/>
      <c r="I666" s="62"/>
      <c r="J666" s="62"/>
      <c r="K666" s="62"/>
      <c r="L666" s="62"/>
      <c r="M666" s="62"/>
      <c r="N666" s="87"/>
      <c r="O666" s="87"/>
      <c r="P666" s="87"/>
      <c r="Q666" s="87"/>
      <c r="R666" s="87"/>
      <c r="S666" s="87"/>
      <c r="T666" s="62"/>
      <c r="U666" s="62"/>
      <c r="V666" s="62"/>
      <c r="W666" s="62"/>
      <c r="X666" s="62"/>
      <c r="Y666" s="62"/>
      <c r="Z666" s="87"/>
      <c r="AA666" s="87"/>
      <c r="AB666" s="87"/>
      <c r="AC666" s="87"/>
      <c r="AD666" s="87"/>
      <c r="AE666" s="87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7"/>
      <c r="C667" s="87"/>
      <c r="D667" s="87"/>
      <c r="E667" s="87"/>
      <c r="F667" s="87"/>
      <c r="G667" s="87"/>
      <c r="H667" s="62"/>
      <c r="I667" s="87"/>
      <c r="J667" s="73"/>
      <c r="K667" s="62"/>
      <c r="L667" s="62"/>
      <c r="M667" s="62"/>
      <c r="N667" s="87"/>
      <c r="O667" s="87"/>
      <c r="P667" s="87"/>
      <c r="Q667" s="87"/>
      <c r="R667" s="87"/>
      <c r="S667" s="87"/>
      <c r="T667" s="62"/>
      <c r="U667" s="87"/>
      <c r="V667" s="73"/>
      <c r="W667" s="62"/>
      <c r="X667" s="62"/>
      <c r="Y667" s="62"/>
      <c r="Z667" s="87"/>
      <c r="AA667" s="87"/>
      <c r="AB667" s="87"/>
      <c r="AC667" s="87"/>
      <c r="AD667" s="87"/>
      <c r="AE667" s="87"/>
      <c r="AF667" s="62"/>
      <c r="AG667" s="87"/>
      <c r="AH667" s="87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7"/>
      <c r="C668" s="87"/>
      <c r="D668" s="87"/>
      <c r="E668" s="87"/>
      <c r="F668" s="87"/>
      <c r="G668" s="87"/>
      <c r="H668" s="62"/>
      <c r="I668" s="65"/>
      <c r="J668" s="65"/>
      <c r="K668" s="62"/>
      <c r="L668" s="62"/>
      <c r="M668" s="64"/>
      <c r="N668" s="87"/>
      <c r="O668" s="87"/>
      <c r="P668" s="87"/>
      <c r="Q668" s="87"/>
      <c r="R668" s="87"/>
      <c r="S668" s="87"/>
      <c r="T668" s="62"/>
      <c r="U668" s="65"/>
      <c r="V668" s="65"/>
      <c r="W668" s="62"/>
      <c r="X668" s="62"/>
      <c r="Y668" s="64"/>
      <c r="Z668" s="87"/>
      <c r="AA668" s="87"/>
      <c r="AB668" s="87"/>
      <c r="AC668" s="87"/>
      <c r="AD668" s="87"/>
      <c r="AE668" s="87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7"/>
      <c r="C669" s="87"/>
      <c r="D669" s="87"/>
      <c r="E669" s="87"/>
      <c r="F669" s="87"/>
      <c r="G669" s="87"/>
      <c r="H669" s="62"/>
      <c r="I669" s="62"/>
      <c r="J669" s="62"/>
      <c r="K669" s="62"/>
      <c r="L669" s="62"/>
      <c r="M669" s="62"/>
      <c r="N669" s="87"/>
      <c r="O669" s="87"/>
      <c r="P669" s="87"/>
      <c r="Q669" s="87"/>
      <c r="R669" s="87"/>
      <c r="S669" s="87"/>
      <c r="T669" s="62"/>
      <c r="U669" s="62"/>
      <c r="V669" s="62"/>
      <c r="W669" s="62"/>
      <c r="X669" s="62"/>
      <c r="Y669" s="62"/>
      <c r="Z669" s="87"/>
      <c r="AA669" s="87"/>
      <c r="AB669" s="87"/>
      <c r="AC669" s="87"/>
      <c r="AD669" s="87"/>
      <c r="AE669" s="87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ht="15" customHeight="1" x14ac:dyDescent="0.25">
      <c r="A670" s="62"/>
      <c r="B670" s="65"/>
      <c r="C670" s="87"/>
      <c r="D670" s="108"/>
      <c r="E670" s="108"/>
      <c r="F670" s="87"/>
      <c r="G670" s="87"/>
      <c r="H670" s="62"/>
      <c r="I670" s="108"/>
      <c r="J670" s="108"/>
      <c r="K670" s="109"/>
      <c r="L670" s="62"/>
      <c r="M670" s="62"/>
      <c r="N670" s="65"/>
      <c r="O670" s="87"/>
      <c r="P670" s="108"/>
      <c r="Q670" s="108"/>
      <c r="R670" s="87"/>
      <c r="S670" s="87"/>
      <c r="T670" s="62"/>
      <c r="U670" s="108"/>
      <c r="V670" s="108"/>
      <c r="W670" s="109"/>
      <c r="X670" s="62"/>
      <c r="Y670" s="62"/>
      <c r="Z670" s="65"/>
      <c r="AA670" s="87"/>
      <c r="AB670" s="108"/>
      <c r="AC670" s="108"/>
      <c r="AD670" s="87"/>
      <c r="AE670" s="87"/>
      <c r="AF670" s="62"/>
      <c r="AG670" s="108"/>
      <c r="AH670" s="108"/>
      <c r="AI670" s="109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87"/>
      <c r="C671" s="87"/>
      <c r="D671" s="79"/>
      <c r="E671" s="80"/>
      <c r="F671" s="81"/>
      <c r="G671" s="81"/>
      <c r="H671" s="62"/>
      <c r="I671" s="88"/>
      <c r="J671" s="88"/>
      <c r="K671" s="109"/>
      <c r="L671" s="62"/>
      <c r="M671" s="62"/>
      <c r="N671" s="87"/>
      <c r="O671" s="87"/>
      <c r="P671" s="79"/>
      <c r="Q671" s="81"/>
      <c r="R671" s="81"/>
      <c r="S671" s="81"/>
      <c r="T671" s="62"/>
      <c r="U671" s="88"/>
      <c r="V671" s="88"/>
      <c r="W671" s="109"/>
      <c r="X671" s="62"/>
      <c r="Y671" s="62"/>
      <c r="Z671" s="87"/>
      <c r="AA671" s="87"/>
      <c r="AB671" s="79"/>
      <c r="AC671" s="81"/>
      <c r="AD671" s="81"/>
      <c r="AE671" s="81"/>
      <c r="AF671" s="62"/>
      <c r="AG671" s="88"/>
      <c r="AH671" s="88"/>
      <c r="AI671" s="109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87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87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87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87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87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87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87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87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87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87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65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87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87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87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87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87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65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87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87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87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4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87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87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87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87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87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87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87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87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87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87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65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62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6"/>
      <c r="AA687" s="65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87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87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87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87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87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87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87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87"/>
      <c r="P692" s="67"/>
      <c r="Q692" s="87"/>
      <c r="R692" s="87"/>
      <c r="S692" s="60"/>
      <c r="T692" s="62"/>
      <c r="U692" s="62"/>
      <c r="V692" s="62"/>
      <c r="W692" s="61"/>
      <c r="X692" s="62"/>
      <c r="Y692" s="62"/>
      <c r="Z692" s="66"/>
      <c r="AA692" s="87"/>
      <c r="AB692" s="67"/>
      <c r="AC692" s="87"/>
      <c r="AD692" s="87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4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87"/>
      <c r="P693" s="68"/>
      <c r="Q693" s="87"/>
      <c r="R693" s="87"/>
      <c r="S693" s="60"/>
      <c r="T693" s="62"/>
      <c r="U693" s="62"/>
      <c r="V693" s="62"/>
      <c r="W693" s="61"/>
      <c r="X693" s="62"/>
      <c r="Y693" s="62"/>
      <c r="Z693" s="66"/>
      <c r="AA693" s="87"/>
      <c r="AB693" s="68"/>
      <c r="AC693" s="87"/>
      <c r="AD693" s="87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87"/>
      <c r="P694" s="69"/>
      <c r="Q694" s="87"/>
      <c r="R694" s="62"/>
      <c r="S694" s="60"/>
      <c r="T694" s="62"/>
      <c r="U694" s="62"/>
      <c r="V694" s="62"/>
      <c r="W694" s="61"/>
      <c r="X694" s="62"/>
      <c r="Y694" s="62"/>
      <c r="Z694" s="66"/>
      <c r="AA694" s="87"/>
      <c r="AB694" s="69"/>
      <c r="AC694" s="62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87"/>
      <c r="P695" s="69"/>
      <c r="Q695" s="87"/>
      <c r="R695" s="87"/>
      <c r="S695" s="60"/>
      <c r="T695" s="62"/>
      <c r="U695" s="62"/>
      <c r="V695" s="62"/>
      <c r="W695" s="61"/>
      <c r="X695" s="62"/>
      <c r="Y695" s="62"/>
      <c r="Z695" s="66"/>
      <c r="AA695" s="87"/>
      <c r="AB695" s="69"/>
      <c r="AC695" s="87"/>
      <c r="AD695" s="87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87"/>
      <c r="P696" s="69"/>
      <c r="Q696" s="87"/>
      <c r="R696" s="87"/>
      <c r="S696" s="60"/>
      <c r="T696" s="62"/>
      <c r="U696" s="62"/>
      <c r="V696" s="62"/>
      <c r="W696" s="61"/>
      <c r="X696" s="62"/>
      <c r="Y696" s="62"/>
      <c r="Z696" s="66"/>
      <c r="AA696" s="87"/>
      <c r="AB696" s="69"/>
      <c r="AC696" s="87"/>
      <c r="AD696" s="87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87"/>
      <c r="P697" s="69"/>
      <c r="Q697" s="87"/>
      <c r="R697" s="87"/>
      <c r="S697" s="60"/>
      <c r="T697" s="62"/>
      <c r="U697" s="62"/>
      <c r="V697" s="62"/>
      <c r="W697" s="61"/>
      <c r="X697" s="62"/>
      <c r="Y697" s="62"/>
      <c r="Z697" s="66"/>
      <c r="AA697" s="87"/>
      <c r="AB697" s="69"/>
      <c r="AC697" s="87"/>
      <c r="AD697" s="87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87"/>
      <c r="P698" s="69"/>
      <c r="Q698" s="87"/>
      <c r="R698" s="87"/>
      <c r="S698" s="60"/>
      <c r="T698" s="62"/>
      <c r="U698" s="62"/>
      <c r="V698" s="62"/>
      <c r="W698" s="61"/>
      <c r="X698" s="62"/>
      <c r="Y698" s="62"/>
      <c r="Z698" s="66"/>
      <c r="AA698" s="87"/>
      <c r="AB698" s="69"/>
      <c r="AC698" s="87"/>
      <c r="AD698" s="87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87"/>
      <c r="P699" s="69"/>
      <c r="Q699" s="87"/>
      <c r="R699" s="87"/>
      <c r="S699" s="60"/>
      <c r="T699" s="62"/>
      <c r="U699" s="62"/>
      <c r="V699" s="62"/>
      <c r="W699" s="61"/>
      <c r="X699" s="62"/>
      <c r="Y699" s="62"/>
      <c r="Z699" s="66"/>
      <c r="AA699" s="87"/>
      <c r="AB699" s="69"/>
      <c r="AC699" s="87"/>
      <c r="AD699" s="87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87"/>
      <c r="P700" s="69"/>
      <c r="Q700" s="87"/>
      <c r="R700" s="87"/>
      <c r="S700" s="60"/>
      <c r="T700" s="62"/>
      <c r="U700" s="62"/>
      <c r="V700" s="62"/>
      <c r="W700" s="61"/>
      <c r="X700" s="62"/>
      <c r="Y700" s="62"/>
      <c r="Z700" s="66"/>
      <c r="AA700" s="87"/>
      <c r="AB700" s="69"/>
      <c r="AC700" s="87"/>
      <c r="AD700" s="87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87"/>
      <c r="P701" s="69"/>
      <c r="Q701" s="87"/>
      <c r="R701" s="87"/>
      <c r="S701" s="60"/>
      <c r="T701" s="62"/>
      <c r="U701" s="62"/>
      <c r="V701" s="62"/>
      <c r="W701" s="61"/>
      <c r="X701" s="62"/>
      <c r="Y701" s="62"/>
      <c r="Z701" s="66"/>
      <c r="AA701" s="87"/>
      <c r="AB701" s="69"/>
      <c r="AC701" s="87"/>
      <c r="AD701" s="87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4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87"/>
      <c r="P702" s="69"/>
      <c r="Q702" s="87"/>
      <c r="R702" s="87"/>
      <c r="S702" s="60"/>
      <c r="T702" s="62"/>
      <c r="U702" s="62"/>
      <c r="V702" s="62"/>
      <c r="W702" s="61"/>
      <c r="X702" s="62"/>
      <c r="Y702" s="62"/>
      <c r="Z702" s="66"/>
      <c r="AA702" s="87"/>
      <c r="AB702" s="69"/>
      <c r="AC702" s="87"/>
      <c r="AD702" s="87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87"/>
      <c r="P703" s="69"/>
      <c r="Q703" s="87"/>
      <c r="R703" s="87"/>
      <c r="S703" s="60"/>
      <c r="T703" s="62"/>
      <c r="U703" s="62"/>
      <c r="V703" s="62"/>
      <c r="W703" s="61"/>
      <c r="X703" s="62"/>
      <c r="Y703" s="62"/>
      <c r="Z703" s="66"/>
      <c r="AA703" s="87"/>
      <c r="AB703" s="69"/>
      <c r="AC703" s="87"/>
      <c r="AD703" s="87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87"/>
      <c r="P704" s="69"/>
      <c r="Q704" s="87"/>
      <c r="R704" s="87"/>
      <c r="S704" s="60"/>
      <c r="T704" s="62"/>
      <c r="U704" s="62"/>
      <c r="V704" s="62"/>
      <c r="W704" s="61"/>
      <c r="X704" s="62"/>
      <c r="Y704" s="62"/>
      <c r="Z704" s="66"/>
      <c r="AA704" s="87"/>
      <c r="AB704" s="69"/>
      <c r="AC704" s="87"/>
      <c r="AD704" s="87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87"/>
      <c r="P705" s="69"/>
      <c r="Q705" s="87"/>
      <c r="R705" s="87"/>
      <c r="S705" s="60"/>
      <c r="T705" s="62"/>
      <c r="U705" s="62"/>
      <c r="V705" s="62"/>
      <c r="W705" s="61"/>
      <c r="X705" s="62"/>
      <c r="Y705" s="62"/>
      <c r="Z705" s="66"/>
      <c r="AA705" s="87"/>
      <c r="AB705" s="69"/>
      <c r="AC705" s="87"/>
      <c r="AD705" s="87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87"/>
      <c r="P706" s="69"/>
      <c r="Q706" s="87"/>
      <c r="R706" s="87"/>
      <c r="S706" s="60"/>
      <c r="T706" s="62"/>
      <c r="U706" s="62"/>
      <c r="V706" s="62"/>
      <c r="W706" s="61"/>
      <c r="X706" s="62"/>
      <c r="Y706" s="62"/>
      <c r="Z706" s="66"/>
      <c r="AA706" s="87"/>
      <c r="AB706" s="69"/>
      <c r="AC706" s="87"/>
      <c r="AD706" s="87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87"/>
      <c r="P707" s="69"/>
      <c r="Q707" s="87"/>
      <c r="R707" s="87"/>
      <c r="S707" s="60"/>
      <c r="T707" s="62"/>
      <c r="U707" s="62"/>
      <c r="V707" s="62"/>
      <c r="W707" s="61"/>
      <c r="X707" s="62"/>
      <c r="Y707" s="62"/>
      <c r="Z707" s="66"/>
      <c r="AA707" s="87"/>
      <c r="AB707" s="69"/>
      <c r="AC707" s="87"/>
      <c r="AD707" s="87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7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87"/>
      <c r="R708" s="87"/>
      <c r="S708" s="60"/>
      <c r="T708" s="62"/>
      <c r="U708" s="62"/>
      <c r="V708" s="62"/>
      <c r="W708" s="61"/>
      <c r="X708" s="62"/>
      <c r="Y708" s="62"/>
      <c r="Z708" s="66"/>
      <c r="AA708" s="87"/>
      <c r="AB708" s="69"/>
      <c r="AC708" s="87"/>
      <c r="AD708" s="87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7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87"/>
      <c r="P709" s="69"/>
      <c r="Q709" s="87"/>
      <c r="R709" s="87"/>
      <c r="S709" s="60"/>
      <c r="T709" s="62"/>
      <c r="U709" s="62"/>
      <c r="V709" s="62"/>
      <c r="W709" s="61"/>
      <c r="X709" s="62"/>
      <c r="Y709" s="62"/>
      <c r="Z709" s="66"/>
      <c r="AA709" s="87"/>
      <c r="AB709" s="69"/>
      <c r="AC709" s="87"/>
      <c r="AD709" s="87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7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87"/>
      <c r="P710" s="69"/>
      <c r="Q710" s="87"/>
      <c r="R710" s="87"/>
      <c r="S710" s="60"/>
      <c r="T710" s="62"/>
      <c r="U710" s="62"/>
      <c r="V710" s="62"/>
      <c r="W710" s="61"/>
      <c r="X710" s="62"/>
      <c r="Y710" s="62"/>
      <c r="Z710" s="66"/>
      <c r="AA710" s="87"/>
      <c r="AB710" s="69"/>
      <c r="AC710" s="87"/>
      <c r="AD710" s="87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7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87"/>
      <c r="R711" s="87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87"/>
      <c r="AD711" s="87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7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87"/>
      <c r="P712" s="69"/>
      <c r="Q712" s="87"/>
      <c r="R712" s="87"/>
      <c r="S712" s="60"/>
      <c r="T712" s="62"/>
      <c r="U712" s="62"/>
      <c r="V712" s="62"/>
      <c r="W712" s="61"/>
      <c r="X712" s="62"/>
      <c r="Y712" s="62"/>
      <c r="Z712" s="66"/>
      <c r="AA712" s="87"/>
      <c r="AB712" s="69"/>
      <c r="AC712" s="87"/>
      <c r="AD712" s="87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87"/>
      <c r="O713" s="87"/>
      <c r="P713" s="87"/>
      <c r="Q713" s="87"/>
      <c r="R713" s="87"/>
      <c r="S713" s="87"/>
      <c r="T713" s="62"/>
      <c r="U713" s="62"/>
      <c r="V713" s="62"/>
      <c r="W713" s="61"/>
      <c r="X713" s="62"/>
      <c r="Y713" s="62"/>
      <c r="Z713" s="87"/>
      <c r="AA713" s="87"/>
      <c r="AB713" s="87"/>
      <c r="AC713" s="87"/>
      <c r="AD713" s="87"/>
      <c r="AE713" s="87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7"/>
      <c r="C714" s="87"/>
      <c r="D714" s="87"/>
      <c r="E714" s="87"/>
      <c r="F714" s="87"/>
      <c r="G714" s="87"/>
      <c r="H714" s="62"/>
      <c r="I714" s="62"/>
      <c r="J714" s="62"/>
      <c r="K714" s="62"/>
      <c r="L714" s="62"/>
      <c r="M714" s="62"/>
      <c r="N714" s="87"/>
      <c r="O714" s="87"/>
      <c r="P714" s="87"/>
      <c r="Q714" s="87"/>
      <c r="R714" s="87"/>
      <c r="S714" s="87"/>
      <c r="T714" s="62"/>
      <c r="U714" s="62"/>
      <c r="V714" s="62"/>
      <c r="W714" s="62"/>
      <c r="X714" s="62"/>
      <c r="Y714" s="62"/>
      <c r="Z714" s="87"/>
      <c r="AA714" s="87"/>
      <c r="AB714" s="87"/>
      <c r="AC714" s="87"/>
      <c r="AD714" s="87"/>
      <c r="AE714" s="87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7"/>
      <c r="C715" s="87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87"/>
      <c r="O715" s="87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87"/>
      <c r="AA715" s="87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87"/>
      <c r="C717" s="87"/>
      <c r="D717" s="87"/>
      <c r="E717" s="87"/>
      <c r="F717" s="87"/>
      <c r="G717" s="87"/>
      <c r="H717" s="62"/>
      <c r="I717" s="62"/>
      <c r="J717" s="62"/>
      <c r="K717" s="62"/>
      <c r="L717" s="62"/>
      <c r="M717" s="62"/>
      <c r="N717" s="87"/>
      <c r="O717" s="87"/>
      <c r="P717" s="87"/>
      <c r="Q717" s="87"/>
      <c r="R717" s="87"/>
      <c r="S717" s="87"/>
      <c r="T717" s="62"/>
      <c r="U717" s="62"/>
      <c r="V717" s="62"/>
      <c r="W717" s="62"/>
      <c r="X717" s="62"/>
      <c r="Y717" s="62"/>
      <c r="Z717" s="87"/>
      <c r="AA717" s="87"/>
      <c r="AB717" s="87"/>
      <c r="AC717" s="87"/>
      <c r="AD717" s="87"/>
      <c r="AE717" s="87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87"/>
      <c r="C718" s="87"/>
      <c r="D718" s="87"/>
      <c r="E718" s="87"/>
      <c r="F718" s="87"/>
      <c r="G718" s="87"/>
      <c r="H718" s="62"/>
      <c r="I718" s="62"/>
      <c r="J718" s="62"/>
      <c r="K718" s="62"/>
      <c r="L718" s="62"/>
      <c r="M718" s="62"/>
      <c r="N718" s="87"/>
      <c r="O718" s="87"/>
      <c r="P718" s="87"/>
      <c r="Q718" s="87"/>
      <c r="R718" s="87"/>
      <c r="S718" s="87"/>
      <c r="T718" s="62"/>
      <c r="U718" s="62"/>
      <c r="V718" s="62"/>
      <c r="W718" s="62"/>
      <c r="X718" s="62"/>
      <c r="Y718" s="62"/>
      <c r="Z718" s="87"/>
      <c r="AA718" s="87"/>
      <c r="AB718" s="87"/>
      <c r="AC718" s="87"/>
      <c r="AD718" s="87"/>
      <c r="AE718" s="87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87"/>
      <c r="C719" s="87"/>
      <c r="D719" s="87"/>
      <c r="E719" s="87"/>
      <c r="F719" s="87"/>
      <c r="G719" s="87"/>
      <c r="H719" s="62"/>
      <c r="I719" s="62"/>
      <c r="J719" s="62"/>
      <c r="K719" s="62"/>
      <c r="L719" s="62"/>
      <c r="M719" s="62"/>
      <c r="N719" s="87"/>
      <c r="O719" s="87"/>
      <c r="P719" s="87"/>
      <c r="Q719" s="87"/>
      <c r="R719" s="87"/>
      <c r="S719" s="87"/>
      <c r="T719" s="62"/>
      <c r="U719" s="62"/>
      <c r="V719" s="62"/>
      <c r="W719" s="62"/>
      <c r="X719" s="62"/>
      <c r="Y719" s="62"/>
      <c r="Z719" s="87"/>
      <c r="AA719" s="87"/>
      <c r="AB719" s="87"/>
      <c r="AC719" s="87"/>
      <c r="AD719" s="87"/>
      <c r="AE719" s="87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87"/>
      <c r="C720" s="87"/>
      <c r="D720" s="87"/>
      <c r="E720" s="87"/>
      <c r="F720" s="87"/>
      <c r="G720" s="87"/>
      <c r="H720" s="62"/>
      <c r="I720" s="62"/>
      <c r="J720" s="62"/>
      <c r="K720" s="62"/>
      <c r="L720" s="62"/>
      <c r="M720" s="63"/>
      <c r="N720" s="87"/>
      <c r="O720" s="87"/>
      <c r="P720" s="87"/>
      <c r="Q720" s="87"/>
      <c r="R720" s="87"/>
      <c r="S720" s="87"/>
      <c r="T720" s="62"/>
      <c r="U720" s="62"/>
      <c r="V720" s="62"/>
      <c r="W720" s="62"/>
      <c r="X720" s="62"/>
      <c r="Y720" s="63"/>
      <c r="Z720" s="87"/>
      <c r="AA720" s="87"/>
      <c r="AB720" s="87"/>
      <c r="AC720" s="87"/>
      <c r="AD720" s="87"/>
      <c r="AE720" s="87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87"/>
      <c r="C721" s="87"/>
      <c r="D721" s="87"/>
      <c r="E721" s="87"/>
      <c r="F721" s="87"/>
      <c r="G721" s="87"/>
      <c r="H721" s="62"/>
      <c r="I721" s="62"/>
      <c r="J721" s="62"/>
      <c r="K721" s="62"/>
      <c r="L721" s="62"/>
      <c r="M721" s="62"/>
      <c r="N721" s="87"/>
      <c r="O721" s="87"/>
      <c r="P721" s="87"/>
      <c r="Q721" s="87"/>
      <c r="R721" s="87"/>
      <c r="S721" s="87"/>
      <c r="T721" s="62"/>
      <c r="U721" s="62"/>
      <c r="V721" s="62"/>
      <c r="W721" s="62"/>
      <c r="X721" s="62"/>
      <c r="Y721" s="62"/>
      <c r="Z721" s="87"/>
      <c r="AA721" s="87"/>
      <c r="AB721" s="87"/>
      <c r="AC721" s="87"/>
      <c r="AD721" s="87"/>
      <c r="AE721" s="87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87"/>
      <c r="C722" s="87"/>
      <c r="D722" s="87"/>
      <c r="E722" s="87"/>
      <c r="F722" s="87"/>
      <c r="G722" s="87"/>
      <c r="H722" s="62"/>
      <c r="I722" s="87"/>
      <c r="J722" s="73"/>
      <c r="K722" s="62"/>
      <c r="L722" s="62"/>
      <c r="M722" s="62"/>
      <c r="N722" s="87"/>
      <c r="O722" s="87"/>
      <c r="P722" s="87"/>
      <c r="Q722" s="87"/>
      <c r="R722" s="87"/>
      <c r="S722" s="87"/>
      <c r="T722" s="62"/>
      <c r="U722" s="87"/>
      <c r="V722" s="73"/>
      <c r="W722" s="62"/>
      <c r="X722" s="62"/>
      <c r="Y722" s="62"/>
      <c r="Z722" s="87"/>
      <c r="AA722" s="87"/>
      <c r="AB722" s="87"/>
      <c r="AC722" s="87"/>
      <c r="AD722" s="87"/>
      <c r="AE722" s="87"/>
      <c r="AF722" s="62"/>
      <c r="AG722" s="87"/>
      <c r="AH722" s="87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87"/>
      <c r="C723" s="87"/>
      <c r="D723" s="87"/>
      <c r="E723" s="87"/>
      <c r="F723" s="87"/>
      <c r="G723" s="87"/>
      <c r="H723" s="62"/>
      <c r="I723" s="65"/>
      <c r="J723" s="65"/>
      <c r="K723" s="62"/>
      <c r="L723" s="62"/>
      <c r="M723" s="64"/>
      <c r="N723" s="87"/>
      <c r="O723" s="87"/>
      <c r="P723" s="87"/>
      <c r="Q723" s="87"/>
      <c r="R723" s="87"/>
      <c r="S723" s="87"/>
      <c r="T723" s="62"/>
      <c r="U723" s="65"/>
      <c r="V723" s="65"/>
      <c r="W723" s="62"/>
      <c r="X723" s="62"/>
      <c r="Y723" s="64"/>
      <c r="Z723" s="87"/>
      <c r="AA723" s="87"/>
      <c r="AB723" s="87"/>
      <c r="AC723" s="87"/>
      <c r="AD723" s="87"/>
      <c r="AE723" s="87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ht="15" customHeight="1" x14ac:dyDescent="0.25">
      <c r="A724" s="62"/>
      <c r="B724" s="87"/>
      <c r="C724" s="87"/>
      <c r="D724" s="87"/>
      <c r="E724" s="87"/>
      <c r="F724" s="87"/>
      <c r="G724" s="87"/>
      <c r="H724" s="62"/>
      <c r="I724" s="62"/>
      <c r="J724" s="62"/>
      <c r="K724" s="62"/>
      <c r="L724" s="62"/>
      <c r="M724" s="62"/>
      <c r="N724" s="87"/>
      <c r="O724" s="87"/>
      <c r="P724" s="87"/>
      <c r="Q724" s="87"/>
      <c r="R724" s="87"/>
      <c r="S724" s="87"/>
      <c r="T724" s="62"/>
      <c r="U724" s="62"/>
      <c r="V724" s="62"/>
      <c r="W724" s="62"/>
      <c r="X724" s="62"/>
      <c r="Y724" s="62"/>
      <c r="Z724" s="87"/>
      <c r="AA724" s="87"/>
      <c r="AB724" s="87"/>
      <c r="AC724" s="87"/>
      <c r="AD724" s="87"/>
      <c r="AE724" s="87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A725" s="62"/>
      <c r="B725" s="65"/>
      <c r="C725" s="87"/>
      <c r="D725" s="108"/>
      <c r="E725" s="108"/>
      <c r="F725" s="87"/>
      <c r="G725" s="87"/>
      <c r="H725" s="62"/>
      <c r="I725" s="108"/>
      <c r="J725" s="108"/>
      <c r="K725" s="109"/>
      <c r="L725" s="62"/>
      <c r="M725" s="62"/>
      <c r="N725" s="65"/>
      <c r="O725" s="87"/>
      <c r="P725" s="108"/>
      <c r="Q725" s="108"/>
      <c r="R725" s="87"/>
      <c r="S725" s="87"/>
      <c r="T725" s="62"/>
      <c r="U725" s="108"/>
      <c r="V725" s="108"/>
      <c r="W725" s="109"/>
      <c r="X725" s="62"/>
      <c r="Y725" s="62"/>
      <c r="Z725" s="65"/>
      <c r="AA725" s="87"/>
      <c r="AB725" s="108"/>
      <c r="AC725" s="108"/>
      <c r="AD725" s="87"/>
      <c r="AE725" s="87"/>
      <c r="AF725" s="62"/>
      <c r="AG725" s="108"/>
      <c r="AH725" s="108"/>
      <c r="AI725" s="109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87"/>
      <c r="C726" s="87"/>
      <c r="D726" s="79"/>
      <c r="E726" s="80"/>
      <c r="F726" s="81"/>
      <c r="G726" s="81"/>
      <c r="H726" s="62"/>
      <c r="I726" s="88"/>
      <c r="J726" s="88"/>
      <c r="K726" s="109"/>
      <c r="L726" s="62"/>
      <c r="M726" s="62"/>
      <c r="N726" s="87"/>
      <c r="O726" s="87"/>
      <c r="P726" s="79"/>
      <c r="Q726" s="81"/>
      <c r="R726" s="81"/>
      <c r="S726" s="81"/>
      <c r="T726" s="62"/>
      <c r="U726" s="88"/>
      <c r="V726" s="88"/>
      <c r="W726" s="109"/>
      <c r="X726" s="62"/>
      <c r="Y726" s="62"/>
      <c r="Z726" s="87"/>
      <c r="AA726" s="87"/>
      <c r="AB726" s="79"/>
      <c r="AC726" s="81"/>
      <c r="AD726" s="81"/>
      <c r="AE726" s="81"/>
      <c r="AF726" s="62"/>
      <c r="AG726" s="88"/>
      <c r="AH726" s="88"/>
      <c r="AI726" s="109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87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87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87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87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87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87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87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87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65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65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87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84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87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87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87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87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87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5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87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2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87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87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5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87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87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87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87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87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87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87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87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87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62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5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87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87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87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87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87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87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87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87"/>
      <c r="P747" s="67"/>
      <c r="Q747" s="87"/>
      <c r="R747" s="87"/>
      <c r="S747" s="60"/>
      <c r="T747" s="62"/>
      <c r="U747" s="62"/>
      <c r="V747" s="62"/>
      <c r="W747" s="61"/>
      <c r="X747" s="62"/>
      <c r="Y747" s="62"/>
      <c r="Z747" s="66"/>
      <c r="AA747" s="87"/>
      <c r="AB747" s="67"/>
      <c r="AC747" s="87"/>
      <c r="AD747" s="87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84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87"/>
      <c r="P748" s="68"/>
      <c r="Q748" s="87"/>
      <c r="R748" s="87"/>
      <c r="S748" s="60"/>
      <c r="T748" s="62"/>
      <c r="U748" s="62"/>
      <c r="V748" s="62"/>
      <c r="W748" s="61"/>
      <c r="X748" s="62"/>
      <c r="Y748" s="62"/>
      <c r="Z748" s="66"/>
      <c r="AA748" s="87"/>
      <c r="AB748" s="68"/>
      <c r="AC748" s="87"/>
      <c r="AD748" s="87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87"/>
      <c r="P749" s="69"/>
      <c r="Q749" s="87"/>
      <c r="R749" s="62"/>
      <c r="S749" s="60"/>
      <c r="T749" s="62"/>
      <c r="U749" s="62"/>
      <c r="V749" s="62"/>
      <c r="W749" s="61"/>
      <c r="X749" s="62"/>
      <c r="Y749" s="62"/>
      <c r="Z749" s="66"/>
      <c r="AA749" s="87"/>
      <c r="AB749" s="69"/>
      <c r="AC749" s="62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87"/>
      <c r="P750" s="69"/>
      <c r="Q750" s="87"/>
      <c r="R750" s="87"/>
      <c r="S750" s="60"/>
      <c r="T750" s="62"/>
      <c r="U750" s="62"/>
      <c r="V750" s="62"/>
      <c r="W750" s="61"/>
      <c r="X750" s="62"/>
      <c r="Y750" s="62"/>
      <c r="Z750" s="66"/>
      <c r="AA750" s="87"/>
      <c r="AB750" s="69"/>
      <c r="AC750" s="87"/>
      <c r="AD750" s="87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87"/>
      <c r="P751" s="69"/>
      <c r="Q751" s="87"/>
      <c r="R751" s="87"/>
      <c r="S751" s="60"/>
      <c r="T751" s="62"/>
      <c r="U751" s="62"/>
      <c r="V751" s="62"/>
      <c r="W751" s="61"/>
      <c r="X751" s="62"/>
      <c r="Y751" s="62"/>
      <c r="Z751" s="66"/>
      <c r="AA751" s="87"/>
      <c r="AB751" s="69"/>
      <c r="AC751" s="87"/>
      <c r="AD751" s="87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87"/>
      <c r="P752" s="69"/>
      <c r="Q752" s="87"/>
      <c r="R752" s="87"/>
      <c r="S752" s="60"/>
      <c r="T752" s="62"/>
      <c r="U752" s="62"/>
      <c r="V752" s="62"/>
      <c r="W752" s="61"/>
      <c r="X752" s="62"/>
      <c r="Y752" s="62"/>
      <c r="Z752" s="66"/>
      <c r="AA752" s="87"/>
      <c r="AB752" s="69"/>
      <c r="AC752" s="87"/>
      <c r="AD752" s="87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87"/>
      <c r="P753" s="69"/>
      <c r="Q753" s="87"/>
      <c r="R753" s="87"/>
      <c r="S753" s="60"/>
      <c r="T753" s="62"/>
      <c r="U753" s="62"/>
      <c r="V753" s="62"/>
      <c r="W753" s="61"/>
      <c r="X753" s="62"/>
      <c r="Y753" s="62"/>
      <c r="Z753" s="66"/>
      <c r="AA753" s="87"/>
      <c r="AB753" s="69"/>
      <c r="AC753" s="87"/>
      <c r="AD753" s="87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87"/>
      <c r="P754" s="69"/>
      <c r="Q754" s="87"/>
      <c r="R754" s="87"/>
      <c r="S754" s="60"/>
      <c r="T754" s="62"/>
      <c r="U754" s="62"/>
      <c r="V754" s="62"/>
      <c r="W754" s="61"/>
      <c r="X754" s="62"/>
      <c r="Y754" s="62"/>
      <c r="Z754" s="66"/>
      <c r="AA754" s="87"/>
      <c r="AB754" s="69"/>
      <c r="AC754" s="87"/>
      <c r="AD754" s="87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87"/>
      <c r="P755" s="69"/>
      <c r="Q755" s="87"/>
      <c r="R755" s="87"/>
      <c r="S755" s="60"/>
      <c r="T755" s="62"/>
      <c r="U755" s="62"/>
      <c r="V755" s="62"/>
      <c r="W755" s="61"/>
      <c r="X755" s="62"/>
      <c r="Y755" s="62"/>
      <c r="Z755" s="66"/>
      <c r="AA755" s="87"/>
      <c r="AB755" s="69"/>
      <c r="AC755" s="87"/>
      <c r="AD755" s="87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87"/>
      <c r="P756" s="69"/>
      <c r="Q756" s="87"/>
      <c r="R756" s="87"/>
      <c r="S756" s="60"/>
      <c r="T756" s="62"/>
      <c r="U756" s="62"/>
      <c r="V756" s="62"/>
      <c r="W756" s="61"/>
      <c r="X756" s="62"/>
      <c r="Y756" s="62"/>
      <c r="Z756" s="66"/>
      <c r="AA756" s="87"/>
      <c r="AB756" s="69"/>
      <c r="AC756" s="87"/>
      <c r="AD756" s="87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84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87"/>
      <c r="P757" s="69"/>
      <c r="Q757" s="87"/>
      <c r="R757" s="87"/>
      <c r="S757" s="60"/>
      <c r="T757" s="62"/>
      <c r="U757" s="62"/>
      <c r="V757" s="62"/>
      <c r="W757" s="61"/>
      <c r="X757" s="62"/>
      <c r="Y757" s="62"/>
      <c r="Z757" s="66"/>
      <c r="AA757" s="87"/>
      <c r="AB757" s="69"/>
      <c r="AC757" s="87"/>
      <c r="AD757" s="87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87"/>
      <c r="P758" s="69"/>
      <c r="Q758" s="87"/>
      <c r="R758" s="87"/>
      <c r="S758" s="60"/>
      <c r="T758" s="62"/>
      <c r="U758" s="62"/>
      <c r="V758" s="62"/>
      <c r="W758" s="61"/>
      <c r="X758" s="62"/>
      <c r="Y758" s="62"/>
      <c r="Z758" s="66"/>
      <c r="AA758" s="87"/>
      <c r="AB758" s="69"/>
      <c r="AC758" s="87"/>
      <c r="AD758" s="87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87"/>
      <c r="P759" s="69"/>
      <c r="Q759" s="87"/>
      <c r="R759" s="87"/>
      <c r="S759" s="60"/>
      <c r="T759" s="62"/>
      <c r="U759" s="62"/>
      <c r="V759" s="62"/>
      <c r="W759" s="61"/>
      <c r="X759" s="62"/>
      <c r="Y759" s="62"/>
      <c r="Z759" s="66"/>
      <c r="AA759" s="87"/>
      <c r="AB759" s="69"/>
      <c r="AC759" s="87"/>
      <c r="AD759" s="87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87"/>
      <c r="P760" s="69"/>
      <c r="Q760" s="87"/>
      <c r="R760" s="87"/>
      <c r="S760" s="60"/>
      <c r="T760" s="62"/>
      <c r="U760" s="62"/>
      <c r="V760" s="62"/>
      <c r="W760" s="61"/>
      <c r="X760" s="62"/>
      <c r="Y760" s="62"/>
      <c r="Z760" s="66"/>
      <c r="AA760" s="87"/>
      <c r="AB760" s="69"/>
      <c r="AC760" s="87"/>
      <c r="AD760" s="87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87"/>
      <c r="P761" s="69"/>
      <c r="Q761" s="87"/>
      <c r="R761" s="87"/>
      <c r="S761" s="60"/>
      <c r="T761" s="62"/>
      <c r="U761" s="62"/>
      <c r="V761" s="62"/>
      <c r="W761" s="61"/>
      <c r="X761" s="62"/>
      <c r="Y761" s="62"/>
      <c r="Z761" s="66"/>
      <c r="AA761" s="87"/>
      <c r="AB761" s="69"/>
      <c r="AC761" s="87"/>
      <c r="AD761" s="87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87"/>
      <c r="P762" s="69"/>
      <c r="Q762" s="87"/>
      <c r="R762" s="87"/>
      <c r="S762" s="60"/>
      <c r="T762" s="62"/>
      <c r="U762" s="62"/>
      <c r="V762" s="62"/>
      <c r="W762" s="61"/>
      <c r="X762" s="62"/>
      <c r="Y762" s="62"/>
      <c r="Z762" s="66"/>
      <c r="AA762" s="87"/>
      <c r="AB762" s="69"/>
      <c r="AC762" s="87"/>
      <c r="AD762" s="87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87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87"/>
      <c r="R763" s="87"/>
      <c r="S763" s="60"/>
      <c r="T763" s="62"/>
      <c r="U763" s="62"/>
      <c r="V763" s="62"/>
      <c r="W763" s="61"/>
      <c r="X763" s="62"/>
      <c r="Y763" s="62"/>
      <c r="Z763" s="66"/>
      <c r="AA763" s="87"/>
      <c r="AB763" s="69"/>
      <c r="AC763" s="87"/>
      <c r="AD763" s="87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87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87"/>
      <c r="P764" s="69"/>
      <c r="Q764" s="87"/>
      <c r="R764" s="87"/>
      <c r="S764" s="60"/>
      <c r="T764" s="62"/>
      <c r="U764" s="62"/>
      <c r="V764" s="62"/>
      <c r="W764" s="61"/>
      <c r="X764" s="62"/>
      <c r="Y764" s="62"/>
      <c r="Z764" s="66"/>
      <c r="AA764" s="87"/>
      <c r="AB764" s="69"/>
      <c r="AC764" s="87"/>
      <c r="AD764" s="87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87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87"/>
      <c r="P765" s="69"/>
      <c r="Q765" s="87"/>
      <c r="R765" s="87"/>
      <c r="S765" s="60"/>
      <c r="T765" s="62"/>
      <c r="U765" s="62"/>
      <c r="V765" s="62"/>
      <c r="W765" s="61"/>
      <c r="X765" s="62"/>
      <c r="Y765" s="62"/>
      <c r="Z765" s="66"/>
      <c r="AA765" s="87"/>
      <c r="AB765" s="69"/>
      <c r="AC765" s="87"/>
      <c r="AD765" s="87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87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87"/>
      <c r="R766" s="87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87"/>
      <c r="AD766" s="87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87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87"/>
      <c r="P767" s="69"/>
      <c r="Q767" s="87"/>
      <c r="R767" s="87"/>
      <c r="S767" s="60"/>
      <c r="T767" s="62"/>
      <c r="U767" s="62"/>
      <c r="V767" s="62"/>
      <c r="W767" s="61"/>
      <c r="X767" s="62"/>
      <c r="Y767" s="62"/>
      <c r="Z767" s="66"/>
      <c r="AA767" s="87"/>
      <c r="AB767" s="69"/>
      <c r="AC767" s="87"/>
      <c r="AD767" s="87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87"/>
      <c r="O768" s="87"/>
      <c r="P768" s="87"/>
      <c r="Q768" s="87"/>
      <c r="R768" s="87"/>
      <c r="S768" s="87"/>
      <c r="T768" s="62"/>
      <c r="U768" s="62"/>
      <c r="V768" s="62"/>
      <c r="W768" s="61"/>
      <c r="X768" s="62"/>
      <c r="Y768" s="62"/>
      <c r="Z768" s="87"/>
      <c r="AA768" s="87"/>
      <c r="AB768" s="87"/>
      <c r="AC768" s="87"/>
      <c r="AD768" s="87"/>
      <c r="AE768" s="87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87"/>
      <c r="C769" s="87"/>
      <c r="D769" s="87"/>
      <c r="E769" s="87"/>
      <c r="F769" s="87"/>
      <c r="G769" s="87"/>
      <c r="H769" s="62"/>
      <c r="I769" s="62"/>
      <c r="J769" s="62"/>
      <c r="K769" s="62"/>
      <c r="L769" s="62"/>
      <c r="M769" s="62"/>
      <c r="N769" s="87"/>
      <c r="O769" s="87"/>
      <c r="P769" s="87"/>
      <c r="Q769" s="87"/>
      <c r="R769" s="87"/>
      <c r="S769" s="87"/>
      <c r="T769" s="62"/>
      <c r="U769" s="62"/>
      <c r="V769" s="62"/>
      <c r="W769" s="62"/>
      <c r="X769" s="62"/>
      <c r="Y769" s="62"/>
      <c r="Z769" s="87"/>
      <c r="AA769" s="87"/>
      <c r="AB769" s="87"/>
      <c r="AC769" s="87"/>
      <c r="AD769" s="87"/>
      <c r="AE769" s="87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87"/>
      <c r="C770" s="87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87"/>
      <c r="O770" s="87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87"/>
      <c r="AA770" s="87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87"/>
      <c r="C772" s="87"/>
      <c r="D772" s="87"/>
      <c r="E772" s="87"/>
      <c r="F772" s="87"/>
      <c r="G772" s="87"/>
      <c r="H772" s="62"/>
      <c r="I772" s="62"/>
      <c r="J772" s="62"/>
      <c r="K772" s="62"/>
      <c r="L772" s="62"/>
      <c r="M772" s="62"/>
      <c r="N772" s="87"/>
      <c r="O772" s="87"/>
      <c r="P772" s="87"/>
      <c r="Q772" s="87"/>
      <c r="R772" s="87"/>
      <c r="S772" s="87"/>
      <c r="T772" s="62"/>
      <c r="U772" s="62"/>
      <c r="V772" s="62"/>
      <c r="W772" s="62"/>
      <c r="X772" s="62"/>
      <c r="Y772" s="62"/>
      <c r="Z772" s="87"/>
      <c r="AA772" s="87"/>
      <c r="AB772" s="87"/>
      <c r="AC772" s="87"/>
      <c r="AD772" s="87"/>
      <c r="AE772" s="87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87"/>
      <c r="C773" s="87"/>
      <c r="D773" s="87"/>
      <c r="E773" s="87"/>
      <c r="F773" s="87"/>
      <c r="G773" s="87"/>
      <c r="H773" s="62"/>
      <c r="I773" s="62"/>
      <c r="J773" s="62"/>
      <c r="K773" s="62"/>
      <c r="L773" s="62"/>
      <c r="M773" s="62"/>
      <c r="N773" s="87"/>
      <c r="O773" s="87"/>
      <c r="P773" s="87"/>
      <c r="Q773" s="87"/>
      <c r="R773" s="87"/>
      <c r="S773" s="87"/>
      <c r="T773" s="62"/>
      <c r="U773" s="62"/>
      <c r="V773" s="62"/>
      <c r="W773" s="62"/>
      <c r="X773" s="62"/>
      <c r="Y773" s="62"/>
      <c r="Z773" s="87"/>
      <c r="AA773" s="87"/>
      <c r="AB773" s="87"/>
      <c r="AC773" s="87"/>
      <c r="AD773" s="87"/>
      <c r="AE773" s="87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87"/>
      <c r="C774" s="87"/>
      <c r="D774" s="87"/>
      <c r="E774" s="87"/>
      <c r="F774" s="87"/>
      <c r="G774" s="87"/>
      <c r="H774" s="62"/>
      <c r="I774" s="62"/>
      <c r="J774" s="62"/>
      <c r="K774" s="62"/>
      <c r="L774" s="62"/>
      <c r="M774" s="62"/>
      <c r="N774" s="87"/>
      <c r="O774" s="87"/>
      <c r="P774" s="87"/>
      <c r="Q774" s="87"/>
      <c r="R774" s="87"/>
      <c r="S774" s="87"/>
      <c r="T774" s="62"/>
      <c r="U774" s="62"/>
      <c r="V774" s="62"/>
      <c r="W774" s="62"/>
      <c r="X774" s="62"/>
      <c r="Y774" s="62"/>
      <c r="Z774" s="87"/>
      <c r="AA774" s="87"/>
      <c r="AB774" s="87"/>
      <c r="AC774" s="87"/>
      <c r="AD774" s="87"/>
      <c r="AE774" s="87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87"/>
      <c r="C775" s="87"/>
      <c r="D775" s="87"/>
      <c r="E775" s="87"/>
      <c r="F775" s="87"/>
      <c r="G775" s="87"/>
      <c r="H775" s="62"/>
      <c r="I775" s="62"/>
      <c r="J775" s="62"/>
      <c r="K775" s="62"/>
      <c r="L775" s="62"/>
      <c r="M775" s="63"/>
      <c r="N775" s="87"/>
      <c r="O775" s="87"/>
      <c r="P775" s="87"/>
      <c r="Q775" s="87"/>
      <c r="R775" s="87"/>
      <c r="S775" s="87"/>
      <c r="T775" s="62"/>
      <c r="U775" s="62"/>
      <c r="V775" s="62"/>
      <c r="W775" s="62"/>
      <c r="X775" s="62"/>
      <c r="Y775" s="63"/>
      <c r="Z775" s="87"/>
      <c r="AA775" s="87"/>
      <c r="AB775" s="87"/>
      <c r="AC775" s="87"/>
      <c r="AD775" s="87"/>
      <c r="AE775" s="87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87"/>
      <c r="C776" s="87"/>
      <c r="D776" s="87"/>
      <c r="E776" s="87"/>
      <c r="F776" s="87"/>
      <c r="G776" s="87"/>
      <c r="H776" s="62"/>
      <c r="I776" s="62"/>
      <c r="J776" s="62"/>
      <c r="K776" s="62"/>
      <c r="L776" s="62"/>
      <c r="M776" s="62"/>
      <c r="N776" s="87"/>
      <c r="O776" s="87"/>
      <c r="P776" s="87"/>
      <c r="Q776" s="87"/>
      <c r="R776" s="87"/>
      <c r="S776" s="87"/>
      <c r="T776" s="62"/>
      <c r="U776" s="62"/>
      <c r="V776" s="62"/>
      <c r="W776" s="62"/>
      <c r="X776" s="62"/>
      <c r="Y776" s="62"/>
      <c r="Z776" s="87"/>
      <c r="AA776" s="87"/>
      <c r="AB776" s="87"/>
      <c r="AC776" s="87"/>
      <c r="AD776" s="87"/>
      <c r="AE776" s="87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87"/>
      <c r="C777" s="87"/>
      <c r="D777" s="87"/>
      <c r="E777" s="87"/>
      <c r="F777" s="87"/>
      <c r="G777" s="87"/>
      <c r="H777" s="62"/>
      <c r="I777" s="87"/>
      <c r="J777" s="73"/>
      <c r="K777" s="62"/>
      <c r="L777" s="62"/>
      <c r="M777" s="62"/>
      <c r="N777" s="87"/>
      <c r="O777" s="87"/>
      <c r="P777" s="87"/>
      <c r="Q777" s="87"/>
      <c r="R777" s="87"/>
      <c r="S777" s="87"/>
      <c r="T777" s="62"/>
      <c r="U777" s="87"/>
      <c r="V777" s="73"/>
      <c r="W777" s="62"/>
      <c r="X777" s="62"/>
      <c r="Y777" s="62"/>
      <c r="Z777" s="87"/>
      <c r="AA777" s="87"/>
      <c r="AB777" s="87"/>
      <c r="AC777" s="87"/>
      <c r="AD777" s="87"/>
      <c r="AE777" s="87"/>
      <c r="AF777" s="62"/>
      <c r="AG777" s="87"/>
      <c r="AH777" s="87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87"/>
      <c r="C778" s="87"/>
      <c r="D778" s="87"/>
      <c r="E778" s="87"/>
      <c r="F778" s="87"/>
      <c r="G778" s="87"/>
      <c r="H778" s="62"/>
      <c r="I778" s="65"/>
      <c r="J778" s="65"/>
      <c r="K778" s="62"/>
      <c r="L778" s="62"/>
      <c r="M778" s="64"/>
      <c r="N778" s="87"/>
      <c r="O778" s="87"/>
      <c r="P778" s="87"/>
      <c r="Q778" s="87"/>
      <c r="R778" s="87"/>
      <c r="S778" s="87"/>
      <c r="T778" s="62"/>
      <c r="U778" s="65"/>
      <c r="V778" s="65"/>
      <c r="W778" s="62"/>
      <c r="X778" s="62"/>
      <c r="Y778" s="64"/>
      <c r="Z778" s="87"/>
      <c r="AA778" s="87"/>
      <c r="AB778" s="87"/>
      <c r="AC778" s="87"/>
      <c r="AD778" s="87"/>
      <c r="AE778" s="87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87"/>
      <c r="C779" s="87"/>
      <c r="D779" s="87"/>
      <c r="E779" s="87"/>
      <c r="F779" s="87"/>
      <c r="G779" s="87"/>
      <c r="H779" s="62"/>
      <c r="I779" s="62"/>
      <c r="J779" s="62"/>
      <c r="K779" s="62"/>
      <c r="L779" s="62"/>
      <c r="M779" s="62"/>
      <c r="N779" s="87"/>
      <c r="O779" s="87"/>
      <c r="P779" s="87"/>
      <c r="Q779" s="87"/>
      <c r="R779" s="87"/>
      <c r="S779" s="87"/>
      <c r="T779" s="62"/>
      <c r="U779" s="62"/>
      <c r="V779" s="62"/>
      <c r="W779" s="62"/>
      <c r="X779" s="62"/>
      <c r="Y779" s="62"/>
      <c r="Z779" s="87"/>
      <c r="AA779" s="87"/>
      <c r="AB779" s="87"/>
      <c r="AC779" s="87"/>
      <c r="AD779" s="87"/>
      <c r="AE779" s="87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87"/>
      <c r="D780" s="108"/>
      <c r="E780" s="108"/>
      <c r="F780" s="87"/>
      <c r="G780" s="87"/>
      <c r="H780" s="62"/>
      <c r="I780" s="108"/>
      <c r="J780" s="108"/>
      <c r="K780" s="109"/>
      <c r="L780" s="62"/>
      <c r="M780" s="62"/>
      <c r="N780" s="65"/>
      <c r="O780" s="87"/>
      <c r="P780" s="108"/>
      <c r="Q780" s="108"/>
      <c r="R780" s="87"/>
      <c r="S780" s="87"/>
      <c r="T780" s="62"/>
      <c r="U780" s="108"/>
      <c r="V780" s="108"/>
      <c r="W780" s="109"/>
      <c r="X780" s="62"/>
      <c r="Y780" s="62"/>
      <c r="Z780" s="65"/>
      <c r="AA780" s="87"/>
      <c r="AB780" s="108"/>
      <c r="AC780" s="108"/>
      <c r="AD780" s="87"/>
      <c r="AE780" s="87"/>
      <c r="AF780" s="62"/>
      <c r="AG780" s="108"/>
      <c r="AH780" s="108"/>
      <c r="AI780" s="109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87"/>
      <c r="C781" s="87"/>
      <c r="D781" s="79"/>
      <c r="E781" s="80"/>
      <c r="F781" s="81"/>
      <c r="G781" s="81"/>
      <c r="H781" s="62"/>
      <c r="I781" s="88"/>
      <c r="J781" s="88"/>
      <c r="K781" s="109"/>
      <c r="L781" s="62"/>
      <c r="M781" s="62"/>
      <c r="N781" s="87"/>
      <c r="O781" s="87"/>
      <c r="P781" s="79"/>
      <c r="Q781" s="81"/>
      <c r="R781" s="81"/>
      <c r="S781" s="81"/>
      <c r="T781" s="62"/>
      <c r="U781" s="88"/>
      <c r="V781" s="88"/>
      <c r="W781" s="109"/>
      <c r="X781" s="62"/>
      <c r="Y781" s="62"/>
      <c r="Z781" s="87"/>
      <c r="AA781" s="87"/>
      <c r="AB781" s="79"/>
      <c r="AC781" s="81"/>
      <c r="AD781" s="81"/>
      <c r="AE781" s="81"/>
      <c r="AF781" s="62"/>
      <c r="AG781" s="88"/>
      <c r="AH781" s="88"/>
      <c r="AI781" s="109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87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87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87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87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87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87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7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87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87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65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87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87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8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87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87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7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87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65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8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87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87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87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87"/>
      <c r="AB790" s="60"/>
      <c r="AC790" s="60"/>
      <c r="AD790" s="60"/>
      <c r="AE790" s="60"/>
      <c r="AF790" s="61"/>
      <c r="AG790" s="62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7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87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87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87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87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87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8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87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87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87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87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87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87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87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87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65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5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87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87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87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87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87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87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87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62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7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87"/>
      <c r="P802" s="67"/>
      <c r="Q802" s="87"/>
      <c r="R802" s="87"/>
      <c r="S802" s="60"/>
      <c r="T802" s="62"/>
      <c r="U802" s="62"/>
      <c r="V802" s="62"/>
      <c r="W802" s="61"/>
      <c r="X802" s="62"/>
      <c r="Y802" s="62"/>
      <c r="Z802" s="66"/>
      <c r="AA802" s="87"/>
      <c r="AB802" s="67"/>
      <c r="AC802" s="87"/>
      <c r="AD802" s="87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8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87"/>
      <c r="P803" s="68"/>
      <c r="Q803" s="87"/>
      <c r="R803" s="87"/>
      <c r="S803" s="60"/>
      <c r="T803" s="62"/>
      <c r="U803" s="62"/>
      <c r="V803" s="62"/>
      <c r="W803" s="61"/>
      <c r="X803" s="62"/>
      <c r="Y803" s="62"/>
      <c r="Z803" s="66"/>
      <c r="AA803" s="87"/>
      <c r="AB803" s="68"/>
      <c r="AC803" s="87"/>
      <c r="AD803" s="87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87"/>
      <c r="P804" s="69"/>
      <c r="Q804" s="87"/>
      <c r="R804" s="62"/>
      <c r="S804" s="60"/>
      <c r="T804" s="62"/>
      <c r="U804" s="62"/>
      <c r="V804" s="62"/>
      <c r="W804" s="61"/>
      <c r="X804" s="62"/>
      <c r="Y804" s="62"/>
      <c r="Z804" s="66"/>
      <c r="AA804" s="87"/>
      <c r="AB804" s="69"/>
      <c r="AC804" s="62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87"/>
      <c r="P805" s="69"/>
      <c r="Q805" s="87"/>
      <c r="R805" s="87"/>
      <c r="S805" s="60"/>
      <c r="T805" s="62"/>
      <c r="U805" s="62"/>
      <c r="V805" s="62"/>
      <c r="W805" s="61"/>
      <c r="X805" s="62"/>
      <c r="Y805" s="62"/>
      <c r="Z805" s="66"/>
      <c r="AA805" s="87"/>
      <c r="AB805" s="69"/>
      <c r="AC805" s="87"/>
      <c r="AD805" s="87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7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87"/>
      <c r="P806" s="69"/>
      <c r="Q806" s="87"/>
      <c r="R806" s="87"/>
      <c r="S806" s="60"/>
      <c r="T806" s="62"/>
      <c r="U806" s="62"/>
      <c r="V806" s="62"/>
      <c r="W806" s="61"/>
      <c r="X806" s="62"/>
      <c r="Y806" s="62"/>
      <c r="Z806" s="66"/>
      <c r="AA806" s="87"/>
      <c r="AB806" s="69"/>
      <c r="AC806" s="87"/>
      <c r="AD806" s="87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8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87"/>
      <c r="P807" s="69"/>
      <c r="Q807" s="87"/>
      <c r="R807" s="87"/>
      <c r="S807" s="60"/>
      <c r="T807" s="62"/>
      <c r="U807" s="62"/>
      <c r="V807" s="62"/>
      <c r="W807" s="61"/>
      <c r="X807" s="62"/>
      <c r="Y807" s="62"/>
      <c r="Z807" s="66"/>
      <c r="AA807" s="87"/>
      <c r="AB807" s="69"/>
      <c r="AC807" s="87"/>
      <c r="AD807" s="87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87"/>
      <c r="P808" s="69"/>
      <c r="Q808" s="87"/>
      <c r="R808" s="87"/>
      <c r="S808" s="60"/>
      <c r="T808" s="62"/>
      <c r="U808" s="62"/>
      <c r="V808" s="62"/>
      <c r="W808" s="61"/>
      <c r="X808" s="62"/>
      <c r="Y808" s="62"/>
      <c r="Z808" s="66"/>
      <c r="AA808" s="87"/>
      <c r="AB808" s="69"/>
      <c r="AC808" s="87"/>
      <c r="AD808" s="87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87"/>
      <c r="P809" s="69"/>
      <c r="Q809" s="87"/>
      <c r="R809" s="87"/>
      <c r="S809" s="60"/>
      <c r="T809" s="62"/>
      <c r="U809" s="62"/>
      <c r="V809" s="62"/>
      <c r="W809" s="61"/>
      <c r="X809" s="62"/>
      <c r="Y809" s="62"/>
      <c r="Z809" s="66"/>
      <c r="AA809" s="87"/>
      <c r="AB809" s="69"/>
      <c r="AC809" s="87"/>
      <c r="AD809" s="87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87"/>
      <c r="P810" s="69"/>
      <c r="Q810" s="87"/>
      <c r="R810" s="87"/>
      <c r="S810" s="60"/>
      <c r="T810" s="62"/>
      <c r="U810" s="62"/>
      <c r="V810" s="62"/>
      <c r="W810" s="61"/>
      <c r="X810" s="62"/>
      <c r="Y810" s="62"/>
      <c r="Z810" s="66"/>
      <c r="AA810" s="87"/>
      <c r="AB810" s="69"/>
      <c r="AC810" s="87"/>
      <c r="AD810" s="87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87"/>
      <c r="P811" s="69"/>
      <c r="Q811" s="87"/>
      <c r="R811" s="87"/>
      <c r="S811" s="60"/>
      <c r="T811" s="62"/>
      <c r="U811" s="62"/>
      <c r="V811" s="62"/>
      <c r="W811" s="61"/>
      <c r="X811" s="62"/>
      <c r="Y811" s="62"/>
      <c r="Z811" s="66"/>
      <c r="AA811" s="87"/>
      <c r="AB811" s="69"/>
      <c r="AC811" s="87"/>
      <c r="AD811" s="87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87"/>
      <c r="P812" s="69"/>
      <c r="Q812" s="87"/>
      <c r="R812" s="87"/>
      <c r="S812" s="60"/>
      <c r="T812" s="62"/>
      <c r="U812" s="62"/>
      <c r="V812" s="62"/>
      <c r="W812" s="61"/>
      <c r="X812" s="62"/>
      <c r="Y812" s="62"/>
      <c r="Z812" s="66"/>
      <c r="AA812" s="87"/>
      <c r="AB812" s="69"/>
      <c r="AC812" s="87"/>
      <c r="AD812" s="87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87"/>
      <c r="P813" s="69"/>
      <c r="Q813" s="87"/>
      <c r="R813" s="87"/>
      <c r="S813" s="60"/>
      <c r="T813" s="62"/>
      <c r="U813" s="62"/>
      <c r="V813" s="62"/>
      <c r="W813" s="61"/>
      <c r="X813" s="62"/>
      <c r="Y813" s="62"/>
      <c r="Z813" s="66"/>
      <c r="AA813" s="87"/>
      <c r="AB813" s="69"/>
      <c r="AC813" s="87"/>
      <c r="AD813" s="87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87"/>
      <c r="P814" s="69"/>
      <c r="Q814" s="87"/>
      <c r="R814" s="87"/>
      <c r="S814" s="60"/>
      <c r="T814" s="62"/>
      <c r="U814" s="62"/>
      <c r="V814" s="62"/>
      <c r="W814" s="61"/>
      <c r="X814" s="62"/>
      <c r="Y814" s="62"/>
      <c r="Z814" s="66"/>
      <c r="AA814" s="87"/>
      <c r="AB814" s="69"/>
      <c r="AC814" s="87"/>
      <c r="AD814" s="87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87"/>
      <c r="P815" s="69"/>
      <c r="Q815" s="87"/>
      <c r="R815" s="87"/>
      <c r="S815" s="60"/>
      <c r="T815" s="62"/>
      <c r="U815" s="62"/>
      <c r="V815" s="62"/>
      <c r="W815" s="61"/>
      <c r="X815" s="62"/>
      <c r="Y815" s="62"/>
      <c r="Z815" s="66"/>
      <c r="AA815" s="87"/>
      <c r="AB815" s="69"/>
      <c r="AC815" s="87"/>
      <c r="AD815" s="87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87"/>
      <c r="P816" s="69"/>
      <c r="Q816" s="87"/>
      <c r="R816" s="87"/>
      <c r="S816" s="60"/>
      <c r="T816" s="62"/>
      <c r="U816" s="62"/>
      <c r="V816" s="62"/>
      <c r="W816" s="61"/>
      <c r="X816" s="62"/>
      <c r="Y816" s="62"/>
      <c r="Z816" s="66"/>
      <c r="AA816" s="87"/>
      <c r="AB816" s="69"/>
      <c r="AC816" s="87"/>
      <c r="AD816" s="87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87"/>
      <c r="P817" s="69"/>
      <c r="Q817" s="87"/>
      <c r="R817" s="87"/>
      <c r="S817" s="60"/>
      <c r="T817" s="62"/>
      <c r="U817" s="62"/>
      <c r="V817" s="62"/>
      <c r="W817" s="61"/>
      <c r="X817" s="62"/>
      <c r="Y817" s="62"/>
      <c r="Z817" s="66"/>
      <c r="AA817" s="87"/>
      <c r="AB817" s="69"/>
      <c r="AC817" s="87"/>
      <c r="AD817" s="87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7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87"/>
      <c r="R818" s="87"/>
      <c r="S818" s="60"/>
      <c r="T818" s="62"/>
      <c r="U818" s="62"/>
      <c r="V818" s="62"/>
      <c r="W818" s="61"/>
      <c r="X818" s="62"/>
      <c r="Y818" s="62"/>
      <c r="Z818" s="66"/>
      <c r="AA818" s="87"/>
      <c r="AB818" s="69"/>
      <c r="AC818" s="87"/>
      <c r="AD818" s="87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87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87"/>
      <c r="P819" s="69"/>
      <c r="Q819" s="87"/>
      <c r="R819" s="87"/>
      <c r="S819" s="60"/>
      <c r="T819" s="62"/>
      <c r="U819" s="62"/>
      <c r="V819" s="62"/>
      <c r="W819" s="61"/>
      <c r="X819" s="62"/>
      <c r="Y819" s="62"/>
      <c r="Z819" s="66"/>
      <c r="AA819" s="87"/>
      <c r="AB819" s="69"/>
      <c r="AC819" s="87"/>
      <c r="AD819" s="87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87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87"/>
      <c r="P820" s="69"/>
      <c r="Q820" s="87"/>
      <c r="R820" s="87"/>
      <c r="S820" s="60"/>
      <c r="T820" s="62"/>
      <c r="U820" s="62"/>
      <c r="V820" s="62"/>
      <c r="W820" s="61"/>
      <c r="X820" s="62"/>
      <c r="Y820" s="62"/>
      <c r="Z820" s="66"/>
      <c r="AA820" s="87"/>
      <c r="AB820" s="69"/>
      <c r="AC820" s="87"/>
      <c r="AD820" s="87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87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87"/>
      <c r="R821" s="87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87"/>
      <c r="AD821" s="87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87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87"/>
      <c r="P822" s="69"/>
      <c r="Q822" s="87"/>
      <c r="R822" s="87"/>
      <c r="S822" s="60"/>
      <c r="T822" s="62"/>
      <c r="U822" s="62"/>
      <c r="V822" s="62"/>
      <c r="W822" s="61"/>
      <c r="X822" s="62"/>
      <c r="Y822" s="62"/>
      <c r="Z822" s="66"/>
      <c r="AA822" s="87"/>
      <c r="AB822" s="69"/>
      <c r="AC822" s="87"/>
      <c r="AD822" s="87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87"/>
      <c r="O823" s="87"/>
      <c r="P823" s="87"/>
      <c r="Q823" s="87"/>
      <c r="R823" s="87"/>
      <c r="S823" s="87"/>
      <c r="T823" s="62"/>
      <c r="U823" s="62"/>
      <c r="V823" s="62"/>
      <c r="W823" s="61"/>
      <c r="X823" s="62"/>
      <c r="Y823" s="62"/>
      <c r="Z823" s="87"/>
      <c r="AA823" s="87"/>
      <c r="AB823" s="87"/>
      <c r="AC823" s="87"/>
      <c r="AD823" s="87"/>
      <c r="AE823" s="87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87"/>
      <c r="O824" s="87"/>
      <c r="P824" s="87"/>
      <c r="Q824" s="87"/>
      <c r="R824" s="87"/>
      <c r="S824" s="87"/>
      <c r="T824" s="62"/>
      <c r="U824" s="62"/>
      <c r="V824" s="62"/>
      <c r="W824" s="62"/>
      <c r="X824" s="62"/>
      <c r="Y824" s="62"/>
      <c r="Z824" s="87"/>
      <c r="AA824" s="87"/>
      <c r="AB824" s="87"/>
      <c r="AC824" s="87"/>
      <c r="AD824" s="87"/>
      <c r="AE824" s="87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66"/>
      <c r="C825" s="66"/>
      <c r="D825" s="60"/>
      <c r="E825" s="60"/>
      <c r="F825" s="60"/>
      <c r="G825" s="60"/>
      <c r="H825" s="62"/>
      <c r="I825" s="62"/>
      <c r="J825" s="62"/>
      <c r="K825" s="61"/>
      <c r="L825" s="62"/>
      <c r="M825" s="62"/>
      <c r="N825" s="87"/>
      <c r="O825" s="87"/>
      <c r="P825" s="70"/>
      <c r="Q825" s="70"/>
      <c r="R825" s="70"/>
      <c r="S825" s="70"/>
      <c r="T825" s="63"/>
      <c r="U825" s="70"/>
      <c r="V825" s="70"/>
      <c r="W825" s="70"/>
      <c r="X825" s="62"/>
      <c r="Y825" s="62"/>
      <c r="Z825" s="87"/>
      <c r="AA825" s="87"/>
      <c r="AB825" s="70"/>
      <c r="AC825" s="70"/>
      <c r="AD825" s="70"/>
      <c r="AE825" s="70"/>
      <c r="AF825" s="63"/>
      <c r="AG825" s="70"/>
      <c r="AH825" s="70"/>
      <c r="AI825" s="70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87"/>
      <c r="C827" s="87"/>
      <c r="D827" s="87"/>
      <c r="E827" s="87"/>
      <c r="F827" s="87"/>
      <c r="G827" s="87"/>
      <c r="H827" s="62"/>
      <c r="I827" s="62"/>
      <c r="J827" s="62"/>
      <c r="K827" s="62"/>
      <c r="L827" s="62"/>
      <c r="M827" s="62"/>
      <c r="N827" s="87"/>
      <c r="O827" s="87"/>
      <c r="P827" s="87"/>
      <c r="Q827" s="87"/>
      <c r="R827" s="87"/>
      <c r="S827" s="87"/>
      <c r="T827" s="62"/>
      <c r="U827" s="62"/>
      <c r="V827" s="62"/>
      <c r="W827" s="62"/>
      <c r="X827" s="62"/>
      <c r="Y827" s="62"/>
      <c r="Z827" s="87"/>
      <c r="AA827" s="87"/>
      <c r="AB827" s="87"/>
      <c r="AC827" s="87"/>
      <c r="AD827" s="87"/>
      <c r="AE827" s="87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7"/>
      <c r="C828" s="87"/>
      <c r="D828" s="87"/>
      <c r="E828" s="87"/>
      <c r="F828" s="87"/>
      <c r="G828" s="87"/>
      <c r="H828" s="62"/>
      <c r="I828" s="62"/>
      <c r="J828" s="62"/>
      <c r="K828" s="62"/>
      <c r="L828" s="62"/>
      <c r="M828" s="62"/>
      <c r="N828" s="87"/>
      <c r="O828" s="87"/>
      <c r="P828" s="87"/>
      <c r="Q828" s="87"/>
      <c r="R828" s="87"/>
      <c r="S828" s="87"/>
      <c r="T828" s="62"/>
      <c r="U828" s="62"/>
      <c r="V828" s="62"/>
      <c r="W828" s="62"/>
      <c r="X828" s="62"/>
      <c r="Y828" s="62"/>
      <c r="Z828" s="87"/>
      <c r="AA828" s="87"/>
      <c r="AB828" s="87"/>
      <c r="AC828" s="87"/>
      <c r="AD828" s="87"/>
      <c r="AE828" s="87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7"/>
      <c r="C829" s="87"/>
      <c r="D829" s="87"/>
      <c r="E829" s="87"/>
      <c r="F829" s="87"/>
      <c r="G829" s="87"/>
      <c r="H829" s="62"/>
      <c r="I829" s="62"/>
      <c r="J829" s="62"/>
      <c r="K829" s="62"/>
      <c r="L829" s="62"/>
      <c r="M829" s="62"/>
      <c r="N829" s="87"/>
      <c r="O829" s="87"/>
      <c r="P829" s="87"/>
      <c r="Q829" s="87"/>
      <c r="R829" s="87"/>
      <c r="S829" s="87"/>
      <c r="T829" s="62"/>
      <c r="U829" s="62"/>
      <c r="V829" s="62"/>
      <c r="W829" s="62"/>
      <c r="X829" s="62"/>
      <c r="Y829" s="62"/>
      <c r="Z829" s="87"/>
      <c r="AA829" s="87"/>
      <c r="AB829" s="87"/>
      <c r="AC829" s="87"/>
      <c r="AD829" s="87"/>
      <c r="AE829" s="87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7"/>
      <c r="C830" s="87"/>
      <c r="D830" s="87"/>
      <c r="E830" s="87"/>
      <c r="F830" s="87"/>
      <c r="G830" s="87"/>
      <c r="H830" s="62"/>
      <c r="I830" s="62"/>
      <c r="J830" s="62"/>
      <c r="K830" s="62"/>
      <c r="L830" s="62"/>
      <c r="M830" s="63"/>
      <c r="N830" s="87"/>
      <c r="O830" s="87"/>
      <c r="P830" s="87"/>
      <c r="Q830" s="87"/>
      <c r="R830" s="87"/>
      <c r="S830" s="87"/>
      <c r="T830" s="62"/>
      <c r="U830" s="62"/>
      <c r="V830" s="62"/>
      <c r="W830" s="62"/>
      <c r="X830" s="62"/>
      <c r="Y830" s="63"/>
      <c r="Z830" s="87"/>
      <c r="AA830" s="87"/>
      <c r="AB830" s="87"/>
      <c r="AC830" s="87"/>
      <c r="AD830" s="87"/>
      <c r="AE830" s="87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7"/>
      <c r="C831" s="87"/>
      <c r="D831" s="87"/>
      <c r="E831" s="87"/>
      <c r="F831" s="87"/>
      <c r="G831" s="87"/>
      <c r="H831" s="62"/>
      <c r="I831" s="62"/>
      <c r="J831" s="62"/>
      <c r="K831" s="62"/>
      <c r="L831" s="62"/>
      <c r="M831" s="62"/>
      <c r="N831" s="87"/>
      <c r="O831" s="87"/>
      <c r="P831" s="87"/>
      <c r="Q831" s="87"/>
      <c r="R831" s="87"/>
      <c r="S831" s="87"/>
      <c r="T831" s="62"/>
      <c r="U831" s="62"/>
      <c r="V831" s="62"/>
      <c r="W831" s="62"/>
      <c r="X831" s="62"/>
      <c r="Y831" s="62"/>
      <c r="Z831" s="87"/>
      <c r="AA831" s="87"/>
      <c r="AB831" s="87"/>
      <c r="AC831" s="87"/>
      <c r="AD831" s="87"/>
      <c r="AE831" s="87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7"/>
      <c r="C832" s="87"/>
      <c r="D832" s="87"/>
      <c r="E832" s="87"/>
      <c r="F832" s="87"/>
      <c r="G832" s="87"/>
      <c r="H832" s="62"/>
      <c r="I832" s="87"/>
      <c r="J832" s="73"/>
      <c r="K832" s="62"/>
      <c r="L832" s="62"/>
      <c r="M832" s="62"/>
      <c r="N832" s="87"/>
      <c r="O832" s="87"/>
      <c r="P832" s="87"/>
      <c r="Q832" s="87"/>
      <c r="R832" s="87"/>
      <c r="S832" s="87"/>
      <c r="T832" s="62"/>
      <c r="U832" s="87"/>
      <c r="V832" s="73"/>
      <c r="W832" s="62"/>
      <c r="X832" s="62"/>
      <c r="Y832" s="62"/>
      <c r="Z832" s="87"/>
      <c r="AA832" s="87"/>
      <c r="AB832" s="87"/>
      <c r="AC832" s="87"/>
      <c r="AD832" s="87"/>
      <c r="AE832" s="87"/>
      <c r="AF832" s="62"/>
      <c r="AG832" s="87"/>
      <c r="AH832" s="87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7"/>
      <c r="C833" s="87"/>
      <c r="D833" s="87"/>
      <c r="E833" s="87"/>
      <c r="F833" s="87"/>
      <c r="G833" s="87"/>
      <c r="H833" s="62"/>
      <c r="I833" s="65"/>
      <c r="J833" s="65"/>
      <c r="K833" s="62"/>
      <c r="L833" s="62"/>
      <c r="M833" s="64"/>
      <c r="N833" s="87"/>
      <c r="O833" s="87"/>
      <c r="P833" s="87"/>
      <c r="Q833" s="87"/>
      <c r="R833" s="87"/>
      <c r="S833" s="87"/>
      <c r="T833" s="62"/>
      <c r="U833" s="65"/>
      <c r="V833" s="65"/>
      <c r="W833" s="62"/>
      <c r="X833" s="62"/>
      <c r="Y833" s="64"/>
      <c r="Z833" s="87"/>
      <c r="AA833" s="87"/>
      <c r="AB833" s="87"/>
      <c r="AC833" s="87"/>
      <c r="AD833" s="87"/>
      <c r="AE833" s="87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7"/>
      <c r="C834" s="87"/>
      <c r="D834" s="87"/>
      <c r="E834" s="87"/>
      <c r="F834" s="87"/>
      <c r="G834" s="87"/>
      <c r="H834" s="62"/>
      <c r="I834" s="62"/>
      <c r="J834" s="62"/>
      <c r="K834" s="62"/>
      <c r="L834" s="62"/>
      <c r="M834" s="62"/>
      <c r="N834" s="87"/>
      <c r="O834" s="87"/>
      <c r="P834" s="87"/>
      <c r="Q834" s="87"/>
      <c r="R834" s="87"/>
      <c r="S834" s="87"/>
      <c r="T834" s="62"/>
      <c r="U834" s="62"/>
      <c r="V834" s="62"/>
      <c r="W834" s="62"/>
      <c r="X834" s="62"/>
      <c r="Y834" s="62"/>
      <c r="Z834" s="87"/>
      <c r="AA834" s="87"/>
      <c r="AB834" s="87"/>
      <c r="AC834" s="87"/>
      <c r="AD834" s="87"/>
      <c r="AE834" s="87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7"/>
      <c r="D835" s="108"/>
      <c r="E835" s="108"/>
      <c r="F835" s="87"/>
      <c r="G835" s="87"/>
      <c r="H835" s="62"/>
      <c r="I835" s="108"/>
      <c r="J835" s="108"/>
      <c r="K835" s="109"/>
      <c r="L835" s="62"/>
      <c r="M835" s="62"/>
      <c r="N835" s="65"/>
      <c r="O835" s="87"/>
      <c r="P835" s="108"/>
      <c r="Q835" s="108"/>
      <c r="R835" s="87"/>
      <c r="S835" s="87"/>
      <c r="T835" s="62"/>
      <c r="U835" s="108"/>
      <c r="V835" s="108"/>
      <c r="W835" s="109"/>
      <c r="X835" s="62"/>
      <c r="Y835" s="62"/>
      <c r="Z835" s="65"/>
      <c r="AA835" s="87"/>
      <c r="AB835" s="108"/>
      <c r="AC835" s="108"/>
      <c r="AD835" s="87"/>
      <c r="AE835" s="87"/>
      <c r="AF835" s="62"/>
      <c r="AG835" s="108"/>
      <c r="AH835" s="108"/>
      <c r="AI835" s="109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7"/>
      <c r="C836" s="87"/>
      <c r="D836" s="79"/>
      <c r="E836" s="80"/>
      <c r="F836" s="81"/>
      <c r="G836" s="81"/>
      <c r="H836" s="62"/>
      <c r="I836" s="88"/>
      <c r="J836" s="88"/>
      <c r="K836" s="109"/>
      <c r="L836" s="62"/>
      <c r="M836" s="62"/>
      <c r="N836" s="87"/>
      <c r="O836" s="87"/>
      <c r="P836" s="79"/>
      <c r="Q836" s="81"/>
      <c r="R836" s="81"/>
      <c r="S836" s="81"/>
      <c r="T836" s="62"/>
      <c r="U836" s="88"/>
      <c r="V836" s="88"/>
      <c r="W836" s="109"/>
      <c r="X836" s="62"/>
      <c r="Y836" s="62"/>
      <c r="Z836" s="87"/>
      <c r="AA836" s="87"/>
      <c r="AB836" s="79"/>
      <c r="AC836" s="81"/>
      <c r="AD836" s="81"/>
      <c r="AE836" s="81"/>
      <c r="AF836" s="62"/>
      <c r="AG836" s="88"/>
      <c r="AH836" s="88"/>
      <c r="AI836" s="109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7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7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7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7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7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7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7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7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65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7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7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65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7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87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7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8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7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7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7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7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7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7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7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2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7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87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7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7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7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7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7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7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65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2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7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7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87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7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7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7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7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87"/>
      <c r="P857" s="67"/>
      <c r="Q857" s="87"/>
      <c r="R857" s="87"/>
      <c r="S857" s="60"/>
      <c r="T857" s="62"/>
      <c r="U857" s="62"/>
      <c r="V857" s="62"/>
      <c r="W857" s="61"/>
      <c r="X857" s="62"/>
      <c r="Y857" s="62"/>
      <c r="Z857" s="66"/>
      <c r="AA857" s="87"/>
      <c r="AB857" s="67"/>
      <c r="AC857" s="87"/>
      <c r="AD857" s="87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7"/>
      <c r="P858" s="68"/>
      <c r="Q858" s="87"/>
      <c r="R858" s="87"/>
      <c r="S858" s="60"/>
      <c r="T858" s="62"/>
      <c r="U858" s="62"/>
      <c r="V858" s="62"/>
      <c r="W858" s="61"/>
      <c r="X858" s="62"/>
      <c r="Y858" s="62"/>
      <c r="Z858" s="66"/>
      <c r="AA858" s="87"/>
      <c r="AB858" s="68"/>
      <c r="AC858" s="87"/>
      <c r="AD858" s="87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7"/>
      <c r="P859" s="69"/>
      <c r="Q859" s="87"/>
      <c r="R859" s="62"/>
      <c r="S859" s="60"/>
      <c r="T859" s="62"/>
      <c r="U859" s="62"/>
      <c r="V859" s="62"/>
      <c r="W859" s="61"/>
      <c r="X859" s="62"/>
      <c r="Y859" s="62"/>
      <c r="Z859" s="66"/>
      <c r="AA859" s="87"/>
      <c r="AB859" s="69"/>
      <c r="AC859" s="62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7"/>
      <c r="P860" s="69"/>
      <c r="Q860" s="87"/>
      <c r="R860" s="87"/>
      <c r="S860" s="60"/>
      <c r="T860" s="62"/>
      <c r="U860" s="62"/>
      <c r="V860" s="62"/>
      <c r="W860" s="61"/>
      <c r="X860" s="62"/>
      <c r="Y860" s="62"/>
      <c r="Z860" s="66"/>
      <c r="AA860" s="87"/>
      <c r="AB860" s="69"/>
      <c r="AC860" s="87"/>
      <c r="AD860" s="87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7"/>
      <c r="P861" s="69"/>
      <c r="Q861" s="87"/>
      <c r="R861" s="87"/>
      <c r="S861" s="60"/>
      <c r="T861" s="62"/>
      <c r="U861" s="62"/>
      <c r="V861" s="62"/>
      <c r="W861" s="61"/>
      <c r="X861" s="62"/>
      <c r="Y861" s="62"/>
      <c r="Z861" s="66"/>
      <c r="AA861" s="87"/>
      <c r="AB861" s="69"/>
      <c r="AC861" s="87"/>
      <c r="AD861" s="87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87"/>
      <c r="P862" s="69"/>
      <c r="Q862" s="87"/>
      <c r="R862" s="87"/>
      <c r="S862" s="60"/>
      <c r="T862" s="62"/>
      <c r="U862" s="62"/>
      <c r="V862" s="62"/>
      <c r="W862" s="61"/>
      <c r="X862" s="62"/>
      <c r="Y862" s="62"/>
      <c r="Z862" s="66"/>
      <c r="AA862" s="87"/>
      <c r="AB862" s="69"/>
      <c r="AC862" s="87"/>
      <c r="AD862" s="87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7"/>
      <c r="P863" s="69"/>
      <c r="Q863" s="87"/>
      <c r="R863" s="87"/>
      <c r="S863" s="60"/>
      <c r="T863" s="62"/>
      <c r="U863" s="62"/>
      <c r="V863" s="62"/>
      <c r="W863" s="61"/>
      <c r="X863" s="62"/>
      <c r="Y863" s="62"/>
      <c r="Z863" s="66"/>
      <c r="AA863" s="87"/>
      <c r="AB863" s="69"/>
      <c r="AC863" s="87"/>
      <c r="AD863" s="87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7"/>
      <c r="P864" s="69"/>
      <c r="Q864" s="87"/>
      <c r="R864" s="87"/>
      <c r="S864" s="60"/>
      <c r="T864" s="62"/>
      <c r="U864" s="62"/>
      <c r="V864" s="62"/>
      <c r="W864" s="61"/>
      <c r="X864" s="62"/>
      <c r="Y864" s="62"/>
      <c r="Z864" s="66"/>
      <c r="AA864" s="87"/>
      <c r="AB864" s="69"/>
      <c r="AC864" s="87"/>
      <c r="AD864" s="87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7"/>
      <c r="P865" s="69"/>
      <c r="Q865" s="87"/>
      <c r="R865" s="87"/>
      <c r="S865" s="60"/>
      <c r="T865" s="62"/>
      <c r="U865" s="62"/>
      <c r="V865" s="62"/>
      <c r="W865" s="61"/>
      <c r="X865" s="62"/>
      <c r="Y865" s="62"/>
      <c r="Z865" s="66"/>
      <c r="AA865" s="87"/>
      <c r="AB865" s="69"/>
      <c r="AC865" s="87"/>
      <c r="AD865" s="87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7"/>
      <c r="P866" s="69"/>
      <c r="Q866" s="87"/>
      <c r="R866" s="87"/>
      <c r="S866" s="60"/>
      <c r="T866" s="62"/>
      <c r="U866" s="62"/>
      <c r="V866" s="62"/>
      <c r="W866" s="61"/>
      <c r="X866" s="62"/>
      <c r="Y866" s="62"/>
      <c r="Z866" s="66"/>
      <c r="AA866" s="87"/>
      <c r="AB866" s="69"/>
      <c r="AC866" s="87"/>
      <c r="AD866" s="87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8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7"/>
      <c r="P867" s="69"/>
      <c r="Q867" s="87"/>
      <c r="R867" s="87"/>
      <c r="S867" s="60"/>
      <c r="T867" s="62"/>
      <c r="U867" s="62"/>
      <c r="V867" s="62"/>
      <c r="W867" s="61"/>
      <c r="X867" s="62"/>
      <c r="Y867" s="62"/>
      <c r="Z867" s="66"/>
      <c r="AA867" s="87"/>
      <c r="AB867" s="69"/>
      <c r="AC867" s="87"/>
      <c r="AD867" s="87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7"/>
      <c r="P868" s="69"/>
      <c r="Q868" s="87"/>
      <c r="R868" s="87"/>
      <c r="S868" s="60"/>
      <c r="T868" s="62"/>
      <c r="U868" s="62"/>
      <c r="V868" s="62"/>
      <c r="W868" s="61"/>
      <c r="X868" s="62"/>
      <c r="Y868" s="62"/>
      <c r="Z868" s="66"/>
      <c r="AA868" s="87"/>
      <c r="AB868" s="69"/>
      <c r="AC868" s="87"/>
      <c r="AD868" s="87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7"/>
      <c r="P869" s="69"/>
      <c r="Q869" s="87"/>
      <c r="R869" s="87"/>
      <c r="S869" s="60"/>
      <c r="T869" s="62"/>
      <c r="U869" s="62"/>
      <c r="V869" s="62"/>
      <c r="W869" s="61"/>
      <c r="X869" s="62"/>
      <c r="Y869" s="62"/>
      <c r="Z869" s="66"/>
      <c r="AA869" s="87"/>
      <c r="AB869" s="69"/>
      <c r="AC869" s="87"/>
      <c r="AD869" s="87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7"/>
      <c r="P870" s="69"/>
      <c r="Q870" s="87"/>
      <c r="R870" s="87"/>
      <c r="S870" s="60"/>
      <c r="T870" s="62"/>
      <c r="U870" s="62"/>
      <c r="V870" s="62"/>
      <c r="W870" s="61"/>
      <c r="X870" s="62"/>
      <c r="Y870" s="62"/>
      <c r="Z870" s="66"/>
      <c r="AA870" s="87"/>
      <c r="AB870" s="69"/>
      <c r="AC870" s="87"/>
      <c r="AD870" s="87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ht="15" customHeight="1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7"/>
      <c r="P871" s="69"/>
      <c r="Q871" s="87"/>
      <c r="R871" s="87"/>
      <c r="S871" s="60"/>
      <c r="T871" s="62"/>
      <c r="U871" s="62"/>
      <c r="V871" s="62"/>
      <c r="W871" s="61"/>
      <c r="X871" s="62"/>
      <c r="Y871" s="62"/>
      <c r="Z871" s="66"/>
      <c r="AA871" s="87"/>
      <c r="AB871" s="69"/>
      <c r="AC871" s="87"/>
      <c r="AD871" s="87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7"/>
      <c r="P872" s="69"/>
      <c r="Q872" s="87"/>
      <c r="R872" s="87"/>
      <c r="S872" s="60"/>
      <c r="T872" s="62"/>
      <c r="U872" s="62"/>
      <c r="V872" s="62"/>
      <c r="W872" s="61"/>
      <c r="X872" s="62"/>
      <c r="Y872" s="62"/>
      <c r="Z872" s="66"/>
      <c r="AA872" s="87"/>
      <c r="AB872" s="69"/>
      <c r="AC872" s="87"/>
      <c r="AD872" s="87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x14ac:dyDescent="0.25">
      <c r="A873" s="62"/>
      <c r="B873" s="66"/>
      <c r="C873" s="87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7"/>
      <c r="R873" s="87"/>
      <c r="S873" s="60"/>
      <c r="T873" s="62"/>
      <c r="U873" s="62"/>
      <c r="V873" s="62"/>
      <c r="W873" s="61"/>
      <c r="X873" s="62"/>
      <c r="Y873" s="62"/>
      <c r="Z873" s="66"/>
      <c r="AA873" s="87"/>
      <c r="AB873" s="69"/>
      <c r="AC873" s="87"/>
      <c r="AD873" s="87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7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7"/>
      <c r="P874" s="69"/>
      <c r="Q874" s="87"/>
      <c r="R874" s="87"/>
      <c r="S874" s="60"/>
      <c r="T874" s="62"/>
      <c r="U874" s="62"/>
      <c r="V874" s="62"/>
      <c r="W874" s="61"/>
      <c r="X874" s="62"/>
      <c r="Y874" s="62"/>
      <c r="Z874" s="66"/>
      <c r="AA874" s="87"/>
      <c r="AB874" s="69"/>
      <c r="AC874" s="87"/>
      <c r="AD874" s="87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7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7"/>
      <c r="P875" s="69"/>
      <c r="Q875" s="87"/>
      <c r="R875" s="87"/>
      <c r="S875" s="60"/>
      <c r="T875" s="62"/>
      <c r="U875" s="62"/>
      <c r="V875" s="62"/>
      <c r="W875" s="61"/>
      <c r="X875" s="62"/>
      <c r="Y875" s="62"/>
      <c r="Z875" s="66"/>
      <c r="AA875" s="87"/>
      <c r="AB875" s="69"/>
      <c r="AC875" s="87"/>
      <c r="AD875" s="87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7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7"/>
      <c r="R876" s="87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7"/>
      <c r="AD876" s="87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7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7"/>
      <c r="P877" s="69"/>
      <c r="Q877" s="87"/>
      <c r="R877" s="87"/>
      <c r="S877" s="60"/>
      <c r="T877" s="62"/>
      <c r="U877" s="62"/>
      <c r="V877" s="62"/>
      <c r="W877" s="61"/>
      <c r="X877" s="62"/>
      <c r="Y877" s="62"/>
      <c r="Z877" s="66"/>
      <c r="AA877" s="87"/>
      <c r="AB877" s="69"/>
      <c r="AC877" s="87"/>
      <c r="AD877" s="87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7"/>
      <c r="O878" s="87"/>
      <c r="P878" s="87"/>
      <c r="Q878" s="87"/>
      <c r="R878" s="87"/>
      <c r="S878" s="87"/>
      <c r="T878" s="62"/>
      <c r="U878" s="62"/>
      <c r="V878" s="62"/>
      <c r="W878" s="61"/>
      <c r="X878" s="62"/>
      <c r="Y878" s="62"/>
      <c r="Z878" s="87"/>
      <c r="AA878" s="87"/>
      <c r="AB878" s="87"/>
      <c r="AC878" s="87"/>
      <c r="AD878" s="87"/>
      <c r="AE878" s="87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7"/>
      <c r="C879" s="87"/>
      <c r="D879" s="87"/>
      <c r="E879" s="87"/>
      <c r="F879" s="87"/>
      <c r="G879" s="87"/>
      <c r="H879" s="62"/>
      <c r="I879" s="62"/>
      <c r="J879" s="62"/>
      <c r="K879" s="62"/>
      <c r="L879" s="62"/>
      <c r="M879" s="62"/>
      <c r="N879" s="87"/>
      <c r="O879" s="87"/>
      <c r="P879" s="87"/>
      <c r="Q879" s="87"/>
      <c r="R879" s="87"/>
      <c r="S879" s="87"/>
      <c r="T879" s="62"/>
      <c r="U879" s="62"/>
      <c r="V879" s="62"/>
      <c r="W879" s="62"/>
      <c r="X879" s="62"/>
      <c r="Y879" s="62"/>
      <c r="Z879" s="87"/>
      <c r="AA879" s="87"/>
      <c r="AB879" s="87"/>
      <c r="AC879" s="87"/>
      <c r="AD879" s="87"/>
      <c r="AE879" s="87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7"/>
      <c r="C880" s="87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7"/>
      <c r="O880" s="87"/>
      <c r="P880" s="70"/>
      <c r="Q880" s="70"/>
      <c r="R880" s="70"/>
      <c r="S880" s="70"/>
      <c r="T880" s="63"/>
      <c r="U880" s="70"/>
      <c r="V880" s="70"/>
      <c r="W880" s="70"/>
      <c r="X880" s="62"/>
      <c r="Y880" s="62"/>
      <c r="Z880" s="87"/>
      <c r="AA880" s="87"/>
      <c r="AB880" s="70"/>
      <c r="AC880" s="70"/>
      <c r="AD880" s="70"/>
      <c r="AE880" s="70"/>
      <c r="AF880" s="63"/>
      <c r="AG880" s="70"/>
      <c r="AH880" s="70"/>
      <c r="AI880" s="70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7"/>
      <c r="C882" s="87"/>
      <c r="D882" s="87"/>
      <c r="E882" s="87"/>
      <c r="F882" s="87"/>
      <c r="G882" s="87"/>
      <c r="H882" s="62"/>
      <c r="I882" s="62"/>
      <c r="J882" s="62"/>
      <c r="K882" s="62"/>
      <c r="L882" s="62"/>
      <c r="M882" s="62"/>
      <c r="N882" s="87"/>
      <c r="O882" s="87"/>
      <c r="P882" s="87"/>
      <c r="Q882" s="87"/>
      <c r="R882" s="87"/>
      <c r="S882" s="87"/>
      <c r="T882" s="62"/>
      <c r="U882" s="62"/>
      <c r="V882" s="62"/>
      <c r="W882" s="62"/>
      <c r="X882" s="62"/>
      <c r="Y882" s="62"/>
      <c r="Z882" s="87"/>
      <c r="AA882" s="87"/>
      <c r="AB882" s="87"/>
      <c r="AC882" s="87"/>
      <c r="AD882" s="87"/>
      <c r="AE882" s="87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7"/>
      <c r="C883" s="87"/>
      <c r="D883" s="87"/>
      <c r="E883" s="87"/>
      <c r="F883" s="87"/>
      <c r="G883" s="87"/>
      <c r="H883" s="62"/>
      <c r="I883" s="62"/>
      <c r="J883" s="62"/>
      <c r="K883" s="62"/>
      <c r="L883" s="62"/>
      <c r="M883" s="62"/>
      <c r="N883" s="87"/>
      <c r="O883" s="87"/>
      <c r="P883" s="87"/>
      <c r="Q883" s="87"/>
      <c r="R883" s="87"/>
      <c r="S883" s="87"/>
      <c r="T883" s="62"/>
      <c r="U883" s="62"/>
      <c r="V883" s="62"/>
      <c r="W883" s="62"/>
      <c r="X883" s="62"/>
      <c r="Y883" s="62"/>
      <c r="Z883" s="87"/>
      <c r="AA883" s="87"/>
      <c r="AB883" s="87"/>
      <c r="AC883" s="87"/>
      <c r="AD883" s="87"/>
      <c r="AE883" s="87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7"/>
      <c r="C884" s="87"/>
      <c r="D884" s="87"/>
      <c r="E884" s="87"/>
      <c r="F884" s="87"/>
      <c r="G884" s="87"/>
      <c r="H884" s="62"/>
      <c r="I884" s="62"/>
      <c r="J884" s="62"/>
      <c r="K884" s="62"/>
      <c r="L884" s="62"/>
      <c r="M884" s="62"/>
      <c r="N884" s="87"/>
      <c r="O884" s="87"/>
      <c r="P884" s="87"/>
      <c r="Q884" s="87"/>
      <c r="R884" s="87"/>
      <c r="S884" s="87"/>
      <c r="T884" s="62"/>
      <c r="U884" s="62"/>
      <c r="V884" s="62"/>
      <c r="W884" s="62"/>
      <c r="X884" s="62"/>
      <c r="Y884" s="62"/>
      <c r="Z884" s="87"/>
      <c r="AA884" s="87"/>
      <c r="AB884" s="87"/>
      <c r="AC884" s="87"/>
      <c r="AD884" s="87"/>
      <c r="AE884" s="87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7"/>
      <c r="C885" s="87"/>
      <c r="D885" s="87"/>
      <c r="E885" s="87"/>
      <c r="F885" s="87"/>
      <c r="G885" s="87"/>
      <c r="H885" s="62"/>
      <c r="I885" s="62"/>
      <c r="J885" s="62"/>
      <c r="K885" s="62"/>
      <c r="L885" s="62"/>
      <c r="M885" s="63"/>
      <c r="N885" s="87"/>
      <c r="O885" s="87"/>
      <c r="P885" s="87"/>
      <c r="Q885" s="87"/>
      <c r="R885" s="87"/>
      <c r="S885" s="87"/>
      <c r="T885" s="62"/>
      <c r="U885" s="62"/>
      <c r="V885" s="62"/>
      <c r="W885" s="62"/>
      <c r="X885" s="62"/>
      <c r="Y885" s="63"/>
      <c r="Z885" s="87"/>
      <c r="AA885" s="87"/>
      <c r="AB885" s="87"/>
      <c r="AC885" s="87"/>
      <c r="AD885" s="87"/>
      <c r="AE885" s="87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7"/>
      <c r="C886" s="87"/>
      <c r="D886" s="87"/>
      <c r="E886" s="87"/>
      <c r="F886" s="87"/>
      <c r="G886" s="87"/>
      <c r="H886" s="62"/>
      <c r="I886" s="62"/>
      <c r="J886" s="62"/>
      <c r="K886" s="62"/>
      <c r="L886" s="62"/>
      <c r="M886" s="62"/>
      <c r="N886" s="87"/>
      <c r="O886" s="87"/>
      <c r="P886" s="87"/>
      <c r="Q886" s="87"/>
      <c r="R886" s="87"/>
      <c r="S886" s="87"/>
      <c r="T886" s="62"/>
      <c r="U886" s="62"/>
      <c r="V886" s="62"/>
      <c r="W886" s="62"/>
      <c r="X886" s="62"/>
      <c r="Y886" s="62"/>
      <c r="Z886" s="87"/>
      <c r="AA886" s="87"/>
      <c r="AB886" s="87"/>
      <c r="AC886" s="87"/>
      <c r="AD886" s="87"/>
      <c r="AE886" s="87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7"/>
      <c r="C887" s="87"/>
      <c r="D887" s="87"/>
      <c r="E887" s="87"/>
      <c r="F887" s="87"/>
      <c r="G887" s="87"/>
      <c r="H887" s="62"/>
      <c r="I887" s="87"/>
      <c r="J887" s="73"/>
      <c r="K887" s="62"/>
      <c r="L887" s="62"/>
      <c r="M887" s="62"/>
      <c r="N887" s="87"/>
      <c r="O887" s="87"/>
      <c r="P887" s="87"/>
      <c r="Q887" s="87"/>
      <c r="R887" s="87"/>
      <c r="S887" s="87"/>
      <c r="T887" s="62"/>
      <c r="U887" s="87"/>
      <c r="V887" s="73"/>
      <c r="W887" s="62"/>
      <c r="X887" s="62"/>
      <c r="Y887" s="62"/>
      <c r="Z887" s="87"/>
      <c r="AA887" s="87"/>
      <c r="AB887" s="87"/>
      <c r="AC887" s="87"/>
      <c r="AD887" s="87"/>
      <c r="AE887" s="87"/>
      <c r="AF887" s="62"/>
      <c r="AG887" s="87"/>
      <c r="AH887" s="87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7"/>
      <c r="C888" s="87"/>
      <c r="D888" s="87"/>
      <c r="E888" s="87"/>
      <c r="F888" s="87"/>
      <c r="G888" s="87"/>
      <c r="H888" s="62"/>
      <c r="I888" s="65"/>
      <c r="J888" s="65"/>
      <c r="K888" s="62"/>
      <c r="L888" s="62"/>
      <c r="M888" s="64"/>
      <c r="N888" s="87"/>
      <c r="O888" s="87"/>
      <c r="P888" s="87"/>
      <c r="Q888" s="87"/>
      <c r="R888" s="87"/>
      <c r="S888" s="87"/>
      <c r="T888" s="62"/>
      <c r="U888" s="65"/>
      <c r="V888" s="65"/>
      <c r="W888" s="62"/>
      <c r="X888" s="62"/>
      <c r="Y888" s="64"/>
      <c r="Z888" s="87"/>
      <c r="AA888" s="87"/>
      <c r="AB888" s="87"/>
      <c r="AC888" s="87"/>
      <c r="AD888" s="87"/>
      <c r="AE888" s="87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7"/>
      <c r="C889" s="87"/>
      <c r="D889" s="87"/>
      <c r="E889" s="87"/>
      <c r="F889" s="87"/>
      <c r="G889" s="87"/>
      <c r="H889" s="62"/>
      <c r="I889" s="62"/>
      <c r="J889" s="62"/>
      <c r="K889" s="62"/>
      <c r="L889" s="62"/>
      <c r="M889" s="62"/>
      <c r="N889" s="87"/>
      <c r="O889" s="87"/>
      <c r="P889" s="87"/>
      <c r="Q889" s="87"/>
      <c r="R889" s="87"/>
      <c r="S889" s="87"/>
      <c r="T889" s="62"/>
      <c r="U889" s="62"/>
      <c r="V889" s="62"/>
      <c r="W889" s="62"/>
      <c r="X889" s="62"/>
      <c r="Y889" s="62"/>
      <c r="Z889" s="87"/>
      <c r="AA889" s="87"/>
      <c r="AB889" s="87"/>
      <c r="AC889" s="87"/>
      <c r="AD889" s="87"/>
      <c r="AE889" s="87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7"/>
      <c r="D890" s="108"/>
      <c r="E890" s="108"/>
      <c r="F890" s="87"/>
      <c r="G890" s="87"/>
      <c r="H890" s="62"/>
      <c r="I890" s="108"/>
      <c r="J890" s="108"/>
      <c r="K890" s="109"/>
      <c r="L890" s="62"/>
      <c r="M890" s="62"/>
      <c r="N890" s="65"/>
      <c r="O890" s="87"/>
      <c r="P890" s="108"/>
      <c r="Q890" s="108"/>
      <c r="R890" s="87"/>
      <c r="S890" s="87"/>
      <c r="T890" s="62"/>
      <c r="U890" s="108"/>
      <c r="V890" s="108"/>
      <c r="W890" s="109"/>
      <c r="X890" s="62"/>
      <c r="Y890" s="62"/>
      <c r="Z890" s="65"/>
      <c r="AA890" s="87"/>
      <c r="AB890" s="108"/>
      <c r="AC890" s="108"/>
      <c r="AD890" s="87"/>
      <c r="AE890" s="87"/>
      <c r="AF890" s="62"/>
      <c r="AG890" s="108"/>
      <c r="AH890" s="108"/>
      <c r="AI890" s="109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7"/>
      <c r="C891" s="87"/>
      <c r="D891" s="79"/>
      <c r="E891" s="80"/>
      <c r="F891" s="81"/>
      <c r="G891" s="81"/>
      <c r="H891" s="62"/>
      <c r="I891" s="88"/>
      <c r="J891" s="88"/>
      <c r="K891" s="109"/>
      <c r="L891" s="62"/>
      <c r="M891" s="62"/>
      <c r="N891" s="87"/>
      <c r="O891" s="87"/>
      <c r="P891" s="79"/>
      <c r="Q891" s="81"/>
      <c r="R891" s="81"/>
      <c r="S891" s="81"/>
      <c r="T891" s="62"/>
      <c r="U891" s="88"/>
      <c r="V891" s="88"/>
      <c r="W891" s="109"/>
      <c r="X891" s="62"/>
      <c r="Y891" s="62"/>
      <c r="Z891" s="87"/>
      <c r="AA891" s="87"/>
      <c r="AB891" s="79"/>
      <c r="AC891" s="81"/>
      <c r="AD891" s="81"/>
      <c r="AE891" s="81"/>
      <c r="AF891" s="62"/>
      <c r="AG891" s="88"/>
      <c r="AH891" s="88"/>
      <c r="AI891" s="109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7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7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7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7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7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7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7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7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7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7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65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7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7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7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7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7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7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7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7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2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7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7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62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7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7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8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7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7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7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7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7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7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2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7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7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87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7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7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7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7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87"/>
      <c r="P912" s="67"/>
      <c r="Q912" s="87"/>
      <c r="R912" s="87"/>
      <c r="S912" s="60"/>
      <c r="T912" s="62"/>
      <c r="U912" s="62"/>
      <c r="V912" s="62"/>
      <c r="W912" s="61"/>
      <c r="X912" s="62"/>
      <c r="Y912" s="62"/>
      <c r="Z912" s="66"/>
      <c r="AA912" s="87"/>
      <c r="AB912" s="67"/>
      <c r="AC912" s="87"/>
      <c r="AD912" s="87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7"/>
      <c r="P913" s="68"/>
      <c r="Q913" s="87"/>
      <c r="R913" s="87"/>
      <c r="S913" s="60"/>
      <c r="T913" s="62"/>
      <c r="U913" s="62"/>
      <c r="V913" s="62"/>
      <c r="W913" s="61"/>
      <c r="X913" s="62"/>
      <c r="Y913" s="62"/>
      <c r="Z913" s="66"/>
      <c r="AA913" s="87"/>
      <c r="AB913" s="68"/>
      <c r="AC913" s="87"/>
      <c r="AD913" s="87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7"/>
      <c r="P914" s="69"/>
      <c r="Q914" s="87"/>
      <c r="R914" s="62"/>
      <c r="S914" s="60"/>
      <c r="T914" s="62"/>
      <c r="U914" s="62"/>
      <c r="V914" s="62"/>
      <c r="W914" s="61"/>
      <c r="X914" s="62"/>
      <c r="Y914" s="62"/>
      <c r="Z914" s="66"/>
      <c r="AA914" s="87"/>
      <c r="AB914" s="69"/>
      <c r="AC914" s="62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7"/>
      <c r="P915" s="69"/>
      <c r="Q915" s="87"/>
      <c r="R915" s="87"/>
      <c r="S915" s="60"/>
      <c r="T915" s="62"/>
      <c r="U915" s="62"/>
      <c r="V915" s="62"/>
      <c r="W915" s="61"/>
      <c r="X915" s="62"/>
      <c r="Y915" s="62"/>
      <c r="Z915" s="66"/>
      <c r="AA915" s="87"/>
      <c r="AB915" s="69"/>
      <c r="AC915" s="87"/>
      <c r="AD915" s="87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7"/>
      <c r="P916" s="69"/>
      <c r="Q916" s="87"/>
      <c r="R916" s="87"/>
      <c r="S916" s="60"/>
      <c r="T916" s="62"/>
      <c r="U916" s="62"/>
      <c r="V916" s="62"/>
      <c r="W916" s="61"/>
      <c r="X916" s="62"/>
      <c r="Y916" s="62"/>
      <c r="Z916" s="66"/>
      <c r="AA916" s="87"/>
      <c r="AB916" s="69"/>
      <c r="AC916" s="87"/>
      <c r="AD916" s="87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87"/>
      <c r="P917" s="69"/>
      <c r="Q917" s="87"/>
      <c r="R917" s="87"/>
      <c r="S917" s="60"/>
      <c r="T917" s="62"/>
      <c r="U917" s="62"/>
      <c r="V917" s="62"/>
      <c r="W917" s="61"/>
      <c r="X917" s="62"/>
      <c r="Y917" s="62"/>
      <c r="Z917" s="66"/>
      <c r="AA917" s="87"/>
      <c r="AB917" s="69"/>
      <c r="AC917" s="87"/>
      <c r="AD917" s="87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7"/>
      <c r="P918" s="69"/>
      <c r="Q918" s="87"/>
      <c r="R918" s="87"/>
      <c r="S918" s="60"/>
      <c r="T918" s="62"/>
      <c r="U918" s="62"/>
      <c r="V918" s="62"/>
      <c r="W918" s="61"/>
      <c r="X918" s="62"/>
      <c r="Y918" s="62"/>
      <c r="Z918" s="66"/>
      <c r="AA918" s="87"/>
      <c r="AB918" s="69"/>
      <c r="AC918" s="87"/>
      <c r="AD918" s="87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7"/>
      <c r="P919" s="69"/>
      <c r="Q919" s="87"/>
      <c r="R919" s="87"/>
      <c r="S919" s="60"/>
      <c r="T919" s="62"/>
      <c r="U919" s="62"/>
      <c r="V919" s="62"/>
      <c r="W919" s="61"/>
      <c r="X919" s="62"/>
      <c r="Y919" s="62"/>
      <c r="Z919" s="66"/>
      <c r="AA919" s="87"/>
      <c r="AB919" s="69"/>
      <c r="AC919" s="87"/>
      <c r="AD919" s="87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7"/>
      <c r="P920" s="69"/>
      <c r="Q920" s="87"/>
      <c r="R920" s="87"/>
      <c r="S920" s="60"/>
      <c r="T920" s="62"/>
      <c r="U920" s="62"/>
      <c r="V920" s="62"/>
      <c r="W920" s="61"/>
      <c r="X920" s="62"/>
      <c r="Y920" s="62"/>
      <c r="Z920" s="66"/>
      <c r="AA920" s="87"/>
      <c r="AB920" s="69"/>
      <c r="AC920" s="87"/>
      <c r="AD920" s="87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7"/>
      <c r="P921" s="69"/>
      <c r="Q921" s="87"/>
      <c r="R921" s="87"/>
      <c r="S921" s="60"/>
      <c r="T921" s="62"/>
      <c r="U921" s="62"/>
      <c r="V921" s="62"/>
      <c r="W921" s="61"/>
      <c r="X921" s="62"/>
      <c r="Y921" s="62"/>
      <c r="Z921" s="66"/>
      <c r="AA921" s="87"/>
      <c r="AB921" s="69"/>
      <c r="AC921" s="87"/>
      <c r="AD921" s="87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7"/>
      <c r="P922" s="69"/>
      <c r="Q922" s="87"/>
      <c r="R922" s="87"/>
      <c r="S922" s="60"/>
      <c r="T922" s="62"/>
      <c r="U922" s="62"/>
      <c r="V922" s="62"/>
      <c r="W922" s="61"/>
      <c r="X922" s="62"/>
      <c r="Y922" s="62"/>
      <c r="Z922" s="66"/>
      <c r="AA922" s="87"/>
      <c r="AB922" s="69"/>
      <c r="AC922" s="87"/>
      <c r="AD922" s="87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7"/>
      <c r="P923" s="69"/>
      <c r="Q923" s="87"/>
      <c r="R923" s="87"/>
      <c r="S923" s="60"/>
      <c r="T923" s="62"/>
      <c r="U923" s="62"/>
      <c r="V923" s="62"/>
      <c r="W923" s="61"/>
      <c r="X923" s="62"/>
      <c r="Y923" s="62"/>
      <c r="Z923" s="66"/>
      <c r="AA923" s="87"/>
      <c r="AB923" s="69"/>
      <c r="AC923" s="87"/>
      <c r="AD923" s="87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7"/>
      <c r="P924" s="69"/>
      <c r="Q924" s="87"/>
      <c r="R924" s="87"/>
      <c r="S924" s="60"/>
      <c r="T924" s="62"/>
      <c r="U924" s="62"/>
      <c r="V924" s="62"/>
      <c r="W924" s="61"/>
      <c r="X924" s="62"/>
      <c r="Y924" s="62"/>
      <c r="Z924" s="66"/>
      <c r="AA924" s="87"/>
      <c r="AB924" s="69"/>
      <c r="AC924" s="87"/>
      <c r="AD924" s="87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7"/>
      <c r="P925" s="69"/>
      <c r="Q925" s="87"/>
      <c r="R925" s="87"/>
      <c r="S925" s="60"/>
      <c r="T925" s="62"/>
      <c r="U925" s="62"/>
      <c r="V925" s="62"/>
      <c r="W925" s="61"/>
      <c r="X925" s="62"/>
      <c r="Y925" s="62"/>
      <c r="Z925" s="66"/>
      <c r="AA925" s="87"/>
      <c r="AB925" s="69"/>
      <c r="AC925" s="87"/>
      <c r="AD925" s="87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7"/>
      <c r="P926" s="69"/>
      <c r="Q926" s="87"/>
      <c r="R926" s="87"/>
      <c r="S926" s="60"/>
      <c r="T926" s="62"/>
      <c r="U926" s="62"/>
      <c r="V926" s="62"/>
      <c r="W926" s="61"/>
      <c r="X926" s="62"/>
      <c r="Y926" s="62"/>
      <c r="Z926" s="66"/>
      <c r="AA926" s="87"/>
      <c r="AB926" s="69"/>
      <c r="AC926" s="87"/>
      <c r="AD926" s="87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7"/>
      <c r="P927" s="69"/>
      <c r="Q927" s="87"/>
      <c r="R927" s="87"/>
      <c r="S927" s="60"/>
      <c r="T927" s="62"/>
      <c r="U927" s="62"/>
      <c r="V927" s="62"/>
      <c r="W927" s="61"/>
      <c r="X927" s="62"/>
      <c r="Y927" s="62"/>
      <c r="Z927" s="66"/>
      <c r="AA927" s="87"/>
      <c r="AB927" s="69"/>
      <c r="AC927" s="87"/>
      <c r="AD927" s="87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7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7"/>
      <c r="R928" s="87"/>
      <c r="S928" s="60"/>
      <c r="T928" s="62"/>
      <c r="U928" s="62"/>
      <c r="V928" s="62"/>
      <c r="W928" s="61"/>
      <c r="X928" s="62"/>
      <c r="Y928" s="62"/>
      <c r="Z928" s="66"/>
      <c r="AA928" s="87"/>
      <c r="AB928" s="69"/>
      <c r="AC928" s="87"/>
      <c r="AD928" s="87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7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7"/>
      <c r="P929" s="69"/>
      <c r="Q929" s="87"/>
      <c r="R929" s="87"/>
      <c r="S929" s="60"/>
      <c r="T929" s="62"/>
      <c r="U929" s="62"/>
      <c r="V929" s="62"/>
      <c r="W929" s="61"/>
      <c r="X929" s="62"/>
      <c r="Y929" s="62"/>
      <c r="Z929" s="66"/>
      <c r="AA929" s="87"/>
      <c r="AB929" s="69"/>
      <c r="AC929" s="87"/>
      <c r="AD929" s="87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7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7"/>
      <c r="P930" s="69"/>
      <c r="Q930" s="87"/>
      <c r="R930" s="87"/>
      <c r="S930" s="60"/>
      <c r="T930" s="62"/>
      <c r="U930" s="62"/>
      <c r="V930" s="62"/>
      <c r="W930" s="61"/>
      <c r="X930" s="62"/>
      <c r="Y930" s="62"/>
      <c r="Z930" s="66"/>
      <c r="AA930" s="87"/>
      <c r="AB930" s="69"/>
      <c r="AC930" s="87"/>
      <c r="AD930" s="87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7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7"/>
      <c r="R931" s="87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7"/>
      <c r="AD931" s="87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7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7"/>
      <c r="P932" s="69"/>
      <c r="Q932" s="87"/>
      <c r="R932" s="87"/>
      <c r="S932" s="60"/>
      <c r="T932" s="62"/>
      <c r="U932" s="62"/>
      <c r="V932" s="62"/>
      <c r="W932" s="61"/>
      <c r="X932" s="62"/>
      <c r="Y932" s="62"/>
      <c r="Z932" s="66"/>
      <c r="AA932" s="87"/>
      <c r="AB932" s="69"/>
      <c r="AC932" s="87"/>
      <c r="AD932" s="87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7"/>
      <c r="O933" s="87"/>
      <c r="P933" s="87"/>
      <c r="Q933" s="87"/>
      <c r="R933" s="87"/>
      <c r="S933" s="87"/>
      <c r="T933" s="62"/>
      <c r="U933" s="62"/>
      <c r="V933" s="62"/>
      <c r="W933" s="61"/>
      <c r="X933" s="62"/>
      <c r="Y933" s="62"/>
      <c r="Z933" s="87"/>
      <c r="AA933" s="87"/>
      <c r="AB933" s="87"/>
      <c r="AC933" s="87"/>
      <c r="AD933" s="87"/>
      <c r="AE933" s="87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7"/>
      <c r="C934" s="87"/>
      <c r="D934" s="87"/>
      <c r="E934" s="87"/>
      <c r="F934" s="87"/>
      <c r="G934" s="87"/>
      <c r="H934" s="62"/>
      <c r="I934" s="62"/>
      <c r="J934" s="62"/>
      <c r="K934" s="62"/>
      <c r="L934" s="62"/>
      <c r="M934" s="62"/>
      <c r="N934" s="87"/>
      <c r="O934" s="87"/>
      <c r="P934" s="87"/>
      <c r="Q934" s="87"/>
      <c r="R934" s="87"/>
      <c r="S934" s="87"/>
      <c r="T934" s="62"/>
      <c r="U934" s="62"/>
      <c r="V934" s="62"/>
      <c r="W934" s="62"/>
      <c r="X934" s="62"/>
      <c r="Y934" s="62"/>
      <c r="Z934" s="87"/>
      <c r="AA934" s="87"/>
      <c r="AB934" s="87"/>
      <c r="AC934" s="87"/>
      <c r="AD934" s="87"/>
      <c r="AE934" s="87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7"/>
      <c r="C935" s="87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7"/>
      <c r="O935" s="87"/>
      <c r="P935" s="70"/>
      <c r="Q935" s="70"/>
      <c r="R935" s="70"/>
      <c r="S935" s="70"/>
      <c r="T935" s="63"/>
      <c r="U935" s="70"/>
      <c r="V935" s="70"/>
      <c r="W935" s="70"/>
      <c r="X935" s="62"/>
      <c r="Y935" s="62"/>
      <c r="Z935" s="87"/>
      <c r="AA935" s="87"/>
      <c r="AB935" s="70"/>
      <c r="AC935" s="70"/>
      <c r="AD935" s="70"/>
      <c r="AE935" s="70"/>
      <c r="AF935" s="63"/>
      <c r="AG935" s="70"/>
      <c r="AH935" s="70"/>
      <c r="AI935" s="70"/>
      <c r="AJ935" s="62"/>
      <c r="AK935" s="62"/>
      <c r="AL935" s="86"/>
      <c r="AM935" s="86"/>
      <c r="AN935" s="86"/>
      <c r="AO935" s="86"/>
      <c r="AP935" s="86"/>
      <c r="AQ935" s="86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86"/>
      <c r="AM936" s="86"/>
      <c r="AN936" s="86"/>
      <c r="AO936" s="86"/>
      <c r="AP936" s="86"/>
      <c r="AQ936" s="86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7"/>
      <c r="C937" s="87"/>
      <c r="D937" s="87"/>
      <c r="E937" s="87"/>
      <c r="F937" s="87"/>
      <c r="G937" s="87"/>
      <c r="H937" s="62"/>
      <c r="I937" s="62"/>
      <c r="J937" s="62"/>
      <c r="K937" s="62"/>
      <c r="L937" s="62"/>
      <c r="M937" s="62"/>
      <c r="N937" s="87"/>
      <c r="O937" s="87"/>
      <c r="P937" s="87"/>
      <c r="Q937" s="87"/>
      <c r="R937" s="87"/>
      <c r="S937" s="87"/>
      <c r="T937" s="62"/>
      <c r="U937" s="62"/>
      <c r="V937" s="62"/>
      <c r="W937" s="62"/>
      <c r="X937" s="62"/>
      <c r="Y937" s="62"/>
      <c r="Z937" s="87"/>
      <c r="AA937" s="87"/>
      <c r="AB937" s="87"/>
      <c r="AC937" s="87"/>
      <c r="AD937" s="87"/>
      <c r="AE937" s="87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7"/>
      <c r="C938" s="87"/>
      <c r="D938" s="87"/>
      <c r="E938" s="87"/>
      <c r="F938" s="87"/>
      <c r="G938" s="87"/>
      <c r="H938" s="62"/>
      <c r="I938" s="62"/>
      <c r="J938" s="62"/>
      <c r="K938" s="62"/>
      <c r="L938" s="62"/>
      <c r="M938" s="62"/>
      <c r="N938" s="87"/>
      <c r="O938" s="87"/>
      <c r="P938" s="87"/>
      <c r="Q938" s="87"/>
      <c r="R938" s="87"/>
      <c r="S938" s="87"/>
      <c r="T938" s="62"/>
      <c r="U938" s="62"/>
      <c r="V938" s="62"/>
      <c r="W938" s="62"/>
      <c r="X938" s="62"/>
      <c r="Y938" s="62"/>
      <c r="Z938" s="87"/>
      <c r="AA938" s="87"/>
      <c r="AB938" s="87"/>
      <c r="AC938" s="87"/>
      <c r="AD938" s="87"/>
      <c r="AE938" s="87"/>
      <c r="AF938" s="62"/>
      <c r="AG938" s="62"/>
      <c r="AH938" s="62"/>
      <c r="AI938" s="62"/>
      <c r="AJ938" s="62"/>
      <c r="AK938" s="63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7"/>
      <c r="C939" s="87"/>
      <c r="D939" s="87"/>
      <c r="E939" s="87"/>
      <c r="F939" s="87"/>
      <c r="G939" s="87"/>
      <c r="H939" s="62"/>
      <c r="I939" s="62"/>
      <c r="J939" s="62"/>
      <c r="K939" s="62"/>
      <c r="L939" s="62"/>
      <c r="M939" s="62"/>
      <c r="N939" s="87"/>
      <c r="O939" s="87"/>
      <c r="P939" s="87"/>
      <c r="Q939" s="87"/>
      <c r="R939" s="87"/>
      <c r="S939" s="87"/>
      <c r="T939" s="62"/>
      <c r="U939" s="62"/>
      <c r="V939" s="62"/>
      <c r="W939" s="62"/>
      <c r="X939" s="62"/>
      <c r="Y939" s="62"/>
      <c r="Z939" s="87"/>
      <c r="AA939" s="87"/>
      <c r="AB939" s="87"/>
      <c r="AC939" s="87"/>
      <c r="AD939" s="87"/>
      <c r="AE939" s="87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7"/>
      <c r="C940" s="87"/>
      <c r="D940" s="87"/>
      <c r="E940" s="87"/>
      <c r="F940" s="87"/>
      <c r="G940" s="87"/>
      <c r="H940" s="62"/>
      <c r="I940" s="62"/>
      <c r="J940" s="62"/>
      <c r="K940" s="62"/>
      <c r="L940" s="62"/>
      <c r="M940" s="63"/>
      <c r="N940" s="87"/>
      <c r="O940" s="87"/>
      <c r="P940" s="87"/>
      <c r="Q940" s="87"/>
      <c r="R940" s="87"/>
      <c r="S940" s="87"/>
      <c r="T940" s="62"/>
      <c r="U940" s="62"/>
      <c r="V940" s="62"/>
      <c r="W940" s="62"/>
      <c r="X940" s="62"/>
      <c r="Y940" s="63"/>
      <c r="Z940" s="87"/>
      <c r="AA940" s="87"/>
      <c r="AB940" s="87"/>
      <c r="AC940" s="87"/>
      <c r="AD940" s="87"/>
      <c r="AE940" s="87"/>
      <c r="AF940" s="62"/>
      <c r="AG940" s="62"/>
      <c r="AH940" s="62"/>
      <c r="AI940" s="62"/>
      <c r="AJ940" s="62"/>
      <c r="AK940" s="62"/>
      <c r="AL940" s="86"/>
      <c r="AM940" s="86"/>
      <c r="AN940" s="86"/>
      <c r="AO940" s="86"/>
      <c r="AP940" s="86"/>
      <c r="AQ940" s="86"/>
      <c r="AR940" s="62"/>
      <c r="AS940" s="86"/>
      <c r="AT940" s="86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7"/>
      <c r="C941" s="87"/>
      <c r="D941" s="87"/>
      <c r="E941" s="87"/>
      <c r="F941" s="87"/>
      <c r="G941" s="87"/>
      <c r="H941" s="62"/>
      <c r="I941" s="62"/>
      <c r="J941" s="62"/>
      <c r="K941" s="62"/>
      <c r="L941" s="62"/>
      <c r="M941" s="62"/>
      <c r="N941" s="87"/>
      <c r="O941" s="87"/>
      <c r="P941" s="87"/>
      <c r="Q941" s="87"/>
      <c r="R941" s="87"/>
      <c r="S941" s="87"/>
      <c r="T941" s="62"/>
      <c r="U941" s="62"/>
      <c r="V941" s="62"/>
      <c r="W941" s="62"/>
      <c r="X941" s="62"/>
      <c r="Y941" s="62"/>
      <c r="Z941" s="87"/>
      <c r="AA941" s="87"/>
      <c r="AB941" s="87"/>
      <c r="AC941" s="87"/>
      <c r="AD941" s="87"/>
      <c r="AE941" s="87"/>
      <c r="AF941" s="62"/>
      <c r="AG941" s="62"/>
      <c r="AH941" s="62"/>
      <c r="AI941" s="62"/>
      <c r="AJ941" s="62"/>
      <c r="AK941" s="64"/>
      <c r="AL941" s="86"/>
      <c r="AM941" s="86"/>
      <c r="AN941" s="86"/>
      <c r="AO941" s="86"/>
      <c r="AP941" s="86"/>
      <c r="AQ941" s="86"/>
      <c r="AR941" s="62"/>
      <c r="AS941" s="65"/>
      <c r="AT941" s="65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7"/>
      <c r="C942" s="87"/>
      <c r="D942" s="87"/>
      <c r="E942" s="87"/>
      <c r="F942" s="87"/>
      <c r="G942" s="87"/>
      <c r="H942" s="62"/>
      <c r="I942" s="87"/>
      <c r="J942" s="73"/>
      <c r="K942" s="62"/>
      <c r="L942" s="62"/>
      <c r="M942" s="62"/>
      <c r="N942" s="87"/>
      <c r="O942" s="87"/>
      <c r="P942" s="87"/>
      <c r="Q942" s="87"/>
      <c r="R942" s="87"/>
      <c r="S942" s="87"/>
      <c r="T942" s="62"/>
      <c r="U942" s="87"/>
      <c r="V942" s="73"/>
      <c r="W942" s="62"/>
      <c r="X942" s="62"/>
      <c r="Y942" s="62"/>
      <c r="Z942" s="87"/>
      <c r="AA942" s="87"/>
      <c r="AB942" s="87"/>
      <c r="AC942" s="87"/>
      <c r="AD942" s="87"/>
      <c r="AE942" s="87"/>
      <c r="AF942" s="62"/>
      <c r="AG942" s="87"/>
      <c r="AH942" s="87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62"/>
      <c r="AT942" s="62"/>
      <c r="AU942" s="62"/>
      <c r="AV942" s="62"/>
      <c r="AW942" s="62"/>
      <c r="AX942" s="62"/>
      <c r="AY942" s="62"/>
      <c r="AZ942" s="62"/>
    </row>
    <row r="943" spans="1:52" ht="15" customHeight="1" x14ac:dyDescent="0.25">
      <c r="A943" s="64"/>
      <c r="B943" s="87"/>
      <c r="C943" s="87"/>
      <c r="D943" s="87"/>
      <c r="E943" s="87"/>
      <c r="F943" s="87"/>
      <c r="G943" s="87"/>
      <c r="H943" s="62"/>
      <c r="I943" s="65"/>
      <c r="J943" s="65"/>
      <c r="K943" s="62"/>
      <c r="L943" s="62"/>
      <c r="M943" s="64"/>
      <c r="N943" s="87"/>
      <c r="O943" s="87"/>
      <c r="P943" s="87"/>
      <c r="Q943" s="87"/>
      <c r="R943" s="87"/>
      <c r="S943" s="87"/>
      <c r="T943" s="62"/>
      <c r="U943" s="65"/>
      <c r="V943" s="65"/>
      <c r="W943" s="62"/>
      <c r="X943" s="62"/>
      <c r="Y943" s="64"/>
      <c r="Z943" s="87"/>
      <c r="AA943" s="87"/>
      <c r="AB943" s="87"/>
      <c r="AC943" s="87"/>
      <c r="AD943" s="87"/>
      <c r="AE943" s="87"/>
      <c r="AF943" s="62"/>
      <c r="AG943" s="65"/>
      <c r="AH943" s="65"/>
      <c r="AI943" s="62"/>
      <c r="AJ943" s="62"/>
      <c r="AK943" s="62"/>
      <c r="AL943" s="65"/>
      <c r="AM943" s="86"/>
      <c r="AN943" s="108"/>
      <c r="AO943" s="108"/>
      <c r="AP943" s="86"/>
      <c r="AQ943" s="86"/>
      <c r="AR943" s="62"/>
      <c r="AS943" s="108"/>
      <c r="AT943" s="108"/>
      <c r="AU943" s="109"/>
      <c r="AV943" s="62"/>
      <c r="AW943" s="62"/>
      <c r="AX943" s="62"/>
      <c r="AY943" s="62"/>
      <c r="AZ943" s="62"/>
    </row>
    <row r="944" spans="1:52" x14ac:dyDescent="0.25">
      <c r="A944" s="62"/>
      <c r="B944" s="87"/>
      <c r="C944" s="87"/>
      <c r="D944" s="87"/>
      <c r="E944" s="87"/>
      <c r="F944" s="87"/>
      <c r="G944" s="87"/>
      <c r="H944" s="62"/>
      <c r="I944" s="62"/>
      <c r="J944" s="62"/>
      <c r="K944" s="62"/>
      <c r="L944" s="62"/>
      <c r="M944" s="62"/>
      <c r="N944" s="87"/>
      <c r="O944" s="87"/>
      <c r="P944" s="87"/>
      <c r="Q944" s="87"/>
      <c r="R944" s="87"/>
      <c r="S944" s="87"/>
      <c r="T944" s="62"/>
      <c r="U944" s="62"/>
      <c r="V944" s="62"/>
      <c r="W944" s="62"/>
      <c r="X944" s="62"/>
      <c r="Y944" s="62"/>
      <c r="Z944" s="87"/>
      <c r="AA944" s="87"/>
      <c r="AB944" s="87"/>
      <c r="AC944" s="87"/>
      <c r="AD944" s="87"/>
      <c r="AE944" s="87"/>
      <c r="AF944" s="62"/>
      <c r="AG944" s="62"/>
      <c r="AH944" s="62"/>
      <c r="AI944" s="62"/>
      <c r="AJ944" s="62"/>
      <c r="AK944" s="62"/>
      <c r="AL944" s="86"/>
      <c r="AM944" s="86"/>
      <c r="AN944" s="79"/>
      <c r="AO944" s="81"/>
      <c r="AP944" s="81"/>
      <c r="AQ944" s="81"/>
      <c r="AR944" s="62"/>
      <c r="AS944" s="85"/>
      <c r="AT944" s="85"/>
      <c r="AU944" s="109"/>
      <c r="AV944" s="62"/>
      <c r="AW944" s="62"/>
      <c r="AX944" s="62"/>
      <c r="AY944" s="62"/>
      <c r="AZ944" s="62"/>
    </row>
    <row r="945" spans="1:52" x14ac:dyDescent="0.25">
      <c r="A945" s="62"/>
      <c r="B945" s="65"/>
      <c r="C945" s="87"/>
      <c r="D945" s="108"/>
      <c r="E945" s="108"/>
      <c r="F945" s="87"/>
      <c r="G945" s="87"/>
      <c r="H945" s="62"/>
      <c r="I945" s="108"/>
      <c r="J945" s="108"/>
      <c r="K945" s="109"/>
      <c r="L945" s="62"/>
      <c r="M945" s="62"/>
      <c r="N945" s="65"/>
      <c r="O945" s="87"/>
      <c r="P945" s="108"/>
      <c r="Q945" s="108"/>
      <c r="R945" s="87"/>
      <c r="S945" s="87"/>
      <c r="T945" s="62"/>
      <c r="U945" s="108"/>
      <c r="V945" s="108"/>
      <c r="W945" s="109"/>
      <c r="X945" s="62"/>
      <c r="Y945" s="62"/>
      <c r="Z945" s="65"/>
      <c r="AA945" s="87"/>
      <c r="AB945" s="108"/>
      <c r="AC945" s="108"/>
      <c r="AD945" s="87"/>
      <c r="AE945" s="87"/>
      <c r="AF945" s="62"/>
      <c r="AG945" s="108"/>
      <c r="AH945" s="108"/>
      <c r="AI945" s="109"/>
      <c r="AJ945" s="62"/>
      <c r="AK945" s="62"/>
      <c r="AL945" s="66"/>
      <c r="AM945" s="86"/>
      <c r="AN945" s="60"/>
      <c r="AO945" s="60"/>
      <c r="AP945" s="60"/>
      <c r="AQ945" s="60"/>
      <c r="AR945" s="61"/>
      <c r="AS945" s="61"/>
      <c r="AT945" s="61"/>
      <c r="AU945" s="61"/>
      <c r="AV945" s="62"/>
      <c r="AW945" s="62"/>
      <c r="AX945" s="62"/>
      <c r="AY945" s="62"/>
      <c r="AZ945" s="62"/>
    </row>
    <row r="946" spans="1:52" x14ac:dyDescent="0.25">
      <c r="A946" s="62"/>
      <c r="B946" s="87"/>
      <c r="C946" s="87"/>
      <c r="D946" s="79"/>
      <c r="E946" s="80"/>
      <c r="F946" s="81"/>
      <c r="G946" s="81"/>
      <c r="H946" s="62"/>
      <c r="I946" s="88"/>
      <c r="J946" s="88"/>
      <c r="K946" s="109"/>
      <c r="L946" s="62"/>
      <c r="M946" s="62"/>
      <c r="N946" s="87"/>
      <c r="O946" s="87"/>
      <c r="P946" s="79"/>
      <c r="Q946" s="81"/>
      <c r="R946" s="81"/>
      <c r="S946" s="81"/>
      <c r="T946" s="62"/>
      <c r="U946" s="88"/>
      <c r="V946" s="88"/>
      <c r="W946" s="109"/>
      <c r="X946" s="62"/>
      <c r="Y946" s="62"/>
      <c r="Z946" s="87"/>
      <c r="AA946" s="87"/>
      <c r="AB946" s="79"/>
      <c r="AC946" s="81"/>
      <c r="AD946" s="81"/>
      <c r="AE946" s="81"/>
      <c r="AF946" s="62"/>
      <c r="AG946" s="88"/>
      <c r="AH946" s="88"/>
      <c r="AI946" s="109"/>
      <c r="AJ946" s="62"/>
      <c r="AK946" s="62"/>
      <c r="AL946" s="66"/>
      <c r="AM946" s="86"/>
      <c r="AN946" s="60"/>
      <c r="AO946" s="60"/>
      <c r="AP946" s="60"/>
      <c r="AQ946" s="60"/>
      <c r="AR946" s="61"/>
      <c r="AS946" s="61"/>
      <c r="AT946" s="61"/>
      <c r="AU946" s="61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7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7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7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7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2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7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7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7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7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65"/>
      <c r="AN950" s="60"/>
      <c r="AO950" s="60"/>
      <c r="AP950" s="60"/>
      <c r="AQ950" s="60"/>
      <c r="AR950" s="61"/>
      <c r="AS950" s="61"/>
      <c r="AT950" s="62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65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7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7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7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86"/>
      <c r="AN952" s="60"/>
      <c r="AO952" s="60"/>
      <c r="AP952" s="62"/>
      <c r="AQ952" s="60"/>
      <c r="AR952" s="61"/>
      <c r="AS952" s="61"/>
      <c r="AT952" s="61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7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7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2"/>
      <c r="AO953" s="60"/>
      <c r="AP953" s="60"/>
      <c r="AQ953" s="60"/>
      <c r="AR953" s="61"/>
      <c r="AS953" s="62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62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87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62"/>
      <c r="AN954" s="60"/>
      <c r="AO954" s="60"/>
      <c r="AP954" s="60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7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7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0"/>
      <c r="AO955" s="60"/>
      <c r="AP955" s="60"/>
      <c r="AQ955" s="60"/>
      <c r="AR955" s="61"/>
      <c r="AS955" s="61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7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7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86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6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7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7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7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65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7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7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7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7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7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7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6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2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65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7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7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7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7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7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7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7"/>
      <c r="AO965" s="86"/>
      <c r="AP965" s="86"/>
      <c r="AQ965" s="60"/>
      <c r="AR965" s="62"/>
      <c r="AS965" s="62"/>
      <c r="AT965" s="62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7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8"/>
      <c r="AO966" s="86"/>
      <c r="AP966" s="86"/>
      <c r="AQ966" s="60"/>
      <c r="AR966" s="62"/>
      <c r="AS966" s="62"/>
      <c r="AT966" s="62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7"/>
      <c r="P967" s="67"/>
      <c r="Q967" s="87"/>
      <c r="R967" s="87"/>
      <c r="S967" s="60"/>
      <c r="T967" s="62"/>
      <c r="U967" s="62"/>
      <c r="V967" s="62"/>
      <c r="W967" s="61"/>
      <c r="X967" s="62"/>
      <c r="Y967" s="62"/>
      <c r="Z967" s="66"/>
      <c r="AA967" s="87"/>
      <c r="AB967" s="67"/>
      <c r="AC967" s="87"/>
      <c r="AD967" s="87"/>
      <c r="AE967" s="60"/>
      <c r="AF967" s="62"/>
      <c r="AG967" s="62"/>
      <c r="AH967" s="62"/>
      <c r="AI967" s="61"/>
      <c r="AJ967" s="62"/>
      <c r="AK967" s="62"/>
      <c r="AL967" s="66"/>
      <c r="AM967" s="86"/>
      <c r="AN967" s="69"/>
      <c r="AO967" s="62"/>
      <c r="AP967" s="62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7"/>
      <c r="P968" s="68"/>
      <c r="Q968" s="87"/>
      <c r="R968" s="87"/>
      <c r="S968" s="60"/>
      <c r="T968" s="62"/>
      <c r="U968" s="62"/>
      <c r="V968" s="62"/>
      <c r="W968" s="61"/>
      <c r="X968" s="62"/>
      <c r="Y968" s="62"/>
      <c r="Z968" s="66"/>
      <c r="AA968" s="87"/>
      <c r="AB968" s="68"/>
      <c r="AC968" s="87"/>
      <c r="AD968" s="87"/>
      <c r="AE968" s="60"/>
      <c r="AF968" s="62"/>
      <c r="AG968" s="62"/>
      <c r="AH968" s="62"/>
      <c r="AI968" s="61"/>
      <c r="AJ968" s="62"/>
      <c r="AK968" s="62"/>
      <c r="AL968" s="66"/>
      <c r="AM968" s="86"/>
      <c r="AN968" s="69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7"/>
      <c r="P969" s="69"/>
      <c r="Q969" s="87"/>
      <c r="R969" s="62"/>
      <c r="S969" s="60"/>
      <c r="T969" s="62"/>
      <c r="U969" s="62"/>
      <c r="V969" s="62"/>
      <c r="W969" s="61"/>
      <c r="X969" s="62"/>
      <c r="Y969" s="62"/>
      <c r="Z969" s="66"/>
      <c r="AA969" s="87"/>
      <c r="AB969" s="69"/>
      <c r="AC969" s="62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86"/>
      <c r="AP969" s="86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7"/>
      <c r="P970" s="69"/>
      <c r="Q970" s="87"/>
      <c r="R970" s="87"/>
      <c r="S970" s="60"/>
      <c r="T970" s="62"/>
      <c r="U970" s="62"/>
      <c r="V970" s="62"/>
      <c r="W970" s="61"/>
      <c r="X970" s="62"/>
      <c r="Y970" s="62"/>
      <c r="Z970" s="66"/>
      <c r="AA970" s="87"/>
      <c r="AB970" s="69"/>
      <c r="AC970" s="87"/>
      <c r="AD970" s="87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7"/>
      <c r="P971" s="69"/>
      <c r="Q971" s="87"/>
      <c r="R971" s="87"/>
      <c r="S971" s="60"/>
      <c r="T971" s="62"/>
      <c r="U971" s="62"/>
      <c r="V971" s="62"/>
      <c r="W971" s="61"/>
      <c r="X971" s="62"/>
      <c r="Y971" s="62"/>
      <c r="Z971" s="66"/>
      <c r="AA971" s="87"/>
      <c r="AB971" s="69"/>
      <c r="AC971" s="87"/>
      <c r="AD971" s="87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7"/>
      <c r="P972" s="69"/>
      <c r="Q972" s="87"/>
      <c r="R972" s="87"/>
      <c r="S972" s="60"/>
      <c r="T972" s="62"/>
      <c r="U972" s="62"/>
      <c r="V972" s="62"/>
      <c r="W972" s="61"/>
      <c r="X972" s="62"/>
      <c r="Y972" s="62"/>
      <c r="Z972" s="66"/>
      <c r="AA972" s="87"/>
      <c r="AB972" s="69"/>
      <c r="AC972" s="87"/>
      <c r="AD972" s="87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7"/>
      <c r="P973" s="69"/>
      <c r="Q973" s="87"/>
      <c r="R973" s="87"/>
      <c r="S973" s="60"/>
      <c r="T973" s="62"/>
      <c r="U973" s="62"/>
      <c r="V973" s="62"/>
      <c r="W973" s="61"/>
      <c r="X973" s="62"/>
      <c r="Y973" s="62"/>
      <c r="Z973" s="66"/>
      <c r="AA973" s="87"/>
      <c r="AB973" s="69"/>
      <c r="AC973" s="87"/>
      <c r="AD973" s="87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7"/>
      <c r="P974" s="69"/>
      <c r="Q974" s="87"/>
      <c r="R974" s="87"/>
      <c r="S974" s="60"/>
      <c r="T974" s="62"/>
      <c r="U974" s="62"/>
      <c r="V974" s="62"/>
      <c r="W974" s="61"/>
      <c r="X974" s="62"/>
      <c r="Y974" s="62"/>
      <c r="Z974" s="66"/>
      <c r="AA974" s="87"/>
      <c r="AB974" s="69"/>
      <c r="AC974" s="87"/>
      <c r="AD974" s="87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7"/>
      <c r="P975" s="69"/>
      <c r="Q975" s="87"/>
      <c r="R975" s="87"/>
      <c r="S975" s="60"/>
      <c r="T975" s="62"/>
      <c r="U975" s="62"/>
      <c r="V975" s="62"/>
      <c r="W975" s="61"/>
      <c r="X975" s="62"/>
      <c r="Y975" s="62"/>
      <c r="Z975" s="66"/>
      <c r="AA975" s="87"/>
      <c r="AB975" s="69"/>
      <c r="AC975" s="87"/>
      <c r="AD975" s="87"/>
      <c r="AE975" s="60"/>
      <c r="AF975" s="62"/>
      <c r="AG975" s="62"/>
      <c r="AH975" s="62"/>
      <c r="AI975" s="61"/>
      <c r="AJ975" s="62"/>
      <c r="AK975" s="62"/>
      <c r="AL975" s="66"/>
      <c r="AM975" s="62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7"/>
      <c r="P976" s="69"/>
      <c r="Q976" s="87"/>
      <c r="R976" s="87"/>
      <c r="S976" s="60"/>
      <c r="T976" s="62"/>
      <c r="U976" s="62"/>
      <c r="V976" s="62"/>
      <c r="W976" s="61"/>
      <c r="X976" s="62"/>
      <c r="Y976" s="62"/>
      <c r="Z976" s="66"/>
      <c r="AA976" s="87"/>
      <c r="AB976" s="69"/>
      <c r="AC976" s="87"/>
      <c r="AD976" s="87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7"/>
      <c r="P977" s="69"/>
      <c r="Q977" s="87"/>
      <c r="R977" s="87"/>
      <c r="S977" s="60"/>
      <c r="T977" s="62"/>
      <c r="U977" s="62"/>
      <c r="V977" s="62"/>
      <c r="W977" s="61"/>
      <c r="X977" s="62"/>
      <c r="Y977" s="62"/>
      <c r="Z977" s="66"/>
      <c r="AA977" s="87"/>
      <c r="AB977" s="69"/>
      <c r="AC977" s="87"/>
      <c r="AD977" s="87"/>
      <c r="AE977" s="60"/>
      <c r="AF977" s="62"/>
      <c r="AG977" s="62"/>
      <c r="AH977" s="62"/>
      <c r="AI977" s="61"/>
      <c r="AJ977" s="62"/>
      <c r="AK977" s="62"/>
      <c r="AL977" s="66"/>
      <c r="AM977" s="86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7"/>
      <c r="P978" s="69"/>
      <c r="Q978" s="87"/>
      <c r="R978" s="87"/>
      <c r="S978" s="60"/>
      <c r="T978" s="62"/>
      <c r="U978" s="62"/>
      <c r="V978" s="62"/>
      <c r="W978" s="61"/>
      <c r="X978" s="62"/>
      <c r="Y978" s="62"/>
      <c r="Z978" s="66"/>
      <c r="AA978" s="87"/>
      <c r="AB978" s="69"/>
      <c r="AC978" s="87"/>
      <c r="AD978" s="87"/>
      <c r="AE978" s="60"/>
      <c r="AF978" s="62"/>
      <c r="AG978" s="62"/>
      <c r="AH978" s="62"/>
      <c r="AI978" s="61"/>
      <c r="AJ978" s="62"/>
      <c r="AK978" s="62"/>
      <c r="AL978" s="66"/>
      <c r="AM978" s="62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7"/>
      <c r="P979" s="69"/>
      <c r="Q979" s="87"/>
      <c r="R979" s="87"/>
      <c r="S979" s="60"/>
      <c r="T979" s="62"/>
      <c r="U979" s="62"/>
      <c r="V979" s="62"/>
      <c r="W979" s="61"/>
      <c r="X979" s="62"/>
      <c r="Y979" s="62"/>
      <c r="Z979" s="66"/>
      <c r="AA979" s="87"/>
      <c r="AB979" s="69"/>
      <c r="AC979" s="87"/>
      <c r="AD979" s="87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7"/>
      <c r="P980" s="69"/>
      <c r="Q980" s="87"/>
      <c r="R980" s="87"/>
      <c r="S980" s="60"/>
      <c r="T980" s="62"/>
      <c r="U980" s="62"/>
      <c r="V980" s="62"/>
      <c r="W980" s="61"/>
      <c r="X980" s="62"/>
      <c r="Y980" s="62"/>
      <c r="Z980" s="66"/>
      <c r="AA980" s="87"/>
      <c r="AB980" s="69"/>
      <c r="AC980" s="87"/>
      <c r="AD980" s="87"/>
      <c r="AE980" s="60"/>
      <c r="AF980" s="62"/>
      <c r="AG980" s="62"/>
      <c r="AH980" s="62"/>
      <c r="AI980" s="61"/>
      <c r="AJ980" s="62"/>
      <c r="AK980" s="62"/>
      <c r="AL980" s="66"/>
      <c r="AM980" s="86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7"/>
      <c r="P981" s="69"/>
      <c r="Q981" s="87"/>
      <c r="R981" s="87"/>
      <c r="S981" s="60"/>
      <c r="T981" s="62"/>
      <c r="U981" s="62"/>
      <c r="V981" s="62"/>
      <c r="W981" s="61"/>
      <c r="X981" s="62"/>
      <c r="Y981" s="62"/>
      <c r="Z981" s="66"/>
      <c r="AA981" s="87"/>
      <c r="AB981" s="69"/>
      <c r="AC981" s="87"/>
      <c r="AD981" s="87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7"/>
      <c r="P982" s="69"/>
      <c r="Q982" s="87"/>
      <c r="R982" s="87"/>
      <c r="S982" s="60"/>
      <c r="T982" s="62"/>
      <c r="U982" s="62"/>
      <c r="V982" s="62"/>
      <c r="W982" s="61"/>
      <c r="X982" s="62"/>
      <c r="Y982" s="62"/>
      <c r="Z982" s="66"/>
      <c r="AA982" s="87"/>
      <c r="AB982" s="69"/>
      <c r="AC982" s="87"/>
      <c r="AD982" s="87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7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7"/>
      <c r="R983" s="87"/>
      <c r="S983" s="60"/>
      <c r="T983" s="62"/>
      <c r="U983" s="62"/>
      <c r="V983" s="62"/>
      <c r="W983" s="61"/>
      <c r="X983" s="62"/>
      <c r="Y983" s="62"/>
      <c r="Z983" s="66"/>
      <c r="AA983" s="87"/>
      <c r="AB983" s="69"/>
      <c r="AC983" s="87"/>
      <c r="AD983" s="87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7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7"/>
      <c r="P984" s="69"/>
      <c r="Q984" s="87"/>
      <c r="R984" s="87"/>
      <c r="S984" s="60"/>
      <c r="T984" s="62"/>
      <c r="U984" s="62"/>
      <c r="V984" s="62"/>
      <c r="W984" s="61"/>
      <c r="X984" s="62"/>
      <c r="Y984" s="62"/>
      <c r="Z984" s="66"/>
      <c r="AA984" s="87"/>
      <c r="AB984" s="69"/>
      <c r="AC984" s="87"/>
      <c r="AD984" s="87"/>
      <c r="AE984" s="60"/>
      <c r="AF984" s="62"/>
      <c r="AG984" s="62"/>
      <c r="AH984" s="62"/>
      <c r="AI984" s="61"/>
      <c r="AJ984" s="62"/>
      <c r="AK984" s="62"/>
      <c r="AL984" s="66"/>
      <c r="AM984" s="62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7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7"/>
      <c r="P985" s="69"/>
      <c r="Q985" s="87"/>
      <c r="R985" s="87"/>
      <c r="S985" s="60"/>
      <c r="T985" s="62"/>
      <c r="U985" s="62"/>
      <c r="V985" s="62"/>
      <c r="W985" s="61"/>
      <c r="X985" s="62"/>
      <c r="Y985" s="62"/>
      <c r="Z985" s="66"/>
      <c r="AA985" s="87"/>
      <c r="AB985" s="69"/>
      <c r="AC985" s="87"/>
      <c r="AD985" s="87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7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7"/>
      <c r="R986" s="87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7"/>
      <c r="AD986" s="87"/>
      <c r="AE986" s="60"/>
      <c r="AF986" s="62"/>
      <c r="AG986" s="62"/>
      <c r="AH986" s="62"/>
      <c r="AI986" s="61"/>
      <c r="AJ986" s="62"/>
      <c r="AK986" s="62"/>
      <c r="AL986" s="86"/>
      <c r="AM986" s="86"/>
      <c r="AN986" s="86"/>
      <c r="AO986" s="86"/>
      <c r="AP986" s="86"/>
      <c r="AQ986" s="86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7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7"/>
      <c r="P987" s="69"/>
      <c r="Q987" s="87"/>
      <c r="R987" s="87"/>
      <c r="S987" s="60"/>
      <c r="T987" s="62"/>
      <c r="U987" s="62"/>
      <c r="V987" s="62"/>
      <c r="W987" s="61"/>
      <c r="X987" s="62"/>
      <c r="Y987" s="62"/>
      <c r="Z987" s="66"/>
      <c r="AA987" s="87"/>
      <c r="AB987" s="69"/>
      <c r="AC987" s="87"/>
      <c r="AD987" s="87"/>
      <c r="AE987" s="60"/>
      <c r="AF987" s="62"/>
      <c r="AG987" s="62"/>
      <c r="AH987" s="62"/>
      <c r="AI987" s="61"/>
      <c r="AJ987" s="62"/>
      <c r="AK987" s="62"/>
      <c r="AL987" s="86"/>
      <c r="AM987" s="86"/>
      <c r="AN987" s="86"/>
      <c r="AO987" s="86"/>
      <c r="AP987" s="86"/>
      <c r="AQ987" s="86"/>
      <c r="AR987" s="62"/>
      <c r="AS987" s="62"/>
      <c r="AT987" s="62"/>
      <c r="AU987" s="62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7"/>
      <c r="O988" s="87"/>
      <c r="P988" s="87"/>
      <c r="Q988" s="87"/>
      <c r="R988" s="87"/>
      <c r="S988" s="87"/>
      <c r="T988" s="62"/>
      <c r="U988" s="62"/>
      <c r="V988" s="62"/>
      <c r="W988" s="61"/>
      <c r="X988" s="62"/>
      <c r="Y988" s="62"/>
      <c r="Z988" s="87"/>
      <c r="AA988" s="87"/>
      <c r="AB988" s="87"/>
      <c r="AC988" s="87"/>
      <c r="AD988" s="87"/>
      <c r="AE988" s="87"/>
      <c r="AF988" s="62"/>
      <c r="AG988" s="62"/>
      <c r="AH988" s="62"/>
      <c r="AI988" s="61"/>
      <c r="AJ988" s="62"/>
      <c r="AK988" s="62"/>
      <c r="AL988" s="86"/>
      <c r="AM988" s="86"/>
      <c r="AN988" s="70"/>
      <c r="AO988" s="70"/>
      <c r="AP988" s="70"/>
      <c r="AQ988" s="70"/>
      <c r="AR988" s="63"/>
      <c r="AS988" s="71"/>
      <c r="AT988" s="71"/>
      <c r="AU988" s="71"/>
      <c r="AV988" s="62"/>
      <c r="AW988" s="62"/>
      <c r="AX988" s="62"/>
      <c r="AY988" s="62"/>
      <c r="AZ988" s="62"/>
    </row>
    <row r="989" spans="1:52" x14ac:dyDescent="0.25">
      <c r="A989" s="62"/>
      <c r="B989" s="87"/>
      <c r="C989" s="87"/>
      <c r="D989" s="87"/>
      <c r="E989" s="87"/>
      <c r="F989" s="87"/>
      <c r="G989" s="87"/>
      <c r="H989" s="62"/>
      <c r="I989" s="62"/>
      <c r="J989" s="62"/>
      <c r="K989" s="62"/>
      <c r="L989" s="62"/>
      <c r="M989" s="62"/>
      <c r="N989" s="87"/>
      <c r="O989" s="87"/>
      <c r="P989" s="87"/>
      <c r="Q989" s="87"/>
      <c r="R989" s="87"/>
      <c r="S989" s="87"/>
      <c r="T989" s="62"/>
      <c r="U989" s="62"/>
      <c r="V989" s="62"/>
      <c r="W989" s="62"/>
      <c r="X989" s="62"/>
      <c r="Y989" s="62"/>
      <c r="Z989" s="87"/>
      <c r="AA989" s="87"/>
      <c r="AB989" s="87"/>
      <c r="AC989" s="87"/>
      <c r="AD989" s="87"/>
      <c r="AE989" s="87"/>
      <c r="AF989" s="62"/>
      <c r="AG989" s="62"/>
      <c r="AH989" s="62"/>
      <c r="AI989" s="62"/>
      <c r="AJ989" s="62"/>
      <c r="AK989" s="62"/>
      <c r="AL989" s="62"/>
      <c r="AM989" s="62"/>
      <c r="AN989" s="62"/>
      <c r="AO989" s="62"/>
      <c r="AP989" s="62"/>
      <c r="AQ989" s="62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7"/>
      <c r="C990" s="87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7"/>
      <c r="O990" s="87"/>
      <c r="P990" s="70"/>
      <c r="Q990" s="70"/>
      <c r="R990" s="70"/>
      <c r="S990" s="70"/>
      <c r="T990" s="63"/>
      <c r="U990" s="70"/>
      <c r="V990" s="70"/>
      <c r="W990" s="70"/>
      <c r="X990" s="62"/>
      <c r="Y990" s="62"/>
      <c r="Z990" s="87"/>
      <c r="AA990" s="87"/>
      <c r="AB990" s="70"/>
      <c r="AC990" s="70"/>
      <c r="AD990" s="70"/>
      <c r="AE990" s="70"/>
      <c r="AF990" s="63"/>
      <c r="AG990" s="70"/>
      <c r="AH990" s="70"/>
      <c r="AI990" s="70"/>
      <c r="AJ990" s="62"/>
      <c r="AK990" s="62"/>
      <c r="AL990" s="62"/>
      <c r="AM990" s="62"/>
      <c r="AN990" s="62"/>
      <c r="AO990" s="62"/>
      <c r="AP990" s="62"/>
      <c r="AQ990" s="62"/>
      <c r="AR990" s="62"/>
      <c r="AS990" s="62"/>
      <c r="AT990" s="62"/>
      <c r="AU990" s="62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3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3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3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ht="15.75" x14ac:dyDescent="0.25">
      <c r="A995" s="62"/>
      <c r="B995" s="86"/>
      <c r="C995" s="86"/>
      <c r="D995" s="86"/>
      <c r="E995" s="86"/>
      <c r="F995" s="86"/>
      <c r="G995" s="86"/>
      <c r="H995" s="62"/>
      <c r="I995" s="86"/>
      <c r="J995" s="73"/>
      <c r="K995" s="62"/>
      <c r="L995" s="62"/>
      <c r="M995" s="62"/>
      <c r="N995" s="86"/>
      <c r="O995" s="86"/>
      <c r="P995" s="86"/>
      <c r="Q995" s="86"/>
      <c r="R995" s="86"/>
      <c r="S995" s="86"/>
      <c r="T995" s="62"/>
      <c r="U995" s="86"/>
      <c r="V995" s="73"/>
      <c r="W995" s="62"/>
      <c r="X995" s="62"/>
      <c r="Y995" s="62"/>
      <c r="Z995" s="86"/>
      <c r="AA995" s="86"/>
      <c r="AB995" s="86"/>
      <c r="AC995" s="86"/>
      <c r="AD995" s="86"/>
      <c r="AE995" s="86"/>
      <c r="AF995" s="62"/>
      <c r="AG995" s="86"/>
      <c r="AH995" s="86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4"/>
      <c r="B996" s="86"/>
      <c r="C996" s="86"/>
      <c r="D996" s="86"/>
      <c r="E996" s="86"/>
      <c r="F996" s="86"/>
      <c r="G996" s="86"/>
      <c r="H996" s="62"/>
      <c r="I996" s="65"/>
      <c r="J996" s="65"/>
      <c r="K996" s="62"/>
      <c r="L996" s="62"/>
      <c r="M996" s="64"/>
      <c r="N996" s="86"/>
      <c r="O996" s="86"/>
      <c r="P996" s="86"/>
      <c r="Q996" s="86"/>
      <c r="R996" s="86"/>
      <c r="S996" s="86"/>
      <c r="T996" s="62"/>
      <c r="U996" s="65"/>
      <c r="V996" s="65"/>
      <c r="W996" s="62"/>
      <c r="X996" s="62"/>
      <c r="Y996" s="64"/>
      <c r="Z996" s="86"/>
      <c r="AA996" s="86"/>
      <c r="AB996" s="86"/>
      <c r="AC996" s="86"/>
      <c r="AD996" s="86"/>
      <c r="AE996" s="86"/>
      <c r="AF996" s="62"/>
      <c r="AG996" s="65"/>
      <c r="AH996" s="65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x14ac:dyDescent="0.25">
      <c r="A997" s="62"/>
      <c r="B997" s="86"/>
      <c r="C997" s="86"/>
      <c r="D997" s="86"/>
      <c r="E997" s="86"/>
      <c r="F997" s="86"/>
      <c r="G997" s="86"/>
      <c r="H997" s="62"/>
      <c r="I997" s="62"/>
      <c r="J997" s="62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62"/>
      <c r="V997" s="62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62"/>
      <c r="AH997" s="62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2"/>
      <c r="B998" s="65"/>
      <c r="C998" s="86"/>
      <c r="D998" s="108"/>
      <c r="E998" s="108"/>
      <c r="F998" s="86"/>
      <c r="G998" s="86"/>
      <c r="H998" s="62"/>
      <c r="I998" s="108"/>
      <c r="J998" s="108"/>
      <c r="K998" s="109"/>
      <c r="L998" s="62"/>
      <c r="M998" s="62"/>
      <c r="N998" s="65"/>
      <c r="O998" s="86"/>
      <c r="P998" s="108"/>
      <c r="Q998" s="108"/>
      <c r="R998" s="86"/>
      <c r="S998" s="86"/>
      <c r="T998" s="62"/>
      <c r="U998" s="108"/>
      <c r="V998" s="108"/>
      <c r="W998" s="109"/>
      <c r="X998" s="62"/>
      <c r="Y998" s="62"/>
      <c r="Z998" s="65"/>
      <c r="AA998" s="86"/>
      <c r="AB998" s="108"/>
      <c r="AC998" s="108"/>
      <c r="AD998" s="86"/>
      <c r="AE998" s="86"/>
      <c r="AF998" s="62"/>
      <c r="AG998" s="108"/>
      <c r="AH998" s="108"/>
      <c r="AI998" s="109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79"/>
      <c r="E999" s="80"/>
      <c r="F999" s="81"/>
      <c r="G999" s="81"/>
      <c r="H999" s="62"/>
      <c r="I999" s="85"/>
      <c r="J999" s="85"/>
      <c r="K999" s="109"/>
      <c r="L999" s="62"/>
      <c r="M999" s="62"/>
      <c r="N999" s="86"/>
      <c r="O999" s="86"/>
      <c r="P999" s="79"/>
      <c r="Q999" s="81"/>
      <c r="R999" s="81"/>
      <c r="S999" s="81"/>
      <c r="T999" s="62"/>
      <c r="U999" s="85"/>
      <c r="V999" s="85"/>
      <c r="W999" s="109"/>
      <c r="X999" s="62"/>
      <c r="Y999" s="62"/>
      <c r="Z999" s="86"/>
      <c r="AA999" s="86"/>
      <c r="AB999" s="79"/>
      <c r="AC999" s="81"/>
      <c r="AD999" s="81"/>
      <c r="AE999" s="81"/>
      <c r="AF999" s="62"/>
      <c r="AG999" s="85"/>
      <c r="AH999" s="85"/>
      <c r="AI999" s="109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6"/>
      <c r="C1000" s="84"/>
      <c r="D1000" s="60"/>
      <c r="E1000" s="60"/>
      <c r="F1000" s="60"/>
      <c r="G1000" s="60"/>
      <c r="H1000" s="61"/>
      <c r="I1000" s="61"/>
      <c r="J1000" s="61"/>
      <c r="K1000" s="61"/>
      <c r="L1000" s="62"/>
      <c r="M1000" s="62"/>
      <c r="N1000" s="66"/>
      <c r="O1000" s="86"/>
      <c r="P1000" s="60"/>
      <c r="Q1000" s="60"/>
      <c r="R1000" s="60"/>
      <c r="S1000" s="60"/>
      <c r="T1000" s="61"/>
      <c r="U1000" s="61"/>
      <c r="V1000" s="61"/>
      <c r="W1000" s="61"/>
      <c r="X1000" s="62"/>
      <c r="Y1000" s="62"/>
      <c r="Z1000" s="66"/>
      <c r="AA1000" s="86"/>
      <c r="AB1000" s="60"/>
      <c r="AC1000" s="60"/>
      <c r="AD1000" s="60"/>
      <c r="AE1000" s="60"/>
      <c r="AF1000" s="61"/>
      <c r="AG1000" s="61"/>
      <c r="AH1000" s="61"/>
      <c r="AI1000" s="61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66"/>
      <c r="C1001" s="86"/>
      <c r="D1001" s="60"/>
      <c r="E1001" s="60"/>
      <c r="F1001" s="60"/>
      <c r="G1001" s="60"/>
      <c r="H1001" s="61"/>
      <c r="I1001" s="61"/>
      <c r="J1001" s="61"/>
      <c r="K1001" s="61"/>
      <c r="L1001" s="62"/>
      <c r="M1001" s="62"/>
      <c r="N1001" s="66"/>
      <c r="O1001" s="86"/>
      <c r="P1001" s="60"/>
      <c r="Q1001" s="60"/>
      <c r="R1001" s="60"/>
      <c r="S1001" s="60"/>
      <c r="T1001" s="61"/>
      <c r="U1001" s="61"/>
      <c r="V1001" s="61"/>
      <c r="W1001" s="61"/>
      <c r="X1001" s="62"/>
      <c r="Y1001" s="62"/>
      <c r="Z1001" s="66"/>
      <c r="AA1001" s="86"/>
      <c r="AB1001" s="60"/>
      <c r="AC1001" s="60"/>
      <c r="AD1001" s="60"/>
      <c r="AE1001" s="60"/>
      <c r="AF1001" s="61"/>
      <c r="AG1001" s="61"/>
      <c r="AH1001" s="61"/>
      <c r="AI1001" s="61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6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65"/>
      <c r="AB1003" s="60"/>
      <c r="AC1003" s="60"/>
      <c r="AD1003" s="60"/>
      <c r="AE1003" s="60"/>
      <c r="AF1003" s="61"/>
      <c r="AG1003" s="62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2"/>
      <c r="W1005" s="61"/>
      <c r="X1005" s="62"/>
      <c r="Y1005" s="62"/>
      <c r="Z1005" s="66"/>
      <c r="AA1005" s="86"/>
      <c r="AB1005" s="60"/>
      <c r="AC1005" s="60"/>
      <c r="AD1005" s="60"/>
      <c r="AE1005" s="60"/>
      <c r="AF1005" s="61"/>
      <c r="AG1005" s="61"/>
      <c r="AH1005" s="62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1"/>
      <c r="W1007" s="61"/>
      <c r="X1007" s="62"/>
      <c r="Y1007" s="62"/>
      <c r="Z1007" s="66"/>
      <c r="AA1007" s="86"/>
      <c r="AB1007" s="60"/>
      <c r="AC1007" s="60"/>
      <c r="AD1007" s="62"/>
      <c r="AE1007" s="60"/>
      <c r="AF1007" s="61"/>
      <c r="AG1007" s="61"/>
      <c r="AH1007" s="61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2"/>
      <c r="AC1008" s="60"/>
      <c r="AD1008" s="60"/>
      <c r="AE1008" s="60"/>
      <c r="AF1008" s="61"/>
      <c r="AG1008" s="62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0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62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2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86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1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65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62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86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86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2"/>
      <c r="I1020" s="62"/>
      <c r="J1020" s="62"/>
      <c r="K1020" s="61"/>
      <c r="L1020" s="62"/>
      <c r="M1020" s="62"/>
      <c r="N1020" s="66"/>
      <c r="O1020" s="86"/>
      <c r="P1020" s="67"/>
      <c r="Q1020" s="86"/>
      <c r="R1020" s="86"/>
      <c r="S1020" s="60"/>
      <c r="T1020" s="62"/>
      <c r="U1020" s="62"/>
      <c r="V1020" s="62"/>
      <c r="W1020" s="61"/>
      <c r="X1020" s="62"/>
      <c r="Y1020" s="62"/>
      <c r="Z1020" s="66"/>
      <c r="AA1020" s="86"/>
      <c r="AB1020" s="67"/>
      <c r="AC1020" s="86"/>
      <c r="AD1020" s="86"/>
      <c r="AE1020" s="60"/>
      <c r="AF1020" s="62"/>
      <c r="AG1020" s="62"/>
      <c r="AH1020" s="62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2"/>
      <c r="I1021" s="62"/>
      <c r="J1021" s="62"/>
      <c r="K1021" s="61"/>
      <c r="L1021" s="62"/>
      <c r="M1021" s="62"/>
      <c r="N1021" s="66"/>
      <c r="O1021" s="86"/>
      <c r="P1021" s="68"/>
      <c r="Q1021" s="86"/>
      <c r="R1021" s="86"/>
      <c r="S1021" s="60"/>
      <c r="T1021" s="62"/>
      <c r="U1021" s="62"/>
      <c r="V1021" s="62"/>
      <c r="W1021" s="61"/>
      <c r="X1021" s="62"/>
      <c r="Y1021" s="62"/>
      <c r="Z1021" s="66"/>
      <c r="AA1021" s="86"/>
      <c r="AB1021" s="68"/>
      <c r="AC1021" s="86"/>
      <c r="AD1021" s="86"/>
      <c r="AE1021" s="60"/>
      <c r="AF1021" s="62"/>
      <c r="AG1021" s="62"/>
      <c r="AH1021" s="62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1"/>
      <c r="K1022" s="61"/>
      <c r="L1022" s="62"/>
      <c r="M1022" s="62"/>
      <c r="N1022" s="66"/>
      <c r="O1022" s="86"/>
      <c r="P1022" s="69"/>
      <c r="Q1022" s="86"/>
      <c r="R1022" s="62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9"/>
      <c r="AC1022" s="62"/>
      <c r="AD1022" s="62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9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9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2"/>
      <c r="K1024" s="61"/>
      <c r="L1024" s="62"/>
      <c r="M1024" s="62"/>
      <c r="N1024" s="66"/>
      <c r="O1024" s="86"/>
      <c r="P1024" s="69"/>
      <c r="Q1024" s="86"/>
      <c r="R1024" s="86"/>
      <c r="S1024" s="60"/>
      <c r="T1024" s="62"/>
      <c r="U1024" s="62"/>
      <c r="V1024" s="62"/>
      <c r="W1024" s="61"/>
      <c r="X1024" s="62"/>
      <c r="Y1024" s="62"/>
      <c r="Z1024" s="66"/>
      <c r="AA1024" s="62"/>
      <c r="AB1024" s="69"/>
      <c r="AC1024" s="86"/>
      <c r="AD1024" s="86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62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65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86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86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86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62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62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62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86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86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86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62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86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6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62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6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86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62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62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6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86"/>
      <c r="O1041" s="86"/>
      <c r="P1041" s="86"/>
      <c r="Q1041" s="86"/>
      <c r="R1041" s="86"/>
      <c r="S1041" s="86"/>
      <c r="T1041" s="62"/>
      <c r="U1041" s="62"/>
      <c r="V1041" s="62"/>
      <c r="W1041" s="61"/>
      <c r="X1041" s="62"/>
      <c r="Y1041" s="62"/>
      <c r="Z1041" s="86"/>
      <c r="AA1041" s="86"/>
      <c r="AB1041" s="86"/>
      <c r="AC1041" s="86"/>
      <c r="AD1041" s="86"/>
      <c r="AE1041" s="86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86"/>
      <c r="C1042" s="86"/>
      <c r="D1042" s="86"/>
      <c r="E1042" s="86"/>
      <c r="F1042" s="86"/>
      <c r="G1042" s="86"/>
      <c r="H1042" s="62"/>
      <c r="I1042" s="62"/>
      <c r="J1042" s="62"/>
      <c r="K1042" s="62"/>
      <c r="L1042" s="62"/>
      <c r="M1042" s="62"/>
      <c r="N1042" s="86"/>
      <c r="O1042" s="86"/>
      <c r="P1042" s="86"/>
      <c r="Q1042" s="86"/>
      <c r="R1042" s="86"/>
      <c r="S1042" s="86"/>
      <c r="T1042" s="62"/>
      <c r="U1042" s="62"/>
      <c r="V1042" s="62"/>
      <c r="W1042" s="62"/>
      <c r="X1042" s="62"/>
      <c r="Y1042" s="62"/>
      <c r="Z1042" s="86"/>
      <c r="AA1042" s="86"/>
      <c r="AB1042" s="86"/>
      <c r="AC1042" s="86"/>
      <c r="AD1042" s="86"/>
      <c r="AE1042" s="86"/>
      <c r="AF1042" s="62"/>
      <c r="AG1042" s="62"/>
      <c r="AH1042" s="62"/>
      <c r="AI1042" s="62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86"/>
      <c r="C1043" s="86"/>
      <c r="D1043" s="70"/>
      <c r="E1043" s="70"/>
      <c r="F1043" s="70"/>
      <c r="G1043" s="70"/>
      <c r="H1043" s="63"/>
      <c r="I1043" s="70"/>
      <c r="J1043" s="70"/>
      <c r="K1043" s="70"/>
      <c r="L1043" s="62"/>
      <c r="M1043" s="62"/>
      <c r="N1043" s="86"/>
      <c r="O1043" s="86"/>
      <c r="P1043" s="70"/>
      <c r="Q1043" s="70"/>
      <c r="R1043" s="70"/>
      <c r="S1043" s="70"/>
      <c r="T1043" s="63"/>
      <c r="U1043" s="71"/>
      <c r="V1043" s="71"/>
      <c r="W1043" s="71"/>
      <c r="X1043" s="62"/>
      <c r="Y1043" s="62"/>
      <c r="Z1043" s="86"/>
      <c r="AA1043" s="86"/>
      <c r="AB1043" s="70"/>
      <c r="AC1043" s="70"/>
      <c r="AD1043" s="70"/>
      <c r="AE1043" s="70"/>
      <c r="AF1043" s="63"/>
      <c r="AG1043" s="71"/>
      <c r="AH1043" s="71"/>
      <c r="AI1043" s="7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62"/>
      <c r="C1044" s="62"/>
      <c r="D1044" s="62"/>
      <c r="E1044" s="62"/>
      <c r="F1044" s="62"/>
      <c r="G1044" s="62"/>
      <c r="H1044" s="62"/>
      <c r="I1044" s="62"/>
      <c r="J1044" s="62"/>
      <c r="K1044" s="62"/>
      <c r="L1044" s="62"/>
      <c r="M1044" s="62"/>
      <c r="N1044" s="62"/>
      <c r="O1044" s="62"/>
      <c r="P1044" s="62"/>
      <c r="Q1044" s="62"/>
      <c r="R1044" s="62"/>
      <c r="S1044" s="62"/>
      <c r="T1044" s="62"/>
      <c r="U1044" s="62"/>
      <c r="V1044" s="62"/>
      <c r="W1044" s="62"/>
      <c r="X1044" s="62"/>
      <c r="Y1044" s="62"/>
      <c r="Z1044" s="62"/>
      <c r="AA1044" s="62"/>
      <c r="AB1044" s="62"/>
      <c r="AC1044" s="62"/>
      <c r="AD1044" s="62"/>
      <c r="AE1044" s="62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86"/>
      <c r="E1045" s="86"/>
      <c r="F1045" s="86"/>
      <c r="G1045" s="86"/>
      <c r="H1045" s="62"/>
      <c r="I1045" s="62"/>
      <c r="J1045" s="62"/>
      <c r="K1045" s="62"/>
      <c r="L1045" s="62"/>
      <c r="M1045" s="62"/>
      <c r="N1045" s="86"/>
      <c r="O1045" s="86"/>
      <c r="P1045" s="86"/>
      <c r="Q1045" s="86"/>
      <c r="R1045" s="86"/>
      <c r="S1045" s="86"/>
      <c r="T1045" s="62"/>
      <c r="U1045" s="62"/>
      <c r="V1045" s="62"/>
      <c r="W1045" s="62"/>
      <c r="X1045" s="62"/>
      <c r="Y1045" s="62"/>
      <c r="Z1045" s="86"/>
      <c r="AA1045" s="86"/>
      <c r="AB1045" s="86"/>
      <c r="AC1045" s="86"/>
      <c r="AD1045" s="86"/>
      <c r="AE1045" s="86"/>
      <c r="AF1045" s="62"/>
      <c r="AG1045" s="62"/>
      <c r="AH1045" s="62"/>
      <c r="AI1045" s="62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86"/>
      <c r="C1046" s="86"/>
      <c r="D1046" s="86"/>
      <c r="E1046" s="86"/>
      <c r="F1046" s="86"/>
      <c r="G1046" s="86"/>
      <c r="H1046" s="62"/>
      <c r="I1046" s="62"/>
      <c r="J1046" s="62"/>
      <c r="K1046" s="62"/>
      <c r="L1046" s="62"/>
      <c r="M1046" s="62"/>
      <c r="N1046" s="86"/>
      <c r="O1046" s="86"/>
      <c r="P1046" s="86"/>
      <c r="Q1046" s="86"/>
      <c r="R1046" s="86"/>
      <c r="S1046" s="86"/>
      <c r="T1046" s="62"/>
      <c r="U1046" s="62"/>
      <c r="V1046" s="62"/>
      <c r="W1046" s="62"/>
      <c r="X1046" s="62"/>
      <c r="Y1046" s="62"/>
      <c r="Z1046" s="86"/>
      <c r="AA1046" s="86"/>
      <c r="AB1046" s="86"/>
      <c r="AC1046" s="86"/>
      <c r="AD1046" s="86"/>
      <c r="AE1046" s="86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3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3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3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ht="15.75" x14ac:dyDescent="0.25">
      <c r="A1050" s="62"/>
      <c r="B1050" s="86"/>
      <c r="C1050" s="86"/>
      <c r="D1050" s="86"/>
      <c r="E1050" s="86"/>
      <c r="F1050" s="86"/>
      <c r="G1050" s="86"/>
      <c r="H1050" s="62"/>
      <c r="I1050" s="86"/>
      <c r="J1050" s="73"/>
      <c r="K1050" s="62"/>
      <c r="L1050" s="62"/>
      <c r="M1050" s="62"/>
      <c r="N1050" s="86"/>
      <c r="O1050" s="86"/>
      <c r="P1050" s="86"/>
      <c r="Q1050" s="86"/>
      <c r="R1050" s="86"/>
      <c r="S1050" s="86"/>
      <c r="T1050" s="62"/>
      <c r="U1050" s="86"/>
      <c r="V1050" s="73"/>
      <c r="W1050" s="62"/>
      <c r="X1050" s="62"/>
      <c r="Y1050" s="62"/>
      <c r="Z1050" s="86"/>
      <c r="AA1050" s="86"/>
      <c r="AB1050" s="86"/>
      <c r="AC1050" s="86"/>
      <c r="AD1050" s="86"/>
      <c r="AE1050" s="86"/>
      <c r="AF1050" s="62"/>
      <c r="AG1050" s="86"/>
      <c r="AH1050" s="86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4"/>
      <c r="B1051" s="86"/>
      <c r="C1051" s="86"/>
      <c r="D1051" s="86"/>
      <c r="E1051" s="86"/>
      <c r="F1051" s="86"/>
      <c r="G1051" s="86"/>
      <c r="H1051" s="62"/>
      <c r="I1051" s="65"/>
      <c r="J1051" s="65"/>
      <c r="K1051" s="62"/>
      <c r="L1051" s="62"/>
      <c r="M1051" s="64"/>
      <c r="N1051" s="86"/>
      <c r="O1051" s="86"/>
      <c r="P1051" s="86"/>
      <c r="Q1051" s="86"/>
      <c r="R1051" s="86"/>
      <c r="S1051" s="86"/>
      <c r="T1051" s="62"/>
      <c r="U1051" s="65"/>
      <c r="V1051" s="65"/>
      <c r="W1051" s="62"/>
      <c r="X1051" s="62"/>
      <c r="Y1051" s="64"/>
      <c r="Z1051" s="86"/>
      <c r="AA1051" s="86"/>
      <c r="AB1051" s="86"/>
      <c r="AC1051" s="86"/>
      <c r="AD1051" s="86"/>
      <c r="AE1051" s="86"/>
      <c r="AF1051" s="62"/>
      <c r="AG1051" s="65"/>
      <c r="AH1051" s="65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x14ac:dyDescent="0.25">
      <c r="A1052" s="62"/>
      <c r="B1052" s="86"/>
      <c r="C1052" s="86"/>
      <c r="D1052" s="86"/>
      <c r="E1052" s="86"/>
      <c r="F1052" s="86"/>
      <c r="G1052" s="86"/>
      <c r="H1052" s="62"/>
      <c r="I1052" s="62"/>
      <c r="J1052" s="62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62"/>
      <c r="V1052" s="62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62"/>
      <c r="AH1052" s="62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2"/>
      <c r="B1053" s="65"/>
      <c r="C1053" s="86"/>
      <c r="D1053" s="108"/>
      <c r="E1053" s="108"/>
      <c r="F1053" s="86"/>
      <c r="G1053" s="86"/>
      <c r="H1053" s="62"/>
      <c r="I1053" s="108"/>
      <c r="J1053" s="108"/>
      <c r="K1053" s="109"/>
      <c r="L1053" s="62"/>
      <c r="M1053" s="62"/>
      <c r="N1053" s="65"/>
      <c r="O1053" s="86"/>
      <c r="P1053" s="108"/>
      <c r="Q1053" s="108"/>
      <c r="R1053" s="86"/>
      <c r="S1053" s="86"/>
      <c r="T1053" s="62"/>
      <c r="U1053" s="108"/>
      <c r="V1053" s="108"/>
      <c r="W1053" s="109"/>
      <c r="X1053" s="62"/>
      <c r="Y1053" s="62"/>
      <c r="Z1053" s="65"/>
      <c r="AA1053" s="86"/>
      <c r="AB1053" s="108"/>
      <c r="AC1053" s="108"/>
      <c r="AD1053" s="86"/>
      <c r="AE1053" s="86"/>
      <c r="AF1053" s="62"/>
      <c r="AG1053" s="108"/>
      <c r="AH1053" s="108"/>
      <c r="AI1053" s="109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79"/>
      <c r="E1054" s="80"/>
      <c r="F1054" s="81"/>
      <c r="G1054" s="81"/>
      <c r="H1054" s="62"/>
      <c r="I1054" s="85"/>
      <c r="J1054" s="85"/>
      <c r="K1054" s="109"/>
      <c r="L1054" s="62"/>
      <c r="M1054" s="62"/>
      <c r="N1054" s="86"/>
      <c r="O1054" s="86"/>
      <c r="P1054" s="79"/>
      <c r="Q1054" s="81"/>
      <c r="R1054" s="81"/>
      <c r="S1054" s="81"/>
      <c r="T1054" s="62"/>
      <c r="U1054" s="85"/>
      <c r="V1054" s="85"/>
      <c r="W1054" s="109"/>
      <c r="X1054" s="62"/>
      <c r="Y1054" s="62"/>
      <c r="Z1054" s="86"/>
      <c r="AA1054" s="86"/>
      <c r="AB1054" s="79"/>
      <c r="AC1054" s="81"/>
      <c r="AD1054" s="81"/>
      <c r="AE1054" s="81"/>
      <c r="AF1054" s="62"/>
      <c r="AG1054" s="85"/>
      <c r="AH1054" s="85"/>
      <c r="AI1054" s="109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6"/>
      <c r="C1055" s="84"/>
      <c r="D1055" s="60"/>
      <c r="E1055" s="60"/>
      <c r="F1055" s="60"/>
      <c r="G1055" s="60"/>
      <c r="H1055" s="61"/>
      <c r="I1055" s="61"/>
      <c r="J1055" s="61"/>
      <c r="K1055" s="61"/>
      <c r="L1055" s="62"/>
      <c r="M1055" s="62"/>
      <c r="N1055" s="66"/>
      <c r="O1055" s="86"/>
      <c r="P1055" s="60"/>
      <c r="Q1055" s="60"/>
      <c r="R1055" s="60"/>
      <c r="S1055" s="60"/>
      <c r="T1055" s="61"/>
      <c r="U1055" s="61"/>
      <c r="V1055" s="61"/>
      <c r="W1055" s="61"/>
      <c r="X1055" s="62"/>
      <c r="Y1055" s="62"/>
      <c r="Z1055" s="66"/>
      <c r="AA1055" s="86"/>
      <c r="AB1055" s="60"/>
      <c r="AC1055" s="60"/>
      <c r="AD1055" s="60"/>
      <c r="AE1055" s="60"/>
      <c r="AF1055" s="61"/>
      <c r="AG1055" s="61"/>
      <c r="AH1055" s="61"/>
      <c r="AI1055" s="61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66"/>
      <c r="C1056" s="86"/>
      <c r="D1056" s="60"/>
      <c r="E1056" s="60"/>
      <c r="F1056" s="60"/>
      <c r="G1056" s="60"/>
      <c r="H1056" s="61"/>
      <c r="I1056" s="61"/>
      <c r="J1056" s="61"/>
      <c r="K1056" s="61"/>
      <c r="L1056" s="62"/>
      <c r="M1056" s="62"/>
      <c r="N1056" s="66"/>
      <c r="O1056" s="86"/>
      <c r="P1056" s="60"/>
      <c r="Q1056" s="60"/>
      <c r="R1056" s="60"/>
      <c r="S1056" s="60"/>
      <c r="T1056" s="61"/>
      <c r="U1056" s="61"/>
      <c r="V1056" s="61"/>
      <c r="W1056" s="61"/>
      <c r="X1056" s="62"/>
      <c r="Y1056" s="62"/>
      <c r="Z1056" s="66"/>
      <c r="AA1056" s="86"/>
      <c r="AB1056" s="60"/>
      <c r="AC1056" s="60"/>
      <c r="AD1056" s="60"/>
      <c r="AE1056" s="60"/>
      <c r="AF1056" s="61"/>
      <c r="AG1056" s="61"/>
      <c r="AH1056" s="61"/>
      <c r="AI1056" s="61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6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2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2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1"/>
      <c r="AH1060" s="62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65"/>
      <c r="P1062" s="60"/>
      <c r="Q1062" s="60"/>
      <c r="R1062" s="60"/>
      <c r="S1062" s="60"/>
      <c r="T1062" s="61"/>
      <c r="U1062" s="61"/>
      <c r="V1062" s="61"/>
      <c r="W1062" s="61"/>
      <c r="X1062" s="62"/>
      <c r="Y1062" s="62"/>
      <c r="Z1062" s="66"/>
      <c r="AA1062" s="86"/>
      <c r="AB1062" s="60"/>
      <c r="AC1062" s="60"/>
      <c r="AD1062" s="62"/>
      <c r="AE1062" s="60"/>
      <c r="AF1062" s="61"/>
      <c r="AG1062" s="61"/>
      <c r="AH1062" s="61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2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86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0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2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65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65"/>
      <c r="D1068" s="60"/>
      <c r="E1068" s="60"/>
      <c r="F1068" s="60"/>
      <c r="G1068" s="60"/>
      <c r="H1068" s="61"/>
      <c r="I1068" s="61"/>
      <c r="J1068" s="61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86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86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2"/>
      <c r="I1075" s="62"/>
      <c r="J1075" s="62"/>
      <c r="K1075" s="61"/>
      <c r="L1075" s="62"/>
      <c r="M1075" s="62"/>
      <c r="N1075" s="66"/>
      <c r="O1075" s="86"/>
      <c r="P1075" s="67"/>
      <c r="Q1075" s="86"/>
      <c r="R1075" s="86"/>
      <c r="S1075" s="60"/>
      <c r="T1075" s="62"/>
      <c r="U1075" s="62"/>
      <c r="V1075" s="62"/>
      <c r="W1075" s="61"/>
      <c r="X1075" s="62"/>
      <c r="Y1075" s="62"/>
      <c r="Z1075" s="66"/>
      <c r="AA1075" s="62"/>
      <c r="AB1075" s="67"/>
      <c r="AC1075" s="86"/>
      <c r="AD1075" s="86"/>
      <c r="AE1075" s="60"/>
      <c r="AF1075" s="62"/>
      <c r="AG1075" s="62"/>
      <c r="AH1075" s="62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2"/>
      <c r="I1076" s="62"/>
      <c r="J1076" s="62"/>
      <c r="K1076" s="61"/>
      <c r="L1076" s="62"/>
      <c r="M1076" s="62"/>
      <c r="N1076" s="66"/>
      <c r="O1076" s="86"/>
      <c r="P1076" s="68"/>
      <c r="Q1076" s="86"/>
      <c r="R1076" s="86"/>
      <c r="S1076" s="60"/>
      <c r="T1076" s="62"/>
      <c r="U1076" s="62"/>
      <c r="V1076" s="62"/>
      <c r="W1076" s="61"/>
      <c r="X1076" s="62"/>
      <c r="Y1076" s="62"/>
      <c r="Z1076" s="66"/>
      <c r="AA1076" s="86"/>
      <c r="AB1076" s="68"/>
      <c r="AC1076" s="86"/>
      <c r="AD1076" s="86"/>
      <c r="AE1076" s="60"/>
      <c r="AF1076" s="62"/>
      <c r="AG1076" s="62"/>
      <c r="AH1076" s="62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1"/>
      <c r="K1077" s="61"/>
      <c r="L1077" s="62"/>
      <c r="M1077" s="62"/>
      <c r="N1077" s="66"/>
      <c r="O1077" s="86"/>
      <c r="P1077" s="69"/>
      <c r="Q1077" s="86"/>
      <c r="R1077" s="62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9"/>
      <c r="AC1077" s="86"/>
      <c r="AD1077" s="62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9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9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2"/>
      <c r="K1079" s="61"/>
      <c r="L1079" s="62"/>
      <c r="M1079" s="62"/>
      <c r="N1079" s="66"/>
      <c r="O1079" s="86"/>
      <c r="P1079" s="69"/>
      <c r="Q1079" s="86"/>
      <c r="R1079" s="86"/>
      <c r="S1079" s="60"/>
      <c r="T1079" s="62"/>
      <c r="U1079" s="62"/>
      <c r="V1079" s="62"/>
      <c r="W1079" s="61"/>
      <c r="X1079" s="62"/>
      <c r="Y1079" s="62"/>
      <c r="Z1079" s="66"/>
      <c r="AA1079" s="86"/>
      <c r="AB1079" s="69"/>
      <c r="AC1079" s="86"/>
      <c r="AD1079" s="86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62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86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62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86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6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62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6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86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62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62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6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86"/>
      <c r="O1096" s="86"/>
      <c r="P1096" s="86"/>
      <c r="Q1096" s="86"/>
      <c r="R1096" s="86"/>
      <c r="S1096" s="86"/>
      <c r="T1096" s="62"/>
      <c r="U1096" s="62"/>
      <c r="V1096" s="62"/>
      <c r="W1096" s="61"/>
      <c r="X1096" s="62"/>
      <c r="Y1096" s="62"/>
      <c r="Z1096" s="86"/>
      <c r="AA1096" s="86"/>
      <c r="AB1096" s="86"/>
      <c r="AC1096" s="86"/>
      <c r="AD1096" s="86"/>
      <c r="AE1096" s="86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86"/>
      <c r="C1097" s="86"/>
      <c r="D1097" s="86"/>
      <c r="E1097" s="86"/>
      <c r="F1097" s="86"/>
      <c r="G1097" s="86"/>
      <c r="H1097" s="62"/>
      <c r="I1097" s="62"/>
      <c r="J1097" s="62"/>
      <c r="K1097" s="62"/>
      <c r="L1097" s="62"/>
      <c r="M1097" s="62"/>
      <c r="N1097" s="86"/>
      <c r="O1097" s="86"/>
      <c r="P1097" s="86"/>
      <c r="Q1097" s="86"/>
      <c r="R1097" s="86"/>
      <c r="S1097" s="86"/>
      <c r="T1097" s="62"/>
      <c r="U1097" s="62"/>
      <c r="V1097" s="62"/>
      <c r="W1097" s="62"/>
      <c r="X1097" s="62"/>
      <c r="Y1097" s="62"/>
      <c r="Z1097" s="86"/>
      <c r="AA1097" s="86"/>
      <c r="AB1097" s="86"/>
      <c r="AC1097" s="86"/>
      <c r="AD1097" s="86"/>
      <c r="AE1097" s="86"/>
      <c r="AF1097" s="62"/>
      <c r="AG1097" s="62"/>
      <c r="AH1097" s="62"/>
      <c r="AI1097" s="62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86"/>
      <c r="C1098" s="86"/>
      <c r="D1098" s="70"/>
      <c r="E1098" s="70"/>
      <c r="F1098" s="70"/>
      <c r="G1098" s="70"/>
      <c r="H1098" s="63"/>
      <c r="I1098" s="70"/>
      <c r="J1098" s="70"/>
      <c r="K1098" s="70"/>
      <c r="L1098" s="62"/>
      <c r="M1098" s="62"/>
      <c r="N1098" s="86"/>
      <c r="O1098" s="86"/>
      <c r="P1098" s="70"/>
      <c r="Q1098" s="70"/>
      <c r="R1098" s="70"/>
      <c r="S1098" s="70"/>
      <c r="T1098" s="63"/>
      <c r="U1098" s="71"/>
      <c r="V1098" s="71"/>
      <c r="W1098" s="71"/>
      <c r="X1098" s="62"/>
      <c r="Y1098" s="62"/>
      <c r="Z1098" s="86"/>
      <c r="AA1098" s="86"/>
      <c r="AB1098" s="70"/>
      <c r="AC1098" s="70"/>
      <c r="AD1098" s="70"/>
      <c r="AE1098" s="70"/>
      <c r="AF1098" s="63"/>
      <c r="AG1098" s="71"/>
      <c r="AH1098" s="71"/>
      <c r="AI1098" s="7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62"/>
      <c r="C1099" s="62"/>
      <c r="D1099" s="62"/>
      <c r="E1099" s="62"/>
      <c r="F1099" s="62"/>
      <c r="G1099" s="62"/>
      <c r="H1099" s="62"/>
      <c r="I1099" s="62"/>
      <c r="J1099" s="62"/>
      <c r="K1099" s="62"/>
      <c r="L1099" s="62"/>
      <c r="M1099" s="62"/>
      <c r="N1099" s="62"/>
      <c r="O1099" s="62"/>
      <c r="P1099" s="62"/>
      <c r="Q1099" s="62"/>
      <c r="R1099" s="62"/>
      <c r="S1099" s="62"/>
      <c r="T1099" s="62"/>
      <c r="U1099" s="62"/>
      <c r="V1099" s="62"/>
      <c r="W1099" s="62"/>
      <c r="X1099" s="62"/>
      <c r="Y1099" s="62"/>
      <c r="Z1099" s="62"/>
      <c r="AA1099" s="62"/>
      <c r="AB1099" s="62"/>
      <c r="AC1099" s="62"/>
      <c r="AD1099" s="62"/>
      <c r="AE1099" s="62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86"/>
      <c r="E1100" s="86"/>
      <c r="F1100" s="86"/>
      <c r="G1100" s="86"/>
      <c r="H1100" s="62"/>
      <c r="I1100" s="62"/>
      <c r="J1100" s="62"/>
      <c r="K1100" s="62"/>
      <c r="L1100" s="62"/>
      <c r="M1100" s="62"/>
      <c r="N1100" s="86"/>
      <c r="O1100" s="86"/>
      <c r="P1100" s="86"/>
      <c r="Q1100" s="86"/>
      <c r="R1100" s="86"/>
      <c r="S1100" s="86"/>
      <c r="T1100" s="62"/>
      <c r="U1100" s="62"/>
      <c r="V1100" s="62"/>
      <c r="W1100" s="62"/>
      <c r="X1100" s="62"/>
      <c r="Y1100" s="62"/>
      <c r="Z1100" s="86"/>
      <c r="AA1100" s="86"/>
      <c r="AB1100" s="86"/>
      <c r="AC1100" s="86"/>
      <c r="AD1100" s="86"/>
      <c r="AE1100" s="86"/>
      <c r="AF1100" s="62"/>
      <c r="AG1100" s="62"/>
      <c r="AH1100" s="62"/>
      <c r="AI1100" s="62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86"/>
      <c r="C1101" s="86"/>
      <c r="D1101" s="86"/>
      <c r="E1101" s="86"/>
      <c r="F1101" s="86"/>
      <c r="G1101" s="86"/>
      <c r="H1101" s="62"/>
      <c r="I1101" s="62"/>
      <c r="J1101" s="62"/>
      <c r="K1101" s="62"/>
      <c r="L1101" s="62"/>
      <c r="M1101" s="62"/>
      <c r="N1101" s="86"/>
      <c r="O1101" s="86"/>
      <c r="P1101" s="86"/>
      <c r="Q1101" s="86"/>
      <c r="R1101" s="86"/>
      <c r="S1101" s="86"/>
      <c r="T1101" s="62"/>
      <c r="U1101" s="62"/>
      <c r="V1101" s="62"/>
      <c r="W1101" s="62"/>
      <c r="X1101" s="62"/>
      <c r="Y1101" s="62"/>
      <c r="Z1101" s="86"/>
      <c r="AA1101" s="86"/>
      <c r="AB1101" s="86"/>
      <c r="AC1101" s="86"/>
      <c r="AD1101" s="86"/>
      <c r="AE1101" s="86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3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3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3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ht="15.75" x14ac:dyDescent="0.25">
      <c r="A1105" s="62"/>
      <c r="B1105" s="86"/>
      <c r="C1105" s="86"/>
      <c r="D1105" s="86"/>
      <c r="E1105" s="86"/>
      <c r="F1105" s="86"/>
      <c r="G1105" s="86"/>
      <c r="H1105" s="62"/>
      <c r="I1105" s="86"/>
      <c r="J1105" s="73"/>
      <c r="K1105" s="62"/>
      <c r="L1105" s="62"/>
      <c r="M1105" s="62"/>
      <c r="N1105" s="86"/>
      <c r="O1105" s="86"/>
      <c r="P1105" s="86"/>
      <c r="Q1105" s="86"/>
      <c r="R1105" s="86"/>
      <c r="S1105" s="86"/>
      <c r="T1105" s="62"/>
      <c r="U1105" s="86"/>
      <c r="V1105" s="73"/>
      <c r="W1105" s="62"/>
      <c r="X1105" s="62"/>
      <c r="Y1105" s="62"/>
      <c r="Z1105" s="86"/>
      <c r="AA1105" s="86"/>
      <c r="AB1105" s="86"/>
      <c r="AC1105" s="86"/>
      <c r="AD1105" s="86"/>
      <c r="AE1105" s="86"/>
      <c r="AF1105" s="62"/>
      <c r="AG1105" s="86"/>
      <c r="AH1105" s="86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4"/>
      <c r="B1106" s="86"/>
      <c r="C1106" s="86"/>
      <c r="D1106" s="86"/>
      <c r="E1106" s="86"/>
      <c r="F1106" s="86"/>
      <c r="G1106" s="86"/>
      <c r="H1106" s="62"/>
      <c r="I1106" s="65"/>
      <c r="J1106" s="65"/>
      <c r="K1106" s="62"/>
      <c r="L1106" s="62"/>
      <c r="M1106" s="64"/>
      <c r="N1106" s="86"/>
      <c r="O1106" s="86"/>
      <c r="P1106" s="86"/>
      <c r="Q1106" s="86"/>
      <c r="R1106" s="86"/>
      <c r="S1106" s="86"/>
      <c r="T1106" s="62"/>
      <c r="U1106" s="65"/>
      <c r="V1106" s="65"/>
      <c r="W1106" s="62"/>
      <c r="X1106" s="62"/>
      <c r="Y1106" s="64"/>
      <c r="Z1106" s="86"/>
      <c r="AA1106" s="86"/>
      <c r="AB1106" s="86"/>
      <c r="AC1106" s="86"/>
      <c r="AD1106" s="86"/>
      <c r="AE1106" s="86"/>
      <c r="AF1106" s="62"/>
      <c r="AG1106" s="65"/>
      <c r="AH1106" s="65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x14ac:dyDescent="0.25">
      <c r="A1107" s="62"/>
      <c r="B1107" s="86"/>
      <c r="C1107" s="86"/>
      <c r="D1107" s="86"/>
      <c r="E1107" s="86"/>
      <c r="F1107" s="86"/>
      <c r="G1107" s="86"/>
      <c r="H1107" s="62"/>
      <c r="I1107" s="62"/>
      <c r="J1107" s="62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62"/>
      <c r="V1107" s="62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62"/>
      <c r="AH1107" s="62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2"/>
      <c r="B1108" s="65"/>
      <c r="C1108" s="86"/>
      <c r="D1108" s="108"/>
      <c r="E1108" s="108"/>
      <c r="F1108" s="86"/>
      <c r="G1108" s="86"/>
      <c r="H1108" s="62"/>
      <c r="I1108" s="108"/>
      <c r="J1108" s="108"/>
      <c r="K1108" s="109"/>
      <c r="L1108" s="62"/>
      <c r="M1108" s="62"/>
      <c r="N1108" s="65"/>
      <c r="O1108" s="86"/>
      <c r="P1108" s="108"/>
      <c r="Q1108" s="108"/>
      <c r="R1108" s="86"/>
      <c r="S1108" s="86"/>
      <c r="T1108" s="62"/>
      <c r="U1108" s="108"/>
      <c r="V1108" s="108"/>
      <c r="W1108" s="109"/>
      <c r="X1108" s="62"/>
      <c r="Y1108" s="62"/>
      <c r="Z1108" s="65"/>
      <c r="AA1108" s="86"/>
      <c r="AB1108" s="108"/>
      <c r="AC1108" s="108"/>
      <c r="AD1108" s="86"/>
      <c r="AE1108" s="86"/>
      <c r="AF1108" s="62"/>
      <c r="AG1108" s="108"/>
      <c r="AH1108" s="108"/>
      <c r="AI1108" s="109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79"/>
      <c r="E1109" s="80"/>
      <c r="F1109" s="81"/>
      <c r="G1109" s="81"/>
      <c r="H1109" s="62"/>
      <c r="I1109" s="85"/>
      <c r="J1109" s="85"/>
      <c r="K1109" s="109"/>
      <c r="L1109" s="62"/>
      <c r="M1109" s="62"/>
      <c r="N1109" s="86"/>
      <c r="O1109" s="86"/>
      <c r="P1109" s="79"/>
      <c r="Q1109" s="81"/>
      <c r="R1109" s="81"/>
      <c r="S1109" s="81"/>
      <c r="T1109" s="62"/>
      <c r="U1109" s="85"/>
      <c r="V1109" s="85"/>
      <c r="W1109" s="109"/>
      <c r="X1109" s="62"/>
      <c r="Y1109" s="62"/>
      <c r="Z1109" s="86"/>
      <c r="AA1109" s="86"/>
      <c r="AB1109" s="79"/>
      <c r="AC1109" s="81"/>
      <c r="AD1109" s="81"/>
      <c r="AE1109" s="81"/>
      <c r="AF1109" s="62"/>
      <c r="AG1109" s="85"/>
      <c r="AH1109" s="85"/>
      <c r="AI1109" s="109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6"/>
      <c r="C1110" s="84"/>
      <c r="D1110" s="60"/>
      <c r="E1110" s="60"/>
      <c r="F1110" s="60"/>
      <c r="G1110" s="60"/>
      <c r="H1110" s="61"/>
      <c r="I1110" s="61"/>
      <c r="J1110" s="61"/>
      <c r="K1110" s="61"/>
      <c r="L1110" s="62"/>
      <c r="M1110" s="62"/>
      <c r="N1110" s="66"/>
      <c r="O1110" s="86"/>
      <c r="P1110" s="60"/>
      <c r="Q1110" s="60"/>
      <c r="R1110" s="60"/>
      <c r="S1110" s="60"/>
      <c r="T1110" s="61"/>
      <c r="U1110" s="61"/>
      <c r="V1110" s="61"/>
      <c r="W1110" s="61"/>
      <c r="X1110" s="62"/>
      <c r="Y1110" s="62"/>
      <c r="Z1110" s="66"/>
      <c r="AA1110" s="86"/>
      <c r="AB1110" s="60"/>
      <c r="AC1110" s="60"/>
      <c r="AD1110" s="60"/>
      <c r="AE1110" s="60"/>
      <c r="AF1110" s="61"/>
      <c r="AG1110" s="61"/>
      <c r="AH1110" s="61"/>
      <c r="AI1110" s="61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66"/>
      <c r="C1111" s="86"/>
      <c r="D1111" s="60"/>
      <c r="E1111" s="60"/>
      <c r="F1111" s="60"/>
      <c r="G1111" s="60"/>
      <c r="H1111" s="61"/>
      <c r="I1111" s="61"/>
      <c r="J1111" s="61"/>
      <c r="K1111" s="61"/>
      <c r="L1111" s="62"/>
      <c r="M1111" s="62"/>
      <c r="N1111" s="66"/>
      <c r="O1111" s="86"/>
      <c r="P1111" s="60"/>
      <c r="Q1111" s="60"/>
      <c r="R1111" s="60"/>
      <c r="S1111" s="60"/>
      <c r="T1111" s="61"/>
      <c r="U1111" s="61"/>
      <c r="V1111" s="61"/>
      <c r="W1111" s="61"/>
      <c r="X1111" s="62"/>
      <c r="Y1111" s="62"/>
      <c r="Z1111" s="66"/>
      <c r="AA1111" s="86"/>
      <c r="AB1111" s="60"/>
      <c r="AC1111" s="60"/>
      <c r="AD1111" s="60"/>
      <c r="AE1111" s="60"/>
      <c r="AF1111" s="61"/>
      <c r="AG1111" s="61"/>
      <c r="AH1111" s="61"/>
      <c r="AI1111" s="61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6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65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2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6"/>
      <c r="P1115" s="60"/>
      <c r="Q1115" s="60"/>
      <c r="R1115" s="60"/>
      <c r="S1115" s="60"/>
      <c r="T1115" s="61"/>
      <c r="U1115" s="61"/>
      <c r="V1115" s="62"/>
      <c r="W1115" s="61"/>
      <c r="X1115" s="62"/>
      <c r="Y1115" s="62"/>
      <c r="Z1115" s="66"/>
      <c r="AA1115" s="65"/>
      <c r="AB1115" s="60"/>
      <c r="AC1115" s="60"/>
      <c r="AD1115" s="60"/>
      <c r="AE1115" s="60"/>
      <c r="AF1115" s="61"/>
      <c r="AG1115" s="61"/>
      <c r="AH1115" s="62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2"/>
      <c r="P1117" s="60"/>
      <c r="Q1117" s="60"/>
      <c r="R1117" s="60"/>
      <c r="S1117" s="60"/>
      <c r="T1117" s="61"/>
      <c r="U1117" s="61"/>
      <c r="V1117" s="61"/>
      <c r="W1117" s="61"/>
      <c r="X1117" s="62"/>
      <c r="Y1117" s="62"/>
      <c r="Z1117" s="66"/>
      <c r="AA1117" s="86"/>
      <c r="AB1117" s="60"/>
      <c r="AC1117" s="60"/>
      <c r="AD1117" s="62"/>
      <c r="AE1117" s="60"/>
      <c r="AF1117" s="61"/>
      <c r="AG1117" s="61"/>
      <c r="AH1117" s="61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2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65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6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0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1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6"/>
      <c r="D1121" s="60"/>
      <c r="E1121" s="60"/>
      <c r="F1121" s="60"/>
      <c r="G1121" s="60"/>
      <c r="H1121" s="61"/>
      <c r="I1121" s="61"/>
      <c r="J1121" s="62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62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1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86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2"/>
      <c r="I1130" s="62"/>
      <c r="J1130" s="62"/>
      <c r="K1130" s="61"/>
      <c r="L1130" s="62"/>
      <c r="M1130" s="62"/>
      <c r="N1130" s="66"/>
      <c r="O1130" s="86"/>
      <c r="P1130" s="67"/>
      <c r="Q1130" s="86"/>
      <c r="R1130" s="86"/>
      <c r="S1130" s="60"/>
      <c r="T1130" s="62"/>
      <c r="U1130" s="62"/>
      <c r="V1130" s="62"/>
      <c r="W1130" s="61"/>
      <c r="X1130" s="62"/>
      <c r="Y1130" s="62"/>
      <c r="Z1130" s="66"/>
      <c r="AA1130" s="62"/>
      <c r="AB1130" s="67"/>
      <c r="AC1130" s="86"/>
      <c r="AD1130" s="86"/>
      <c r="AE1130" s="60"/>
      <c r="AF1130" s="62"/>
      <c r="AG1130" s="62"/>
      <c r="AH1130" s="62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2"/>
      <c r="I1131" s="62"/>
      <c r="J1131" s="62"/>
      <c r="K1131" s="61"/>
      <c r="L1131" s="62"/>
      <c r="M1131" s="62"/>
      <c r="N1131" s="66"/>
      <c r="O1131" s="86"/>
      <c r="P1131" s="68"/>
      <c r="Q1131" s="86"/>
      <c r="R1131" s="86"/>
      <c r="S1131" s="60"/>
      <c r="T1131" s="62"/>
      <c r="U1131" s="62"/>
      <c r="V1131" s="62"/>
      <c r="W1131" s="61"/>
      <c r="X1131" s="62"/>
      <c r="Y1131" s="62"/>
      <c r="Z1131" s="66"/>
      <c r="AA1131" s="86"/>
      <c r="AB1131" s="68"/>
      <c r="AC1131" s="86"/>
      <c r="AD1131" s="86"/>
      <c r="AE1131" s="60"/>
      <c r="AF1131" s="62"/>
      <c r="AG1131" s="62"/>
      <c r="AH1131" s="62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1"/>
      <c r="K1132" s="61"/>
      <c r="L1132" s="62"/>
      <c r="M1132" s="62"/>
      <c r="N1132" s="66"/>
      <c r="O1132" s="86"/>
      <c r="P1132" s="69"/>
      <c r="Q1132" s="86"/>
      <c r="R1132" s="62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9"/>
      <c r="AC1132" s="86"/>
      <c r="AD1132" s="62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9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9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2"/>
      <c r="K1134" s="61"/>
      <c r="L1134" s="62"/>
      <c r="M1134" s="62"/>
      <c r="N1134" s="66"/>
      <c r="O1134" s="86"/>
      <c r="P1134" s="69"/>
      <c r="Q1134" s="86"/>
      <c r="R1134" s="86"/>
      <c r="S1134" s="60"/>
      <c r="T1134" s="62"/>
      <c r="U1134" s="62"/>
      <c r="V1134" s="62"/>
      <c r="W1134" s="61"/>
      <c r="X1134" s="62"/>
      <c r="Y1134" s="62"/>
      <c r="Z1134" s="66"/>
      <c r="AA1134" s="86"/>
      <c r="AB1134" s="69"/>
      <c r="AC1134" s="86"/>
      <c r="AD1134" s="86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62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6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4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62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6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4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6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62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6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86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62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62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6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86"/>
      <c r="O1151" s="86"/>
      <c r="P1151" s="86"/>
      <c r="Q1151" s="86"/>
      <c r="R1151" s="86"/>
      <c r="S1151" s="86"/>
      <c r="T1151" s="62"/>
      <c r="U1151" s="62"/>
      <c r="V1151" s="62"/>
      <c r="W1151" s="61"/>
      <c r="X1151" s="62"/>
      <c r="Y1151" s="62"/>
      <c r="Z1151" s="86"/>
      <c r="AA1151" s="86"/>
      <c r="AB1151" s="86"/>
      <c r="AC1151" s="86"/>
      <c r="AD1151" s="86"/>
      <c r="AE1151" s="86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86"/>
      <c r="C1152" s="86"/>
      <c r="D1152" s="86"/>
      <c r="E1152" s="86"/>
      <c r="F1152" s="86"/>
      <c r="G1152" s="86"/>
      <c r="H1152" s="62"/>
      <c r="I1152" s="62"/>
      <c r="J1152" s="62"/>
      <c r="K1152" s="62"/>
      <c r="L1152" s="62"/>
      <c r="M1152" s="62"/>
      <c r="N1152" s="86"/>
      <c r="O1152" s="86"/>
      <c r="P1152" s="86"/>
      <c r="Q1152" s="86"/>
      <c r="R1152" s="86"/>
      <c r="S1152" s="86"/>
      <c r="T1152" s="62"/>
      <c r="U1152" s="62"/>
      <c r="V1152" s="62"/>
      <c r="W1152" s="62"/>
      <c r="X1152" s="62"/>
      <c r="Y1152" s="62"/>
      <c r="Z1152" s="86"/>
      <c r="AA1152" s="86"/>
      <c r="AB1152" s="86"/>
      <c r="AC1152" s="86"/>
      <c r="AD1152" s="86"/>
      <c r="AE1152" s="86"/>
      <c r="AF1152" s="62"/>
      <c r="AG1152" s="62"/>
      <c r="AH1152" s="62"/>
      <c r="AI1152" s="62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86"/>
      <c r="C1153" s="86"/>
      <c r="D1153" s="70"/>
      <c r="E1153" s="70"/>
      <c r="F1153" s="70"/>
      <c r="G1153" s="70"/>
      <c r="H1153" s="63"/>
      <c r="I1153" s="70"/>
      <c r="J1153" s="70"/>
      <c r="K1153" s="70"/>
      <c r="L1153" s="62"/>
      <c r="M1153" s="62"/>
      <c r="N1153" s="86"/>
      <c r="O1153" s="86"/>
      <c r="P1153" s="70"/>
      <c r="Q1153" s="70"/>
      <c r="R1153" s="70"/>
      <c r="S1153" s="70"/>
      <c r="T1153" s="63"/>
      <c r="U1153" s="71"/>
      <c r="V1153" s="71"/>
      <c r="W1153" s="71"/>
      <c r="X1153" s="62"/>
      <c r="Y1153" s="62"/>
      <c r="Z1153" s="86"/>
      <c r="AA1153" s="86"/>
      <c r="AB1153" s="70"/>
      <c r="AC1153" s="70"/>
      <c r="AD1153" s="70"/>
      <c r="AE1153" s="70"/>
      <c r="AF1153" s="63"/>
      <c r="AG1153" s="71"/>
      <c r="AH1153" s="71"/>
      <c r="AI1153" s="7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62"/>
      <c r="C1154" s="62"/>
      <c r="D1154" s="62"/>
      <c r="E1154" s="62"/>
      <c r="F1154" s="62"/>
      <c r="G1154" s="62"/>
      <c r="H1154" s="62"/>
      <c r="I1154" s="62"/>
      <c r="J1154" s="62"/>
      <c r="K1154" s="62"/>
      <c r="L1154" s="62"/>
      <c r="M1154" s="62"/>
      <c r="N1154" s="62"/>
      <c r="O1154" s="62"/>
      <c r="P1154" s="62"/>
      <c r="Q1154" s="62"/>
      <c r="R1154" s="62"/>
      <c r="S1154" s="62"/>
      <c r="T1154" s="62"/>
      <c r="U1154" s="62"/>
      <c r="V1154" s="62"/>
      <c r="W1154" s="62"/>
      <c r="X1154" s="62"/>
      <c r="Y1154" s="62"/>
      <c r="Z1154" s="62"/>
      <c r="AA1154" s="62"/>
      <c r="AB1154" s="62"/>
      <c r="AC1154" s="62"/>
      <c r="AD1154" s="62"/>
      <c r="AE1154" s="62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86"/>
      <c r="E1155" s="86"/>
      <c r="F1155" s="86"/>
      <c r="G1155" s="86"/>
      <c r="H1155" s="62"/>
      <c r="I1155" s="62"/>
      <c r="J1155" s="62"/>
      <c r="K1155" s="62"/>
      <c r="L1155" s="62"/>
      <c r="M1155" s="62"/>
      <c r="N1155" s="86"/>
      <c r="O1155" s="86"/>
      <c r="P1155" s="86"/>
      <c r="Q1155" s="86"/>
      <c r="R1155" s="86"/>
      <c r="S1155" s="86"/>
      <c r="T1155" s="62"/>
      <c r="U1155" s="62"/>
      <c r="V1155" s="62"/>
      <c r="W1155" s="62"/>
      <c r="X1155" s="62"/>
      <c r="Y1155" s="62"/>
      <c r="Z1155" s="86"/>
      <c r="AA1155" s="86"/>
      <c r="AB1155" s="86"/>
      <c r="AC1155" s="86"/>
      <c r="AD1155" s="86"/>
      <c r="AE1155" s="86"/>
      <c r="AF1155" s="62"/>
      <c r="AG1155" s="62"/>
      <c r="AH1155" s="62"/>
      <c r="AI1155" s="62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86"/>
      <c r="C1156" s="86"/>
      <c r="D1156" s="86"/>
      <c r="E1156" s="86"/>
      <c r="F1156" s="86"/>
      <c r="G1156" s="86"/>
      <c r="H1156" s="62"/>
      <c r="I1156" s="62"/>
      <c r="J1156" s="62"/>
      <c r="K1156" s="62"/>
      <c r="L1156" s="62"/>
      <c r="M1156" s="62"/>
      <c r="N1156" s="86"/>
      <c r="O1156" s="86"/>
      <c r="P1156" s="86"/>
      <c r="Q1156" s="86"/>
      <c r="R1156" s="86"/>
      <c r="S1156" s="86"/>
      <c r="T1156" s="62"/>
      <c r="U1156" s="62"/>
      <c r="V1156" s="62"/>
      <c r="W1156" s="62"/>
      <c r="X1156" s="62"/>
      <c r="Y1156" s="62"/>
      <c r="Z1156" s="86"/>
      <c r="AA1156" s="86"/>
      <c r="AB1156" s="86"/>
      <c r="AC1156" s="86"/>
      <c r="AD1156" s="86"/>
      <c r="AE1156" s="86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3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3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3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ht="15.75" x14ac:dyDescent="0.25">
      <c r="A1160" s="62"/>
      <c r="B1160" s="86"/>
      <c r="C1160" s="86"/>
      <c r="D1160" s="86"/>
      <c r="E1160" s="86"/>
      <c r="F1160" s="86"/>
      <c r="G1160" s="86"/>
      <c r="H1160" s="62"/>
      <c r="I1160" s="86"/>
      <c r="J1160" s="73"/>
      <c r="K1160" s="62"/>
      <c r="L1160" s="62"/>
      <c r="M1160" s="62"/>
      <c r="N1160" s="86"/>
      <c r="O1160" s="86"/>
      <c r="P1160" s="86"/>
      <c r="Q1160" s="86"/>
      <c r="R1160" s="86"/>
      <c r="S1160" s="86"/>
      <c r="T1160" s="62"/>
      <c r="U1160" s="86"/>
      <c r="V1160" s="73"/>
      <c r="W1160" s="62"/>
      <c r="X1160" s="62"/>
      <c r="Y1160" s="62"/>
      <c r="Z1160" s="86"/>
      <c r="AA1160" s="86"/>
      <c r="AB1160" s="86"/>
      <c r="AC1160" s="86"/>
      <c r="AD1160" s="86"/>
      <c r="AE1160" s="86"/>
      <c r="AF1160" s="62"/>
      <c r="AG1160" s="86"/>
      <c r="AH1160" s="86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4"/>
      <c r="B1161" s="86"/>
      <c r="C1161" s="86"/>
      <c r="D1161" s="86"/>
      <c r="E1161" s="86"/>
      <c r="F1161" s="86"/>
      <c r="G1161" s="86"/>
      <c r="H1161" s="62"/>
      <c r="I1161" s="65"/>
      <c r="J1161" s="65"/>
      <c r="K1161" s="62"/>
      <c r="L1161" s="62"/>
      <c r="M1161" s="64"/>
      <c r="N1161" s="86"/>
      <c r="O1161" s="86"/>
      <c r="P1161" s="86"/>
      <c r="Q1161" s="86"/>
      <c r="R1161" s="86"/>
      <c r="S1161" s="86"/>
      <c r="T1161" s="62"/>
      <c r="U1161" s="65"/>
      <c r="V1161" s="65"/>
      <c r="W1161" s="62"/>
      <c r="X1161" s="62"/>
      <c r="Y1161" s="64"/>
      <c r="Z1161" s="86"/>
      <c r="AA1161" s="86"/>
      <c r="AB1161" s="86"/>
      <c r="AC1161" s="86"/>
      <c r="AD1161" s="86"/>
      <c r="AE1161" s="86"/>
      <c r="AF1161" s="62"/>
      <c r="AG1161" s="65"/>
      <c r="AH1161" s="65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x14ac:dyDescent="0.25">
      <c r="A1162" s="62"/>
      <c r="B1162" s="86"/>
      <c r="C1162" s="86"/>
      <c r="D1162" s="86"/>
      <c r="E1162" s="86"/>
      <c r="F1162" s="86"/>
      <c r="G1162" s="86"/>
      <c r="H1162" s="62"/>
      <c r="I1162" s="62"/>
      <c r="J1162" s="62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62"/>
      <c r="V1162" s="62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62"/>
      <c r="AH1162" s="62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2"/>
      <c r="B1163" s="65"/>
      <c r="C1163" s="86"/>
      <c r="D1163" s="108"/>
      <c r="E1163" s="108"/>
      <c r="F1163" s="86"/>
      <c r="G1163" s="86"/>
      <c r="H1163" s="62"/>
      <c r="I1163" s="108"/>
      <c r="J1163" s="108"/>
      <c r="K1163" s="109"/>
      <c r="L1163" s="62"/>
      <c r="M1163" s="62"/>
      <c r="N1163" s="65"/>
      <c r="O1163" s="86"/>
      <c r="P1163" s="108"/>
      <c r="Q1163" s="108"/>
      <c r="R1163" s="86"/>
      <c r="S1163" s="86"/>
      <c r="T1163" s="62"/>
      <c r="U1163" s="108"/>
      <c r="V1163" s="108"/>
      <c r="W1163" s="109"/>
      <c r="X1163" s="62"/>
      <c r="Y1163" s="62"/>
      <c r="Z1163" s="65"/>
      <c r="AA1163" s="86"/>
      <c r="AB1163" s="108"/>
      <c r="AC1163" s="108"/>
      <c r="AD1163" s="86"/>
      <c r="AE1163" s="86"/>
      <c r="AF1163" s="62"/>
      <c r="AG1163" s="108"/>
      <c r="AH1163" s="108"/>
      <c r="AI1163" s="109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79"/>
      <c r="E1164" s="80"/>
      <c r="F1164" s="81"/>
      <c r="G1164" s="81"/>
      <c r="H1164" s="62"/>
      <c r="I1164" s="85"/>
      <c r="J1164" s="85"/>
      <c r="K1164" s="109"/>
      <c r="L1164" s="62"/>
      <c r="M1164" s="62"/>
      <c r="N1164" s="86"/>
      <c r="O1164" s="86"/>
      <c r="P1164" s="79"/>
      <c r="Q1164" s="81"/>
      <c r="R1164" s="81"/>
      <c r="S1164" s="81"/>
      <c r="T1164" s="62"/>
      <c r="U1164" s="85"/>
      <c r="V1164" s="85"/>
      <c r="W1164" s="109"/>
      <c r="X1164" s="62"/>
      <c r="Y1164" s="62"/>
      <c r="Z1164" s="86"/>
      <c r="AA1164" s="86"/>
      <c r="AB1164" s="79"/>
      <c r="AC1164" s="81"/>
      <c r="AD1164" s="81"/>
      <c r="AE1164" s="81"/>
      <c r="AF1164" s="62"/>
      <c r="AG1164" s="85"/>
      <c r="AH1164" s="85"/>
      <c r="AI1164" s="109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6"/>
      <c r="C1165" s="86"/>
      <c r="D1165" s="60"/>
      <c r="E1165" s="60"/>
      <c r="F1165" s="60"/>
      <c r="G1165" s="60"/>
      <c r="H1165" s="61"/>
      <c r="I1165" s="61"/>
      <c r="J1165" s="61"/>
      <c r="K1165" s="61"/>
      <c r="L1165" s="62"/>
      <c r="M1165" s="62"/>
      <c r="N1165" s="66"/>
      <c r="O1165" s="86"/>
      <c r="P1165" s="60"/>
      <c r="Q1165" s="60"/>
      <c r="R1165" s="60"/>
      <c r="S1165" s="60"/>
      <c r="T1165" s="61"/>
      <c r="U1165" s="61"/>
      <c r="V1165" s="61"/>
      <c r="W1165" s="61"/>
      <c r="X1165" s="62"/>
      <c r="Y1165" s="62"/>
      <c r="Z1165" s="66"/>
      <c r="AA1165" s="86"/>
      <c r="AB1165" s="60"/>
      <c r="AC1165" s="60"/>
      <c r="AD1165" s="60"/>
      <c r="AE1165" s="60"/>
      <c r="AF1165" s="61"/>
      <c r="AG1165" s="61"/>
      <c r="AH1165" s="61"/>
      <c r="AI1165" s="61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66"/>
      <c r="C1166" s="86"/>
      <c r="D1166" s="60"/>
      <c r="E1166" s="60"/>
      <c r="F1166" s="60"/>
      <c r="G1166" s="60"/>
      <c r="H1166" s="61"/>
      <c r="I1166" s="61"/>
      <c r="J1166" s="61"/>
      <c r="K1166" s="61"/>
      <c r="L1166" s="62"/>
      <c r="M1166" s="62"/>
      <c r="N1166" s="66"/>
      <c r="O1166" s="86"/>
      <c r="P1166" s="60"/>
      <c r="Q1166" s="60"/>
      <c r="R1166" s="60"/>
      <c r="S1166" s="60"/>
      <c r="T1166" s="61"/>
      <c r="U1166" s="61"/>
      <c r="V1166" s="61"/>
      <c r="W1166" s="61"/>
      <c r="X1166" s="62"/>
      <c r="Y1166" s="62"/>
      <c r="Z1166" s="66"/>
      <c r="AA1166" s="86"/>
      <c r="AB1166" s="60"/>
      <c r="AC1166" s="60"/>
      <c r="AD1166" s="60"/>
      <c r="AE1166" s="60"/>
      <c r="AF1166" s="61"/>
      <c r="AG1166" s="61"/>
      <c r="AH1166" s="61"/>
      <c r="AI1166" s="61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2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65"/>
      <c r="P1170" s="60"/>
      <c r="Q1170" s="60"/>
      <c r="R1170" s="60"/>
      <c r="S1170" s="60"/>
      <c r="T1170" s="61"/>
      <c r="U1170" s="61"/>
      <c r="V1170" s="62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1"/>
      <c r="AH1170" s="62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65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86"/>
      <c r="P1172" s="60"/>
      <c r="Q1172" s="60"/>
      <c r="R1172" s="60"/>
      <c r="S1172" s="60"/>
      <c r="T1172" s="61"/>
      <c r="U1172" s="61"/>
      <c r="V1172" s="61"/>
      <c r="W1172" s="61"/>
      <c r="X1172" s="62"/>
      <c r="Y1172" s="62"/>
      <c r="Z1172" s="66"/>
      <c r="AA1172" s="86"/>
      <c r="AB1172" s="60"/>
      <c r="AC1172" s="60"/>
      <c r="AD1172" s="62"/>
      <c r="AE1172" s="60"/>
      <c r="AF1172" s="61"/>
      <c r="AG1172" s="61"/>
      <c r="AH1172" s="61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86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82"/>
      <c r="AC1173" s="60"/>
      <c r="AD1173" s="60"/>
      <c r="AE1173" s="60"/>
      <c r="AF1173" s="61"/>
      <c r="AG1173" s="62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0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62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65"/>
      <c r="AB1175" s="60"/>
      <c r="AC1175" s="60"/>
      <c r="AD1175" s="60"/>
      <c r="AE1175" s="60"/>
      <c r="AF1175" s="61"/>
      <c r="AG1175" s="61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2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62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86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86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1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86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62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86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2"/>
      <c r="I1185" s="62"/>
      <c r="J1185" s="62"/>
      <c r="K1185" s="61"/>
      <c r="L1185" s="62"/>
      <c r="M1185" s="62"/>
      <c r="N1185" s="66"/>
      <c r="O1185" s="62"/>
      <c r="P1185" s="67"/>
      <c r="Q1185" s="86"/>
      <c r="R1185" s="86"/>
      <c r="S1185" s="60"/>
      <c r="T1185" s="62"/>
      <c r="U1185" s="62"/>
      <c r="V1185" s="62"/>
      <c r="W1185" s="61"/>
      <c r="X1185" s="62"/>
      <c r="Y1185" s="62"/>
      <c r="Z1185" s="66"/>
      <c r="AA1185" s="86"/>
      <c r="AB1185" s="67"/>
      <c r="AC1185" s="86"/>
      <c r="AD1185" s="86"/>
      <c r="AE1185" s="60"/>
      <c r="AF1185" s="62"/>
      <c r="AG1185" s="62"/>
      <c r="AH1185" s="62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2"/>
      <c r="I1186" s="62"/>
      <c r="J1186" s="62"/>
      <c r="K1186" s="61"/>
      <c r="L1186" s="62"/>
      <c r="M1186" s="62"/>
      <c r="N1186" s="66"/>
      <c r="O1186" s="86"/>
      <c r="P1186" s="68"/>
      <c r="Q1186" s="86"/>
      <c r="R1186" s="86"/>
      <c r="S1186" s="60"/>
      <c r="T1186" s="62"/>
      <c r="U1186" s="62"/>
      <c r="V1186" s="62"/>
      <c r="W1186" s="61"/>
      <c r="X1186" s="62"/>
      <c r="Y1186" s="62"/>
      <c r="Z1186" s="66"/>
      <c r="AA1186" s="86"/>
      <c r="AB1186" s="68"/>
      <c r="AC1186" s="86"/>
      <c r="AD1186" s="86"/>
      <c r="AE1186" s="60"/>
      <c r="AF1186" s="62"/>
      <c r="AG1186" s="62"/>
      <c r="AH1186" s="62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1"/>
      <c r="K1187" s="61"/>
      <c r="L1187" s="62"/>
      <c r="M1187" s="62"/>
      <c r="N1187" s="66"/>
      <c r="O1187" s="86"/>
      <c r="P1187" s="69"/>
      <c r="Q1187" s="86"/>
      <c r="R1187" s="62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9"/>
      <c r="AC1187" s="62"/>
      <c r="AD1187" s="62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9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9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2"/>
      <c r="K1189" s="61"/>
      <c r="L1189" s="62"/>
      <c r="M1189" s="62"/>
      <c r="N1189" s="66"/>
      <c r="O1189" s="86"/>
      <c r="P1189" s="69"/>
      <c r="Q1189" s="86"/>
      <c r="R1189" s="86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86"/>
      <c r="AD1189" s="86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62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86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65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62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65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86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62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86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86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86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62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62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6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86"/>
      <c r="O1206" s="86"/>
      <c r="P1206" s="86"/>
      <c r="Q1206" s="86"/>
      <c r="R1206" s="86"/>
      <c r="S1206" s="86"/>
      <c r="T1206" s="62"/>
      <c r="U1206" s="62"/>
      <c r="V1206" s="62"/>
      <c r="W1206" s="61"/>
      <c r="X1206" s="62"/>
      <c r="Y1206" s="62"/>
      <c r="Z1206" s="86"/>
      <c r="AA1206" s="86"/>
      <c r="AB1206" s="86"/>
      <c r="AC1206" s="86"/>
      <c r="AD1206" s="86"/>
      <c r="AE1206" s="86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86"/>
      <c r="C1207" s="86"/>
      <c r="D1207" s="86"/>
      <c r="E1207" s="86"/>
      <c r="F1207" s="86"/>
      <c r="G1207" s="86"/>
      <c r="H1207" s="62"/>
      <c r="I1207" s="62"/>
      <c r="J1207" s="62"/>
      <c r="K1207" s="62"/>
      <c r="L1207" s="62"/>
      <c r="M1207" s="62"/>
      <c r="N1207" s="86"/>
      <c r="O1207" s="86"/>
      <c r="P1207" s="86"/>
      <c r="Q1207" s="86"/>
      <c r="R1207" s="86"/>
      <c r="S1207" s="86"/>
      <c r="T1207" s="62"/>
      <c r="U1207" s="62"/>
      <c r="V1207" s="62"/>
      <c r="W1207" s="62"/>
      <c r="X1207" s="62"/>
      <c r="Y1207" s="62"/>
      <c r="Z1207" s="86"/>
      <c r="AA1207" s="86"/>
      <c r="AB1207" s="86"/>
      <c r="AC1207" s="86"/>
      <c r="AD1207" s="86"/>
      <c r="AE1207" s="86"/>
      <c r="AF1207" s="62"/>
      <c r="AG1207" s="62"/>
      <c r="AH1207" s="62"/>
      <c r="AI1207" s="62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86"/>
      <c r="C1208" s="86"/>
      <c r="D1208" s="70"/>
      <c r="E1208" s="70"/>
      <c r="F1208" s="70"/>
      <c r="G1208" s="70"/>
      <c r="H1208" s="63"/>
      <c r="I1208" s="70"/>
      <c r="J1208" s="70"/>
      <c r="K1208" s="70"/>
      <c r="L1208" s="62"/>
      <c r="M1208" s="62"/>
      <c r="N1208" s="86"/>
      <c r="O1208" s="86"/>
      <c r="P1208" s="70"/>
      <c r="Q1208" s="70"/>
      <c r="R1208" s="70"/>
      <c r="S1208" s="70"/>
      <c r="T1208" s="63"/>
      <c r="U1208" s="71"/>
      <c r="V1208" s="71"/>
      <c r="W1208" s="71"/>
      <c r="X1208" s="62"/>
      <c r="Y1208" s="62"/>
      <c r="Z1208" s="86"/>
      <c r="AA1208" s="86"/>
      <c r="AB1208" s="70"/>
      <c r="AC1208" s="70"/>
      <c r="AD1208" s="70"/>
      <c r="AE1208" s="70"/>
      <c r="AF1208" s="63"/>
      <c r="AG1208" s="71"/>
      <c r="AH1208" s="71"/>
      <c r="AI1208" s="7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62"/>
      <c r="C1209" s="62"/>
      <c r="D1209" s="62"/>
      <c r="E1209" s="62"/>
      <c r="F1209" s="62"/>
      <c r="G1209" s="62"/>
      <c r="H1209" s="62"/>
      <c r="I1209" s="62"/>
      <c r="J1209" s="62"/>
      <c r="K1209" s="62"/>
      <c r="L1209" s="62"/>
      <c r="M1209" s="62"/>
      <c r="N1209" s="62"/>
      <c r="O1209" s="62"/>
      <c r="P1209" s="62"/>
      <c r="Q1209" s="62"/>
      <c r="R1209" s="62"/>
      <c r="S1209" s="62"/>
      <c r="T1209" s="62"/>
      <c r="U1209" s="62"/>
      <c r="V1209" s="62"/>
      <c r="W1209" s="62"/>
      <c r="X1209" s="62"/>
      <c r="Y1209" s="62"/>
      <c r="Z1209" s="62"/>
      <c r="AA1209" s="62"/>
      <c r="AB1209" s="62"/>
      <c r="AC1209" s="62"/>
      <c r="AD1209" s="62"/>
      <c r="AE1209" s="62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62"/>
      <c r="C1210" s="62"/>
      <c r="D1210" s="62"/>
      <c r="E1210" s="62"/>
      <c r="F1210" s="62"/>
      <c r="G1210" s="62"/>
      <c r="H1210" s="62"/>
      <c r="I1210" s="62"/>
      <c r="J1210" s="62"/>
      <c r="K1210" s="62"/>
      <c r="L1210" s="62"/>
      <c r="M1210" s="62"/>
      <c r="N1210" s="62"/>
      <c r="O1210" s="62"/>
      <c r="P1210" s="62"/>
      <c r="Q1210" s="62"/>
      <c r="R1210" s="62"/>
      <c r="S1210" s="62"/>
      <c r="T1210" s="62"/>
      <c r="U1210" s="62"/>
      <c r="V1210" s="62"/>
      <c r="W1210" s="62"/>
      <c r="X1210" s="62"/>
      <c r="Y1210" s="62"/>
      <c r="Z1210" s="62"/>
      <c r="AA1210" s="62"/>
      <c r="AB1210" s="62"/>
      <c r="AC1210" s="62"/>
      <c r="AD1210" s="62"/>
      <c r="AE1210" s="62"/>
      <c r="AF1210" s="62"/>
      <c r="AG1210" s="62"/>
      <c r="AH1210" s="62"/>
      <c r="AI1210" s="62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86"/>
      <c r="C1211" s="86"/>
      <c r="D1211" s="86"/>
      <c r="E1211" s="86"/>
      <c r="F1211" s="86"/>
      <c r="G1211" s="86"/>
      <c r="H1211" s="62"/>
      <c r="I1211" s="62"/>
      <c r="J1211" s="62"/>
      <c r="K1211" s="62"/>
      <c r="L1211" s="62"/>
      <c r="M1211" s="62"/>
      <c r="N1211" s="86"/>
      <c r="O1211" s="86"/>
      <c r="P1211" s="86"/>
      <c r="Q1211" s="86"/>
      <c r="R1211" s="86"/>
      <c r="S1211" s="86"/>
      <c r="T1211" s="62"/>
      <c r="U1211" s="62"/>
      <c r="V1211" s="62"/>
      <c r="W1211" s="62"/>
      <c r="X1211" s="62"/>
      <c r="Y1211" s="62"/>
      <c r="Z1211" s="86"/>
      <c r="AA1211" s="86"/>
      <c r="AB1211" s="86"/>
      <c r="AC1211" s="86"/>
      <c r="AD1211" s="86"/>
      <c r="AE1211" s="86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86"/>
      <c r="C1212" s="86"/>
      <c r="D1212" s="86"/>
      <c r="E1212" s="86"/>
      <c r="F1212" s="86"/>
      <c r="G1212" s="86"/>
      <c r="H1212" s="62"/>
      <c r="I1212" s="62"/>
      <c r="J1212" s="62"/>
      <c r="K1212" s="62"/>
      <c r="L1212" s="62"/>
      <c r="M1212" s="62"/>
      <c r="N1212" s="86"/>
      <c r="O1212" s="86"/>
      <c r="P1212" s="86"/>
      <c r="Q1212" s="86"/>
      <c r="R1212" s="86"/>
      <c r="S1212" s="86"/>
      <c r="T1212" s="62"/>
      <c r="U1212" s="62"/>
      <c r="V1212" s="62"/>
      <c r="W1212" s="62"/>
      <c r="X1212" s="62"/>
      <c r="Y1212" s="62"/>
      <c r="Z1212" s="86"/>
      <c r="AA1212" s="86"/>
      <c r="AB1212" s="86"/>
      <c r="AC1212" s="86"/>
      <c r="AD1212" s="86"/>
      <c r="AE1212" s="86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3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3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3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ht="15.75" x14ac:dyDescent="0.25">
      <c r="A1216" s="62"/>
      <c r="B1216" s="86"/>
      <c r="C1216" s="86"/>
      <c r="D1216" s="86"/>
      <c r="E1216" s="86"/>
      <c r="F1216" s="86"/>
      <c r="G1216" s="86"/>
      <c r="H1216" s="62"/>
      <c r="I1216" s="86"/>
      <c r="J1216" s="73"/>
      <c r="K1216" s="62"/>
      <c r="L1216" s="62"/>
      <c r="M1216" s="62"/>
      <c r="N1216" s="86"/>
      <c r="O1216" s="86"/>
      <c r="P1216" s="86"/>
      <c r="Q1216" s="86"/>
      <c r="R1216" s="86"/>
      <c r="S1216" s="86"/>
      <c r="T1216" s="62"/>
      <c r="U1216" s="86"/>
      <c r="V1216" s="73"/>
      <c r="W1216" s="62"/>
      <c r="X1216" s="62"/>
      <c r="Y1216" s="62"/>
      <c r="Z1216" s="86"/>
      <c r="AA1216" s="86"/>
      <c r="AB1216" s="86"/>
      <c r="AC1216" s="86"/>
      <c r="AD1216" s="86"/>
      <c r="AE1216" s="86"/>
      <c r="AF1216" s="62"/>
      <c r="AG1216" s="86"/>
      <c r="AH1216" s="86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4"/>
      <c r="B1217" s="86"/>
      <c r="C1217" s="86"/>
      <c r="D1217" s="86"/>
      <c r="E1217" s="86"/>
      <c r="F1217" s="86"/>
      <c r="G1217" s="86"/>
      <c r="H1217" s="62"/>
      <c r="I1217" s="65"/>
      <c r="J1217" s="65"/>
      <c r="K1217" s="62"/>
      <c r="L1217" s="62"/>
      <c r="M1217" s="64"/>
      <c r="N1217" s="86"/>
      <c r="O1217" s="86"/>
      <c r="P1217" s="86"/>
      <c r="Q1217" s="86"/>
      <c r="R1217" s="86"/>
      <c r="S1217" s="86"/>
      <c r="T1217" s="62"/>
      <c r="U1217" s="65"/>
      <c r="V1217" s="65"/>
      <c r="W1217" s="62"/>
      <c r="X1217" s="62"/>
      <c r="Y1217" s="64"/>
      <c r="Z1217" s="86"/>
      <c r="AA1217" s="86"/>
      <c r="AB1217" s="86"/>
      <c r="AC1217" s="86"/>
      <c r="AD1217" s="86"/>
      <c r="AE1217" s="86"/>
      <c r="AF1217" s="62"/>
      <c r="AG1217" s="65"/>
      <c r="AH1217" s="65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62"/>
      <c r="B1218" s="86"/>
      <c r="C1218" s="86"/>
      <c r="D1218" s="86"/>
      <c r="E1218" s="86"/>
      <c r="F1218" s="86"/>
      <c r="G1218" s="86"/>
      <c r="H1218" s="62"/>
      <c r="I1218" s="62"/>
      <c r="J1218" s="62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62"/>
      <c r="V1218" s="62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62"/>
      <c r="AH1218" s="62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2"/>
      <c r="B1219" s="65"/>
      <c r="C1219" s="86"/>
      <c r="D1219" s="108"/>
      <c r="E1219" s="108"/>
      <c r="F1219" s="86"/>
      <c r="G1219" s="86"/>
      <c r="H1219" s="62"/>
      <c r="I1219" s="108"/>
      <c r="J1219" s="108"/>
      <c r="K1219" s="109"/>
      <c r="L1219" s="62"/>
      <c r="M1219" s="62"/>
      <c r="N1219" s="65"/>
      <c r="O1219" s="86"/>
      <c r="P1219" s="108"/>
      <c r="Q1219" s="108"/>
      <c r="R1219" s="86"/>
      <c r="S1219" s="86"/>
      <c r="T1219" s="62"/>
      <c r="U1219" s="108"/>
      <c r="V1219" s="108"/>
      <c r="W1219" s="109"/>
      <c r="X1219" s="62"/>
      <c r="Y1219" s="62"/>
      <c r="Z1219" s="65"/>
      <c r="AA1219" s="86"/>
      <c r="AB1219" s="108"/>
      <c r="AC1219" s="108"/>
      <c r="AD1219" s="86"/>
      <c r="AE1219" s="86"/>
      <c r="AF1219" s="62"/>
      <c r="AG1219" s="108"/>
      <c r="AH1219" s="108"/>
      <c r="AI1219" s="109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79"/>
      <c r="E1220" s="80"/>
      <c r="F1220" s="81"/>
      <c r="G1220" s="81"/>
      <c r="H1220" s="62"/>
      <c r="I1220" s="85"/>
      <c r="J1220" s="85"/>
      <c r="K1220" s="109"/>
      <c r="L1220" s="62"/>
      <c r="M1220" s="62"/>
      <c r="N1220" s="86"/>
      <c r="O1220" s="86"/>
      <c r="P1220" s="79"/>
      <c r="Q1220" s="81"/>
      <c r="R1220" s="81"/>
      <c r="S1220" s="81"/>
      <c r="T1220" s="62"/>
      <c r="U1220" s="85"/>
      <c r="V1220" s="85"/>
      <c r="W1220" s="109"/>
      <c r="X1220" s="62"/>
      <c r="Y1220" s="62"/>
      <c r="Z1220" s="86"/>
      <c r="AA1220" s="86"/>
      <c r="AB1220" s="79"/>
      <c r="AC1220" s="80"/>
      <c r="AD1220" s="81"/>
      <c r="AE1220" s="81"/>
      <c r="AF1220" s="62"/>
      <c r="AG1220" s="85"/>
      <c r="AH1220" s="85"/>
      <c r="AI1220" s="109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6"/>
      <c r="C1221" s="86"/>
      <c r="D1221" s="60"/>
      <c r="E1221" s="60"/>
      <c r="F1221" s="60"/>
      <c r="G1221" s="60"/>
      <c r="H1221" s="61"/>
      <c r="I1221" s="61"/>
      <c r="J1221" s="61"/>
      <c r="K1221" s="61"/>
      <c r="L1221" s="62"/>
      <c r="M1221" s="62"/>
      <c r="N1221" s="66"/>
      <c r="O1221" s="86"/>
      <c r="P1221" s="60"/>
      <c r="Q1221" s="60"/>
      <c r="R1221" s="60"/>
      <c r="S1221" s="60"/>
      <c r="T1221" s="61"/>
      <c r="U1221" s="61"/>
      <c r="V1221" s="61"/>
      <c r="W1221" s="61"/>
      <c r="X1221" s="62"/>
      <c r="Y1221" s="62"/>
      <c r="Z1221" s="66"/>
      <c r="AA1221" s="86"/>
      <c r="AB1221" s="60"/>
      <c r="AC1221" s="60"/>
      <c r="AD1221" s="60"/>
      <c r="AE1221" s="60"/>
      <c r="AF1221" s="61"/>
      <c r="AG1221" s="61"/>
      <c r="AH1221" s="61"/>
      <c r="AI1221" s="61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66"/>
      <c r="C1222" s="86"/>
      <c r="D1222" s="60"/>
      <c r="E1222" s="60"/>
      <c r="F1222" s="60"/>
      <c r="G1222" s="60"/>
      <c r="H1222" s="61"/>
      <c r="I1222" s="61"/>
      <c r="J1222" s="61"/>
      <c r="K1222" s="61"/>
      <c r="L1222" s="62"/>
      <c r="M1222" s="62"/>
      <c r="N1222" s="66"/>
      <c r="O1222" s="86"/>
      <c r="P1222" s="60"/>
      <c r="Q1222" s="60"/>
      <c r="R1222" s="60"/>
      <c r="S1222" s="60"/>
      <c r="T1222" s="61"/>
      <c r="U1222" s="61"/>
      <c r="V1222" s="61"/>
      <c r="W1222" s="61"/>
      <c r="X1222" s="62"/>
      <c r="Y1222" s="62"/>
      <c r="Z1222" s="66"/>
      <c r="AA1222" s="86"/>
      <c r="AB1222" s="60"/>
      <c r="AC1222" s="60"/>
      <c r="AD1222" s="60"/>
      <c r="AE1222" s="60"/>
      <c r="AF1222" s="61"/>
      <c r="AG1222" s="61"/>
      <c r="AH1222" s="61"/>
      <c r="AI1222" s="61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65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62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86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86"/>
      <c r="P1226" s="60"/>
      <c r="Q1226" s="60"/>
      <c r="R1226" s="60"/>
      <c r="S1226" s="60"/>
      <c r="T1226" s="61"/>
      <c r="U1226" s="61"/>
      <c r="V1226" s="62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1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65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2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2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86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1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1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2"/>
      <c r="I1241" s="62"/>
      <c r="J1241" s="62"/>
      <c r="K1241" s="61"/>
      <c r="L1241" s="62"/>
      <c r="M1241" s="62"/>
      <c r="N1241" s="66"/>
      <c r="O1241" s="86"/>
      <c r="P1241" s="67"/>
      <c r="Q1241" s="86"/>
      <c r="R1241" s="86"/>
      <c r="S1241" s="60"/>
      <c r="T1241" s="62"/>
      <c r="U1241" s="62"/>
      <c r="V1241" s="62"/>
      <c r="W1241" s="61"/>
      <c r="X1241" s="62"/>
      <c r="Y1241" s="62"/>
      <c r="Z1241" s="66"/>
      <c r="AA1241" s="62"/>
      <c r="AB1241" s="60"/>
      <c r="AC1241" s="60"/>
      <c r="AD1241" s="60"/>
      <c r="AE1241" s="60"/>
      <c r="AF1241" s="62"/>
      <c r="AG1241" s="62"/>
      <c r="AH1241" s="62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65"/>
      <c r="D1242" s="60"/>
      <c r="E1242" s="60"/>
      <c r="F1242" s="60"/>
      <c r="G1242" s="60"/>
      <c r="H1242" s="62"/>
      <c r="I1242" s="62"/>
      <c r="J1242" s="62"/>
      <c r="K1242" s="61"/>
      <c r="L1242" s="62"/>
      <c r="M1242" s="62"/>
      <c r="N1242" s="66"/>
      <c r="O1242" s="86"/>
      <c r="P1242" s="68"/>
      <c r="Q1242" s="86"/>
      <c r="R1242" s="86"/>
      <c r="S1242" s="60"/>
      <c r="T1242" s="62"/>
      <c r="U1242" s="62"/>
      <c r="V1242" s="62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2"/>
      <c r="AG1242" s="62"/>
      <c r="AH1242" s="62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1"/>
      <c r="K1243" s="61"/>
      <c r="L1243" s="62"/>
      <c r="M1243" s="62"/>
      <c r="N1243" s="66"/>
      <c r="O1243" s="62"/>
      <c r="P1243" s="69"/>
      <c r="Q1243" s="62"/>
      <c r="R1243" s="62"/>
      <c r="S1243" s="60"/>
      <c r="T1243" s="62"/>
      <c r="U1243" s="62"/>
      <c r="V1243" s="62"/>
      <c r="W1243" s="61"/>
      <c r="X1243" s="62"/>
      <c r="Y1243" s="62"/>
      <c r="Z1243" s="66"/>
      <c r="AA1243" s="86"/>
      <c r="AB1243" s="60"/>
      <c r="AC1243" s="60"/>
      <c r="AD1243" s="60"/>
      <c r="AE1243" s="60"/>
      <c r="AF1243" s="62"/>
      <c r="AG1243" s="62"/>
      <c r="AH1243" s="61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86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9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2"/>
      <c r="K1245" s="61"/>
      <c r="L1245" s="62"/>
      <c r="M1245" s="62"/>
      <c r="N1245" s="66"/>
      <c r="O1245" s="86"/>
      <c r="P1245" s="69"/>
      <c r="Q1245" s="86"/>
      <c r="R1245" s="86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2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62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62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86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86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65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86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62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6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86"/>
      <c r="O1270" s="86"/>
      <c r="P1270" s="86"/>
      <c r="Q1270" s="86"/>
      <c r="R1270" s="86"/>
      <c r="S1270" s="86"/>
      <c r="T1270" s="62"/>
      <c r="U1270" s="62"/>
      <c r="V1270" s="62"/>
      <c r="W1270" s="61"/>
      <c r="X1270" s="62"/>
      <c r="Y1270" s="62"/>
      <c r="Z1270" s="66"/>
      <c r="AA1270" s="6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86"/>
      <c r="C1271" s="86"/>
      <c r="D1271" s="86"/>
      <c r="E1271" s="86"/>
      <c r="F1271" s="86"/>
      <c r="G1271" s="86"/>
      <c r="H1271" s="62"/>
      <c r="I1271" s="62"/>
      <c r="J1271" s="62"/>
      <c r="K1271" s="62"/>
      <c r="L1271" s="62"/>
      <c r="M1271" s="62"/>
      <c r="N1271" s="86"/>
      <c r="O1271" s="86"/>
      <c r="P1271" s="86"/>
      <c r="Q1271" s="86"/>
      <c r="R1271" s="86"/>
      <c r="S1271" s="86"/>
      <c r="T1271" s="62"/>
      <c r="U1271" s="62"/>
      <c r="V1271" s="62"/>
      <c r="W1271" s="62"/>
      <c r="X1271" s="62"/>
      <c r="Y1271" s="62"/>
      <c r="Z1271" s="86"/>
      <c r="AA1271" s="86"/>
      <c r="AB1271" s="86"/>
      <c r="AC1271" s="86"/>
      <c r="AD1271" s="86"/>
      <c r="AE1271" s="86"/>
      <c r="AF1271" s="62"/>
      <c r="AG1271" s="62"/>
      <c r="AH1271" s="62"/>
      <c r="AI1271" s="62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86"/>
      <c r="C1272" s="86"/>
      <c r="D1272" s="70"/>
      <c r="E1272" s="70"/>
      <c r="F1272" s="70"/>
      <c r="G1272" s="70"/>
      <c r="H1272" s="63"/>
      <c r="I1272" s="70"/>
      <c r="J1272" s="70"/>
      <c r="K1272" s="70"/>
      <c r="L1272" s="62"/>
      <c r="M1272" s="62"/>
      <c r="N1272" s="86"/>
      <c r="O1272" s="86"/>
      <c r="P1272" s="70"/>
      <c r="Q1272" s="70"/>
      <c r="R1272" s="70"/>
      <c r="S1272" s="70"/>
      <c r="T1272" s="63"/>
      <c r="U1272" s="71"/>
      <c r="V1272" s="71"/>
      <c r="W1272" s="71"/>
      <c r="X1272" s="62"/>
      <c r="Y1272" s="62"/>
      <c r="Z1272" s="86"/>
      <c r="AA1272" s="86"/>
      <c r="AB1272" s="70"/>
      <c r="AC1272" s="70"/>
      <c r="AD1272" s="70"/>
      <c r="AE1272" s="70"/>
      <c r="AF1272" s="63"/>
      <c r="AG1272" s="70"/>
      <c r="AH1272" s="70"/>
      <c r="AI1272" s="70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62"/>
      <c r="C1273" s="62"/>
      <c r="D1273" s="62"/>
      <c r="E1273" s="62"/>
      <c r="F1273" s="62"/>
      <c r="G1273" s="62"/>
      <c r="H1273" s="62"/>
      <c r="I1273" s="62"/>
      <c r="J1273" s="62"/>
      <c r="K1273" s="62"/>
      <c r="L1273" s="62"/>
      <c r="M1273" s="62"/>
      <c r="N1273" s="62"/>
      <c r="O1273" s="62"/>
      <c r="P1273" s="62"/>
      <c r="Q1273" s="62"/>
      <c r="R1273" s="62"/>
      <c r="S1273" s="62"/>
      <c r="T1273" s="62"/>
      <c r="U1273" s="62"/>
      <c r="V1273" s="62"/>
      <c r="W1273" s="62"/>
      <c r="X1273" s="62"/>
      <c r="Y1273" s="62"/>
      <c r="Z1273" s="62"/>
      <c r="AA1273" s="62"/>
      <c r="AB1273" s="62"/>
      <c r="AC1273" s="62"/>
      <c r="AD1273" s="62"/>
      <c r="AE1273" s="62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86"/>
      <c r="E1274" s="86"/>
      <c r="F1274" s="86"/>
      <c r="G1274" s="86"/>
      <c r="H1274" s="62"/>
      <c r="I1274" s="62"/>
      <c r="J1274" s="62"/>
      <c r="K1274" s="62"/>
      <c r="L1274" s="62"/>
      <c r="M1274" s="62"/>
      <c r="N1274" s="86"/>
      <c r="O1274" s="86"/>
      <c r="P1274" s="86"/>
      <c r="Q1274" s="86"/>
      <c r="R1274" s="86"/>
      <c r="S1274" s="86"/>
      <c r="T1274" s="62"/>
      <c r="U1274" s="62"/>
      <c r="V1274" s="62"/>
      <c r="W1274" s="62"/>
      <c r="X1274" s="62"/>
      <c r="Y1274" s="62"/>
      <c r="Z1274" s="86"/>
      <c r="AA1274" s="86"/>
      <c r="AB1274" s="86"/>
      <c r="AC1274" s="86"/>
      <c r="AD1274" s="86"/>
      <c r="AE1274" s="86"/>
      <c r="AF1274" s="62"/>
      <c r="AG1274" s="62"/>
      <c r="AH1274" s="62"/>
      <c r="AI1274" s="62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86"/>
      <c r="C1275" s="86"/>
      <c r="D1275" s="86"/>
      <c r="E1275" s="86"/>
      <c r="F1275" s="86"/>
      <c r="G1275" s="86"/>
      <c r="H1275" s="62"/>
      <c r="I1275" s="62"/>
      <c r="J1275" s="62"/>
      <c r="K1275" s="62"/>
      <c r="L1275" s="62"/>
      <c r="M1275" s="62"/>
      <c r="N1275" s="86"/>
      <c r="O1275" s="86"/>
      <c r="P1275" s="86"/>
      <c r="Q1275" s="86"/>
      <c r="R1275" s="86"/>
      <c r="S1275" s="86"/>
      <c r="T1275" s="62"/>
      <c r="U1275" s="62"/>
      <c r="V1275" s="62"/>
      <c r="W1275" s="62"/>
      <c r="X1275" s="62"/>
      <c r="Y1275" s="62"/>
      <c r="Z1275" s="86"/>
      <c r="AA1275" s="86"/>
      <c r="AB1275" s="86"/>
      <c r="AC1275" s="86"/>
      <c r="AD1275" s="86"/>
      <c r="AE1275" s="86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3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3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3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ht="15.75" x14ac:dyDescent="0.25">
      <c r="A1278" s="62"/>
      <c r="B1278" s="86"/>
      <c r="C1278" s="86"/>
      <c r="D1278" s="86"/>
      <c r="E1278" s="86"/>
      <c r="F1278" s="86"/>
      <c r="G1278" s="86"/>
      <c r="H1278" s="62"/>
      <c r="I1278" s="86"/>
      <c r="J1278" s="73"/>
      <c r="K1278" s="62"/>
      <c r="L1278" s="62"/>
      <c r="M1278" s="62"/>
      <c r="N1278" s="86"/>
      <c r="O1278" s="86"/>
      <c r="P1278" s="86"/>
      <c r="Q1278" s="86"/>
      <c r="R1278" s="86"/>
      <c r="S1278" s="86"/>
      <c r="T1278" s="62"/>
      <c r="U1278" s="86"/>
      <c r="V1278" s="73"/>
      <c r="W1278" s="62"/>
      <c r="X1278" s="62"/>
      <c r="Y1278" s="62"/>
      <c r="Z1278" s="86"/>
      <c r="AA1278" s="86"/>
      <c r="AB1278" s="86"/>
      <c r="AC1278" s="86"/>
      <c r="AD1278" s="86"/>
      <c r="AE1278" s="86"/>
      <c r="AF1278" s="62"/>
      <c r="AG1278" s="86"/>
      <c r="AH1278" s="86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4"/>
      <c r="B1279" s="86"/>
      <c r="C1279" s="86"/>
      <c r="D1279" s="86"/>
      <c r="E1279" s="86"/>
      <c r="F1279" s="86"/>
      <c r="G1279" s="86"/>
      <c r="H1279" s="62"/>
      <c r="I1279" s="65"/>
      <c r="J1279" s="65"/>
      <c r="K1279" s="62"/>
      <c r="L1279" s="62"/>
      <c r="M1279" s="64"/>
      <c r="N1279" s="86"/>
      <c r="O1279" s="86"/>
      <c r="P1279" s="86"/>
      <c r="Q1279" s="86"/>
      <c r="R1279" s="86"/>
      <c r="S1279" s="86"/>
      <c r="T1279" s="62"/>
      <c r="U1279" s="65"/>
      <c r="V1279" s="65"/>
      <c r="W1279" s="62"/>
      <c r="X1279" s="62"/>
      <c r="Y1279" s="64"/>
      <c r="Z1279" s="86"/>
      <c r="AA1279" s="86"/>
      <c r="AB1279" s="86"/>
      <c r="AC1279" s="86"/>
      <c r="AD1279" s="86"/>
      <c r="AE1279" s="86"/>
      <c r="AF1279" s="62"/>
      <c r="AG1279" s="65"/>
      <c r="AH1279" s="65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62"/>
      <c r="B1280" s="86"/>
      <c r="C1280" s="86"/>
      <c r="D1280" s="86"/>
      <c r="E1280" s="86"/>
      <c r="F1280" s="86"/>
      <c r="G1280" s="86"/>
      <c r="H1280" s="62"/>
      <c r="I1280" s="62"/>
      <c r="J1280" s="62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62"/>
      <c r="V1280" s="62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62"/>
      <c r="AH1280" s="62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2"/>
      <c r="B1281" s="65"/>
      <c r="C1281" s="86"/>
      <c r="D1281" s="108"/>
      <c r="E1281" s="108"/>
      <c r="F1281" s="86"/>
      <c r="G1281" s="86"/>
      <c r="H1281" s="62"/>
      <c r="I1281" s="108"/>
      <c r="J1281" s="108"/>
      <c r="K1281" s="109"/>
      <c r="L1281" s="62"/>
      <c r="M1281" s="62"/>
      <c r="N1281" s="65"/>
      <c r="O1281" s="86"/>
      <c r="P1281" s="108"/>
      <c r="Q1281" s="108"/>
      <c r="R1281" s="86"/>
      <c r="S1281" s="86"/>
      <c r="T1281" s="62"/>
      <c r="U1281" s="108"/>
      <c r="V1281" s="108"/>
      <c r="W1281" s="109"/>
      <c r="X1281" s="62"/>
      <c r="Y1281" s="62"/>
      <c r="Z1281" s="65"/>
      <c r="AA1281" s="86"/>
      <c r="AB1281" s="108"/>
      <c r="AC1281" s="108"/>
      <c r="AD1281" s="86"/>
      <c r="AE1281" s="86"/>
      <c r="AF1281" s="62"/>
      <c r="AG1281" s="108"/>
      <c r="AH1281" s="108"/>
      <c r="AI1281" s="109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5"/>
      <c r="F1282" s="85"/>
      <c r="G1282" s="85"/>
      <c r="H1282" s="62"/>
      <c r="I1282" s="85"/>
      <c r="J1282" s="85"/>
      <c r="K1282" s="109"/>
      <c r="L1282" s="62"/>
      <c r="M1282" s="62"/>
      <c r="N1282" s="86"/>
      <c r="O1282" s="86"/>
      <c r="P1282" s="86"/>
      <c r="Q1282" s="85"/>
      <c r="R1282" s="85"/>
      <c r="S1282" s="85"/>
      <c r="T1282" s="62"/>
      <c r="U1282" s="85"/>
      <c r="V1282" s="85"/>
      <c r="W1282" s="109"/>
      <c r="X1282" s="62"/>
      <c r="Y1282" s="62"/>
      <c r="Z1282" s="86"/>
      <c r="AA1282" s="86"/>
      <c r="AB1282" s="86"/>
      <c r="AC1282" s="85"/>
      <c r="AD1282" s="85"/>
      <c r="AE1282" s="85"/>
      <c r="AF1282" s="62"/>
      <c r="AG1282" s="85"/>
      <c r="AH1282" s="85"/>
      <c r="AI1282" s="109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6"/>
      <c r="C1283" s="86"/>
      <c r="D1283" s="60"/>
      <c r="E1283" s="60"/>
      <c r="F1283" s="60"/>
      <c r="G1283" s="60"/>
      <c r="H1283" s="61"/>
      <c r="I1283" s="61"/>
      <c r="J1283" s="61"/>
      <c r="K1283" s="61"/>
      <c r="L1283" s="62"/>
      <c r="M1283" s="62"/>
      <c r="N1283" s="66"/>
      <c r="O1283" s="86"/>
      <c r="P1283" s="60"/>
      <c r="Q1283" s="60"/>
      <c r="R1283" s="60"/>
      <c r="S1283" s="60"/>
      <c r="T1283" s="61"/>
      <c r="U1283" s="61"/>
      <c r="V1283" s="61"/>
      <c r="W1283" s="61"/>
      <c r="X1283" s="62"/>
      <c r="Y1283" s="62"/>
      <c r="Z1283" s="66"/>
      <c r="AA1283" s="86"/>
      <c r="AB1283" s="60"/>
      <c r="AC1283" s="60"/>
      <c r="AD1283" s="60"/>
      <c r="AE1283" s="60"/>
      <c r="AF1283" s="61"/>
      <c r="AG1283" s="61"/>
      <c r="AH1283" s="61"/>
      <c r="AI1283" s="61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66"/>
      <c r="C1284" s="86"/>
      <c r="D1284" s="60"/>
      <c r="E1284" s="60"/>
      <c r="F1284" s="60"/>
      <c r="G1284" s="60"/>
      <c r="H1284" s="61"/>
      <c r="I1284" s="61"/>
      <c r="J1284" s="61"/>
      <c r="K1284" s="61"/>
      <c r="L1284" s="62"/>
      <c r="M1284" s="62"/>
      <c r="N1284" s="66"/>
      <c r="O1284" s="86"/>
      <c r="P1284" s="60"/>
      <c r="Q1284" s="60"/>
      <c r="R1284" s="60"/>
      <c r="S1284" s="60"/>
      <c r="T1284" s="61"/>
      <c r="U1284" s="61"/>
      <c r="V1284" s="61"/>
      <c r="W1284" s="61"/>
      <c r="X1284" s="62"/>
      <c r="Y1284" s="62"/>
      <c r="Z1284" s="66"/>
      <c r="AA1284" s="86"/>
      <c r="AB1284" s="60"/>
      <c r="AC1284" s="60"/>
      <c r="AD1284" s="60"/>
      <c r="AE1284" s="60"/>
      <c r="AF1284" s="61"/>
      <c r="AG1284" s="61"/>
      <c r="AH1284" s="61"/>
      <c r="AI1284" s="61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2"/>
      <c r="AC1286" s="60"/>
      <c r="AD1286" s="60"/>
      <c r="AE1286" s="60"/>
      <c r="AF1286" s="61"/>
      <c r="AG1286" s="62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2"/>
      <c r="Q1288" s="60"/>
      <c r="R1288" s="60"/>
      <c r="S1288" s="60"/>
      <c r="T1288" s="61"/>
      <c r="U1288" s="61"/>
      <c r="V1288" s="62"/>
      <c r="W1288" s="61"/>
      <c r="X1288" s="62"/>
      <c r="Y1288" s="62"/>
      <c r="Z1288" s="66"/>
      <c r="AA1288" s="86"/>
      <c r="AB1288" s="60"/>
      <c r="AC1288" s="60"/>
      <c r="AD1288" s="60"/>
      <c r="AE1288" s="60"/>
      <c r="AF1288" s="61"/>
      <c r="AG1288" s="61"/>
      <c r="AH1288" s="62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0"/>
      <c r="Q1290" s="60"/>
      <c r="R1290" s="60"/>
      <c r="S1290" s="60"/>
      <c r="T1290" s="61"/>
      <c r="U1290" s="61"/>
      <c r="V1290" s="61"/>
      <c r="W1290" s="61"/>
      <c r="X1290" s="62"/>
      <c r="Y1290" s="62"/>
      <c r="Z1290" s="66"/>
      <c r="AA1290" s="86"/>
      <c r="AB1290" s="60"/>
      <c r="AC1290" s="62"/>
      <c r="AD1290" s="62"/>
      <c r="AE1290" s="60"/>
      <c r="AF1290" s="61"/>
      <c r="AG1290" s="61"/>
      <c r="AH1290" s="61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2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2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0"/>
      <c r="AD1292" s="60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86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1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60"/>
      <c r="E1295" s="60"/>
      <c r="F1295" s="60"/>
      <c r="G1295" s="60"/>
      <c r="H1295" s="61"/>
      <c r="I1295" s="62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65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86"/>
      <c r="F1296" s="86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1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86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60"/>
      <c r="F1298" s="60"/>
      <c r="G1298" s="60"/>
      <c r="H1298" s="61"/>
      <c r="I1298" s="61"/>
      <c r="J1298" s="61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65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86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86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2"/>
      <c r="I1303" s="62"/>
      <c r="J1303" s="62"/>
      <c r="K1303" s="61"/>
      <c r="L1303" s="62"/>
      <c r="M1303" s="62"/>
      <c r="N1303" s="66"/>
      <c r="O1303" s="86"/>
      <c r="P1303" s="67"/>
      <c r="Q1303" s="86"/>
      <c r="R1303" s="86"/>
      <c r="S1303" s="60"/>
      <c r="T1303" s="62"/>
      <c r="U1303" s="62"/>
      <c r="V1303" s="62"/>
      <c r="W1303" s="61"/>
      <c r="X1303" s="62"/>
      <c r="Y1303" s="62"/>
      <c r="Z1303" s="66"/>
      <c r="AA1303" s="62"/>
      <c r="AB1303" s="67"/>
      <c r="AC1303" s="86"/>
      <c r="AD1303" s="86"/>
      <c r="AE1303" s="60"/>
      <c r="AF1303" s="62"/>
      <c r="AG1303" s="62"/>
      <c r="AH1303" s="62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60"/>
      <c r="E1304" s="60"/>
      <c r="F1304" s="60"/>
      <c r="G1304" s="60"/>
      <c r="H1304" s="62"/>
      <c r="I1304" s="62"/>
      <c r="J1304" s="62"/>
      <c r="K1304" s="61"/>
      <c r="L1304" s="62"/>
      <c r="M1304" s="62"/>
      <c r="N1304" s="66"/>
      <c r="O1304" s="86"/>
      <c r="P1304" s="68"/>
      <c r="Q1304" s="86"/>
      <c r="R1304" s="86"/>
      <c r="S1304" s="60"/>
      <c r="T1304" s="62"/>
      <c r="U1304" s="62"/>
      <c r="V1304" s="62"/>
      <c r="W1304" s="61"/>
      <c r="X1304" s="62"/>
      <c r="Y1304" s="62"/>
      <c r="Z1304" s="66"/>
      <c r="AA1304" s="86"/>
      <c r="AB1304" s="68"/>
      <c r="AC1304" s="86"/>
      <c r="AD1304" s="86"/>
      <c r="AE1304" s="60"/>
      <c r="AF1304" s="62"/>
      <c r="AG1304" s="62"/>
      <c r="AH1304" s="62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1"/>
      <c r="K1305" s="61"/>
      <c r="L1305" s="62"/>
      <c r="M1305" s="62"/>
      <c r="N1305" s="66"/>
      <c r="O1305" s="65"/>
      <c r="P1305" s="69"/>
      <c r="Q1305" s="62"/>
      <c r="R1305" s="62"/>
      <c r="S1305" s="60"/>
      <c r="T1305" s="62"/>
      <c r="U1305" s="62"/>
      <c r="V1305" s="62"/>
      <c r="W1305" s="61"/>
      <c r="X1305" s="62"/>
      <c r="Y1305" s="62"/>
      <c r="Z1305" s="66"/>
      <c r="AA1305" s="86"/>
      <c r="AB1305" s="69"/>
      <c r="AC1305" s="62"/>
      <c r="AD1305" s="62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9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9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2"/>
      <c r="K1307" s="61"/>
      <c r="L1307" s="62"/>
      <c r="M1307" s="62"/>
      <c r="N1307" s="66"/>
      <c r="O1307" s="86"/>
      <c r="P1307" s="69"/>
      <c r="Q1307" s="86"/>
      <c r="R1307" s="86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86"/>
      <c r="AD1307" s="86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62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86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62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86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62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62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6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86"/>
      <c r="O1324" s="86"/>
      <c r="P1324" s="86"/>
      <c r="Q1324" s="86"/>
      <c r="R1324" s="86"/>
      <c r="S1324" s="86"/>
      <c r="T1324" s="62"/>
      <c r="U1324" s="62"/>
      <c r="V1324" s="62"/>
      <c r="W1324" s="61"/>
      <c r="X1324" s="62"/>
      <c r="Y1324" s="62"/>
      <c r="Z1324" s="86"/>
      <c r="AA1324" s="86"/>
      <c r="AB1324" s="86"/>
      <c r="AC1324" s="86"/>
      <c r="AD1324" s="86"/>
      <c r="AE1324" s="86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86"/>
      <c r="C1325" s="86"/>
      <c r="D1325" s="86"/>
      <c r="E1325" s="86"/>
      <c r="F1325" s="86"/>
      <c r="G1325" s="86"/>
      <c r="H1325" s="62"/>
      <c r="I1325" s="62"/>
      <c r="J1325" s="62"/>
      <c r="K1325" s="62"/>
      <c r="L1325" s="62"/>
      <c r="M1325" s="62"/>
      <c r="N1325" s="86"/>
      <c r="O1325" s="86"/>
      <c r="P1325" s="86"/>
      <c r="Q1325" s="86"/>
      <c r="R1325" s="86"/>
      <c r="S1325" s="86"/>
      <c r="T1325" s="62"/>
      <c r="U1325" s="62"/>
      <c r="V1325" s="62"/>
      <c r="W1325" s="62"/>
      <c r="X1325" s="62"/>
      <c r="Y1325" s="62"/>
      <c r="Z1325" s="86"/>
      <c r="AA1325" s="86"/>
      <c r="AB1325" s="86"/>
      <c r="AC1325" s="86"/>
      <c r="AD1325" s="86"/>
      <c r="AE1325" s="86"/>
      <c r="AF1325" s="62"/>
      <c r="AG1325" s="62"/>
      <c r="AH1325" s="62"/>
      <c r="AI1325" s="62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86"/>
      <c r="C1326" s="86"/>
      <c r="D1326" s="70"/>
      <c r="E1326" s="70"/>
      <c r="F1326" s="70"/>
      <c r="G1326" s="70"/>
      <c r="H1326" s="63"/>
      <c r="I1326" s="70"/>
      <c r="J1326" s="70"/>
      <c r="K1326" s="70"/>
      <c r="L1326" s="62"/>
      <c r="M1326" s="62"/>
      <c r="N1326" s="86"/>
      <c r="O1326" s="86"/>
      <c r="P1326" s="70"/>
      <c r="Q1326" s="70"/>
      <c r="R1326" s="70"/>
      <c r="S1326" s="70"/>
      <c r="T1326" s="63"/>
      <c r="U1326" s="71"/>
      <c r="V1326" s="71"/>
      <c r="W1326" s="71"/>
      <c r="X1326" s="62"/>
      <c r="Y1326" s="62"/>
      <c r="Z1326" s="86"/>
      <c r="AA1326" s="86"/>
      <c r="AB1326" s="70"/>
      <c r="AC1326" s="70"/>
      <c r="AD1326" s="70"/>
      <c r="AE1326" s="74"/>
      <c r="AF1326" s="63"/>
      <c r="AG1326" s="71"/>
      <c r="AH1326" s="71"/>
      <c r="AI1326" s="7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62"/>
      <c r="C1327" s="62"/>
      <c r="D1327" s="62"/>
      <c r="E1327" s="62"/>
      <c r="F1327" s="62"/>
      <c r="G1327" s="62"/>
      <c r="H1327" s="62"/>
      <c r="I1327" s="62"/>
      <c r="J1327" s="62"/>
      <c r="K1327" s="62"/>
      <c r="L1327" s="62"/>
      <c r="M1327" s="62"/>
      <c r="N1327" s="62"/>
      <c r="O1327" s="62"/>
      <c r="P1327" s="62"/>
      <c r="Q1327" s="62"/>
      <c r="R1327" s="62"/>
      <c r="S1327" s="62"/>
      <c r="T1327" s="62"/>
      <c r="U1327" s="62"/>
      <c r="V1327" s="62"/>
      <c r="W1327" s="62"/>
      <c r="X1327" s="62"/>
      <c r="Y1327" s="62"/>
      <c r="Z1327" s="62"/>
      <c r="AA1327" s="62"/>
      <c r="AB1327" s="62"/>
      <c r="AC1327" s="62"/>
      <c r="AD1327" s="62"/>
      <c r="AE1327" s="62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86"/>
      <c r="E1328" s="86"/>
      <c r="F1328" s="86"/>
      <c r="G1328" s="86"/>
      <c r="H1328" s="62"/>
      <c r="I1328" s="62"/>
      <c r="J1328" s="62"/>
      <c r="K1328" s="62"/>
      <c r="L1328" s="62"/>
      <c r="M1328" s="62"/>
      <c r="N1328" s="62"/>
      <c r="O1328" s="62"/>
      <c r="P1328" s="62"/>
      <c r="Q1328" s="62"/>
      <c r="R1328" s="62"/>
      <c r="S1328" s="62"/>
      <c r="T1328" s="62"/>
      <c r="U1328" s="62"/>
      <c r="V1328" s="62"/>
      <c r="W1328" s="62"/>
      <c r="X1328" s="62"/>
      <c r="Y1328" s="62"/>
      <c r="Z1328" s="62"/>
      <c r="AA1328" s="62"/>
      <c r="AB1328" s="62"/>
      <c r="AC1328" s="62"/>
      <c r="AD1328" s="62"/>
      <c r="AE1328" s="62"/>
      <c r="AF1328" s="62"/>
      <c r="AG1328" s="62"/>
      <c r="AH1328" s="62"/>
      <c r="AI1328" s="62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86"/>
      <c r="C1329" s="86"/>
      <c r="D1329" s="86"/>
      <c r="E1329" s="86"/>
      <c r="F1329" s="86"/>
      <c r="G1329" s="86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</sheetData>
  <mergeCells count="225">
    <mergeCell ref="W725:W726"/>
    <mergeCell ref="U725:V725"/>
    <mergeCell ref="P725:Q725"/>
    <mergeCell ref="AI725:AI726"/>
    <mergeCell ref="AG725:AH725"/>
    <mergeCell ref="AB725:AC725"/>
    <mergeCell ref="D835:E835"/>
    <mergeCell ref="I835:J835"/>
    <mergeCell ref="K835:K836"/>
    <mergeCell ref="P835:Q835"/>
    <mergeCell ref="U835:V835"/>
    <mergeCell ref="W835:W836"/>
    <mergeCell ref="AB835:AC835"/>
    <mergeCell ref="AG835:AH835"/>
    <mergeCell ref="AI835:AI836"/>
    <mergeCell ref="AU943:AU944"/>
    <mergeCell ref="AS943:AT943"/>
    <mergeCell ref="AN943:AO943"/>
    <mergeCell ref="W1053:W1054"/>
    <mergeCell ref="U1053:V1053"/>
    <mergeCell ref="P1053:Q1053"/>
    <mergeCell ref="AI1053:AI1054"/>
    <mergeCell ref="AG1053:AH1053"/>
    <mergeCell ref="AB1053:AC1053"/>
    <mergeCell ref="W998:W999"/>
    <mergeCell ref="U998:V998"/>
    <mergeCell ref="P998:Q998"/>
    <mergeCell ref="K450:K451"/>
    <mergeCell ref="AB560:AC560"/>
    <mergeCell ref="AG560:AH560"/>
    <mergeCell ref="AI560:AI561"/>
    <mergeCell ref="AB780:AC780"/>
    <mergeCell ref="AG780:AH780"/>
    <mergeCell ref="AI780:AI781"/>
    <mergeCell ref="D890:E890"/>
    <mergeCell ref="I890:J890"/>
    <mergeCell ref="K890:K891"/>
    <mergeCell ref="P890:Q890"/>
    <mergeCell ref="U890:V890"/>
    <mergeCell ref="W890:W891"/>
    <mergeCell ref="AB890:AC890"/>
    <mergeCell ref="AG890:AH890"/>
    <mergeCell ref="AI890:AI891"/>
    <mergeCell ref="D670:E670"/>
    <mergeCell ref="U670:V670"/>
    <mergeCell ref="P670:Q670"/>
    <mergeCell ref="W670:W671"/>
    <mergeCell ref="K725:K726"/>
    <mergeCell ref="I725:J725"/>
    <mergeCell ref="D725:E725"/>
    <mergeCell ref="D505:E505"/>
    <mergeCell ref="I505:J505"/>
    <mergeCell ref="K505:K506"/>
    <mergeCell ref="P505:Q505"/>
    <mergeCell ref="U505:V505"/>
    <mergeCell ref="W615:W616"/>
    <mergeCell ref="U615:V615"/>
    <mergeCell ref="P615:Q615"/>
    <mergeCell ref="AI615:AI616"/>
    <mergeCell ref="AG615:AH615"/>
    <mergeCell ref="AB615:AC615"/>
    <mergeCell ref="AI505:AI506"/>
    <mergeCell ref="AG505:AH505"/>
    <mergeCell ref="AB505:AC505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D175:E175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K1281:K1282"/>
    <mergeCell ref="I1281:J1281"/>
    <mergeCell ref="D1281:E1281"/>
    <mergeCell ref="W1281:W1282"/>
    <mergeCell ref="U1281:V1281"/>
    <mergeCell ref="P1281:Q1281"/>
    <mergeCell ref="U120:V120"/>
    <mergeCell ref="U340:V340"/>
    <mergeCell ref="D1108:E1108"/>
    <mergeCell ref="W1108:W1109"/>
    <mergeCell ref="U1108:V1108"/>
    <mergeCell ref="P1108:Q1108"/>
    <mergeCell ref="K1219:K1220"/>
    <mergeCell ref="I1219:J1219"/>
    <mergeCell ref="D1219:E1219"/>
    <mergeCell ref="K1163:K1164"/>
    <mergeCell ref="I1163:J1163"/>
    <mergeCell ref="D1163:E1163"/>
    <mergeCell ref="K1108:K1109"/>
    <mergeCell ref="I1108:J1108"/>
    <mergeCell ref="K1053:K1054"/>
    <mergeCell ref="I1053:J1053"/>
    <mergeCell ref="D1053:E1053"/>
    <mergeCell ref="K615:K616"/>
    <mergeCell ref="AI1281:AI1282"/>
    <mergeCell ref="AG1281:AH1281"/>
    <mergeCell ref="AB1281:AC1281"/>
    <mergeCell ref="AI998:AI999"/>
    <mergeCell ref="AG998:AH998"/>
    <mergeCell ref="AB998:AC998"/>
    <mergeCell ref="W1219:W1220"/>
    <mergeCell ref="U1219:V1219"/>
    <mergeCell ref="P1219:Q1219"/>
    <mergeCell ref="AI1219:AI1220"/>
    <mergeCell ref="AG1219:AH1219"/>
    <mergeCell ref="AB1219:AC1219"/>
    <mergeCell ref="W1163:W1164"/>
    <mergeCell ref="U1163:V1163"/>
    <mergeCell ref="P1163:Q1163"/>
    <mergeCell ref="AI1163:AI1164"/>
    <mergeCell ref="AG1163:AH1163"/>
    <mergeCell ref="AB1163:AC1163"/>
    <mergeCell ref="AI1108:AI1109"/>
    <mergeCell ref="AG1108:AH1108"/>
    <mergeCell ref="AB1108:AC1108"/>
    <mergeCell ref="K998:K999"/>
    <mergeCell ref="I998:J998"/>
    <mergeCell ref="D998:E998"/>
    <mergeCell ref="I450:J450"/>
    <mergeCell ref="D395:E395"/>
    <mergeCell ref="W340:W341"/>
    <mergeCell ref="I340:J340"/>
    <mergeCell ref="D340:E340"/>
    <mergeCell ref="D780:E780"/>
    <mergeCell ref="I780:J780"/>
    <mergeCell ref="K780:K781"/>
    <mergeCell ref="P780:Q780"/>
    <mergeCell ref="U780:V780"/>
    <mergeCell ref="W780:W781"/>
    <mergeCell ref="W450:W451"/>
    <mergeCell ref="D560:E560"/>
    <mergeCell ref="I560:J560"/>
    <mergeCell ref="K560:K561"/>
    <mergeCell ref="K340:K341"/>
    <mergeCell ref="D450:E450"/>
    <mergeCell ref="K670:K671"/>
    <mergeCell ref="I670:J670"/>
    <mergeCell ref="I615:J615"/>
    <mergeCell ref="D615:E61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W120:W121"/>
    <mergeCell ref="D285:E285"/>
    <mergeCell ref="W230:W231"/>
    <mergeCell ref="K230:K231"/>
    <mergeCell ref="I230:J230"/>
    <mergeCell ref="D230:E230"/>
    <mergeCell ref="AI670:AI671"/>
    <mergeCell ref="AG670:AH670"/>
    <mergeCell ref="AB670:AC670"/>
    <mergeCell ref="AG340:AH340"/>
    <mergeCell ref="AB340:AC340"/>
    <mergeCell ref="AB395:AC395"/>
    <mergeCell ref="P340:Q340"/>
    <mergeCell ref="W395:W396"/>
    <mergeCell ref="U395:V395"/>
    <mergeCell ref="P395:Q395"/>
    <mergeCell ref="U450:V450"/>
    <mergeCell ref="P450:Q450"/>
    <mergeCell ref="W505:W506"/>
    <mergeCell ref="P560:Q560"/>
    <mergeCell ref="U560:V560"/>
    <mergeCell ref="W560:W561"/>
    <mergeCell ref="AI450:AI451"/>
    <mergeCell ref="AG450:AH450"/>
    <mergeCell ref="AB450:AC450"/>
    <mergeCell ref="D945:E945"/>
    <mergeCell ref="I945:J945"/>
    <mergeCell ref="K945:K946"/>
    <mergeCell ref="P945:Q945"/>
    <mergeCell ref="U945:V945"/>
    <mergeCell ref="W945:W946"/>
    <mergeCell ref="AB945:AC945"/>
    <mergeCell ref="AG945:AH945"/>
    <mergeCell ref="AI945:AI94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JULY</vt:lpstr>
      <vt:lpstr>DSIS | JULY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2026-07-15T01:00:49Z</dcterms:modified>
</cp:coreProperties>
</file>