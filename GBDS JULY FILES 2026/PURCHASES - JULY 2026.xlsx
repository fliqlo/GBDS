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DAEADF03-D5D1-4C88-BAA7-9AA292C23074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LY" sheetId="6" r:id="rId2"/>
  </sheets>
  <definedNames>
    <definedName name="_xlnm.Print_Area" localSheetId="1">'PE, JULY'!#REF!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8" i="6" l="1"/>
  <c r="K47" i="6" l="1"/>
  <c r="K46" i="6"/>
  <c r="K45" i="6" l="1"/>
  <c r="K44" i="6" l="1"/>
  <c r="K43" i="6" l="1"/>
  <c r="K42" i="6" l="1"/>
  <c r="I9" i="6"/>
  <c r="K61" i="6" l="1"/>
  <c r="K41" i="6"/>
  <c r="K40" i="6"/>
  <c r="K39" i="6" l="1"/>
  <c r="K38" i="6" l="1"/>
  <c r="K55" i="6" l="1"/>
  <c r="K34" i="6" l="1"/>
  <c r="K8" i="6" l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K28" i="6" l="1"/>
  <c r="M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/>
  <c r="O109" i="6" l="1"/>
  <c r="N109" i="6"/>
  <c r="P109" i="6"/>
  <c r="M82" i="6"/>
  <c r="O82" i="6"/>
  <c r="M55" i="6"/>
  <c r="O55" i="6"/>
  <c r="N88" i="6"/>
  <c r="O88" i="6" s="1"/>
  <c r="N61" i="6"/>
  <c r="N82" i="6" s="1"/>
  <c r="N34" i="6"/>
  <c r="N55" i="6" s="1"/>
  <c r="O27" i="6" l="1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82" i="6"/>
  <c r="L55" i="6"/>
  <c r="L28" i="6"/>
  <c r="L109" i="6"/>
</calcChain>
</file>

<file path=xl/sharedStrings.xml><?xml version="1.0" encoding="utf-8"?>
<sst xmlns="http://schemas.openxmlformats.org/spreadsheetml/2006/main" count="534" uniqueCount="111">
  <si>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</si>
  <si>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</si>
  <si>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</si>
  <si>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</si>
  <si>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</si>
  <si>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</si>
  <si>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</si>
  <si>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</si>
  <si>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</si>
  <si>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</si>
  <si>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</si>
  <si>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</si>
  <si>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</si>
  <si>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</si>
  <si>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</si>
  <si>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</si>
  <si>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</si>
  <si>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</si>
  <si>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</si>
  <si>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</si>
  <si>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</si>
  <si>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</si>
  <si>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</si>
  <si>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</si>
  <si>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</si>
  <si>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</si>
  <si>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</si>
  <si>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</si>
  <si>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</si>
  <si>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</si>
  <si>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</si>
  <si>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</si>
  <si>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</si>
  <si>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</si>
  <si>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</si>
  <si>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</si>
  <si>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</si>
  <si>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</si>
  <si>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</si>
  <si>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</si>
  <si>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</si>
  <si>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</si>
  <si>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</si>
  <si>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</si>
  <si>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</si>
  <si>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</si>
  <si>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</si>
  <si>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</si>
  <si>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</si>
  <si>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</si>
  <si>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</si>
  <si>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</si>
  <si>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</si>
  <si>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</si>
  <si>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</si>
  <si>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</si>
  <si>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</si>
  <si>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</si>
  <si>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</si>
  <si>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</si>
  <si>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</si>
  <si>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</si>
  <si>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</si>
  <si>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</si>
  <si>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</si>
  <si>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</si>
  <si>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</si>
  <si>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</si>
  <si>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</si>
  <si>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</si>
  <si>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</si>
  <si>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</si>
  <si>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</si>
  <si>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</si>
  <si>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MONTHLY PURCHASES</t>
  </si>
  <si>
    <t>MONTHLY PURCHASES BEER EMPTIES</t>
  </si>
  <si>
    <t>MONTHLY PURCHASES NAB EMPTIES</t>
  </si>
  <si>
    <t>R01</t>
  </si>
  <si>
    <t>MONTHLY PURCHASES SMB LILOY WW</t>
  </si>
  <si>
    <t>TOTAL AMOUNT</t>
  </si>
  <si>
    <t>JULY 2026</t>
  </si>
  <si>
    <t>AMOUNT</t>
  </si>
  <si>
    <t>OF PRODUCTS</t>
  </si>
  <si>
    <t>TOTAL</t>
  </si>
  <si>
    <t>DISCOUNT</t>
  </si>
  <si>
    <t>R02</t>
  </si>
  <si>
    <t>166-562-025-0005</t>
  </si>
  <si>
    <t>R03</t>
  </si>
  <si>
    <t>R04</t>
  </si>
  <si>
    <t>07/16/2026</t>
  </si>
  <si>
    <t>R05</t>
  </si>
  <si>
    <t>07/17/2026</t>
  </si>
  <si>
    <t>R06</t>
  </si>
  <si>
    <t>07/18/2026</t>
  </si>
  <si>
    <t>R07</t>
  </si>
  <si>
    <t>07/20/2026</t>
  </si>
  <si>
    <t>R08</t>
  </si>
  <si>
    <t>07/21/2026</t>
  </si>
  <si>
    <t>R09</t>
  </si>
  <si>
    <t>07/22/2026</t>
  </si>
  <si>
    <t>R10</t>
  </si>
  <si>
    <t>07/23/2026</t>
  </si>
  <si>
    <t>R11</t>
  </si>
  <si>
    <t>07/24/2026</t>
  </si>
  <si>
    <t>R12</t>
  </si>
  <si>
    <t>07/28/2026</t>
  </si>
  <si>
    <t>07/27/2026</t>
  </si>
  <si>
    <t>R13</t>
  </si>
  <si>
    <t>R14</t>
  </si>
  <si>
    <t>07/29/2026</t>
  </si>
  <si>
    <t>R15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</si>
</sst>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25" zoomScaleNormal="100" workbookViewId="0">
      <selection activeCell="K49" sqref="K49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74</v>
      </c>
      <c r="D3" s="42"/>
      <c r="E3" s="42"/>
      <c r="F3" s="43" t="s">
        <v>80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81</v>
      </c>
      <c r="J5" s="9" t="s">
        <v>83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82</v>
      </c>
      <c r="J6" s="9" t="s">
        <v>84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 t="s">
        <v>89</v>
      </c>
      <c r="D7" s="20" t="s">
        <v>68</v>
      </c>
      <c r="E7" s="12"/>
      <c r="F7" s="20" t="s">
        <v>70</v>
      </c>
      <c r="G7" s="20">
        <v>518825276</v>
      </c>
      <c r="H7" s="20" t="s">
        <v>86</v>
      </c>
      <c r="I7" s="21">
        <v>1376614</v>
      </c>
      <c r="J7" s="21">
        <v>109178.29</v>
      </c>
      <c r="K7" s="21">
        <f>I7-J7</f>
        <v>1267435.71</v>
      </c>
      <c r="M7" s="21">
        <f>O7*12</f>
        <v>135796.6832142857</v>
      </c>
      <c r="N7" s="27">
        <f>K7-M7</f>
        <v>1131639.0267857143</v>
      </c>
      <c r="O7" s="33">
        <f>K7/112</f>
        <v>11316.390267857143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 t="s">
        <v>91</v>
      </c>
      <c r="D8" s="20" t="s">
        <v>68</v>
      </c>
      <c r="E8" s="20"/>
      <c r="F8" s="20" t="s">
        <v>70</v>
      </c>
      <c r="G8" s="20">
        <v>518829090</v>
      </c>
      <c r="H8" s="20" t="s">
        <v>86</v>
      </c>
      <c r="I8" s="21">
        <v>1354770</v>
      </c>
      <c r="J8" s="21">
        <v>72448.81</v>
      </c>
      <c r="K8" s="21">
        <f t="shared" ref="K8:K27" si="0">I8-J8</f>
        <v>1282321.19</v>
      </c>
      <c r="M8" s="21">
        <f>O8*12</f>
        <v>137391.55607142858</v>
      </c>
      <c r="N8" s="27">
        <f>K8-M8</f>
        <v>1144929.6339285714</v>
      </c>
      <c r="O8" s="33">
        <f t="shared" ref="O8:O26" si="1">K8/112</f>
        <v>11449.296339285715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 t="s">
        <v>97</v>
      </c>
      <c r="D9" s="20" t="s">
        <v>68</v>
      </c>
      <c r="E9" s="20"/>
      <c r="F9" s="20" t="s">
        <v>70</v>
      </c>
      <c r="G9" s="20">
        <v>518839710</v>
      </c>
      <c r="H9" s="20" t="s">
        <v>86</v>
      </c>
      <c r="I9" s="21">
        <f>1397196</f>
        <v>1397196</v>
      </c>
      <c r="J9" s="21">
        <v>60845.04</v>
      </c>
      <c r="K9" s="21">
        <f t="shared" si="0"/>
        <v>1336350.96</v>
      </c>
      <c r="M9" s="21">
        <f t="shared" ref="M9:M26" si="3">O9*12</f>
        <v>143180.46</v>
      </c>
      <c r="N9" s="27">
        <f t="shared" ref="N9:N26" si="4">K9-M9</f>
        <v>1193170.5</v>
      </c>
      <c r="O9" s="33">
        <f t="shared" si="1"/>
        <v>11931.705</v>
      </c>
    </row>
    <row r="10" spans="1:17" x14ac:dyDescent="0.25">
      <c r="A10">
        <f t="shared" si="2"/>
        <v>4</v>
      </c>
      <c r="B10" s="23">
        <f t="shared" si="2"/>
        <v>4</v>
      </c>
      <c r="C10" s="19" t="s">
        <v>99</v>
      </c>
      <c r="D10" s="20" t="s">
        <v>68</v>
      </c>
      <c r="E10" s="20"/>
      <c r="F10" s="20" t="s">
        <v>70</v>
      </c>
      <c r="G10" s="20">
        <v>518843320</v>
      </c>
      <c r="H10" s="20" t="s">
        <v>86</v>
      </c>
      <c r="I10" s="21">
        <v>1397196</v>
      </c>
      <c r="J10" s="21">
        <v>60845.04</v>
      </c>
      <c r="K10" s="21">
        <f t="shared" si="0"/>
        <v>1336350.96</v>
      </c>
      <c r="M10" s="21">
        <f t="shared" si="3"/>
        <v>143180.46</v>
      </c>
      <c r="N10" s="27">
        <f t="shared" si="4"/>
        <v>1193170.5</v>
      </c>
      <c r="O10" s="33">
        <f t="shared" si="1"/>
        <v>11931.705</v>
      </c>
    </row>
    <row r="11" spans="1:17" x14ac:dyDescent="0.25">
      <c r="A11">
        <f t="shared" si="2"/>
        <v>5</v>
      </c>
      <c r="B11" s="23">
        <f t="shared" si="2"/>
        <v>5</v>
      </c>
      <c r="C11" s="19" t="s">
        <v>101</v>
      </c>
      <c r="D11" s="20" t="s">
        <v>68</v>
      </c>
      <c r="E11" s="20"/>
      <c r="F11" s="20" t="s">
        <v>70</v>
      </c>
      <c r="G11" s="20">
        <v>518846972</v>
      </c>
      <c r="H11" s="20" t="s">
        <v>86</v>
      </c>
      <c r="I11" s="21">
        <v>1397196</v>
      </c>
      <c r="J11" s="21">
        <v>60845.04</v>
      </c>
      <c r="K11" s="21">
        <f t="shared" si="0"/>
        <v>1336350.96</v>
      </c>
      <c r="M11" s="21">
        <f t="shared" si="3"/>
        <v>143180.46</v>
      </c>
      <c r="N11" s="27">
        <f t="shared" si="4"/>
        <v>1193170.5</v>
      </c>
      <c r="O11" s="33">
        <f t="shared" si="1"/>
        <v>11931.705</v>
      </c>
    </row>
    <row r="12" spans="1:17" x14ac:dyDescent="0.25">
      <c r="A12">
        <f t="shared" si="2"/>
        <v>6</v>
      </c>
      <c r="B12" s="23">
        <f t="shared" si="2"/>
        <v>6</v>
      </c>
      <c r="C12" s="19" t="s">
        <v>103</v>
      </c>
      <c r="D12" s="20" t="s">
        <v>68</v>
      </c>
      <c r="E12" s="20"/>
      <c r="F12" s="20" t="s">
        <v>70</v>
      </c>
      <c r="G12" s="20">
        <v>518850942</v>
      </c>
      <c r="H12" s="20" t="s">
        <v>86</v>
      </c>
      <c r="I12" s="21">
        <v>1397196</v>
      </c>
      <c r="J12" s="21">
        <v>60845.04</v>
      </c>
      <c r="K12" s="21">
        <f t="shared" si="0"/>
        <v>1336350.96</v>
      </c>
      <c r="M12" s="21">
        <f t="shared" si="3"/>
        <v>143180.46</v>
      </c>
      <c r="N12" s="27">
        <f t="shared" si="4"/>
        <v>1193170.5</v>
      </c>
      <c r="O12" s="33">
        <f t="shared" si="1"/>
        <v>11931.705</v>
      </c>
    </row>
    <row r="13" spans="1:17" x14ac:dyDescent="0.25">
      <c r="A13">
        <f t="shared" si="2"/>
        <v>7</v>
      </c>
      <c r="B13" s="23">
        <f t="shared" si="2"/>
        <v>7</v>
      </c>
      <c r="C13" s="19" t="s">
        <v>103</v>
      </c>
      <c r="D13" s="20" t="s">
        <v>68</v>
      </c>
      <c r="E13" s="20"/>
      <c r="F13" s="20" t="s">
        <v>70</v>
      </c>
      <c r="G13" s="20">
        <v>518851356</v>
      </c>
      <c r="H13" s="20" t="s">
        <v>86</v>
      </c>
      <c r="I13" s="21">
        <v>1397196</v>
      </c>
      <c r="J13" s="21">
        <v>60845.04</v>
      </c>
      <c r="K13" s="21">
        <f t="shared" si="0"/>
        <v>1336350.96</v>
      </c>
      <c r="M13" s="21">
        <f t="shared" si="3"/>
        <v>143180.46</v>
      </c>
      <c r="N13" s="27">
        <f>K13-M13</f>
        <v>1193170.5</v>
      </c>
      <c r="O13" s="33">
        <f>K13/112</f>
        <v>11931.705</v>
      </c>
    </row>
    <row r="14" spans="1:17" x14ac:dyDescent="0.25">
      <c r="A14">
        <f t="shared" si="2"/>
        <v>8</v>
      </c>
      <c r="B14" s="23">
        <f t="shared" si="2"/>
        <v>8</v>
      </c>
      <c r="C14" s="19" t="s">
        <v>109</v>
      </c>
      <c r="D14" s="20" t="s">
        <v>68</v>
      </c>
      <c r="E14" s="20"/>
      <c r="F14" s="20" t="s">
        <v>70</v>
      </c>
      <c r="G14" s="20">
        <v>518867328</v>
      </c>
      <c r="H14" s="20" t="s">
        <v>86</v>
      </c>
      <c r="I14" s="36">
        <v>1357955</v>
      </c>
      <c r="J14" s="36">
        <v>74611.91</v>
      </c>
      <c r="K14" s="21">
        <f t="shared" si="0"/>
        <v>1283343.0900000001</v>
      </c>
      <c r="M14" s="21">
        <f t="shared" si="3"/>
        <v>137501.04535714287</v>
      </c>
      <c r="N14" s="27">
        <f t="shared" si="4"/>
        <v>1145842.0446428573</v>
      </c>
      <c r="O14" s="33">
        <f t="shared" si="1"/>
        <v>11458.420446428572</v>
      </c>
    </row>
    <row r="15" spans="1:17" x14ac:dyDescent="0.25">
      <c r="A15">
        <f t="shared" si="2"/>
        <v>9</v>
      </c>
      <c r="B15" s="23">
        <f t="shared" si="2"/>
        <v>9</v>
      </c>
      <c r="C15" s="19" t="s">
        <v>109</v>
      </c>
      <c r="D15" s="20" t="s">
        <v>68</v>
      </c>
      <c r="E15" s="20"/>
      <c r="F15" s="20" t="s">
        <v>70</v>
      </c>
      <c r="G15" s="20">
        <v>518867769</v>
      </c>
      <c r="H15" s="20" t="s">
        <v>86</v>
      </c>
      <c r="I15" s="21">
        <v>75215</v>
      </c>
      <c r="J15" s="21">
        <v>9256.9</v>
      </c>
      <c r="K15" s="21">
        <f t="shared" si="0"/>
        <v>65958.100000000006</v>
      </c>
      <c r="M15" s="21">
        <f t="shared" si="3"/>
        <v>7066.9392857142866</v>
      </c>
      <c r="N15" s="27">
        <f>K15-M15</f>
        <v>58891.160714285717</v>
      </c>
      <c r="O15" s="33">
        <f>K15/112</f>
        <v>588.91160714285718</v>
      </c>
    </row>
    <row r="16" spans="1:17" x14ac:dyDescent="0.25">
      <c r="A16">
        <f t="shared" si="2"/>
        <v>10</v>
      </c>
      <c r="B16" s="23">
        <f t="shared" si="2"/>
        <v>10</v>
      </c>
      <c r="C16" s="19" t="s">
        <v>109</v>
      </c>
      <c r="D16" s="20" t="s">
        <v>68</v>
      </c>
      <c r="E16" s="20"/>
      <c r="F16" s="20" t="s">
        <v>70</v>
      </c>
      <c r="G16" s="20">
        <v>518867758</v>
      </c>
      <c r="H16" s="20" t="s">
        <v>86</v>
      </c>
      <c r="I16" s="21">
        <v>1064582</v>
      </c>
      <c r="J16" s="21">
        <v>48308.959999999999</v>
      </c>
      <c r="K16" s="21">
        <f t="shared" si="0"/>
        <v>1016273.04</v>
      </c>
      <c r="M16" s="21">
        <f t="shared" si="3"/>
        <v>108886.39714285715</v>
      </c>
      <c r="N16" s="27">
        <f t="shared" si="4"/>
        <v>907386.64285714284</v>
      </c>
      <c r="O16" s="33">
        <f t="shared" si="1"/>
        <v>9073.8664285714294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86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86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86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86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86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86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86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86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86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86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86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11597085.93</v>
      </c>
      <c r="L28" s="44">
        <f ca="1">SUM(L7:L31)</f>
        <v>0</v>
      </c>
      <c r="M28" s="44">
        <f>SUM(M7:M27)</f>
        <v>1242544.9210714283</v>
      </c>
      <c r="N28" s="44">
        <f>SUM(N7:N27)</f>
        <v>10354541.008928571</v>
      </c>
      <c r="O28" s="44">
        <f>SUM(O7:O27)</f>
        <v>103545.41008928572</v>
      </c>
    </row>
    <row r="29" spans="1:15" x14ac:dyDescent="0.25">
      <c r="G29"/>
      <c r="O29" s="34"/>
    </row>
    <row r="30" spans="1:15" ht="15.75" x14ac:dyDescent="0.25">
      <c r="C30" s="41" t="s">
        <v>75</v>
      </c>
      <c r="D30" s="42"/>
      <c r="E30" s="42"/>
      <c r="F30" s="43" t="s">
        <v>80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81</v>
      </c>
      <c r="J32" s="9" t="s">
        <v>83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82</v>
      </c>
      <c r="J33" s="9" t="s">
        <v>84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46060</v>
      </c>
      <c r="D34" s="20" t="s">
        <v>68</v>
      </c>
      <c r="E34" s="12"/>
      <c r="F34" s="20" t="s">
        <v>70</v>
      </c>
      <c r="G34" s="37" t="s">
        <v>77</v>
      </c>
      <c r="H34" s="20" t="s">
        <v>86</v>
      </c>
      <c r="I34" s="20"/>
      <c r="J34" s="20"/>
      <c r="K34" s="21">
        <f>8640+23976+143856+11988+9072</f>
        <v>197532</v>
      </c>
      <c r="M34" s="21">
        <f t="shared" ref="M34:M53" si="8">O34*12</f>
        <v>21164.142857142855</v>
      </c>
      <c r="N34" s="27">
        <f>K34-M34</f>
        <v>176367.85714285716</v>
      </c>
      <c r="O34" s="33">
        <f t="shared" ref="O34:O53" si="9">K34/112</f>
        <v>1763.6785714285713</v>
      </c>
    </row>
    <row r="35" spans="1:15" x14ac:dyDescent="0.25">
      <c r="A35">
        <v>3</v>
      </c>
      <c r="C35" s="19">
        <v>46088</v>
      </c>
      <c r="D35" s="20" t="s">
        <v>68</v>
      </c>
      <c r="E35" s="20"/>
      <c r="F35" s="20" t="s">
        <v>70</v>
      </c>
      <c r="G35" s="37" t="s">
        <v>85</v>
      </c>
      <c r="H35" s="20" t="s">
        <v>86</v>
      </c>
      <c r="I35" s="20"/>
      <c r="J35" s="20"/>
      <c r="K35" s="21">
        <v>203796</v>
      </c>
      <c r="M35" s="21">
        <f t="shared" si="8"/>
        <v>21835.285714285714</v>
      </c>
      <c r="N35" s="27">
        <f t="shared" ref="N35:N53" si="10">K35-M35</f>
        <v>181960.71428571429</v>
      </c>
      <c r="O35" s="33">
        <f t="shared" si="9"/>
        <v>1819.6071428571429</v>
      </c>
    </row>
    <row r="36" spans="1:15" x14ac:dyDescent="0.25">
      <c r="A36">
        <v>4</v>
      </c>
      <c r="C36" s="19">
        <v>46210</v>
      </c>
      <c r="D36" s="20" t="s">
        <v>68</v>
      </c>
      <c r="E36" s="20"/>
      <c r="F36" s="20" t="s">
        <v>70</v>
      </c>
      <c r="G36" s="37" t="s">
        <v>87</v>
      </c>
      <c r="H36" s="20" t="s">
        <v>86</v>
      </c>
      <c r="I36" s="20"/>
      <c r="J36" s="20"/>
      <c r="K36" s="21"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>
        <v>46272</v>
      </c>
      <c r="D37" s="20" t="s">
        <v>68</v>
      </c>
      <c r="E37" s="20"/>
      <c r="F37" s="20" t="s">
        <v>70</v>
      </c>
      <c r="G37" s="37" t="s">
        <v>88</v>
      </c>
      <c r="H37" s="20" t="s">
        <v>86</v>
      </c>
      <c r="I37" s="20"/>
      <c r="J37" s="20"/>
      <c r="K37" s="21">
        <v>198036</v>
      </c>
      <c r="M37" s="21">
        <f t="shared" si="8"/>
        <v>21218.142857142855</v>
      </c>
      <c r="N37" s="27">
        <f t="shared" si="10"/>
        <v>176817.85714285716</v>
      </c>
      <c r="O37" s="33">
        <f t="shared" si="9"/>
        <v>1768.1785714285713</v>
      </c>
    </row>
    <row r="38" spans="1:15" x14ac:dyDescent="0.25">
      <c r="A38">
        <v>6</v>
      </c>
      <c r="C38" s="19" t="s">
        <v>89</v>
      </c>
      <c r="D38" s="20" t="s">
        <v>68</v>
      </c>
      <c r="E38" s="20"/>
      <c r="F38" s="20" t="s">
        <v>70</v>
      </c>
      <c r="G38" s="37" t="s">
        <v>90</v>
      </c>
      <c r="H38" s="20" t="s">
        <v>86</v>
      </c>
      <c r="I38" s="20"/>
      <c r="J38" s="20"/>
      <c r="K38" s="21">
        <f>11988+15120+155844+9072</f>
        <v>192024</v>
      </c>
      <c r="M38" s="21">
        <f t="shared" si="8"/>
        <v>20574</v>
      </c>
      <c r="N38" s="27">
        <f t="shared" si="10"/>
        <v>171450</v>
      </c>
      <c r="O38" s="33">
        <f t="shared" si="9"/>
        <v>1714.5</v>
      </c>
    </row>
    <row r="39" spans="1:15" x14ac:dyDescent="0.25">
      <c r="A39">
        <v>7</v>
      </c>
      <c r="C39" s="19" t="s">
        <v>91</v>
      </c>
      <c r="D39" s="20" t="s">
        <v>68</v>
      </c>
      <c r="E39" s="20"/>
      <c r="F39" s="20" t="s">
        <v>70</v>
      </c>
      <c r="G39" s="37" t="s">
        <v>92</v>
      </c>
      <c r="H39" s="20" t="s">
        <v>86</v>
      </c>
      <c r="I39" s="20"/>
      <c r="J39" s="20"/>
      <c r="K39" s="21">
        <f>23976+179820</f>
        <v>203796</v>
      </c>
      <c r="M39" s="21">
        <f t="shared" si="8"/>
        <v>21835.285714285714</v>
      </c>
      <c r="N39" s="27">
        <f t="shared" si="10"/>
        <v>181960.71428571429</v>
      </c>
      <c r="O39" s="33">
        <f t="shared" si="9"/>
        <v>1819.6071428571429</v>
      </c>
    </row>
    <row r="40" spans="1:15" x14ac:dyDescent="0.25">
      <c r="A40">
        <v>8</v>
      </c>
      <c r="C40" s="19" t="s">
        <v>93</v>
      </c>
      <c r="D40" s="20" t="s">
        <v>68</v>
      </c>
      <c r="E40" s="20"/>
      <c r="F40" s="20" t="s">
        <v>70</v>
      </c>
      <c r="G40" s="37" t="s">
        <v>94</v>
      </c>
      <c r="H40" s="20" t="s">
        <v>86</v>
      </c>
      <c r="I40" s="20"/>
      <c r="J40" s="20"/>
      <c r="K40" s="21">
        <f>11988+10656+179820</f>
        <v>202464</v>
      </c>
      <c r="M40" s="21">
        <f t="shared" si="8"/>
        <v>21692.571428571428</v>
      </c>
      <c r="N40" s="27">
        <f t="shared" si="10"/>
        <v>180771.42857142858</v>
      </c>
      <c r="O40" s="33">
        <f t="shared" si="9"/>
        <v>1807.7142857142858</v>
      </c>
    </row>
    <row r="41" spans="1:15" x14ac:dyDescent="0.25">
      <c r="A41">
        <v>9</v>
      </c>
      <c r="C41" s="19" t="s">
        <v>95</v>
      </c>
      <c r="D41" s="20" t="s">
        <v>68</v>
      </c>
      <c r="E41" s="20"/>
      <c r="F41" s="20" t="s">
        <v>70</v>
      </c>
      <c r="G41" s="37" t="s">
        <v>96</v>
      </c>
      <c r="H41" s="20" t="s">
        <v>86</v>
      </c>
      <c r="I41" s="20"/>
      <c r="J41" s="20"/>
      <c r="K41" s="21">
        <f>11988+167832</f>
        <v>179820</v>
      </c>
      <c r="M41" s="21">
        <f t="shared" si="8"/>
        <v>19266.428571428572</v>
      </c>
      <c r="N41" s="27">
        <f t="shared" si="10"/>
        <v>160553.57142857142</v>
      </c>
      <c r="O41" s="33">
        <f t="shared" si="9"/>
        <v>1605.5357142857142</v>
      </c>
    </row>
    <row r="42" spans="1:15" x14ac:dyDescent="0.25">
      <c r="A42">
        <v>10</v>
      </c>
      <c r="C42" s="19" t="s">
        <v>97</v>
      </c>
      <c r="D42" s="20" t="s">
        <v>68</v>
      </c>
      <c r="E42" s="20"/>
      <c r="F42" s="20" t="s">
        <v>70</v>
      </c>
      <c r="G42" s="37" t="s">
        <v>98</v>
      </c>
      <c r="H42" s="20" t="s">
        <v>86</v>
      </c>
      <c r="I42" s="20"/>
      <c r="J42" s="20"/>
      <c r="K42" s="21">
        <f>23976+143856+18144</f>
        <v>185976</v>
      </c>
      <c r="M42" s="21">
        <f t="shared" si="8"/>
        <v>19926</v>
      </c>
      <c r="N42" s="27">
        <f t="shared" si="10"/>
        <v>166050</v>
      </c>
      <c r="O42" s="33">
        <f t="shared" si="9"/>
        <v>1660.5</v>
      </c>
    </row>
    <row r="43" spans="1:15" x14ac:dyDescent="0.25">
      <c r="A43">
        <v>11</v>
      </c>
      <c r="C43" s="19" t="s">
        <v>99</v>
      </c>
      <c r="D43" s="20" t="s">
        <v>68</v>
      </c>
      <c r="E43" s="20"/>
      <c r="F43" s="20" t="s">
        <v>70</v>
      </c>
      <c r="G43" s="37" t="s">
        <v>100</v>
      </c>
      <c r="H43" s="20" t="s">
        <v>86</v>
      </c>
      <c r="I43" s="20"/>
      <c r="J43" s="20"/>
      <c r="K43" s="21">
        <f>23976+10656+155844+9072</f>
        <v>199548</v>
      </c>
      <c r="M43" s="21">
        <f t="shared" si="8"/>
        <v>21380.142857142855</v>
      </c>
      <c r="N43" s="27">
        <f t="shared" si="10"/>
        <v>178167.85714285716</v>
      </c>
      <c r="O43" s="33">
        <f t="shared" si="9"/>
        <v>1781.6785714285713</v>
      </c>
    </row>
    <row r="44" spans="1:15" x14ac:dyDescent="0.25">
      <c r="A44">
        <v>12</v>
      </c>
      <c r="C44" s="19" t="s">
        <v>101</v>
      </c>
      <c r="D44" s="20" t="s">
        <v>68</v>
      </c>
      <c r="E44" s="20"/>
      <c r="F44" s="20" t="s">
        <v>70</v>
      </c>
      <c r="G44" s="37" t="s">
        <v>102</v>
      </c>
      <c r="H44" s="20" t="s">
        <v>86</v>
      </c>
      <c r="I44" s="20"/>
      <c r="J44" s="20"/>
      <c r="K44" s="21">
        <f>11988+71928+5292+18144+8064</f>
        <v>115416</v>
      </c>
      <c r="M44" s="21">
        <f t="shared" si="8"/>
        <v>12366</v>
      </c>
      <c r="N44" s="27">
        <f t="shared" si="10"/>
        <v>103050</v>
      </c>
      <c r="O44" s="33">
        <f t="shared" si="9"/>
        <v>1030.5</v>
      </c>
    </row>
    <row r="45" spans="1:15" x14ac:dyDescent="0.25">
      <c r="A45">
        <v>13</v>
      </c>
      <c r="C45" s="19" t="s">
        <v>103</v>
      </c>
      <c r="D45" s="20" t="s">
        <v>68</v>
      </c>
      <c r="E45" s="20"/>
      <c r="F45" s="20" t="s">
        <v>70</v>
      </c>
      <c r="G45" s="37" t="s">
        <v>104</v>
      </c>
      <c r="H45" s="20" t="s">
        <v>86</v>
      </c>
      <c r="I45" s="20"/>
      <c r="J45" s="20"/>
      <c r="K45" s="21">
        <f>7560+11988+7560+71928+2184</f>
        <v>101220</v>
      </c>
      <c r="M45" s="21">
        <f t="shared" si="8"/>
        <v>10845</v>
      </c>
      <c r="N45" s="27">
        <f t="shared" si="10"/>
        <v>90375</v>
      </c>
      <c r="O45" s="33">
        <f t="shared" si="9"/>
        <v>903.75</v>
      </c>
    </row>
    <row r="46" spans="1:15" x14ac:dyDescent="0.25">
      <c r="A46">
        <v>14</v>
      </c>
      <c r="C46" s="19" t="s">
        <v>106</v>
      </c>
      <c r="D46" s="20" t="s">
        <v>68</v>
      </c>
      <c r="E46" s="20"/>
      <c r="F46" s="20" t="s">
        <v>70</v>
      </c>
      <c r="G46" s="37" t="s">
        <v>107</v>
      </c>
      <c r="H46" s="20" t="s">
        <v>86</v>
      </c>
      <c r="I46" s="20"/>
      <c r="J46" s="20"/>
      <c r="K46" s="21">
        <f>7560+10656+179820</f>
        <v>198036</v>
      </c>
      <c r="M46" s="21">
        <f t="shared" si="8"/>
        <v>21218.142857142855</v>
      </c>
      <c r="N46" s="27">
        <f t="shared" si="10"/>
        <v>176817.85714285716</v>
      </c>
      <c r="O46" s="33">
        <f t="shared" si="9"/>
        <v>1768.1785714285713</v>
      </c>
    </row>
    <row r="47" spans="1:15" x14ac:dyDescent="0.25">
      <c r="A47">
        <v>15</v>
      </c>
      <c r="C47" s="19" t="s">
        <v>105</v>
      </c>
      <c r="D47" s="20" t="s">
        <v>68</v>
      </c>
      <c r="E47" s="20"/>
      <c r="F47" s="20" t="s">
        <v>70</v>
      </c>
      <c r="G47" s="37" t="s">
        <v>108</v>
      </c>
      <c r="H47" s="20" t="s">
        <v>86</v>
      </c>
      <c r="I47" s="20"/>
      <c r="J47" s="20"/>
      <c r="K47" s="21">
        <f>23976+119880+9072</f>
        <v>152928</v>
      </c>
      <c r="M47" s="21">
        <f t="shared" si="8"/>
        <v>16385.142857142855</v>
      </c>
      <c r="N47" s="27">
        <f t="shared" si="10"/>
        <v>136542.85714285716</v>
      </c>
      <c r="O47" s="33">
        <f t="shared" si="9"/>
        <v>1365.4285714285713</v>
      </c>
    </row>
    <row r="48" spans="1:15" x14ac:dyDescent="0.25">
      <c r="A48">
        <v>16</v>
      </c>
      <c r="C48" s="19" t="s">
        <v>109</v>
      </c>
      <c r="D48" s="20" t="s">
        <v>68</v>
      </c>
      <c r="E48" s="20"/>
      <c r="F48" s="20" t="s">
        <v>70</v>
      </c>
      <c r="G48" s="37" t="s">
        <v>110</v>
      </c>
      <c r="H48" s="20" t="s">
        <v>86</v>
      </c>
      <c r="I48" s="20"/>
      <c r="J48" s="20"/>
      <c r="K48" s="21">
        <f>11988+119880</f>
        <v>131868</v>
      </c>
      <c r="M48" s="21">
        <f t="shared" si="8"/>
        <v>14128.714285714286</v>
      </c>
      <c r="N48" s="27">
        <f t="shared" si="10"/>
        <v>117739.28571428571</v>
      </c>
      <c r="O48" s="33">
        <f t="shared" si="9"/>
        <v>1177.3928571428571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86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86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86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86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86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86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2666256</v>
      </c>
      <c r="L55" s="44">
        <f ca="1">SUM(L34:L58)</f>
        <v>0</v>
      </c>
      <c r="M55" s="44">
        <f>SUM(M34:M54)</f>
        <v>285670.28571428562</v>
      </c>
      <c r="N55" s="44">
        <f>SUM(N34:N54)</f>
        <v>2380585.714285715</v>
      </c>
      <c r="O55" s="45">
        <f>SUM(O34:O54)</f>
        <v>23805.857142857145</v>
      </c>
    </row>
    <row r="56" spans="1:15" x14ac:dyDescent="0.25">
      <c r="O56" s="34"/>
    </row>
    <row r="57" spans="1:15" ht="15.75" x14ac:dyDescent="0.25">
      <c r="C57" s="41" t="s">
        <v>76</v>
      </c>
      <c r="D57" s="42"/>
      <c r="E57" s="42"/>
      <c r="F57" s="43" t="s">
        <v>80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81</v>
      </c>
      <c r="J59" s="9" t="s">
        <v>83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82</v>
      </c>
      <c r="J60" s="9" t="s">
        <v>84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 t="s">
        <v>95</v>
      </c>
      <c r="D61" s="20" t="s">
        <v>68</v>
      </c>
      <c r="E61" s="12"/>
      <c r="F61" s="20" t="s">
        <v>70</v>
      </c>
      <c r="G61" s="37" t="s">
        <v>96</v>
      </c>
      <c r="H61" s="20" t="s">
        <v>86</v>
      </c>
      <c r="I61" s="20"/>
      <c r="J61" s="20"/>
      <c r="K61" s="21">
        <f>78*144</f>
        <v>11232</v>
      </c>
      <c r="M61" s="21">
        <f t="shared" ref="M61:M80" si="11">O61*12</f>
        <v>1203.4285714285716</v>
      </c>
      <c r="N61" s="27">
        <f>K61-M61</f>
        <v>10028.571428571428</v>
      </c>
      <c r="O61" s="33">
        <f t="shared" ref="O61:O80" si="12">K61/112</f>
        <v>100.28571428571429</v>
      </c>
    </row>
    <row r="62" spans="1:15" x14ac:dyDescent="0.25">
      <c r="A62">
        <v>3</v>
      </c>
      <c r="C62" s="19" t="s">
        <v>97</v>
      </c>
      <c r="D62" s="20" t="s">
        <v>68</v>
      </c>
      <c r="E62" s="20"/>
      <c r="F62" s="20" t="s">
        <v>70</v>
      </c>
      <c r="G62" s="37" t="s">
        <v>98</v>
      </c>
      <c r="H62" s="20" t="s">
        <v>86</v>
      </c>
      <c r="I62" s="20"/>
      <c r="J62" s="20"/>
      <c r="K62" s="21">
        <v>5670</v>
      </c>
      <c r="M62" s="21">
        <f t="shared" si="11"/>
        <v>607.5</v>
      </c>
      <c r="N62" s="27">
        <f t="shared" ref="N62:N80" si="13">K62-M62</f>
        <v>5062.5</v>
      </c>
      <c r="O62" s="33">
        <f t="shared" si="12"/>
        <v>50.625</v>
      </c>
    </row>
    <row r="63" spans="1:15" x14ac:dyDescent="0.25">
      <c r="A63">
        <v>4</v>
      </c>
      <c r="C63" s="19" t="s">
        <v>101</v>
      </c>
      <c r="D63" s="20" t="s">
        <v>68</v>
      </c>
      <c r="E63" s="20"/>
      <c r="F63" s="20" t="s">
        <v>70</v>
      </c>
      <c r="G63" s="37" t="s">
        <v>102</v>
      </c>
      <c r="H63" s="20" t="s">
        <v>86</v>
      </c>
      <c r="I63" s="20"/>
      <c r="J63" s="20"/>
      <c r="K63" s="21">
        <v>5616</v>
      </c>
      <c r="M63" s="21">
        <f t="shared" si="11"/>
        <v>601.71428571428578</v>
      </c>
      <c r="N63" s="27">
        <f t="shared" si="13"/>
        <v>5014.2857142857138</v>
      </c>
      <c r="O63" s="33">
        <f t="shared" si="12"/>
        <v>50.142857142857146</v>
      </c>
    </row>
    <row r="64" spans="1:15" x14ac:dyDescent="0.25">
      <c r="A64">
        <v>5</v>
      </c>
      <c r="C64" s="19" t="s">
        <v>103</v>
      </c>
      <c r="D64" s="20" t="s">
        <v>68</v>
      </c>
      <c r="E64" s="20"/>
      <c r="F64" s="20" t="s">
        <v>70</v>
      </c>
      <c r="G64" s="37" t="s">
        <v>104</v>
      </c>
      <c r="H64" s="20" t="s">
        <v>86</v>
      </c>
      <c r="I64" s="20"/>
      <c r="J64" s="20"/>
      <c r="K64" s="21">
        <v>5616</v>
      </c>
      <c r="M64" s="21">
        <f t="shared" si="11"/>
        <v>601.71428571428578</v>
      </c>
      <c r="N64" s="27">
        <f t="shared" si="13"/>
        <v>5014.2857142857138</v>
      </c>
      <c r="O64" s="33">
        <f t="shared" si="12"/>
        <v>50.142857142857146</v>
      </c>
    </row>
    <row r="65" spans="1:15" x14ac:dyDescent="0.25">
      <c r="A65">
        <v>6</v>
      </c>
      <c r="C65" s="19" t="s">
        <v>105</v>
      </c>
      <c r="D65" s="20" t="s">
        <v>68</v>
      </c>
      <c r="E65" s="20"/>
      <c r="F65" s="20" t="s">
        <v>70</v>
      </c>
      <c r="G65" s="37" t="s">
        <v>108</v>
      </c>
      <c r="H65" s="20" t="s">
        <v>86</v>
      </c>
      <c r="I65" s="20"/>
      <c r="J65" s="20"/>
      <c r="K65" s="21">
        <v>5670</v>
      </c>
      <c r="M65" s="21">
        <f t="shared" si="11"/>
        <v>607.5</v>
      </c>
      <c r="N65" s="27">
        <f t="shared" si="13"/>
        <v>5062.5</v>
      </c>
      <c r="O65" s="33">
        <f t="shared" si="12"/>
        <v>50.625</v>
      </c>
    </row>
    <row r="66" spans="1:15" x14ac:dyDescent="0.25">
      <c r="A66">
        <v>7</v>
      </c>
      <c r="C66" s="19" t="s">
        <v>109</v>
      </c>
      <c r="D66" s="20" t="s">
        <v>68</v>
      </c>
      <c r="E66" s="20"/>
      <c r="F66" s="20" t="s">
        <v>70</v>
      </c>
      <c r="G66" s="37" t="s">
        <v>110</v>
      </c>
      <c r="H66" s="20" t="s">
        <v>86</v>
      </c>
      <c r="I66" s="20"/>
      <c r="J66" s="20"/>
      <c r="K66" s="21">
        <v>5616</v>
      </c>
      <c r="M66" s="21">
        <f t="shared" si="11"/>
        <v>601.71428571428578</v>
      </c>
      <c r="N66" s="27">
        <f t="shared" si="13"/>
        <v>5014.2857142857138</v>
      </c>
      <c r="O66" s="33">
        <f t="shared" si="12"/>
        <v>50.142857142857146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86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86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86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86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86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86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86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86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86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86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86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86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86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86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86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39420</v>
      </c>
      <c r="L82" s="44">
        <f ca="1">SUM(L61:L85)</f>
        <v>0</v>
      </c>
      <c r="M82" s="44">
        <f>SUM(M61:M81)</f>
        <v>4223.5714285714294</v>
      </c>
      <c r="N82" s="44">
        <f>SUM(N61:N81)</f>
        <v>35196.428571428565</v>
      </c>
      <c r="O82" s="45">
        <f>SUM(O61:O81)</f>
        <v>351.96428571428572</v>
      </c>
    </row>
    <row r="84" spans="1:16" ht="15.75" x14ac:dyDescent="0.25">
      <c r="C84" s="41" t="s">
        <v>78</v>
      </c>
      <c r="D84" s="42"/>
      <c r="E84" s="42"/>
      <c r="F84" s="43" t="s">
        <v>80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81</v>
      </c>
      <c r="J86" s="9" t="s">
        <v>83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82</v>
      </c>
      <c r="J87" s="9" t="s">
        <v>84</v>
      </c>
      <c r="K87" s="46" t="s">
        <v>79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/>
      <c r="D88" s="20" t="s">
        <v>68</v>
      </c>
      <c r="E88" s="12"/>
      <c r="F88" s="20" t="s">
        <v>70</v>
      </c>
      <c r="G88" s="37"/>
      <c r="H88" s="20" t="s">
        <v>86</v>
      </c>
      <c r="I88" s="20"/>
      <c r="J88" s="20"/>
      <c r="K88" s="21"/>
      <c r="L88" s="21"/>
      <c r="M88" s="21"/>
      <c r="N88" s="21">
        <f t="shared" ref="N88:N107" si="14">P88*12</f>
        <v>0</v>
      </c>
      <c r="O88" s="27">
        <f t="shared" ref="O88:O107" si="15">M88-N88</f>
        <v>0</v>
      </c>
      <c r="P88" s="33">
        <f t="shared" ref="P88:P107" si="16">M88/112</f>
        <v>0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86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86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86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86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86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86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86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86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86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86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86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86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86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86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86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86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86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86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86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86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0</v>
      </c>
      <c r="L109" s="44">
        <f ca="1">SUM(L88:L112)</f>
        <v>0</v>
      </c>
      <c r="M109" s="44">
        <f>SUM(M88:M108)</f>
        <v>0</v>
      </c>
      <c r="N109" s="44">
        <f>SUM(N88:N108)</f>
        <v>0</v>
      </c>
      <c r="O109" s="45">
        <f>SUM(O88:O108)</f>
        <v>0</v>
      </c>
      <c r="P109" s="45">
        <f>SUM(P88:P108)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2026-07-30T05:41:55Z</dcterms:modified>
</cp:coreProperties>
</file>