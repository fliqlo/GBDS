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54088D0-E359-4916-ACBA-0E007264E82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6" l="1"/>
  <c r="K42" i="6" l="1"/>
  <c r="I9" i="6"/>
  <c r="K61" i="6" l="1"/>
  <c r="K41" i="6"/>
  <c r="K40" i="6"/>
  <c r="K39" i="6" l="1"/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55" i="6"/>
  <c r="L109" i="6"/>
  <c r="L82" i="6"/>
  <c r="L28" i="6"/>
</calcChain>
</file>

<file path=xl/sharedStrings.xml><?xml version="1.0" encoding="utf-8"?>
<sst xmlns="http://schemas.openxmlformats.org/spreadsheetml/2006/main" count="512" uniqueCount="103">
  <si>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</si>
  <si>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</si>
  <si>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</si>
  <si>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</si>
  <si>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</si>
  <si>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</si>
  <si>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</si>
  <si>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</si>
  <si>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</si>
  <si>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</si>
  <si>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</si>
  <si>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</si>
  <si>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</si>
  <si>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</si>
  <si>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</si>
  <si>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</si>
  <si>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</si>
  <si>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</si>
  <si>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</si>
  <si>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</si>
  <si>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</si>
  <si>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</si>
  <si>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</si>
  <si>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</si>
  <si>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</si>
  <si>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</si>
  <si>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</si>
  <si>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</si>
  <si>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</si>
  <si>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</si>
  <si>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</si>
  <si>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</si>
  <si>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</si>
  <si>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</si>
  <si>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</si>
  <si>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</si>
  <si>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</si>
  <si>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</si>
  <si>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</si>
  <si>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</si>
  <si>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</si>
  <si>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</si>
  <si>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</si>
  <si>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</si>
  <si>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</si>
  <si>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</si>
  <si>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</si>
  <si>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</si>
  <si>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</si>
  <si>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</si>
  <si>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</si>
  <si>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</si>
  <si>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</si>
  <si>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</si>
  <si>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</si>
  <si>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</si>
  <si>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</si>
  <si>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</si>
  <si>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</si>
  <si>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</si>
  <si>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</si>
  <si>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</si>
  <si>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</si>
  <si>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</si>
  <si>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</si>
  <si>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</si>
  <si>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</si>
  <si>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</si>
  <si>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</si>
  <si>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</si>
  <si>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</si>
  <si>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</si>
  <si>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</si>
  <si>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</si>
  <si>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</si>
  <si>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</si>
  <si>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</si>
  <si>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</si>
  <si>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</si>
  <si>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</si>
  <si>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</si>
  <si>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</si>
  <si>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</si>
  <si>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</si>
  <si>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</si>
  <si>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</si>
  <si>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</si>
  <si>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</si>
  <si>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</si>
  <si>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</si>
  <si>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</si>
  <si>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</si>
  <si>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</si>
  <si>
    <t>07/17/2026</t>
  </si>
  <si>
    <t>R06</t>
  </si>
  <si>
    <t>07/18/2026</t>
  </si>
  <si>
    <t>R07</t>
  </si>
  <si>
    <t>07/20/2026</t>
  </si>
  <si>
    <t>R08</t>
  </si>
  <si>
    <t>07/21/2026</t>
  </si>
  <si>
    <t>R09</t>
  </si>
  <si>
    <t>07/22/2026</t>
  </si>
  <si>
    <t>R10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</si>
</sst>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22" zoomScaleNormal="100" workbookViewId="0">
      <selection activeCell="C44" sqref="C4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91</v>
      </c>
      <c r="D7" s="20" t="s">
        <v>68</v>
      </c>
      <c r="E7" s="12"/>
      <c r="F7" s="20" t="s">
        <v>70</v>
      </c>
      <c r="G7" s="20">
        <v>518825276</v>
      </c>
      <c r="H7" s="20" t="s">
        <v>88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93</v>
      </c>
      <c r="D8" s="20" t="s">
        <v>68</v>
      </c>
      <c r="E8" s="20"/>
      <c r="F8" s="20" t="s">
        <v>70</v>
      </c>
      <c r="G8" s="20">
        <v>518829090</v>
      </c>
      <c r="H8" s="20" t="s">
        <v>88</v>
      </c>
      <c r="I8" s="21">
        <v>1354770</v>
      </c>
      <c r="J8" s="21">
        <v>72448.81</v>
      </c>
      <c r="K8" s="21">
        <f t="shared" ref="K8:K27" si="0">I8-J8</f>
        <v>1282321.19</v>
      </c>
      <c r="M8" s="21">
        <f>O8*12</f>
        <v>137391.55607142858</v>
      </c>
      <c r="N8" s="27">
        <f>K8-M8</f>
        <v>1144929.6339285714</v>
      </c>
      <c r="O8" s="33">
        <f t="shared" ref="O8:O26" si="1">K8/112</f>
        <v>11449.296339285715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99</v>
      </c>
      <c r="D9" s="20" t="s">
        <v>68</v>
      </c>
      <c r="E9" s="20"/>
      <c r="F9" s="20" t="s">
        <v>70</v>
      </c>
      <c r="G9" s="20">
        <v>518839710</v>
      </c>
      <c r="H9" s="20" t="s">
        <v>88</v>
      </c>
      <c r="I9" s="21">
        <f>1397196</f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101</v>
      </c>
      <c r="D10" s="20" t="s">
        <v>68</v>
      </c>
      <c r="E10" s="20"/>
      <c r="F10" s="20" t="s">
        <v>70</v>
      </c>
      <c r="G10" s="20">
        <v>518843320</v>
      </c>
      <c r="H10" s="20" t="s">
        <v>88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5222458.82</v>
      </c>
      <c r="L28" s="44">
        <f ca="1">SUM(L7:L31)</f>
        <v>0</v>
      </c>
      <c r="M28" s="44">
        <f>SUM(M7:M27)</f>
        <v>559549.15928571427</v>
      </c>
      <c r="N28" s="44">
        <f>SUM(N7:N27)</f>
        <v>4662909.6607142854</v>
      </c>
      <c r="O28" s="44">
        <f>SUM(O7:O27)</f>
        <v>46629.096607142863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91</v>
      </c>
      <c r="D38" s="20" t="s">
        <v>68</v>
      </c>
      <c r="E38" s="20"/>
      <c r="F38" s="20" t="s">
        <v>70</v>
      </c>
      <c r="G38" s="37" t="s">
        <v>92</v>
      </c>
      <c r="H38" s="20" t="s">
        <v>88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94</v>
      </c>
      <c r="H39" s="20" t="s">
        <v>88</v>
      </c>
      <c r="I39" s="20"/>
      <c r="J39" s="20"/>
      <c r="K39" s="21">
        <f>23976+179820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88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97</v>
      </c>
      <c r="D41" s="20" t="s">
        <v>68</v>
      </c>
      <c r="E41" s="20"/>
      <c r="F41" s="20" t="s">
        <v>70</v>
      </c>
      <c r="G41" s="37" t="s">
        <v>98</v>
      </c>
      <c r="H41" s="20" t="s">
        <v>88</v>
      </c>
      <c r="I41" s="20"/>
      <c r="J41" s="20"/>
      <c r="K41" s="21">
        <f>11988+167832</f>
        <v>179820</v>
      </c>
      <c r="M41" s="21">
        <f t="shared" si="8"/>
        <v>19266.428571428572</v>
      </c>
      <c r="N41" s="27">
        <f t="shared" si="10"/>
        <v>160553.57142857142</v>
      </c>
      <c r="O41" s="33">
        <f t="shared" si="9"/>
        <v>1605.5357142857142</v>
      </c>
    </row>
    <row r="42" spans="1:15" x14ac:dyDescent="0.25">
      <c r="A42">
        <v>10</v>
      </c>
      <c r="C42" s="19" t="s">
        <v>99</v>
      </c>
      <c r="D42" s="20" t="s">
        <v>68</v>
      </c>
      <c r="E42" s="20"/>
      <c r="F42" s="20" t="s">
        <v>70</v>
      </c>
      <c r="G42" s="37" t="s">
        <v>100</v>
      </c>
      <c r="H42" s="20" t="s">
        <v>88</v>
      </c>
      <c r="I42" s="20"/>
      <c r="J42" s="20"/>
      <c r="K42" s="21">
        <f>23976+143856+18144</f>
        <v>185976</v>
      </c>
      <c r="M42" s="21">
        <f t="shared" si="8"/>
        <v>19926</v>
      </c>
      <c r="N42" s="27">
        <f t="shared" si="10"/>
        <v>166050</v>
      </c>
      <c r="O42" s="33">
        <f t="shared" si="9"/>
        <v>1660.5</v>
      </c>
    </row>
    <row r="43" spans="1:15" x14ac:dyDescent="0.25">
      <c r="A43">
        <v>11</v>
      </c>
      <c r="C43" s="19" t="s">
        <v>101</v>
      </c>
      <c r="D43" s="20" t="s">
        <v>68</v>
      </c>
      <c r="E43" s="20"/>
      <c r="F43" s="20" t="s">
        <v>70</v>
      </c>
      <c r="G43" s="37" t="s">
        <v>102</v>
      </c>
      <c r="H43" s="20" t="s">
        <v>88</v>
      </c>
      <c r="I43" s="20"/>
      <c r="J43" s="20"/>
      <c r="K43" s="21">
        <f>23976+10656+155844+9072</f>
        <v>199548</v>
      </c>
      <c r="M43" s="21">
        <f t="shared" si="8"/>
        <v>21380.142857142855</v>
      </c>
      <c r="N43" s="27">
        <f t="shared" si="10"/>
        <v>178167.85714285716</v>
      </c>
      <c r="O43" s="33">
        <f t="shared" si="9"/>
        <v>1781.6785714285713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1966788</v>
      </c>
      <c r="L55" s="44">
        <f ca="1">SUM(L34:L58)</f>
        <v>0</v>
      </c>
      <c r="M55" s="44">
        <f>SUM(M34:M54)</f>
        <v>210727.28571428568</v>
      </c>
      <c r="N55" s="44">
        <f>SUM(N34:N54)</f>
        <v>1756060.7142857146</v>
      </c>
      <c r="O55" s="45">
        <f>SUM(O34:O54)</f>
        <v>17560.607142857141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97</v>
      </c>
      <c r="D61" s="20" t="s">
        <v>68</v>
      </c>
      <c r="E61" s="12"/>
      <c r="F61" s="20" t="s">
        <v>70</v>
      </c>
      <c r="G61" s="37" t="s">
        <v>98</v>
      </c>
      <c r="H61" s="20" t="s">
        <v>88</v>
      </c>
      <c r="I61" s="20"/>
      <c r="J61" s="20"/>
      <c r="K61" s="21">
        <f>78*144</f>
        <v>11232</v>
      </c>
      <c r="M61" s="21">
        <f t="shared" ref="M61:M80" si="11">O61*12</f>
        <v>1203.4285714285716</v>
      </c>
      <c r="N61" s="27">
        <f>K61-M61</f>
        <v>10028.571428571428</v>
      </c>
      <c r="O61" s="33">
        <f t="shared" ref="O61:O80" si="12">K61/112</f>
        <v>100.28571428571429</v>
      </c>
    </row>
    <row r="62" spans="1:15" x14ac:dyDescent="0.25">
      <c r="A62">
        <v>3</v>
      </c>
      <c r="C62" s="19" t="s">
        <v>99</v>
      </c>
      <c r="D62" s="20" t="s">
        <v>68</v>
      </c>
      <c r="E62" s="20"/>
      <c r="F62" s="20" t="s">
        <v>70</v>
      </c>
      <c r="G62" s="37" t="s">
        <v>100</v>
      </c>
      <c r="H62" s="20" t="s">
        <v>88</v>
      </c>
      <c r="I62" s="20"/>
      <c r="J62" s="20"/>
      <c r="K62" s="21">
        <v>5670</v>
      </c>
      <c r="M62" s="21">
        <f t="shared" si="11"/>
        <v>607.5</v>
      </c>
      <c r="N62" s="27">
        <f t="shared" ref="N62:N80" si="13">K62-M62</f>
        <v>5062.5</v>
      </c>
      <c r="O62" s="33">
        <f t="shared" si="12"/>
        <v>50.625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16902</v>
      </c>
      <c r="L82" s="44">
        <f ca="1">SUM(L61:L85)</f>
        <v>0</v>
      </c>
      <c r="M82" s="44">
        <f>SUM(M61:M81)</f>
        <v>1810.9285714285716</v>
      </c>
      <c r="N82" s="44">
        <f>SUM(N61:N81)</f>
        <v>15091.071428571428</v>
      </c>
      <c r="O82" s="45">
        <f>SUM(O61:O81)</f>
        <v>150.91071428571428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2026-07-23T04:27:27Z</dcterms:modified>
</cp:coreProperties>
</file>