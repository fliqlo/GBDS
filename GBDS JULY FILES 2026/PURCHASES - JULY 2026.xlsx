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F86B002D-D8A7-493C-9057-E6F83F802C66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2" i="6" l="1"/>
  <c r="I9" i="6"/>
  <c r="K61" i="6" l="1"/>
  <c r="K41" i="6"/>
  <c r="K40" i="6"/>
  <c r="K39" i="6" l="1"/>
  <c r="K38" i="6" l="1"/>
  <c r="K55" i="6" l="1"/>
  <c r="K34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55" i="6"/>
  <c r="L109" i="6"/>
  <c r="L82" i="6"/>
  <c r="L28" i="6"/>
</calcChain>
</file>

<file path=xl/sharedStrings.xml><?xml version="1.0" encoding="utf-8"?>
<sst xmlns="http://schemas.openxmlformats.org/spreadsheetml/2006/main" count="509" uniqueCount="101">
  <si>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</si>
  <si>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</si>
  <si>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</si>
  <si>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</si>
  <si>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</si>
  <si>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</si>
  <si>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</si>
  <si>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</si>
  <si>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</si>
  <si>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</si>
  <si>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</si>
  <si>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</si>
  <si>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</si>
  <si>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</si>
  <si>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</si>
  <si>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</si>
  <si>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</si>
  <si>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</si>
  <si>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</si>
  <si>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</si>
  <si>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</si>
  <si>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</si>
  <si>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</si>
  <si>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</si>
  <si>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</si>
  <si>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</si>
  <si>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</si>
  <si>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</si>
  <si>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</si>
  <si>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</si>
  <si>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</si>
  <si>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</si>
  <si>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</si>
  <si>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</si>
  <si>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</si>
  <si>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</si>
  <si>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</si>
  <si>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</si>
  <si>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</si>
  <si>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</si>
  <si>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</si>
  <si>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</si>
  <si>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</si>
  <si>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</si>
  <si>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</si>
  <si>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</si>
  <si>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</si>
  <si>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</si>
  <si>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</si>
  <si>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</si>
  <si>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</si>
  <si>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</si>
  <si>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</si>
  <si>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</si>
  <si>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</si>
  <si>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</si>
  <si>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</si>
  <si>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</si>
  <si>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</si>
  <si>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</si>
  <si>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</si>
  <si>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</si>
  <si>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</si>
  <si>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</si>
  <si>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</si>
  <si>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</si>
  <si>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</si>
  <si>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</si>
  <si>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</si>
  <si>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</si>
  <si>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</si>
  <si>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</si>
  <si>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</si>
  <si>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</si>
  <si>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06/16/2026</t>
  </si>
  <si>
    <t>MONTHLY PURCHASES</t>
  </si>
  <si>
    <t>MONTHLY PURCHASES BEER EMPTIES</t>
  </si>
  <si>
    <t>MONTHLY PURCHASES NAB EMPTIES</t>
  </si>
  <si>
    <t>R01</t>
  </si>
  <si>
    <t>MONTHLY PURCHASES SMB LILOY WW</t>
  </si>
  <si>
    <t>01</t>
  </si>
  <si>
    <t>TOTAL AMOUNT</t>
  </si>
  <si>
    <t>JULY 2026</t>
  </si>
  <si>
    <t>AMOUNT</t>
  </si>
  <si>
    <t>OF PRODUCTS</t>
  </si>
  <si>
    <t>TOTAL</t>
  </si>
  <si>
    <t>DISCOUNT</t>
  </si>
  <si>
    <t>R02</t>
  </si>
  <si>
    <t>166-562-025-0005</t>
  </si>
  <si>
    <t>R03</t>
  </si>
  <si>
    <t>R04</t>
  </si>
  <si>
    <t>07/16/2026</t>
  </si>
  <si>
    <t>R05</t>
  </si>
  <si>
    <t>07/17/2026</t>
  </si>
  <si>
    <t>R06</t>
  </si>
  <si>
    <t>07/18/2026</t>
  </si>
  <si>
    <t>R07</t>
  </si>
  <si>
    <t>07/20/2026</t>
  </si>
  <si>
    <t>R08</t>
  </si>
  <si>
    <t>07/21/2026</t>
  </si>
  <si>
    <t>R09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</si>
</sst>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28" zoomScaleNormal="100" workbookViewId="0">
      <selection activeCell="C43" sqref="C4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75</v>
      </c>
      <c r="D3" s="42"/>
      <c r="E3" s="42"/>
      <c r="F3" s="43" t="s">
        <v>82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83</v>
      </c>
      <c r="J5" s="9" t="s">
        <v>85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84</v>
      </c>
      <c r="J6" s="9" t="s">
        <v>86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91</v>
      </c>
      <c r="D7" s="20" t="s">
        <v>68</v>
      </c>
      <c r="E7" s="12"/>
      <c r="F7" s="20" t="s">
        <v>70</v>
      </c>
      <c r="G7" s="20">
        <v>518825276</v>
      </c>
      <c r="H7" s="20" t="s">
        <v>88</v>
      </c>
      <c r="I7" s="21">
        <v>1376614</v>
      </c>
      <c r="J7" s="21">
        <v>109178.29</v>
      </c>
      <c r="K7" s="21">
        <f>I7-J7</f>
        <v>1267435.71</v>
      </c>
      <c r="M7" s="21">
        <f>O7*12</f>
        <v>135796.6832142857</v>
      </c>
      <c r="N7" s="27">
        <f>K7-M7</f>
        <v>1131639.0267857143</v>
      </c>
      <c r="O7" s="33">
        <f>K7/112</f>
        <v>11316.390267857143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93</v>
      </c>
      <c r="D8" s="20" t="s">
        <v>68</v>
      </c>
      <c r="E8" s="20"/>
      <c r="F8" s="20" t="s">
        <v>70</v>
      </c>
      <c r="G8" s="20">
        <v>518829090</v>
      </c>
      <c r="H8" s="20" t="s">
        <v>88</v>
      </c>
      <c r="I8" s="21">
        <v>1354770</v>
      </c>
      <c r="J8" s="21">
        <v>72448.81</v>
      </c>
      <c r="K8" s="21">
        <f t="shared" ref="K8:K27" si="0">I8-J8</f>
        <v>1282321.19</v>
      </c>
      <c r="M8" s="21">
        <f>O8*12</f>
        <v>137391.55607142858</v>
      </c>
      <c r="N8" s="27">
        <f>K8-M8</f>
        <v>1144929.6339285714</v>
      </c>
      <c r="O8" s="33">
        <f t="shared" ref="O8:O26" si="1">K8/112</f>
        <v>11449.296339285715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 t="s">
        <v>99</v>
      </c>
      <c r="D9" s="20" t="s">
        <v>68</v>
      </c>
      <c r="E9" s="20"/>
      <c r="F9" s="20" t="s">
        <v>70</v>
      </c>
      <c r="G9" s="20">
        <v>518839710</v>
      </c>
      <c r="H9" s="20" t="s">
        <v>88</v>
      </c>
      <c r="I9" s="21">
        <f>1397196</f>
        <v>1397196</v>
      </c>
      <c r="J9" s="21">
        <v>60845.04</v>
      </c>
      <c r="K9" s="21">
        <f t="shared" si="0"/>
        <v>1336350.96</v>
      </c>
      <c r="M9" s="21">
        <f t="shared" ref="M9:M26" si="3">O9*12</f>
        <v>143180.46</v>
      </c>
      <c r="N9" s="27">
        <f t="shared" ref="N9:N26" si="4">K9-M9</f>
        <v>1193170.5</v>
      </c>
      <c r="O9" s="33">
        <f t="shared" si="1"/>
        <v>11931.705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88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88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88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88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88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88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88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88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88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88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88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88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88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88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88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88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88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88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3886107.86</v>
      </c>
      <c r="L28" s="44">
        <f ca="1">SUM(L7:L31)</f>
        <v>0</v>
      </c>
      <c r="M28" s="44">
        <f>SUM(M7:M27)</f>
        <v>416368.69928571431</v>
      </c>
      <c r="N28" s="44">
        <f>SUM(N7:N27)</f>
        <v>3469739.1607142854</v>
      </c>
      <c r="O28" s="44">
        <f>SUM(O7:O27)</f>
        <v>34697.391607142861</v>
      </c>
    </row>
    <row r="29" spans="1:15" x14ac:dyDescent="0.25">
      <c r="G29"/>
      <c r="O29" s="34"/>
    </row>
    <row r="30" spans="1:15" ht="15.75" x14ac:dyDescent="0.25">
      <c r="C30" s="41" t="s">
        <v>76</v>
      </c>
      <c r="D30" s="42"/>
      <c r="E30" s="42"/>
      <c r="F30" s="43" t="s">
        <v>82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83</v>
      </c>
      <c r="J32" s="9" t="s">
        <v>85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84</v>
      </c>
      <c r="J33" s="9" t="s">
        <v>86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46060</v>
      </c>
      <c r="D34" s="20" t="s">
        <v>68</v>
      </c>
      <c r="E34" s="12"/>
      <c r="F34" s="20" t="s">
        <v>70</v>
      </c>
      <c r="G34" s="37" t="s">
        <v>78</v>
      </c>
      <c r="H34" s="20" t="s">
        <v>88</v>
      </c>
      <c r="I34" s="20"/>
      <c r="J34" s="20"/>
      <c r="K34" s="21">
        <f>8640+23976+143856+11988+9072</f>
        <v>197532</v>
      </c>
      <c r="M34" s="21">
        <f t="shared" ref="M34:M53" si="8">O34*12</f>
        <v>21164.142857142855</v>
      </c>
      <c r="N34" s="27">
        <f>K34-M34</f>
        <v>176367.85714285716</v>
      </c>
      <c r="O34" s="33">
        <f t="shared" ref="O34:O53" si="9">K34/112</f>
        <v>1763.6785714285713</v>
      </c>
    </row>
    <row r="35" spans="1:15" x14ac:dyDescent="0.25">
      <c r="A35">
        <v>3</v>
      </c>
      <c r="C35" s="19">
        <v>46088</v>
      </c>
      <c r="D35" s="20" t="s">
        <v>68</v>
      </c>
      <c r="E35" s="20"/>
      <c r="F35" s="20" t="s">
        <v>70</v>
      </c>
      <c r="G35" s="37" t="s">
        <v>87</v>
      </c>
      <c r="H35" s="20" t="s">
        <v>88</v>
      </c>
      <c r="I35" s="20"/>
      <c r="J35" s="20"/>
      <c r="K35" s="21">
        <v>203796</v>
      </c>
      <c r="M35" s="21">
        <f t="shared" si="8"/>
        <v>21835.285714285714</v>
      </c>
      <c r="N35" s="27">
        <f t="shared" ref="N35:N53" si="10">K35-M35</f>
        <v>181960.71428571429</v>
      </c>
      <c r="O35" s="33">
        <f t="shared" si="9"/>
        <v>1819.6071428571429</v>
      </c>
    </row>
    <row r="36" spans="1:15" x14ac:dyDescent="0.25">
      <c r="A36">
        <v>4</v>
      </c>
      <c r="C36" s="19">
        <v>46210</v>
      </c>
      <c r="D36" s="20" t="s">
        <v>68</v>
      </c>
      <c r="E36" s="20"/>
      <c r="F36" s="20" t="s">
        <v>70</v>
      </c>
      <c r="G36" s="37" t="s">
        <v>89</v>
      </c>
      <c r="H36" s="20" t="s">
        <v>88</v>
      </c>
      <c r="I36" s="20"/>
      <c r="J36" s="20"/>
      <c r="K36" s="21"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>
        <v>46272</v>
      </c>
      <c r="D37" s="20" t="s">
        <v>68</v>
      </c>
      <c r="E37" s="20"/>
      <c r="F37" s="20" t="s">
        <v>70</v>
      </c>
      <c r="G37" s="37" t="s">
        <v>90</v>
      </c>
      <c r="H37" s="20" t="s">
        <v>88</v>
      </c>
      <c r="I37" s="20"/>
      <c r="J37" s="20"/>
      <c r="K37" s="21">
        <v>198036</v>
      </c>
      <c r="M37" s="21">
        <f t="shared" si="8"/>
        <v>21218.142857142855</v>
      </c>
      <c r="N37" s="27">
        <f t="shared" si="10"/>
        <v>176817.85714285716</v>
      </c>
      <c r="O37" s="33">
        <f t="shared" si="9"/>
        <v>1768.1785714285713</v>
      </c>
    </row>
    <row r="38" spans="1:15" x14ac:dyDescent="0.25">
      <c r="A38">
        <v>6</v>
      </c>
      <c r="C38" s="19" t="s">
        <v>91</v>
      </c>
      <c r="D38" s="20" t="s">
        <v>68</v>
      </c>
      <c r="E38" s="20"/>
      <c r="F38" s="20" t="s">
        <v>70</v>
      </c>
      <c r="G38" s="37" t="s">
        <v>92</v>
      </c>
      <c r="H38" s="20" t="s">
        <v>88</v>
      </c>
      <c r="I38" s="20"/>
      <c r="J38" s="20"/>
      <c r="K38" s="21">
        <f>11988+15120+155844+9072</f>
        <v>192024</v>
      </c>
      <c r="M38" s="21">
        <f t="shared" si="8"/>
        <v>20574</v>
      </c>
      <c r="N38" s="27">
        <f t="shared" si="10"/>
        <v>171450</v>
      </c>
      <c r="O38" s="33">
        <f t="shared" si="9"/>
        <v>1714.5</v>
      </c>
    </row>
    <row r="39" spans="1:15" x14ac:dyDescent="0.25">
      <c r="A39">
        <v>7</v>
      </c>
      <c r="C39" s="19" t="s">
        <v>93</v>
      </c>
      <c r="D39" s="20" t="s">
        <v>68</v>
      </c>
      <c r="E39" s="20"/>
      <c r="F39" s="20" t="s">
        <v>70</v>
      </c>
      <c r="G39" s="37" t="s">
        <v>94</v>
      </c>
      <c r="H39" s="20" t="s">
        <v>88</v>
      </c>
      <c r="I39" s="20"/>
      <c r="J39" s="20"/>
      <c r="K39" s="21">
        <f>23976+179820</f>
        <v>203796</v>
      </c>
      <c r="M39" s="21">
        <f t="shared" si="8"/>
        <v>21835.285714285714</v>
      </c>
      <c r="N39" s="27">
        <f t="shared" si="10"/>
        <v>181960.71428571429</v>
      </c>
      <c r="O39" s="33">
        <f t="shared" si="9"/>
        <v>1819.6071428571429</v>
      </c>
    </row>
    <row r="40" spans="1:15" x14ac:dyDescent="0.25">
      <c r="A40">
        <v>8</v>
      </c>
      <c r="C40" s="19" t="s">
        <v>95</v>
      </c>
      <c r="D40" s="20" t="s">
        <v>68</v>
      </c>
      <c r="E40" s="20"/>
      <c r="F40" s="20" t="s">
        <v>70</v>
      </c>
      <c r="G40" s="37" t="s">
        <v>96</v>
      </c>
      <c r="H40" s="20" t="s">
        <v>88</v>
      </c>
      <c r="I40" s="20"/>
      <c r="J40" s="20"/>
      <c r="K40" s="21">
        <f>11988+10656+179820</f>
        <v>202464</v>
      </c>
      <c r="M40" s="21">
        <f t="shared" si="8"/>
        <v>21692.571428571428</v>
      </c>
      <c r="N40" s="27">
        <f t="shared" si="10"/>
        <v>180771.42857142858</v>
      </c>
      <c r="O40" s="33">
        <f t="shared" si="9"/>
        <v>1807.7142857142858</v>
      </c>
    </row>
    <row r="41" spans="1:15" x14ac:dyDescent="0.25">
      <c r="A41">
        <v>9</v>
      </c>
      <c r="C41" s="19" t="s">
        <v>97</v>
      </c>
      <c r="D41" s="20" t="s">
        <v>68</v>
      </c>
      <c r="E41" s="20"/>
      <c r="F41" s="20" t="s">
        <v>70</v>
      </c>
      <c r="G41" s="37" t="s">
        <v>98</v>
      </c>
      <c r="H41" s="20" t="s">
        <v>88</v>
      </c>
      <c r="I41" s="20"/>
      <c r="J41" s="20"/>
      <c r="K41" s="21">
        <f>11988+167832</f>
        <v>179820</v>
      </c>
      <c r="M41" s="21">
        <f t="shared" si="8"/>
        <v>19266.428571428572</v>
      </c>
      <c r="N41" s="27">
        <f t="shared" si="10"/>
        <v>160553.57142857142</v>
      </c>
      <c r="O41" s="33">
        <f t="shared" si="9"/>
        <v>1605.5357142857142</v>
      </c>
    </row>
    <row r="42" spans="1:15" x14ac:dyDescent="0.25">
      <c r="A42">
        <v>10</v>
      </c>
      <c r="C42" s="19" t="s">
        <v>99</v>
      </c>
      <c r="D42" s="20" t="s">
        <v>68</v>
      </c>
      <c r="E42" s="20"/>
      <c r="F42" s="20" t="s">
        <v>70</v>
      </c>
      <c r="G42" s="37" t="s">
        <v>100</v>
      </c>
      <c r="H42" s="20" t="s">
        <v>88</v>
      </c>
      <c r="I42" s="20"/>
      <c r="J42" s="20"/>
      <c r="K42" s="21">
        <f>23976+143856+18144</f>
        <v>185976</v>
      </c>
      <c r="M42" s="21">
        <f t="shared" si="8"/>
        <v>19926</v>
      </c>
      <c r="N42" s="27">
        <f t="shared" si="10"/>
        <v>166050</v>
      </c>
      <c r="O42" s="33">
        <f t="shared" si="9"/>
        <v>1660.5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88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88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88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88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88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88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88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88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88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88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88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88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1767240</v>
      </c>
      <c r="L55" s="44">
        <f ca="1">SUM(L34:L58)</f>
        <v>0</v>
      </c>
      <c r="M55" s="44">
        <f>SUM(M34:M54)</f>
        <v>189347.14285714284</v>
      </c>
      <c r="N55" s="44">
        <f>SUM(N34:N54)</f>
        <v>1577892.8571428573</v>
      </c>
      <c r="O55" s="45">
        <f>SUM(O34:O54)</f>
        <v>15778.928571428571</v>
      </c>
    </row>
    <row r="56" spans="1:15" x14ac:dyDescent="0.25">
      <c r="O56" s="34"/>
    </row>
    <row r="57" spans="1:15" ht="15.75" x14ac:dyDescent="0.25">
      <c r="C57" s="41" t="s">
        <v>77</v>
      </c>
      <c r="D57" s="42"/>
      <c r="E57" s="42"/>
      <c r="F57" s="43" t="s">
        <v>82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83</v>
      </c>
      <c r="J59" s="9" t="s">
        <v>85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84</v>
      </c>
      <c r="J60" s="9" t="s">
        <v>86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 t="s">
        <v>97</v>
      </c>
      <c r="D61" s="20" t="s">
        <v>68</v>
      </c>
      <c r="E61" s="12"/>
      <c r="F61" s="20" t="s">
        <v>70</v>
      </c>
      <c r="G61" s="37" t="s">
        <v>98</v>
      </c>
      <c r="H61" s="20" t="s">
        <v>88</v>
      </c>
      <c r="I61" s="20"/>
      <c r="J61" s="20"/>
      <c r="K61" s="21">
        <f>78*144</f>
        <v>11232</v>
      </c>
      <c r="M61" s="21">
        <f t="shared" ref="M61:M80" si="11">O61*12</f>
        <v>1203.4285714285716</v>
      </c>
      <c r="N61" s="27">
        <f>K61-M61</f>
        <v>10028.571428571428</v>
      </c>
      <c r="O61" s="33">
        <f t="shared" ref="O61:O80" si="12">K61/112</f>
        <v>100.28571428571429</v>
      </c>
    </row>
    <row r="62" spans="1:15" x14ac:dyDescent="0.25">
      <c r="A62">
        <v>3</v>
      </c>
      <c r="C62" s="19" t="s">
        <v>99</v>
      </c>
      <c r="D62" s="20" t="s">
        <v>68</v>
      </c>
      <c r="E62" s="20"/>
      <c r="F62" s="20" t="s">
        <v>70</v>
      </c>
      <c r="G62" s="37" t="s">
        <v>100</v>
      </c>
      <c r="H62" s="20" t="s">
        <v>88</v>
      </c>
      <c r="I62" s="20"/>
      <c r="J62" s="20"/>
      <c r="K62" s="21">
        <v>5670</v>
      </c>
      <c r="M62" s="21">
        <f t="shared" si="11"/>
        <v>607.5</v>
      </c>
      <c r="N62" s="27">
        <f t="shared" ref="N62:N80" si="13">K62-M62</f>
        <v>5062.5</v>
      </c>
      <c r="O62" s="33">
        <f t="shared" si="12"/>
        <v>50.625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88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88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88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88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88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88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88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88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88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88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88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88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88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88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88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88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88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88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88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16902</v>
      </c>
      <c r="L82" s="44">
        <f ca="1">SUM(L61:L85)</f>
        <v>0</v>
      </c>
      <c r="M82" s="44">
        <f>SUM(M61:M81)</f>
        <v>1810.9285714285716</v>
      </c>
      <c r="N82" s="44">
        <f>SUM(N61:N81)</f>
        <v>15091.071428571428</v>
      </c>
      <c r="O82" s="45">
        <f>SUM(O61:O81)</f>
        <v>150.91071428571428</v>
      </c>
    </row>
    <row r="84" spans="1:16" ht="15.75" x14ac:dyDescent="0.25">
      <c r="C84" s="41" t="s">
        <v>79</v>
      </c>
      <c r="D84" s="42"/>
      <c r="E84" s="42"/>
      <c r="F84" s="43" t="s">
        <v>82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83</v>
      </c>
      <c r="J86" s="9" t="s">
        <v>85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84</v>
      </c>
      <c r="J87" s="9" t="s">
        <v>86</v>
      </c>
      <c r="K87" s="46" t="s">
        <v>81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 t="s">
        <v>74</v>
      </c>
      <c r="D88" s="20" t="s">
        <v>68</v>
      </c>
      <c r="E88" s="12"/>
      <c r="F88" s="20" t="s">
        <v>70</v>
      </c>
      <c r="G88" s="37" t="s">
        <v>80</v>
      </c>
      <c r="H88" s="20" t="s">
        <v>88</v>
      </c>
      <c r="I88" s="20"/>
      <c r="J88" s="20"/>
      <c r="K88" s="21">
        <v>1608</v>
      </c>
      <c r="L88" s="21"/>
      <c r="M88" s="21">
        <v>16488</v>
      </c>
      <c r="N88" s="21">
        <f t="shared" ref="N88:N107" si="14">P88*12</f>
        <v>1766.5714285714287</v>
      </c>
      <c r="O88" s="27">
        <f t="shared" ref="O88:O107" si="15">M88-N88</f>
        <v>14721.428571428571</v>
      </c>
      <c r="P88" s="33">
        <f t="shared" ref="P88:P107" si="16">M88/112</f>
        <v>147.21428571428572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88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88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88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88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88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88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88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88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88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88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88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88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88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88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88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88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88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88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88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88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1608</v>
      </c>
      <c r="L109" s="44">
        <f ca="1">SUM(L88:L112)</f>
        <v>0</v>
      </c>
      <c r="M109" s="44">
        <f>SUM(M88:M108)</f>
        <v>16488</v>
      </c>
      <c r="N109" s="44">
        <f>SUM(N88:N108)</f>
        <v>1766.5714285714287</v>
      </c>
      <c r="O109" s="45">
        <f>SUM(O88:O108)</f>
        <v>14721.428571428571</v>
      </c>
      <c r="P109" s="45">
        <f>SUM(P88:P108)</f>
        <v>147.21428571428572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2026-07-22T03:32:39Z</dcterms:modified>
</cp:coreProperties>
</file>