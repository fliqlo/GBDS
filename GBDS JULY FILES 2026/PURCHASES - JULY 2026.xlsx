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5FCBA56-82DD-4674-B443-6EE3EBC81D9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8" i="6" l="1"/>
  <c r="K55" i="6" l="1"/>
  <c r="K34" i="6" l="1"/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28" i="6"/>
  <c r="L82" i="6"/>
  <c r="L55" i="6"/>
  <c r="L109" i="6"/>
</calcChain>
</file>

<file path=xl/sharedStrings.xml><?xml version="1.0" encoding="utf-8"?>
<sst xmlns="http://schemas.openxmlformats.org/spreadsheetml/2006/main" count="496" uniqueCount="93">
  <si>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</si>
  <si>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</si>
  <si>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</si>
  <si>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</si>
  <si>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</si>
  <si>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</si>
  <si>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</si>
  <si>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</si>
  <si>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</si>
  <si>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</si>
  <si>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</si>
  <si>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</si>
  <si>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</si>
  <si>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</si>
  <si>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</si>
  <si>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</si>
  <si>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</si>
  <si>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</si>
  <si>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</si>
  <si>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</si>
  <si>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</si>
  <si>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</si>
  <si>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</si>
  <si>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</si>
  <si>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</si>
  <si>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</si>
  <si>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</si>
  <si>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</si>
  <si>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</si>
  <si>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</si>
  <si>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</si>
  <si>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</si>
  <si>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</si>
  <si>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</si>
  <si>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</si>
  <si>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</si>
  <si>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</si>
  <si>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</si>
  <si>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</si>
  <si>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</si>
  <si>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</si>
  <si>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</si>
  <si>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</si>
  <si>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</si>
  <si>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</si>
  <si>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</si>
  <si>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</si>
  <si>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</si>
  <si>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</si>
  <si>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</si>
  <si>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</si>
  <si>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</si>
  <si>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</si>
  <si>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</si>
  <si>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</si>
  <si>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</si>
  <si>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</si>
  <si>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</si>
  <si>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</si>
  <si>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</si>
  <si>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</si>
  <si>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</si>
  <si>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</si>
  <si>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</si>
  <si>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</si>
  <si>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</si>
  <si>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</si>
  <si>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</si>
  <si>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</si>
  <si>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</si>
  <si>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</si>
  <si>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</si>
  <si>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</si>
  <si>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</si>
  <si>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</si>
  <si>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</si>
  <si>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</si>
  <si>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</si>
  <si>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</si>
  <si>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</si>
  <si>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</si>
  <si>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</si>
  <si>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</si>
  <si>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</si>
  <si>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</si>
  <si>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</si>
  <si>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</si>
  <si>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</si>
  <si>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</si>
  <si>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</si>
  <si>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</si>
  <si>
    <t>07/16/2026</t>
  </si>
  <si>
    <t>R05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</si>
</sst>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20" zoomScaleNormal="100" workbookViewId="0">
      <selection activeCell="C61" sqref="C6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91</v>
      </c>
      <c r="D7" s="20" t="s">
        <v>68</v>
      </c>
      <c r="E7" s="12"/>
      <c r="F7" s="20" t="s">
        <v>70</v>
      </c>
      <c r="G7" s="20">
        <v>518825276</v>
      </c>
      <c r="H7" s="20" t="s">
        <v>88</v>
      </c>
      <c r="I7" s="21">
        <v>1376614</v>
      </c>
      <c r="J7" s="21">
        <v>109178.29</v>
      </c>
      <c r="K7" s="21">
        <f>I7-J7</f>
        <v>1267435.71</v>
      </c>
      <c r="M7" s="21">
        <f>O7*12</f>
        <v>135796.6832142857</v>
      </c>
      <c r="N7" s="27">
        <f>K7-M7</f>
        <v>1131639.0267857143</v>
      </c>
      <c r="O7" s="33">
        <f>K7/112</f>
        <v>11316.390267857143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88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1267435.71</v>
      </c>
      <c r="L28" s="44">
        <f ca="1">SUM(L7:L31)</f>
        <v>0</v>
      </c>
      <c r="M28" s="44">
        <f>SUM(M7:M27)</f>
        <v>135796.6832142857</v>
      </c>
      <c r="N28" s="44">
        <f>SUM(N7:N27)</f>
        <v>1131639.0267857143</v>
      </c>
      <c r="O28" s="44">
        <f>SUM(O7:O27)</f>
        <v>11316.390267857143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 t="s">
        <v>91</v>
      </c>
      <c r="D38" s="20" t="s">
        <v>68</v>
      </c>
      <c r="E38" s="20"/>
      <c r="F38" s="20" t="s">
        <v>70</v>
      </c>
      <c r="G38" s="37" t="s">
        <v>92</v>
      </c>
      <c r="H38" s="20" t="s">
        <v>88</v>
      </c>
      <c r="I38" s="20"/>
      <c r="J38" s="20"/>
      <c r="K38" s="21">
        <f>11988+15120+155844+9072</f>
        <v>192024</v>
      </c>
      <c r="M38" s="21">
        <f t="shared" si="8"/>
        <v>20574</v>
      </c>
      <c r="N38" s="27">
        <f t="shared" si="10"/>
        <v>171450</v>
      </c>
      <c r="O38" s="33">
        <f t="shared" si="9"/>
        <v>1714.5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88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88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88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995184</v>
      </c>
      <c r="L55" s="44">
        <f ca="1">SUM(L34:L58)</f>
        <v>0</v>
      </c>
      <c r="M55" s="44">
        <f>SUM(M34:M54)</f>
        <v>106626.85714285713</v>
      </c>
      <c r="N55" s="44">
        <f>SUM(N34:N54)</f>
        <v>888557.14285714296</v>
      </c>
      <c r="O55" s="45">
        <f>SUM(O34:O54)</f>
        <v>8885.5714285714275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78</v>
      </c>
      <c r="H61" s="20" t="s">
        <v>88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2026-07-17T03:13:56Z</dcterms:modified>
</cp:coreProperties>
</file>