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7F90EABD-27F6-4C9E-A862-CF54FCD644E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3" l="1"/>
  <c r="I26" i="6" l="1"/>
  <c r="K25" i="13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11180</t>
        </r>
      </text>
    </comment>
    <comment ref="I24" authorId="0" shapeId="0" xr:uid="{A4D2DD5B-105B-439E-8A47-60C190A1E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11463</t>
        </r>
      </text>
    </comment>
    <comment ref="I26" authorId="0" shapeId="0" xr:uid="{CA1086BA-8C22-4706-8DC5-A44209D61B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J26" authorId="0" shapeId="0" xr:uid="{0313F5C5-A99F-4CAC-AA16-AA6BB50CCF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27" authorId="0" shapeId="0" xr:uid="{BBAC9318-A30D-4FC5-800F-7EEA5DCF1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11463</t>
        </r>
      </text>
    </comment>
    <comment ref="I32" authorId="0" shapeId="0" xr:uid="{EA416575-FA29-4F4E-8582-524163DB6F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11485</t>
        </r>
      </text>
    </comment>
    <comment ref="J34" authorId="0" shapeId="0" xr:uid="{80F885C1-AC5F-478E-8F44-56A5D826D1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11485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0" authorId="0" shapeId="0" xr:uid="{A4516D3E-FA50-4CA0-9404-5EB8FC48E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INCENTIVES HENSON</t>
        </r>
      </text>
    </comment>
  </commentList>
</comments>
</file>

<file path=xl/sharedStrings.xml><?xml version="1.0" encoding="utf-8"?>
<sst xmlns="http://schemas.openxmlformats.org/spreadsheetml/2006/main" count="85" uniqueCount="22">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</sst>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38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5" t="s">
        <v>16</v>
      </c>
      <c r="E9" s="23" t="s">
        <v>5</v>
      </c>
      <c r="F9" s="14" t="s">
        <v>3</v>
      </c>
      <c r="G9" s="39" t="s">
        <v>14</v>
      </c>
      <c r="H9" s="14" t="s">
        <v>19</v>
      </c>
      <c r="I9" s="39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6">
        <v>46204</v>
      </c>
      <c r="C10" s="41" t="s">
        <v>21</v>
      </c>
      <c r="D10" s="42"/>
      <c r="E10" s="42"/>
      <c r="F10" s="42"/>
      <c r="G10" s="42"/>
      <c r="H10" s="42"/>
      <c r="I10" s="42"/>
      <c r="J10" s="42"/>
      <c r="K10" s="4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6">
        <v>46205</v>
      </c>
      <c r="C11" s="31">
        <v>298036</v>
      </c>
      <c r="D11" s="31">
        <v>206</v>
      </c>
      <c r="E11" s="30"/>
      <c r="F11" s="31">
        <v>1185.43</v>
      </c>
      <c r="G11" s="30"/>
      <c r="H11" s="31">
        <v>206862</v>
      </c>
      <c r="I11" s="30">
        <v>43785</v>
      </c>
      <c r="J11" s="31"/>
      <c r="K11" s="31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6">
        <v>46206</v>
      </c>
      <c r="C12" s="31">
        <v>331281.5</v>
      </c>
      <c r="D12" s="31">
        <v>274671.5</v>
      </c>
      <c r="E12" s="30">
        <v>1788.5</v>
      </c>
      <c r="F12" s="31"/>
      <c r="G12" s="30">
        <v>2040</v>
      </c>
      <c r="H12" s="31">
        <v>272883</v>
      </c>
      <c r="I12" s="30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6">
        <v>46207</v>
      </c>
      <c r="C13" s="41" t="s">
        <v>21</v>
      </c>
      <c r="D13" s="42"/>
      <c r="E13" s="42"/>
      <c r="F13" s="42"/>
      <c r="G13" s="42"/>
      <c r="H13" s="42"/>
      <c r="I13" s="42"/>
      <c r="J13" s="42"/>
      <c r="K13" s="4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4" t="s">
        <v>0</v>
      </c>
      <c r="C14" s="41" t="s">
        <v>0</v>
      </c>
      <c r="D14" s="42"/>
      <c r="E14" s="42"/>
      <c r="F14" s="42"/>
      <c r="G14" s="42"/>
      <c r="H14" s="42"/>
      <c r="I14" s="42"/>
      <c r="J14" s="42"/>
      <c r="K14" s="4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6">
        <v>46209</v>
      </c>
      <c r="C15" s="33">
        <v>233857</v>
      </c>
      <c r="D15" s="33">
        <v>195673</v>
      </c>
      <c r="E15" s="30"/>
      <c r="F15" s="33">
        <v>1696</v>
      </c>
      <c r="G15" s="30">
        <v>1326</v>
      </c>
      <c r="H15" s="33">
        <v>197369</v>
      </c>
      <c r="I15" s="30"/>
      <c r="J15" s="33"/>
      <c r="K15" s="3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6">
        <v>46210</v>
      </c>
      <c r="C16" s="33">
        <v>258311</v>
      </c>
      <c r="D16" s="33">
        <v>218333</v>
      </c>
      <c r="E16" s="30">
        <v>81</v>
      </c>
      <c r="F16" s="30"/>
      <c r="G16" s="30">
        <v>2010</v>
      </c>
      <c r="H16" s="33">
        <v>218252</v>
      </c>
      <c r="I16" s="30"/>
      <c r="J16" s="33"/>
      <c r="K16" s="3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6">
        <v>46211</v>
      </c>
      <c r="C17" s="33">
        <v>290058.5</v>
      </c>
      <c r="D17" s="33">
        <v>200363</v>
      </c>
      <c r="E17" s="30">
        <v>115</v>
      </c>
      <c r="F17" s="30"/>
      <c r="G17" s="30"/>
      <c r="H17" s="33">
        <v>200248</v>
      </c>
      <c r="I17" s="30">
        <v>48345</v>
      </c>
      <c r="J17" s="33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6">
        <v>46212</v>
      </c>
      <c r="C18" s="31">
        <v>295573</v>
      </c>
      <c r="D18" s="31">
        <v>240035.5</v>
      </c>
      <c r="E18" s="30">
        <v>274.5</v>
      </c>
      <c r="F18" s="30"/>
      <c r="G18" s="30"/>
      <c r="H18" s="31">
        <v>239761</v>
      </c>
      <c r="I18" s="30">
        <v>95886</v>
      </c>
      <c r="J18" s="30">
        <v>84261</v>
      </c>
      <c r="K18" s="3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6">
        <v>46213</v>
      </c>
      <c r="C19" s="41" t="s">
        <v>21</v>
      </c>
      <c r="D19" s="42"/>
      <c r="E19" s="42"/>
      <c r="F19" s="42"/>
      <c r="G19" s="42"/>
      <c r="H19" s="42"/>
      <c r="I19" s="42"/>
      <c r="J19" s="42"/>
      <c r="K19" s="43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6">
        <v>46214</v>
      </c>
      <c r="C20" s="41" t="s">
        <v>21</v>
      </c>
      <c r="D20" s="42"/>
      <c r="E20" s="42"/>
      <c r="F20" s="42"/>
      <c r="G20" s="42"/>
      <c r="H20" s="42"/>
      <c r="I20" s="42"/>
      <c r="J20" s="42"/>
      <c r="K20" s="4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4" t="s">
        <v>0</v>
      </c>
      <c r="C21" s="41" t="s">
        <v>0</v>
      </c>
      <c r="D21" s="42"/>
      <c r="E21" s="42"/>
      <c r="F21" s="42"/>
      <c r="G21" s="42"/>
      <c r="H21" s="42"/>
      <c r="I21" s="42"/>
      <c r="J21" s="42"/>
      <c r="K21" s="4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6">
        <v>46216</v>
      </c>
      <c r="C22" s="31">
        <v>265548.5</v>
      </c>
      <c r="D22" s="31">
        <v>226385.75</v>
      </c>
      <c r="E22" s="30">
        <v>300.75</v>
      </c>
      <c r="F22" s="31"/>
      <c r="G22" s="30">
        <v>1356</v>
      </c>
      <c r="H22" s="31">
        <v>226085</v>
      </c>
      <c r="I22" s="31"/>
      <c r="J22" s="31"/>
      <c r="K22" s="3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6">
        <v>46217</v>
      </c>
      <c r="C23" s="31">
        <v>263812.5</v>
      </c>
      <c r="D23" s="31">
        <v>222004.5</v>
      </c>
      <c r="E23" s="31"/>
      <c r="F23" s="31">
        <v>462.5</v>
      </c>
      <c r="G23" s="30">
        <v>1404</v>
      </c>
      <c r="H23" s="31">
        <v>222467</v>
      </c>
      <c r="I23" s="31"/>
      <c r="J23" s="31"/>
      <c r="K23" s="31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6">
        <v>46218</v>
      </c>
      <c r="C24" s="31">
        <v>230785.5</v>
      </c>
      <c r="D24" s="31">
        <v>138191</v>
      </c>
      <c r="E24" s="30"/>
      <c r="F24" s="33">
        <v>115</v>
      </c>
      <c r="G24" s="30"/>
      <c r="H24" s="33">
        <v>138306</v>
      </c>
      <c r="I24" s="30">
        <v>62203</v>
      </c>
      <c r="J24" s="33"/>
      <c r="K24" s="33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6">
        <v>46219</v>
      </c>
      <c r="C25" s="31">
        <v>249733</v>
      </c>
      <c r="D25" s="31">
        <v>213767.5</v>
      </c>
      <c r="E25" s="30"/>
      <c r="F25" s="31">
        <v>1740.5</v>
      </c>
      <c r="G25" s="30">
        <v>684</v>
      </c>
      <c r="H25" s="31">
        <v>215508</v>
      </c>
      <c r="I25" s="30"/>
      <c r="J25" s="31"/>
      <c r="K25" s="30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6">
        <v>46220</v>
      </c>
      <c r="C26" s="31">
        <v>476545</v>
      </c>
      <c r="D26" s="31">
        <v>421468.75</v>
      </c>
      <c r="E26" s="30">
        <v>311.75</v>
      </c>
      <c r="F26" s="30"/>
      <c r="G26" s="30">
        <v>2622</v>
      </c>
      <c r="H26" s="31">
        <v>421157</v>
      </c>
      <c r="I26" s="30">
        <f>82890</f>
        <v>82890</v>
      </c>
      <c r="J26" s="30">
        <v>95886</v>
      </c>
      <c r="K26" s="30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6">
        <v>46221</v>
      </c>
      <c r="C27" s="11"/>
      <c r="D27" s="36"/>
      <c r="E27" s="13"/>
      <c r="F27" s="11"/>
      <c r="G27" s="40"/>
      <c r="H27" s="32"/>
      <c r="I27" s="40"/>
      <c r="J27" s="40">
        <v>62203</v>
      </c>
      <c r="K27" s="29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4" t="s">
        <v>0</v>
      </c>
      <c r="C28" s="41" t="s">
        <v>0</v>
      </c>
      <c r="D28" s="42"/>
      <c r="E28" s="42"/>
      <c r="F28" s="42"/>
      <c r="G28" s="42"/>
      <c r="H28" s="42"/>
      <c r="I28" s="42"/>
      <c r="J28" s="42"/>
      <c r="K28" s="43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6">
        <v>46223</v>
      </c>
      <c r="C29" s="11">
        <v>446877</v>
      </c>
      <c r="D29" s="36">
        <v>381656.25</v>
      </c>
      <c r="E29" s="13">
        <v>8.25</v>
      </c>
      <c r="F29" s="11"/>
      <c r="G29" s="40">
        <v>1656</v>
      </c>
      <c r="H29" s="32">
        <v>381648</v>
      </c>
      <c r="I29" s="40"/>
      <c r="J29" s="32"/>
      <c r="K29" s="29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6">
        <v>46224</v>
      </c>
      <c r="C30" s="11">
        <v>240956.33</v>
      </c>
      <c r="D30" s="36">
        <v>205623.83</v>
      </c>
      <c r="E30" s="13"/>
      <c r="F30" s="11">
        <v>48.17</v>
      </c>
      <c r="G30" s="40"/>
      <c r="H30" s="32">
        <v>205672</v>
      </c>
      <c r="I30" s="40"/>
      <c r="J30" s="32"/>
      <c r="K30" s="2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6">
        <v>46225</v>
      </c>
      <c r="C31" s="11">
        <v>222100.5</v>
      </c>
      <c r="D31" s="36">
        <v>189759.14</v>
      </c>
      <c r="E31" s="13">
        <v>1328.14</v>
      </c>
      <c r="F31" s="11"/>
      <c r="G31" s="40"/>
      <c r="H31" s="32">
        <v>188431</v>
      </c>
      <c r="I31" s="40"/>
      <c r="J31" s="32"/>
      <c r="K31" s="29">
        <v>92.86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6">
        <v>46226</v>
      </c>
      <c r="C32" s="31">
        <v>282218.17</v>
      </c>
      <c r="D32" s="31">
        <v>198223.17</v>
      </c>
      <c r="E32" s="30">
        <v>102.17</v>
      </c>
      <c r="F32" s="30"/>
      <c r="G32" s="30">
        <v>1296</v>
      </c>
      <c r="H32" s="31">
        <v>198121</v>
      </c>
      <c r="I32" s="30">
        <v>38920</v>
      </c>
      <c r="J32" s="30"/>
      <c r="K32" s="30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6">
        <v>46227</v>
      </c>
      <c r="C33" s="31">
        <v>612830</v>
      </c>
      <c r="D33" s="31">
        <v>570314</v>
      </c>
      <c r="E33" s="30"/>
      <c r="F33" s="31">
        <v>7</v>
      </c>
      <c r="G33" s="30">
        <v>4698</v>
      </c>
      <c r="H33" s="31">
        <v>570321</v>
      </c>
      <c r="I33" s="30"/>
      <c r="J33" s="30"/>
      <c r="K33" s="30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6">
        <v>46228</v>
      </c>
      <c r="C34" s="31"/>
      <c r="D34" s="31"/>
      <c r="E34" s="30"/>
      <c r="F34" s="31"/>
      <c r="G34" s="30"/>
      <c r="H34" s="31">
        <v>38920</v>
      </c>
      <c r="I34" s="30"/>
      <c r="J34" s="30">
        <v>38920</v>
      </c>
      <c r="K34" s="30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4" t="s">
        <v>0</v>
      </c>
      <c r="C35" s="41" t="s">
        <v>0</v>
      </c>
      <c r="D35" s="42"/>
      <c r="E35" s="42"/>
      <c r="F35" s="42"/>
      <c r="G35" s="42"/>
      <c r="H35" s="42"/>
      <c r="I35" s="42"/>
      <c r="J35" s="42"/>
      <c r="K35" s="43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6">
        <v>46230</v>
      </c>
      <c r="C36" s="31">
        <v>260818</v>
      </c>
      <c r="D36" s="31">
        <v>217690.75</v>
      </c>
      <c r="E36" s="31"/>
      <c r="F36" s="31">
        <v>214.25</v>
      </c>
      <c r="G36" s="30">
        <v>1602</v>
      </c>
      <c r="H36" s="31">
        <v>217905</v>
      </c>
      <c r="I36" s="31"/>
      <c r="J36" s="31"/>
      <c r="K36" s="31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6">
        <v>46231</v>
      </c>
      <c r="C37" s="31"/>
      <c r="D37" s="31"/>
      <c r="E37" s="31"/>
      <c r="F37" s="31"/>
      <c r="G37" s="31"/>
      <c r="H37" s="31"/>
      <c r="I37" s="31"/>
      <c r="J37" s="31"/>
      <c r="K37" s="31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6">
        <v>46232</v>
      </c>
      <c r="C38" s="31"/>
      <c r="D38" s="31"/>
      <c r="E38" s="31"/>
      <c r="F38" s="31"/>
      <c r="G38" s="31"/>
      <c r="H38" s="31"/>
      <c r="I38" s="31"/>
      <c r="J38" s="31"/>
      <c r="K38" s="31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6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6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6"/>
      <c r="C41" s="11"/>
      <c r="D41" s="11"/>
      <c r="E41" s="30"/>
      <c r="F41" s="30"/>
      <c r="G41" s="30"/>
      <c r="H41" s="30"/>
      <c r="I41" s="30"/>
      <c r="J41" s="30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4"/>
      <c r="C42" s="41"/>
      <c r="D42" s="42"/>
      <c r="E42" s="42"/>
      <c r="F42" s="42"/>
      <c r="G42" s="42"/>
      <c r="H42" s="42"/>
      <c r="I42" s="42"/>
      <c r="J42" s="42"/>
      <c r="K42" s="43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5" t="s">
        <v>1</v>
      </c>
      <c r="B43" s="26"/>
      <c r="C43" s="16">
        <f t="shared" ref="C43:H43" si="0">SUM(C10:C42)</f>
        <v>5259341.5</v>
      </c>
      <c r="D43" s="16">
        <f t="shared" si="0"/>
        <v>4114366.64</v>
      </c>
      <c r="E43" s="27">
        <f t="shared" si="0"/>
        <v>4310.0600000000004</v>
      </c>
      <c r="F43" s="16">
        <f t="shared" si="0"/>
        <v>5468.85</v>
      </c>
      <c r="G43" s="27">
        <f t="shared" si="0"/>
        <v>20694</v>
      </c>
      <c r="H43" s="16">
        <f t="shared" si="0"/>
        <v>4359916</v>
      </c>
      <c r="I43" s="27">
        <f t="shared" ref="I43:J43" si="1">SUM(I10:I42)</f>
        <v>372029</v>
      </c>
      <c r="J43" s="16">
        <f t="shared" si="1"/>
        <v>281270</v>
      </c>
      <c r="K43" s="16">
        <f>SUM(K10:K42)</f>
        <v>220.54000000000002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8"/>
      <c r="C44" s="20"/>
      <c r="D44" s="20"/>
      <c r="E44" s="24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38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5" t="s">
        <v>16</v>
      </c>
      <c r="E9" s="23" t="s">
        <v>5</v>
      </c>
      <c r="F9" s="14" t="s">
        <v>3</v>
      </c>
      <c r="G9" s="39" t="s">
        <v>14</v>
      </c>
      <c r="H9" s="14" t="s">
        <v>19</v>
      </c>
      <c r="I9" s="39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6">
        <v>46204</v>
      </c>
      <c r="C10" s="31">
        <v>249800.5</v>
      </c>
      <c r="D10" s="31">
        <v>211385.5</v>
      </c>
      <c r="E10" s="30">
        <v>773.5</v>
      </c>
      <c r="F10" s="31"/>
      <c r="G10" s="30">
        <v>1644</v>
      </c>
      <c r="H10" s="31">
        <v>210612</v>
      </c>
      <c r="I10" s="30"/>
      <c r="J10" s="31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6">
        <v>46205</v>
      </c>
      <c r="C11" s="41" t="s">
        <v>21</v>
      </c>
      <c r="D11" s="42"/>
      <c r="E11" s="42"/>
      <c r="F11" s="42"/>
      <c r="G11" s="42"/>
      <c r="H11" s="42"/>
      <c r="I11" s="42"/>
      <c r="J11" s="42"/>
      <c r="K11" s="43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6">
        <v>46206</v>
      </c>
      <c r="C12" s="31">
        <v>272174.5</v>
      </c>
      <c r="D12" s="31">
        <v>231067</v>
      </c>
      <c r="E12" s="30"/>
      <c r="F12" s="31">
        <v>517</v>
      </c>
      <c r="G12" s="30">
        <v>1308</v>
      </c>
      <c r="H12" s="31">
        <v>231584</v>
      </c>
      <c r="I12" s="30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6">
        <v>46207</v>
      </c>
      <c r="C13" s="41" t="s">
        <v>21</v>
      </c>
      <c r="D13" s="42"/>
      <c r="E13" s="42"/>
      <c r="F13" s="42"/>
      <c r="G13" s="42"/>
      <c r="H13" s="42"/>
      <c r="I13" s="42"/>
      <c r="J13" s="42"/>
      <c r="K13" s="4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4" t="s">
        <v>0</v>
      </c>
      <c r="C14" s="41" t="s">
        <v>0</v>
      </c>
      <c r="D14" s="42"/>
      <c r="E14" s="42"/>
      <c r="F14" s="42"/>
      <c r="G14" s="42"/>
      <c r="H14" s="42"/>
      <c r="I14" s="42"/>
      <c r="J14" s="42"/>
      <c r="K14" s="4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6">
        <v>46209</v>
      </c>
      <c r="C15" s="33">
        <v>255013.5</v>
      </c>
      <c r="D15" s="33">
        <v>211456.5</v>
      </c>
      <c r="E15" s="30">
        <v>765.5</v>
      </c>
      <c r="F15" s="30"/>
      <c r="G15" s="30">
        <v>1950</v>
      </c>
      <c r="H15" s="33">
        <v>210691</v>
      </c>
      <c r="I15" s="30"/>
      <c r="J15" s="33"/>
      <c r="K15" s="3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6">
        <v>46210</v>
      </c>
      <c r="C16" s="33">
        <v>325910</v>
      </c>
      <c r="D16" s="33">
        <v>274485.5</v>
      </c>
      <c r="E16" s="30">
        <v>1255.5</v>
      </c>
      <c r="F16" s="30"/>
      <c r="G16" s="30">
        <v>2496</v>
      </c>
      <c r="H16" s="33">
        <v>273230</v>
      </c>
      <c r="I16" s="30"/>
      <c r="J16" s="33"/>
      <c r="K16" s="3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6">
        <v>46211</v>
      </c>
      <c r="C17" s="33">
        <v>217925</v>
      </c>
      <c r="D17" s="33">
        <v>185540</v>
      </c>
      <c r="E17" s="30"/>
      <c r="F17" s="33">
        <v>52</v>
      </c>
      <c r="G17" s="30">
        <v>1206</v>
      </c>
      <c r="H17" s="33">
        <v>185592</v>
      </c>
      <c r="I17" s="30"/>
      <c r="J17" s="33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6">
        <v>46212</v>
      </c>
      <c r="C18" s="31">
        <v>236707</v>
      </c>
      <c r="D18" s="31">
        <v>200869</v>
      </c>
      <c r="E18" s="30">
        <v>204</v>
      </c>
      <c r="F18" s="30"/>
      <c r="G18" s="30">
        <v>1296</v>
      </c>
      <c r="H18" s="31">
        <v>200665</v>
      </c>
      <c r="I18" s="30"/>
      <c r="J18" s="30"/>
      <c r="K18" s="3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6">
        <v>46213</v>
      </c>
      <c r="C19" s="41" t="s">
        <v>21</v>
      </c>
      <c r="D19" s="42"/>
      <c r="E19" s="42"/>
      <c r="F19" s="42"/>
      <c r="G19" s="42"/>
      <c r="H19" s="42"/>
      <c r="I19" s="42"/>
      <c r="J19" s="42"/>
      <c r="K19" s="43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6">
        <v>46214</v>
      </c>
      <c r="C20" s="41" t="s">
        <v>21</v>
      </c>
      <c r="D20" s="42"/>
      <c r="E20" s="42"/>
      <c r="F20" s="42"/>
      <c r="G20" s="42"/>
      <c r="H20" s="42"/>
      <c r="I20" s="42"/>
      <c r="J20" s="42"/>
      <c r="K20" s="4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4" t="s">
        <v>0</v>
      </c>
      <c r="C21" s="41" t="s">
        <v>0</v>
      </c>
      <c r="D21" s="42"/>
      <c r="E21" s="42"/>
      <c r="F21" s="42"/>
      <c r="G21" s="42"/>
      <c r="H21" s="42"/>
      <c r="I21" s="42"/>
      <c r="J21" s="42"/>
      <c r="K21" s="4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6">
        <v>46216</v>
      </c>
      <c r="C22" s="31">
        <v>264783</v>
      </c>
      <c r="D22" s="31">
        <v>223640.25</v>
      </c>
      <c r="E22" s="30">
        <v>149.25</v>
      </c>
      <c r="F22" s="31"/>
      <c r="G22" s="30">
        <v>1548</v>
      </c>
      <c r="H22" s="31">
        <v>223491</v>
      </c>
      <c r="I22" s="31"/>
      <c r="J22" s="31"/>
      <c r="K22" s="3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6">
        <v>46217</v>
      </c>
      <c r="C23" s="31">
        <v>2444360.33</v>
      </c>
      <c r="D23" s="31">
        <v>205234.33</v>
      </c>
      <c r="E23" s="30">
        <v>193.33</v>
      </c>
      <c r="F23" s="31"/>
      <c r="G23" s="30">
        <v>1296</v>
      </c>
      <c r="H23" s="31">
        <v>205041</v>
      </c>
      <c r="I23" s="31"/>
      <c r="J23" s="31"/>
      <c r="K23" s="31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6">
        <v>46218</v>
      </c>
      <c r="C24" s="31">
        <v>151113.32999999999</v>
      </c>
      <c r="D24" s="31">
        <v>130290.33</v>
      </c>
      <c r="E24" s="30">
        <v>360.33</v>
      </c>
      <c r="F24" s="33"/>
      <c r="G24" s="30"/>
      <c r="H24" s="33">
        <v>130290.33</v>
      </c>
      <c r="I24" s="30"/>
      <c r="J24" s="33"/>
      <c r="K24" s="33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6">
        <v>46219</v>
      </c>
      <c r="C25" s="31">
        <v>278011.66666666669</v>
      </c>
      <c r="D25" s="31">
        <v>244719.16666666669</v>
      </c>
      <c r="E25" s="30">
        <v>84.17</v>
      </c>
      <c r="F25" s="30"/>
      <c r="G25" s="30">
        <v>2004</v>
      </c>
      <c r="H25" s="31">
        <v>244635</v>
      </c>
      <c r="I25" s="30"/>
      <c r="J25" s="31"/>
      <c r="K25" s="30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6">
        <v>46220</v>
      </c>
      <c r="C26" s="31">
        <v>270113.33</v>
      </c>
      <c r="D26" s="31">
        <v>227409.83</v>
      </c>
      <c r="E26" s="30"/>
      <c r="F26" s="31">
        <v>72.17</v>
      </c>
      <c r="G26" s="30">
        <v>972</v>
      </c>
      <c r="H26" s="31">
        <v>227482</v>
      </c>
      <c r="I26" s="30"/>
      <c r="J26" s="30"/>
      <c r="K26" s="30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6">
        <v>46221</v>
      </c>
      <c r="C27" s="41" t="s">
        <v>21</v>
      </c>
      <c r="D27" s="42"/>
      <c r="E27" s="42"/>
      <c r="F27" s="42"/>
      <c r="G27" s="42"/>
      <c r="H27" s="42"/>
      <c r="I27" s="42"/>
      <c r="J27" s="42"/>
      <c r="K27" s="43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4" t="s">
        <v>0</v>
      </c>
      <c r="C28" s="41" t="s">
        <v>0</v>
      </c>
      <c r="D28" s="42"/>
      <c r="E28" s="42"/>
      <c r="F28" s="42"/>
      <c r="G28" s="42"/>
      <c r="H28" s="42"/>
      <c r="I28" s="42"/>
      <c r="J28" s="42"/>
      <c r="K28" s="43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6">
        <v>46223</v>
      </c>
      <c r="C29" s="11">
        <v>283390</v>
      </c>
      <c r="D29" s="36">
        <v>238142.5</v>
      </c>
      <c r="E29" s="13">
        <v>721.5</v>
      </c>
      <c r="F29" s="11"/>
      <c r="G29" s="40">
        <v>1776</v>
      </c>
      <c r="H29" s="32">
        <v>237421</v>
      </c>
      <c r="I29" s="40"/>
      <c r="J29" s="32"/>
      <c r="K29" s="29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6">
        <v>46224</v>
      </c>
      <c r="C30" s="11">
        <v>151595</v>
      </c>
      <c r="D30" s="36">
        <v>124368.5</v>
      </c>
      <c r="E30" s="13">
        <v>234.5</v>
      </c>
      <c r="F30" s="11"/>
      <c r="G30" s="40">
        <v>252</v>
      </c>
      <c r="H30" s="32">
        <v>124134</v>
      </c>
      <c r="I30" s="40"/>
      <c r="J30" s="32"/>
      <c r="K30" s="2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6">
        <v>46225</v>
      </c>
      <c r="C31" s="11">
        <v>230482.54</v>
      </c>
      <c r="D31" s="36">
        <v>194682.04</v>
      </c>
      <c r="E31" s="13">
        <v>299.04000000000002</v>
      </c>
      <c r="F31" s="11"/>
      <c r="G31" s="40">
        <v>1668</v>
      </c>
      <c r="H31" s="32">
        <v>194383</v>
      </c>
      <c r="I31" s="40"/>
      <c r="J31" s="32"/>
      <c r="K31" s="29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6">
        <v>46226</v>
      </c>
      <c r="C32" s="31">
        <v>223968.88</v>
      </c>
      <c r="D32" s="31">
        <v>189405.13</v>
      </c>
      <c r="E32" s="30">
        <v>835.13</v>
      </c>
      <c r="F32" s="30"/>
      <c r="G32" s="30">
        <v>1008</v>
      </c>
      <c r="H32" s="31">
        <v>188570</v>
      </c>
      <c r="I32" s="30"/>
      <c r="J32" s="30"/>
      <c r="K32" s="30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6">
        <v>46227</v>
      </c>
      <c r="C33" s="31">
        <v>222577.58</v>
      </c>
      <c r="D33" s="31">
        <v>189464.33</v>
      </c>
      <c r="E33" s="30"/>
      <c r="F33" s="31">
        <v>631.66999999999996</v>
      </c>
      <c r="G33" s="30">
        <v>1380</v>
      </c>
      <c r="H33" s="31">
        <v>190096</v>
      </c>
      <c r="I33" s="30"/>
      <c r="J33" s="30"/>
      <c r="K33" s="30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6">
        <v>46228</v>
      </c>
      <c r="C34" s="41" t="s">
        <v>21</v>
      </c>
      <c r="D34" s="42"/>
      <c r="E34" s="42"/>
      <c r="F34" s="42"/>
      <c r="G34" s="42"/>
      <c r="H34" s="42"/>
      <c r="I34" s="42"/>
      <c r="J34" s="42"/>
      <c r="K34" s="43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4" t="s">
        <v>0</v>
      </c>
      <c r="C35" s="41" t="s">
        <v>0</v>
      </c>
      <c r="D35" s="42"/>
      <c r="E35" s="42"/>
      <c r="F35" s="42"/>
      <c r="G35" s="42"/>
      <c r="H35" s="42"/>
      <c r="I35" s="42"/>
      <c r="J35" s="42"/>
      <c r="K35" s="43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6">
        <v>46230</v>
      </c>
      <c r="C36" s="31">
        <v>286690.33</v>
      </c>
      <c r="D36" s="31">
        <v>241445.83</v>
      </c>
      <c r="E36" s="30">
        <v>50.83</v>
      </c>
      <c r="F36" s="31"/>
      <c r="G36" s="30">
        <v>1596</v>
      </c>
      <c r="H36" s="31">
        <v>241395</v>
      </c>
      <c r="I36" s="31"/>
      <c r="J36" s="31"/>
      <c r="K36" s="31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6">
        <v>46231</v>
      </c>
      <c r="C37" s="31"/>
      <c r="D37" s="31"/>
      <c r="E37" s="31"/>
      <c r="F37" s="31"/>
      <c r="G37" s="31"/>
      <c r="H37" s="31"/>
      <c r="I37" s="31"/>
      <c r="J37" s="31"/>
      <c r="K37" s="31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6">
        <v>46232</v>
      </c>
      <c r="C38" s="31"/>
      <c r="D38" s="31"/>
      <c r="E38" s="31"/>
      <c r="F38" s="31"/>
      <c r="G38" s="31"/>
      <c r="H38" s="31"/>
      <c r="I38" s="31"/>
      <c r="J38" s="31"/>
      <c r="K38" s="31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6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6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6"/>
      <c r="C41" s="11"/>
      <c r="D41" s="11"/>
      <c r="E41" s="30"/>
      <c r="F41" s="30"/>
      <c r="G41" s="30"/>
      <c r="H41" s="30"/>
      <c r="I41" s="30"/>
      <c r="J41" s="30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4"/>
      <c r="C42" s="41"/>
      <c r="D42" s="42"/>
      <c r="E42" s="42"/>
      <c r="F42" s="42"/>
      <c r="G42" s="42"/>
      <c r="H42" s="42"/>
      <c r="I42" s="42"/>
      <c r="J42" s="42"/>
      <c r="K42" s="43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5" t="s">
        <v>1</v>
      </c>
      <c r="B43" s="26"/>
      <c r="C43" s="16">
        <f t="shared" ref="C43:H43" si="0">SUM(C10:C42)</f>
        <v>6364616.4866666673</v>
      </c>
      <c r="D43" s="16">
        <f t="shared" si="0"/>
        <v>3523605.7366666668</v>
      </c>
      <c r="E43" s="27">
        <f t="shared" si="0"/>
        <v>5926.58</v>
      </c>
      <c r="F43" s="16">
        <f t="shared" si="0"/>
        <v>1272.8399999999999</v>
      </c>
      <c r="G43" s="27">
        <f t="shared" si="0"/>
        <v>23400</v>
      </c>
      <c r="H43" s="16">
        <f t="shared" si="0"/>
        <v>3519312.33</v>
      </c>
      <c r="I43" s="27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4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1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  <mergeCell ref="C27:K27"/>
    <mergeCell ref="C34:K3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38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7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5" t="s">
        <v>16</v>
      </c>
      <c r="E9" s="23" t="s">
        <v>5</v>
      </c>
      <c r="F9" s="14" t="s">
        <v>3</v>
      </c>
      <c r="G9" s="39" t="s">
        <v>14</v>
      </c>
      <c r="H9" s="14" t="s">
        <v>19</v>
      </c>
      <c r="I9" s="39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6">
        <v>46204</v>
      </c>
      <c r="C10" s="31">
        <v>297996.5</v>
      </c>
      <c r="D10" s="31">
        <v>238892</v>
      </c>
      <c r="E10" s="30">
        <v>21</v>
      </c>
      <c r="F10" s="31"/>
      <c r="G10" s="30">
        <v>1350</v>
      </c>
      <c r="H10" s="31">
        <v>238871</v>
      </c>
      <c r="I10" s="30"/>
      <c r="J10" s="31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6">
        <v>46205</v>
      </c>
      <c r="C11" s="31">
        <v>253346.5</v>
      </c>
      <c r="D11" s="31">
        <v>213164</v>
      </c>
      <c r="E11" s="30"/>
      <c r="F11" s="31">
        <v>47</v>
      </c>
      <c r="G11" s="30">
        <v>1722</v>
      </c>
      <c r="H11" s="31">
        <v>213211</v>
      </c>
      <c r="I11" s="30"/>
      <c r="J11" s="31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6">
        <v>46206</v>
      </c>
      <c r="C12" s="31">
        <v>438059</v>
      </c>
      <c r="D12" s="31">
        <v>402146.75</v>
      </c>
      <c r="E12" s="30"/>
      <c r="F12" s="31">
        <v>67.25</v>
      </c>
      <c r="G12" s="30">
        <v>648</v>
      </c>
      <c r="H12" s="31">
        <v>402214</v>
      </c>
      <c r="I12" s="30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6">
        <v>46207</v>
      </c>
      <c r="C13" s="41" t="s">
        <v>21</v>
      </c>
      <c r="D13" s="42"/>
      <c r="E13" s="42"/>
      <c r="F13" s="42"/>
      <c r="G13" s="42"/>
      <c r="H13" s="42"/>
      <c r="I13" s="42"/>
      <c r="J13" s="42"/>
      <c r="K13" s="4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4" t="s">
        <v>0</v>
      </c>
      <c r="C14" s="41" t="s">
        <v>0</v>
      </c>
      <c r="D14" s="42"/>
      <c r="E14" s="42"/>
      <c r="F14" s="42"/>
      <c r="G14" s="42"/>
      <c r="H14" s="42"/>
      <c r="I14" s="42"/>
      <c r="J14" s="42"/>
      <c r="K14" s="4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6">
        <v>46209</v>
      </c>
      <c r="C15" s="33">
        <v>299824</v>
      </c>
      <c r="D15" s="33">
        <v>247763.5</v>
      </c>
      <c r="E15" s="30">
        <v>34.5</v>
      </c>
      <c r="F15" s="30"/>
      <c r="G15" s="30">
        <v>2328</v>
      </c>
      <c r="H15" s="33">
        <v>247729</v>
      </c>
      <c r="I15" s="30"/>
      <c r="J15" s="33"/>
      <c r="K15" s="31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6">
        <v>46210</v>
      </c>
      <c r="C16" s="33">
        <v>287132</v>
      </c>
      <c r="D16" s="33">
        <v>243548.75</v>
      </c>
      <c r="E16" s="30">
        <v>2143.75</v>
      </c>
      <c r="F16" s="30"/>
      <c r="G16" s="30">
        <v>1824</v>
      </c>
      <c r="H16" s="33">
        <v>241405</v>
      </c>
      <c r="I16" s="30"/>
      <c r="J16" s="33"/>
      <c r="K16" s="3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6">
        <v>46211</v>
      </c>
      <c r="C17" s="33">
        <v>349413</v>
      </c>
      <c r="D17" s="33">
        <v>305021.5</v>
      </c>
      <c r="E17" s="30">
        <v>2129.5</v>
      </c>
      <c r="F17" s="30"/>
      <c r="G17" s="30"/>
      <c r="H17" s="33">
        <v>302892</v>
      </c>
      <c r="I17" s="30"/>
      <c r="J17" s="33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6">
        <v>46212</v>
      </c>
      <c r="C18" s="31">
        <v>112831.5</v>
      </c>
      <c r="D18" s="31">
        <v>94338</v>
      </c>
      <c r="E18" s="30"/>
      <c r="F18" s="31">
        <v>2094</v>
      </c>
      <c r="G18" s="30">
        <v>300</v>
      </c>
      <c r="H18" s="31">
        <v>96432</v>
      </c>
      <c r="I18" s="30"/>
      <c r="J18" s="30"/>
      <c r="K18" s="3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6">
        <v>46213</v>
      </c>
      <c r="C19" s="31">
        <v>249944.5</v>
      </c>
      <c r="D19" s="31">
        <v>211759.25</v>
      </c>
      <c r="E19" s="30"/>
      <c r="F19" s="33">
        <v>12.75</v>
      </c>
      <c r="G19" s="30">
        <v>942</v>
      </c>
      <c r="H19" s="33">
        <v>211772</v>
      </c>
      <c r="I19" s="30"/>
      <c r="J19" s="30"/>
      <c r="K19" s="30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6">
        <v>46214</v>
      </c>
      <c r="C20" s="41" t="s">
        <v>21</v>
      </c>
      <c r="D20" s="42"/>
      <c r="E20" s="42"/>
      <c r="F20" s="42"/>
      <c r="G20" s="42"/>
      <c r="H20" s="42"/>
      <c r="I20" s="42"/>
      <c r="J20" s="42"/>
      <c r="K20" s="4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4" t="s">
        <v>0</v>
      </c>
      <c r="C21" s="41" t="s">
        <v>0</v>
      </c>
      <c r="D21" s="42"/>
      <c r="E21" s="42"/>
      <c r="F21" s="42"/>
      <c r="G21" s="42"/>
      <c r="H21" s="42"/>
      <c r="I21" s="42"/>
      <c r="J21" s="42"/>
      <c r="K21" s="4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6">
        <v>46216</v>
      </c>
      <c r="C22" s="31">
        <v>386726.5</v>
      </c>
      <c r="D22" s="31">
        <v>322822.75</v>
      </c>
      <c r="E22" s="30">
        <v>3522.75</v>
      </c>
      <c r="F22" s="31"/>
      <c r="G22" s="30">
        <v>1296</v>
      </c>
      <c r="H22" s="31">
        <v>319300</v>
      </c>
      <c r="I22" s="31"/>
      <c r="J22" s="31"/>
      <c r="K22" s="3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6">
        <v>46217</v>
      </c>
      <c r="C23" s="31">
        <v>226895</v>
      </c>
      <c r="D23" s="31">
        <v>191038.5</v>
      </c>
      <c r="E23" s="31"/>
      <c r="F23" s="31">
        <v>1106.5</v>
      </c>
      <c r="G23" s="30">
        <v>1446</v>
      </c>
      <c r="H23" s="31">
        <v>192145</v>
      </c>
      <c r="I23" s="31"/>
      <c r="J23" s="31"/>
      <c r="K23" s="31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6">
        <v>46218</v>
      </c>
      <c r="C24" s="31">
        <v>341541</v>
      </c>
      <c r="D24" s="31">
        <v>279441.75</v>
      </c>
      <c r="E24" s="30">
        <v>2872.75</v>
      </c>
      <c r="F24" s="33"/>
      <c r="G24" s="30">
        <v>1896</v>
      </c>
      <c r="H24" s="33">
        <v>276569</v>
      </c>
      <c r="I24" s="30"/>
      <c r="J24" s="33"/>
      <c r="K24" s="33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6">
        <v>46219</v>
      </c>
      <c r="C25" s="31">
        <v>142129.5</v>
      </c>
      <c r="D25" s="31">
        <v>121441.5</v>
      </c>
      <c r="E25" s="30"/>
      <c r="F25" s="31">
        <v>2442.5</v>
      </c>
      <c r="G25" s="30">
        <v>780</v>
      </c>
      <c r="H25" s="31">
        <v>123884</v>
      </c>
      <c r="I25" s="30"/>
      <c r="J25" s="31"/>
      <c r="K25" s="31">
        <f>50+100</f>
        <v>150</v>
      </c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6">
        <v>46220</v>
      </c>
      <c r="C26" s="31">
        <v>507045</v>
      </c>
      <c r="D26" s="31">
        <v>442359</v>
      </c>
      <c r="E26" s="30">
        <v>65</v>
      </c>
      <c r="F26" s="30"/>
      <c r="G26" s="30">
        <v>2592</v>
      </c>
      <c r="H26" s="31">
        <v>442294</v>
      </c>
      <c r="I26" s="30"/>
      <c r="J26" s="30"/>
      <c r="K26" s="30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6">
        <v>46221</v>
      </c>
      <c r="C27" s="41" t="s">
        <v>21</v>
      </c>
      <c r="D27" s="42"/>
      <c r="E27" s="42"/>
      <c r="F27" s="42"/>
      <c r="G27" s="42"/>
      <c r="H27" s="42"/>
      <c r="I27" s="42"/>
      <c r="J27" s="42"/>
      <c r="K27" s="43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4" t="s">
        <v>0</v>
      </c>
      <c r="C28" s="41" t="s">
        <v>0</v>
      </c>
      <c r="D28" s="42"/>
      <c r="E28" s="42"/>
      <c r="F28" s="42"/>
      <c r="G28" s="42"/>
      <c r="H28" s="42"/>
      <c r="I28" s="42"/>
      <c r="J28" s="42"/>
      <c r="K28" s="43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6">
        <v>46223</v>
      </c>
      <c r="C29" s="11">
        <v>510270</v>
      </c>
      <c r="D29" s="36">
        <v>435177.25</v>
      </c>
      <c r="E29" s="13">
        <v>145.25</v>
      </c>
      <c r="F29" s="11"/>
      <c r="G29" s="40">
        <v>1584</v>
      </c>
      <c r="H29" s="32">
        <v>435032</v>
      </c>
      <c r="I29" s="40"/>
      <c r="J29" s="32"/>
      <c r="K29" s="29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6">
        <v>46224</v>
      </c>
      <c r="C30" s="11">
        <v>344940</v>
      </c>
      <c r="D30" s="36">
        <v>262971.75</v>
      </c>
      <c r="E30" s="13">
        <v>104.75</v>
      </c>
      <c r="F30" s="11"/>
      <c r="G30" s="40">
        <v>1104</v>
      </c>
      <c r="H30" s="32">
        <v>262867</v>
      </c>
      <c r="I30" s="40"/>
      <c r="J30" s="32"/>
      <c r="K30" s="29">
        <v>24757.5</v>
      </c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6">
        <v>46225</v>
      </c>
      <c r="C31" s="11">
        <v>408168</v>
      </c>
      <c r="D31" s="36">
        <v>371172.75</v>
      </c>
      <c r="E31" s="13">
        <v>0.75</v>
      </c>
      <c r="F31" s="11"/>
      <c r="G31" s="40"/>
      <c r="H31" s="32">
        <v>371172</v>
      </c>
      <c r="I31" s="40"/>
      <c r="J31" s="32"/>
      <c r="K31" s="29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6">
        <v>46226</v>
      </c>
      <c r="C32" s="31">
        <v>407248</v>
      </c>
      <c r="D32" s="31">
        <v>340907</v>
      </c>
      <c r="E32" s="30"/>
      <c r="F32" s="33">
        <v>52</v>
      </c>
      <c r="G32" s="30">
        <v>1140</v>
      </c>
      <c r="H32" s="31">
        <v>340959</v>
      </c>
      <c r="I32" s="30"/>
      <c r="J32" s="30"/>
      <c r="K32" s="33">
        <v>50</v>
      </c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6">
        <v>46227</v>
      </c>
      <c r="C33" s="31">
        <v>505296</v>
      </c>
      <c r="D33" s="31">
        <v>432331.5</v>
      </c>
      <c r="E33" s="30">
        <v>45.5</v>
      </c>
      <c r="F33" s="31"/>
      <c r="G33" s="30">
        <v>2946</v>
      </c>
      <c r="H33" s="31">
        <v>432286</v>
      </c>
      <c r="I33" s="30"/>
      <c r="J33" s="30"/>
      <c r="K33" s="30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6">
        <v>46228</v>
      </c>
      <c r="C34" s="31">
        <v>482911</v>
      </c>
      <c r="D34" s="31">
        <v>442009.75</v>
      </c>
      <c r="E34" s="31"/>
      <c r="F34" s="31">
        <v>28.25</v>
      </c>
      <c r="G34" s="30">
        <v>1608</v>
      </c>
      <c r="H34" s="31">
        <v>442038</v>
      </c>
      <c r="I34" s="31"/>
      <c r="J34" s="31"/>
      <c r="K34" s="31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4" t="s">
        <v>0</v>
      </c>
      <c r="C35" s="41" t="s">
        <v>0</v>
      </c>
      <c r="D35" s="42"/>
      <c r="E35" s="42"/>
      <c r="F35" s="42"/>
      <c r="G35" s="42"/>
      <c r="H35" s="42"/>
      <c r="I35" s="42"/>
      <c r="J35" s="42"/>
      <c r="K35" s="43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6">
        <v>46230</v>
      </c>
      <c r="C36" s="31">
        <v>243284.58</v>
      </c>
      <c r="D36" s="31">
        <v>206638.33</v>
      </c>
      <c r="E36" s="30">
        <v>48.33</v>
      </c>
      <c r="F36" s="31"/>
      <c r="G36" s="30">
        <f>1248</f>
        <v>1248</v>
      </c>
      <c r="H36" s="31">
        <v>206590</v>
      </c>
      <c r="I36" s="31"/>
      <c r="J36" s="31"/>
      <c r="K36" s="31">
        <v>50</v>
      </c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6">
        <v>46231</v>
      </c>
      <c r="C37" s="31"/>
      <c r="D37" s="31"/>
      <c r="E37" s="31"/>
      <c r="F37" s="31"/>
      <c r="G37" s="31"/>
      <c r="H37" s="31"/>
      <c r="I37" s="31"/>
      <c r="J37" s="31"/>
      <c r="K37" s="31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6">
        <v>46232</v>
      </c>
      <c r="C38" s="31"/>
      <c r="D38" s="31"/>
      <c r="E38" s="31"/>
      <c r="F38" s="31"/>
      <c r="G38" s="31"/>
      <c r="H38" s="31"/>
      <c r="I38" s="31"/>
      <c r="J38" s="31"/>
      <c r="K38" s="31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6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6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6"/>
      <c r="C41" s="11"/>
      <c r="D41" s="11"/>
      <c r="E41" s="30"/>
      <c r="F41" s="30"/>
      <c r="G41" s="30"/>
      <c r="H41" s="30"/>
      <c r="I41" s="30"/>
      <c r="J41" s="30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4"/>
      <c r="C42" s="41"/>
      <c r="D42" s="42"/>
      <c r="E42" s="42"/>
      <c r="F42" s="42"/>
      <c r="G42" s="42"/>
      <c r="H42" s="42"/>
      <c r="I42" s="42"/>
      <c r="J42" s="42"/>
      <c r="K42" s="43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5" t="s">
        <v>1</v>
      </c>
      <c r="B43" s="26"/>
      <c r="C43" s="16">
        <f t="shared" ref="C43:H43" si="0">SUM(C10:C42)</f>
        <v>6795001.5800000001</v>
      </c>
      <c r="D43" s="16">
        <f t="shared" si="0"/>
        <v>5804945.5800000001</v>
      </c>
      <c r="E43" s="27">
        <f t="shared" si="0"/>
        <v>11133.83</v>
      </c>
      <c r="F43" s="16">
        <f t="shared" si="0"/>
        <v>5850.25</v>
      </c>
      <c r="G43" s="27">
        <f t="shared" si="0"/>
        <v>26754</v>
      </c>
      <c r="H43" s="16">
        <f t="shared" si="0"/>
        <v>5799662</v>
      </c>
      <c r="I43" s="27">
        <f t="shared" ref="I43:J43" si="1">SUM(I10:I42)</f>
        <v>0</v>
      </c>
      <c r="J43" s="16">
        <f t="shared" si="1"/>
        <v>0</v>
      </c>
      <c r="K43" s="16">
        <f>SUM(K10:K42)</f>
        <v>25157.5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4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3:K13"/>
    <mergeCell ref="C14:K14"/>
    <mergeCell ref="C21:K21"/>
    <mergeCell ref="C28:K28"/>
    <mergeCell ref="C35:K35"/>
    <mergeCell ref="C20:K20"/>
    <mergeCell ref="C27:K2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2026-07-28T00:22:32Z</dcterms:modified>
</cp:coreProperties>
</file>