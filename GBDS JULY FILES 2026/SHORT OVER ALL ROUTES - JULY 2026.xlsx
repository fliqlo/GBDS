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94231CEF-0164-4ED2-9BCB-AAB9D7F53AA0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6" i="6" l="1"/>
  <c r="K25" i="13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11180</t>
        </r>
      </text>
    </comment>
    <comment ref="I24" authorId="0" shapeId="0" xr:uid="{A4D2DD5B-105B-439E-8A47-60C190A1E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11463</t>
        </r>
      </text>
    </comment>
    <comment ref="I26" authorId="0" shapeId="0" xr:uid="{CA1086BA-8C22-4706-8DC5-A44209D61B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J26" authorId="0" shapeId="0" xr:uid="{0313F5C5-A99F-4CAC-AA16-AA6BB50CCF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11033</t>
        </r>
      </text>
    </comment>
    <comment ref="J27" authorId="0" shapeId="0" xr:uid="{BBAC9318-A30D-4FC5-800F-7EEA5DCF1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11463</t>
        </r>
      </text>
    </comment>
    <comment ref="I32" authorId="0" shapeId="0" xr:uid="{EA416575-FA29-4F4E-8582-524163DB6F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11485</t>
        </r>
      </text>
    </comment>
    <comment ref="J34" authorId="0" shapeId="0" xr:uid="{80F885C1-AC5F-478E-8F44-56A5D826D1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11485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0" authorId="0" shapeId="0" xr:uid="{A4516D3E-FA50-4CA0-9404-5EB8FC48E5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INCENTIVES HENSON</t>
        </r>
      </text>
    </comment>
  </commentList>
</comments>
</file>

<file path=xl/sharedStrings.xml><?xml version="1.0" encoding="utf-8"?>
<sst xmlns="http://schemas.openxmlformats.org/spreadsheetml/2006/main" count="85" uniqueCount="22">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</sst>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zoomScaleNormal="100" zoomScaleSheetLayoutView="100" workbookViewId="0">
      <selection activeCell="C36" sqref="C3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258311</v>
      </c>
      <c r="D16" s="34">
        <v>218333</v>
      </c>
      <c r="E16" s="31">
        <v>81</v>
      </c>
      <c r="F16" s="31"/>
      <c r="G16" s="31">
        <v>2010</v>
      </c>
      <c r="H16" s="34">
        <v>218252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290058.5</v>
      </c>
      <c r="D17" s="34">
        <v>200363</v>
      </c>
      <c r="E17" s="31">
        <v>115</v>
      </c>
      <c r="F17" s="31"/>
      <c r="G17" s="31"/>
      <c r="H17" s="34">
        <v>200248</v>
      </c>
      <c r="I17" s="31">
        <v>48345</v>
      </c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295573</v>
      </c>
      <c r="D18" s="32">
        <v>240035.5</v>
      </c>
      <c r="E18" s="31">
        <v>274.5</v>
      </c>
      <c r="F18" s="31"/>
      <c r="G18" s="31"/>
      <c r="H18" s="32">
        <v>239761</v>
      </c>
      <c r="I18" s="31">
        <v>95886</v>
      </c>
      <c r="J18" s="31">
        <v>84261</v>
      </c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265548.5</v>
      </c>
      <c r="D22" s="32">
        <v>226385.75</v>
      </c>
      <c r="E22" s="31">
        <v>300.75</v>
      </c>
      <c r="F22" s="32"/>
      <c r="G22" s="31">
        <v>1356</v>
      </c>
      <c r="H22" s="32">
        <v>226085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263812.5</v>
      </c>
      <c r="D23" s="32">
        <v>222004.5</v>
      </c>
      <c r="E23" s="32"/>
      <c r="F23" s="32">
        <v>462.5</v>
      </c>
      <c r="G23" s="31">
        <v>1404</v>
      </c>
      <c r="H23" s="32">
        <v>222467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230785.5</v>
      </c>
      <c r="D24" s="32">
        <v>138191</v>
      </c>
      <c r="E24" s="31"/>
      <c r="F24" s="34">
        <v>115</v>
      </c>
      <c r="G24" s="31"/>
      <c r="H24" s="34">
        <v>138306</v>
      </c>
      <c r="I24" s="31">
        <v>62203</v>
      </c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249733</v>
      </c>
      <c r="D25" s="32">
        <v>213767.5</v>
      </c>
      <c r="E25" s="31"/>
      <c r="F25" s="32">
        <v>1740.5</v>
      </c>
      <c r="G25" s="31">
        <v>684</v>
      </c>
      <c r="H25" s="32">
        <v>215508</v>
      </c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476545</v>
      </c>
      <c r="D26" s="32">
        <v>421468.75</v>
      </c>
      <c r="E26" s="31">
        <v>311.75</v>
      </c>
      <c r="F26" s="31"/>
      <c r="G26" s="31">
        <v>2622</v>
      </c>
      <c r="H26" s="32">
        <v>421157</v>
      </c>
      <c r="I26" s="31">
        <f>82890</f>
        <v>82890</v>
      </c>
      <c r="J26" s="31">
        <v>95886</v>
      </c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42">
        <v>62203</v>
      </c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>
        <v>446877</v>
      </c>
      <c r="D29" s="37">
        <v>381656.25</v>
      </c>
      <c r="E29" s="13">
        <v>8.25</v>
      </c>
      <c r="F29" s="11"/>
      <c r="G29" s="42">
        <v>1656</v>
      </c>
      <c r="H29" s="33">
        <v>381648</v>
      </c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>
        <v>240956.33</v>
      </c>
      <c r="D30" s="37">
        <v>205623.83</v>
      </c>
      <c r="E30" s="13"/>
      <c r="F30" s="11">
        <v>48.17</v>
      </c>
      <c r="G30" s="42"/>
      <c r="H30" s="33">
        <v>205672</v>
      </c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>
        <v>222100.5</v>
      </c>
      <c r="D31" s="37">
        <v>189759.14</v>
      </c>
      <c r="E31" s="13">
        <v>1328.14</v>
      </c>
      <c r="F31" s="11"/>
      <c r="G31" s="42"/>
      <c r="H31" s="33">
        <v>188431</v>
      </c>
      <c r="I31" s="42"/>
      <c r="J31" s="33"/>
      <c r="K31" s="30">
        <v>92.86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>
        <v>282218.17</v>
      </c>
      <c r="D32" s="32">
        <v>198223.17</v>
      </c>
      <c r="E32" s="31">
        <v>102.17</v>
      </c>
      <c r="F32" s="31"/>
      <c r="G32" s="31">
        <v>1296</v>
      </c>
      <c r="H32" s="32">
        <v>198121</v>
      </c>
      <c r="I32" s="31">
        <v>38920</v>
      </c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>
        <v>612830</v>
      </c>
      <c r="D33" s="32">
        <v>570314</v>
      </c>
      <c r="E33" s="31"/>
      <c r="F33" s="32">
        <v>7</v>
      </c>
      <c r="G33" s="31">
        <v>4698</v>
      </c>
      <c r="H33" s="32">
        <v>570321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32"/>
      <c r="D34" s="32"/>
      <c r="E34" s="31"/>
      <c r="F34" s="32"/>
      <c r="G34" s="31"/>
      <c r="H34" s="32">
        <v>38920</v>
      </c>
      <c r="I34" s="31"/>
      <c r="J34" s="31">
        <v>38920</v>
      </c>
      <c r="K34" s="31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4998523.5</v>
      </c>
      <c r="D43" s="16">
        <f t="shared" si="0"/>
        <v>3896675.89</v>
      </c>
      <c r="E43" s="28">
        <f t="shared" si="0"/>
        <v>4310.0600000000004</v>
      </c>
      <c r="F43" s="16">
        <f t="shared" si="0"/>
        <v>5254.6</v>
      </c>
      <c r="G43" s="28">
        <f t="shared" si="0"/>
        <v>19092</v>
      </c>
      <c r="H43" s="16">
        <f t="shared" si="0"/>
        <v>4142011</v>
      </c>
      <c r="I43" s="28">
        <f t="shared" ref="I43:J43" si="1">SUM(I10:I42)</f>
        <v>372029</v>
      </c>
      <c r="J43" s="16">
        <f t="shared" si="1"/>
        <v>281270</v>
      </c>
      <c r="K43" s="16">
        <f>SUM(K10:K42)</f>
        <v>220.54000000000002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0:K10"/>
    <mergeCell ref="C14:K14"/>
    <mergeCell ref="C42:K42"/>
    <mergeCell ref="C21:K21"/>
    <mergeCell ref="C28:K28"/>
    <mergeCell ref="C35:K35"/>
    <mergeCell ref="C13:K13"/>
    <mergeCell ref="C19:K19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36" sqref="C3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325910</v>
      </c>
      <c r="D16" s="34">
        <v>274485.5</v>
      </c>
      <c r="E16" s="31">
        <v>1255.5</v>
      </c>
      <c r="F16" s="31"/>
      <c r="G16" s="31">
        <v>2496</v>
      </c>
      <c r="H16" s="34">
        <v>273230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217925</v>
      </c>
      <c r="D17" s="34">
        <v>185540</v>
      </c>
      <c r="E17" s="31"/>
      <c r="F17" s="34">
        <v>52</v>
      </c>
      <c r="G17" s="31">
        <v>1206</v>
      </c>
      <c r="H17" s="34">
        <v>185592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236707</v>
      </c>
      <c r="D18" s="32">
        <v>200869</v>
      </c>
      <c r="E18" s="31">
        <v>204</v>
      </c>
      <c r="F18" s="31"/>
      <c r="G18" s="31">
        <v>1296</v>
      </c>
      <c r="H18" s="32">
        <v>200665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264783</v>
      </c>
      <c r="D22" s="32">
        <v>223640.25</v>
      </c>
      <c r="E22" s="31">
        <v>149.25</v>
      </c>
      <c r="F22" s="32"/>
      <c r="G22" s="31">
        <v>1548</v>
      </c>
      <c r="H22" s="32">
        <v>223491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2444360.33</v>
      </c>
      <c r="D23" s="32">
        <v>205234.33</v>
      </c>
      <c r="E23" s="31">
        <v>193.33</v>
      </c>
      <c r="F23" s="32"/>
      <c r="G23" s="31">
        <v>1296</v>
      </c>
      <c r="H23" s="32">
        <v>205041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151113.32999999999</v>
      </c>
      <c r="D24" s="32">
        <v>130290.33</v>
      </c>
      <c r="E24" s="31">
        <v>360.33</v>
      </c>
      <c r="F24" s="34"/>
      <c r="G24" s="31"/>
      <c r="H24" s="34">
        <v>130290.33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278011.66666666669</v>
      </c>
      <c r="D25" s="32">
        <v>244719.16666666669</v>
      </c>
      <c r="E25" s="31">
        <v>84.17</v>
      </c>
      <c r="F25" s="31"/>
      <c r="G25" s="31">
        <v>2004</v>
      </c>
      <c r="H25" s="32">
        <v>244635</v>
      </c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270113.33</v>
      </c>
      <c r="D26" s="32">
        <v>227409.83</v>
      </c>
      <c r="E26" s="31"/>
      <c r="F26" s="32">
        <v>72.17</v>
      </c>
      <c r="G26" s="31">
        <v>972</v>
      </c>
      <c r="H26" s="32">
        <v>227482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43" t="s">
        <v>21</v>
      </c>
      <c r="D27" s="44"/>
      <c r="E27" s="44"/>
      <c r="F27" s="44"/>
      <c r="G27" s="44"/>
      <c r="H27" s="44"/>
      <c r="I27" s="44"/>
      <c r="J27" s="44"/>
      <c r="K27" s="45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>
        <v>283390</v>
      </c>
      <c r="D29" s="37">
        <v>238142.5</v>
      </c>
      <c r="E29" s="13">
        <v>721.5</v>
      </c>
      <c r="F29" s="11"/>
      <c r="G29" s="42">
        <v>1776</v>
      </c>
      <c r="H29" s="33">
        <v>237421</v>
      </c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>
        <v>151595</v>
      </c>
      <c r="D30" s="37">
        <v>124368.5</v>
      </c>
      <c r="E30" s="13">
        <v>234.5</v>
      </c>
      <c r="F30" s="11"/>
      <c r="G30" s="42">
        <v>252</v>
      </c>
      <c r="H30" s="33">
        <v>124134</v>
      </c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>
        <v>230482.54</v>
      </c>
      <c r="D31" s="37">
        <v>194682.04</v>
      </c>
      <c r="E31" s="13">
        <v>299.04000000000002</v>
      </c>
      <c r="F31" s="11"/>
      <c r="G31" s="42">
        <v>1668</v>
      </c>
      <c r="H31" s="33">
        <v>194383</v>
      </c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>
        <v>223968.88</v>
      </c>
      <c r="D32" s="32">
        <v>189405.13</v>
      </c>
      <c r="E32" s="31">
        <v>835.13</v>
      </c>
      <c r="F32" s="31"/>
      <c r="G32" s="31">
        <v>1008</v>
      </c>
      <c r="H32" s="32">
        <v>188570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>
        <v>222577.58</v>
      </c>
      <c r="D33" s="32">
        <v>189464.33</v>
      </c>
      <c r="E33" s="31"/>
      <c r="F33" s="32">
        <v>631.66999999999996</v>
      </c>
      <c r="G33" s="31">
        <v>1380</v>
      </c>
      <c r="H33" s="32">
        <v>190096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43" t="s">
        <v>21</v>
      </c>
      <c r="D34" s="44"/>
      <c r="E34" s="44"/>
      <c r="F34" s="44"/>
      <c r="G34" s="44"/>
      <c r="H34" s="44"/>
      <c r="I34" s="44"/>
      <c r="J34" s="44"/>
      <c r="K34" s="45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6077926.1566666672</v>
      </c>
      <c r="D43" s="16">
        <f t="shared" si="0"/>
        <v>3282159.9066666667</v>
      </c>
      <c r="E43" s="28">
        <f t="shared" si="0"/>
        <v>5875.75</v>
      </c>
      <c r="F43" s="16">
        <f t="shared" si="0"/>
        <v>1272.8399999999999</v>
      </c>
      <c r="G43" s="28">
        <f t="shared" si="0"/>
        <v>21804</v>
      </c>
      <c r="H43" s="16">
        <f t="shared" si="0"/>
        <v>3277917.33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1">
    <mergeCell ref="C42:K42"/>
    <mergeCell ref="C13:K13"/>
    <mergeCell ref="C11:K11"/>
    <mergeCell ref="C14:K14"/>
    <mergeCell ref="C21:K21"/>
    <mergeCell ref="C28:K28"/>
    <mergeCell ref="C35:K35"/>
    <mergeCell ref="C19:K19"/>
    <mergeCell ref="C20:K20"/>
    <mergeCell ref="C27:K27"/>
    <mergeCell ref="C34:K3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zoomScaleNormal="100" zoomScaleSheetLayoutView="100" workbookViewId="0">
      <selection activeCell="C36" sqref="C3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287132</v>
      </c>
      <c r="D16" s="34">
        <v>243548.75</v>
      </c>
      <c r="E16" s="31">
        <v>2143.75</v>
      </c>
      <c r="F16" s="31"/>
      <c r="G16" s="31">
        <v>1824</v>
      </c>
      <c r="H16" s="34">
        <v>241405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349413</v>
      </c>
      <c r="D17" s="34">
        <v>305021.5</v>
      </c>
      <c r="E17" s="31">
        <v>2129.5</v>
      </c>
      <c r="F17" s="31"/>
      <c r="G17" s="31"/>
      <c r="H17" s="34">
        <v>302892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112831.5</v>
      </c>
      <c r="D18" s="32">
        <v>94338</v>
      </c>
      <c r="E18" s="31"/>
      <c r="F18" s="32">
        <v>2094</v>
      </c>
      <c r="G18" s="31">
        <v>300</v>
      </c>
      <c r="H18" s="32">
        <v>96432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2">
        <v>249944.5</v>
      </c>
      <c r="D19" s="32">
        <v>211759.25</v>
      </c>
      <c r="E19" s="31"/>
      <c r="F19" s="34">
        <v>12.75</v>
      </c>
      <c r="G19" s="31">
        <v>942</v>
      </c>
      <c r="H19" s="34">
        <v>211772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386726.5</v>
      </c>
      <c r="D22" s="32">
        <v>322822.75</v>
      </c>
      <c r="E22" s="31">
        <v>3522.75</v>
      </c>
      <c r="F22" s="32"/>
      <c r="G22" s="31">
        <v>1296</v>
      </c>
      <c r="H22" s="32">
        <v>319300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226895</v>
      </c>
      <c r="D23" s="32">
        <v>191038.5</v>
      </c>
      <c r="E23" s="32"/>
      <c r="F23" s="32">
        <v>1106.5</v>
      </c>
      <c r="G23" s="31">
        <v>1446</v>
      </c>
      <c r="H23" s="32">
        <v>192145</v>
      </c>
      <c r="I23" s="32"/>
      <c r="J23" s="32"/>
      <c r="K23" s="32">
        <v>50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341541</v>
      </c>
      <c r="D24" s="32">
        <v>279441.75</v>
      </c>
      <c r="E24" s="31">
        <v>2872.75</v>
      </c>
      <c r="F24" s="34"/>
      <c r="G24" s="31">
        <v>1896</v>
      </c>
      <c r="H24" s="34">
        <v>276569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142129.5</v>
      </c>
      <c r="D25" s="32">
        <v>121441.5</v>
      </c>
      <c r="E25" s="31"/>
      <c r="F25" s="32">
        <v>2442.5</v>
      </c>
      <c r="G25" s="31">
        <v>780</v>
      </c>
      <c r="H25" s="32">
        <v>123884</v>
      </c>
      <c r="I25" s="31"/>
      <c r="J25" s="32"/>
      <c r="K25" s="32">
        <f>50+100</f>
        <v>150</v>
      </c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507045</v>
      </c>
      <c r="D26" s="32">
        <v>442359</v>
      </c>
      <c r="E26" s="31">
        <v>65</v>
      </c>
      <c r="F26" s="31"/>
      <c r="G26" s="31">
        <v>2592</v>
      </c>
      <c r="H26" s="32">
        <v>442294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43" t="s">
        <v>21</v>
      </c>
      <c r="D27" s="44"/>
      <c r="E27" s="44"/>
      <c r="F27" s="44"/>
      <c r="G27" s="44"/>
      <c r="H27" s="44"/>
      <c r="I27" s="44"/>
      <c r="J27" s="44"/>
      <c r="K27" s="45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>
        <v>510270</v>
      </c>
      <c r="D29" s="37">
        <v>435177.25</v>
      </c>
      <c r="E29" s="13">
        <v>145.25</v>
      </c>
      <c r="F29" s="11"/>
      <c r="G29" s="42">
        <v>1584</v>
      </c>
      <c r="H29" s="33">
        <v>435032</v>
      </c>
      <c r="I29" s="42"/>
      <c r="J29" s="33"/>
      <c r="K29" s="30">
        <v>50</v>
      </c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>
        <v>344940</v>
      </c>
      <c r="D30" s="37">
        <v>262971.75</v>
      </c>
      <c r="E30" s="13">
        <v>104.75</v>
      </c>
      <c r="F30" s="11"/>
      <c r="G30" s="42">
        <v>1104</v>
      </c>
      <c r="H30" s="33">
        <v>262867</v>
      </c>
      <c r="I30" s="42"/>
      <c r="J30" s="33"/>
      <c r="K30" s="30">
        <v>24757.5</v>
      </c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>
        <v>408168</v>
      </c>
      <c r="D31" s="37">
        <v>371172.75</v>
      </c>
      <c r="E31" s="13">
        <v>0.75</v>
      </c>
      <c r="F31" s="11"/>
      <c r="G31" s="42"/>
      <c r="H31" s="33">
        <v>371172</v>
      </c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>
        <v>407248</v>
      </c>
      <c r="D32" s="32">
        <v>340907</v>
      </c>
      <c r="E32" s="31"/>
      <c r="F32" s="34">
        <v>52</v>
      </c>
      <c r="G32" s="31">
        <v>1140</v>
      </c>
      <c r="H32" s="32">
        <v>340959</v>
      </c>
      <c r="I32" s="31"/>
      <c r="J32" s="31"/>
      <c r="K32" s="34">
        <v>50</v>
      </c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>
        <v>505296</v>
      </c>
      <c r="D33" s="32">
        <v>432331.5</v>
      </c>
      <c r="E33" s="31">
        <v>45.5</v>
      </c>
      <c r="F33" s="32"/>
      <c r="G33" s="31">
        <v>2946</v>
      </c>
      <c r="H33" s="32">
        <v>432286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32">
        <v>482911</v>
      </c>
      <c r="D34" s="32">
        <v>442009.75</v>
      </c>
      <c r="E34" s="32"/>
      <c r="F34" s="32">
        <v>28.25</v>
      </c>
      <c r="G34" s="31">
        <v>1608</v>
      </c>
      <c r="H34" s="32">
        <v>442038</v>
      </c>
      <c r="I34" s="32"/>
      <c r="J34" s="32"/>
      <c r="K34" s="32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6551717</v>
      </c>
      <c r="D43" s="16">
        <f t="shared" si="0"/>
        <v>5598307.25</v>
      </c>
      <c r="E43" s="28">
        <f t="shared" si="0"/>
        <v>11085.5</v>
      </c>
      <c r="F43" s="16">
        <f t="shared" si="0"/>
        <v>5850.25</v>
      </c>
      <c r="G43" s="28">
        <f t="shared" si="0"/>
        <v>25506</v>
      </c>
      <c r="H43" s="16">
        <f t="shared" si="0"/>
        <v>5593072</v>
      </c>
      <c r="I43" s="28">
        <f t="shared" ref="I43:J43" si="1">SUM(I10:I42)</f>
        <v>0</v>
      </c>
      <c r="J43" s="16">
        <f t="shared" si="1"/>
        <v>0</v>
      </c>
      <c r="K43" s="16">
        <f>SUM(K10:K42)</f>
        <v>25107.5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13:K13"/>
    <mergeCell ref="C14:K14"/>
    <mergeCell ref="C21:K21"/>
    <mergeCell ref="C28:K28"/>
    <mergeCell ref="C35:K35"/>
    <mergeCell ref="C20:K20"/>
    <mergeCell ref="C27:K27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2026-07-27T01:49:23Z</dcterms:modified>
</cp:coreProperties>
</file>