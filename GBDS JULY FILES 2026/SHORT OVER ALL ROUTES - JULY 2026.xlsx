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BE31D3FE-DD58-48C5-8547-A40E62A4BC4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<sst xmlns="http://schemas.openxmlformats.org/spreadsheetml/2006/main" count="84" uniqueCount="22">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</sst>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249733</v>
      </c>
      <c r="D25" s="32">
        <v>213767.5</v>
      </c>
      <c r="E25" s="31"/>
      <c r="F25" s="32">
        <v>1740.5</v>
      </c>
      <c r="G25" s="31">
        <v>684</v>
      </c>
      <c r="H25" s="32">
        <v>215508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476545</v>
      </c>
      <c r="D26" s="32">
        <v>421468.75</v>
      </c>
      <c r="E26" s="31">
        <v>311.75</v>
      </c>
      <c r="F26" s="31"/>
      <c r="G26" s="31">
        <v>2622</v>
      </c>
      <c r="H26" s="32">
        <v>421157</v>
      </c>
      <c r="I26" s="31">
        <f>82890</f>
        <v>82890</v>
      </c>
      <c r="J26" s="31">
        <v>95886</v>
      </c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42">
        <v>62203</v>
      </c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446877</v>
      </c>
      <c r="D29" s="37">
        <v>381656.25</v>
      </c>
      <c r="E29" s="13">
        <v>8.25</v>
      </c>
      <c r="F29" s="11"/>
      <c r="G29" s="42">
        <v>1656</v>
      </c>
      <c r="H29" s="33">
        <v>381648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240956.33</v>
      </c>
      <c r="D30" s="37">
        <v>205623.83</v>
      </c>
      <c r="E30" s="13"/>
      <c r="F30" s="11">
        <v>48.17</v>
      </c>
      <c r="G30" s="42"/>
      <c r="H30" s="33">
        <v>205672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222100.5</v>
      </c>
      <c r="D31" s="37">
        <v>189759.14</v>
      </c>
      <c r="E31" s="13">
        <v>1328.14</v>
      </c>
      <c r="F31" s="11"/>
      <c r="G31" s="42"/>
      <c r="H31" s="33">
        <v>188431</v>
      </c>
      <c r="I31" s="42"/>
      <c r="J31" s="33"/>
      <c r="K31" s="30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4103475.33</v>
      </c>
      <c r="D43" s="16">
        <f t="shared" si="0"/>
        <v>3128138.72</v>
      </c>
      <c r="E43" s="28">
        <f t="shared" si="0"/>
        <v>4207.8900000000003</v>
      </c>
      <c r="F43" s="16">
        <f t="shared" si="0"/>
        <v>5247.6</v>
      </c>
      <c r="G43" s="28">
        <f t="shared" si="0"/>
        <v>13098</v>
      </c>
      <c r="H43" s="16">
        <f t="shared" si="0"/>
        <v>3334649</v>
      </c>
      <c r="I43" s="28">
        <f t="shared" ref="I43:J43" si="1">SUM(I10:I42)</f>
        <v>333109</v>
      </c>
      <c r="J43" s="16">
        <f t="shared" si="1"/>
        <v>242350</v>
      </c>
      <c r="K43" s="16">
        <f>SUM(K10:K42)</f>
        <v>220.54000000000002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278011.66666666669</v>
      </c>
      <c r="D25" s="32">
        <v>244719.16666666669</v>
      </c>
      <c r="E25" s="31">
        <v>84.17</v>
      </c>
      <c r="F25" s="31"/>
      <c r="G25" s="31">
        <v>2004</v>
      </c>
      <c r="H25" s="32">
        <v>244635</v>
      </c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270113.33</v>
      </c>
      <c r="D26" s="32">
        <v>227409.83</v>
      </c>
      <c r="E26" s="31"/>
      <c r="F26" s="32">
        <v>72.17</v>
      </c>
      <c r="G26" s="31">
        <v>972</v>
      </c>
      <c r="H26" s="32">
        <v>227482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283390</v>
      </c>
      <c r="D29" s="37">
        <v>238142.5</v>
      </c>
      <c r="E29" s="13">
        <v>721.5</v>
      </c>
      <c r="F29" s="11"/>
      <c r="G29" s="42">
        <v>1776</v>
      </c>
      <c r="H29" s="33">
        <v>237421</v>
      </c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151595</v>
      </c>
      <c r="D30" s="37">
        <v>124368.5</v>
      </c>
      <c r="E30" s="13">
        <v>234.5</v>
      </c>
      <c r="F30" s="11"/>
      <c r="G30" s="42">
        <v>252</v>
      </c>
      <c r="H30" s="33">
        <v>124134</v>
      </c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230482.54</v>
      </c>
      <c r="D31" s="37">
        <v>194682.04</v>
      </c>
      <c r="E31" s="13">
        <v>299.04000000000002</v>
      </c>
      <c r="F31" s="11"/>
      <c r="G31" s="42">
        <v>1668</v>
      </c>
      <c r="H31" s="33">
        <v>194383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5631379.6966666672</v>
      </c>
      <c r="D43" s="16">
        <f t="shared" si="0"/>
        <v>2903290.4466666668</v>
      </c>
      <c r="E43" s="28">
        <f t="shared" si="0"/>
        <v>5040.62</v>
      </c>
      <c r="F43" s="16">
        <f t="shared" si="0"/>
        <v>641.16999999999996</v>
      </c>
      <c r="G43" s="28">
        <f t="shared" si="0"/>
        <v>19416</v>
      </c>
      <c r="H43" s="16">
        <f t="shared" si="0"/>
        <v>2899251.33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>
        <v>142129.5</v>
      </c>
      <c r="D25" s="32">
        <v>121441.5</v>
      </c>
      <c r="E25" s="31"/>
      <c r="F25" s="32">
        <v>2442.5</v>
      </c>
      <c r="G25" s="31">
        <v>780</v>
      </c>
      <c r="H25" s="32">
        <v>123884</v>
      </c>
      <c r="I25" s="31"/>
      <c r="J25" s="32"/>
      <c r="K25" s="32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>
        <v>507045</v>
      </c>
      <c r="D26" s="32">
        <v>442359</v>
      </c>
      <c r="E26" s="31">
        <v>65</v>
      </c>
      <c r="F26" s="31"/>
      <c r="G26" s="31">
        <v>2592</v>
      </c>
      <c r="H26" s="32">
        <v>442294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43" t="s">
        <v>21</v>
      </c>
      <c r="D27" s="44"/>
      <c r="E27" s="44"/>
      <c r="F27" s="44"/>
      <c r="G27" s="44"/>
      <c r="H27" s="44"/>
      <c r="I27" s="44"/>
      <c r="J27" s="44"/>
      <c r="K27" s="45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>
        <v>510270</v>
      </c>
      <c r="D29" s="37">
        <v>435177.25</v>
      </c>
      <c r="E29" s="13">
        <v>145.25</v>
      </c>
      <c r="F29" s="11"/>
      <c r="G29" s="42">
        <v>1584</v>
      </c>
      <c r="H29" s="33">
        <v>435032</v>
      </c>
      <c r="I29" s="42"/>
      <c r="J29" s="33"/>
      <c r="K29" s="30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>
        <v>344940</v>
      </c>
      <c r="D30" s="37">
        <v>262971.75</v>
      </c>
      <c r="E30" s="13">
        <v>104.75</v>
      </c>
      <c r="F30" s="11"/>
      <c r="G30" s="42">
        <v>1104</v>
      </c>
      <c r="H30" s="33">
        <v>262867</v>
      </c>
      <c r="I30" s="42"/>
      <c r="J30" s="33"/>
      <c r="K30" s="30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>
        <v>408168</v>
      </c>
      <c r="D31" s="37">
        <v>371172.75</v>
      </c>
      <c r="E31" s="13">
        <v>0.75</v>
      </c>
      <c r="F31" s="11"/>
      <c r="G31" s="42"/>
      <c r="H31" s="33">
        <v>371172</v>
      </c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5156262</v>
      </c>
      <c r="D43" s="16">
        <f t="shared" si="0"/>
        <v>4383059</v>
      </c>
      <c r="E43" s="28">
        <f t="shared" si="0"/>
        <v>11040</v>
      </c>
      <c r="F43" s="16">
        <f t="shared" si="0"/>
        <v>5770</v>
      </c>
      <c r="G43" s="28">
        <f t="shared" si="0"/>
        <v>19812</v>
      </c>
      <c r="H43" s="16">
        <f t="shared" si="0"/>
        <v>4377789</v>
      </c>
      <c r="I43" s="28">
        <f t="shared" ref="I43:J43" si="1">SUM(I10:I42)</f>
        <v>0</v>
      </c>
      <c r="J43" s="16">
        <f t="shared" si="1"/>
        <v>0</v>
      </c>
      <c r="K43" s="16">
        <f>SUM(K10:K42)</f>
        <v>25057.5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2026-07-23T00:21:31Z</dcterms:modified>
</cp:coreProperties>
</file>