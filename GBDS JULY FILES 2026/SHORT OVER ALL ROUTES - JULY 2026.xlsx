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BFDB400A-B625-42FE-9FF8-A5026F1F2B20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ULY, SRS R1" sheetId="6" r:id="rId1"/>
    <sheet name="JULY, SRS R2" sheetId="12" r:id="rId2"/>
    <sheet name="JULY, SRS R3" sheetId="13" r:id="rId3"/>
    <sheet name="," sheetId="14" r:id="rId4"/>
  </sheets>
  <definedNames>
    <definedName name="_xlnm.Print_Area" localSheetId="0">'JULY, SRS R1'!$A$1:$K$44</definedName>
    <definedName name="_xlnm.Print_Area" localSheetId="1">'JULY, SRS R2'!$A$1:$K$44</definedName>
    <definedName name="_xlnm.Print_Area" localSheetId="2">'JULY,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1" authorId="0" shapeId="0" xr:uid="{A1927ADD-B4F0-4A33-A2A7-A7CC0808A9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11198
</t>
        </r>
      </text>
    </comment>
    <comment ref="I17" authorId="0" shapeId="0" xr:uid="{9A3CA438-2914-421D-B98E-FBA124A2B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11030
</t>
        </r>
      </text>
    </comment>
    <comment ref="I18" authorId="0" shapeId="0" xr:uid="{89D6F533-4651-428F-8183-5752565AD8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11033</t>
        </r>
      </text>
    </comment>
    <comment ref="J18" authorId="0" shapeId="0" xr:uid="{5A1C2166-8717-4896-B321-FA19CB2FD9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11180</t>
        </r>
      </text>
    </comment>
  </commentList>
</comments>
</file>

<file path=xl/sharedStrings.xml><?xml version="1.0" encoding="utf-8"?>
<sst xmlns="http://schemas.openxmlformats.org/spreadsheetml/2006/main" count="77" uniqueCount="22">
  <si>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</si>
  <si>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</si>
  <si>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</si>
  <si>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</si>
  <si>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</si>
  <si>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</si>
  <si>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</si>
  <si>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</si>
  <si>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</si>
  <si>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</si>
  <si>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</si>
  <si>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</si>
  <si>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</si>
  <si>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</si>
  <si>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</si>
  <si>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</si>
  <si>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</si>
  <si>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</si>
  <si>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</si>
  <si>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</si>
  <si>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JULY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</si>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</sst>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19" sqref="C1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43" t="s">
        <v>21</v>
      </c>
      <c r="D10" s="44"/>
      <c r="E10" s="44"/>
      <c r="F10" s="44"/>
      <c r="G10" s="44"/>
      <c r="H10" s="44"/>
      <c r="I10" s="44"/>
      <c r="J10" s="44"/>
      <c r="K10" s="4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298036</v>
      </c>
      <c r="D11" s="32">
        <v>206</v>
      </c>
      <c r="E11" s="31"/>
      <c r="F11" s="32">
        <v>1185.43</v>
      </c>
      <c r="G11" s="31"/>
      <c r="H11" s="32">
        <v>206862</v>
      </c>
      <c r="I11" s="31">
        <v>43785</v>
      </c>
      <c r="J11" s="32"/>
      <c r="K11" s="32">
        <v>127.68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331281.5</v>
      </c>
      <c r="D12" s="32">
        <v>274671.5</v>
      </c>
      <c r="E12" s="31">
        <v>1788.5</v>
      </c>
      <c r="F12" s="32"/>
      <c r="G12" s="31">
        <v>2040</v>
      </c>
      <c r="H12" s="32">
        <v>272883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233857</v>
      </c>
      <c r="D15" s="34">
        <v>195673</v>
      </c>
      <c r="E15" s="31"/>
      <c r="F15" s="34">
        <v>1696</v>
      </c>
      <c r="G15" s="31">
        <v>1326</v>
      </c>
      <c r="H15" s="34">
        <v>197369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258311</v>
      </c>
      <c r="D16" s="34">
        <v>218333</v>
      </c>
      <c r="E16" s="31">
        <v>81</v>
      </c>
      <c r="F16" s="31"/>
      <c r="G16" s="31">
        <v>2010</v>
      </c>
      <c r="H16" s="34">
        <v>218252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290058.5</v>
      </c>
      <c r="D17" s="34">
        <v>200363</v>
      </c>
      <c r="E17" s="31">
        <v>115</v>
      </c>
      <c r="F17" s="31"/>
      <c r="G17" s="31"/>
      <c r="H17" s="34">
        <v>200248</v>
      </c>
      <c r="I17" s="31">
        <v>48345</v>
      </c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295573</v>
      </c>
      <c r="D18" s="32">
        <v>240035.5</v>
      </c>
      <c r="E18" s="31">
        <v>274.5</v>
      </c>
      <c r="F18" s="31"/>
      <c r="G18" s="31"/>
      <c r="H18" s="32">
        <v>239761</v>
      </c>
      <c r="I18" s="31">
        <v>95886</v>
      </c>
      <c r="J18" s="31">
        <v>84261</v>
      </c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4"/>
      <c r="D19" s="34"/>
      <c r="E19" s="31"/>
      <c r="F19" s="31"/>
      <c r="G19" s="31"/>
      <c r="H19" s="34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1707117</v>
      </c>
      <c r="D43" s="16">
        <f t="shared" si="0"/>
        <v>1129282</v>
      </c>
      <c r="E43" s="28">
        <f t="shared" si="0"/>
        <v>2259</v>
      </c>
      <c r="F43" s="16">
        <f t="shared" si="0"/>
        <v>2881.4300000000003</v>
      </c>
      <c r="G43" s="28">
        <f t="shared" si="0"/>
        <v>5376</v>
      </c>
      <c r="H43" s="16">
        <f t="shared" si="0"/>
        <v>1335375</v>
      </c>
      <c r="I43" s="28">
        <f t="shared" ref="I43:J43" si="1">SUM(I10:I42)</f>
        <v>188016</v>
      </c>
      <c r="J43" s="16">
        <f t="shared" si="1"/>
        <v>84261</v>
      </c>
      <c r="K43" s="16">
        <f>SUM(K10:K42)</f>
        <v>127.68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10:K10"/>
    <mergeCell ref="C14:K14"/>
    <mergeCell ref="C42:K42"/>
    <mergeCell ref="C21:K21"/>
    <mergeCell ref="C28:K28"/>
    <mergeCell ref="C35:K35"/>
    <mergeCell ref="C13:K13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19" sqref="C1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249800.5</v>
      </c>
      <c r="D10" s="32">
        <v>211385.5</v>
      </c>
      <c r="E10" s="31">
        <v>773.5</v>
      </c>
      <c r="F10" s="32"/>
      <c r="G10" s="31">
        <v>1644</v>
      </c>
      <c r="H10" s="32">
        <v>210612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43" t="s">
        <v>21</v>
      </c>
      <c r="D11" s="44"/>
      <c r="E11" s="44"/>
      <c r="F11" s="44"/>
      <c r="G11" s="44"/>
      <c r="H11" s="44"/>
      <c r="I11" s="44"/>
      <c r="J11" s="44"/>
      <c r="K11" s="4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272174.5</v>
      </c>
      <c r="D12" s="32">
        <v>231067</v>
      </c>
      <c r="E12" s="31"/>
      <c r="F12" s="32">
        <v>517</v>
      </c>
      <c r="G12" s="31">
        <v>1308</v>
      </c>
      <c r="H12" s="32">
        <v>231584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255013.5</v>
      </c>
      <c r="D15" s="34">
        <v>211456.5</v>
      </c>
      <c r="E15" s="31">
        <v>765.5</v>
      </c>
      <c r="F15" s="31"/>
      <c r="G15" s="31">
        <v>1950</v>
      </c>
      <c r="H15" s="34">
        <v>210691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325910</v>
      </c>
      <c r="D16" s="34">
        <v>274485.5</v>
      </c>
      <c r="E16" s="31">
        <v>1255.5</v>
      </c>
      <c r="F16" s="31"/>
      <c r="G16" s="31">
        <v>2496</v>
      </c>
      <c r="H16" s="34">
        <v>273230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217925</v>
      </c>
      <c r="D17" s="34">
        <v>185540</v>
      </c>
      <c r="E17" s="31"/>
      <c r="F17" s="34">
        <v>52</v>
      </c>
      <c r="G17" s="31">
        <v>1206</v>
      </c>
      <c r="H17" s="34">
        <v>185592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236707</v>
      </c>
      <c r="D18" s="32">
        <v>200869</v>
      </c>
      <c r="E18" s="31">
        <v>204</v>
      </c>
      <c r="F18" s="31"/>
      <c r="G18" s="31">
        <v>1296</v>
      </c>
      <c r="H18" s="32">
        <v>200665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4"/>
      <c r="D19" s="34"/>
      <c r="E19" s="31"/>
      <c r="F19" s="31"/>
      <c r="G19" s="31"/>
      <c r="H19" s="34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1557530.5</v>
      </c>
      <c r="D43" s="16">
        <f t="shared" si="0"/>
        <v>1314803.5</v>
      </c>
      <c r="E43" s="28">
        <f t="shared" si="0"/>
        <v>2998.5</v>
      </c>
      <c r="F43" s="16">
        <f t="shared" si="0"/>
        <v>569</v>
      </c>
      <c r="G43" s="28">
        <f t="shared" si="0"/>
        <v>9900</v>
      </c>
      <c r="H43" s="16">
        <f t="shared" si="0"/>
        <v>1312374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13:K13"/>
    <mergeCell ref="C11:K11"/>
    <mergeCell ref="C14:K14"/>
    <mergeCell ref="C21:K21"/>
    <mergeCell ref="C28:K28"/>
    <mergeCell ref="C35:K35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C19" sqref="C1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8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297996.5</v>
      </c>
      <c r="D10" s="32">
        <v>238892</v>
      </c>
      <c r="E10" s="31">
        <v>21</v>
      </c>
      <c r="F10" s="32"/>
      <c r="G10" s="31">
        <v>1350</v>
      </c>
      <c r="H10" s="32">
        <v>238871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253346.5</v>
      </c>
      <c r="D11" s="32">
        <v>213164</v>
      </c>
      <c r="E11" s="31"/>
      <c r="F11" s="32">
        <v>47</v>
      </c>
      <c r="G11" s="31">
        <v>1722</v>
      </c>
      <c r="H11" s="32">
        <v>213211</v>
      </c>
      <c r="I11" s="31"/>
      <c r="J11" s="32"/>
      <c r="K11" s="32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438059</v>
      </c>
      <c r="D12" s="32">
        <v>402146.75</v>
      </c>
      <c r="E12" s="31"/>
      <c r="F12" s="32">
        <v>67.25</v>
      </c>
      <c r="G12" s="31">
        <v>648</v>
      </c>
      <c r="H12" s="32">
        <v>402214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299824</v>
      </c>
      <c r="D15" s="34">
        <v>247763.5</v>
      </c>
      <c r="E15" s="31">
        <v>34.5</v>
      </c>
      <c r="F15" s="31"/>
      <c r="G15" s="31">
        <v>2328</v>
      </c>
      <c r="H15" s="34">
        <v>247729</v>
      </c>
      <c r="I15" s="31"/>
      <c r="J15" s="34"/>
      <c r="K15" s="32">
        <v>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287132</v>
      </c>
      <c r="D16" s="34">
        <v>243548.75</v>
      </c>
      <c r="E16" s="31">
        <v>2143.75</v>
      </c>
      <c r="F16" s="31"/>
      <c r="G16" s="31">
        <v>1824</v>
      </c>
      <c r="H16" s="34">
        <v>241405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349413</v>
      </c>
      <c r="D17" s="34">
        <v>305021.5</v>
      </c>
      <c r="E17" s="31">
        <v>2129.5</v>
      </c>
      <c r="F17" s="31"/>
      <c r="G17" s="31"/>
      <c r="H17" s="34">
        <v>302892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112831.5</v>
      </c>
      <c r="D18" s="32">
        <v>94338</v>
      </c>
      <c r="E18" s="31"/>
      <c r="F18" s="32">
        <v>2094</v>
      </c>
      <c r="G18" s="31">
        <v>300</v>
      </c>
      <c r="H18" s="32">
        <v>96432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4"/>
      <c r="D19" s="34"/>
      <c r="E19" s="31"/>
      <c r="F19" s="31"/>
      <c r="G19" s="31"/>
      <c r="H19" s="34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2038602.5</v>
      </c>
      <c r="D43" s="16">
        <f t="shared" si="0"/>
        <v>1744874.5</v>
      </c>
      <c r="E43" s="28">
        <f t="shared" si="0"/>
        <v>4328.75</v>
      </c>
      <c r="F43" s="16">
        <f t="shared" si="0"/>
        <v>2208.25</v>
      </c>
      <c r="G43" s="28">
        <f t="shared" si="0"/>
        <v>8172</v>
      </c>
      <c r="H43" s="16">
        <f t="shared" si="0"/>
        <v>1742754</v>
      </c>
      <c r="I43" s="28">
        <f t="shared" ref="I43:J43" si="1">SUM(I10:I42)</f>
        <v>0</v>
      </c>
      <c r="J43" s="16">
        <f t="shared" si="1"/>
        <v>0</v>
      </c>
      <c r="K43" s="16">
        <f>SUM(K10:K42)</f>
        <v>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6">
    <mergeCell ref="C42:K42"/>
    <mergeCell ref="C13:K13"/>
    <mergeCell ref="C14:K14"/>
    <mergeCell ref="C21:K21"/>
    <mergeCell ref="C28:K28"/>
    <mergeCell ref="C35:K35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JULY, SRS R1</vt:lpstr>
      <vt:lpstr>JULY, SRS R2</vt:lpstr>
      <vt:lpstr>JULY, SRS R3</vt:lpstr>
      <vt:lpstr>,</vt:lpstr>
      <vt:lpstr>'JULY, SRS R1'!Print_Area</vt:lpstr>
      <vt:lpstr>'JULY, SRS R2'!Print_Area</vt:lpstr>
      <vt:lpstr>'JULY,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2026-07-10T01:06:46Z</dcterms:modified>
</cp:coreProperties>
</file>