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0FE04124-5088-4D53-ABC2-6EA73AB41444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JULY, SRS R1" sheetId="6" r:id="rId1"/>
    <sheet name="JULY, SRS R2" sheetId="12" r:id="rId2"/>
    <sheet name="JULY, SRS R3" sheetId="13" r:id="rId3"/>
    <sheet name="," sheetId="14" r:id="rId4"/>
  </sheets>
  <definedNames>
    <definedName name="_xlnm.Print_Area" localSheetId="0">'JULY, SRS R1'!$A$1:$K$44</definedName>
    <definedName name="_xlnm.Print_Area" localSheetId="1">'JULY, SRS R2'!$A$1:$K$44</definedName>
    <definedName name="_xlnm.Print_Area" localSheetId="2">'JULY, SRS R3'!$A$1:$K$44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43" i="13" l="1"/>
  <c r="J43" i="13"/>
  <c r="I43" i="13"/>
  <c r="H43" i="13"/>
  <c r="G43" i="13"/>
  <c r="F43" i="13"/>
  <c r="E43" i="13"/>
  <c r="D43" i="13"/>
  <c r="C43" i="13"/>
  <c r="K43" i="12"/>
  <c r="J43" i="12"/>
  <c r="I43" i="12"/>
  <c r="H43" i="12"/>
  <c r="G43" i="12"/>
  <c r="F43" i="12"/>
  <c r="E43" i="12"/>
  <c r="D43" i="12"/>
  <c r="C43" i="12"/>
  <c r="I43" i="6" l="1"/>
  <c r="J43" i="6"/>
  <c r="G43" i="6"/>
  <c r="D43" i="6"/>
  <c r="K43" i="6" l="1"/>
  <c r="H43" i="6"/>
  <c r="F43" i="6"/>
  <c r="E43" i="6"/>
  <c r="C43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1" authorId="0" shapeId="0" xr:uid="{A1927ADD-B4F0-4A33-A2A7-A7CC0808A94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S.I NO 11198
</t>
        </r>
      </text>
    </comment>
  </commentList>
</comments>
</file>

<file path=xl/sharedStrings.xml><?xml version="1.0" encoding="utf-8"?>
<sst xmlns="http://schemas.openxmlformats.org/spreadsheetml/2006/main" count="77" uniqueCount="22">
  <si>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</si>
  <si>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</si>
  <si>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</si>
  <si>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</si>
  <si>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</si>
  <si>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</si>
  <si>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</si>
  <si>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</si>
  <si>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</si>
  <si>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</si>
  <si>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</si>
  <si>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</si>
  <si>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</si>
  <si>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</si>
  <si>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</si>
  <si>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</si>
  <si>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</si>
  <si>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COLLECTION</t>
  </si>
  <si>
    <t>CREDIT</t>
  </si>
  <si>
    <t>TOTAL REM.</t>
  </si>
  <si>
    <t>JULY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</si>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</sst>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6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2" fillId="0" borderId="1" xfId="0" applyFont="1" applyBorder="1"/>
    <xf numFmtId="164" fontId="2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165" fontId="9" fillId="0" borderId="0" xfId="0" applyNumberFormat="1" applyFont="1" applyBorder="1" applyAlignment="1">
      <alignment horizontal="center" vertical="center"/>
    </xf>
    <xf numFmtId="164" fontId="9" fillId="0" borderId="1" xfId="1" applyFont="1" applyBorder="1"/>
    <xf numFmtId="0" fontId="0" fillId="0" borderId="0" xfId="0" applyBorder="1"/>
    <xf numFmtId="0" fontId="13" fillId="3" borderId="1" xfId="0" applyFont="1" applyFill="1" applyBorder="1" applyAlignment="1">
      <alignment horizontal="center"/>
    </xf>
    <xf numFmtId="164" fontId="9" fillId="0" borderId="6" xfId="1" applyFont="1" applyBorder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V279"/>
  <sheetViews>
    <sheetView zoomScaleNormal="100" zoomScaleSheetLayoutView="100" workbookViewId="0">
      <selection activeCell="C17" sqref="C17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0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1" t="s">
        <v>14</v>
      </c>
      <c r="H9" s="14" t="s">
        <v>19</v>
      </c>
      <c r="I9" s="41" t="s">
        <v>18</v>
      </c>
      <c r="J9" s="14" t="s">
        <v>17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46204</v>
      </c>
      <c r="C10" s="43" t="s">
        <v>21</v>
      </c>
      <c r="D10" s="44"/>
      <c r="E10" s="44"/>
      <c r="F10" s="44"/>
      <c r="G10" s="44"/>
      <c r="H10" s="44"/>
      <c r="I10" s="44"/>
      <c r="J10" s="44"/>
      <c r="K10" s="45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46205</v>
      </c>
      <c r="C11" s="32">
        <v>298036</v>
      </c>
      <c r="D11" s="32">
        <v>206</v>
      </c>
      <c r="E11" s="31"/>
      <c r="F11" s="32">
        <v>1185.43</v>
      </c>
      <c r="G11" s="31"/>
      <c r="H11" s="32">
        <v>206862</v>
      </c>
      <c r="I11" s="31">
        <v>43785</v>
      </c>
      <c r="J11" s="32"/>
      <c r="K11" s="32">
        <v>127.68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46206</v>
      </c>
      <c r="C12" s="32">
        <v>331281.5</v>
      </c>
      <c r="D12" s="32">
        <v>274671.5</v>
      </c>
      <c r="E12" s="31">
        <v>1788.5</v>
      </c>
      <c r="F12" s="32"/>
      <c r="G12" s="31">
        <v>2040</v>
      </c>
      <c r="H12" s="32">
        <v>272883</v>
      </c>
      <c r="I12" s="31"/>
      <c r="J12" s="32"/>
      <c r="K12" s="32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46207</v>
      </c>
      <c r="C13" s="43" t="s">
        <v>21</v>
      </c>
      <c r="D13" s="44"/>
      <c r="E13" s="44"/>
      <c r="F13" s="44"/>
      <c r="G13" s="44"/>
      <c r="H13" s="44"/>
      <c r="I13" s="44"/>
      <c r="J13" s="44"/>
      <c r="K13" s="45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35" t="s">
        <v>0</v>
      </c>
      <c r="C14" s="43" t="s">
        <v>0</v>
      </c>
      <c r="D14" s="44"/>
      <c r="E14" s="44"/>
      <c r="F14" s="44"/>
      <c r="G14" s="44"/>
      <c r="H14" s="44"/>
      <c r="I14" s="44"/>
      <c r="J14" s="44"/>
      <c r="K14" s="45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46209</v>
      </c>
      <c r="C15" s="34">
        <v>233857</v>
      </c>
      <c r="D15" s="34">
        <v>195673</v>
      </c>
      <c r="E15" s="31"/>
      <c r="F15" s="34">
        <v>1696</v>
      </c>
      <c r="G15" s="31">
        <v>1326</v>
      </c>
      <c r="H15" s="34">
        <v>197369</v>
      </c>
      <c r="I15" s="31"/>
      <c r="J15" s="34"/>
      <c r="K15" s="32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7">
        <v>46210</v>
      </c>
      <c r="C16" s="34">
        <v>258311</v>
      </c>
      <c r="D16" s="34">
        <v>218333</v>
      </c>
      <c r="E16" s="31">
        <v>81</v>
      </c>
      <c r="F16" s="31"/>
      <c r="G16" s="31">
        <v>2010</v>
      </c>
      <c r="H16" s="34">
        <v>218252</v>
      </c>
      <c r="I16" s="31"/>
      <c r="J16" s="34"/>
      <c r="K16" s="32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46211</v>
      </c>
      <c r="C17" s="31"/>
      <c r="D17" s="31"/>
      <c r="E17" s="31"/>
      <c r="F17" s="31"/>
      <c r="G17" s="31"/>
      <c r="H17" s="31"/>
      <c r="I17" s="31"/>
      <c r="J17" s="34"/>
      <c r="K17" s="32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46212</v>
      </c>
      <c r="C18" s="32"/>
      <c r="D18" s="32"/>
      <c r="E18" s="31"/>
      <c r="F18" s="31"/>
      <c r="G18" s="31"/>
      <c r="H18" s="32"/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46213</v>
      </c>
      <c r="C19" s="34"/>
      <c r="D19" s="34"/>
      <c r="E19" s="31"/>
      <c r="F19" s="31"/>
      <c r="G19" s="31"/>
      <c r="H19" s="34"/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46214</v>
      </c>
      <c r="C20" s="34"/>
      <c r="D20" s="34"/>
      <c r="E20" s="31"/>
      <c r="F20" s="31"/>
      <c r="G20" s="31"/>
      <c r="H20" s="34"/>
      <c r="I20" s="31"/>
      <c r="J20" s="31"/>
      <c r="K20" s="3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35" t="s">
        <v>0</v>
      </c>
      <c r="C21" s="43" t="s">
        <v>0</v>
      </c>
      <c r="D21" s="44"/>
      <c r="E21" s="44"/>
      <c r="F21" s="44"/>
      <c r="G21" s="44"/>
      <c r="H21" s="44"/>
      <c r="I21" s="44"/>
      <c r="J21" s="44"/>
      <c r="K21" s="45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46216</v>
      </c>
      <c r="C22" s="32"/>
      <c r="D22" s="32"/>
      <c r="E22" s="32"/>
      <c r="F22" s="32"/>
      <c r="G22" s="32"/>
      <c r="H22" s="32"/>
      <c r="I22" s="32"/>
      <c r="J22" s="32"/>
      <c r="K22" s="32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7">
        <v>46217</v>
      </c>
      <c r="C23" s="32"/>
      <c r="D23" s="32"/>
      <c r="E23" s="32"/>
      <c r="F23" s="32"/>
      <c r="G23" s="32"/>
      <c r="H23" s="32"/>
      <c r="I23" s="32"/>
      <c r="J23" s="32"/>
      <c r="K23" s="32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46218</v>
      </c>
      <c r="C24" s="32"/>
      <c r="D24" s="32"/>
      <c r="E24" s="31"/>
      <c r="F24" s="34"/>
      <c r="G24" s="31"/>
      <c r="H24" s="34"/>
      <c r="I24" s="31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46219</v>
      </c>
      <c r="C25" s="32"/>
      <c r="D25" s="32"/>
      <c r="E25" s="31"/>
      <c r="F25" s="31"/>
      <c r="G25" s="31"/>
      <c r="H25" s="32"/>
      <c r="I25" s="31"/>
      <c r="J25" s="32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46220</v>
      </c>
      <c r="C26" s="32"/>
      <c r="D26" s="32"/>
      <c r="E26" s="31"/>
      <c r="F26" s="31"/>
      <c r="G26" s="31"/>
      <c r="H26" s="32"/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46221</v>
      </c>
      <c r="C27" s="11"/>
      <c r="D27" s="37"/>
      <c r="E27" s="13"/>
      <c r="F27" s="11"/>
      <c r="G27" s="42"/>
      <c r="H27" s="33"/>
      <c r="I27" s="42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35" t="s">
        <v>0</v>
      </c>
      <c r="C28" s="43" t="s">
        <v>0</v>
      </c>
      <c r="D28" s="44"/>
      <c r="E28" s="44"/>
      <c r="F28" s="44"/>
      <c r="G28" s="44"/>
      <c r="H28" s="44"/>
      <c r="I28" s="44"/>
      <c r="J28" s="44"/>
      <c r="K28" s="45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46223</v>
      </c>
      <c r="C29" s="11"/>
      <c r="D29" s="37"/>
      <c r="E29" s="13"/>
      <c r="F29" s="11"/>
      <c r="G29" s="42"/>
      <c r="H29" s="33"/>
      <c r="I29" s="42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7">
        <v>46224</v>
      </c>
      <c r="C30" s="11"/>
      <c r="D30" s="37"/>
      <c r="E30" s="13"/>
      <c r="F30" s="11"/>
      <c r="G30" s="42"/>
      <c r="H30" s="33"/>
      <c r="I30" s="42"/>
      <c r="J30" s="33"/>
      <c r="K30" s="30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46225</v>
      </c>
      <c r="C31" s="11"/>
      <c r="D31" s="37"/>
      <c r="E31" s="13"/>
      <c r="F31" s="11"/>
      <c r="G31" s="42"/>
      <c r="H31" s="33"/>
      <c r="I31" s="42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46226</v>
      </c>
      <c r="C32" s="32"/>
      <c r="D32" s="32"/>
      <c r="E32" s="31"/>
      <c r="F32" s="31"/>
      <c r="G32" s="31"/>
      <c r="H32" s="32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46227</v>
      </c>
      <c r="C33" s="32"/>
      <c r="D33" s="32"/>
      <c r="E33" s="31"/>
      <c r="F33" s="31"/>
      <c r="G33" s="31"/>
      <c r="H33" s="32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46228</v>
      </c>
      <c r="C34" s="24"/>
      <c r="D34" s="24"/>
      <c r="E34" s="39"/>
      <c r="F34" s="11"/>
      <c r="G34" s="39"/>
      <c r="H34" s="11"/>
      <c r="I34" s="39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35" t="s">
        <v>0</v>
      </c>
      <c r="C35" s="43" t="s">
        <v>0</v>
      </c>
      <c r="D35" s="44"/>
      <c r="E35" s="44"/>
      <c r="F35" s="44"/>
      <c r="G35" s="44"/>
      <c r="H35" s="44"/>
      <c r="I35" s="44"/>
      <c r="J35" s="44"/>
      <c r="K35" s="45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46230</v>
      </c>
      <c r="C36" s="24"/>
      <c r="D36" s="24"/>
      <c r="E36" s="13"/>
      <c r="F36" s="11"/>
      <c r="G36" s="42"/>
      <c r="H36" s="33"/>
      <c r="I36" s="42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7">
        <v>46231</v>
      </c>
      <c r="C37" s="24"/>
      <c r="D37" s="24"/>
      <c r="E37" s="13"/>
      <c r="F37" s="11"/>
      <c r="G37" s="42"/>
      <c r="H37" s="33"/>
      <c r="I37" s="42"/>
      <c r="J37" s="33"/>
      <c r="K37" s="30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46232</v>
      </c>
      <c r="C38" s="24"/>
      <c r="D38" s="24"/>
      <c r="E38" s="39"/>
      <c r="F38" s="11"/>
      <c r="G38" s="39"/>
      <c r="H38" s="11"/>
      <c r="I38" s="39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46233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7">
        <v>46234</v>
      </c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3"/>
      <c r="D42" s="44"/>
      <c r="E42" s="44"/>
      <c r="F42" s="44"/>
      <c r="G42" s="44"/>
      <c r="H42" s="44"/>
      <c r="I42" s="44"/>
      <c r="J42" s="44"/>
      <c r="K42" s="45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1121485.5</v>
      </c>
      <c r="D43" s="16">
        <f t="shared" si="0"/>
        <v>688883.5</v>
      </c>
      <c r="E43" s="28">
        <f t="shared" si="0"/>
        <v>1869.5</v>
      </c>
      <c r="F43" s="16">
        <f t="shared" si="0"/>
        <v>2881.4300000000003</v>
      </c>
      <c r="G43" s="28">
        <f t="shared" si="0"/>
        <v>5376</v>
      </c>
      <c r="H43" s="16">
        <f t="shared" si="0"/>
        <v>895366</v>
      </c>
      <c r="I43" s="28">
        <f t="shared" ref="I43:J43" si="1">SUM(I10:I42)</f>
        <v>43785</v>
      </c>
      <c r="J43" s="16">
        <f t="shared" si="1"/>
        <v>0</v>
      </c>
      <c r="K43" s="16">
        <f>SUM(K10:K42)</f>
        <v>127.68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29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7">
    <mergeCell ref="C10:K10"/>
    <mergeCell ref="C14:K14"/>
    <mergeCell ref="C42:K42"/>
    <mergeCell ref="C21:K21"/>
    <mergeCell ref="C28:K28"/>
    <mergeCell ref="C35:K35"/>
    <mergeCell ref="C13:K13"/>
  </mergeCells>
  <pageMargins left="0.7" right="0.7" top="0.75" bottom="0.75" header="0.3" footer="0.3"/>
  <pageSetup scale="9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V279"/>
  <sheetViews>
    <sheetView zoomScaleNormal="100" zoomScaleSheetLayoutView="100" workbookViewId="0">
      <selection activeCell="C17" sqref="C17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0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1" t="s">
        <v>14</v>
      </c>
      <c r="H9" s="14" t="s">
        <v>19</v>
      </c>
      <c r="I9" s="41" t="s">
        <v>18</v>
      </c>
      <c r="J9" s="14" t="s">
        <v>17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46204</v>
      </c>
      <c r="C10" s="32">
        <v>249800.5</v>
      </c>
      <c r="D10" s="32">
        <v>211385.5</v>
      </c>
      <c r="E10" s="31">
        <v>773.5</v>
      </c>
      <c r="F10" s="32"/>
      <c r="G10" s="31">
        <v>1644</v>
      </c>
      <c r="H10" s="32">
        <v>210612</v>
      </c>
      <c r="I10" s="31"/>
      <c r="J10" s="32"/>
      <c r="K10" s="32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46205</v>
      </c>
      <c r="C11" s="43" t="s">
        <v>21</v>
      </c>
      <c r="D11" s="44"/>
      <c r="E11" s="44"/>
      <c r="F11" s="44"/>
      <c r="G11" s="44"/>
      <c r="H11" s="44"/>
      <c r="I11" s="44"/>
      <c r="J11" s="44"/>
      <c r="K11" s="45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46206</v>
      </c>
      <c r="C12" s="32">
        <v>272174.5</v>
      </c>
      <c r="D12" s="32">
        <v>231067</v>
      </c>
      <c r="E12" s="31"/>
      <c r="F12" s="32">
        <v>517</v>
      </c>
      <c r="G12" s="31">
        <v>1308</v>
      </c>
      <c r="H12" s="32">
        <v>231584</v>
      </c>
      <c r="I12" s="31"/>
      <c r="J12" s="32"/>
      <c r="K12" s="32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46207</v>
      </c>
      <c r="C13" s="43" t="s">
        <v>21</v>
      </c>
      <c r="D13" s="44"/>
      <c r="E13" s="44"/>
      <c r="F13" s="44"/>
      <c r="G13" s="44"/>
      <c r="H13" s="44"/>
      <c r="I13" s="44"/>
      <c r="J13" s="44"/>
      <c r="K13" s="45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35" t="s">
        <v>0</v>
      </c>
      <c r="C14" s="43" t="s">
        <v>0</v>
      </c>
      <c r="D14" s="44"/>
      <c r="E14" s="44"/>
      <c r="F14" s="44"/>
      <c r="G14" s="44"/>
      <c r="H14" s="44"/>
      <c r="I14" s="44"/>
      <c r="J14" s="44"/>
      <c r="K14" s="45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46209</v>
      </c>
      <c r="C15" s="34">
        <v>255013.5</v>
      </c>
      <c r="D15" s="34">
        <v>211456.5</v>
      </c>
      <c r="E15" s="31">
        <v>765.5</v>
      </c>
      <c r="F15" s="31"/>
      <c r="G15" s="31">
        <v>1950</v>
      </c>
      <c r="H15" s="34">
        <v>210691</v>
      </c>
      <c r="I15" s="31"/>
      <c r="J15" s="34"/>
      <c r="K15" s="32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7">
        <v>46210</v>
      </c>
      <c r="C16" s="34">
        <v>325910</v>
      </c>
      <c r="D16" s="34">
        <v>274485.5</v>
      </c>
      <c r="E16" s="31">
        <v>1255.5</v>
      </c>
      <c r="F16" s="31"/>
      <c r="G16" s="31">
        <v>2496</v>
      </c>
      <c r="H16" s="34">
        <v>273230</v>
      </c>
      <c r="I16" s="31"/>
      <c r="J16" s="34"/>
      <c r="K16" s="32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46211</v>
      </c>
      <c r="C17" s="31"/>
      <c r="D17" s="31"/>
      <c r="E17" s="31"/>
      <c r="F17" s="31"/>
      <c r="G17" s="31"/>
      <c r="H17" s="31"/>
      <c r="I17" s="31"/>
      <c r="J17" s="34"/>
      <c r="K17" s="32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46212</v>
      </c>
      <c r="C18" s="32"/>
      <c r="D18" s="32"/>
      <c r="E18" s="31"/>
      <c r="F18" s="31"/>
      <c r="G18" s="31"/>
      <c r="H18" s="32"/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46213</v>
      </c>
      <c r="C19" s="34"/>
      <c r="D19" s="34"/>
      <c r="E19" s="31"/>
      <c r="F19" s="31"/>
      <c r="G19" s="31"/>
      <c r="H19" s="34"/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46214</v>
      </c>
      <c r="C20" s="34"/>
      <c r="D20" s="34"/>
      <c r="E20" s="31"/>
      <c r="F20" s="31"/>
      <c r="G20" s="31"/>
      <c r="H20" s="34"/>
      <c r="I20" s="31"/>
      <c r="J20" s="31"/>
      <c r="K20" s="3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35" t="s">
        <v>0</v>
      </c>
      <c r="C21" s="43" t="s">
        <v>0</v>
      </c>
      <c r="D21" s="44"/>
      <c r="E21" s="44"/>
      <c r="F21" s="44"/>
      <c r="G21" s="44"/>
      <c r="H21" s="44"/>
      <c r="I21" s="44"/>
      <c r="J21" s="44"/>
      <c r="K21" s="45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46216</v>
      </c>
      <c r="C22" s="32"/>
      <c r="D22" s="32"/>
      <c r="E22" s="32"/>
      <c r="F22" s="32"/>
      <c r="G22" s="32"/>
      <c r="H22" s="32"/>
      <c r="I22" s="32"/>
      <c r="J22" s="32"/>
      <c r="K22" s="32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7">
        <v>46217</v>
      </c>
      <c r="C23" s="32"/>
      <c r="D23" s="32"/>
      <c r="E23" s="32"/>
      <c r="F23" s="32"/>
      <c r="G23" s="32"/>
      <c r="H23" s="32"/>
      <c r="I23" s="32"/>
      <c r="J23" s="32"/>
      <c r="K23" s="32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46218</v>
      </c>
      <c r="C24" s="32"/>
      <c r="D24" s="32"/>
      <c r="E24" s="31"/>
      <c r="F24" s="34"/>
      <c r="G24" s="31"/>
      <c r="H24" s="34"/>
      <c r="I24" s="31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46219</v>
      </c>
      <c r="C25" s="32"/>
      <c r="D25" s="32"/>
      <c r="E25" s="31"/>
      <c r="F25" s="31"/>
      <c r="G25" s="31"/>
      <c r="H25" s="32"/>
      <c r="I25" s="31"/>
      <c r="J25" s="32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46220</v>
      </c>
      <c r="C26" s="32"/>
      <c r="D26" s="32"/>
      <c r="E26" s="31"/>
      <c r="F26" s="31"/>
      <c r="G26" s="31"/>
      <c r="H26" s="32"/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46221</v>
      </c>
      <c r="C27" s="11"/>
      <c r="D27" s="37"/>
      <c r="E27" s="13"/>
      <c r="F27" s="11"/>
      <c r="G27" s="42"/>
      <c r="H27" s="33"/>
      <c r="I27" s="42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35" t="s">
        <v>0</v>
      </c>
      <c r="C28" s="43" t="s">
        <v>0</v>
      </c>
      <c r="D28" s="44"/>
      <c r="E28" s="44"/>
      <c r="F28" s="44"/>
      <c r="G28" s="44"/>
      <c r="H28" s="44"/>
      <c r="I28" s="44"/>
      <c r="J28" s="44"/>
      <c r="K28" s="45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46223</v>
      </c>
      <c r="C29" s="11"/>
      <c r="D29" s="37"/>
      <c r="E29" s="13"/>
      <c r="F29" s="11"/>
      <c r="G29" s="42"/>
      <c r="H29" s="33"/>
      <c r="I29" s="42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7">
        <v>46224</v>
      </c>
      <c r="C30" s="11"/>
      <c r="D30" s="37"/>
      <c r="E30" s="13"/>
      <c r="F30" s="11"/>
      <c r="G30" s="42"/>
      <c r="H30" s="33"/>
      <c r="I30" s="42"/>
      <c r="J30" s="33"/>
      <c r="K30" s="30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46225</v>
      </c>
      <c r="C31" s="11"/>
      <c r="D31" s="37"/>
      <c r="E31" s="13"/>
      <c r="F31" s="11"/>
      <c r="G31" s="42"/>
      <c r="H31" s="33"/>
      <c r="I31" s="42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46226</v>
      </c>
      <c r="C32" s="32"/>
      <c r="D32" s="32"/>
      <c r="E32" s="31"/>
      <c r="F32" s="31"/>
      <c r="G32" s="31"/>
      <c r="H32" s="32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46227</v>
      </c>
      <c r="C33" s="32"/>
      <c r="D33" s="32"/>
      <c r="E33" s="31"/>
      <c r="F33" s="31"/>
      <c r="G33" s="31"/>
      <c r="H33" s="32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46228</v>
      </c>
      <c r="C34" s="24"/>
      <c r="D34" s="24"/>
      <c r="E34" s="39"/>
      <c r="F34" s="11"/>
      <c r="G34" s="39"/>
      <c r="H34" s="11"/>
      <c r="I34" s="39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35" t="s">
        <v>0</v>
      </c>
      <c r="C35" s="43" t="s">
        <v>0</v>
      </c>
      <c r="D35" s="44"/>
      <c r="E35" s="44"/>
      <c r="F35" s="44"/>
      <c r="G35" s="44"/>
      <c r="H35" s="44"/>
      <c r="I35" s="44"/>
      <c r="J35" s="44"/>
      <c r="K35" s="45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46230</v>
      </c>
      <c r="C36" s="24"/>
      <c r="D36" s="24"/>
      <c r="E36" s="13"/>
      <c r="F36" s="11"/>
      <c r="G36" s="42"/>
      <c r="H36" s="33"/>
      <c r="I36" s="42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7">
        <v>46231</v>
      </c>
      <c r="C37" s="24"/>
      <c r="D37" s="24"/>
      <c r="E37" s="13"/>
      <c r="F37" s="11"/>
      <c r="G37" s="42"/>
      <c r="H37" s="33"/>
      <c r="I37" s="42"/>
      <c r="J37" s="33"/>
      <c r="K37" s="30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46232</v>
      </c>
      <c r="C38" s="24"/>
      <c r="D38" s="24"/>
      <c r="E38" s="39"/>
      <c r="F38" s="11"/>
      <c r="G38" s="39"/>
      <c r="H38" s="11"/>
      <c r="I38" s="39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46233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7">
        <v>46234</v>
      </c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3"/>
      <c r="D42" s="44"/>
      <c r="E42" s="44"/>
      <c r="F42" s="44"/>
      <c r="G42" s="44"/>
      <c r="H42" s="44"/>
      <c r="I42" s="44"/>
      <c r="J42" s="44"/>
      <c r="K42" s="45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1102898.5</v>
      </c>
      <c r="D43" s="16">
        <f t="shared" si="0"/>
        <v>928394.5</v>
      </c>
      <c r="E43" s="28">
        <f t="shared" si="0"/>
        <v>2794.5</v>
      </c>
      <c r="F43" s="16">
        <f t="shared" si="0"/>
        <v>517</v>
      </c>
      <c r="G43" s="28">
        <f t="shared" si="0"/>
        <v>7398</v>
      </c>
      <c r="H43" s="16">
        <f t="shared" si="0"/>
        <v>926117</v>
      </c>
      <c r="I43" s="28">
        <f t="shared" ref="I43:J43" si="1">SUM(I10:I42)</f>
        <v>0</v>
      </c>
      <c r="J43" s="16">
        <f t="shared" si="1"/>
        <v>0</v>
      </c>
      <c r="K43" s="16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7">
    <mergeCell ref="C42:K42"/>
    <mergeCell ref="C13:K13"/>
    <mergeCell ref="C11:K11"/>
    <mergeCell ref="C14:K14"/>
    <mergeCell ref="C21:K21"/>
    <mergeCell ref="C28:K28"/>
    <mergeCell ref="C35:K35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V279"/>
  <sheetViews>
    <sheetView tabSelected="1" topLeftCell="A3" zoomScaleNormal="100" zoomScaleSheetLayoutView="100" workbookViewId="0">
      <selection activeCell="C17" sqref="C17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0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38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1" t="s">
        <v>14</v>
      </c>
      <c r="H9" s="14" t="s">
        <v>19</v>
      </c>
      <c r="I9" s="41" t="s">
        <v>18</v>
      </c>
      <c r="J9" s="14" t="s">
        <v>17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46204</v>
      </c>
      <c r="C10" s="32">
        <v>297996.5</v>
      </c>
      <c r="D10" s="32">
        <v>238892</v>
      </c>
      <c r="E10" s="31">
        <v>21</v>
      </c>
      <c r="F10" s="32"/>
      <c r="G10" s="31">
        <v>1350</v>
      </c>
      <c r="H10" s="32">
        <v>238871</v>
      </c>
      <c r="I10" s="31"/>
      <c r="J10" s="32"/>
      <c r="K10" s="32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46205</v>
      </c>
      <c r="C11" s="32">
        <v>253346.5</v>
      </c>
      <c r="D11" s="32">
        <v>213164</v>
      </c>
      <c r="E11" s="31"/>
      <c r="F11" s="32">
        <v>47</v>
      </c>
      <c r="G11" s="31">
        <v>1722</v>
      </c>
      <c r="H11" s="32">
        <v>213211</v>
      </c>
      <c r="I11" s="31"/>
      <c r="J11" s="32"/>
      <c r="K11" s="32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46206</v>
      </c>
      <c r="C12" s="32">
        <v>438059</v>
      </c>
      <c r="D12" s="32">
        <v>402146.75</v>
      </c>
      <c r="E12" s="31"/>
      <c r="F12" s="32">
        <v>67.25</v>
      </c>
      <c r="G12" s="31">
        <v>648</v>
      </c>
      <c r="H12" s="32">
        <v>402214</v>
      </c>
      <c r="I12" s="31"/>
      <c r="J12" s="32"/>
      <c r="K12" s="32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46207</v>
      </c>
      <c r="C13" s="43" t="s">
        <v>21</v>
      </c>
      <c r="D13" s="44"/>
      <c r="E13" s="44"/>
      <c r="F13" s="44"/>
      <c r="G13" s="44"/>
      <c r="H13" s="44"/>
      <c r="I13" s="44"/>
      <c r="J13" s="44"/>
      <c r="K13" s="45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35" t="s">
        <v>0</v>
      </c>
      <c r="C14" s="43" t="s">
        <v>0</v>
      </c>
      <c r="D14" s="44"/>
      <c r="E14" s="44"/>
      <c r="F14" s="44"/>
      <c r="G14" s="44"/>
      <c r="H14" s="44"/>
      <c r="I14" s="44"/>
      <c r="J14" s="44"/>
      <c r="K14" s="45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46209</v>
      </c>
      <c r="C15" s="34">
        <v>299824</v>
      </c>
      <c r="D15" s="34">
        <v>247763.5</v>
      </c>
      <c r="E15" s="31">
        <v>34.5</v>
      </c>
      <c r="F15" s="31"/>
      <c r="G15" s="31">
        <v>2328</v>
      </c>
      <c r="H15" s="34">
        <v>247729</v>
      </c>
      <c r="I15" s="31"/>
      <c r="J15" s="34"/>
      <c r="K15" s="32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7">
        <v>46210</v>
      </c>
      <c r="C16" s="34">
        <v>287132</v>
      </c>
      <c r="D16" s="34">
        <v>243548.75</v>
      </c>
      <c r="E16" s="31">
        <v>2143.75</v>
      </c>
      <c r="F16" s="31"/>
      <c r="G16" s="31">
        <v>1824</v>
      </c>
      <c r="H16" s="34">
        <v>241405</v>
      </c>
      <c r="I16" s="31"/>
      <c r="J16" s="34"/>
      <c r="K16" s="32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46211</v>
      </c>
      <c r="C17" s="31"/>
      <c r="D17" s="31"/>
      <c r="E17" s="31"/>
      <c r="F17" s="31"/>
      <c r="G17" s="31"/>
      <c r="H17" s="31"/>
      <c r="I17" s="31"/>
      <c r="J17" s="34"/>
      <c r="K17" s="32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46212</v>
      </c>
      <c r="C18" s="32"/>
      <c r="D18" s="32"/>
      <c r="E18" s="31"/>
      <c r="F18" s="31"/>
      <c r="G18" s="31"/>
      <c r="H18" s="32"/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46213</v>
      </c>
      <c r="C19" s="34"/>
      <c r="D19" s="34"/>
      <c r="E19" s="31"/>
      <c r="F19" s="31"/>
      <c r="G19" s="31"/>
      <c r="H19" s="34"/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46214</v>
      </c>
      <c r="C20" s="34"/>
      <c r="D20" s="34"/>
      <c r="E20" s="31"/>
      <c r="F20" s="31"/>
      <c r="G20" s="31"/>
      <c r="H20" s="34"/>
      <c r="I20" s="31"/>
      <c r="J20" s="31"/>
      <c r="K20" s="3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35" t="s">
        <v>0</v>
      </c>
      <c r="C21" s="43" t="s">
        <v>0</v>
      </c>
      <c r="D21" s="44"/>
      <c r="E21" s="44"/>
      <c r="F21" s="44"/>
      <c r="G21" s="44"/>
      <c r="H21" s="44"/>
      <c r="I21" s="44"/>
      <c r="J21" s="44"/>
      <c r="K21" s="45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46216</v>
      </c>
      <c r="C22" s="32"/>
      <c r="D22" s="32"/>
      <c r="E22" s="32"/>
      <c r="F22" s="32"/>
      <c r="G22" s="32"/>
      <c r="H22" s="32"/>
      <c r="I22" s="32"/>
      <c r="J22" s="32"/>
      <c r="K22" s="32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7">
        <v>46217</v>
      </c>
      <c r="C23" s="32"/>
      <c r="D23" s="32"/>
      <c r="E23" s="32"/>
      <c r="F23" s="32"/>
      <c r="G23" s="32"/>
      <c r="H23" s="32"/>
      <c r="I23" s="32"/>
      <c r="J23" s="32"/>
      <c r="K23" s="32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46218</v>
      </c>
      <c r="C24" s="32"/>
      <c r="D24" s="32"/>
      <c r="E24" s="31"/>
      <c r="F24" s="34"/>
      <c r="G24" s="31"/>
      <c r="H24" s="34"/>
      <c r="I24" s="31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46219</v>
      </c>
      <c r="C25" s="32"/>
      <c r="D25" s="32"/>
      <c r="E25" s="31"/>
      <c r="F25" s="31"/>
      <c r="G25" s="31"/>
      <c r="H25" s="32"/>
      <c r="I25" s="31"/>
      <c r="J25" s="32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46220</v>
      </c>
      <c r="C26" s="32"/>
      <c r="D26" s="32"/>
      <c r="E26" s="31"/>
      <c r="F26" s="31"/>
      <c r="G26" s="31"/>
      <c r="H26" s="32"/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46221</v>
      </c>
      <c r="C27" s="11"/>
      <c r="D27" s="37"/>
      <c r="E27" s="13"/>
      <c r="F27" s="11"/>
      <c r="G27" s="42"/>
      <c r="H27" s="33"/>
      <c r="I27" s="42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35" t="s">
        <v>0</v>
      </c>
      <c r="C28" s="43" t="s">
        <v>0</v>
      </c>
      <c r="D28" s="44"/>
      <c r="E28" s="44"/>
      <c r="F28" s="44"/>
      <c r="G28" s="44"/>
      <c r="H28" s="44"/>
      <c r="I28" s="44"/>
      <c r="J28" s="44"/>
      <c r="K28" s="45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46223</v>
      </c>
      <c r="C29" s="11"/>
      <c r="D29" s="37"/>
      <c r="E29" s="13"/>
      <c r="F29" s="11"/>
      <c r="G29" s="42"/>
      <c r="H29" s="33"/>
      <c r="I29" s="42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7">
        <v>46224</v>
      </c>
      <c r="C30" s="11"/>
      <c r="D30" s="37"/>
      <c r="E30" s="13"/>
      <c r="F30" s="11"/>
      <c r="G30" s="42"/>
      <c r="H30" s="33"/>
      <c r="I30" s="42"/>
      <c r="J30" s="33"/>
      <c r="K30" s="30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46225</v>
      </c>
      <c r="C31" s="11"/>
      <c r="D31" s="37"/>
      <c r="E31" s="13"/>
      <c r="F31" s="11"/>
      <c r="G31" s="42"/>
      <c r="H31" s="33"/>
      <c r="I31" s="42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46226</v>
      </c>
      <c r="C32" s="32"/>
      <c r="D32" s="32"/>
      <c r="E32" s="31"/>
      <c r="F32" s="31"/>
      <c r="G32" s="31"/>
      <c r="H32" s="32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46227</v>
      </c>
      <c r="C33" s="32"/>
      <c r="D33" s="32"/>
      <c r="E33" s="31"/>
      <c r="F33" s="31"/>
      <c r="G33" s="31"/>
      <c r="H33" s="32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46228</v>
      </c>
      <c r="C34" s="24"/>
      <c r="D34" s="24"/>
      <c r="E34" s="39"/>
      <c r="F34" s="11"/>
      <c r="G34" s="39"/>
      <c r="H34" s="11"/>
      <c r="I34" s="39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35" t="s">
        <v>0</v>
      </c>
      <c r="C35" s="43" t="s">
        <v>0</v>
      </c>
      <c r="D35" s="44"/>
      <c r="E35" s="44"/>
      <c r="F35" s="44"/>
      <c r="G35" s="44"/>
      <c r="H35" s="44"/>
      <c r="I35" s="44"/>
      <c r="J35" s="44"/>
      <c r="K35" s="45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46230</v>
      </c>
      <c r="C36" s="24"/>
      <c r="D36" s="24"/>
      <c r="E36" s="13"/>
      <c r="F36" s="11"/>
      <c r="G36" s="42"/>
      <c r="H36" s="33"/>
      <c r="I36" s="42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7">
        <v>46231</v>
      </c>
      <c r="C37" s="24"/>
      <c r="D37" s="24"/>
      <c r="E37" s="13"/>
      <c r="F37" s="11"/>
      <c r="G37" s="42"/>
      <c r="H37" s="33"/>
      <c r="I37" s="42"/>
      <c r="J37" s="33"/>
      <c r="K37" s="30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46232</v>
      </c>
      <c r="C38" s="24"/>
      <c r="D38" s="24"/>
      <c r="E38" s="39"/>
      <c r="F38" s="11"/>
      <c r="G38" s="39"/>
      <c r="H38" s="11"/>
      <c r="I38" s="39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46233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7">
        <v>46234</v>
      </c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3"/>
      <c r="D42" s="44"/>
      <c r="E42" s="44"/>
      <c r="F42" s="44"/>
      <c r="G42" s="44"/>
      <c r="H42" s="44"/>
      <c r="I42" s="44"/>
      <c r="J42" s="44"/>
      <c r="K42" s="45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1576358</v>
      </c>
      <c r="D43" s="16">
        <f t="shared" si="0"/>
        <v>1345515</v>
      </c>
      <c r="E43" s="28">
        <f t="shared" si="0"/>
        <v>2199.25</v>
      </c>
      <c r="F43" s="16">
        <f t="shared" si="0"/>
        <v>114.25</v>
      </c>
      <c r="G43" s="28">
        <f t="shared" si="0"/>
        <v>7872</v>
      </c>
      <c r="H43" s="16">
        <f t="shared" si="0"/>
        <v>1343430</v>
      </c>
      <c r="I43" s="28">
        <f t="shared" ref="I43:J43" si="1">SUM(I10:I42)</f>
        <v>0</v>
      </c>
      <c r="J43" s="16">
        <f t="shared" si="1"/>
        <v>0</v>
      </c>
      <c r="K43" s="16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6">
    <mergeCell ref="C42:K42"/>
    <mergeCell ref="C13:K13"/>
    <mergeCell ref="C14:K14"/>
    <mergeCell ref="C21:K21"/>
    <mergeCell ref="C28:K28"/>
    <mergeCell ref="C35:K35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JULY, SRS R1</vt:lpstr>
      <vt:lpstr>JULY, SRS R2</vt:lpstr>
      <vt:lpstr>JULY, SRS R3</vt:lpstr>
      <vt:lpstr>,</vt:lpstr>
      <vt:lpstr>'JULY, SRS R1'!Print_Area</vt:lpstr>
      <vt:lpstr>'JULY, SRS R2'!Print_Area</vt:lpstr>
      <vt:lpstr>'JULY,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2026-07-08T00:42:32Z</dcterms:modified>
</cp:coreProperties>
</file>