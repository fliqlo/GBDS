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GBDS JULY FILES 2026\"/>
    </mc:Choice>
  </mc:AlternateContent>
  <xr:revisionPtr revIDLastSave="0" documentId="13_ncr:1_{72061135-3DB3-4574-BCCF-E8A44854FE74}" xr6:coauthVersionLast="45" xr6:coauthVersionMax="47" xr10:uidLastSave="{00000000-0000-0000-0000-000000000000}"/>
  <bookViews>
    <workbookView xWindow="-120" yWindow="-120" windowWidth="29040" windowHeight="15840" activeTab="2" xr2:uid="{B997F013-12E6-4AA2-8A9D-EFCC32EA76C2}"/>
  </bookViews>
  <sheets>
    <sheet name="JULY, SRS R1" sheetId="6" r:id="rId1"/>
    <sheet name="JULY, SRS R2" sheetId="12" r:id="rId2"/>
    <sheet name="JULY, SRS R3" sheetId="13" r:id="rId3"/>
    <sheet name="," sheetId="14" r:id="rId4"/>
  </sheets>
  <definedNames>
    <definedName name="_xlnm.Print_Area" localSheetId="0">'JULY, SRS R1'!$A$1:$K$44</definedName>
    <definedName name="_xlnm.Print_Area" localSheetId="1">'JULY, SRS R2'!$A$1:$K$44</definedName>
    <definedName name="_xlnm.Print_Area" localSheetId="2">'JULY, SRS R3'!$A$1:$K$44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6" i="6" l="1"/>
  <c r="K25" i="13" l="1"/>
  <c r="K43" i="13" l="1"/>
  <c r="J43" i="13"/>
  <c r="I43" i="13"/>
  <c r="H43" i="13"/>
  <c r="G43" i="13"/>
  <c r="F43" i="13"/>
  <c r="E43" i="13"/>
  <c r="D43" i="13"/>
  <c r="C43" i="13"/>
  <c r="K43" i="12"/>
  <c r="J43" i="12"/>
  <c r="I43" i="12"/>
  <c r="H43" i="12"/>
  <c r="G43" i="12"/>
  <c r="F43" i="12"/>
  <c r="E43" i="12"/>
  <c r="D43" i="12"/>
  <c r="C43" i="12"/>
  <c r="I43" i="6" l="1"/>
  <c r="J43" i="6"/>
  <c r="G43" i="6"/>
  <c r="D43" i="6"/>
  <c r="K43" i="6" l="1"/>
  <c r="H43" i="6"/>
  <c r="F43" i="6"/>
  <c r="E43" i="6"/>
  <c r="C4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11" authorId="0" shapeId="0" xr:uid="{A1927ADD-B4F0-4A33-A2A7-A7CC0808A94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 CHECK
S.I NO 11198
</t>
        </r>
      </text>
    </comment>
    <comment ref="I17" authorId="0" shapeId="0" xr:uid="{9A3CA438-2914-421D-B98E-FBA124A2BA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 CHECK
S.I NO 11030
</t>
        </r>
      </text>
    </comment>
    <comment ref="I18" authorId="0" shapeId="0" xr:uid="{89D6F533-4651-428F-8183-5752565AD87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BALWARTE
SI NO. 11033</t>
        </r>
      </text>
    </comment>
    <comment ref="J18" authorId="0" shapeId="0" xr:uid="{5A1C2166-8717-4896-B321-FA19CB2FD9F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BALWARTE
SI NO. 11180</t>
        </r>
      </text>
    </comment>
    <comment ref="I24" authorId="0" shapeId="0" xr:uid="{A4D2DD5B-105B-439E-8A47-60C190A1E51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 CHECK
SI NO. 11463</t>
        </r>
      </text>
    </comment>
    <comment ref="I26" authorId="0" shapeId="0" xr:uid="{CA1086BA-8C22-4706-8DC5-A44209D61B1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BALWARTE
SI NO. 11426</t>
        </r>
      </text>
    </comment>
    <comment ref="J26" authorId="0" shapeId="0" xr:uid="{0313F5C5-A99F-4CAC-AA16-AA6BB50CCFA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BALWARTE
SI NO. 11033</t>
        </r>
      </text>
    </comment>
    <comment ref="J27" authorId="0" shapeId="0" xr:uid="{BBAC9318-A30D-4FC5-800F-7EEA5DCF1F9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 CHECK
S.I NO 11463</t>
        </r>
      </text>
    </comment>
    <comment ref="I32" authorId="0" shapeId="0" xr:uid="{EA416575-FA29-4F4E-8582-524163DB6FD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 CHECK
SI NO. 11485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30" authorId="0" shapeId="0" xr:uid="{A4516D3E-FA50-4CA0-9404-5EB8FC48E51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INCENTIVES HENSON</t>
        </r>
      </text>
    </comment>
  </commentList>
</comments>
</file>

<file path=xl/sharedStrings.xml><?xml version="1.0" encoding="utf-8"?>
<sst xmlns="http://schemas.openxmlformats.org/spreadsheetml/2006/main" count="84" uniqueCount="22">
  <si>
    <t>SUNDAY</t>
  </si>
  <si>
    <t>TOTAL</t>
  </si>
  <si>
    <t>No.</t>
  </si>
  <si>
    <t>OVER</t>
  </si>
  <si>
    <t>OTHERS</t>
  </si>
  <si>
    <t xml:space="preserve">(SHORT) </t>
  </si>
  <si>
    <t>ROUTE 1</t>
  </si>
  <si>
    <t xml:space="preserve">SALES REPORT SUMMARY </t>
  </si>
  <si>
    <t>ROUTE 2</t>
  </si>
  <si>
    <t>ROUTE 3</t>
  </si>
  <si>
    <r>
      <t>DSP:</t>
    </r>
    <r>
      <rPr>
        <b/>
        <u/>
        <sz val="11"/>
        <color theme="1"/>
        <rFont val="Times New Roman"/>
        <family val="1"/>
      </rPr>
      <t xml:space="preserve"> DANDAYO, RONNEL</t>
    </r>
  </si>
  <si>
    <t>DATE</t>
  </si>
  <si>
    <r>
      <t>DSP:</t>
    </r>
    <r>
      <rPr>
        <b/>
        <u/>
        <sz val="11"/>
        <color theme="1"/>
        <rFont val="Times New Roman"/>
        <family val="1"/>
      </rPr>
      <t xml:space="preserve"> GICA, GRACE</t>
    </r>
  </si>
  <si>
    <r>
      <t>DSP:</t>
    </r>
    <r>
      <rPr>
        <b/>
        <u/>
        <sz val="11"/>
        <color theme="1"/>
        <rFont val="Times New Roman"/>
        <family val="1"/>
      </rPr>
      <t xml:space="preserve"> PORMENTO, ESTEMARK</t>
    </r>
  </si>
  <si>
    <t>DISCOUNT</t>
  </si>
  <si>
    <t>TOTAL SALES</t>
  </si>
  <si>
    <t>NET SALES</t>
  </si>
  <si>
    <t>COLLECTION</t>
  </si>
  <si>
    <t>CREDIT</t>
  </si>
  <si>
    <t>TOTAL REM.</t>
  </si>
  <si>
    <t>JULY</t>
  </si>
  <si>
    <t>NO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</si>
</sst>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F800]dddd\,\ mmmm\ dd\,\ yyyy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C00000"/>
      <name val="Times New Roman"/>
      <family val="1"/>
    </font>
    <font>
      <sz val="11"/>
      <color indexed="8"/>
      <name val="Calibri"/>
      <family val="2"/>
    </font>
    <font>
      <b/>
      <sz val="11"/>
      <color theme="0"/>
      <name val="Times New Roman"/>
      <family val="1"/>
    </font>
    <font>
      <sz val="1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7" fillId="0" borderId="0" xfId="0" applyFont="1"/>
    <xf numFmtId="17" fontId="5" fillId="0" borderId="0" xfId="0" applyNumberFormat="1" applyFont="1"/>
    <xf numFmtId="0" fontId="5" fillId="0" borderId="0" xfId="0" applyFont="1" applyAlignment="1">
      <alignment horizontal="left"/>
    </xf>
    <xf numFmtId="0" fontId="3" fillId="0" borderId="0" xfId="0" applyFont="1"/>
    <xf numFmtId="0" fontId="8" fillId="0" borderId="0" xfId="0" applyFont="1"/>
    <xf numFmtId="164" fontId="2" fillId="0" borderId="0" xfId="1" applyFont="1"/>
    <xf numFmtId="164" fontId="9" fillId="0" borderId="0" xfId="1" applyFont="1"/>
    <xf numFmtId="164" fontId="2" fillId="0" borderId="0" xfId="1" applyFont="1" applyBorder="1"/>
    <xf numFmtId="0" fontId="2" fillId="0" borderId="1" xfId="0" applyFont="1" applyBorder="1"/>
    <xf numFmtId="164" fontId="2" fillId="0" borderId="1" xfId="1" applyFont="1" applyBorder="1"/>
    <xf numFmtId="0" fontId="3" fillId="0" borderId="3" xfId="0" applyFont="1" applyBorder="1"/>
    <xf numFmtId="164" fontId="9" fillId="0" borderId="4" xfId="1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3" fillId="0" borderId="1" xfId="1" applyFont="1" applyBorder="1"/>
    <xf numFmtId="164" fontId="11" fillId="0" borderId="0" xfId="1" applyFont="1"/>
    <xf numFmtId="0" fontId="3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center"/>
    </xf>
    <xf numFmtId="0" fontId="2" fillId="0" borderId="3" xfId="0" applyFont="1" applyBorder="1"/>
    <xf numFmtId="0" fontId="3" fillId="2" borderId="3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3" fillId="0" borderId="0" xfId="1" applyFont="1" applyBorder="1"/>
    <xf numFmtId="0" fontId="3" fillId="0" borderId="1" xfId="0" applyFont="1" applyBorder="1"/>
    <xf numFmtId="165" fontId="2" fillId="0" borderId="1" xfId="0" applyNumberFormat="1" applyFont="1" applyBorder="1" applyAlignment="1">
      <alignment horizontal="center" vertical="center"/>
    </xf>
    <xf numFmtId="164" fontId="10" fillId="0" borderId="1" xfId="1" applyFont="1" applyBorder="1"/>
    <xf numFmtId="0" fontId="9" fillId="0" borderId="0" xfId="0" applyFont="1" applyAlignment="1">
      <alignment horizontal="center" vertical="center"/>
    </xf>
    <xf numFmtId="164" fontId="2" fillId="0" borderId="6" xfId="1" applyFont="1" applyBorder="1" applyAlignment="1"/>
    <xf numFmtId="164" fontId="9" fillId="0" borderId="1" xfId="1" applyFont="1" applyBorder="1" applyAlignment="1"/>
    <xf numFmtId="164" fontId="14" fillId="0" borderId="1" xfId="1" applyFont="1" applyBorder="1" applyAlignment="1"/>
    <xf numFmtId="164" fontId="2" fillId="0" borderId="6" xfId="1" applyFont="1" applyBorder="1"/>
    <xf numFmtId="164" fontId="2" fillId="0" borderId="1" xfId="1" applyFont="1" applyBorder="1" applyAlignment="1"/>
    <xf numFmtId="165" fontId="9" fillId="0" borderId="1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164" fontId="2" fillId="0" borderId="4" xfId="1" applyFont="1" applyBorder="1"/>
    <xf numFmtId="165" fontId="9" fillId="0" borderId="0" xfId="0" applyNumberFormat="1" applyFont="1" applyBorder="1" applyAlignment="1">
      <alignment horizontal="center" vertical="center"/>
    </xf>
    <xf numFmtId="164" fontId="9" fillId="0" borderId="1" xfId="1" applyFont="1" applyBorder="1"/>
    <xf numFmtId="0" fontId="0" fillId="0" borderId="0" xfId="0" applyBorder="1"/>
    <xf numFmtId="0" fontId="13" fillId="3" borderId="1" xfId="0" applyFont="1" applyFill="1" applyBorder="1" applyAlignment="1">
      <alignment horizontal="center"/>
    </xf>
    <xf numFmtId="164" fontId="9" fillId="0" borderId="6" xfId="1" applyFont="1" applyBorder="1"/>
    <xf numFmtId="164" fontId="9" fillId="0" borderId="4" xfId="1" applyFont="1" applyBorder="1" applyAlignment="1">
      <alignment horizontal="center"/>
    </xf>
    <xf numFmtId="164" fontId="9" fillId="0" borderId="5" xfId="1" applyFont="1" applyBorder="1" applyAlignment="1">
      <alignment horizontal="center"/>
    </xf>
    <xf numFmtId="164" fontId="9" fillId="0" borderId="6" xfId="1" applyFont="1" applyBorder="1" applyAlignment="1">
      <alignment horizontal="center"/>
    </xf>
  </cellXfs>
  <cellStyles count="3">
    <cellStyle name="Comma" xfId="1" builtinId="3"/>
    <cellStyle name="Comma 2" xfId="2" xr:uid="{34E7C70B-78FD-4A3A-BABD-C031A20FC18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CC38-B676-43F3-B392-E571D3EDC2BC}">
  <dimension ref="A1:V279"/>
  <sheetViews>
    <sheetView zoomScaleNormal="100" zoomScaleSheetLayoutView="100" workbookViewId="0">
      <selection activeCell="C33" sqref="C33:K33"/>
    </sheetView>
  </sheetViews>
  <sheetFormatPr defaultRowHeight="14.25"/>
  <cols>
    <col min="1" max="1" width="4.25" customWidth="1"/>
    <col min="2" max="2" width="29" bestFit="1" customWidth="1"/>
    <col min="3" max="4" width="14.875" customWidth="1"/>
    <col min="5" max="5" width="14.75" customWidth="1"/>
    <col min="6" max="6" width="15" style="15" customWidth="1"/>
    <col min="7" max="7" width="15" style="40" customWidth="1"/>
    <col min="8" max="10" width="15" customWidth="1"/>
    <col min="11" max="11" width="14.75" customWidth="1"/>
    <col min="14" max="14" width="13.125" bestFit="1" customWidth="1"/>
    <col min="17" max="17" width="13.25" bestFit="1" customWidth="1"/>
  </cols>
  <sheetData>
    <row r="1" spans="1:22">
      <c r="F1"/>
      <c r="G1"/>
    </row>
    <row r="2" spans="1:22" ht="16.5">
      <c r="A2" s="2"/>
      <c r="B2" s="19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>
      <c r="A4" s="3"/>
      <c r="B4" s="3" t="s">
        <v>20</v>
      </c>
      <c r="C4" s="4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">
      <c r="A5" s="5"/>
      <c r="B5" s="18">
        <v>2026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">
      <c r="A6" s="5"/>
      <c r="B6" s="5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">
      <c r="A7" s="5"/>
      <c r="B7" s="5" t="s">
        <v>10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">
      <c r="A8" s="5"/>
      <c r="B8" s="5"/>
      <c r="C8" s="6"/>
      <c r="D8" s="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">
      <c r="A9" s="12" t="s">
        <v>2</v>
      </c>
      <c r="B9" s="14" t="s">
        <v>11</v>
      </c>
      <c r="C9" s="22" t="s">
        <v>15</v>
      </c>
      <c r="D9" s="36" t="s">
        <v>16</v>
      </c>
      <c r="E9" s="23" t="s">
        <v>5</v>
      </c>
      <c r="F9" s="14" t="s">
        <v>3</v>
      </c>
      <c r="G9" s="41" t="s">
        <v>14</v>
      </c>
      <c r="H9" s="14" t="s">
        <v>19</v>
      </c>
      <c r="I9" s="41" t="s">
        <v>18</v>
      </c>
      <c r="J9" s="14" t="s">
        <v>17</v>
      </c>
      <c r="K9" s="14" t="s">
        <v>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">
      <c r="A10" s="10">
        <v>1</v>
      </c>
      <c r="B10" s="27">
        <v>46204</v>
      </c>
      <c r="C10" s="43" t="s">
        <v>21</v>
      </c>
      <c r="D10" s="44"/>
      <c r="E10" s="44"/>
      <c r="F10" s="44"/>
      <c r="G10" s="44"/>
      <c r="H10" s="44"/>
      <c r="I10" s="44"/>
      <c r="J10" s="44"/>
      <c r="K10" s="4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">
      <c r="A11" s="10">
        <v>2</v>
      </c>
      <c r="B11" s="27">
        <v>46205</v>
      </c>
      <c r="C11" s="32">
        <v>298036</v>
      </c>
      <c r="D11" s="32">
        <v>206</v>
      </c>
      <c r="E11" s="31"/>
      <c r="F11" s="32">
        <v>1185.43</v>
      </c>
      <c r="G11" s="31"/>
      <c r="H11" s="32">
        <v>206862</v>
      </c>
      <c r="I11" s="31">
        <v>43785</v>
      </c>
      <c r="J11" s="32"/>
      <c r="K11" s="32">
        <v>127.68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">
      <c r="A12" s="10">
        <v>3</v>
      </c>
      <c r="B12" s="27">
        <v>46206</v>
      </c>
      <c r="C12" s="32">
        <v>331281.5</v>
      </c>
      <c r="D12" s="32">
        <v>274671.5</v>
      </c>
      <c r="E12" s="31">
        <v>1788.5</v>
      </c>
      <c r="F12" s="32"/>
      <c r="G12" s="31">
        <v>2040</v>
      </c>
      <c r="H12" s="32">
        <v>272883</v>
      </c>
      <c r="I12" s="31"/>
      <c r="J12" s="32"/>
      <c r="K12" s="3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">
      <c r="A13" s="10">
        <v>4</v>
      </c>
      <c r="B13" s="27">
        <v>46207</v>
      </c>
      <c r="C13" s="43" t="s">
        <v>21</v>
      </c>
      <c r="D13" s="44"/>
      <c r="E13" s="44"/>
      <c r="F13" s="44"/>
      <c r="G13" s="44"/>
      <c r="H13" s="44"/>
      <c r="I13" s="44"/>
      <c r="J13" s="44"/>
      <c r="K13" s="4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">
      <c r="A14" s="10">
        <v>5</v>
      </c>
      <c r="B14" s="35" t="s">
        <v>0</v>
      </c>
      <c r="C14" s="43" t="s">
        <v>0</v>
      </c>
      <c r="D14" s="44"/>
      <c r="E14" s="44"/>
      <c r="F14" s="44"/>
      <c r="G14" s="44"/>
      <c r="H14" s="44"/>
      <c r="I14" s="44"/>
      <c r="J14" s="44"/>
      <c r="K14" s="4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">
      <c r="A15" s="10">
        <v>6</v>
      </c>
      <c r="B15" s="27">
        <v>46209</v>
      </c>
      <c r="C15" s="34">
        <v>233857</v>
      </c>
      <c r="D15" s="34">
        <v>195673</v>
      </c>
      <c r="E15" s="31"/>
      <c r="F15" s="34">
        <v>1696</v>
      </c>
      <c r="G15" s="31">
        <v>1326</v>
      </c>
      <c r="H15" s="34">
        <v>197369</v>
      </c>
      <c r="I15" s="31"/>
      <c r="J15" s="34"/>
      <c r="K15" s="3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">
      <c r="A16" s="10">
        <v>7</v>
      </c>
      <c r="B16" s="27">
        <v>46210</v>
      </c>
      <c r="C16" s="34">
        <v>258311</v>
      </c>
      <c r="D16" s="34">
        <v>218333</v>
      </c>
      <c r="E16" s="31">
        <v>81</v>
      </c>
      <c r="F16" s="31"/>
      <c r="G16" s="31">
        <v>2010</v>
      </c>
      <c r="H16" s="34">
        <v>218252</v>
      </c>
      <c r="I16" s="31"/>
      <c r="J16" s="34"/>
      <c r="K16" s="3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">
      <c r="A17" s="10">
        <v>8</v>
      </c>
      <c r="B17" s="27">
        <v>46211</v>
      </c>
      <c r="C17" s="34">
        <v>290058.5</v>
      </c>
      <c r="D17" s="34">
        <v>200363</v>
      </c>
      <c r="E17" s="31">
        <v>115</v>
      </c>
      <c r="F17" s="31"/>
      <c r="G17" s="31"/>
      <c r="H17" s="34">
        <v>200248</v>
      </c>
      <c r="I17" s="31">
        <v>48345</v>
      </c>
      <c r="J17" s="34"/>
      <c r="K17" s="3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">
      <c r="A18" s="10">
        <v>9</v>
      </c>
      <c r="B18" s="27">
        <v>46212</v>
      </c>
      <c r="C18" s="32">
        <v>295573</v>
      </c>
      <c r="D18" s="32">
        <v>240035.5</v>
      </c>
      <c r="E18" s="31">
        <v>274.5</v>
      </c>
      <c r="F18" s="31"/>
      <c r="G18" s="31"/>
      <c r="H18" s="32">
        <v>239761</v>
      </c>
      <c r="I18" s="31">
        <v>95886</v>
      </c>
      <c r="J18" s="31">
        <v>84261</v>
      </c>
      <c r="K18" s="3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">
      <c r="A19" s="10">
        <v>10</v>
      </c>
      <c r="B19" s="27">
        <v>46213</v>
      </c>
      <c r="C19" s="43" t="s">
        <v>21</v>
      </c>
      <c r="D19" s="44"/>
      <c r="E19" s="44"/>
      <c r="F19" s="44"/>
      <c r="G19" s="44"/>
      <c r="H19" s="44"/>
      <c r="I19" s="44"/>
      <c r="J19" s="44"/>
      <c r="K19" s="4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">
      <c r="A20" s="10">
        <v>11</v>
      </c>
      <c r="B20" s="27">
        <v>46214</v>
      </c>
      <c r="C20" s="43" t="s">
        <v>21</v>
      </c>
      <c r="D20" s="44"/>
      <c r="E20" s="44"/>
      <c r="F20" s="44"/>
      <c r="G20" s="44"/>
      <c r="H20" s="44"/>
      <c r="I20" s="44"/>
      <c r="J20" s="44"/>
      <c r="K20" s="4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">
      <c r="A21" s="10">
        <v>12</v>
      </c>
      <c r="B21" s="35" t="s">
        <v>0</v>
      </c>
      <c r="C21" s="43" t="s">
        <v>0</v>
      </c>
      <c r="D21" s="44"/>
      <c r="E21" s="44"/>
      <c r="F21" s="44"/>
      <c r="G21" s="44"/>
      <c r="H21" s="44"/>
      <c r="I21" s="44"/>
      <c r="J21" s="44"/>
      <c r="K21" s="4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">
      <c r="A22" s="10">
        <v>13</v>
      </c>
      <c r="B22" s="27">
        <v>46216</v>
      </c>
      <c r="C22" s="32">
        <v>265548.5</v>
      </c>
      <c r="D22" s="32">
        <v>226385.75</v>
      </c>
      <c r="E22" s="31">
        <v>300.75</v>
      </c>
      <c r="F22" s="32"/>
      <c r="G22" s="31">
        <v>1356</v>
      </c>
      <c r="H22" s="32">
        <v>226085</v>
      </c>
      <c r="I22" s="32"/>
      <c r="J22" s="32"/>
      <c r="K22" s="3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">
      <c r="A23" s="10">
        <v>14</v>
      </c>
      <c r="B23" s="27">
        <v>46217</v>
      </c>
      <c r="C23" s="32">
        <v>263812.5</v>
      </c>
      <c r="D23" s="32">
        <v>222004.5</v>
      </c>
      <c r="E23" s="32"/>
      <c r="F23" s="32">
        <v>462.5</v>
      </c>
      <c r="G23" s="31">
        <v>1404</v>
      </c>
      <c r="H23" s="32">
        <v>222467</v>
      </c>
      <c r="I23" s="32"/>
      <c r="J23" s="32"/>
      <c r="K23" s="32"/>
      <c r="L23" s="1"/>
      <c r="M23" s="1"/>
      <c r="N23" s="7"/>
      <c r="O23" s="1"/>
      <c r="P23" s="1"/>
      <c r="Q23" s="1"/>
      <c r="R23" s="1"/>
      <c r="S23" s="1"/>
      <c r="T23" s="1"/>
      <c r="U23" s="1"/>
      <c r="V23" s="1"/>
    </row>
    <row r="24" spans="1:22" ht="15">
      <c r="A24" s="10">
        <v>15</v>
      </c>
      <c r="B24" s="27">
        <v>46218</v>
      </c>
      <c r="C24" s="32">
        <v>230785.5</v>
      </c>
      <c r="D24" s="32">
        <v>138191</v>
      </c>
      <c r="E24" s="31"/>
      <c r="F24" s="34">
        <v>115</v>
      </c>
      <c r="G24" s="31"/>
      <c r="H24" s="34">
        <v>138306</v>
      </c>
      <c r="I24" s="31">
        <v>62203</v>
      </c>
      <c r="J24" s="34"/>
      <c r="K24" s="34"/>
      <c r="L24" s="1"/>
      <c r="M24" s="1"/>
      <c r="N24" s="7"/>
      <c r="O24" s="1"/>
      <c r="P24" s="1"/>
      <c r="Q24" s="1"/>
      <c r="R24" s="1"/>
      <c r="S24" s="1"/>
      <c r="T24" s="1"/>
      <c r="U24" s="1"/>
      <c r="V24" s="1"/>
    </row>
    <row r="25" spans="1:22" ht="15">
      <c r="A25" s="10">
        <v>16</v>
      </c>
      <c r="B25" s="27">
        <v>46219</v>
      </c>
      <c r="C25" s="32">
        <v>249733</v>
      </c>
      <c r="D25" s="32">
        <v>213767.5</v>
      </c>
      <c r="E25" s="31"/>
      <c r="F25" s="32">
        <v>1740.5</v>
      </c>
      <c r="G25" s="31">
        <v>684</v>
      </c>
      <c r="H25" s="32">
        <v>215508</v>
      </c>
      <c r="I25" s="31"/>
      <c r="J25" s="32"/>
      <c r="K25" s="31"/>
      <c r="L25" s="1"/>
      <c r="M25" s="1"/>
      <c r="N25" s="7"/>
      <c r="O25" s="1"/>
      <c r="P25" s="1"/>
      <c r="Q25" s="1"/>
      <c r="R25" s="1"/>
      <c r="S25" s="1"/>
      <c r="T25" s="1"/>
      <c r="U25" s="1"/>
      <c r="V25" s="1"/>
    </row>
    <row r="26" spans="1:22" ht="15">
      <c r="A26" s="10">
        <v>17</v>
      </c>
      <c r="B26" s="27">
        <v>46220</v>
      </c>
      <c r="C26" s="32">
        <v>476545</v>
      </c>
      <c r="D26" s="32">
        <v>421468.75</v>
      </c>
      <c r="E26" s="31">
        <v>311.75</v>
      </c>
      <c r="F26" s="31"/>
      <c r="G26" s="31">
        <v>2622</v>
      </c>
      <c r="H26" s="32">
        <v>421157</v>
      </c>
      <c r="I26" s="31">
        <f>82890</f>
        <v>82890</v>
      </c>
      <c r="J26" s="31">
        <v>95886</v>
      </c>
      <c r="K26" s="31"/>
      <c r="L26" s="1"/>
      <c r="M26" s="1"/>
      <c r="N26" s="17"/>
      <c r="O26" s="1"/>
      <c r="P26" s="1"/>
      <c r="Q26" s="1"/>
      <c r="R26" s="1"/>
      <c r="S26" s="1"/>
      <c r="T26" s="1"/>
      <c r="U26" s="1"/>
      <c r="V26" s="1"/>
    </row>
    <row r="27" spans="1:22" ht="15">
      <c r="A27" s="10">
        <v>18</v>
      </c>
      <c r="B27" s="27">
        <v>46221</v>
      </c>
      <c r="C27" s="11"/>
      <c r="D27" s="37"/>
      <c r="E27" s="13"/>
      <c r="F27" s="11"/>
      <c r="G27" s="42"/>
      <c r="H27" s="33"/>
      <c r="I27" s="42"/>
      <c r="J27" s="42">
        <v>62203</v>
      </c>
      <c r="K27" s="30"/>
      <c r="L27" s="1"/>
      <c r="M27" s="1"/>
      <c r="N27" s="7"/>
      <c r="O27" s="1"/>
      <c r="P27" s="1"/>
      <c r="Q27" s="1"/>
      <c r="R27" s="1"/>
      <c r="S27" s="1"/>
      <c r="T27" s="1"/>
      <c r="U27" s="1"/>
      <c r="V27" s="1"/>
    </row>
    <row r="28" spans="1:22" ht="15">
      <c r="A28" s="10">
        <v>19</v>
      </c>
      <c r="B28" s="35" t="s">
        <v>0</v>
      </c>
      <c r="C28" s="43" t="s">
        <v>0</v>
      </c>
      <c r="D28" s="44"/>
      <c r="E28" s="44"/>
      <c r="F28" s="44"/>
      <c r="G28" s="44"/>
      <c r="H28" s="44"/>
      <c r="I28" s="44"/>
      <c r="J28" s="44"/>
      <c r="K28" s="45"/>
      <c r="L28" s="1"/>
      <c r="M28" s="1"/>
      <c r="N28" s="7"/>
      <c r="O28" s="1"/>
      <c r="P28" s="1"/>
      <c r="Q28" s="1"/>
      <c r="R28" s="1"/>
      <c r="S28" s="1"/>
      <c r="T28" s="1"/>
      <c r="U28" s="1"/>
      <c r="V28" s="1"/>
    </row>
    <row r="29" spans="1:22" ht="15">
      <c r="A29" s="10">
        <v>20</v>
      </c>
      <c r="B29" s="27">
        <v>46223</v>
      </c>
      <c r="C29" s="11">
        <v>446877</v>
      </c>
      <c r="D29" s="37">
        <v>381656.25</v>
      </c>
      <c r="E29" s="13">
        <v>8.25</v>
      </c>
      <c r="F29" s="11"/>
      <c r="G29" s="42">
        <v>1656</v>
      </c>
      <c r="H29" s="33">
        <v>381648</v>
      </c>
      <c r="I29" s="42"/>
      <c r="J29" s="33"/>
      <c r="K29" s="30"/>
      <c r="L29" s="1"/>
      <c r="M29" s="1"/>
      <c r="N29" s="7"/>
      <c r="O29" s="1"/>
      <c r="P29" s="1"/>
      <c r="Q29" s="1"/>
      <c r="R29" s="1"/>
      <c r="S29" s="1"/>
      <c r="T29" s="1"/>
      <c r="U29" s="1"/>
      <c r="V29" s="1"/>
    </row>
    <row r="30" spans="1:22" ht="15">
      <c r="A30" s="10">
        <v>21</v>
      </c>
      <c r="B30" s="27">
        <v>46224</v>
      </c>
      <c r="C30" s="11">
        <v>240956.33</v>
      </c>
      <c r="D30" s="37">
        <v>205623.83</v>
      </c>
      <c r="E30" s="13"/>
      <c r="F30" s="11">
        <v>48.17</v>
      </c>
      <c r="G30" s="42"/>
      <c r="H30" s="33">
        <v>205672</v>
      </c>
      <c r="I30" s="42"/>
      <c r="J30" s="33"/>
      <c r="K30" s="30"/>
      <c r="L30" s="1"/>
      <c r="M30" s="1"/>
      <c r="N30" s="7"/>
      <c r="O30" s="1"/>
      <c r="P30" s="1"/>
      <c r="Q30" s="1"/>
      <c r="R30" s="1"/>
      <c r="S30" s="1"/>
      <c r="T30" s="1"/>
      <c r="U30" s="1"/>
      <c r="V30" s="1"/>
    </row>
    <row r="31" spans="1:22" ht="15">
      <c r="A31" s="10">
        <v>22</v>
      </c>
      <c r="B31" s="27">
        <v>46225</v>
      </c>
      <c r="C31" s="11">
        <v>222100.5</v>
      </c>
      <c r="D31" s="37">
        <v>189759.14</v>
      </c>
      <c r="E31" s="13">
        <v>1328.14</v>
      </c>
      <c r="F31" s="11"/>
      <c r="G31" s="42"/>
      <c r="H31" s="33">
        <v>188431</v>
      </c>
      <c r="I31" s="42"/>
      <c r="J31" s="33"/>
      <c r="K31" s="30">
        <v>92.86</v>
      </c>
      <c r="L31" s="1"/>
      <c r="M31" s="1"/>
      <c r="N31" s="17"/>
      <c r="O31" s="1"/>
      <c r="P31" s="1"/>
      <c r="Q31" s="1"/>
      <c r="R31" s="1"/>
      <c r="S31" s="1"/>
      <c r="T31" s="1"/>
      <c r="U31" s="1"/>
      <c r="V31" s="1"/>
    </row>
    <row r="32" spans="1:22" ht="15">
      <c r="A32" s="10">
        <v>23</v>
      </c>
      <c r="B32" s="27">
        <v>46226</v>
      </c>
      <c r="C32" s="32">
        <v>282218.17</v>
      </c>
      <c r="D32" s="32">
        <v>198223.17</v>
      </c>
      <c r="E32" s="31">
        <v>102.17</v>
      </c>
      <c r="F32" s="31"/>
      <c r="G32" s="31">
        <v>1296</v>
      </c>
      <c r="H32" s="32">
        <v>198121</v>
      </c>
      <c r="I32" s="31">
        <v>38920</v>
      </c>
      <c r="J32" s="31"/>
      <c r="K32" s="31"/>
      <c r="L32" s="1"/>
      <c r="M32" s="1"/>
      <c r="N32" s="7"/>
      <c r="O32" s="1"/>
      <c r="P32" s="1"/>
      <c r="Q32" s="1"/>
      <c r="R32" s="1"/>
      <c r="S32" s="1"/>
      <c r="T32" s="1"/>
      <c r="U32" s="1"/>
      <c r="V32" s="1"/>
    </row>
    <row r="33" spans="1:22" ht="15">
      <c r="A33" s="10">
        <v>24</v>
      </c>
      <c r="B33" s="27">
        <v>46227</v>
      </c>
      <c r="C33" s="32">
        <v>612830</v>
      </c>
      <c r="D33" s="32">
        <v>570314</v>
      </c>
      <c r="E33" s="31"/>
      <c r="F33" s="32">
        <v>7</v>
      </c>
      <c r="G33" s="31">
        <v>4698</v>
      </c>
      <c r="H33" s="32">
        <v>570321</v>
      </c>
      <c r="I33" s="31"/>
      <c r="J33" s="31"/>
      <c r="K33" s="31"/>
      <c r="L33" s="1"/>
      <c r="M33" s="1"/>
      <c r="N33" s="7"/>
      <c r="O33" s="1"/>
      <c r="P33" s="1"/>
      <c r="Q33" s="7"/>
      <c r="R33" s="1"/>
      <c r="S33" s="1"/>
      <c r="T33" s="1"/>
      <c r="U33" s="1"/>
      <c r="V33" s="1"/>
    </row>
    <row r="34" spans="1:22" ht="15">
      <c r="A34" s="10">
        <v>25</v>
      </c>
      <c r="B34" s="27">
        <v>46228</v>
      </c>
      <c r="C34" s="24"/>
      <c r="D34" s="24"/>
      <c r="E34" s="39"/>
      <c r="F34" s="11"/>
      <c r="G34" s="39"/>
      <c r="H34" s="11"/>
      <c r="I34" s="39"/>
      <c r="J34" s="11"/>
      <c r="K34" s="34"/>
      <c r="L34" s="1"/>
      <c r="M34" s="1"/>
      <c r="N34" s="7"/>
      <c r="O34" s="1"/>
      <c r="P34" s="1"/>
      <c r="Q34" s="7"/>
      <c r="R34" s="1"/>
      <c r="S34" s="1"/>
      <c r="T34" s="1"/>
      <c r="U34" s="1"/>
      <c r="V34" s="1"/>
    </row>
    <row r="35" spans="1:22" ht="15">
      <c r="A35" s="10">
        <v>26</v>
      </c>
      <c r="B35" s="35" t="s">
        <v>0</v>
      </c>
      <c r="C35" s="43" t="s">
        <v>0</v>
      </c>
      <c r="D35" s="44"/>
      <c r="E35" s="44"/>
      <c r="F35" s="44"/>
      <c r="G35" s="44"/>
      <c r="H35" s="44"/>
      <c r="I35" s="44"/>
      <c r="J35" s="44"/>
      <c r="K35" s="45"/>
      <c r="L35" s="1"/>
      <c r="M35" s="1"/>
      <c r="N35" s="7"/>
      <c r="O35" s="1"/>
      <c r="P35" s="1"/>
      <c r="Q35" s="7"/>
      <c r="R35" s="1"/>
      <c r="S35" s="1"/>
      <c r="T35" s="1"/>
      <c r="U35" s="1"/>
      <c r="V35" s="1"/>
    </row>
    <row r="36" spans="1:22" ht="15">
      <c r="A36" s="10">
        <v>27</v>
      </c>
      <c r="B36" s="27">
        <v>46230</v>
      </c>
      <c r="C36" s="24"/>
      <c r="D36" s="24"/>
      <c r="E36" s="13"/>
      <c r="F36" s="11"/>
      <c r="G36" s="42"/>
      <c r="H36" s="33"/>
      <c r="I36" s="42"/>
      <c r="J36" s="33"/>
      <c r="K36" s="30"/>
      <c r="L36" s="1"/>
      <c r="M36" s="1"/>
      <c r="N36" s="7"/>
      <c r="O36" s="1"/>
      <c r="P36" s="1"/>
      <c r="Q36" s="7"/>
      <c r="R36" s="1"/>
      <c r="S36" s="1"/>
      <c r="T36" s="1"/>
      <c r="U36" s="1"/>
      <c r="V36" s="1"/>
    </row>
    <row r="37" spans="1:22" ht="15">
      <c r="A37" s="10">
        <v>28</v>
      </c>
      <c r="B37" s="27">
        <v>46231</v>
      </c>
      <c r="C37" s="24"/>
      <c r="D37" s="24"/>
      <c r="E37" s="13"/>
      <c r="F37" s="11"/>
      <c r="G37" s="42"/>
      <c r="H37" s="33"/>
      <c r="I37" s="42"/>
      <c r="J37" s="33"/>
      <c r="K37" s="30"/>
      <c r="L37" s="1"/>
      <c r="M37" s="1"/>
      <c r="N37" s="8"/>
      <c r="O37" s="1"/>
      <c r="P37" s="1"/>
      <c r="Q37" s="7"/>
      <c r="R37" s="1"/>
      <c r="S37" s="1"/>
      <c r="T37" s="1"/>
      <c r="U37" s="1"/>
      <c r="V37" s="1"/>
    </row>
    <row r="38" spans="1:22" ht="15">
      <c r="A38" s="10">
        <v>29</v>
      </c>
      <c r="B38" s="27">
        <v>46232</v>
      </c>
      <c r="C38" s="24"/>
      <c r="D38" s="24"/>
      <c r="E38" s="39"/>
      <c r="F38" s="11"/>
      <c r="G38" s="39"/>
      <c r="H38" s="11"/>
      <c r="I38" s="39"/>
      <c r="J38" s="11"/>
      <c r="K38" s="34"/>
      <c r="L38" s="1"/>
      <c r="M38" s="1"/>
      <c r="N38" s="7"/>
      <c r="O38" s="1"/>
      <c r="P38" s="1"/>
      <c r="Q38" s="1"/>
      <c r="R38" s="1"/>
      <c r="S38" s="1"/>
      <c r="T38" s="1"/>
      <c r="U38" s="1"/>
      <c r="V38" s="1"/>
    </row>
    <row r="39" spans="1:22" ht="15">
      <c r="A39" s="10">
        <v>30</v>
      </c>
      <c r="B39" s="27">
        <v>46233</v>
      </c>
      <c r="C39" s="31"/>
      <c r="D39" s="31"/>
      <c r="E39" s="31"/>
      <c r="F39" s="31"/>
      <c r="G39" s="31"/>
      <c r="H39" s="31"/>
      <c r="I39" s="31"/>
      <c r="J39" s="31"/>
      <c r="K39" s="31"/>
      <c r="L39" s="1"/>
      <c r="M39" s="1"/>
      <c r="N39" s="7"/>
      <c r="O39" s="1"/>
      <c r="P39" s="1"/>
      <c r="Q39" s="1"/>
      <c r="R39" s="1"/>
      <c r="S39" s="1"/>
      <c r="T39" s="1"/>
      <c r="U39" s="1"/>
      <c r="V39" s="1"/>
    </row>
    <row r="40" spans="1:22" ht="15">
      <c r="A40" s="10">
        <v>31</v>
      </c>
      <c r="B40" s="27">
        <v>46234</v>
      </c>
      <c r="C40" s="31"/>
      <c r="D40" s="31"/>
      <c r="E40" s="31"/>
      <c r="F40" s="31"/>
      <c r="G40" s="31"/>
      <c r="H40" s="31"/>
      <c r="I40" s="31"/>
      <c r="J40" s="31"/>
      <c r="K40" s="31"/>
      <c r="L40" s="1"/>
      <c r="M40" s="1"/>
      <c r="N40" s="7"/>
      <c r="O40" s="1"/>
      <c r="P40" s="1"/>
      <c r="Q40" s="1"/>
      <c r="R40" s="1"/>
      <c r="S40" s="1"/>
      <c r="T40" s="1"/>
      <c r="U40" s="1"/>
      <c r="V40" s="1"/>
    </row>
    <row r="41" spans="1:22" ht="15">
      <c r="A41" s="10"/>
      <c r="B41" s="27"/>
      <c r="C41" s="11"/>
      <c r="D41" s="11"/>
      <c r="E41" s="31"/>
      <c r="F41" s="31"/>
      <c r="G41" s="31"/>
      <c r="H41" s="31"/>
      <c r="I41" s="31"/>
      <c r="J41" s="31"/>
      <c r="K41" s="10"/>
      <c r="L41" s="1"/>
      <c r="M41" s="1"/>
      <c r="N41" s="7"/>
      <c r="O41" s="1"/>
      <c r="P41" s="1"/>
      <c r="Q41" s="1"/>
      <c r="R41" s="1"/>
      <c r="S41" s="1"/>
      <c r="T41" s="1"/>
      <c r="U41" s="1"/>
      <c r="V41" s="1"/>
    </row>
    <row r="42" spans="1:22" ht="15">
      <c r="A42" s="21"/>
      <c r="B42" s="35"/>
      <c r="C42" s="43"/>
      <c r="D42" s="44"/>
      <c r="E42" s="44"/>
      <c r="F42" s="44"/>
      <c r="G42" s="44"/>
      <c r="H42" s="44"/>
      <c r="I42" s="44"/>
      <c r="J42" s="44"/>
      <c r="K42" s="45"/>
      <c r="L42" s="1"/>
      <c r="M42" s="1"/>
      <c r="N42" s="7"/>
      <c r="O42" s="1"/>
      <c r="P42" s="1"/>
      <c r="Q42" s="1"/>
      <c r="R42" s="1"/>
      <c r="S42" s="1"/>
      <c r="T42" s="1"/>
      <c r="U42" s="1"/>
      <c r="V42" s="1"/>
    </row>
    <row r="43" spans="1:22" ht="15">
      <c r="A43" s="26" t="s">
        <v>1</v>
      </c>
      <c r="B43" s="27"/>
      <c r="C43" s="16">
        <f t="shared" ref="C43:H43" si="0">SUM(C10:C42)</f>
        <v>4998523.5</v>
      </c>
      <c r="D43" s="16">
        <f t="shared" si="0"/>
        <v>3896675.89</v>
      </c>
      <c r="E43" s="28">
        <f t="shared" si="0"/>
        <v>4310.0600000000004</v>
      </c>
      <c r="F43" s="16">
        <f t="shared" si="0"/>
        <v>5254.6</v>
      </c>
      <c r="G43" s="28">
        <f t="shared" si="0"/>
        <v>19092</v>
      </c>
      <c r="H43" s="16">
        <f t="shared" si="0"/>
        <v>4103091</v>
      </c>
      <c r="I43" s="28">
        <f t="shared" ref="I43:J43" si="1">SUM(I10:I42)</f>
        <v>372029</v>
      </c>
      <c r="J43" s="16">
        <f t="shared" si="1"/>
        <v>242350</v>
      </c>
      <c r="K43" s="16">
        <f>SUM(K10:K42)</f>
        <v>220.54000000000002</v>
      </c>
      <c r="L43" s="1"/>
      <c r="M43" s="1"/>
      <c r="N43" s="9"/>
      <c r="O43" s="1"/>
      <c r="P43" s="1"/>
      <c r="Q43" s="1"/>
      <c r="R43" s="1"/>
      <c r="S43" s="1"/>
      <c r="T43" s="1"/>
      <c r="U43" s="1"/>
      <c r="V43" s="1"/>
    </row>
    <row r="44" spans="1:22" ht="15">
      <c r="A44" s="1"/>
      <c r="B44" s="29"/>
      <c r="C44" s="20"/>
      <c r="D44" s="20"/>
      <c r="E44" s="25"/>
      <c r="F44" s="9"/>
      <c r="G44" s="9"/>
      <c r="H44" s="9"/>
      <c r="I44" s="9"/>
      <c r="J44" s="9"/>
      <c r="K44" s="1"/>
      <c r="L44" s="1"/>
      <c r="M44" s="1"/>
      <c r="N44" s="17"/>
      <c r="O44" s="1"/>
      <c r="P44" s="1"/>
      <c r="Q44" s="1"/>
      <c r="R44" s="1"/>
      <c r="S44" s="1"/>
      <c r="T44" s="1"/>
      <c r="U44" s="1"/>
      <c r="V44" s="1"/>
    </row>
    <row r="45" spans="1:22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7"/>
      <c r="O45" s="1"/>
      <c r="P45" s="1"/>
      <c r="Q45" s="1"/>
      <c r="R45" s="1"/>
      <c r="S45" s="1"/>
      <c r="T45" s="1"/>
      <c r="U45" s="1"/>
      <c r="V45" s="1"/>
    </row>
    <row r="46" spans="1:22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7"/>
      <c r="O46" s="1"/>
      <c r="P46" s="1"/>
      <c r="Q46" s="1"/>
      <c r="R46" s="1"/>
      <c r="S46" s="1"/>
      <c r="T46" s="1"/>
      <c r="U46" s="1"/>
      <c r="V46" s="1"/>
    </row>
    <row r="47" spans="1:22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7"/>
      <c r="O47" s="1"/>
      <c r="P47" s="1"/>
      <c r="Q47" s="1"/>
      <c r="R47" s="1"/>
      <c r="S47" s="1"/>
      <c r="T47" s="1"/>
      <c r="U47" s="1"/>
      <c r="V47" s="1"/>
    </row>
    <row r="48" spans="1:22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7"/>
      <c r="O48" s="1"/>
      <c r="P48" s="1"/>
      <c r="Q48" s="1"/>
      <c r="R48" s="1"/>
      <c r="S48" s="1"/>
      <c r="T48" s="1"/>
      <c r="U48" s="1"/>
      <c r="V48" s="1"/>
    </row>
    <row r="49" spans="1:22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7"/>
      <c r="O49" s="1"/>
      <c r="P49" s="1"/>
      <c r="Q49" s="1"/>
      <c r="R49" s="1"/>
      <c r="S49" s="1"/>
      <c r="T49" s="1"/>
      <c r="U49" s="1"/>
      <c r="V49" s="1"/>
    </row>
    <row r="50" spans="1:22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F196"/>
      <c r="G196"/>
    </row>
    <row r="197" spans="1:22">
      <c r="F197"/>
      <c r="G197"/>
    </row>
    <row r="198" spans="1:22">
      <c r="F198"/>
      <c r="G198"/>
    </row>
    <row r="199" spans="1:22">
      <c r="F199"/>
      <c r="G199"/>
    </row>
    <row r="200" spans="1:22">
      <c r="F200"/>
      <c r="G200"/>
    </row>
    <row r="201" spans="1:22">
      <c r="F201"/>
      <c r="G201"/>
    </row>
    <row r="202" spans="1:22">
      <c r="F202"/>
      <c r="G202"/>
    </row>
    <row r="203" spans="1:22">
      <c r="F203"/>
      <c r="G203"/>
    </row>
    <row r="204" spans="1:22">
      <c r="F204"/>
      <c r="G204"/>
    </row>
    <row r="205" spans="1:22">
      <c r="F205"/>
      <c r="G205"/>
    </row>
    <row r="206" spans="1:22">
      <c r="F206"/>
      <c r="G206"/>
    </row>
    <row r="207" spans="1:22">
      <c r="F207"/>
      <c r="G207"/>
    </row>
    <row r="208" spans="1:22">
      <c r="F208"/>
      <c r="G208"/>
    </row>
    <row r="209" spans="6:7">
      <c r="F209"/>
      <c r="G209"/>
    </row>
    <row r="210" spans="6:7">
      <c r="F210"/>
      <c r="G210"/>
    </row>
    <row r="211" spans="6:7">
      <c r="F211"/>
      <c r="G211"/>
    </row>
    <row r="212" spans="6:7">
      <c r="F212"/>
      <c r="G212"/>
    </row>
    <row r="213" spans="6:7">
      <c r="F213"/>
      <c r="G213"/>
    </row>
    <row r="214" spans="6:7">
      <c r="F214"/>
      <c r="G214"/>
    </row>
    <row r="215" spans="6:7">
      <c r="F215"/>
      <c r="G215"/>
    </row>
    <row r="216" spans="6:7">
      <c r="F216"/>
      <c r="G216"/>
    </row>
    <row r="217" spans="6:7">
      <c r="F217"/>
      <c r="G217"/>
    </row>
    <row r="218" spans="6:7">
      <c r="F218"/>
      <c r="G218"/>
    </row>
    <row r="219" spans="6:7">
      <c r="F219"/>
      <c r="G219"/>
    </row>
    <row r="220" spans="6:7">
      <c r="F220"/>
      <c r="G220"/>
    </row>
    <row r="221" spans="6:7">
      <c r="F221"/>
      <c r="G221"/>
    </row>
    <row r="222" spans="6:7">
      <c r="F222"/>
      <c r="G222"/>
    </row>
    <row r="223" spans="6:7">
      <c r="F223"/>
      <c r="G223"/>
    </row>
    <row r="224" spans="6:7">
      <c r="F224"/>
      <c r="G224"/>
    </row>
    <row r="225" spans="6:7">
      <c r="F225"/>
      <c r="G225"/>
    </row>
    <row r="226" spans="6:7">
      <c r="F226"/>
      <c r="G226"/>
    </row>
    <row r="227" spans="6:7">
      <c r="F227"/>
      <c r="G227"/>
    </row>
    <row r="228" spans="6:7">
      <c r="F228"/>
      <c r="G228"/>
    </row>
    <row r="229" spans="6:7">
      <c r="F229"/>
      <c r="G229"/>
    </row>
    <row r="230" spans="6:7">
      <c r="F230"/>
      <c r="G230"/>
    </row>
    <row r="231" spans="6:7">
      <c r="F231"/>
      <c r="G231"/>
    </row>
    <row r="232" spans="6:7">
      <c r="F232"/>
      <c r="G232"/>
    </row>
    <row r="233" spans="6:7">
      <c r="F233"/>
      <c r="G233"/>
    </row>
    <row r="234" spans="6:7">
      <c r="F234"/>
      <c r="G234"/>
    </row>
    <row r="235" spans="6:7">
      <c r="F235"/>
      <c r="G235"/>
    </row>
    <row r="236" spans="6:7">
      <c r="F236"/>
      <c r="G236"/>
    </row>
    <row r="237" spans="6:7">
      <c r="F237"/>
      <c r="G237"/>
    </row>
    <row r="238" spans="6:7">
      <c r="F238"/>
      <c r="G238"/>
    </row>
    <row r="239" spans="6:7">
      <c r="F239"/>
      <c r="G239"/>
    </row>
    <row r="240" spans="6:7">
      <c r="F240"/>
      <c r="G240"/>
    </row>
    <row r="241" spans="6:7">
      <c r="F241"/>
      <c r="G241"/>
    </row>
    <row r="242" spans="6:7">
      <c r="F242"/>
      <c r="G242"/>
    </row>
    <row r="243" spans="6:7">
      <c r="F243"/>
      <c r="G243"/>
    </row>
    <row r="244" spans="6:7">
      <c r="F244"/>
      <c r="G244"/>
    </row>
    <row r="245" spans="6:7">
      <c r="F245"/>
      <c r="G245"/>
    </row>
    <row r="246" spans="6:7">
      <c r="F246"/>
      <c r="G246"/>
    </row>
    <row r="247" spans="6:7">
      <c r="F247"/>
      <c r="G247"/>
    </row>
    <row r="248" spans="6:7">
      <c r="F248"/>
      <c r="G248"/>
    </row>
    <row r="249" spans="6:7">
      <c r="F249"/>
      <c r="G249"/>
    </row>
    <row r="250" spans="6:7">
      <c r="F250"/>
      <c r="G250"/>
    </row>
    <row r="251" spans="6:7">
      <c r="F251"/>
      <c r="G251"/>
    </row>
    <row r="252" spans="6:7">
      <c r="F252"/>
      <c r="G252"/>
    </row>
    <row r="253" spans="6:7">
      <c r="F253"/>
      <c r="G253"/>
    </row>
    <row r="254" spans="6:7">
      <c r="F254"/>
      <c r="G254"/>
    </row>
    <row r="255" spans="6:7">
      <c r="F255"/>
      <c r="G255"/>
    </row>
    <row r="256" spans="6:7">
      <c r="F256"/>
      <c r="G256"/>
    </row>
    <row r="257" spans="6:7">
      <c r="F257"/>
      <c r="G257"/>
    </row>
    <row r="258" spans="6:7">
      <c r="F258"/>
      <c r="G258"/>
    </row>
    <row r="259" spans="6:7">
      <c r="F259"/>
      <c r="G259"/>
    </row>
    <row r="260" spans="6:7">
      <c r="F260"/>
      <c r="G260"/>
    </row>
    <row r="261" spans="6:7">
      <c r="F261"/>
      <c r="G261"/>
    </row>
    <row r="262" spans="6:7">
      <c r="F262"/>
      <c r="G262"/>
    </row>
    <row r="263" spans="6:7">
      <c r="F263"/>
      <c r="G263"/>
    </row>
    <row r="264" spans="6:7">
      <c r="F264"/>
      <c r="G264"/>
    </row>
    <row r="265" spans="6:7">
      <c r="F265"/>
      <c r="G265"/>
    </row>
    <row r="266" spans="6:7">
      <c r="F266"/>
      <c r="G266"/>
    </row>
    <row r="267" spans="6:7">
      <c r="F267"/>
      <c r="G267"/>
    </row>
    <row r="268" spans="6:7">
      <c r="F268"/>
      <c r="G268"/>
    </row>
    <row r="269" spans="6:7">
      <c r="F269"/>
      <c r="G269"/>
    </row>
    <row r="270" spans="6:7">
      <c r="F270"/>
      <c r="G270"/>
    </row>
    <row r="271" spans="6:7">
      <c r="F271"/>
      <c r="G271"/>
    </row>
    <row r="272" spans="6:7">
      <c r="F272"/>
      <c r="G272"/>
    </row>
    <row r="273" spans="6:7">
      <c r="F273"/>
      <c r="G273"/>
    </row>
    <row r="274" spans="6:7">
      <c r="F274"/>
      <c r="G274"/>
    </row>
    <row r="275" spans="6:7">
      <c r="F275"/>
      <c r="G275"/>
    </row>
    <row r="276" spans="6:7">
      <c r="F276"/>
      <c r="G276"/>
    </row>
    <row r="277" spans="6:7">
      <c r="F277"/>
      <c r="G277"/>
    </row>
    <row r="278" spans="6:7">
      <c r="F278"/>
      <c r="G278"/>
    </row>
    <row r="279" spans="6:7">
      <c r="F279"/>
      <c r="G279"/>
    </row>
  </sheetData>
  <mergeCells count="9">
    <mergeCell ref="C10:K10"/>
    <mergeCell ref="C14:K14"/>
    <mergeCell ref="C42:K42"/>
    <mergeCell ref="C21:K21"/>
    <mergeCell ref="C28:K28"/>
    <mergeCell ref="C35:K35"/>
    <mergeCell ref="C13:K13"/>
    <mergeCell ref="C19:K19"/>
    <mergeCell ref="C20:K20"/>
  </mergeCells>
  <pageMargins left="0.7" right="0.7" top="0.75" bottom="0.75" header="0.3" footer="0.3"/>
  <pageSetup scale="9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FF03-14F0-421D-8F76-5519CF1A2460}">
  <dimension ref="A1:V279"/>
  <sheetViews>
    <sheetView zoomScaleNormal="100" zoomScaleSheetLayoutView="100" workbookViewId="0">
      <selection activeCell="C34" sqref="C34"/>
    </sheetView>
  </sheetViews>
  <sheetFormatPr defaultRowHeight="14.25"/>
  <cols>
    <col min="1" max="1" width="4.25" customWidth="1"/>
    <col min="2" max="2" width="29" bestFit="1" customWidth="1"/>
    <col min="3" max="4" width="14.875" customWidth="1"/>
    <col min="5" max="5" width="14.75" customWidth="1"/>
    <col min="6" max="6" width="15" style="15" customWidth="1"/>
    <col min="7" max="7" width="15" style="40" customWidth="1"/>
    <col min="8" max="10" width="15" customWidth="1"/>
    <col min="11" max="11" width="14.75" customWidth="1"/>
    <col min="14" max="14" width="13.125" bestFit="1" customWidth="1"/>
    <col min="17" max="17" width="13.25" bestFit="1" customWidth="1"/>
  </cols>
  <sheetData>
    <row r="1" spans="1:22">
      <c r="F1"/>
      <c r="G1"/>
    </row>
    <row r="2" spans="1:22" ht="16.5">
      <c r="A2" s="2"/>
      <c r="B2" s="19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>
      <c r="A4" s="3"/>
      <c r="B4" s="3" t="s">
        <v>20</v>
      </c>
      <c r="C4" s="4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">
      <c r="A5" s="5"/>
      <c r="B5" s="18">
        <v>2026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">
      <c r="A6" s="5"/>
      <c r="B6" s="5" t="s">
        <v>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">
      <c r="A7" s="5"/>
      <c r="B7" s="5" t="s">
        <v>13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">
      <c r="A8" s="5"/>
      <c r="B8" s="5"/>
      <c r="C8" s="6"/>
      <c r="D8" s="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">
      <c r="A9" s="12" t="s">
        <v>2</v>
      </c>
      <c r="B9" s="14" t="s">
        <v>11</v>
      </c>
      <c r="C9" s="22" t="s">
        <v>15</v>
      </c>
      <c r="D9" s="36" t="s">
        <v>16</v>
      </c>
      <c r="E9" s="23" t="s">
        <v>5</v>
      </c>
      <c r="F9" s="14" t="s">
        <v>3</v>
      </c>
      <c r="G9" s="41" t="s">
        <v>14</v>
      </c>
      <c r="H9" s="14" t="s">
        <v>19</v>
      </c>
      <c r="I9" s="41" t="s">
        <v>18</v>
      </c>
      <c r="J9" s="14" t="s">
        <v>17</v>
      </c>
      <c r="K9" s="14" t="s">
        <v>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">
      <c r="A10" s="10">
        <v>1</v>
      </c>
      <c r="B10" s="27">
        <v>46204</v>
      </c>
      <c r="C10" s="32">
        <v>249800.5</v>
      </c>
      <c r="D10" s="32">
        <v>211385.5</v>
      </c>
      <c r="E10" s="31">
        <v>773.5</v>
      </c>
      <c r="F10" s="32"/>
      <c r="G10" s="31">
        <v>1644</v>
      </c>
      <c r="H10" s="32">
        <v>210612</v>
      </c>
      <c r="I10" s="31"/>
      <c r="J10" s="32"/>
      <c r="K10" s="3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">
      <c r="A11" s="10">
        <v>2</v>
      </c>
      <c r="B11" s="27">
        <v>46205</v>
      </c>
      <c r="C11" s="43" t="s">
        <v>21</v>
      </c>
      <c r="D11" s="44"/>
      <c r="E11" s="44"/>
      <c r="F11" s="44"/>
      <c r="G11" s="44"/>
      <c r="H11" s="44"/>
      <c r="I11" s="44"/>
      <c r="J11" s="44"/>
      <c r="K11" s="4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">
      <c r="A12" s="10">
        <v>3</v>
      </c>
      <c r="B12" s="27">
        <v>46206</v>
      </c>
      <c r="C12" s="32">
        <v>272174.5</v>
      </c>
      <c r="D12" s="32">
        <v>231067</v>
      </c>
      <c r="E12" s="31"/>
      <c r="F12" s="32">
        <v>517</v>
      </c>
      <c r="G12" s="31">
        <v>1308</v>
      </c>
      <c r="H12" s="32">
        <v>231584</v>
      </c>
      <c r="I12" s="31"/>
      <c r="J12" s="32"/>
      <c r="K12" s="3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">
      <c r="A13" s="10">
        <v>4</v>
      </c>
      <c r="B13" s="27">
        <v>46207</v>
      </c>
      <c r="C13" s="43" t="s">
        <v>21</v>
      </c>
      <c r="D13" s="44"/>
      <c r="E13" s="44"/>
      <c r="F13" s="44"/>
      <c r="G13" s="44"/>
      <c r="H13" s="44"/>
      <c r="I13" s="44"/>
      <c r="J13" s="44"/>
      <c r="K13" s="4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">
      <c r="A14" s="10">
        <v>5</v>
      </c>
      <c r="B14" s="35" t="s">
        <v>0</v>
      </c>
      <c r="C14" s="43" t="s">
        <v>0</v>
      </c>
      <c r="D14" s="44"/>
      <c r="E14" s="44"/>
      <c r="F14" s="44"/>
      <c r="G14" s="44"/>
      <c r="H14" s="44"/>
      <c r="I14" s="44"/>
      <c r="J14" s="44"/>
      <c r="K14" s="4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">
      <c r="A15" s="10">
        <v>6</v>
      </c>
      <c r="B15" s="27">
        <v>46209</v>
      </c>
      <c r="C15" s="34">
        <v>255013.5</v>
      </c>
      <c r="D15" s="34">
        <v>211456.5</v>
      </c>
      <c r="E15" s="31">
        <v>765.5</v>
      </c>
      <c r="F15" s="31"/>
      <c r="G15" s="31">
        <v>1950</v>
      </c>
      <c r="H15" s="34">
        <v>210691</v>
      </c>
      <c r="I15" s="31"/>
      <c r="J15" s="34"/>
      <c r="K15" s="3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">
      <c r="A16" s="10">
        <v>7</v>
      </c>
      <c r="B16" s="27">
        <v>46210</v>
      </c>
      <c r="C16" s="34">
        <v>325910</v>
      </c>
      <c r="D16" s="34">
        <v>274485.5</v>
      </c>
      <c r="E16" s="31">
        <v>1255.5</v>
      </c>
      <c r="F16" s="31"/>
      <c r="G16" s="31">
        <v>2496</v>
      </c>
      <c r="H16" s="34">
        <v>273230</v>
      </c>
      <c r="I16" s="31"/>
      <c r="J16" s="34"/>
      <c r="K16" s="3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">
      <c r="A17" s="10">
        <v>8</v>
      </c>
      <c r="B17" s="27">
        <v>46211</v>
      </c>
      <c r="C17" s="34">
        <v>217925</v>
      </c>
      <c r="D17" s="34">
        <v>185540</v>
      </c>
      <c r="E17" s="31"/>
      <c r="F17" s="34">
        <v>52</v>
      </c>
      <c r="G17" s="31">
        <v>1206</v>
      </c>
      <c r="H17" s="34">
        <v>185592</v>
      </c>
      <c r="I17" s="31"/>
      <c r="J17" s="34"/>
      <c r="K17" s="3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">
      <c r="A18" s="10">
        <v>9</v>
      </c>
      <c r="B18" s="27">
        <v>46212</v>
      </c>
      <c r="C18" s="32">
        <v>236707</v>
      </c>
      <c r="D18" s="32">
        <v>200869</v>
      </c>
      <c r="E18" s="31">
        <v>204</v>
      </c>
      <c r="F18" s="31"/>
      <c r="G18" s="31">
        <v>1296</v>
      </c>
      <c r="H18" s="32">
        <v>200665</v>
      </c>
      <c r="I18" s="31"/>
      <c r="J18" s="31"/>
      <c r="K18" s="3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">
      <c r="A19" s="10">
        <v>10</v>
      </c>
      <c r="B19" s="27">
        <v>46213</v>
      </c>
      <c r="C19" s="43" t="s">
        <v>21</v>
      </c>
      <c r="D19" s="44"/>
      <c r="E19" s="44"/>
      <c r="F19" s="44"/>
      <c r="G19" s="44"/>
      <c r="H19" s="44"/>
      <c r="I19" s="44"/>
      <c r="J19" s="44"/>
      <c r="K19" s="4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">
      <c r="A20" s="10">
        <v>11</v>
      </c>
      <c r="B20" s="27">
        <v>46214</v>
      </c>
      <c r="C20" s="43" t="s">
        <v>21</v>
      </c>
      <c r="D20" s="44"/>
      <c r="E20" s="44"/>
      <c r="F20" s="44"/>
      <c r="G20" s="44"/>
      <c r="H20" s="44"/>
      <c r="I20" s="44"/>
      <c r="J20" s="44"/>
      <c r="K20" s="4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">
      <c r="A21" s="10">
        <v>12</v>
      </c>
      <c r="B21" s="35" t="s">
        <v>0</v>
      </c>
      <c r="C21" s="43" t="s">
        <v>0</v>
      </c>
      <c r="D21" s="44"/>
      <c r="E21" s="44"/>
      <c r="F21" s="44"/>
      <c r="G21" s="44"/>
      <c r="H21" s="44"/>
      <c r="I21" s="44"/>
      <c r="J21" s="44"/>
      <c r="K21" s="4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">
      <c r="A22" s="10">
        <v>13</v>
      </c>
      <c r="B22" s="27">
        <v>46216</v>
      </c>
      <c r="C22" s="32">
        <v>264783</v>
      </c>
      <c r="D22" s="32">
        <v>223640.25</v>
      </c>
      <c r="E22" s="31">
        <v>149.25</v>
      </c>
      <c r="F22" s="32"/>
      <c r="G22" s="31">
        <v>1548</v>
      </c>
      <c r="H22" s="32">
        <v>223491</v>
      </c>
      <c r="I22" s="32"/>
      <c r="J22" s="32"/>
      <c r="K22" s="3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">
      <c r="A23" s="10">
        <v>14</v>
      </c>
      <c r="B23" s="27">
        <v>46217</v>
      </c>
      <c r="C23" s="32">
        <v>2444360.33</v>
      </c>
      <c r="D23" s="32">
        <v>205234.33</v>
      </c>
      <c r="E23" s="31">
        <v>193.33</v>
      </c>
      <c r="F23" s="32"/>
      <c r="G23" s="31">
        <v>1296</v>
      </c>
      <c r="H23" s="32">
        <v>205041</v>
      </c>
      <c r="I23" s="32"/>
      <c r="J23" s="32"/>
      <c r="K23" s="32"/>
      <c r="L23" s="1"/>
      <c r="M23" s="1"/>
      <c r="N23" s="7"/>
      <c r="O23" s="1"/>
      <c r="P23" s="1"/>
      <c r="Q23" s="1"/>
      <c r="R23" s="1"/>
      <c r="S23" s="1"/>
      <c r="T23" s="1"/>
      <c r="U23" s="1"/>
      <c r="V23" s="1"/>
    </row>
    <row r="24" spans="1:22" ht="15">
      <c r="A24" s="10">
        <v>15</v>
      </c>
      <c r="B24" s="27">
        <v>46218</v>
      </c>
      <c r="C24" s="32">
        <v>151113.32999999999</v>
      </c>
      <c r="D24" s="32">
        <v>130290.33</v>
      </c>
      <c r="E24" s="31">
        <v>360.33</v>
      </c>
      <c r="F24" s="34"/>
      <c r="G24" s="31"/>
      <c r="H24" s="34">
        <v>130290.33</v>
      </c>
      <c r="I24" s="31"/>
      <c r="J24" s="34"/>
      <c r="K24" s="34"/>
      <c r="L24" s="1"/>
      <c r="M24" s="1"/>
      <c r="N24" s="7"/>
      <c r="O24" s="1"/>
      <c r="P24" s="1"/>
      <c r="Q24" s="1"/>
      <c r="R24" s="1"/>
      <c r="S24" s="1"/>
      <c r="T24" s="1"/>
      <c r="U24" s="1"/>
      <c r="V24" s="1"/>
    </row>
    <row r="25" spans="1:22" ht="15">
      <c r="A25" s="10">
        <v>16</v>
      </c>
      <c r="B25" s="27">
        <v>46219</v>
      </c>
      <c r="C25" s="32">
        <v>278011.66666666669</v>
      </c>
      <c r="D25" s="32">
        <v>244719.16666666669</v>
      </c>
      <c r="E25" s="31">
        <v>84.17</v>
      </c>
      <c r="F25" s="31"/>
      <c r="G25" s="31">
        <v>2004</v>
      </c>
      <c r="H25" s="32">
        <v>244635</v>
      </c>
      <c r="I25" s="31"/>
      <c r="J25" s="32"/>
      <c r="K25" s="31"/>
      <c r="L25" s="1"/>
      <c r="M25" s="1"/>
      <c r="N25" s="7"/>
      <c r="O25" s="1"/>
      <c r="P25" s="1"/>
      <c r="Q25" s="1"/>
      <c r="R25" s="1"/>
      <c r="S25" s="1"/>
      <c r="T25" s="1"/>
      <c r="U25" s="1"/>
      <c r="V25" s="1"/>
    </row>
    <row r="26" spans="1:22" ht="15">
      <c r="A26" s="10">
        <v>17</v>
      </c>
      <c r="B26" s="27">
        <v>46220</v>
      </c>
      <c r="C26" s="32">
        <v>270113.33</v>
      </c>
      <c r="D26" s="32">
        <v>227409.83</v>
      </c>
      <c r="E26" s="31"/>
      <c r="F26" s="32">
        <v>72.17</v>
      </c>
      <c r="G26" s="31">
        <v>972</v>
      </c>
      <c r="H26" s="32">
        <v>227482</v>
      </c>
      <c r="I26" s="31"/>
      <c r="J26" s="31"/>
      <c r="K26" s="31"/>
      <c r="L26" s="1"/>
      <c r="M26" s="1"/>
      <c r="N26" s="17"/>
      <c r="O26" s="1"/>
      <c r="P26" s="1"/>
      <c r="Q26" s="1"/>
      <c r="R26" s="1"/>
      <c r="S26" s="1"/>
      <c r="T26" s="1"/>
      <c r="U26" s="1"/>
      <c r="V26" s="1"/>
    </row>
    <row r="27" spans="1:22" ht="15">
      <c r="A27" s="10">
        <v>18</v>
      </c>
      <c r="B27" s="27">
        <v>46221</v>
      </c>
      <c r="C27" s="43" t="s">
        <v>21</v>
      </c>
      <c r="D27" s="44"/>
      <c r="E27" s="44"/>
      <c r="F27" s="44"/>
      <c r="G27" s="44"/>
      <c r="H27" s="44"/>
      <c r="I27" s="44"/>
      <c r="J27" s="44"/>
      <c r="K27" s="45"/>
      <c r="L27" s="1"/>
      <c r="M27" s="1"/>
      <c r="N27" s="7"/>
      <c r="O27" s="1"/>
      <c r="P27" s="1"/>
      <c r="Q27" s="1"/>
      <c r="R27" s="1"/>
      <c r="S27" s="1"/>
      <c r="T27" s="1"/>
      <c r="U27" s="1"/>
      <c r="V27" s="1"/>
    </row>
    <row r="28" spans="1:22" ht="15">
      <c r="A28" s="10">
        <v>19</v>
      </c>
      <c r="B28" s="35" t="s">
        <v>0</v>
      </c>
      <c r="C28" s="43" t="s">
        <v>0</v>
      </c>
      <c r="D28" s="44"/>
      <c r="E28" s="44"/>
      <c r="F28" s="44"/>
      <c r="G28" s="44"/>
      <c r="H28" s="44"/>
      <c r="I28" s="44"/>
      <c r="J28" s="44"/>
      <c r="K28" s="45"/>
      <c r="L28" s="1"/>
      <c r="M28" s="1"/>
      <c r="N28" s="7"/>
      <c r="O28" s="1"/>
      <c r="P28" s="1"/>
      <c r="Q28" s="1"/>
      <c r="R28" s="1"/>
      <c r="S28" s="1"/>
      <c r="T28" s="1"/>
      <c r="U28" s="1"/>
      <c r="V28" s="1"/>
    </row>
    <row r="29" spans="1:22" ht="15">
      <c r="A29" s="10">
        <v>20</v>
      </c>
      <c r="B29" s="27">
        <v>46223</v>
      </c>
      <c r="C29" s="11">
        <v>283390</v>
      </c>
      <c r="D29" s="37">
        <v>238142.5</v>
      </c>
      <c r="E29" s="13">
        <v>721.5</v>
      </c>
      <c r="F29" s="11"/>
      <c r="G29" s="42">
        <v>1776</v>
      </c>
      <c r="H29" s="33">
        <v>237421</v>
      </c>
      <c r="I29" s="42"/>
      <c r="J29" s="33"/>
      <c r="K29" s="30"/>
      <c r="L29" s="1"/>
      <c r="M29" s="1"/>
      <c r="N29" s="7"/>
      <c r="O29" s="1"/>
      <c r="P29" s="1"/>
      <c r="Q29" s="1"/>
      <c r="R29" s="1"/>
      <c r="S29" s="1"/>
      <c r="T29" s="1"/>
      <c r="U29" s="1"/>
      <c r="V29" s="1"/>
    </row>
    <row r="30" spans="1:22" ht="15">
      <c r="A30" s="10">
        <v>21</v>
      </c>
      <c r="B30" s="27">
        <v>46224</v>
      </c>
      <c r="C30" s="11">
        <v>151595</v>
      </c>
      <c r="D30" s="37">
        <v>124368.5</v>
      </c>
      <c r="E30" s="13">
        <v>234.5</v>
      </c>
      <c r="F30" s="11"/>
      <c r="G30" s="42">
        <v>252</v>
      </c>
      <c r="H30" s="33">
        <v>124134</v>
      </c>
      <c r="I30" s="42"/>
      <c r="J30" s="33"/>
      <c r="K30" s="30"/>
      <c r="L30" s="1"/>
      <c r="M30" s="1"/>
      <c r="N30" s="7"/>
      <c r="O30" s="1"/>
      <c r="P30" s="1"/>
      <c r="Q30" s="1"/>
      <c r="R30" s="1"/>
      <c r="S30" s="1"/>
      <c r="T30" s="1"/>
      <c r="U30" s="1"/>
      <c r="V30" s="1"/>
    </row>
    <row r="31" spans="1:22" ht="15">
      <c r="A31" s="10">
        <v>22</v>
      </c>
      <c r="B31" s="27">
        <v>46225</v>
      </c>
      <c r="C31" s="11">
        <v>230482.54</v>
      </c>
      <c r="D31" s="37">
        <v>194682.04</v>
      </c>
      <c r="E31" s="13">
        <v>299.04000000000002</v>
      </c>
      <c r="F31" s="11"/>
      <c r="G31" s="42">
        <v>1668</v>
      </c>
      <c r="H31" s="33">
        <v>194383</v>
      </c>
      <c r="I31" s="42"/>
      <c r="J31" s="33"/>
      <c r="K31" s="30"/>
      <c r="L31" s="1"/>
      <c r="M31" s="1"/>
      <c r="N31" s="17"/>
      <c r="O31" s="1"/>
      <c r="P31" s="1"/>
      <c r="Q31" s="1"/>
      <c r="R31" s="1"/>
      <c r="S31" s="1"/>
      <c r="T31" s="1"/>
      <c r="U31" s="1"/>
      <c r="V31" s="1"/>
    </row>
    <row r="32" spans="1:22" ht="15">
      <c r="A32" s="10">
        <v>23</v>
      </c>
      <c r="B32" s="27">
        <v>46226</v>
      </c>
      <c r="C32" s="32">
        <v>223968.88</v>
      </c>
      <c r="D32" s="32">
        <v>189405.13</v>
      </c>
      <c r="E32" s="31">
        <v>835.13</v>
      </c>
      <c r="F32" s="31"/>
      <c r="G32" s="31">
        <v>1008</v>
      </c>
      <c r="H32" s="32">
        <v>188570</v>
      </c>
      <c r="I32" s="31"/>
      <c r="J32" s="31"/>
      <c r="K32" s="31"/>
      <c r="L32" s="1"/>
      <c r="M32" s="1"/>
      <c r="N32" s="7"/>
      <c r="O32" s="1"/>
      <c r="P32" s="1"/>
      <c r="Q32" s="1"/>
      <c r="R32" s="1"/>
      <c r="S32" s="1"/>
      <c r="T32" s="1"/>
      <c r="U32" s="1"/>
      <c r="V32" s="1"/>
    </row>
    <row r="33" spans="1:22" ht="15">
      <c r="A33" s="10">
        <v>24</v>
      </c>
      <c r="B33" s="27">
        <v>46227</v>
      </c>
      <c r="C33" s="32">
        <v>222577.58</v>
      </c>
      <c r="D33" s="32">
        <v>189464.33</v>
      </c>
      <c r="E33" s="31"/>
      <c r="F33" s="32">
        <v>631.66999999999996</v>
      </c>
      <c r="G33" s="31">
        <v>1380</v>
      </c>
      <c r="H33" s="32">
        <v>190096</v>
      </c>
      <c r="I33" s="31"/>
      <c r="J33" s="31"/>
      <c r="K33" s="31"/>
      <c r="L33" s="1"/>
      <c r="M33" s="1"/>
      <c r="N33" s="7"/>
      <c r="O33" s="1"/>
      <c r="P33" s="1"/>
      <c r="Q33" s="7"/>
      <c r="R33" s="1"/>
      <c r="S33" s="1"/>
      <c r="T33" s="1"/>
      <c r="U33" s="1"/>
      <c r="V33" s="1"/>
    </row>
    <row r="34" spans="1:22" ht="15">
      <c r="A34" s="10">
        <v>25</v>
      </c>
      <c r="B34" s="27">
        <v>46228</v>
      </c>
      <c r="C34" s="24"/>
      <c r="D34" s="24"/>
      <c r="E34" s="39"/>
      <c r="F34" s="11"/>
      <c r="G34" s="39"/>
      <c r="H34" s="11"/>
      <c r="I34" s="39"/>
      <c r="J34" s="11"/>
      <c r="K34" s="34"/>
      <c r="L34" s="1"/>
      <c r="M34" s="1"/>
      <c r="N34" s="7"/>
      <c r="O34" s="1"/>
      <c r="P34" s="1"/>
      <c r="Q34" s="7"/>
      <c r="R34" s="1"/>
      <c r="S34" s="1"/>
      <c r="T34" s="1"/>
      <c r="U34" s="1"/>
      <c r="V34" s="1"/>
    </row>
    <row r="35" spans="1:22" ht="15">
      <c r="A35" s="10">
        <v>26</v>
      </c>
      <c r="B35" s="35" t="s">
        <v>0</v>
      </c>
      <c r="C35" s="43" t="s">
        <v>0</v>
      </c>
      <c r="D35" s="44"/>
      <c r="E35" s="44"/>
      <c r="F35" s="44"/>
      <c r="G35" s="44"/>
      <c r="H35" s="44"/>
      <c r="I35" s="44"/>
      <c r="J35" s="44"/>
      <c r="K35" s="45"/>
      <c r="L35" s="1"/>
      <c r="M35" s="1"/>
      <c r="N35" s="7"/>
      <c r="O35" s="1"/>
      <c r="P35" s="1"/>
      <c r="Q35" s="7"/>
      <c r="R35" s="1"/>
      <c r="S35" s="1"/>
      <c r="T35" s="1"/>
      <c r="U35" s="1"/>
      <c r="V35" s="1"/>
    </row>
    <row r="36" spans="1:22" ht="15">
      <c r="A36" s="10">
        <v>27</v>
      </c>
      <c r="B36" s="27">
        <v>46230</v>
      </c>
      <c r="C36" s="24"/>
      <c r="D36" s="24"/>
      <c r="E36" s="13"/>
      <c r="F36" s="11"/>
      <c r="G36" s="42"/>
      <c r="H36" s="33"/>
      <c r="I36" s="42"/>
      <c r="J36" s="33"/>
      <c r="K36" s="30"/>
      <c r="L36" s="1"/>
      <c r="M36" s="1"/>
      <c r="N36" s="7"/>
      <c r="O36" s="1"/>
      <c r="P36" s="1"/>
      <c r="Q36" s="7"/>
      <c r="R36" s="1"/>
      <c r="S36" s="1"/>
      <c r="T36" s="1"/>
      <c r="U36" s="1"/>
      <c r="V36" s="1"/>
    </row>
    <row r="37" spans="1:22" ht="15">
      <c r="A37" s="10">
        <v>28</v>
      </c>
      <c r="B37" s="27">
        <v>46231</v>
      </c>
      <c r="C37" s="24"/>
      <c r="D37" s="24"/>
      <c r="E37" s="13"/>
      <c r="F37" s="11"/>
      <c r="G37" s="42"/>
      <c r="H37" s="33"/>
      <c r="I37" s="42"/>
      <c r="J37" s="33"/>
      <c r="K37" s="30"/>
      <c r="L37" s="1"/>
      <c r="M37" s="1"/>
      <c r="N37" s="8"/>
      <c r="O37" s="1"/>
      <c r="P37" s="1"/>
      <c r="Q37" s="7"/>
      <c r="R37" s="1"/>
      <c r="S37" s="1"/>
      <c r="T37" s="1"/>
      <c r="U37" s="1"/>
      <c r="V37" s="1"/>
    </row>
    <row r="38" spans="1:22" ht="15">
      <c r="A38" s="10">
        <v>29</v>
      </c>
      <c r="B38" s="27">
        <v>46232</v>
      </c>
      <c r="C38" s="24"/>
      <c r="D38" s="24"/>
      <c r="E38" s="39"/>
      <c r="F38" s="11"/>
      <c r="G38" s="39"/>
      <c r="H38" s="11"/>
      <c r="I38" s="39"/>
      <c r="J38" s="11"/>
      <c r="K38" s="34"/>
      <c r="L38" s="1"/>
      <c r="M38" s="1"/>
      <c r="N38" s="7"/>
      <c r="O38" s="1"/>
      <c r="P38" s="1"/>
      <c r="Q38" s="1"/>
      <c r="R38" s="1"/>
      <c r="S38" s="1"/>
      <c r="T38" s="1"/>
      <c r="U38" s="1"/>
      <c r="V38" s="1"/>
    </row>
    <row r="39" spans="1:22" ht="15">
      <c r="A39" s="10">
        <v>30</v>
      </c>
      <c r="B39" s="27">
        <v>46233</v>
      </c>
      <c r="C39" s="31"/>
      <c r="D39" s="31"/>
      <c r="E39" s="31"/>
      <c r="F39" s="31"/>
      <c r="G39" s="31"/>
      <c r="H39" s="31"/>
      <c r="I39" s="31"/>
      <c r="J39" s="31"/>
      <c r="K39" s="31"/>
      <c r="L39" s="1"/>
      <c r="M39" s="1"/>
      <c r="N39" s="7"/>
      <c r="O39" s="1"/>
      <c r="P39" s="1"/>
      <c r="Q39" s="1"/>
      <c r="R39" s="1"/>
      <c r="S39" s="1"/>
      <c r="T39" s="1"/>
      <c r="U39" s="1"/>
      <c r="V39" s="1"/>
    </row>
    <row r="40" spans="1:22" ht="15">
      <c r="A40" s="10">
        <v>31</v>
      </c>
      <c r="B40" s="27">
        <v>46234</v>
      </c>
      <c r="C40" s="31"/>
      <c r="D40" s="31"/>
      <c r="E40" s="31"/>
      <c r="F40" s="31"/>
      <c r="G40" s="31"/>
      <c r="H40" s="31"/>
      <c r="I40" s="31"/>
      <c r="J40" s="31"/>
      <c r="K40" s="31"/>
      <c r="L40" s="1"/>
      <c r="M40" s="1"/>
      <c r="N40" s="7"/>
      <c r="O40" s="1"/>
      <c r="P40" s="1"/>
      <c r="Q40" s="1"/>
      <c r="R40" s="1"/>
      <c r="S40" s="1"/>
      <c r="T40" s="1"/>
      <c r="U40" s="1"/>
      <c r="V40" s="1"/>
    </row>
    <row r="41" spans="1:22" ht="15">
      <c r="A41" s="10"/>
      <c r="B41" s="27"/>
      <c r="C41" s="11"/>
      <c r="D41" s="11"/>
      <c r="E41" s="31"/>
      <c r="F41" s="31"/>
      <c r="G41" s="31"/>
      <c r="H41" s="31"/>
      <c r="I41" s="31"/>
      <c r="J41" s="31"/>
      <c r="K41" s="10"/>
      <c r="L41" s="1"/>
      <c r="M41" s="1"/>
      <c r="N41" s="7"/>
      <c r="O41" s="1"/>
      <c r="P41" s="1"/>
      <c r="Q41" s="1"/>
      <c r="R41" s="1"/>
      <c r="S41" s="1"/>
      <c r="T41" s="1"/>
      <c r="U41" s="1"/>
      <c r="V41" s="1"/>
    </row>
    <row r="42" spans="1:22" ht="15">
      <c r="A42" s="21"/>
      <c r="B42" s="35"/>
      <c r="C42" s="43"/>
      <c r="D42" s="44"/>
      <c r="E42" s="44"/>
      <c r="F42" s="44"/>
      <c r="G42" s="44"/>
      <c r="H42" s="44"/>
      <c r="I42" s="44"/>
      <c r="J42" s="44"/>
      <c r="K42" s="45"/>
      <c r="L42" s="1"/>
      <c r="M42" s="1"/>
      <c r="N42" s="7"/>
      <c r="O42" s="1"/>
      <c r="P42" s="1"/>
      <c r="Q42" s="1"/>
      <c r="R42" s="1"/>
      <c r="S42" s="1"/>
      <c r="T42" s="1"/>
      <c r="U42" s="1"/>
      <c r="V42" s="1"/>
    </row>
    <row r="43" spans="1:22" ht="15">
      <c r="A43" s="26" t="s">
        <v>1</v>
      </c>
      <c r="B43" s="27"/>
      <c r="C43" s="16">
        <f t="shared" ref="C43:H43" si="0">SUM(C10:C42)</f>
        <v>6077926.1566666672</v>
      </c>
      <c r="D43" s="16">
        <f t="shared" si="0"/>
        <v>3282159.9066666667</v>
      </c>
      <c r="E43" s="28">
        <f t="shared" si="0"/>
        <v>5875.75</v>
      </c>
      <c r="F43" s="16">
        <f t="shared" si="0"/>
        <v>1272.8399999999999</v>
      </c>
      <c r="G43" s="28">
        <f t="shared" si="0"/>
        <v>21804</v>
      </c>
      <c r="H43" s="16">
        <f t="shared" si="0"/>
        <v>3277917.33</v>
      </c>
      <c r="I43" s="28">
        <f t="shared" ref="I43:J43" si="1">SUM(I10:I42)</f>
        <v>0</v>
      </c>
      <c r="J43" s="16">
        <f t="shared" si="1"/>
        <v>0</v>
      </c>
      <c r="K43" s="16">
        <f>SUM(K10:K42)</f>
        <v>0</v>
      </c>
      <c r="L43" s="1"/>
      <c r="M43" s="1"/>
      <c r="N43" s="9"/>
      <c r="O43" s="1"/>
      <c r="P43" s="1"/>
      <c r="Q43" s="1"/>
      <c r="R43" s="1"/>
      <c r="S43" s="1"/>
      <c r="T43" s="1"/>
      <c r="U43" s="1"/>
      <c r="V43" s="1"/>
    </row>
    <row r="44" spans="1:22" ht="15">
      <c r="A44" s="1"/>
      <c r="B44" s="1"/>
      <c r="C44" s="20"/>
      <c r="D44" s="20"/>
      <c r="E44" s="25"/>
      <c r="F44" s="9"/>
      <c r="G44" s="9"/>
      <c r="H44" s="9"/>
      <c r="I44" s="9"/>
      <c r="J44" s="9"/>
      <c r="K44" s="1"/>
      <c r="L44" s="1"/>
      <c r="M44" s="1"/>
      <c r="N44" s="17"/>
      <c r="O44" s="1"/>
      <c r="P44" s="1"/>
      <c r="Q44" s="1"/>
      <c r="R44" s="1"/>
      <c r="S44" s="1"/>
      <c r="T44" s="1"/>
      <c r="U44" s="1"/>
      <c r="V44" s="1"/>
    </row>
    <row r="45" spans="1:22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7"/>
      <c r="O45" s="1"/>
      <c r="P45" s="1"/>
      <c r="Q45" s="1"/>
      <c r="R45" s="1"/>
      <c r="S45" s="1"/>
      <c r="T45" s="1"/>
      <c r="U45" s="1"/>
      <c r="V45" s="1"/>
    </row>
    <row r="46" spans="1:22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7"/>
      <c r="O46" s="1"/>
      <c r="P46" s="1"/>
      <c r="Q46" s="1"/>
      <c r="R46" s="1"/>
      <c r="S46" s="1"/>
      <c r="T46" s="1"/>
      <c r="U46" s="1"/>
      <c r="V46" s="1"/>
    </row>
    <row r="47" spans="1:22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7"/>
      <c r="O47" s="1"/>
      <c r="P47" s="1"/>
      <c r="Q47" s="1"/>
      <c r="R47" s="1"/>
      <c r="S47" s="1"/>
      <c r="T47" s="1"/>
      <c r="U47" s="1"/>
      <c r="V47" s="1"/>
    </row>
    <row r="48" spans="1:22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7"/>
      <c r="O48" s="1"/>
      <c r="P48" s="1"/>
      <c r="Q48" s="1"/>
      <c r="R48" s="1"/>
      <c r="S48" s="1"/>
      <c r="T48" s="1"/>
      <c r="U48" s="1"/>
      <c r="V48" s="1"/>
    </row>
    <row r="49" spans="1:22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7"/>
      <c r="O49" s="1"/>
      <c r="P49" s="1"/>
      <c r="Q49" s="1"/>
      <c r="R49" s="1"/>
      <c r="S49" s="1"/>
      <c r="T49" s="1"/>
      <c r="U49" s="1"/>
      <c r="V49" s="1"/>
    </row>
    <row r="50" spans="1:22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F196"/>
      <c r="G196"/>
    </row>
    <row r="197" spans="1:22">
      <c r="F197"/>
      <c r="G197"/>
    </row>
    <row r="198" spans="1:22">
      <c r="F198"/>
      <c r="G198"/>
    </row>
    <row r="199" spans="1:22">
      <c r="F199"/>
      <c r="G199"/>
    </row>
    <row r="200" spans="1:22">
      <c r="F200"/>
      <c r="G200"/>
    </row>
    <row r="201" spans="1:22">
      <c r="F201"/>
      <c r="G201"/>
    </row>
    <row r="202" spans="1:22">
      <c r="F202"/>
      <c r="G202"/>
    </row>
    <row r="203" spans="1:22">
      <c r="F203"/>
      <c r="G203"/>
    </row>
    <row r="204" spans="1:22">
      <c r="F204"/>
      <c r="G204"/>
    </row>
    <row r="205" spans="1:22">
      <c r="F205"/>
      <c r="G205"/>
    </row>
    <row r="206" spans="1:22">
      <c r="F206"/>
      <c r="G206"/>
    </row>
    <row r="207" spans="1:22">
      <c r="F207"/>
      <c r="G207"/>
    </row>
    <row r="208" spans="1:22">
      <c r="F208"/>
      <c r="G208"/>
    </row>
    <row r="209" spans="6:7">
      <c r="F209"/>
      <c r="G209"/>
    </row>
    <row r="210" spans="6:7">
      <c r="F210"/>
      <c r="G210"/>
    </row>
    <row r="211" spans="6:7">
      <c r="F211"/>
      <c r="G211"/>
    </row>
    <row r="212" spans="6:7">
      <c r="F212"/>
      <c r="G212"/>
    </row>
    <row r="213" spans="6:7">
      <c r="F213"/>
      <c r="G213"/>
    </row>
    <row r="214" spans="6:7">
      <c r="F214"/>
      <c r="G214"/>
    </row>
    <row r="215" spans="6:7">
      <c r="F215"/>
      <c r="G215"/>
    </row>
    <row r="216" spans="6:7">
      <c r="F216"/>
      <c r="G216"/>
    </row>
    <row r="217" spans="6:7">
      <c r="F217"/>
      <c r="G217"/>
    </row>
    <row r="218" spans="6:7">
      <c r="F218"/>
      <c r="G218"/>
    </row>
    <row r="219" spans="6:7">
      <c r="F219"/>
      <c r="G219"/>
    </row>
    <row r="220" spans="6:7">
      <c r="F220"/>
      <c r="G220"/>
    </row>
    <row r="221" spans="6:7">
      <c r="F221"/>
      <c r="G221"/>
    </row>
    <row r="222" spans="6:7">
      <c r="F222"/>
      <c r="G222"/>
    </row>
    <row r="223" spans="6:7">
      <c r="F223"/>
      <c r="G223"/>
    </row>
    <row r="224" spans="6:7">
      <c r="F224"/>
      <c r="G224"/>
    </row>
    <row r="225" spans="6:7">
      <c r="F225"/>
      <c r="G225"/>
    </row>
    <row r="226" spans="6:7">
      <c r="F226"/>
      <c r="G226"/>
    </row>
    <row r="227" spans="6:7">
      <c r="F227"/>
      <c r="G227"/>
    </row>
    <row r="228" spans="6:7">
      <c r="F228"/>
      <c r="G228"/>
    </row>
    <row r="229" spans="6:7">
      <c r="F229"/>
      <c r="G229"/>
    </row>
    <row r="230" spans="6:7">
      <c r="F230"/>
      <c r="G230"/>
    </row>
    <row r="231" spans="6:7">
      <c r="F231"/>
      <c r="G231"/>
    </row>
    <row r="232" spans="6:7">
      <c r="F232"/>
      <c r="G232"/>
    </row>
    <row r="233" spans="6:7">
      <c r="F233"/>
      <c r="G233"/>
    </row>
    <row r="234" spans="6:7">
      <c r="F234"/>
      <c r="G234"/>
    </row>
    <row r="235" spans="6:7">
      <c r="F235"/>
      <c r="G235"/>
    </row>
    <row r="236" spans="6:7">
      <c r="F236"/>
      <c r="G236"/>
    </row>
    <row r="237" spans="6:7">
      <c r="F237"/>
      <c r="G237"/>
    </row>
    <row r="238" spans="6:7">
      <c r="F238"/>
      <c r="G238"/>
    </row>
    <row r="239" spans="6:7">
      <c r="F239"/>
      <c r="G239"/>
    </row>
    <row r="240" spans="6:7">
      <c r="F240"/>
      <c r="G240"/>
    </row>
    <row r="241" spans="6:7">
      <c r="F241"/>
      <c r="G241"/>
    </row>
    <row r="242" spans="6:7">
      <c r="F242"/>
      <c r="G242"/>
    </row>
    <row r="243" spans="6:7">
      <c r="F243"/>
      <c r="G243"/>
    </row>
    <row r="244" spans="6:7">
      <c r="F244"/>
      <c r="G244"/>
    </row>
    <row r="245" spans="6:7">
      <c r="F245"/>
      <c r="G245"/>
    </row>
    <row r="246" spans="6:7">
      <c r="F246"/>
      <c r="G246"/>
    </row>
    <row r="247" spans="6:7">
      <c r="F247"/>
      <c r="G247"/>
    </row>
    <row r="248" spans="6:7">
      <c r="F248"/>
      <c r="G248"/>
    </row>
    <row r="249" spans="6:7">
      <c r="F249"/>
      <c r="G249"/>
    </row>
    <row r="250" spans="6:7">
      <c r="F250"/>
      <c r="G250"/>
    </row>
    <row r="251" spans="6:7">
      <c r="F251"/>
      <c r="G251"/>
    </row>
    <row r="252" spans="6:7">
      <c r="F252"/>
      <c r="G252"/>
    </row>
    <row r="253" spans="6:7">
      <c r="F253"/>
      <c r="G253"/>
    </row>
    <row r="254" spans="6:7">
      <c r="F254"/>
      <c r="G254"/>
    </row>
    <row r="255" spans="6:7">
      <c r="F255"/>
      <c r="G255"/>
    </row>
    <row r="256" spans="6:7">
      <c r="F256"/>
      <c r="G256"/>
    </row>
    <row r="257" spans="6:7">
      <c r="F257"/>
      <c r="G257"/>
    </row>
    <row r="258" spans="6:7">
      <c r="F258"/>
      <c r="G258"/>
    </row>
    <row r="259" spans="6:7">
      <c r="F259"/>
      <c r="G259"/>
    </row>
    <row r="260" spans="6:7">
      <c r="F260"/>
      <c r="G260"/>
    </row>
    <row r="261" spans="6:7">
      <c r="F261"/>
      <c r="G261"/>
    </row>
    <row r="262" spans="6:7">
      <c r="F262"/>
      <c r="G262"/>
    </row>
    <row r="263" spans="6:7">
      <c r="F263"/>
      <c r="G263"/>
    </row>
    <row r="264" spans="6:7">
      <c r="F264"/>
      <c r="G264"/>
    </row>
    <row r="265" spans="6:7">
      <c r="F265"/>
      <c r="G265"/>
    </row>
    <row r="266" spans="6:7">
      <c r="F266"/>
      <c r="G266"/>
    </row>
    <row r="267" spans="6:7">
      <c r="F267"/>
      <c r="G267"/>
    </row>
    <row r="268" spans="6:7">
      <c r="F268"/>
      <c r="G268"/>
    </row>
    <row r="269" spans="6:7">
      <c r="F269"/>
      <c r="G269"/>
    </row>
    <row r="270" spans="6:7">
      <c r="F270"/>
      <c r="G270"/>
    </row>
    <row r="271" spans="6:7">
      <c r="F271"/>
      <c r="G271"/>
    </row>
    <row r="272" spans="6:7">
      <c r="F272"/>
      <c r="G272"/>
    </row>
    <row r="273" spans="6:7">
      <c r="F273"/>
      <c r="G273"/>
    </row>
    <row r="274" spans="6:7">
      <c r="F274"/>
      <c r="G274"/>
    </row>
    <row r="275" spans="6:7">
      <c r="F275"/>
      <c r="G275"/>
    </row>
    <row r="276" spans="6:7">
      <c r="F276"/>
      <c r="G276"/>
    </row>
    <row r="277" spans="6:7">
      <c r="F277"/>
      <c r="G277"/>
    </row>
    <row r="278" spans="6:7">
      <c r="F278"/>
      <c r="G278"/>
    </row>
    <row r="279" spans="6:7">
      <c r="F279"/>
      <c r="G279"/>
    </row>
  </sheetData>
  <mergeCells count="10">
    <mergeCell ref="C42:K42"/>
    <mergeCell ref="C13:K13"/>
    <mergeCell ref="C11:K11"/>
    <mergeCell ref="C14:K14"/>
    <mergeCell ref="C21:K21"/>
    <mergeCell ref="C28:K28"/>
    <mergeCell ref="C35:K35"/>
    <mergeCell ref="C19:K19"/>
    <mergeCell ref="C20:K20"/>
    <mergeCell ref="C27:K27"/>
  </mergeCells>
  <pageMargins left="0.7" right="0.7" top="0.75" bottom="0.75" header="0.3" footer="0.3"/>
  <pageSetup scale="9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7051-E669-4C2F-B4D4-F8B394C392B3}">
  <dimension ref="A1:V279"/>
  <sheetViews>
    <sheetView tabSelected="1" zoomScaleNormal="100" zoomScaleSheetLayoutView="100" workbookViewId="0">
      <selection activeCell="C34" sqref="C34"/>
    </sheetView>
  </sheetViews>
  <sheetFormatPr defaultRowHeight="14.25"/>
  <cols>
    <col min="1" max="1" width="4.25" customWidth="1"/>
    <col min="2" max="2" width="29" bestFit="1" customWidth="1"/>
    <col min="3" max="4" width="14.875" customWidth="1"/>
    <col min="5" max="5" width="14.75" customWidth="1"/>
    <col min="6" max="6" width="15" style="15" customWidth="1"/>
    <col min="7" max="7" width="15" style="40" customWidth="1"/>
    <col min="8" max="10" width="15" customWidth="1"/>
    <col min="11" max="11" width="14.75" customWidth="1"/>
    <col min="14" max="14" width="13.125" bestFit="1" customWidth="1"/>
    <col min="17" max="17" width="13.25" bestFit="1" customWidth="1"/>
  </cols>
  <sheetData>
    <row r="1" spans="1:22">
      <c r="F1"/>
      <c r="G1"/>
    </row>
    <row r="2" spans="1:22" ht="16.5">
      <c r="A2" s="2"/>
      <c r="B2" s="19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>
      <c r="A4" s="3"/>
      <c r="B4" s="3" t="s">
        <v>20</v>
      </c>
      <c r="C4" s="4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">
      <c r="A5" s="5"/>
      <c r="B5" s="18">
        <v>2026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">
      <c r="A6" s="5"/>
      <c r="B6" s="5" t="s">
        <v>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">
      <c r="A7" s="5"/>
      <c r="B7" s="5" t="s">
        <v>12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">
      <c r="A8" s="5"/>
      <c r="B8" s="38"/>
      <c r="C8" s="6"/>
      <c r="D8" s="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">
      <c r="A9" s="12" t="s">
        <v>2</v>
      </c>
      <c r="B9" s="14" t="s">
        <v>11</v>
      </c>
      <c r="C9" s="22" t="s">
        <v>15</v>
      </c>
      <c r="D9" s="36" t="s">
        <v>16</v>
      </c>
      <c r="E9" s="23" t="s">
        <v>5</v>
      </c>
      <c r="F9" s="14" t="s">
        <v>3</v>
      </c>
      <c r="G9" s="41" t="s">
        <v>14</v>
      </c>
      <c r="H9" s="14" t="s">
        <v>19</v>
      </c>
      <c r="I9" s="41" t="s">
        <v>18</v>
      </c>
      <c r="J9" s="14" t="s">
        <v>17</v>
      </c>
      <c r="K9" s="14" t="s">
        <v>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">
      <c r="A10" s="10">
        <v>1</v>
      </c>
      <c r="B10" s="27">
        <v>46204</v>
      </c>
      <c r="C10" s="32">
        <v>297996.5</v>
      </c>
      <c r="D10" s="32">
        <v>238892</v>
      </c>
      <c r="E10" s="31">
        <v>21</v>
      </c>
      <c r="F10" s="32"/>
      <c r="G10" s="31">
        <v>1350</v>
      </c>
      <c r="H10" s="32">
        <v>238871</v>
      </c>
      <c r="I10" s="31"/>
      <c r="J10" s="32"/>
      <c r="K10" s="3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">
      <c r="A11" s="10">
        <v>2</v>
      </c>
      <c r="B11" s="27">
        <v>46205</v>
      </c>
      <c r="C11" s="32">
        <v>253346.5</v>
      </c>
      <c r="D11" s="32">
        <v>213164</v>
      </c>
      <c r="E11" s="31"/>
      <c r="F11" s="32">
        <v>47</v>
      </c>
      <c r="G11" s="31">
        <v>1722</v>
      </c>
      <c r="H11" s="32">
        <v>213211</v>
      </c>
      <c r="I11" s="31"/>
      <c r="J11" s="32"/>
      <c r="K11" s="3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">
      <c r="A12" s="10">
        <v>3</v>
      </c>
      <c r="B12" s="27">
        <v>46206</v>
      </c>
      <c r="C12" s="32">
        <v>438059</v>
      </c>
      <c r="D12" s="32">
        <v>402146.75</v>
      </c>
      <c r="E12" s="31"/>
      <c r="F12" s="32">
        <v>67.25</v>
      </c>
      <c r="G12" s="31">
        <v>648</v>
      </c>
      <c r="H12" s="32">
        <v>402214</v>
      </c>
      <c r="I12" s="31"/>
      <c r="J12" s="32"/>
      <c r="K12" s="3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">
      <c r="A13" s="10">
        <v>4</v>
      </c>
      <c r="B13" s="27">
        <v>46207</v>
      </c>
      <c r="C13" s="43" t="s">
        <v>21</v>
      </c>
      <c r="D13" s="44"/>
      <c r="E13" s="44"/>
      <c r="F13" s="44"/>
      <c r="G13" s="44"/>
      <c r="H13" s="44"/>
      <c r="I13" s="44"/>
      <c r="J13" s="44"/>
      <c r="K13" s="4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">
      <c r="A14" s="10">
        <v>5</v>
      </c>
      <c r="B14" s="35" t="s">
        <v>0</v>
      </c>
      <c r="C14" s="43" t="s">
        <v>0</v>
      </c>
      <c r="D14" s="44"/>
      <c r="E14" s="44"/>
      <c r="F14" s="44"/>
      <c r="G14" s="44"/>
      <c r="H14" s="44"/>
      <c r="I14" s="44"/>
      <c r="J14" s="44"/>
      <c r="K14" s="4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">
      <c r="A15" s="10">
        <v>6</v>
      </c>
      <c r="B15" s="27">
        <v>46209</v>
      </c>
      <c r="C15" s="34">
        <v>299824</v>
      </c>
      <c r="D15" s="34">
        <v>247763.5</v>
      </c>
      <c r="E15" s="31">
        <v>34.5</v>
      </c>
      <c r="F15" s="31"/>
      <c r="G15" s="31">
        <v>2328</v>
      </c>
      <c r="H15" s="34">
        <v>247729</v>
      </c>
      <c r="I15" s="31"/>
      <c r="J15" s="34"/>
      <c r="K15" s="32">
        <v>50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">
      <c r="A16" s="10">
        <v>7</v>
      </c>
      <c r="B16" s="27">
        <v>46210</v>
      </c>
      <c r="C16" s="34">
        <v>287132</v>
      </c>
      <c r="D16" s="34">
        <v>243548.75</v>
      </c>
      <c r="E16" s="31">
        <v>2143.75</v>
      </c>
      <c r="F16" s="31"/>
      <c r="G16" s="31">
        <v>1824</v>
      </c>
      <c r="H16" s="34">
        <v>241405</v>
      </c>
      <c r="I16" s="31"/>
      <c r="J16" s="34"/>
      <c r="K16" s="3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">
      <c r="A17" s="10">
        <v>8</v>
      </c>
      <c r="B17" s="27">
        <v>46211</v>
      </c>
      <c r="C17" s="34">
        <v>349413</v>
      </c>
      <c r="D17" s="34">
        <v>305021.5</v>
      </c>
      <c r="E17" s="31">
        <v>2129.5</v>
      </c>
      <c r="F17" s="31"/>
      <c r="G17" s="31"/>
      <c r="H17" s="34">
        <v>302892</v>
      </c>
      <c r="I17" s="31"/>
      <c r="J17" s="34"/>
      <c r="K17" s="3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">
      <c r="A18" s="10">
        <v>9</v>
      </c>
      <c r="B18" s="27">
        <v>46212</v>
      </c>
      <c r="C18" s="32">
        <v>112831.5</v>
      </c>
      <c r="D18" s="32">
        <v>94338</v>
      </c>
      <c r="E18" s="31"/>
      <c r="F18" s="32">
        <v>2094</v>
      </c>
      <c r="G18" s="31">
        <v>300</v>
      </c>
      <c r="H18" s="32">
        <v>96432</v>
      </c>
      <c r="I18" s="31"/>
      <c r="J18" s="31"/>
      <c r="K18" s="3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">
      <c r="A19" s="10">
        <v>10</v>
      </c>
      <c r="B19" s="27">
        <v>46213</v>
      </c>
      <c r="C19" s="32">
        <v>249944.5</v>
      </c>
      <c r="D19" s="32">
        <v>211759.25</v>
      </c>
      <c r="E19" s="31"/>
      <c r="F19" s="34">
        <v>12.75</v>
      </c>
      <c r="G19" s="31">
        <v>942</v>
      </c>
      <c r="H19" s="34">
        <v>211772</v>
      </c>
      <c r="I19" s="31"/>
      <c r="J19" s="31"/>
      <c r="K19" s="3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">
      <c r="A20" s="10">
        <v>11</v>
      </c>
      <c r="B20" s="27">
        <v>46214</v>
      </c>
      <c r="C20" s="43" t="s">
        <v>21</v>
      </c>
      <c r="D20" s="44"/>
      <c r="E20" s="44"/>
      <c r="F20" s="44"/>
      <c r="G20" s="44"/>
      <c r="H20" s="44"/>
      <c r="I20" s="44"/>
      <c r="J20" s="44"/>
      <c r="K20" s="4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">
      <c r="A21" s="10">
        <v>12</v>
      </c>
      <c r="B21" s="35" t="s">
        <v>0</v>
      </c>
      <c r="C21" s="43" t="s">
        <v>0</v>
      </c>
      <c r="D21" s="44"/>
      <c r="E21" s="44"/>
      <c r="F21" s="44"/>
      <c r="G21" s="44"/>
      <c r="H21" s="44"/>
      <c r="I21" s="44"/>
      <c r="J21" s="44"/>
      <c r="K21" s="4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">
      <c r="A22" s="10">
        <v>13</v>
      </c>
      <c r="B22" s="27">
        <v>46216</v>
      </c>
      <c r="C22" s="32">
        <v>386726.5</v>
      </c>
      <c r="D22" s="32">
        <v>322822.75</v>
      </c>
      <c r="E22" s="31">
        <v>3522.75</v>
      </c>
      <c r="F22" s="32"/>
      <c r="G22" s="31">
        <v>1296</v>
      </c>
      <c r="H22" s="32">
        <v>319300</v>
      </c>
      <c r="I22" s="32"/>
      <c r="J22" s="32"/>
      <c r="K22" s="3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">
      <c r="A23" s="10">
        <v>14</v>
      </c>
      <c r="B23" s="27">
        <v>46217</v>
      </c>
      <c r="C23" s="32">
        <v>226895</v>
      </c>
      <c r="D23" s="32">
        <v>191038.5</v>
      </c>
      <c r="E23" s="32"/>
      <c r="F23" s="32">
        <v>1106.5</v>
      </c>
      <c r="G23" s="31">
        <v>1446</v>
      </c>
      <c r="H23" s="32">
        <v>192145</v>
      </c>
      <c r="I23" s="32"/>
      <c r="J23" s="32"/>
      <c r="K23" s="32">
        <v>50</v>
      </c>
      <c r="L23" s="1"/>
      <c r="M23" s="1"/>
      <c r="N23" s="7"/>
      <c r="O23" s="1"/>
      <c r="P23" s="1"/>
      <c r="Q23" s="1"/>
      <c r="R23" s="1"/>
      <c r="S23" s="1"/>
      <c r="T23" s="1"/>
      <c r="U23" s="1"/>
      <c r="V23" s="1"/>
    </row>
    <row r="24" spans="1:22" ht="15">
      <c r="A24" s="10">
        <v>15</v>
      </c>
      <c r="B24" s="27">
        <v>46218</v>
      </c>
      <c r="C24" s="32">
        <v>341541</v>
      </c>
      <c r="D24" s="32">
        <v>279441.75</v>
      </c>
      <c r="E24" s="31">
        <v>2872.75</v>
      </c>
      <c r="F24" s="34"/>
      <c r="G24" s="31">
        <v>1896</v>
      </c>
      <c r="H24" s="34">
        <v>276569</v>
      </c>
      <c r="I24" s="31"/>
      <c r="J24" s="34"/>
      <c r="K24" s="34"/>
      <c r="L24" s="1"/>
      <c r="M24" s="1"/>
      <c r="N24" s="7"/>
      <c r="O24" s="1"/>
      <c r="P24" s="1"/>
      <c r="Q24" s="1"/>
      <c r="R24" s="1"/>
      <c r="S24" s="1"/>
      <c r="T24" s="1"/>
      <c r="U24" s="1"/>
      <c r="V24" s="1"/>
    </row>
    <row r="25" spans="1:22" ht="15">
      <c r="A25" s="10">
        <v>16</v>
      </c>
      <c r="B25" s="27">
        <v>46219</v>
      </c>
      <c r="C25" s="32">
        <v>142129.5</v>
      </c>
      <c r="D25" s="32">
        <v>121441.5</v>
      </c>
      <c r="E25" s="31"/>
      <c r="F25" s="32">
        <v>2442.5</v>
      </c>
      <c r="G25" s="31">
        <v>780</v>
      </c>
      <c r="H25" s="32">
        <v>123884</v>
      </c>
      <c r="I25" s="31"/>
      <c r="J25" s="32"/>
      <c r="K25" s="32">
        <f>50+100</f>
        <v>150</v>
      </c>
      <c r="L25" s="1"/>
      <c r="M25" s="1"/>
      <c r="N25" s="7"/>
      <c r="O25" s="1"/>
      <c r="P25" s="1"/>
      <c r="Q25" s="1"/>
      <c r="R25" s="1"/>
      <c r="S25" s="1"/>
      <c r="T25" s="1"/>
      <c r="U25" s="1"/>
      <c r="V25" s="1"/>
    </row>
    <row r="26" spans="1:22" ht="15">
      <c r="A26" s="10">
        <v>17</v>
      </c>
      <c r="B26" s="27">
        <v>46220</v>
      </c>
      <c r="C26" s="32">
        <v>507045</v>
      </c>
      <c r="D26" s="32">
        <v>442359</v>
      </c>
      <c r="E26" s="31">
        <v>65</v>
      </c>
      <c r="F26" s="31"/>
      <c r="G26" s="31">
        <v>2592</v>
      </c>
      <c r="H26" s="32">
        <v>442294</v>
      </c>
      <c r="I26" s="31"/>
      <c r="J26" s="31"/>
      <c r="K26" s="31"/>
      <c r="L26" s="1"/>
      <c r="M26" s="1"/>
      <c r="N26" s="17"/>
      <c r="O26" s="1"/>
      <c r="P26" s="1"/>
      <c r="Q26" s="1"/>
      <c r="R26" s="1"/>
      <c r="S26" s="1"/>
      <c r="T26" s="1"/>
      <c r="U26" s="1"/>
      <c r="V26" s="1"/>
    </row>
    <row r="27" spans="1:22" ht="15">
      <c r="A27" s="10">
        <v>18</v>
      </c>
      <c r="B27" s="27">
        <v>46221</v>
      </c>
      <c r="C27" s="43" t="s">
        <v>21</v>
      </c>
      <c r="D27" s="44"/>
      <c r="E27" s="44"/>
      <c r="F27" s="44"/>
      <c r="G27" s="44"/>
      <c r="H27" s="44"/>
      <c r="I27" s="44"/>
      <c r="J27" s="44"/>
      <c r="K27" s="45"/>
      <c r="L27" s="1"/>
      <c r="M27" s="1"/>
      <c r="N27" s="7"/>
      <c r="O27" s="1"/>
      <c r="P27" s="1"/>
      <c r="Q27" s="1"/>
      <c r="R27" s="1"/>
      <c r="S27" s="1"/>
      <c r="T27" s="1"/>
      <c r="U27" s="1"/>
      <c r="V27" s="1"/>
    </row>
    <row r="28" spans="1:22" ht="15">
      <c r="A28" s="10">
        <v>19</v>
      </c>
      <c r="B28" s="35" t="s">
        <v>0</v>
      </c>
      <c r="C28" s="43" t="s">
        <v>0</v>
      </c>
      <c r="D28" s="44"/>
      <c r="E28" s="44"/>
      <c r="F28" s="44"/>
      <c r="G28" s="44"/>
      <c r="H28" s="44"/>
      <c r="I28" s="44"/>
      <c r="J28" s="44"/>
      <c r="K28" s="45"/>
      <c r="L28" s="1"/>
      <c r="M28" s="1"/>
      <c r="N28" s="7"/>
      <c r="O28" s="1"/>
      <c r="P28" s="1"/>
      <c r="Q28" s="1"/>
      <c r="R28" s="1"/>
      <c r="S28" s="1"/>
      <c r="T28" s="1"/>
      <c r="U28" s="1"/>
      <c r="V28" s="1"/>
    </row>
    <row r="29" spans="1:22" ht="15">
      <c r="A29" s="10">
        <v>20</v>
      </c>
      <c r="B29" s="27">
        <v>46223</v>
      </c>
      <c r="C29" s="11">
        <v>510270</v>
      </c>
      <c r="D29" s="37">
        <v>435177.25</v>
      </c>
      <c r="E29" s="13">
        <v>145.25</v>
      </c>
      <c r="F29" s="11"/>
      <c r="G29" s="42">
        <v>1584</v>
      </c>
      <c r="H29" s="33">
        <v>435032</v>
      </c>
      <c r="I29" s="42"/>
      <c r="J29" s="33"/>
      <c r="K29" s="30">
        <v>50</v>
      </c>
      <c r="L29" s="1"/>
      <c r="M29" s="1"/>
      <c r="N29" s="7"/>
      <c r="O29" s="1"/>
      <c r="P29" s="1"/>
      <c r="Q29" s="1"/>
      <c r="R29" s="1"/>
      <c r="S29" s="1"/>
      <c r="T29" s="1"/>
      <c r="U29" s="1"/>
      <c r="V29" s="1"/>
    </row>
    <row r="30" spans="1:22" ht="15">
      <c r="A30" s="10">
        <v>21</v>
      </c>
      <c r="B30" s="27">
        <v>46224</v>
      </c>
      <c r="C30" s="11">
        <v>344940</v>
      </c>
      <c r="D30" s="37">
        <v>262971.75</v>
      </c>
      <c r="E30" s="13">
        <v>104.75</v>
      </c>
      <c r="F30" s="11"/>
      <c r="G30" s="42">
        <v>1104</v>
      </c>
      <c r="H30" s="33">
        <v>262867</v>
      </c>
      <c r="I30" s="42"/>
      <c r="J30" s="33"/>
      <c r="K30" s="30">
        <v>24757.5</v>
      </c>
      <c r="L30" s="1"/>
      <c r="M30" s="1"/>
      <c r="N30" s="7"/>
      <c r="O30" s="1"/>
      <c r="P30" s="1"/>
      <c r="Q30" s="1"/>
      <c r="R30" s="1"/>
      <c r="S30" s="1"/>
      <c r="T30" s="1"/>
      <c r="U30" s="1"/>
      <c r="V30" s="1"/>
    </row>
    <row r="31" spans="1:22" ht="15">
      <c r="A31" s="10">
        <v>22</v>
      </c>
      <c r="B31" s="27">
        <v>46225</v>
      </c>
      <c r="C31" s="11">
        <v>408168</v>
      </c>
      <c r="D31" s="37">
        <v>371172.75</v>
      </c>
      <c r="E31" s="13">
        <v>0.75</v>
      </c>
      <c r="F31" s="11"/>
      <c r="G31" s="42"/>
      <c r="H31" s="33">
        <v>371172</v>
      </c>
      <c r="I31" s="42"/>
      <c r="J31" s="33"/>
      <c r="K31" s="30"/>
      <c r="L31" s="1"/>
      <c r="M31" s="1"/>
      <c r="N31" s="17"/>
      <c r="O31" s="1"/>
      <c r="P31" s="1"/>
      <c r="Q31" s="1"/>
      <c r="R31" s="1"/>
      <c r="S31" s="1"/>
      <c r="T31" s="1"/>
      <c r="U31" s="1"/>
      <c r="V31" s="1"/>
    </row>
    <row r="32" spans="1:22" ht="15">
      <c r="A32" s="10">
        <v>23</v>
      </c>
      <c r="B32" s="27">
        <v>46226</v>
      </c>
      <c r="C32" s="32">
        <v>407248</v>
      </c>
      <c r="D32" s="32">
        <v>340907</v>
      </c>
      <c r="E32" s="31"/>
      <c r="F32" s="34">
        <v>52</v>
      </c>
      <c r="G32" s="31">
        <v>1140</v>
      </c>
      <c r="H32" s="32">
        <v>340959</v>
      </c>
      <c r="I32" s="31"/>
      <c r="J32" s="31"/>
      <c r="K32" s="34">
        <v>50</v>
      </c>
      <c r="L32" s="1"/>
      <c r="M32" s="1"/>
      <c r="N32" s="7"/>
      <c r="O32" s="1"/>
      <c r="P32" s="1"/>
      <c r="Q32" s="1"/>
      <c r="R32" s="1"/>
      <c r="S32" s="1"/>
      <c r="T32" s="1"/>
      <c r="U32" s="1"/>
      <c r="V32" s="1"/>
    </row>
    <row r="33" spans="1:22" ht="15">
      <c r="A33" s="10">
        <v>24</v>
      </c>
      <c r="B33" s="27">
        <v>46227</v>
      </c>
      <c r="C33" s="32">
        <v>505296</v>
      </c>
      <c r="D33" s="32">
        <v>432331.5</v>
      </c>
      <c r="E33" s="31">
        <v>45.5</v>
      </c>
      <c r="F33" s="32"/>
      <c r="G33" s="31">
        <v>2946</v>
      </c>
      <c r="H33" s="32">
        <v>432286</v>
      </c>
      <c r="I33" s="31"/>
      <c r="J33" s="31"/>
      <c r="K33" s="31"/>
      <c r="L33" s="1"/>
      <c r="M33" s="1"/>
      <c r="N33" s="7"/>
      <c r="O33" s="1"/>
      <c r="P33" s="1"/>
      <c r="Q33" s="7"/>
      <c r="R33" s="1"/>
      <c r="S33" s="1"/>
      <c r="T33" s="1"/>
      <c r="U33" s="1"/>
      <c r="V33" s="1"/>
    </row>
    <row r="34" spans="1:22" ht="15">
      <c r="A34" s="10">
        <v>25</v>
      </c>
      <c r="B34" s="27">
        <v>46228</v>
      </c>
      <c r="C34" s="24"/>
      <c r="D34" s="24"/>
      <c r="E34" s="39"/>
      <c r="F34" s="11"/>
      <c r="G34" s="39"/>
      <c r="H34" s="11"/>
      <c r="I34" s="39"/>
      <c r="J34" s="11"/>
      <c r="K34" s="34"/>
      <c r="L34" s="1"/>
      <c r="M34" s="1"/>
      <c r="N34" s="7"/>
      <c r="O34" s="1"/>
      <c r="P34" s="1"/>
      <c r="Q34" s="7"/>
      <c r="R34" s="1"/>
      <c r="S34" s="1"/>
      <c r="T34" s="1"/>
      <c r="U34" s="1"/>
      <c r="V34" s="1"/>
    </row>
    <row r="35" spans="1:22" ht="15">
      <c r="A35" s="10">
        <v>26</v>
      </c>
      <c r="B35" s="35" t="s">
        <v>0</v>
      </c>
      <c r="C35" s="43" t="s">
        <v>0</v>
      </c>
      <c r="D35" s="44"/>
      <c r="E35" s="44"/>
      <c r="F35" s="44"/>
      <c r="G35" s="44"/>
      <c r="H35" s="44"/>
      <c r="I35" s="44"/>
      <c r="J35" s="44"/>
      <c r="K35" s="45"/>
      <c r="L35" s="1"/>
      <c r="M35" s="1"/>
      <c r="N35" s="7"/>
      <c r="O35" s="1"/>
      <c r="P35" s="1"/>
      <c r="Q35" s="7"/>
      <c r="R35" s="1"/>
      <c r="S35" s="1"/>
      <c r="T35" s="1"/>
      <c r="U35" s="1"/>
      <c r="V35" s="1"/>
    </row>
    <row r="36" spans="1:22" ht="15">
      <c r="A36" s="10">
        <v>27</v>
      </c>
      <c r="B36" s="27">
        <v>46230</v>
      </c>
      <c r="C36" s="24"/>
      <c r="D36" s="24"/>
      <c r="E36" s="13"/>
      <c r="F36" s="11"/>
      <c r="G36" s="42"/>
      <c r="H36" s="33"/>
      <c r="I36" s="42"/>
      <c r="J36" s="33"/>
      <c r="K36" s="30"/>
      <c r="L36" s="1"/>
      <c r="M36" s="1"/>
      <c r="N36" s="7"/>
      <c r="O36" s="1"/>
      <c r="P36" s="1"/>
      <c r="Q36" s="7"/>
      <c r="R36" s="1"/>
      <c r="S36" s="1"/>
      <c r="T36" s="1"/>
      <c r="U36" s="1"/>
      <c r="V36" s="1"/>
    </row>
    <row r="37" spans="1:22" ht="15">
      <c r="A37" s="10">
        <v>28</v>
      </c>
      <c r="B37" s="27">
        <v>46231</v>
      </c>
      <c r="C37" s="24"/>
      <c r="D37" s="24"/>
      <c r="E37" s="13"/>
      <c r="F37" s="11"/>
      <c r="G37" s="42"/>
      <c r="H37" s="33"/>
      <c r="I37" s="42"/>
      <c r="J37" s="33"/>
      <c r="K37" s="30"/>
      <c r="L37" s="1"/>
      <c r="M37" s="1"/>
      <c r="N37" s="8"/>
      <c r="O37" s="1"/>
      <c r="P37" s="1"/>
      <c r="Q37" s="7"/>
      <c r="R37" s="1"/>
      <c r="S37" s="1"/>
      <c r="T37" s="1"/>
      <c r="U37" s="1"/>
      <c r="V37" s="1"/>
    </row>
    <row r="38" spans="1:22" ht="15">
      <c r="A38" s="10">
        <v>29</v>
      </c>
      <c r="B38" s="27">
        <v>46232</v>
      </c>
      <c r="C38" s="24"/>
      <c r="D38" s="24"/>
      <c r="E38" s="39"/>
      <c r="F38" s="11"/>
      <c r="G38" s="39"/>
      <c r="H38" s="11"/>
      <c r="I38" s="39"/>
      <c r="J38" s="11"/>
      <c r="K38" s="34"/>
      <c r="L38" s="1"/>
      <c r="M38" s="1"/>
      <c r="N38" s="7"/>
      <c r="O38" s="1"/>
      <c r="P38" s="1"/>
      <c r="Q38" s="1"/>
      <c r="R38" s="1"/>
      <c r="S38" s="1"/>
      <c r="T38" s="1"/>
      <c r="U38" s="1"/>
      <c r="V38" s="1"/>
    </row>
    <row r="39" spans="1:22" ht="15">
      <c r="A39" s="10">
        <v>30</v>
      </c>
      <c r="B39" s="27">
        <v>46233</v>
      </c>
      <c r="C39" s="31"/>
      <c r="D39" s="31"/>
      <c r="E39" s="31"/>
      <c r="F39" s="31"/>
      <c r="G39" s="31"/>
      <c r="H39" s="31"/>
      <c r="I39" s="31"/>
      <c r="J39" s="31"/>
      <c r="K39" s="31"/>
      <c r="L39" s="1"/>
      <c r="M39" s="1"/>
      <c r="N39" s="7"/>
      <c r="O39" s="1"/>
      <c r="P39" s="1"/>
      <c r="Q39" s="1"/>
      <c r="R39" s="1"/>
      <c r="S39" s="1"/>
      <c r="T39" s="1"/>
      <c r="U39" s="1"/>
      <c r="V39" s="1"/>
    </row>
    <row r="40" spans="1:22" ht="15">
      <c r="A40" s="10">
        <v>31</v>
      </c>
      <c r="B40" s="27">
        <v>46234</v>
      </c>
      <c r="C40" s="31"/>
      <c r="D40" s="31"/>
      <c r="E40" s="31"/>
      <c r="F40" s="31"/>
      <c r="G40" s="31"/>
      <c r="H40" s="31"/>
      <c r="I40" s="31"/>
      <c r="J40" s="31"/>
      <c r="K40" s="31"/>
      <c r="L40" s="1"/>
      <c r="M40" s="1"/>
      <c r="N40" s="7"/>
      <c r="O40" s="1"/>
      <c r="P40" s="1"/>
      <c r="Q40" s="1"/>
      <c r="R40" s="1"/>
      <c r="S40" s="1"/>
      <c r="T40" s="1"/>
      <c r="U40" s="1"/>
      <c r="V40" s="1"/>
    </row>
    <row r="41" spans="1:22" ht="15">
      <c r="A41" s="10"/>
      <c r="B41" s="27"/>
      <c r="C41" s="11"/>
      <c r="D41" s="11"/>
      <c r="E41" s="31"/>
      <c r="F41" s="31"/>
      <c r="G41" s="31"/>
      <c r="H41" s="31"/>
      <c r="I41" s="31"/>
      <c r="J41" s="31"/>
      <c r="K41" s="10"/>
      <c r="L41" s="1"/>
      <c r="M41" s="1"/>
      <c r="N41" s="7"/>
      <c r="O41" s="1"/>
      <c r="P41" s="1"/>
      <c r="Q41" s="1"/>
      <c r="R41" s="1"/>
      <c r="S41" s="1"/>
      <c r="T41" s="1"/>
      <c r="U41" s="1"/>
      <c r="V41" s="1"/>
    </row>
    <row r="42" spans="1:22" ht="15">
      <c r="A42" s="21"/>
      <c r="B42" s="35"/>
      <c r="C42" s="43"/>
      <c r="D42" s="44"/>
      <c r="E42" s="44"/>
      <c r="F42" s="44"/>
      <c r="G42" s="44"/>
      <c r="H42" s="44"/>
      <c r="I42" s="44"/>
      <c r="J42" s="44"/>
      <c r="K42" s="45"/>
      <c r="L42" s="1"/>
      <c r="M42" s="1"/>
      <c r="N42" s="7"/>
      <c r="O42" s="1"/>
      <c r="P42" s="1"/>
      <c r="Q42" s="1"/>
      <c r="R42" s="1"/>
      <c r="S42" s="1"/>
      <c r="T42" s="1"/>
      <c r="U42" s="1"/>
      <c r="V42" s="1"/>
    </row>
    <row r="43" spans="1:22" ht="15">
      <c r="A43" s="26" t="s">
        <v>1</v>
      </c>
      <c r="B43" s="27"/>
      <c r="C43" s="16">
        <f t="shared" ref="C43:H43" si="0">SUM(C10:C42)</f>
        <v>6068806</v>
      </c>
      <c r="D43" s="16">
        <f t="shared" si="0"/>
        <v>5156297.5</v>
      </c>
      <c r="E43" s="28">
        <f t="shared" si="0"/>
        <v>11085.5</v>
      </c>
      <c r="F43" s="16">
        <f t="shared" si="0"/>
        <v>5822</v>
      </c>
      <c r="G43" s="28">
        <f t="shared" si="0"/>
        <v>23898</v>
      </c>
      <c r="H43" s="16">
        <f t="shared" si="0"/>
        <v>5151034</v>
      </c>
      <c r="I43" s="28">
        <f t="shared" ref="I43:J43" si="1">SUM(I10:I42)</f>
        <v>0</v>
      </c>
      <c r="J43" s="16">
        <f t="shared" si="1"/>
        <v>0</v>
      </c>
      <c r="K43" s="16">
        <f>SUM(K10:K42)</f>
        <v>25107.5</v>
      </c>
      <c r="L43" s="1"/>
      <c r="M43" s="1"/>
      <c r="N43" s="9"/>
      <c r="O43" s="1"/>
      <c r="P43" s="1"/>
      <c r="Q43" s="1"/>
      <c r="R43" s="1"/>
      <c r="S43" s="1"/>
      <c r="T43" s="1"/>
      <c r="U43" s="1"/>
      <c r="V43" s="1"/>
    </row>
    <row r="44" spans="1:22" ht="15">
      <c r="A44" s="1"/>
      <c r="B44" s="1"/>
      <c r="C44" s="20"/>
      <c r="D44" s="20"/>
      <c r="E44" s="25"/>
      <c r="F44" s="9"/>
      <c r="G44" s="9"/>
      <c r="H44" s="9"/>
      <c r="I44" s="9"/>
      <c r="J44" s="9"/>
      <c r="K44" s="1"/>
      <c r="L44" s="1"/>
      <c r="M44" s="1"/>
      <c r="N44" s="17"/>
      <c r="O44" s="1"/>
      <c r="P44" s="1"/>
      <c r="Q44" s="1"/>
      <c r="R44" s="1"/>
      <c r="S44" s="1"/>
      <c r="T44" s="1"/>
      <c r="U44" s="1"/>
      <c r="V44" s="1"/>
    </row>
    <row r="45" spans="1:22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7"/>
      <c r="O45" s="1"/>
      <c r="P45" s="1"/>
      <c r="Q45" s="1"/>
      <c r="R45" s="1"/>
      <c r="S45" s="1"/>
      <c r="T45" s="1"/>
      <c r="U45" s="1"/>
      <c r="V45" s="1"/>
    </row>
    <row r="46" spans="1:22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7"/>
      <c r="O46" s="1"/>
      <c r="P46" s="1"/>
      <c r="Q46" s="1"/>
      <c r="R46" s="1"/>
      <c r="S46" s="1"/>
      <c r="T46" s="1"/>
      <c r="U46" s="1"/>
      <c r="V46" s="1"/>
    </row>
    <row r="47" spans="1:22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7"/>
      <c r="O47" s="1"/>
      <c r="P47" s="1"/>
      <c r="Q47" s="1"/>
      <c r="R47" s="1"/>
      <c r="S47" s="1"/>
      <c r="T47" s="1"/>
      <c r="U47" s="1"/>
      <c r="V47" s="1"/>
    </row>
    <row r="48" spans="1:22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7"/>
      <c r="O48" s="1"/>
      <c r="P48" s="1"/>
      <c r="Q48" s="1"/>
      <c r="R48" s="1"/>
      <c r="S48" s="1"/>
      <c r="T48" s="1"/>
      <c r="U48" s="1"/>
      <c r="V48" s="1"/>
    </row>
    <row r="49" spans="1:22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7"/>
      <c r="O49" s="1"/>
      <c r="P49" s="1"/>
      <c r="Q49" s="1"/>
      <c r="R49" s="1"/>
      <c r="S49" s="1"/>
      <c r="T49" s="1"/>
      <c r="U49" s="1"/>
      <c r="V49" s="1"/>
    </row>
    <row r="50" spans="1:22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F196"/>
      <c r="G196"/>
    </row>
    <row r="197" spans="1:22">
      <c r="F197"/>
      <c r="G197"/>
    </row>
    <row r="198" spans="1:22">
      <c r="F198"/>
      <c r="G198"/>
    </row>
    <row r="199" spans="1:22">
      <c r="F199"/>
      <c r="G199"/>
    </row>
    <row r="200" spans="1:22">
      <c r="F200"/>
      <c r="G200"/>
    </row>
    <row r="201" spans="1:22">
      <c r="F201"/>
      <c r="G201"/>
    </row>
    <row r="202" spans="1:22">
      <c r="F202"/>
      <c r="G202"/>
    </row>
    <row r="203" spans="1:22">
      <c r="F203"/>
      <c r="G203"/>
    </row>
    <row r="204" spans="1:22">
      <c r="F204"/>
      <c r="G204"/>
    </row>
    <row r="205" spans="1:22">
      <c r="F205"/>
      <c r="G205"/>
    </row>
    <row r="206" spans="1:22">
      <c r="F206"/>
      <c r="G206"/>
    </row>
    <row r="207" spans="1:22">
      <c r="F207"/>
      <c r="G207"/>
    </row>
    <row r="208" spans="1:22">
      <c r="F208"/>
      <c r="G208"/>
    </row>
    <row r="209" spans="6:7">
      <c r="F209"/>
      <c r="G209"/>
    </row>
    <row r="210" spans="6:7">
      <c r="F210"/>
      <c r="G210"/>
    </row>
    <row r="211" spans="6:7">
      <c r="F211"/>
      <c r="G211"/>
    </row>
    <row r="212" spans="6:7">
      <c r="F212"/>
      <c r="G212"/>
    </row>
    <row r="213" spans="6:7">
      <c r="F213"/>
      <c r="G213"/>
    </row>
    <row r="214" spans="6:7">
      <c r="F214"/>
      <c r="G214"/>
    </row>
    <row r="215" spans="6:7">
      <c r="F215"/>
      <c r="G215"/>
    </row>
    <row r="216" spans="6:7">
      <c r="F216"/>
      <c r="G216"/>
    </row>
    <row r="217" spans="6:7">
      <c r="F217"/>
      <c r="G217"/>
    </row>
    <row r="218" spans="6:7">
      <c r="F218"/>
      <c r="G218"/>
    </row>
    <row r="219" spans="6:7">
      <c r="F219"/>
      <c r="G219"/>
    </row>
    <row r="220" spans="6:7">
      <c r="F220"/>
      <c r="G220"/>
    </row>
    <row r="221" spans="6:7">
      <c r="F221"/>
      <c r="G221"/>
    </row>
    <row r="222" spans="6:7">
      <c r="F222"/>
      <c r="G222"/>
    </row>
    <row r="223" spans="6:7">
      <c r="F223"/>
      <c r="G223"/>
    </row>
    <row r="224" spans="6:7">
      <c r="F224"/>
      <c r="G224"/>
    </row>
    <row r="225" spans="6:7">
      <c r="F225"/>
      <c r="G225"/>
    </row>
    <row r="226" spans="6:7">
      <c r="F226"/>
      <c r="G226"/>
    </row>
    <row r="227" spans="6:7">
      <c r="F227"/>
      <c r="G227"/>
    </row>
    <row r="228" spans="6:7">
      <c r="F228"/>
      <c r="G228"/>
    </row>
    <row r="229" spans="6:7">
      <c r="F229"/>
      <c r="G229"/>
    </row>
    <row r="230" spans="6:7">
      <c r="F230"/>
      <c r="G230"/>
    </row>
    <row r="231" spans="6:7">
      <c r="F231"/>
      <c r="G231"/>
    </row>
    <row r="232" spans="6:7">
      <c r="F232"/>
      <c r="G232"/>
    </row>
    <row r="233" spans="6:7">
      <c r="F233"/>
      <c r="G233"/>
    </row>
    <row r="234" spans="6:7">
      <c r="F234"/>
      <c r="G234"/>
    </row>
    <row r="235" spans="6:7">
      <c r="F235"/>
      <c r="G235"/>
    </row>
    <row r="236" spans="6:7">
      <c r="F236"/>
      <c r="G236"/>
    </row>
    <row r="237" spans="6:7">
      <c r="F237"/>
      <c r="G237"/>
    </row>
    <row r="238" spans="6:7">
      <c r="F238"/>
      <c r="G238"/>
    </row>
    <row r="239" spans="6:7">
      <c r="F239"/>
      <c r="G239"/>
    </row>
    <row r="240" spans="6:7">
      <c r="F240"/>
      <c r="G240"/>
    </row>
    <row r="241" spans="6:7">
      <c r="F241"/>
      <c r="G241"/>
    </row>
    <row r="242" spans="6:7">
      <c r="F242"/>
      <c r="G242"/>
    </row>
    <row r="243" spans="6:7">
      <c r="F243"/>
      <c r="G243"/>
    </row>
    <row r="244" spans="6:7">
      <c r="F244"/>
      <c r="G244"/>
    </row>
    <row r="245" spans="6:7">
      <c r="F245"/>
      <c r="G245"/>
    </row>
    <row r="246" spans="6:7">
      <c r="F246"/>
      <c r="G246"/>
    </row>
    <row r="247" spans="6:7">
      <c r="F247"/>
      <c r="G247"/>
    </row>
    <row r="248" spans="6:7">
      <c r="F248"/>
      <c r="G248"/>
    </row>
    <row r="249" spans="6:7">
      <c r="F249"/>
      <c r="G249"/>
    </row>
    <row r="250" spans="6:7">
      <c r="F250"/>
      <c r="G250"/>
    </row>
    <row r="251" spans="6:7">
      <c r="F251"/>
      <c r="G251"/>
    </row>
    <row r="252" spans="6:7">
      <c r="F252"/>
      <c r="G252"/>
    </row>
    <row r="253" spans="6:7">
      <c r="F253"/>
      <c r="G253"/>
    </row>
    <row r="254" spans="6:7">
      <c r="F254"/>
      <c r="G254"/>
    </row>
    <row r="255" spans="6:7">
      <c r="F255"/>
      <c r="G255"/>
    </row>
    <row r="256" spans="6:7">
      <c r="F256"/>
      <c r="G256"/>
    </row>
    <row r="257" spans="6:7">
      <c r="F257"/>
      <c r="G257"/>
    </row>
    <row r="258" spans="6:7">
      <c r="F258"/>
      <c r="G258"/>
    </row>
    <row r="259" spans="6:7">
      <c r="F259"/>
      <c r="G259"/>
    </row>
    <row r="260" spans="6:7">
      <c r="F260"/>
      <c r="G260"/>
    </row>
    <row r="261" spans="6:7">
      <c r="F261"/>
      <c r="G261"/>
    </row>
    <row r="262" spans="6:7">
      <c r="F262"/>
      <c r="G262"/>
    </row>
    <row r="263" spans="6:7">
      <c r="F263"/>
      <c r="G263"/>
    </row>
    <row r="264" spans="6:7">
      <c r="F264"/>
      <c r="G264"/>
    </row>
    <row r="265" spans="6:7">
      <c r="F265"/>
      <c r="G265"/>
    </row>
    <row r="266" spans="6:7">
      <c r="F266"/>
      <c r="G266"/>
    </row>
    <row r="267" spans="6:7">
      <c r="F267"/>
      <c r="G267"/>
    </row>
    <row r="268" spans="6:7">
      <c r="F268"/>
      <c r="G268"/>
    </row>
    <row r="269" spans="6:7">
      <c r="F269"/>
      <c r="G269"/>
    </row>
    <row r="270" spans="6:7">
      <c r="F270"/>
      <c r="G270"/>
    </row>
    <row r="271" spans="6:7">
      <c r="F271"/>
      <c r="G271"/>
    </row>
    <row r="272" spans="6:7">
      <c r="F272"/>
      <c r="G272"/>
    </row>
    <row r="273" spans="6:7">
      <c r="F273"/>
      <c r="G273"/>
    </row>
    <row r="274" spans="6:7">
      <c r="F274"/>
      <c r="G274"/>
    </row>
    <row r="275" spans="6:7">
      <c r="F275"/>
      <c r="G275"/>
    </row>
    <row r="276" spans="6:7">
      <c r="F276"/>
      <c r="G276"/>
    </row>
    <row r="277" spans="6:7">
      <c r="F277"/>
      <c r="G277"/>
    </row>
    <row r="278" spans="6:7">
      <c r="F278"/>
      <c r="G278"/>
    </row>
    <row r="279" spans="6:7">
      <c r="F279"/>
      <c r="G279"/>
    </row>
  </sheetData>
  <mergeCells count="8">
    <mergeCell ref="C42:K42"/>
    <mergeCell ref="C13:K13"/>
    <mergeCell ref="C14:K14"/>
    <mergeCell ref="C21:K21"/>
    <mergeCell ref="C28:K28"/>
    <mergeCell ref="C35:K35"/>
    <mergeCell ref="C20:K20"/>
    <mergeCell ref="C27:K27"/>
  </mergeCells>
  <pageMargins left="0.7" right="0.7" top="0.75" bottom="0.75" header="0.3" footer="0.3"/>
  <pageSetup scale="99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CCAD-07F9-4768-B22C-3C9115DDA520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JULY, SRS R1</vt:lpstr>
      <vt:lpstr>JULY, SRS R2</vt:lpstr>
      <vt:lpstr>JULY, SRS R3</vt:lpstr>
      <vt:lpstr>,</vt:lpstr>
      <vt:lpstr>'JULY, SRS R1'!Print_Area</vt:lpstr>
      <vt:lpstr>'JULY, SRS R2'!Print_Area</vt:lpstr>
      <vt:lpstr>'JULY, SRS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Chiong</dc:creator>
  <cp:lastModifiedBy>User</cp:lastModifiedBy>
  <cp:lastPrinted>2024-09-23T01:47:46Z</cp:lastPrinted>
  <dcterms:created xsi:type="dcterms:W3CDTF">2024-09-02T06:49:39Z</dcterms:created>
  <dcterms:modified xsi:type="dcterms:W3CDTF">2026-07-25T00:09:32Z</dcterms:modified>
</cp:coreProperties>
</file>