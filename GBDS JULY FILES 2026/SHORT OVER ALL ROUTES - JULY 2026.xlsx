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C80596E-58E8-4CE4-937C-5382DEF80A8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9" i="13" l="1"/>
  <c r="G36" i="13" l="1"/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  <comment ref="I32" authorId="0" shapeId="0" xr:uid="{EA416575-FA29-4F4E-8582-524163DB6F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11485</t>
        </r>
      </text>
    </comment>
    <comment ref="J34" authorId="0" shapeId="0" xr:uid="{80F885C1-AC5F-478E-8F44-56A5D826D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11485</t>
        </r>
      </text>
    </comment>
    <comment ref="I37" authorId="0" shapeId="0" xr:uid="{F16D790B-41EA-4372-8C67-922CC96E0E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SI NO. 11493</t>
        </r>
      </text>
    </comment>
    <comment ref="I38" authorId="0" shapeId="0" xr:uid="{71DCCC3B-9A4A-46AC-BBF5-DC48C94B59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11497
PROMO</t>
        </r>
      </text>
    </comment>
    <comment ref="I39" authorId="0" shapeId="0" xr:uid="{60021DD0-DC88-4C70-B621-E861E7DA4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SI NO. 11499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38" authorId="0" shapeId="0" xr:uid="{32E1AEDB-911A-463F-A38D-988F41BF28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11623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0" authorId="0" shapeId="0" xr:uid="{A4516D3E-FA50-4CA0-9404-5EB8FC48E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INCENTIVES HENSON</t>
        </r>
      </text>
    </comment>
  </commentList>
</comments>
</file>

<file path=xl/sharedStrings.xml><?xml version="1.0" encoding="utf-8"?>
<sst xmlns="http://schemas.openxmlformats.org/spreadsheetml/2006/main" count="85" uniqueCount="22">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</sst>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5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41" t="s">
        <v>21</v>
      </c>
      <c r="D10" s="42"/>
      <c r="E10" s="42"/>
      <c r="F10" s="42"/>
      <c r="G10" s="42"/>
      <c r="H10" s="42"/>
      <c r="I10" s="42"/>
      <c r="J10" s="42"/>
      <c r="K10" s="4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31">
        <v>298036</v>
      </c>
      <c r="D11" s="31">
        <v>206</v>
      </c>
      <c r="E11" s="30"/>
      <c r="F11" s="31">
        <v>1185.43</v>
      </c>
      <c r="G11" s="30"/>
      <c r="H11" s="31">
        <v>206862</v>
      </c>
      <c r="I11" s="30">
        <v>43785</v>
      </c>
      <c r="J11" s="31"/>
      <c r="K11" s="31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331281.5</v>
      </c>
      <c r="D12" s="31">
        <v>274671.5</v>
      </c>
      <c r="E12" s="30">
        <v>1788.5</v>
      </c>
      <c r="F12" s="31"/>
      <c r="G12" s="30">
        <v>2040</v>
      </c>
      <c r="H12" s="31">
        <v>272883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233857</v>
      </c>
      <c r="D15" s="33">
        <v>195673</v>
      </c>
      <c r="E15" s="30"/>
      <c r="F15" s="33">
        <v>1696</v>
      </c>
      <c r="G15" s="30">
        <v>1326</v>
      </c>
      <c r="H15" s="33">
        <v>197369</v>
      </c>
      <c r="I15" s="30"/>
      <c r="J15" s="33"/>
      <c r="K15" s="3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258311</v>
      </c>
      <c r="D16" s="33">
        <v>218333</v>
      </c>
      <c r="E16" s="30">
        <v>81</v>
      </c>
      <c r="F16" s="30"/>
      <c r="G16" s="30">
        <v>2010</v>
      </c>
      <c r="H16" s="33">
        <v>218252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290058.5</v>
      </c>
      <c r="D17" s="33">
        <v>200363</v>
      </c>
      <c r="E17" s="30">
        <v>115</v>
      </c>
      <c r="F17" s="30"/>
      <c r="G17" s="30"/>
      <c r="H17" s="33">
        <v>200248</v>
      </c>
      <c r="I17" s="30">
        <v>48345</v>
      </c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295573</v>
      </c>
      <c r="D18" s="31">
        <v>240035.5</v>
      </c>
      <c r="E18" s="30">
        <v>274.5</v>
      </c>
      <c r="F18" s="30"/>
      <c r="G18" s="30"/>
      <c r="H18" s="31">
        <v>239761</v>
      </c>
      <c r="I18" s="30">
        <v>95886</v>
      </c>
      <c r="J18" s="30">
        <v>84261</v>
      </c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41" t="s">
        <v>21</v>
      </c>
      <c r="D19" s="42"/>
      <c r="E19" s="42"/>
      <c r="F19" s="42"/>
      <c r="G19" s="42"/>
      <c r="H19" s="42"/>
      <c r="I19" s="42"/>
      <c r="J19" s="42"/>
      <c r="K19" s="4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265548.5</v>
      </c>
      <c r="D22" s="31">
        <v>226385.75</v>
      </c>
      <c r="E22" s="30">
        <v>300.75</v>
      </c>
      <c r="F22" s="31"/>
      <c r="G22" s="30">
        <v>1356</v>
      </c>
      <c r="H22" s="31">
        <v>226085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263812.5</v>
      </c>
      <c r="D23" s="31">
        <v>222004.5</v>
      </c>
      <c r="E23" s="31"/>
      <c r="F23" s="31">
        <v>462.5</v>
      </c>
      <c r="G23" s="30">
        <v>1404</v>
      </c>
      <c r="H23" s="31">
        <v>222467</v>
      </c>
      <c r="I23" s="31"/>
      <c r="J23" s="31"/>
      <c r="K23" s="31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230785.5</v>
      </c>
      <c r="D24" s="31">
        <v>138191</v>
      </c>
      <c r="E24" s="30"/>
      <c r="F24" s="33">
        <v>115</v>
      </c>
      <c r="G24" s="30"/>
      <c r="H24" s="33">
        <v>138306</v>
      </c>
      <c r="I24" s="30">
        <v>62203</v>
      </c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249733</v>
      </c>
      <c r="D25" s="31">
        <v>213767.5</v>
      </c>
      <c r="E25" s="30"/>
      <c r="F25" s="31">
        <v>1740.5</v>
      </c>
      <c r="G25" s="30">
        <v>684</v>
      </c>
      <c r="H25" s="31">
        <v>215508</v>
      </c>
      <c r="I25" s="30"/>
      <c r="J25" s="31"/>
      <c r="K25" s="30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476545</v>
      </c>
      <c r="D26" s="31">
        <v>421468.75</v>
      </c>
      <c r="E26" s="30">
        <v>311.75</v>
      </c>
      <c r="F26" s="30"/>
      <c r="G26" s="30">
        <v>2622</v>
      </c>
      <c r="H26" s="31">
        <v>421157</v>
      </c>
      <c r="I26" s="30">
        <f>82890</f>
        <v>82890</v>
      </c>
      <c r="J26" s="30">
        <v>95886</v>
      </c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11"/>
      <c r="D27" s="36"/>
      <c r="E27" s="13"/>
      <c r="F27" s="11"/>
      <c r="G27" s="40"/>
      <c r="H27" s="32"/>
      <c r="I27" s="40"/>
      <c r="J27" s="40">
        <v>62203</v>
      </c>
      <c r="K27" s="29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446877</v>
      </c>
      <c r="D29" s="36">
        <v>381656.25</v>
      </c>
      <c r="E29" s="13">
        <v>8.25</v>
      </c>
      <c r="F29" s="11"/>
      <c r="G29" s="40">
        <v>1656</v>
      </c>
      <c r="H29" s="32">
        <v>381648</v>
      </c>
      <c r="I29" s="40"/>
      <c r="J29" s="32"/>
      <c r="K29" s="29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240956.33</v>
      </c>
      <c r="D30" s="36">
        <v>205623.83</v>
      </c>
      <c r="E30" s="13"/>
      <c r="F30" s="11">
        <v>48.17</v>
      </c>
      <c r="G30" s="40"/>
      <c r="H30" s="32">
        <v>205672</v>
      </c>
      <c r="I30" s="40"/>
      <c r="J30" s="32"/>
      <c r="K30" s="2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222100.5</v>
      </c>
      <c r="D31" s="36">
        <v>189759.14</v>
      </c>
      <c r="E31" s="13">
        <v>1328.14</v>
      </c>
      <c r="F31" s="11"/>
      <c r="G31" s="40"/>
      <c r="H31" s="32">
        <v>188431</v>
      </c>
      <c r="I31" s="40"/>
      <c r="J31" s="32"/>
      <c r="K31" s="29">
        <v>92.86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282218.17</v>
      </c>
      <c r="D32" s="31">
        <v>198223.17</v>
      </c>
      <c r="E32" s="30">
        <v>102.17</v>
      </c>
      <c r="F32" s="30"/>
      <c r="G32" s="30">
        <v>1296</v>
      </c>
      <c r="H32" s="31">
        <v>198121</v>
      </c>
      <c r="I32" s="30">
        <v>38920</v>
      </c>
      <c r="J32" s="30"/>
      <c r="K32" s="30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612830</v>
      </c>
      <c r="D33" s="31">
        <v>570314</v>
      </c>
      <c r="E33" s="30"/>
      <c r="F33" s="31">
        <v>7</v>
      </c>
      <c r="G33" s="30">
        <v>4698</v>
      </c>
      <c r="H33" s="31">
        <v>570321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31"/>
      <c r="D34" s="31"/>
      <c r="E34" s="30"/>
      <c r="F34" s="31"/>
      <c r="G34" s="30"/>
      <c r="H34" s="31">
        <v>38920</v>
      </c>
      <c r="I34" s="30"/>
      <c r="J34" s="30">
        <v>38920</v>
      </c>
      <c r="K34" s="30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260818</v>
      </c>
      <c r="D36" s="31">
        <v>217690.75</v>
      </c>
      <c r="E36" s="31"/>
      <c r="F36" s="31">
        <v>214.25</v>
      </c>
      <c r="G36" s="30">
        <v>1602</v>
      </c>
      <c r="H36" s="31">
        <v>217905</v>
      </c>
      <c r="I36" s="31"/>
      <c r="J36" s="31"/>
      <c r="K36" s="31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741172</v>
      </c>
      <c r="D37" s="31">
        <v>663443.5</v>
      </c>
      <c r="E37" s="30">
        <v>45.5</v>
      </c>
      <c r="F37" s="31"/>
      <c r="G37" s="30">
        <v>5064</v>
      </c>
      <c r="H37" s="31">
        <v>663398</v>
      </c>
      <c r="I37" s="30">
        <v>5850</v>
      </c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>
        <v>820688</v>
      </c>
      <c r="D38" s="31">
        <v>744975</v>
      </c>
      <c r="E38" s="31"/>
      <c r="F38" s="31">
        <v>37</v>
      </c>
      <c r="G38" s="30">
        <v>6012</v>
      </c>
      <c r="H38" s="31">
        <v>775012</v>
      </c>
      <c r="I38" s="30">
        <v>10400</v>
      </c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>
        <v>270506</v>
      </c>
      <c r="D39" s="31">
        <v>245642.75</v>
      </c>
      <c r="E39" s="30">
        <v>5.75</v>
      </c>
      <c r="F39" s="31"/>
      <c r="G39" s="31"/>
      <c r="H39" s="31">
        <v>245637</v>
      </c>
      <c r="I39" s="30">
        <v>3900</v>
      </c>
      <c r="J39" s="30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7091707.5</v>
      </c>
      <c r="D43" s="16">
        <f t="shared" si="0"/>
        <v>5768427.8900000006</v>
      </c>
      <c r="E43" s="27">
        <f t="shared" si="0"/>
        <v>4361.3100000000004</v>
      </c>
      <c r="F43" s="16">
        <f t="shared" si="0"/>
        <v>5505.85</v>
      </c>
      <c r="G43" s="27">
        <f t="shared" si="0"/>
        <v>31770</v>
      </c>
      <c r="H43" s="16">
        <f t="shared" si="0"/>
        <v>6043963</v>
      </c>
      <c r="I43" s="27">
        <f t="shared" ref="I43:J43" si="1">SUM(I10:I42)</f>
        <v>392179</v>
      </c>
      <c r="J43" s="16">
        <f t="shared" si="1"/>
        <v>281270</v>
      </c>
      <c r="K43" s="16">
        <f>SUM(K10:K42)</f>
        <v>220.54000000000002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8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4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31">
        <v>249800.5</v>
      </c>
      <c r="D10" s="31">
        <v>211385.5</v>
      </c>
      <c r="E10" s="30">
        <v>773.5</v>
      </c>
      <c r="F10" s="31"/>
      <c r="G10" s="30">
        <v>1644</v>
      </c>
      <c r="H10" s="31">
        <v>210612</v>
      </c>
      <c r="I10" s="30"/>
      <c r="J10" s="31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41" t="s">
        <v>21</v>
      </c>
      <c r="D11" s="42"/>
      <c r="E11" s="42"/>
      <c r="F11" s="42"/>
      <c r="G11" s="42"/>
      <c r="H11" s="42"/>
      <c r="I11" s="42"/>
      <c r="J11" s="42"/>
      <c r="K11" s="4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272174.5</v>
      </c>
      <c r="D12" s="31">
        <v>231067</v>
      </c>
      <c r="E12" s="30"/>
      <c r="F12" s="31">
        <v>517</v>
      </c>
      <c r="G12" s="30">
        <v>1308</v>
      </c>
      <c r="H12" s="31">
        <v>231584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255013.5</v>
      </c>
      <c r="D15" s="33">
        <v>211456.5</v>
      </c>
      <c r="E15" s="30">
        <v>765.5</v>
      </c>
      <c r="F15" s="30"/>
      <c r="G15" s="30">
        <v>1950</v>
      </c>
      <c r="H15" s="33">
        <v>210691</v>
      </c>
      <c r="I15" s="30"/>
      <c r="J15" s="33"/>
      <c r="K15" s="3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325910</v>
      </c>
      <c r="D16" s="33">
        <v>274485.5</v>
      </c>
      <c r="E16" s="30">
        <v>1255.5</v>
      </c>
      <c r="F16" s="30"/>
      <c r="G16" s="30">
        <v>2496</v>
      </c>
      <c r="H16" s="33">
        <v>273230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217925</v>
      </c>
      <c r="D17" s="33">
        <v>185540</v>
      </c>
      <c r="E17" s="30"/>
      <c r="F17" s="33">
        <v>52</v>
      </c>
      <c r="G17" s="30">
        <v>1206</v>
      </c>
      <c r="H17" s="33">
        <v>185592</v>
      </c>
      <c r="I17" s="30"/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236707</v>
      </c>
      <c r="D18" s="31">
        <v>200869</v>
      </c>
      <c r="E18" s="30">
        <v>204</v>
      </c>
      <c r="F18" s="30"/>
      <c r="G18" s="30">
        <v>1296</v>
      </c>
      <c r="H18" s="31">
        <v>200665</v>
      </c>
      <c r="I18" s="30"/>
      <c r="J18" s="30"/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41" t="s">
        <v>21</v>
      </c>
      <c r="D19" s="42"/>
      <c r="E19" s="42"/>
      <c r="F19" s="42"/>
      <c r="G19" s="42"/>
      <c r="H19" s="42"/>
      <c r="I19" s="42"/>
      <c r="J19" s="42"/>
      <c r="K19" s="4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264783</v>
      </c>
      <c r="D22" s="31">
        <v>223640.25</v>
      </c>
      <c r="E22" s="30">
        <v>149.25</v>
      </c>
      <c r="F22" s="31"/>
      <c r="G22" s="30">
        <v>1548</v>
      </c>
      <c r="H22" s="31">
        <v>223491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2444360.33</v>
      </c>
      <c r="D23" s="31">
        <v>205234.33</v>
      </c>
      <c r="E23" s="30">
        <v>193.33</v>
      </c>
      <c r="F23" s="31"/>
      <c r="G23" s="30">
        <v>1296</v>
      </c>
      <c r="H23" s="31">
        <v>205041</v>
      </c>
      <c r="I23" s="31"/>
      <c r="J23" s="31"/>
      <c r="K23" s="31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151113.32999999999</v>
      </c>
      <c r="D24" s="31">
        <v>130290.33</v>
      </c>
      <c r="E24" s="30">
        <v>360.33</v>
      </c>
      <c r="F24" s="33"/>
      <c r="G24" s="30"/>
      <c r="H24" s="33">
        <v>130290.33</v>
      </c>
      <c r="I24" s="30"/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278011.66666666669</v>
      </c>
      <c r="D25" s="31">
        <v>244719.16666666669</v>
      </c>
      <c r="E25" s="30">
        <v>84.17</v>
      </c>
      <c r="F25" s="30"/>
      <c r="G25" s="30">
        <v>2004</v>
      </c>
      <c r="H25" s="31">
        <v>244635</v>
      </c>
      <c r="I25" s="30"/>
      <c r="J25" s="31"/>
      <c r="K25" s="30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270113.33</v>
      </c>
      <c r="D26" s="31">
        <v>227409.83</v>
      </c>
      <c r="E26" s="30"/>
      <c r="F26" s="31">
        <v>72.17</v>
      </c>
      <c r="G26" s="30">
        <v>972</v>
      </c>
      <c r="H26" s="31">
        <v>227482</v>
      </c>
      <c r="I26" s="30"/>
      <c r="J26" s="30"/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41" t="s">
        <v>21</v>
      </c>
      <c r="D27" s="42"/>
      <c r="E27" s="42"/>
      <c r="F27" s="42"/>
      <c r="G27" s="42"/>
      <c r="H27" s="42"/>
      <c r="I27" s="42"/>
      <c r="J27" s="42"/>
      <c r="K27" s="43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283390</v>
      </c>
      <c r="D29" s="36">
        <v>238142.5</v>
      </c>
      <c r="E29" s="13">
        <v>721.5</v>
      </c>
      <c r="F29" s="11"/>
      <c r="G29" s="40">
        <v>1776</v>
      </c>
      <c r="H29" s="32">
        <v>237421</v>
      </c>
      <c r="I29" s="40"/>
      <c r="J29" s="32"/>
      <c r="K29" s="29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151595</v>
      </c>
      <c r="D30" s="36">
        <v>124368.5</v>
      </c>
      <c r="E30" s="13">
        <v>234.5</v>
      </c>
      <c r="F30" s="11"/>
      <c r="G30" s="40">
        <v>252</v>
      </c>
      <c r="H30" s="32">
        <v>124134</v>
      </c>
      <c r="I30" s="40"/>
      <c r="J30" s="32"/>
      <c r="K30" s="2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230482.54</v>
      </c>
      <c r="D31" s="36">
        <v>194682.04</v>
      </c>
      <c r="E31" s="13">
        <v>299.04000000000002</v>
      </c>
      <c r="F31" s="11"/>
      <c r="G31" s="40">
        <v>1668</v>
      </c>
      <c r="H31" s="32">
        <v>194383</v>
      </c>
      <c r="I31" s="40"/>
      <c r="J31" s="32"/>
      <c r="K31" s="29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223968.88</v>
      </c>
      <c r="D32" s="31">
        <v>189405.13</v>
      </c>
      <c r="E32" s="30">
        <v>835.13</v>
      </c>
      <c r="F32" s="30"/>
      <c r="G32" s="30">
        <v>1008</v>
      </c>
      <c r="H32" s="31">
        <v>188570</v>
      </c>
      <c r="I32" s="30"/>
      <c r="J32" s="30"/>
      <c r="K32" s="30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222577.58</v>
      </c>
      <c r="D33" s="31">
        <v>189464.33</v>
      </c>
      <c r="E33" s="30"/>
      <c r="F33" s="31">
        <v>631.66999999999996</v>
      </c>
      <c r="G33" s="30">
        <v>1380</v>
      </c>
      <c r="H33" s="31">
        <v>190096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41" t="s">
        <v>21</v>
      </c>
      <c r="D34" s="42"/>
      <c r="E34" s="42"/>
      <c r="F34" s="42"/>
      <c r="G34" s="42"/>
      <c r="H34" s="42"/>
      <c r="I34" s="42"/>
      <c r="J34" s="42"/>
      <c r="K34" s="43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286690.33</v>
      </c>
      <c r="D36" s="31">
        <v>241445.83</v>
      </c>
      <c r="E36" s="30">
        <v>50.83</v>
      </c>
      <c r="F36" s="31"/>
      <c r="G36" s="30">
        <v>1596</v>
      </c>
      <c r="H36" s="31">
        <v>241395</v>
      </c>
      <c r="I36" s="31"/>
      <c r="J36" s="31"/>
      <c r="K36" s="31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108235.67</v>
      </c>
      <c r="D37" s="31">
        <v>91591.67</v>
      </c>
      <c r="E37" s="30">
        <v>110.67</v>
      </c>
      <c r="F37" s="31"/>
      <c r="G37" s="31"/>
      <c r="H37" s="31">
        <v>91481</v>
      </c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>
        <v>245027.13</v>
      </c>
      <c r="D38" s="31">
        <v>134194.13</v>
      </c>
      <c r="E38" s="31"/>
      <c r="F38" s="31">
        <v>1034.8800000000001</v>
      </c>
      <c r="G38" s="30">
        <v>732</v>
      </c>
      <c r="H38" s="31">
        <v>135229</v>
      </c>
      <c r="I38" s="31">
        <v>69862</v>
      </c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>
        <v>217752.88</v>
      </c>
      <c r="D39" s="31">
        <v>184352.38</v>
      </c>
      <c r="E39" s="30">
        <v>29.38</v>
      </c>
      <c r="F39" s="31"/>
      <c r="G39" s="30">
        <v>1296</v>
      </c>
      <c r="H39" s="31">
        <v>184323</v>
      </c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6935632.166666667</v>
      </c>
      <c r="D43" s="16">
        <f t="shared" si="0"/>
        <v>3933743.9166666665</v>
      </c>
      <c r="E43" s="27">
        <f t="shared" si="0"/>
        <v>6066.63</v>
      </c>
      <c r="F43" s="16">
        <f t="shared" si="0"/>
        <v>2307.7200000000003</v>
      </c>
      <c r="G43" s="27">
        <f t="shared" si="0"/>
        <v>25428</v>
      </c>
      <c r="H43" s="16">
        <f t="shared" si="0"/>
        <v>3930345.33</v>
      </c>
      <c r="I43" s="27">
        <f t="shared" ref="I43:J43" si="1">SUM(I10:I42)</f>
        <v>69862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  <mergeCell ref="C34:K34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4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7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31">
        <v>297996.5</v>
      </c>
      <c r="D10" s="31">
        <v>238892</v>
      </c>
      <c r="E10" s="30">
        <v>21</v>
      </c>
      <c r="F10" s="31"/>
      <c r="G10" s="30">
        <v>1350</v>
      </c>
      <c r="H10" s="31">
        <v>238871</v>
      </c>
      <c r="I10" s="30"/>
      <c r="J10" s="31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31">
        <v>253346.5</v>
      </c>
      <c r="D11" s="31">
        <v>213164</v>
      </c>
      <c r="E11" s="30"/>
      <c r="F11" s="31">
        <v>47</v>
      </c>
      <c r="G11" s="30">
        <v>1722</v>
      </c>
      <c r="H11" s="31">
        <v>213211</v>
      </c>
      <c r="I11" s="30"/>
      <c r="J11" s="31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438059</v>
      </c>
      <c r="D12" s="31">
        <v>402146.75</v>
      </c>
      <c r="E12" s="30"/>
      <c r="F12" s="31">
        <v>67.25</v>
      </c>
      <c r="G12" s="30">
        <v>648</v>
      </c>
      <c r="H12" s="31">
        <v>402214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299824</v>
      </c>
      <c r="D15" s="33">
        <v>247763.5</v>
      </c>
      <c r="E15" s="30">
        <v>34.5</v>
      </c>
      <c r="F15" s="30"/>
      <c r="G15" s="30">
        <v>2328</v>
      </c>
      <c r="H15" s="33">
        <v>247729</v>
      </c>
      <c r="I15" s="30"/>
      <c r="J15" s="33"/>
      <c r="K15" s="31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287132</v>
      </c>
      <c r="D16" s="33">
        <v>243548.75</v>
      </c>
      <c r="E16" s="30">
        <v>2143.75</v>
      </c>
      <c r="F16" s="30"/>
      <c r="G16" s="30">
        <v>1824</v>
      </c>
      <c r="H16" s="33">
        <v>241405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349413</v>
      </c>
      <c r="D17" s="33">
        <v>305021.5</v>
      </c>
      <c r="E17" s="30">
        <v>2129.5</v>
      </c>
      <c r="F17" s="30"/>
      <c r="G17" s="30"/>
      <c r="H17" s="33">
        <v>302892</v>
      </c>
      <c r="I17" s="30"/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112831.5</v>
      </c>
      <c r="D18" s="31">
        <v>94338</v>
      </c>
      <c r="E18" s="30"/>
      <c r="F18" s="31">
        <v>2094</v>
      </c>
      <c r="G18" s="30">
        <v>300</v>
      </c>
      <c r="H18" s="31">
        <v>96432</v>
      </c>
      <c r="I18" s="30"/>
      <c r="J18" s="30"/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31">
        <v>249944.5</v>
      </c>
      <c r="D19" s="31">
        <v>211759.25</v>
      </c>
      <c r="E19" s="30"/>
      <c r="F19" s="33">
        <v>12.75</v>
      </c>
      <c r="G19" s="30">
        <v>942</v>
      </c>
      <c r="H19" s="33">
        <v>211772</v>
      </c>
      <c r="I19" s="30"/>
      <c r="J19" s="30"/>
      <c r="K19" s="3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386726.5</v>
      </c>
      <c r="D22" s="31">
        <v>322822.75</v>
      </c>
      <c r="E22" s="30">
        <v>3522.75</v>
      </c>
      <c r="F22" s="31"/>
      <c r="G22" s="30">
        <v>1296</v>
      </c>
      <c r="H22" s="31">
        <v>319300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226895</v>
      </c>
      <c r="D23" s="31">
        <v>191038.5</v>
      </c>
      <c r="E23" s="31"/>
      <c r="F23" s="31">
        <v>1106.5</v>
      </c>
      <c r="G23" s="30">
        <v>1446</v>
      </c>
      <c r="H23" s="31">
        <v>192145</v>
      </c>
      <c r="I23" s="31"/>
      <c r="J23" s="31"/>
      <c r="K23" s="31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341541</v>
      </c>
      <c r="D24" s="31">
        <v>279441.75</v>
      </c>
      <c r="E24" s="30">
        <v>2872.75</v>
      </c>
      <c r="F24" s="33"/>
      <c r="G24" s="30">
        <v>1896</v>
      </c>
      <c r="H24" s="33">
        <v>276569</v>
      </c>
      <c r="I24" s="30"/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142129.5</v>
      </c>
      <c r="D25" s="31">
        <v>121441.5</v>
      </c>
      <c r="E25" s="30"/>
      <c r="F25" s="31">
        <v>2442.5</v>
      </c>
      <c r="G25" s="30">
        <v>780</v>
      </c>
      <c r="H25" s="31">
        <v>123884</v>
      </c>
      <c r="I25" s="30"/>
      <c r="J25" s="31"/>
      <c r="K25" s="31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507045</v>
      </c>
      <c r="D26" s="31">
        <v>442359</v>
      </c>
      <c r="E26" s="30">
        <v>65</v>
      </c>
      <c r="F26" s="30"/>
      <c r="G26" s="30">
        <v>2592</v>
      </c>
      <c r="H26" s="31">
        <v>442294</v>
      </c>
      <c r="I26" s="30"/>
      <c r="J26" s="30"/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41" t="s">
        <v>21</v>
      </c>
      <c r="D27" s="42"/>
      <c r="E27" s="42"/>
      <c r="F27" s="42"/>
      <c r="G27" s="42"/>
      <c r="H27" s="42"/>
      <c r="I27" s="42"/>
      <c r="J27" s="42"/>
      <c r="K27" s="43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510270</v>
      </c>
      <c r="D29" s="36">
        <v>435177.25</v>
      </c>
      <c r="E29" s="13">
        <v>145.25</v>
      </c>
      <c r="F29" s="11"/>
      <c r="G29" s="40">
        <v>1584</v>
      </c>
      <c r="H29" s="32">
        <v>435032</v>
      </c>
      <c r="I29" s="40"/>
      <c r="J29" s="32"/>
      <c r="K29" s="29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344940</v>
      </c>
      <c r="D30" s="36">
        <v>262971.75</v>
      </c>
      <c r="E30" s="13">
        <v>104.75</v>
      </c>
      <c r="F30" s="11"/>
      <c r="G30" s="40">
        <v>1104</v>
      </c>
      <c r="H30" s="32">
        <v>262867</v>
      </c>
      <c r="I30" s="40"/>
      <c r="J30" s="32"/>
      <c r="K30" s="29">
        <v>24757.5</v>
      </c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408168</v>
      </c>
      <c r="D31" s="36">
        <v>371172.75</v>
      </c>
      <c r="E31" s="13">
        <v>0.75</v>
      </c>
      <c r="F31" s="11"/>
      <c r="G31" s="40"/>
      <c r="H31" s="32">
        <v>371172</v>
      </c>
      <c r="I31" s="40"/>
      <c r="J31" s="32"/>
      <c r="K31" s="29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407248</v>
      </c>
      <c r="D32" s="31">
        <v>340907</v>
      </c>
      <c r="E32" s="30"/>
      <c r="F32" s="33">
        <v>52</v>
      </c>
      <c r="G32" s="30">
        <v>1140</v>
      </c>
      <c r="H32" s="31">
        <v>340959</v>
      </c>
      <c r="I32" s="30"/>
      <c r="J32" s="30"/>
      <c r="K32" s="33">
        <v>50</v>
      </c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505296</v>
      </c>
      <c r="D33" s="31">
        <v>432331.5</v>
      </c>
      <c r="E33" s="30">
        <v>45.5</v>
      </c>
      <c r="F33" s="31"/>
      <c r="G33" s="30">
        <v>2946</v>
      </c>
      <c r="H33" s="31">
        <v>432286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31">
        <v>482911</v>
      </c>
      <c r="D34" s="31">
        <v>442009.75</v>
      </c>
      <c r="E34" s="31"/>
      <c r="F34" s="31">
        <v>28.25</v>
      </c>
      <c r="G34" s="30">
        <v>1608</v>
      </c>
      <c r="H34" s="31">
        <v>442038</v>
      </c>
      <c r="I34" s="31"/>
      <c r="J34" s="31"/>
      <c r="K34" s="31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243284.58</v>
      </c>
      <c r="D36" s="31">
        <v>206638.33</v>
      </c>
      <c r="E36" s="30">
        <v>48.33</v>
      </c>
      <c r="F36" s="31"/>
      <c r="G36" s="30">
        <f>1248</f>
        <v>1248</v>
      </c>
      <c r="H36" s="31">
        <v>206590</v>
      </c>
      <c r="I36" s="31"/>
      <c r="J36" s="31"/>
      <c r="K36" s="31">
        <v>50</v>
      </c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230936.25</v>
      </c>
      <c r="D37" s="31">
        <v>194547.75</v>
      </c>
      <c r="E37" s="31"/>
      <c r="F37" s="31">
        <v>773.25</v>
      </c>
      <c r="G37" s="30">
        <v>1812</v>
      </c>
      <c r="H37" s="31">
        <v>195321</v>
      </c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>
        <v>426347.04</v>
      </c>
      <c r="D38" s="31">
        <v>362142.54</v>
      </c>
      <c r="E38" s="30">
        <v>630.54</v>
      </c>
      <c r="F38" s="31"/>
      <c r="G38" s="30">
        <v>1260</v>
      </c>
      <c r="H38" s="31">
        <v>361512</v>
      </c>
      <c r="I38" s="31"/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>
        <v>221615.71</v>
      </c>
      <c r="D39" s="31">
        <v>188533.46</v>
      </c>
      <c r="E39" s="30">
        <v>71.459999999999994</v>
      </c>
      <c r="F39" s="31"/>
      <c r="G39" s="30">
        <v>792</v>
      </c>
      <c r="H39" s="31">
        <f>188462</f>
        <v>188462</v>
      </c>
      <c r="I39" s="31"/>
      <c r="J39" s="31"/>
      <c r="K39" s="31">
        <v>50</v>
      </c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7673900.5800000001</v>
      </c>
      <c r="D43" s="16">
        <f t="shared" si="0"/>
        <v>6550169.3300000001</v>
      </c>
      <c r="E43" s="27">
        <f t="shared" si="0"/>
        <v>11835.829999999998</v>
      </c>
      <c r="F43" s="16">
        <f t="shared" si="0"/>
        <v>6623.5</v>
      </c>
      <c r="G43" s="27">
        <f t="shared" si="0"/>
        <v>30618</v>
      </c>
      <c r="H43" s="16">
        <f t="shared" si="0"/>
        <v>6544957</v>
      </c>
      <c r="I43" s="27">
        <f t="shared" ref="I43:J43" si="1">SUM(I10:I42)</f>
        <v>0</v>
      </c>
      <c r="J43" s="16">
        <f t="shared" si="1"/>
        <v>0</v>
      </c>
      <c r="K43" s="16">
        <f>SUM(K10:K42)</f>
        <v>25207.5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2026-07-31T08:33:30Z</dcterms:modified>
</cp:coreProperties>
</file>