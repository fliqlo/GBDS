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LY FILES 2026\"/>
    </mc:Choice>
  </mc:AlternateContent>
  <xr:revisionPtr revIDLastSave="0" documentId="13_ncr:1_{3FE71986-EC8D-44FA-A07A-54F5835246BD}" xr6:coauthVersionLast="45" xr6:coauthVersionMax="47" xr10:uidLastSave="{00000000-0000-0000-0000-000000000000}"/>
  <bookViews>
    <workbookView xWindow="-120" yWindow="-120" windowWidth="29040" windowHeight="15840" activeTab="2" xr2:uid="{67C3A74A-A57E-4AB5-8CD3-31B592A14032}"/>
  </bookViews>
  <sheets>
    <sheet name="CSR | JULY" sheetId="902" r:id="rId1"/>
    <sheet name="(01)" sheetId="1863" r:id="rId2"/>
    <sheet name="07-23 R1" sheetId="1864" r:id="rId3"/>
    <sheet name="07-23 R2" sheetId="1865" r:id="rId4"/>
    <sheet name="07-23 R3" sheetId="1866" r:id="rId5"/>
  </sheets>
  <externalReferences>
    <externalReference r:id="rId6"/>
  </externalReferences>
  <definedNames>
    <definedName name="_xlnm.Print_Area" localSheetId="1">'(01)'!$A$1:$Z$44</definedName>
    <definedName name="_xlnm.Print_Area" localSheetId="2">'07-23 R1'!$A$1:$Z$45</definedName>
    <definedName name="_xlnm.Print_Area" localSheetId="3">'07-23 R2'!$A$1:$V$44</definedName>
    <definedName name="_xlnm.Print_Area" localSheetId="4">'07-23 R3'!$A$1:$V$44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2" i="1864" l="1"/>
  <c r="M34" i="1864"/>
  <c r="AE45" i="1864"/>
  <c r="AE44" i="1864"/>
  <c r="AE42" i="1864"/>
  <c r="AE41" i="1864"/>
  <c r="AE40" i="1864"/>
  <c r="AE38" i="1864"/>
  <c r="AE37" i="1864"/>
  <c r="AE36" i="1864"/>
  <c r="AE35" i="1864"/>
  <c r="AE33" i="1864"/>
  <c r="AE32" i="1864"/>
  <c r="AE31" i="1864"/>
  <c r="AE30" i="1864"/>
  <c r="AE29" i="1864"/>
  <c r="AE28" i="1864"/>
  <c r="AE27" i="1864"/>
  <c r="AE26" i="1864"/>
  <c r="AE25" i="1864"/>
  <c r="AE24" i="1864"/>
  <c r="AE23" i="1864"/>
  <c r="AE22" i="1864"/>
  <c r="AE21" i="1864"/>
  <c r="AE20" i="1864"/>
  <c r="AE19" i="1864"/>
  <c r="AE18" i="1864"/>
  <c r="AE16" i="1864"/>
  <c r="AE15" i="1864"/>
  <c r="AE14" i="1864"/>
  <c r="AE13" i="1864"/>
  <c r="AE12" i="1864"/>
  <c r="AE11" i="1864"/>
  <c r="AE10" i="1864"/>
  <c r="AE9" i="1864"/>
  <c r="AE8" i="1864"/>
  <c r="AE7" i="1864"/>
  <c r="AE6" i="1864"/>
  <c r="AE5" i="1864"/>
  <c r="AE4" i="1864"/>
  <c r="F21" i="1866" l="1"/>
  <c r="Y19" i="1866"/>
  <c r="W19" i="1866"/>
  <c r="V19" i="1866"/>
  <c r="U19" i="1866"/>
  <c r="T19" i="1866"/>
  <c r="P19" i="1866"/>
  <c r="O19" i="1866"/>
  <c r="N19" i="1866"/>
  <c r="M19" i="1866"/>
  <c r="L19" i="1866"/>
  <c r="K19" i="1866"/>
  <c r="J19" i="1866"/>
  <c r="I19" i="1866"/>
  <c r="H19" i="1866"/>
  <c r="G19" i="1866"/>
  <c r="F19" i="1866"/>
  <c r="E19" i="1866"/>
  <c r="D19" i="1866"/>
  <c r="C19" i="1866"/>
  <c r="Y18" i="1866"/>
  <c r="W18" i="1866"/>
  <c r="V18" i="1866"/>
  <c r="U18" i="1866"/>
  <c r="T18" i="1866"/>
  <c r="P18" i="1866"/>
  <c r="O18" i="1866"/>
  <c r="N18" i="1866"/>
  <c r="M18" i="1866"/>
  <c r="L18" i="1866"/>
  <c r="K18" i="1866"/>
  <c r="J18" i="1866"/>
  <c r="I18" i="1866"/>
  <c r="H18" i="1866"/>
  <c r="G18" i="1866"/>
  <c r="F18" i="1866"/>
  <c r="E18" i="1866"/>
  <c r="D18" i="1866"/>
  <c r="C18" i="1866"/>
  <c r="Y4" i="1866"/>
  <c r="W4" i="1866"/>
  <c r="V4" i="1866"/>
  <c r="U4" i="1866"/>
  <c r="T4" i="1866"/>
  <c r="P4" i="1866"/>
  <c r="O4" i="1866"/>
  <c r="N4" i="1866"/>
  <c r="M4" i="1866"/>
  <c r="L4" i="1866"/>
  <c r="K4" i="1866"/>
  <c r="J4" i="1866"/>
  <c r="I4" i="1866"/>
  <c r="H4" i="1866"/>
  <c r="G4" i="1866"/>
  <c r="F4" i="1866"/>
  <c r="E4" i="1866"/>
  <c r="D4" i="1866"/>
  <c r="C4" i="1866"/>
  <c r="Y3" i="1866"/>
  <c r="W3" i="1866"/>
  <c r="V3" i="1866"/>
  <c r="U3" i="1866"/>
  <c r="T3" i="1866"/>
  <c r="P3" i="1866"/>
  <c r="O3" i="1866"/>
  <c r="N3" i="1866"/>
  <c r="M3" i="1866"/>
  <c r="L3" i="1866"/>
  <c r="K3" i="1866"/>
  <c r="J3" i="1866"/>
  <c r="I3" i="1866"/>
  <c r="H3" i="1866"/>
  <c r="G3" i="1866"/>
  <c r="F3" i="1866"/>
  <c r="E3" i="1866"/>
  <c r="D3" i="1866"/>
  <c r="C3" i="1866"/>
  <c r="F21" i="1865"/>
  <c r="Y19" i="1865"/>
  <c r="W19" i="1865"/>
  <c r="V19" i="1865"/>
  <c r="U19" i="1865"/>
  <c r="T19" i="1865"/>
  <c r="P19" i="1865"/>
  <c r="O19" i="1865"/>
  <c r="N19" i="1865"/>
  <c r="M19" i="1865"/>
  <c r="L19" i="1865"/>
  <c r="K19" i="1865"/>
  <c r="J19" i="1865"/>
  <c r="I19" i="1865"/>
  <c r="H19" i="1865"/>
  <c r="G19" i="1865"/>
  <c r="F19" i="1865"/>
  <c r="E19" i="1865"/>
  <c r="D19" i="1865"/>
  <c r="C19" i="1865"/>
  <c r="Y18" i="1865"/>
  <c r="W18" i="1865"/>
  <c r="V18" i="1865"/>
  <c r="U18" i="1865"/>
  <c r="T18" i="1865"/>
  <c r="P18" i="1865"/>
  <c r="O18" i="1865"/>
  <c r="N18" i="1865"/>
  <c r="M18" i="1865"/>
  <c r="L18" i="1865"/>
  <c r="K18" i="1865"/>
  <c r="J18" i="1865"/>
  <c r="I18" i="1865"/>
  <c r="H18" i="1865"/>
  <c r="G18" i="1865"/>
  <c r="F18" i="1865"/>
  <c r="E18" i="1865"/>
  <c r="D18" i="1865"/>
  <c r="C18" i="1865"/>
  <c r="Y4" i="1865"/>
  <c r="W4" i="1865"/>
  <c r="V4" i="1865"/>
  <c r="U4" i="1865"/>
  <c r="T4" i="1865"/>
  <c r="P4" i="1865"/>
  <c r="O4" i="1865"/>
  <c r="N4" i="1865"/>
  <c r="M4" i="1865"/>
  <c r="L4" i="1865"/>
  <c r="K4" i="1865"/>
  <c r="J4" i="1865"/>
  <c r="I4" i="1865"/>
  <c r="H4" i="1865"/>
  <c r="G4" i="1865"/>
  <c r="F4" i="1865"/>
  <c r="E4" i="1865"/>
  <c r="D4" i="1865"/>
  <c r="C4" i="1865"/>
  <c r="Y3" i="1865"/>
  <c r="W3" i="1865"/>
  <c r="V3" i="1865"/>
  <c r="U3" i="1865"/>
  <c r="T3" i="1865"/>
  <c r="P3" i="1865"/>
  <c r="O3" i="1865"/>
  <c r="N3" i="1865"/>
  <c r="M3" i="1865"/>
  <c r="L3" i="1865"/>
  <c r="K3" i="1865"/>
  <c r="J3" i="1865"/>
  <c r="I3" i="1865"/>
  <c r="H3" i="1865"/>
  <c r="G3" i="1865"/>
  <c r="F3" i="1865"/>
  <c r="E3" i="1865"/>
  <c r="D3" i="1865"/>
  <c r="C3" i="1865"/>
  <c r="C46" i="1864"/>
  <c r="F22" i="1864"/>
  <c r="Y20" i="1864"/>
  <c r="W20" i="1864"/>
  <c r="V20" i="1864"/>
  <c r="U20" i="1864"/>
  <c r="T20" i="1864"/>
  <c r="P20" i="1864"/>
  <c r="O20" i="1864"/>
  <c r="N20" i="1864"/>
  <c r="M20" i="1864"/>
  <c r="L20" i="1864"/>
  <c r="K20" i="1864"/>
  <c r="J20" i="1864"/>
  <c r="I20" i="1864"/>
  <c r="H20" i="1864"/>
  <c r="G20" i="1864"/>
  <c r="F20" i="1864"/>
  <c r="E20" i="1864"/>
  <c r="D20" i="1864"/>
  <c r="C20" i="1864"/>
  <c r="Y19" i="1864"/>
  <c r="W19" i="1864"/>
  <c r="V19" i="1864"/>
  <c r="U19" i="1864"/>
  <c r="T19" i="1864"/>
  <c r="P19" i="1864"/>
  <c r="O19" i="1864"/>
  <c r="N19" i="1864"/>
  <c r="M19" i="1864"/>
  <c r="L19" i="1864"/>
  <c r="K19" i="1864"/>
  <c r="J19" i="1864"/>
  <c r="I19" i="1864"/>
  <c r="H19" i="1864"/>
  <c r="G19" i="1864"/>
  <c r="F19" i="1864"/>
  <c r="E19" i="1864"/>
  <c r="D19" i="1864"/>
  <c r="C19" i="1864"/>
  <c r="Y4" i="1864"/>
  <c r="W4" i="1864"/>
  <c r="V4" i="1864"/>
  <c r="U4" i="1864"/>
  <c r="T4" i="1864"/>
  <c r="P4" i="1864"/>
  <c r="O4" i="1864"/>
  <c r="N4" i="1864"/>
  <c r="M4" i="1864"/>
  <c r="L4" i="1864"/>
  <c r="K4" i="1864"/>
  <c r="J4" i="1864"/>
  <c r="I4" i="1864"/>
  <c r="H4" i="1864"/>
  <c r="G4" i="1864"/>
  <c r="F4" i="1864"/>
  <c r="E4" i="1864"/>
  <c r="D4" i="1864"/>
  <c r="C4" i="1864"/>
  <c r="Y3" i="1864"/>
  <c r="W3" i="1864"/>
  <c r="V3" i="1864"/>
  <c r="U3" i="1864"/>
  <c r="T3" i="1864"/>
  <c r="P3" i="1864"/>
  <c r="O3" i="1864"/>
  <c r="N3" i="1864"/>
  <c r="M3" i="1864"/>
  <c r="L3" i="1864"/>
  <c r="K3" i="1864"/>
  <c r="J3" i="1864"/>
  <c r="I3" i="1864"/>
  <c r="H3" i="1864"/>
  <c r="G3" i="1864"/>
  <c r="F3" i="1864"/>
  <c r="E3" i="1864"/>
  <c r="D3" i="1864"/>
  <c r="C3" i="1864"/>
  <c r="F21" i="1863"/>
  <c r="Y19" i="1863"/>
  <c r="W19" i="1863"/>
  <c r="V19" i="1863"/>
  <c r="U19" i="1863"/>
  <c r="T19" i="1863"/>
  <c r="P19" i="1863"/>
  <c r="O19" i="1863"/>
  <c r="N19" i="1863"/>
  <c r="M19" i="1863"/>
  <c r="L19" i="1863"/>
  <c r="K19" i="1863"/>
  <c r="J19" i="1863"/>
  <c r="I19" i="1863"/>
  <c r="H19" i="1863"/>
  <c r="G19" i="1863"/>
  <c r="F19" i="1863"/>
  <c r="E19" i="1863"/>
  <c r="D19" i="1863"/>
  <c r="C19" i="1863"/>
  <c r="Y18" i="1863"/>
  <c r="W18" i="1863"/>
  <c r="V18" i="1863"/>
  <c r="U18" i="1863"/>
  <c r="T18" i="1863"/>
  <c r="P18" i="1863"/>
  <c r="O18" i="1863"/>
  <c r="N18" i="1863"/>
  <c r="M18" i="1863"/>
  <c r="L18" i="1863"/>
  <c r="K18" i="1863"/>
  <c r="J18" i="1863"/>
  <c r="I18" i="1863"/>
  <c r="H18" i="1863"/>
  <c r="G18" i="1863"/>
  <c r="F18" i="1863"/>
  <c r="E18" i="1863"/>
  <c r="D18" i="1863"/>
  <c r="C18" i="1863"/>
  <c r="Y4" i="1863"/>
  <c r="W4" i="1863"/>
  <c r="V4" i="1863"/>
  <c r="U4" i="1863"/>
  <c r="T4" i="1863"/>
  <c r="P4" i="1863"/>
  <c r="O4" i="1863"/>
  <c r="N4" i="1863"/>
  <c r="M4" i="1863"/>
  <c r="L4" i="1863"/>
  <c r="K4" i="1863"/>
  <c r="J4" i="1863"/>
  <c r="I4" i="1863"/>
  <c r="H4" i="1863"/>
  <c r="G4" i="1863"/>
  <c r="F4" i="1863"/>
  <c r="E4" i="1863"/>
  <c r="D4" i="1863"/>
  <c r="C4" i="1863"/>
  <c r="Y3" i="1863"/>
  <c r="W3" i="1863"/>
  <c r="V3" i="1863"/>
  <c r="U3" i="1863"/>
  <c r="T3" i="1863"/>
  <c r="P3" i="1863"/>
  <c r="O3" i="1863"/>
  <c r="N3" i="1863"/>
  <c r="M3" i="1863"/>
  <c r="L3" i="1863"/>
  <c r="K3" i="1863"/>
  <c r="J3" i="1863"/>
  <c r="I3" i="1863"/>
  <c r="H3" i="1863"/>
  <c r="G3" i="1863"/>
  <c r="F3" i="1863"/>
  <c r="E3" i="1863"/>
  <c r="D3" i="1863"/>
  <c r="C3" i="1863"/>
</calcChain>
</file>

<file path=xl/sharedStrings.xml><?xml version="1.0" encoding="utf-8"?>
<sst xmlns="http://schemas.openxmlformats.org/spreadsheetml/2006/main" count="403" uniqueCount="118">
  <si>
    <t>CHECKER STOCK REPORT</t>
  </si>
  <si>
    <t>UPDATE PRICE FGS</t>
  </si>
  <si>
    <t>UPDATE PRICE CMTS</t>
  </si>
  <si>
    <t>UPDATE PRICE LS</t>
  </si>
  <si>
    <t>UPDATE PRICE LB</t>
  </si>
  <si>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</si>
  <si>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</si>
  <si>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</si>
  <si>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</si>
  <si>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</si>
  <si>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</si>
  <si>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</si>
  <si>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</si>
  <si>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</si>
  <si>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</si>
  <si>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</si>
  <si>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</si>
  <si>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</si>
  <si>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</si>
  <si>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</si>
  <si>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</si>
  <si>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</si>
  <si>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</si>
  <si>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1ST LOAD</t>
  </si>
  <si>
    <t>2ND LOAD</t>
  </si>
  <si>
    <t>FGS RETURNED</t>
  </si>
  <si>
    <t>TOTAL SALES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</si>
  <si>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</si>
  <si>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</si>
  <si>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</si>
  <si>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</si>
  <si>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</si>
  <si>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</si>
  <si>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</si>
  <si>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</si>
  <si>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</si>
  <si>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</si>
  <si>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HTA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</si>
  <si>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</si>
  <si>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</si>
  <si>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</si>
  <si>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</si>
  <si>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</si>
  <si>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</si>
  <si>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</si>
  <si>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</si>
  <si>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</si>
  <si>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MHT</t>
  </si>
  <si>
    <t>REMARKS</t>
  </si>
  <si>
    <t>COMPLETE</t>
  </si>
  <si>
    <t>SHELL</t>
  </si>
  <si>
    <t>BOTTLE</t>
  </si>
  <si>
    <t>RETURNED</t>
  </si>
  <si>
    <t>TOTAL</t>
  </si>
  <si>
    <t>SIGNATURE</t>
  </si>
  <si>
    <t>ROUTE 2</t>
  </si>
  <si>
    <t>ROUTE 3</t>
  </si>
  <si>
    <t>RH500C</t>
  </si>
  <si>
    <t>CBB</t>
  </si>
  <si>
    <t>CNB</t>
  </si>
  <si>
    <t>CLC</t>
  </si>
  <si>
    <t>SMZB</t>
  </si>
  <si>
    <t>SMFB</t>
  </si>
  <si>
    <t>GE320</t>
  </si>
  <si>
    <t>PP500C</t>
  </si>
  <si>
    <t>SML500C</t>
  </si>
  <si>
    <t>MGYZ</t>
  </si>
  <si>
    <t>DATE _______________________________</t>
  </si>
  <si>
    <t>TOTAL SALES:</t>
  </si>
  <si>
    <t>TOTAL BOTTLES:</t>
  </si>
  <si>
    <t>DATE ___________07/23/2026___________</t>
  </si>
  <si>
    <t>PRODUCTS</t>
  </si>
  <si>
    <t>SELLING PRICE</t>
  </si>
  <si>
    <t>NON-ALCOHOLIC BEVERAGES</t>
  </si>
  <si>
    <t>CALI PINEAPPLE 330ml</t>
  </si>
  <si>
    <t>CALI ICE APPLE 330ml</t>
  </si>
  <si>
    <t>CALI PINEAPPLE CAN 330ml</t>
  </si>
  <si>
    <t>CALI ICE APPLE CAN 330ml</t>
  </si>
  <si>
    <t>CALI 10 DIET CAN 330ml</t>
  </si>
  <si>
    <t>MAGNOLIA</t>
  </si>
  <si>
    <t>FRUIT DRINK GRAPE 250ml</t>
  </si>
  <si>
    <t>FRUIT DRINK ORANGE 250ml</t>
  </si>
  <si>
    <t>HEALTHTEA APPLE 250ml</t>
  </si>
  <si>
    <t>HEALTHTEA LEMON 250ml</t>
  </si>
  <si>
    <t>HEALTHTEA STRAWBERRY 250ml</t>
  </si>
  <si>
    <t>ALCO BEVERAGES</t>
  </si>
  <si>
    <t>PREMIUM ALL MALT 330ml</t>
  </si>
  <si>
    <t>PREMIUM ALL MALT CAN 330ml</t>
  </si>
  <si>
    <t>KIRIN 330ml</t>
  </si>
  <si>
    <t>KIRIN CAN 330ml</t>
  </si>
  <si>
    <t>CERVEZA BLANCA CAN 330ml</t>
  </si>
  <si>
    <t>SUPERDRY 330ml</t>
  </si>
  <si>
    <t>SUPERDRY CAN 330ml</t>
  </si>
  <si>
    <t>CERVEZA NEGRA 330ml</t>
  </si>
  <si>
    <t>SAN MIGUEL CHOCOLATE LAGER CAN 330ml</t>
  </si>
  <si>
    <t>SAN MIG FREE 330ml</t>
  </si>
  <si>
    <t>SAN MIG ZERO 330ml</t>
  </si>
  <si>
    <t>SAN MIG LIGHT 330ml</t>
  </si>
  <si>
    <t>SAN MIG LIGHT CAN 330ml</t>
  </si>
  <si>
    <t>FLAVORED BEER APL/LEM/LYC 330ml</t>
  </si>
  <si>
    <t>FLAVORED BEER CAN APL/LEM/LY 330ml</t>
  </si>
  <si>
    <t>PALE PILSEN 320ml</t>
  </si>
  <si>
    <t>PALE PILSEN 330ml</t>
  </si>
  <si>
    <t>PALE PILSEN 1000ml</t>
  </si>
  <si>
    <t>PALE PILSEN Can 330ml</t>
  </si>
  <si>
    <t>RED HORSE 330ml</t>
  </si>
  <si>
    <t>RED HORSE 500ml</t>
  </si>
  <si>
    <t>RED HORSE 1000ml</t>
  </si>
  <si>
    <t>RED HORSE 500 CAN</t>
  </si>
  <si>
    <t>RED HORSE SUPER 1000</t>
  </si>
  <si>
    <t>RED HORSE CAN 330ml</t>
  </si>
  <si>
    <t>SAN MIG FREE</t>
  </si>
  <si>
    <t>SAN MIG HARD SELTZER CAN 330ml</t>
  </si>
  <si>
    <t>GOLD EAGLE 320ml</t>
  </si>
  <si>
    <t>GOLD EAGLE 1000ml</t>
  </si>
  <si>
    <t>SAN MIG HARD SELTZER 330ml</t>
  </si>
  <si>
    <t>CHOCO LAGER CAN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</si>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</sst>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9" fillId="0" borderId="0"/>
  </cellStyleXfs>
  <cellXfs count="10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6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3" fillId="0" borderId="14" xfId="0" applyNumberFormat="1" applyFont="1" applyBorder="1" applyAlignment="1" applyProtection="1">
      <alignment horizontal="center" vertical="center"/>
      <protection locked="0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3" fontId="3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4" fontId="6" fillId="0" borderId="0" xfId="2" applyFont="1" applyFill="1" applyBorder="1" applyAlignment="1">
      <alignment horizontal="center" vertical="center"/>
    </xf>
    <xf numFmtId="164" fontId="6" fillId="0" borderId="19" xfId="2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5" fontId="6" fillId="0" borderId="0" xfId="1" applyNumberFormat="1" applyFont="1" applyFill="1" applyBorder="1" applyAlignment="1">
      <alignment horizontal="center" vertical="center"/>
    </xf>
    <xf numFmtId="165" fontId="6" fillId="0" borderId="19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3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7" xfId="3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 wrapText="1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>
      <alignment horizontal="center" vertical="center"/>
    </xf>
    <xf numFmtId="3" fontId="3" fillId="0" borderId="35" xfId="0" applyNumberFormat="1" applyFont="1" applyBorder="1" applyAlignment="1" applyProtection="1">
      <alignment horizontal="center" vertical="center"/>
      <protection locked="0"/>
    </xf>
    <xf numFmtId="3" fontId="4" fillId="0" borderId="35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7" fillId="0" borderId="38" xfId="3" applyFont="1" applyBorder="1" applyAlignment="1">
      <alignment horizontal="center" vertical="center"/>
    </xf>
    <xf numFmtId="164" fontId="6" fillId="0" borderId="23" xfId="2" applyFont="1" applyFill="1" applyBorder="1" applyAlignment="1">
      <alignment horizontal="center" vertical="center"/>
    </xf>
    <xf numFmtId="0" fontId="7" fillId="0" borderId="40" xfId="3" applyFont="1" applyBorder="1" applyAlignment="1">
      <alignment horizontal="center" vertical="center"/>
    </xf>
    <xf numFmtId="0" fontId="7" fillId="0" borderId="39" xfId="3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16" fontId="3" fillId="0" borderId="7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0" borderId="0" xfId="0" applyFont="1"/>
    <xf numFmtId="0" fontId="0" fillId="3" borderId="0" xfId="0" applyFill="1"/>
    <xf numFmtId="43" fontId="0" fillId="0" borderId="0" xfId="1" applyFont="1"/>
    <xf numFmtId="43" fontId="0" fillId="3" borderId="0" xfId="0" applyNumberFormat="1" applyFill="1"/>
    <xf numFmtId="43" fontId="4" fillId="0" borderId="15" xfId="0" applyNumberFormat="1" applyFont="1" applyBorder="1" applyAlignment="1">
      <alignment horizontal="center" vertical="center"/>
    </xf>
  </cellXfs>
  <cellStyles count="4">
    <cellStyle name="Comma" xfId="1" builtinId="3"/>
    <cellStyle name="Comma 2" xfId="2" xr:uid="{38233363-A84A-45E9-A936-15838938B2C9}"/>
    <cellStyle name="Normal" xfId="0" builtinId="0"/>
    <cellStyle name="Normal 2" xfId="3" xr:uid="{C44E70A0-C100-4105-8DF8-F24B0B53F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GBDS\GBDS%20Documents\DAILY%20SALES,%20STOCK%20ISSUANCE%20AND%20RECE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SR"/>
      <sheetName val="WW Monitoring"/>
      <sheetName val="Route Sales MTD"/>
      <sheetName val="Checker Stock Report"/>
      <sheetName val="Production Date"/>
      <sheetName val="RET-WS"/>
    </sheetNames>
    <sheetDataSet>
      <sheetData sheetId="0" refreshError="1">
        <row r="4">
          <cell r="B4">
            <v>1300</v>
          </cell>
          <cell r="C4">
            <v>1534</v>
          </cell>
          <cell r="D4">
            <v>1728</v>
          </cell>
          <cell r="E4">
            <v>1728</v>
          </cell>
          <cell r="F4">
            <v>1452</v>
          </cell>
          <cell r="G4">
            <v>1240</v>
          </cell>
          <cell r="H4">
            <v>1520</v>
          </cell>
          <cell r="I4">
            <v>978</v>
          </cell>
          <cell r="J4">
            <v>945</v>
          </cell>
          <cell r="K4"/>
          <cell r="L4">
            <v>1127</v>
          </cell>
          <cell r="M4">
            <v>773</v>
          </cell>
          <cell r="N4">
            <v>1038</v>
          </cell>
          <cell r="O4">
            <v>773</v>
          </cell>
          <cell r="P4">
            <v>1038</v>
          </cell>
          <cell r="Q4">
            <v>773</v>
          </cell>
          <cell r="R4">
            <v>1038</v>
          </cell>
          <cell r="S4">
            <v>792</v>
          </cell>
          <cell r="T4">
            <v>948</v>
          </cell>
        </row>
        <row r="5">
          <cell r="B5">
            <v>120</v>
          </cell>
          <cell r="C5"/>
          <cell r="D5"/>
          <cell r="E5"/>
          <cell r="F5"/>
          <cell r="G5">
            <v>120</v>
          </cell>
          <cell r="H5"/>
          <cell r="I5">
            <v>120</v>
          </cell>
          <cell r="J5">
            <v>120</v>
          </cell>
          <cell r="K5">
            <v>111</v>
          </cell>
          <cell r="L5"/>
          <cell r="M5">
            <v>120</v>
          </cell>
          <cell r="N5"/>
          <cell r="O5">
            <v>120</v>
          </cell>
          <cell r="P5"/>
          <cell r="Q5">
            <v>120</v>
          </cell>
          <cell r="R5"/>
          <cell r="S5">
            <v>120</v>
          </cell>
          <cell r="T5">
            <v>120</v>
          </cell>
        </row>
        <row r="24">
          <cell r="B24">
            <v>544</v>
          </cell>
          <cell r="C24">
            <v>1127</v>
          </cell>
          <cell r="D24">
            <v>853</v>
          </cell>
          <cell r="E24">
            <v>563</v>
          </cell>
          <cell r="F24">
            <v>575</v>
          </cell>
          <cell r="G24">
            <v>1175</v>
          </cell>
          <cell r="H24"/>
          <cell r="I24">
            <v>791</v>
          </cell>
          <cell r="J24">
            <v>1102</v>
          </cell>
          <cell r="K24">
            <v>520</v>
          </cell>
          <cell r="L24">
            <v>1142</v>
          </cell>
          <cell r="M24">
            <v>205</v>
          </cell>
          <cell r="N24">
            <v>205</v>
          </cell>
          <cell r="O24">
            <v>205</v>
          </cell>
          <cell r="P24">
            <v>500</v>
          </cell>
          <cell r="Q24">
            <v>650</v>
          </cell>
          <cell r="R24">
            <v>650</v>
          </cell>
          <cell r="S24">
            <v>500</v>
          </cell>
          <cell r="T24">
            <v>650</v>
          </cell>
        </row>
        <row r="25">
          <cell r="B25">
            <v>111</v>
          </cell>
          <cell r="C25"/>
          <cell r="D25">
            <v>120</v>
          </cell>
          <cell r="E25">
            <v>111</v>
          </cell>
          <cell r="F25">
            <v>111</v>
          </cell>
          <cell r="G25"/>
          <cell r="H25">
            <v>111</v>
          </cell>
          <cell r="I25">
            <v>120</v>
          </cell>
          <cell r="J25"/>
          <cell r="K25">
            <v>111</v>
          </cell>
          <cell r="L25"/>
          <cell r="M25">
            <v>78</v>
          </cell>
          <cell r="N25">
            <v>78</v>
          </cell>
          <cell r="O25">
            <v>78</v>
          </cell>
          <cell r="P25">
            <v>120</v>
          </cell>
          <cell r="Q25"/>
          <cell r="R25"/>
          <cell r="S25">
            <v>120</v>
          </cell>
          <cell r="T25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392-3164-4BBB-8DB5-0BA6861E83AD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01E1-D71F-48DF-B22C-E4245798198C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85" t="s">
        <v>43</v>
      </c>
      <c r="C34" s="87" t="s">
        <v>21</v>
      </c>
      <c r="D34" s="87"/>
      <c r="E34" s="88"/>
      <c r="F34" s="89" t="s">
        <v>44</v>
      </c>
      <c r="G34" s="87"/>
      <c r="H34" s="88"/>
      <c r="I34" s="89" t="s">
        <v>45</v>
      </c>
      <c r="J34" s="87"/>
      <c r="K34" s="88"/>
      <c r="L34" s="89" t="s">
        <v>46</v>
      </c>
      <c r="M34" s="87"/>
      <c r="N34" s="88"/>
      <c r="O34" s="90" t="s">
        <v>47</v>
      </c>
      <c r="P34" s="90"/>
      <c r="Q34" s="90"/>
      <c r="R34" s="80" t="s">
        <v>48</v>
      </c>
      <c r="S34" s="81"/>
      <c r="T34" s="81"/>
      <c r="U34" s="82"/>
      <c r="V34" s="66"/>
      <c r="W34" s="3"/>
      <c r="X34" s="3"/>
      <c r="Y34" s="3"/>
    </row>
    <row r="35" spans="2:25" ht="18" customHeight="1" thickBot="1" x14ac:dyDescent="0.3">
      <c r="B35" s="86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3" t="s">
        <v>54</v>
      </c>
      <c r="S42" s="84"/>
      <c r="T42" s="84"/>
      <c r="U42" s="84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FBD3-B77D-4821-84C7-1138A0EA3204}">
  <dimension ref="B1:AF57"/>
  <sheetViews>
    <sheetView showGridLines="0" tabSelected="1" zoomScaleNormal="100" workbookViewId="0">
      <selection activeCell="M25" sqref="M25:N3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2" width="5.7109375" style="2" customWidth="1"/>
    <col min="13" max="13" width="13.5703125" style="2" bestFit="1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7" width="5.7109375" style="2" customWidth="1"/>
    <col min="28" max="28" width="39.85546875" style="2" bestFit="1" customWidth="1"/>
    <col min="29" max="29" width="13.7109375" style="2" bestFit="1" customWidth="1"/>
    <col min="30" max="30" width="8.7109375" style="2"/>
    <col min="31" max="31" width="10.140625" style="2" bestFit="1" customWidth="1"/>
    <col min="32" max="16384" width="8.7109375" style="2"/>
  </cols>
  <sheetData>
    <row r="1" spans="2:32" ht="18" customHeight="1" x14ac:dyDescent="0.25">
      <c r="B1" s="1" t="s">
        <v>0</v>
      </c>
      <c r="AA1" s="92" t="s">
        <v>71</v>
      </c>
      <c r="AB1" s="92"/>
      <c r="AC1" s="93" t="s">
        <v>72</v>
      </c>
      <c r="AD1" s="93" t="s">
        <v>43</v>
      </c>
      <c r="AE1" s="94" t="s">
        <v>53</v>
      </c>
      <c r="AF1"/>
    </row>
    <row r="2" spans="2:32" ht="18" customHeight="1" thickBot="1" x14ac:dyDescent="0.3">
      <c r="B2" s="4" t="s">
        <v>70</v>
      </c>
      <c r="AA2" s="95"/>
      <c r="AB2"/>
      <c r="AC2"/>
      <c r="AD2"/>
      <c r="AE2" s="96"/>
      <c r="AF2"/>
    </row>
    <row r="3" spans="2:32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95" t="s">
        <v>73</v>
      </c>
      <c r="AB3" s="97"/>
      <c r="AC3"/>
      <c r="AD3"/>
      <c r="AE3" s="96"/>
      <c r="AF3"/>
    </row>
    <row r="4" spans="2:32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/>
      <c r="AB4" t="s">
        <v>74</v>
      </c>
      <c r="AC4" s="97">
        <v>500</v>
      </c>
      <c r="AD4" s="97">
        <v>120</v>
      </c>
      <c r="AE4" s="98">
        <f>AC4+AD4</f>
        <v>620</v>
      </c>
      <c r="AF4"/>
    </row>
    <row r="5" spans="2:32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  <c r="AA5"/>
      <c r="AB5" t="s">
        <v>75</v>
      </c>
      <c r="AC5" s="97">
        <v>500</v>
      </c>
      <c r="AD5" s="97">
        <v>120</v>
      </c>
      <c r="AE5" s="98">
        <f t="shared" ref="AE5:AE54" si="0">AC5+AD5</f>
        <v>620</v>
      </c>
      <c r="AF5"/>
    </row>
    <row r="6" spans="2:32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  <c r="AA6"/>
      <c r="AB6" t="s">
        <v>76</v>
      </c>
      <c r="AC6" s="97">
        <v>650</v>
      </c>
      <c r="AD6" s="97"/>
      <c r="AE6" s="98">
        <f t="shared" si="0"/>
        <v>650</v>
      </c>
      <c r="AF6"/>
    </row>
    <row r="7" spans="2:32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  <c r="AA7"/>
      <c r="AB7" t="s">
        <v>77</v>
      </c>
      <c r="AC7" s="97">
        <v>650</v>
      </c>
      <c r="AD7" s="97"/>
      <c r="AE7" s="98">
        <f>AC7+AD7</f>
        <v>650</v>
      </c>
      <c r="AF7"/>
    </row>
    <row r="8" spans="2:32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  <c r="AA8"/>
      <c r="AB8" t="s">
        <v>78</v>
      </c>
      <c r="AC8" s="97">
        <v>650</v>
      </c>
      <c r="AD8" s="97"/>
      <c r="AE8" s="98">
        <f>AC8+AD8</f>
        <v>650</v>
      </c>
      <c r="AF8"/>
    </row>
    <row r="9" spans="2:32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  <c r="AA9"/>
      <c r="AB9" s="95" t="s">
        <v>79</v>
      </c>
      <c r="AC9" s="97"/>
      <c r="AD9" s="97"/>
      <c r="AE9" s="98">
        <f>AC9+AD9</f>
        <v>0</v>
      </c>
      <c r="AF9"/>
    </row>
    <row r="10" spans="2:32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  <c r="AA10"/>
      <c r="AB10" t="s">
        <v>80</v>
      </c>
      <c r="AC10" s="97">
        <v>205</v>
      </c>
      <c r="AD10" s="97">
        <v>78</v>
      </c>
      <c r="AE10" s="98">
        <f>AC10+AD10</f>
        <v>283</v>
      </c>
      <c r="AF10"/>
    </row>
    <row r="11" spans="2:32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  <c r="AA11"/>
      <c r="AB11" t="s">
        <v>81</v>
      </c>
      <c r="AC11" s="97">
        <v>205</v>
      </c>
      <c r="AD11" s="97">
        <v>78</v>
      </c>
      <c r="AE11" s="98">
        <f>AC11+AD11</f>
        <v>283</v>
      </c>
      <c r="AF11"/>
    </row>
    <row r="12" spans="2:32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  <c r="AA12"/>
      <c r="AB12" t="s">
        <v>82</v>
      </c>
      <c r="AC12" s="97">
        <v>229</v>
      </c>
      <c r="AD12" s="97">
        <v>78</v>
      </c>
      <c r="AE12" s="98">
        <f>AC12+AD12</f>
        <v>307</v>
      </c>
      <c r="AF12"/>
    </row>
    <row r="13" spans="2:32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  <c r="AA13"/>
      <c r="AB13" t="s">
        <v>83</v>
      </c>
      <c r="AC13" s="97">
        <v>229</v>
      </c>
      <c r="AD13" s="97">
        <v>78</v>
      </c>
      <c r="AE13" s="98">
        <f>AC13+AD13</f>
        <v>307</v>
      </c>
      <c r="AF13"/>
    </row>
    <row r="14" spans="2:32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  <c r="AA14"/>
      <c r="AB14" t="s">
        <v>84</v>
      </c>
      <c r="AC14" s="97">
        <v>229</v>
      </c>
      <c r="AD14" s="97">
        <v>78</v>
      </c>
      <c r="AE14" s="98">
        <f>AC14+AD14</f>
        <v>307</v>
      </c>
      <c r="AF14"/>
    </row>
    <row r="15" spans="2:32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  <c r="AA15"/>
      <c r="AB15" t="s">
        <v>86</v>
      </c>
      <c r="AC15" s="97">
        <v>1582</v>
      </c>
      <c r="AD15" s="97">
        <v>120</v>
      </c>
      <c r="AE15" s="98">
        <f>AC15+AD15</f>
        <v>1702</v>
      </c>
      <c r="AF15"/>
    </row>
    <row r="16" spans="2:32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  <c r="AA16"/>
      <c r="AB16" t="s">
        <v>87</v>
      </c>
      <c r="AC16" s="97">
        <v>1582</v>
      </c>
      <c r="AD16" s="97"/>
      <c r="AE16" s="98">
        <f>AC16+AD16</f>
        <v>1582</v>
      </c>
      <c r="AF16"/>
    </row>
    <row r="17" spans="2:32" ht="18" customHeight="1" thickBot="1" x14ac:dyDescent="0.3">
      <c r="B17" s="25" t="s">
        <v>117</v>
      </c>
      <c r="C17" s="57"/>
      <c r="D17" s="58"/>
      <c r="E17" s="27"/>
      <c r="F17" s="27"/>
      <c r="G17" s="28"/>
      <c r="H17" s="28"/>
      <c r="I17" s="28"/>
      <c r="J17" s="28"/>
      <c r="K17" s="56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56"/>
      <c r="X17" s="62"/>
      <c r="Y17" s="29"/>
      <c r="AA17"/>
      <c r="AB17"/>
      <c r="AC17" s="97"/>
      <c r="AD17" s="97"/>
      <c r="AE17" s="98"/>
      <c r="AF17"/>
    </row>
    <row r="18" spans="2:32" s="5" customFormat="1" ht="18" customHeight="1" thickBot="1" x14ac:dyDescent="0.3"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2"/>
      <c r="AA18"/>
      <c r="AB18" t="s">
        <v>88</v>
      </c>
      <c r="AC18" s="97">
        <v>1728</v>
      </c>
      <c r="AD18" s="97"/>
      <c r="AE18" s="98">
        <f>AC18+AD18</f>
        <v>1728</v>
      </c>
      <c r="AF18"/>
    </row>
    <row r="19" spans="2:32" s="5" customFormat="1" ht="18" hidden="1" customHeight="1" x14ac:dyDescent="0.3">
      <c r="B19" s="33" t="s">
        <v>1</v>
      </c>
      <c r="C19" s="34">
        <f>[1]DSSR!B24</f>
        <v>544</v>
      </c>
      <c r="D19" s="34">
        <f>[1]DSSR!C24</f>
        <v>1127</v>
      </c>
      <c r="E19" s="34">
        <f>[1]DSSR!D24</f>
        <v>853</v>
      </c>
      <c r="F19" s="34">
        <f>[1]DSSR!E24</f>
        <v>563</v>
      </c>
      <c r="G19" s="34">
        <f>[1]DSSR!F24</f>
        <v>575</v>
      </c>
      <c r="H19" s="34">
        <f>[1]DSSR!G24</f>
        <v>1175</v>
      </c>
      <c r="I19" s="34">
        <f>[1]DSSR!H24</f>
        <v>0</v>
      </c>
      <c r="J19" s="34">
        <f>[1]DSSR!I24</f>
        <v>791</v>
      </c>
      <c r="K19" s="34">
        <f>[1]DSSR!J24</f>
        <v>1102</v>
      </c>
      <c r="L19" s="34">
        <f>[1]DSSR!K24</f>
        <v>520</v>
      </c>
      <c r="M19" s="34">
        <f>[1]DSSR!L24</f>
        <v>1142</v>
      </c>
      <c r="N19" s="34">
        <f>[1]DSSR!M24</f>
        <v>205</v>
      </c>
      <c r="O19" s="34">
        <f>[1]DSSR!N24</f>
        <v>205</v>
      </c>
      <c r="P19" s="34">
        <f>[1]DSSR!O24</f>
        <v>205</v>
      </c>
      <c r="Q19" s="34"/>
      <c r="R19" s="34"/>
      <c r="S19" s="34"/>
      <c r="T19" s="34">
        <f>[1]DSSR!P24</f>
        <v>500</v>
      </c>
      <c r="U19" s="34">
        <f>[1]DSSR!Q24</f>
        <v>650</v>
      </c>
      <c r="V19" s="34">
        <f>[1]DSSR!R24</f>
        <v>650</v>
      </c>
      <c r="W19" s="34">
        <f>[1]DSSR!S24</f>
        <v>500</v>
      </c>
      <c r="X19" s="34"/>
      <c r="Y19" s="35">
        <f>[1]DSSR!T24</f>
        <v>650</v>
      </c>
      <c r="AA19"/>
      <c r="AB19" t="s">
        <v>89</v>
      </c>
      <c r="AC19" s="97">
        <v>1728</v>
      </c>
      <c r="AD19" s="97"/>
      <c r="AE19" s="98">
        <f>AC19+AD19</f>
        <v>1728</v>
      </c>
      <c r="AF19"/>
    </row>
    <row r="20" spans="2:32" s="5" customFormat="1" ht="18" hidden="1" customHeight="1" x14ac:dyDescent="0.3">
      <c r="B20" s="33" t="s">
        <v>2</v>
      </c>
      <c r="C20" s="34">
        <f>[1]DSSR!B25</f>
        <v>111</v>
      </c>
      <c r="D20" s="34">
        <f>[1]DSSR!C25</f>
        <v>0</v>
      </c>
      <c r="E20" s="34">
        <f>[1]DSSR!D25</f>
        <v>120</v>
      </c>
      <c r="F20" s="34">
        <f>[1]DSSR!E25</f>
        <v>111</v>
      </c>
      <c r="G20" s="34">
        <f>[1]DSSR!F25</f>
        <v>111</v>
      </c>
      <c r="H20" s="34">
        <f>[1]DSSR!G25</f>
        <v>0</v>
      </c>
      <c r="I20" s="34">
        <f>[1]DSSR!H25</f>
        <v>111</v>
      </c>
      <c r="J20" s="34">
        <f>[1]DSSR!I25</f>
        <v>120</v>
      </c>
      <c r="K20" s="34">
        <f>[1]DSSR!J25</f>
        <v>0</v>
      </c>
      <c r="L20" s="34">
        <f>[1]DSSR!K25</f>
        <v>111</v>
      </c>
      <c r="M20" s="34">
        <f>[1]DSSR!L25</f>
        <v>0</v>
      </c>
      <c r="N20" s="34">
        <f>[1]DSSR!M25</f>
        <v>78</v>
      </c>
      <c r="O20" s="34">
        <f>[1]DSSR!N25</f>
        <v>78</v>
      </c>
      <c r="P20" s="34">
        <f>[1]DSSR!O25</f>
        <v>78</v>
      </c>
      <c r="Q20" s="34"/>
      <c r="R20" s="34"/>
      <c r="S20" s="34"/>
      <c r="T20" s="34">
        <f>[1]DSSR!P25</f>
        <v>120</v>
      </c>
      <c r="U20" s="34">
        <f>[1]DSSR!Q25</f>
        <v>0</v>
      </c>
      <c r="V20" s="34">
        <f>[1]DSSR!R25</f>
        <v>0</v>
      </c>
      <c r="W20" s="34">
        <f>[1]DSSR!S25</f>
        <v>120</v>
      </c>
      <c r="X20" s="34"/>
      <c r="Y20" s="35">
        <f>[1]DSSR!T25</f>
        <v>0</v>
      </c>
      <c r="AA20"/>
      <c r="AB20" t="s">
        <v>90</v>
      </c>
      <c r="AC20" s="97">
        <v>1582</v>
      </c>
      <c r="AD20" s="97"/>
      <c r="AE20" s="98">
        <f>AC20+AD20</f>
        <v>1582</v>
      </c>
      <c r="AF20"/>
    </row>
    <row r="21" spans="2:32" s="5" customFormat="1" ht="18" hidden="1" customHeight="1" x14ac:dyDescent="0.3">
      <c r="B21" s="33" t="s">
        <v>3</v>
      </c>
      <c r="C21" s="34">
        <v>84</v>
      </c>
      <c r="D21" s="34"/>
      <c r="E21" s="34">
        <v>84</v>
      </c>
      <c r="F21" s="34">
        <v>84</v>
      </c>
      <c r="G21" s="34">
        <v>84</v>
      </c>
      <c r="H21" s="34"/>
      <c r="I21" s="34">
        <v>84</v>
      </c>
      <c r="J21" s="34">
        <v>84</v>
      </c>
      <c r="K21" s="34"/>
      <c r="L21" s="34">
        <v>84</v>
      </c>
      <c r="M21" s="34"/>
      <c r="N21" s="34">
        <v>42</v>
      </c>
      <c r="O21" s="34">
        <v>42</v>
      </c>
      <c r="P21" s="34">
        <v>42</v>
      </c>
      <c r="Q21" s="34"/>
      <c r="R21" s="34"/>
      <c r="S21" s="34"/>
      <c r="T21" s="34">
        <v>84</v>
      </c>
      <c r="U21" s="34"/>
      <c r="V21" s="34"/>
      <c r="W21" s="34">
        <v>84</v>
      </c>
      <c r="X21" s="34"/>
      <c r="Y21" s="35"/>
      <c r="AA21" s="95" t="s">
        <v>85</v>
      </c>
      <c r="AB21" t="s">
        <v>91</v>
      </c>
      <c r="AC21" s="97">
        <v>1582</v>
      </c>
      <c r="AD21" s="97">
        <v>120</v>
      </c>
      <c r="AE21" s="98">
        <f>AC21+AD21</f>
        <v>1702</v>
      </c>
      <c r="AF21"/>
    </row>
    <row r="22" spans="2:32" s="5" customFormat="1" ht="18" hidden="1" customHeight="1" x14ac:dyDescent="0.3">
      <c r="B22" s="33" t="s">
        <v>4</v>
      </c>
      <c r="C22" s="34">
        <v>4.5</v>
      </c>
      <c r="D22" s="34"/>
      <c r="E22" s="34">
        <v>1.5</v>
      </c>
      <c r="F22" s="36">
        <f>4.5/2</f>
        <v>2.25</v>
      </c>
      <c r="G22" s="34">
        <v>4.5</v>
      </c>
      <c r="H22" s="34"/>
      <c r="I22" s="34">
        <v>4.5</v>
      </c>
      <c r="J22" s="34">
        <v>1.5</v>
      </c>
      <c r="K22" s="34"/>
      <c r="L22" s="34">
        <v>1.5</v>
      </c>
      <c r="M22" s="34"/>
      <c r="N22" s="34">
        <v>1.5</v>
      </c>
      <c r="O22" s="34">
        <v>1.5</v>
      </c>
      <c r="P22" s="34">
        <v>1.5</v>
      </c>
      <c r="Q22" s="34"/>
      <c r="R22" s="34"/>
      <c r="S22" s="34"/>
      <c r="T22" s="34">
        <v>1.5</v>
      </c>
      <c r="U22" s="34"/>
      <c r="V22" s="34"/>
      <c r="W22" s="34">
        <v>1.5</v>
      </c>
      <c r="X22" s="34"/>
      <c r="Y22" s="35"/>
      <c r="AA22"/>
      <c r="AB22" t="s">
        <v>92</v>
      </c>
      <c r="AC22" s="97">
        <v>1582</v>
      </c>
      <c r="AD22" s="97"/>
      <c r="AE22" s="98">
        <f>AC22+AD22</f>
        <v>1582</v>
      </c>
      <c r="AF22"/>
    </row>
    <row r="23" spans="2:32" s="5" customFormat="1" ht="18" hidden="1" customHeight="1" x14ac:dyDescent="0.3">
      <c r="B23" s="33"/>
      <c r="C23" s="34"/>
      <c r="D23" s="34"/>
      <c r="E23" s="34"/>
      <c r="F23" s="36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5"/>
      <c r="AA23"/>
      <c r="AB23" t="s">
        <v>93</v>
      </c>
      <c r="AC23" s="97">
        <v>1582</v>
      </c>
      <c r="AD23" s="97">
        <v>120</v>
      </c>
      <c r="AE23" s="98">
        <f>AC23+AD23</f>
        <v>1702</v>
      </c>
      <c r="AF23"/>
    </row>
    <row r="24" spans="2:32" s="5" customFormat="1" ht="18" customHeight="1" thickBot="1" x14ac:dyDescent="0.3">
      <c r="B24" s="37"/>
      <c r="C24" s="10" t="s">
        <v>16</v>
      </c>
      <c r="D24" s="10" t="s">
        <v>18</v>
      </c>
      <c r="E24" s="10" t="s">
        <v>20</v>
      </c>
      <c r="F24" s="10" t="s">
        <v>21</v>
      </c>
      <c r="G24" s="10" t="s">
        <v>22</v>
      </c>
      <c r="H24" s="10" t="s">
        <v>27</v>
      </c>
      <c r="I24" s="10" t="s">
        <v>28</v>
      </c>
      <c r="J24" s="10" t="s">
        <v>64</v>
      </c>
      <c r="K24" s="10" t="s">
        <v>29</v>
      </c>
      <c r="L24" s="10" t="s">
        <v>30</v>
      </c>
      <c r="M24" s="10" t="s">
        <v>31</v>
      </c>
      <c r="N24" s="10" t="s">
        <v>32</v>
      </c>
      <c r="O24" s="10" t="s">
        <v>57</v>
      </c>
      <c r="P24" s="10" t="s">
        <v>33</v>
      </c>
      <c r="Q24" s="10" t="s">
        <v>62</v>
      </c>
      <c r="R24" s="10" t="s">
        <v>34</v>
      </c>
      <c r="S24" s="11" t="s">
        <v>63</v>
      </c>
      <c r="T24" s="11" t="s">
        <v>35</v>
      </c>
      <c r="U24" s="11" t="s">
        <v>36</v>
      </c>
      <c r="V24" s="11" t="s">
        <v>66</v>
      </c>
      <c r="W24" s="11"/>
      <c r="X24" s="11"/>
      <c r="Y24" s="11"/>
      <c r="AA24" s="95"/>
      <c r="AB24" t="s">
        <v>94</v>
      </c>
      <c r="AC24" s="97">
        <v>1582</v>
      </c>
      <c r="AD24" s="97"/>
      <c r="AE24" s="98">
        <f>AC24+AD24</f>
        <v>1582</v>
      </c>
      <c r="AF24"/>
    </row>
    <row r="25" spans="2:32" s="5" customFormat="1" ht="18" customHeight="1" x14ac:dyDescent="0.25">
      <c r="B25" s="12" t="s">
        <v>23</v>
      </c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>
        <v>246</v>
      </c>
      <c r="N25" s="14">
        <v>35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5"/>
      <c r="AA25" s="95"/>
      <c r="AB25" t="s">
        <v>95</v>
      </c>
      <c r="AC25" s="97">
        <v>1049</v>
      </c>
      <c r="AD25" s="97">
        <v>120</v>
      </c>
      <c r="AE25" s="98">
        <f>AC25+AD25</f>
        <v>1169</v>
      </c>
      <c r="AF25"/>
    </row>
    <row r="26" spans="2:32" s="5" customFormat="1" ht="18" customHeight="1" x14ac:dyDescent="0.25">
      <c r="B26" s="16" t="s">
        <v>24</v>
      </c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  <c r="AA26"/>
      <c r="AB26" t="s">
        <v>96</v>
      </c>
      <c r="AC26" s="97">
        <v>1157</v>
      </c>
      <c r="AD26" s="97">
        <v>120</v>
      </c>
      <c r="AE26" s="98">
        <f>AC26+AD26</f>
        <v>1277</v>
      </c>
      <c r="AF26"/>
    </row>
    <row r="27" spans="2:32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  <c r="AA27"/>
      <c r="AB27" t="s">
        <v>97</v>
      </c>
      <c r="AC27" s="97">
        <v>1050</v>
      </c>
      <c r="AD27" s="97">
        <v>120</v>
      </c>
      <c r="AE27" s="98">
        <f>AC27+AD27</f>
        <v>1170</v>
      </c>
      <c r="AF27"/>
    </row>
    <row r="28" spans="2:32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  <c r="AA28"/>
      <c r="AB28" t="s">
        <v>98</v>
      </c>
      <c r="AC28" s="97">
        <v>1175</v>
      </c>
      <c r="AD28" s="97"/>
      <c r="AE28" s="98">
        <f>AC28+AD28</f>
        <v>1175</v>
      </c>
      <c r="AF28"/>
    </row>
    <row r="29" spans="2:32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  <c r="AA29"/>
      <c r="AB29" t="s">
        <v>99</v>
      </c>
      <c r="AC29" s="97">
        <v>872</v>
      </c>
      <c r="AD29" s="97">
        <v>120</v>
      </c>
      <c r="AE29" s="98">
        <f>AC29+AD29</f>
        <v>992</v>
      </c>
      <c r="AF29"/>
    </row>
    <row r="30" spans="2:32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  <c r="AA30"/>
      <c r="AB30" t="s">
        <v>100</v>
      </c>
      <c r="AC30" s="97">
        <v>1102</v>
      </c>
      <c r="AD30" s="97"/>
      <c r="AE30" s="98">
        <f>AC30+AD30</f>
        <v>1102</v>
      </c>
      <c r="AF30"/>
    </row>
    <row r="31" spans="2:32" s="5" customFormat="1" ht="18" customHeight="1" x14ac:dyDescent="0.25">
      <c r="B31" s="16"/>
      <c r="C31" s="17"/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60"/>
      <c r="Y31" s="20"/>
      <c r="AA31" s="95"/>
      <c r="AB31" t="s">
        <v>101</v>
      </c>
      <c r="AC31" s="97">
        <v>912</v>
      </c>
      <c r="AD31" s="97">
        <v>120</v>
      </c>
      <c r="AE31" s="98">
        <f>AC31+AD31</f>
        <v>1032</v>
      </c>
      <c r="AF31"/>
    </row>
    <row r="32" spans="2:32" s="5" customFormat="1" ht="18" customHeight="1" thickBot="1" x14ac:dyDescent="0.3">
      <c r="B32" s="21" t="s">
        <v>25</v>
      </c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>
        <f>M33-M25</f>
        <v>0</v>
      </c>
      <c r="N32" s="23">
        <v>35</v>
      </c>
      <c r="O32" s="23"/>
      <c r="P32" s="23"/>
      <c r="Q32" s="23"/>
      <c r="R32" s="23"/>
      <c r="S32" s="23"/>
      <c r="T32" s="23"/>
      <c r="U32" s="23"/>
      <c r="V32" s="23"/>
      <c r="W32" s="23"/>
      <c r="X32" s="61"/>
      <c r="Y32" s="24"/>
      <c r="AA32"/>
      <c r="AB32" t="s">
        <v>102</v>
      </c>
      <c r="AC32" s="97">
        <v>1122</v>
      </c>
      <c r="AD32" s="97">
        <v>120</v>
      </c>
      <c r="AE32" s="98">
        <f>AC32+AD32</f>
        <v>1242</v>
      </c>
      <c r="AF32"/>
    </row>
    <row r="33" spans="2:32" s="5" customFormat="1" ht="18" customHeight="1" thickBot="1" x14ac:dyDescent="0.3">
      <c r="B33" s="38" t="s">
        <v>26</v>
      </c>
      <c r="C33" s="26"/>
      <c r="D33" s="27"/>
      <c r="E33" s="27"/>
      <c r="F33" s="27"/>
      <c r="G33" s="28"/>
      <c r="H33" s="28"/>
      <c r="I33" s="28"/>
      <c r="J33" s="28"/>
      <c r="K33" s="28"/>
      <c r="L33" s="28"/>
      <c r="M33" s="56">
        <v>246</v>
      </c>
      <c r="N33" s="56">
        <v>0</v>
      </c>
      <c r="O33" s="23"/>
      <c r="P33" s="28"/>
      <c r="Q33" s="28"/>
      <c r="R33" s="28"/>
      <c r="S33" s="28"/>
      <c r="T33" s="28"/>
      <c r="U33" s="28"/>
      <c r="V33" s="28"/>
      <c r="W33" s="28"/>
      <c r="X33" s="63"/>
      <c r="Y33" s="29"/>
      <c r="AA33"/>
      <c r="AB33" t="s">
        <v>103</v>
      </c>
      <c r="AC33" s="97">
        <v>622</v>
      </c>
      <c r="AD33" s="97">
        <v>111</v>
      </c>
      <c r="AE33" s="98">
        <f>AC33+AD33</f>
        <v>733</v>
      </c>
      <c r="AF33"/>
    </row>
    <row r="34" spans="2:32" s="5" customFormat="1" ht="18" customHeight="1" thickBot="1" x14ac:dyDescent="0.3">
      <c r="B34" s="38" t="s">
        <v>117</v>
      </c>
      <c r="C34" s="26"/>
      <c r="D34" s="27"/>
      <c r="E34" s="27"/>
      <c r="F34" s="27"/>
      <c r="G34" s="28"/>
      <c r="H34" s="28"/>
      <c r="I34" s="28"/>
      <c r="J34" s="28"/>
      <c r="K34" s="28"/>
      <c r="L34" s="28"/>
      <c r="M34" s="99">
        <f>M33*AE38</f>
        <v>187206</v>
      </c>
      <c r="N34" s="28"/>
      <c r="O34" s="23"/>
      <c r="P34" s="28"/>
      <c r="Q34" s="28"/>
      <c r="R34" s="28"/>
      <c r="S34" s="28"/>
      <c r="T34" s="28"/>
      <c r="U34" s="28"/>
      <c r="V34" s="28"/>
      <c r="W34" s="28"/>
      <c r="X34" s="63"/>
      <c r="Y34" s="29"/>
      <c r="AA34"/>
      <c r="AB34"/>
      <c r="AC34" s="97"/>
      <c r="AD34" s="97"/>
      <c r="AE34" s="98"/>
      <c r="AF34"/>
    </row>
    <row r="35" spans="2:32" s="5" customFormat="1" ht="18" customHeight="1" thickBot="1" x14ac:dyDescent="0.3"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68"/>
      <c r="S35" s="68"/>
      <c r="T35" s="68"/>
      <c r="U35" s="68"/>
      <c r="V35" s="31"/>
      <c r="W35" s="31"/>
      <c r="X35" s="31"/>
      <c r="Y35" s="31"/>
      <c r="AA35"/>
      <c r="AB35" t="s">
        <v>104</v>
      </c>
      <c r="AC35" s="97">
        <v>1175</v>
      </c>
      <c r="AD35" s="97"/>
      <c r="AE35" s="98">
        <f>AC35+AD35</f>
        <v>1175</v>
      </c>
      <c r="AF35"/>
    </row>
    <row r="36" spans="2:32" ht="18" customHeight="1" thickBot="1" x14ac:dyDescent="0.3">
      <c r="B36" s="85" t="s">
        <v>43</v>
      </c>
      <c r="C36" s="87" t="s">
        <v>21</v>
      </c>
      <c r="D36" s="87"/>
      <c r="E36" s="88"/>
      <c r="F36" s="89" t="s">
        <v>44</v>
      </c>
      <c r="G36" s="87"/>
      <c r="H36" s="88"/>
      <c r="I36" s="89" t="s">
        <v>45</v>
      </c>
      <c r="J36" s="87"/>
      <c r="K36" s="88"/>
      <c r="L36" s="89" t="s">
        <v>46</v>
      </c>
      <c r="M36" s="87"/>
      <c r="N36" s="88"/>
      <c r="O36" s="90" t="s">
        <v>47</v>
      </c>
      <c r="P36" s="90"/>
      <c r="Q36" s="90"/>
      <c r="R36" s="80" t="s">
        <v>48</v>
      </c>
      <c r="S36" s="81"/>
      <c r="T36" s="81"/>
      <c r="U36" s="82"/>
      <c r="V36" s="66"/>
      <c r="W36" s="3"/>
      <c r="X36" s="3"/>
      <c r="Y36" s="3"/>
      <c r="AA36"/>
      <c r="AB36" t="s">
        <v>105</v>
      </c>
      <c r="AC36" s="97">
        <v>973</v>
      </c>
      <c r="AD36" s="97">
        <v>120</v>
      </c>
      <c r="AE36" s="98">
        <f>AC36+AD36</f>
        <v>1093</v>
      </c>
      <c r="AF36"/>
    </row>
    <row r="37" spans="2:32" ht="18" customHeight="1" thickBot="1" x14ac:dyDescent="0.3">
      <c r="B37" s="86"/>
      <c r="C37" s="50" t="s">
        <v>49</v>
      </c>
      <c r="D37" s="47" t="s">
        <v>50</v>
      </c>
      <c r="E37" s="47" t="s">
        <v>51</v>
      </c>
      <c r="F37" s="55" t="s">
        <v>49</v>
      </c>
      <c r="G37" s="55" t="s">
        <v>50</v>
      </c>
      <c r="H37" s="55" t="s">
        <v>51</v>
      </c>
      <c r="I37" s="55" t="s">
        <v>49</v>
      </c>
      <c r="J37" s="55" t="s">
        <v>50</v>
      </c>
      <c r="K37" s="55" t="s">
        <v>51</v>
      </c>
      <c r="L37" s="55" t="s">
        <v>49</v>
      </c>
      <c r="M37" s="55" t="s">
        <v>50</v>
      </c>
      <c r="N37" s="55" t="s">
        <v>51</v>
      </c>
      <c r="O37" s="55" t="s">
        <v>49</v>
      </c>
      <c r="P37" s="55" t="s">
        <v>50</v>
      </c>
      <c r="Q37" s="67" t="s">
        <v>51</v>
      </c>
      <c r="R37" s="69"/>
      <c r="S37" s="70"/>
      <c r="T37" s="70"/>
      <c r="U37" s="71"/>
      <c r="V37" s="79"/>
      <c r="W37" s="79"/>
      <c r="X37" s="79"/>
      <c r="Y37" s="79"/>
      <c r="AA37"/>
      <c r="AB37" t="s">
        <v>106</v>
      </c>
      <c r="AC37" s="97">
        <v>670</v>
      </c>
      <c r="AD37" s="97">
        <v>111</v>
      </c>
      <c r="AE37" s="98">
        <f>AC37+AD37</f>
        <v>781</v>
      </c>
      <c r="AF37"/>
    </row>
    <row r="38" spans="2:32" ht="18" customHeight="1" thickBot="1" x14ac:dyDescent="0.3">
      <c r="B38" s="52" t="s">
        <v>52</v>
      </c>
      <c r="C38" s="46"/>
      <c r="D38" s="41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3"/>
      <c r="R38" s="72"/>
      <c r="S38" s="44"/>
      <c r="T38" s="44"/>
      <c r="U38" s="79"/>
      <c r="V38" s="79"/>
      <c r="W38" s="79"/>
      <c r="X38" s="79"/>
      <c r="Y38" s="79"/>
      <c r="AA38"/>
      <c r="AB38" t="s">
        <v>107</v>
      </c>
      <c r="AC38" s="97">
        <v>650</v>
      </c>
      <c r="AD38" s="97">
        <v>111</v>
      </c>
      <c r="AE38" s="98">
        <f>AC38+AD38</f>
        <v>761</v>
      </c>
      <c r="AF38"/>
    </row>
    <row r="39" spans="2:32" s="5" customFormat="1" ht="18" customHeight="1" x14ac:dyDescent="0.25">
      <c r="B39" s="53"/>
      <c r="C39" s="49"/>
      <c r="D39" s="18"/>
      <c r="E39" s="19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64"/>
      <c r="R39" s="72"/>
      <c r="S39" s="44"/>
      <c r="T39" s="44"/>
      <c r="U39" s="79"/>
      <c r="V39" s="79"/>
      <c r="W39" s="79"/>
      <c r="X39" s="79"/>
      <c r="Y39" s="79"/>
      <c r="AA39"/>
      <c r="AB39" t="s">
        <v>108</v>
      </c>
      <c r="AC39" s="97">
        <v>1667</v>
      </c>
      <c r="AD39" s="97"/>
      <c r="AE39" s="98"/>
      <c r="AF39"/>
    </row>
    <row r="40" spans="2:32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  <c r="AA40"/>
      <c r="AB40" t="s">
        <v>109</v>
      </c>
      <c r="AC40" s="97">
        <v>700</v>
      </c>
      <c r="AD40" s="97">
        <v>111</v>
      </c>
      <c r="AE40" s="98">
        <f>AD40+AC40</f>
        <v>811</v>
      </c>
      <c r="AF40"/>
    </row>
    <row r="41" spans="2:32" s="5" customFormat="1" ht="18" customHeight="1" x14ac:dyDescent="0.25">
      <c r="B41" s="53"/>
      <c r="C41" s="49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20"/>
      <c r="R41" s="72"/>
      <c r="S41" s="44"/>
      <c r="T41" s="44"/>
      <c r="U41" s="79"/>
      <c r="V41" s="79"/>
      <c r="W41" s="79"/>
      <c r="X41" s="79"/>
      <c r="Y41" s="79"/>
      <c r="AA41"/>
      <c r="AB41" t="s">
        <v>110</v>
      </c>
      <c r="AC41" s="97">
        <v>1175</v>
      </c>
      <c r="AD41" s="97"/>
      <c r="AE41" s="98">
        <f>AC41+AD41</f>
        <v>1175</v>
      </c>
      <c r="AF41"/>
    </row>
    <row r="42" spans="2:32" s="5" customFormat="1" ht="18" customHeight="1" x14ac:dyDescent="0.25">
      <c r="B42" s="53"/>
      <c r="C42" s="49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20"/>
      <c r="R42" s="72"/>
      <c r="S42" s="44"/>
      <c r="T42" s="44"/>
      <c r="U42" s="79"/>
      <c r="V42" s="79"/>
      <c r="W42" s="79"/>
      <c r="X42" s="79"/>
      <c r="Y42" s="79"/>
      <c r="AA42"/>
      <c r="AB42" t="s">
        <v>111</v>
      </c>
      <c r="AC42" s="97">
        <v>851</v>
      </c>
      <c r="AD42" s="97">
        <v>120</v>
      </c>
      <c r="AE42" s="98">
        <f>AC42+AD42</f>
        <v>971</v>
      </c>
      <c r="AF42"/>
    </row>
    <row r="43" spans="2:32" s="5" customFormat="1" ht="18" customHeight="1" thickBot="1" x14ac:dyDescent="0.3">
      <c r="B43" s="54"/>
      <c r="C43" s="51"/>
      <c r="D43" s="39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65"/>
      <c r="R43" s="73"/>
      <c r="S43" s="74"/>
      <c r="T43" s="74"/>
      <c r="U43" s="75"/>
      <c r="V43" s="79"/>
      <c r="W43" s="79"/>
      <c r="X43" s="79"/>
      <c r="Y43" s="79"/>
      <c r="AA43"/>
      <c r="AB43" t="s">
        <v>112</v>
      </c>
      <c r="AC43" s="97">
        <v>1204</v>
      </c>
      <c r="AD43" s="97"/>
      <c r="AE43" s="98"/>
      <c r="AF43"/>
    </row>
    <row r="44" spans="2:32" s="5" customFormat="1" ht="18" customHeight="1" thickBot="1" x14ac:dyDescent="0.3">
      <c r="B44" s="45" t="s">
        <v>53</v>
      </c>
      <c r="C44" s="46"/>
      <c r="D44" s="41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3"/>
      <c r="R44" s="83" t="s">
        <v>54</v>
      </c>
      <c r="S44" s="84"/>
      <c r="T44" s="84"/>
      <c r="U44" s="84"/>
      <c r="V44" s="3"/>
      <c r="W44" s="3"/>
      <c r="X44" s="3"/>
      <c r="Y44" s="3"/>
      <c r="AA44"/>
      <c r="AB44" t="s">
        <v>113</v>
      </c>
      <c r="AC44" s="97">
        <v>723</v>
      </c>
      <c r="AD44" s="97">
        <v>120</v>
      </c>
      <c r="AE44" s="98">
        <f>AC44+AD44</f>
        <v>843</v>
      </c>
      <c r="AF44"/>
    </row>
    <row r="45" spans="2:32" ht="18" customHeight="1" x14ac:dyDescent="0.25">
      <c r="B45" s="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79"/>
      <c r="V45" s="79"/>
      <c r="W45" s="79"/>
      <c r="X45" s="79"/>
      <c r="Y45" s="79"/>
      <c r="AA45"/>
      <c r="AB45" t="s">
        <v>114</v>
      </c>
      <c r="AC45" s="97">
        <v>559</v>
      </c>
      <c r="AD45" s="97">
        <v>111</v>
      </c>
      <c r="AE45" s="98">
        <f>AC45+AD45</f>
        <v>670</v>
      </c>
      <c r="AF45"/>
    </row>
    <row r="46" spans="2:32" ht="15" x14ac:dyDescent="0.25">
      <c r="B46" s="76" t="s">
        <v>68</v>
      </c>
      <c r="C46" s="91">
        <f>10+10+1+10+1+3+30+10+1+1+10+70+1+60+347+2+2+5</f>
        <v>574</v>
      </c>
      <c r="D46" s="91"/>
      <c r="E46" s="91"/>
      <c r="AA46"/>
      <c r="AB46" t="s">
        <v>115</v>
      </c>
      <c r="AC46" s="97">
        <v>1142</v>
      </c>
      <c r="AD46"/>
      <c r="AE46" s="96"/>
      <c r="AF46"/>
    </row>
    <row r="47" spans="2:32" ht="15" x14ac:dyDescent="0.25">
      <c r="B47" s="76" t="s">
        <v>69</v>
      </c>
      <c r="C47" s="91"/>
      <c r="D47" s="91"/>
      <c r="E47" s="91"/>
      <c r="AA47"/>
      <c r="AB47" t="s">
        <v>116</v>
      </c>
      <c r="AC47" s="97">
        <v>1582</v>
      </c>
      <c r="AD47"/>
      <c r="AE47" s="96">
        <v>1582</v>
      </c>
      <c r="AF47"/>
    </row>
    <row r="48" spans="2:32" ht="15" x14ac:dyDescent="0.25">
      <c r="AA48"/>
      <c r="AF48"/>
    </row>
    <row r="49" spans="27:32" ht="15" x14ac:dyDescent="0.25">
      <c r="AA49"/>
      <c r="AF49"/>
    </row>
    <row r="50" spans="27:32" ht="15" x14ac:dyDescent="0.25">
      <c r="AA50"/>
      <c r="AF50"/>
    </row>
    <row r="51" spans="27:32" ht="15" x14ac:dyDescent="0.25">
      <c r="AA51"/>
      <c r="AF51"/>
    </row>
    <row r="52" spans="27:32" ht="15" x14ac:dyDescent="0.25">
      <c r="AA52"/>
      <c r="AF52"/>
    </row>
    <row r="53" spans="27:32" ht="15" x14ac:dyDescent="0.25">
      <c r="AA53"/>
      <c r="AF53"/>
    </row>
    <row r="54" spans="27:32" ht="15" x14ac:dyDescent="0.25">
      <c r="AA54"/>
      <c r="AF54"/>
    </row>
    <row r="55" spans="27:32" ht="15" x14ac:dyDescent="0.25">
      <c r="AA55" s="95"/>
      <c r="AF55"/>
    </row>
    <row r="56" spans="27:32" ht="15" x14ac:dyDescent="0.25">
      <c r="AA56"/>
      <c r="AF56"/>
    </row>
    <row r="57" spans="27:32" ht="15" x14ac:dyDescent="0.25">
      <c r="AA57"/>
      <c r="AB57"/>
      <c r="AC57"/>
      <c r="AD57"/>
      <c r="AF57"/>
    </row>
  </sheetData>
  <mergeCells count="11">
    <mergeCell ref="AA1:AB1"/>
    <mergeCell ref="R36:U36"/>
    <mergeCell ref="R44:U44"/>
    <mergeCell ref="C46:E46"/>
    <mergeCell ref="C47:E47"/>
    <mergeCell ref="B36:B37"/>
    <mergeCell ref="C36:E36"/>
    <mergeCell ref="F36:H36"/>
    <mergeCell ref="I36:K36"/>
    <mergeCell ref="L36:N36"/>
    <mergeCell ref="O36:Q36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C5A0-3779-404F-AB56-6E8A7EB2E96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8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85" t="s">
        <v>43</v>
      </c>
      <c r="C34" s="87" t="s">
        <v>21</v>
      </c>
      <c r="D34" s="87"/>
      <c r="E34" s="88"/>
      <c r="F34" s="89" t="s">
        <v>44</v>
      </c>
      <c r="G34" s="87"/>
      <c r="H34" s="88"/>
      <c r="I34" s="89" t="s">
        <v>45</v>
      </c>
      <c r="J34" s="87"/>
      <c r="K34" s="88"/>
      <c r="L34" s="89" t="s">
        <v>46</v>
      </c>
      <c r="M34" s="87"/>
      <c r="N34" s="88"/>
      <c r="O34" s="90" t="s">
        <v>47</v>
      </c>
      <c r="P34" s="90"/>
      <c r="Q34" s="90"/>
      <c r="R34" s="80" t="s">
        <v>48</v>
      </c>
      <c r="S34" s="81"/>
      <c r="T34" s="81"/>
      <c r="U34" s="82"/>
      <c r="V34" s="66"/>
      <c r="W34" s="3"/>
      <c r="X34" s="3"/>
      <c r="Y34" s="3"/>
    </row>
    <row r="35" spans="2:25" ht="18" customHeight="1" thickBot="1" x14ac:dyDescent="0.3">
      <c r="B35" s="86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3" t="s">
        <v>54</v>
      </c>
      <c r="S42" s="84"/>
      <c r="T42" s="84"/>
      <c r="U42" s="84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1"/>
      <c r="D44" s="91"/>
      <c r="E44" s="91"/>
    </row>
    <row r="45" spans="2:25" x14ac:dyDescent="0.25">
      <c r="B45" s="76" t="s">
        <v>69</v>
      </c>
      <c r="C45" s="91"/>
      <c r="D45" s="91"/>
      <c r="E45" s="91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21A3-35A6-4B29-8980-4B984D15696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78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85" t="s">
        <v>43</v>
      </c>
      <c r="C34" s="87" t="s">
        <v>21</v>
      </c>
      <c r="D34" s="87"/>
      <c r="E34" s="88"/>
      <c r="F34" s="89" t="s">
        <v>44</v>
      </c>
      <c r="G34" s="87"/>
      <c r="H34" s="88"/>
      <c r="I34" s="89" t="s">
        <v>45</v>
      </c>
      <c r="J34" s="87"/>
      <c r="K34" s="88"/>
      <c r="L34" s="89" t="s">
        <v>46</v>
      </c>
      <c r="M34" s="87"/>
      <c r="N34" s="88"/>
      <c r="O34" s="90" t="s">
        <v>47</v>
      </c>
      <c r="P34" s="90"/>
      <c r="Q34" s="90"/>
      <c r="R34" s="80" t="s">
        <v>48</v>
      </c>
      <c r="S34" s="81"/>
      <c r="T34" s="81"/>
      <c r="U34" s="82"/>
      <c r="V34" s="66"/>
      <c r="W34" s="3"/>
      <c r="X34" s="3"/>
      <c r="Y34" s="3"/>
    </row>
    <row r="35" spans="2:25" ht="18" customHeight="1" thickBot="1" x14ac:dyDescent="0.3">
      <c r="B35" s="86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3" t="s">
        <v>54</v>
      </c>
      <c r="S42" s="84"/>
      <c r="T42" s="84"/>
      <c r="U42" s="84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1"/>
      <c r="D44" s="91"/>
      <c r="E44" s="91"/>
    </row>
    <row r="45" spans="2:25" x14ac:dyDescent="0.25">
      <c r="B45" s="76" t="s">
        <v>69</v>
      </c>
      <c r="C45" s="91"/>
      <c r="D45" s="91"/>
      <c r="E45" s="91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CSR | JULY</vt:lpstr>
      <vt:lpstr>(01)</vt:lpstr>
      <vt:lpstr>07-23 R1</vt:lpstr>
      <vt:lpstr>07-23 R2</vt:lpstr>
      <vt:lpstr>07-23 R3</vt:lpstr>
      <vt:lpstr>'(01)'!Print_Area</vt:lpstr>
      <vt:lpstr>'07-23 R1'!Print_Area</vt:lpstr>
      <vt:lpstr>'07-23 R2'!Print_Area</vt:lpstr>
      <vt:lpstr>'07-23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2026-05-06T00:41:18Z</cp:lastPrinted>
  <dcterms:created xsi:type="dcterms:W3CDTF">2024-09-01T22:48:10Z</dcterms:created>
  <dcterms:modified xsi:type="dcterms:W3CDTF">2026-07-23T05:50:28Z</dcterms:modified>
</cp:coreProperties>
</file>