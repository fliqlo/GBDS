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93128F28-0D77-420B-8B89-57D2532B529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674" i="2" l="1"/>
  <c r="V715" i="2" s="1"/>
  <c r="U674" i="2"/>
  <c r="Q674" i="2"/>
  <c r="P674" i="2"/>
  <c r="S674" i="2" s="1"/>
  <c r="P673" i="2"/>
  <c r="U673" i="2"/>
  <c r="Q673" i="2"/>
  <c r="Q715" i="2" s="1"/>
  <c r="P672" i="2"/>
  <c r="S672" i="2"/>
  <c r="W672" i="2" s="1"/>
  <c r="O673" i="2"/>
  <c r="O674" i="2" s="1"/>
  <c r="S675" i="2"/>
  <c r="W675" i="2" s="1"/>
  <c r="S676" i="2"/>
  <c r="W676" i="2" s="1"/>
  <c r="S677" i="2"/>
  <c r="W677" i="2" s="1"/>
  <c r="S678" i="2"/>
  <c r="W678" i="2" s="1"/>
  <c r="S679" i="2"/>
  <c r="W679" i="2" s="1"/>
  <c r="S680" i="2"/>
  <c r="W680" i="2" s="1"/>
  <c r="S681" i="2"/>
  <c r="W681" i="2"/>
  <c r="S682" i="2"/>
  <c r="W682" i="2" s="1"/>
  <c r="S683" i="2"/>
  <c r="W683" i="2"/>
  <c r="S684" i="2"/>
  <c r="W684" i="2"/>
  <c r="S685" i="2"/>
  <c r="W685" i="2" s="1"/>
  <c r="S686" i="2"/>
  <c r="W686" i="2" s="1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 s="1"/>
  <c r="S694" i="2"/>
  <c r="W694" i="2" s="1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 s="1"/>
  <c r="S702" i="2"/>
  <c r="W702" i="2" s="1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 s="1"/>
  <c r="S710" i="2"/>
  <c r="W710" i="2" s="1"/>
  <c r="W711" i="2"/>
  <c r="S712" i="2"/>
  <c r="W712" i="2"/>
  <c r="W713" i="2"/>
  <c r="R715" i="2"/>
  <c r="U715" i="2"/>
  <c r="W674" i="2" l="1"/>
  <c r="S673" i="2"/>
  <c r="W673" i="2" s="1"/>
  <c r="W715" i="2" s="1"/>
  <c r="P715" i="2"/>
  <c r="S715" i="2"/>
  <c r="J25" i="1"/>
  <c r="D25" i="1" s="1"/>
  <c r="AH623" i="2" l="1"/>
  <c r="AB623" i="2"/>
  <c r="AB622" i="2"/>
  <c r="AE622" i="2"/>
  <c r="AI622" i="2" s="1"/>
  <c r="AB621" i="2"/>
  <c r="AB620" i="2"/>
  <c r="AB660" i="2" s="1"/>
  <c r="AH619" i="2"/>
  <c r="AG619" i="2"/>
  <c r="AG660" i="2" s="1"/>
  <c r="AC619" i="2"/>
  <c r="AB619" i="2"/>
  <c r="AC618" i="2"/>
  <c r="AB618" i="2"/>
  <c r="AE618" i="2"/>
  <c r="AI618" i="2" s="1"/>
  <c r="AC617" i="2"/>
  <c r="AB617" i="2"/>
  <c r="AG617" i="2"/>
  <c r="AC660" i="2"/>
  <c r="AA618" i="2"/>
  <c r="AA619" i="2" s="1"/>
  <c r="AA620" i="2" s="1"/>
  <c r="AA621" i="2" s="1"/>
  <c r="AA622" i="2" s="1"/>
  <c r="AE620" i="2"/>
  <c r="AI620" i="2" s="1"/>
  <c r="AE621" i="2"/>
  <c r="AI621" i="2" s="1"/>
  <c r="AE623" i="2"/>
  <c r="AE624" i="2"/>
  <c r="AI624" i="2" s="1"/>
  <c r="AE625" i="2"/>
  <c r="AI625" i="2" s="1"/>
  <c r="AE626" i="2"/>
  <c r="AI626" i="2"/>
  <c r="AE627" i="2"/>
  <c r="AI627" i="2"/>
  <c r="AE628" i="2"/>
  <c r="AI628" i="2"/>
  <c r="AE629" i="2"/>
  <c r="AI629" i="2"/>
  <c r="AE630" i="2"/>
  <c r="AI630" i="2"/>
  <c r="AE631" i="2"/>
  <c r="AI631" i="2"/>
  <c r="AE632" i="2"/>
  <c r="AI632" i="2" s="1"/>
  <c r="AE633" i="2"/>
  <c r="AI633" i="2"/>
  <c r="AE634" i="2"/>
  <c r="AI634" i="2"/>
  <c r="AE635" i="2"/>
  <c r="AI635" i="2"/>
  <c r="AE636" i="2"/>
  <c r="AI636" i="2"/>
  <c r="AE637" i="2"/>
  <c r="AI637" i="2"/>
  <c r="AE638" i="2"/>
  <c r="AI638" i="2"/>
  <c r="AE639" i="2"/>
  <c r="AI639" i="2"/>
  <c r="AE640" i="2"/>
  <c r="AI640" i="2" s="1"/>
  <c r="AE641" i="2"/>
  <c r="AI641" i="2"/>
  <c r="AE642" i="2"/>
  <c r="AI642" i="2"/>
  <c r="AE643" i="2"/>
  <c r="AI643" i="2"/>
  <c r="AE644" i="2"/>
  <c r="AI644" i="2"/>
  <c r="AE645" i="2"/>
  <c r="AI645" i="2"/>
  <c r="AE646" i="2"/>
  <c r="AI646" i="2"/>
  <c r="AE647" i="2"/>
  <c r="AI647" i="2"/>
  <c r="AE648" i="2"/>
  <c r="AI648" i="2" s="1"/>
  <c r="AE649" i="2"/>
  <c r="AI649" i="2"/>
  <c r="AE650" i="2"/>
  <c r="AI650" i="2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 s="1"/>
  <c r="AI658" i="2"/>
  <c r="AD660" i="2"/>
  <c r="P626" i="2"/>
  <c r="V625" i="2"/>
  <c r="V660" i="2" s="1"/>
  <c r="P625" i="2"/>
  <c r="S625" i="2" s="1"/>
  <c r="P624" i="2"/>
  <c r="S624" i="2" s="1"/>
  <c r="W624" i="2" s="1"/>
  <c r="P623" i="2"/>
  <c r="Q622" i="2"/>
  <c r="Q660" i="2" s="1"/>
  <c r="V622" i="2"/>
  <c r="U622" i="2"/>
  <c r="P622" i="2"/>
  <c r="S622" i="2"/>
  <c r="W622" i="2" s="1"/>
  <c r="P621" i="2"/>
  <c r="U620" i="2"/>
  <c r="P620" i="2"/>
  <c r="U619" i="2"/>
  <c r="U660" i="2" s="1"/>
  <c r="P619" i="2"/>
  <c r="S619" i="2" s="1"/>
  <c r="P618" i="2"/>
  <c r="S618" i="2" s="1"/>
  <c r="W618" i="2" s="1"/>
  <c r="P617" i="2"/>
  <c r="O619" i="2"/>
  <c r="O620" i="2" s="1"/>
  <c r="O621" i="2" s="1"/>
  <c r="O622" i="2" s="1"/>
  <c r="O623" i="2" s="1"/>
  <c r="O624" i="2" s="1"/>
  <c r="O625" i="2" s="1"/>
  <c r="O626" i="2" s="1"/>
  <c r="R660" i="2"/>
  <c r="W658" i="2"/>
  <c r="S657" i="2"/>
  <c r="W657" i="2" s="1"/>
  <c r="W656" i="2"/>
  <c r="W655" i="2"/>
  <c r="S655" i="2"/>
  <c r="W654" i="2"/>
  <c r="S654" i="2"/>
  <c r="W653" i="2"/>
  <c r="S653" i="2"/>
  <c r="S652" i="2"/>
  <c r="W652" i="2" s="1"/>
  <c r="S651" i="2"/>
  <c r="W651" i="2" s="1"/>
  <c r="S650" i="2"/>
  <c r="W650" i="2" s="1"/>
  <c r="S649" i="2"/>
  <c r="W649" i="2" s="1"/>
  <c r="S648" i="2"/>
  <c r="W648" i="2" s="1"/>
  <c r="S647" i="2"/>
  <c r="W647" i="2" s="1"/>
  <c r="S646" i="2"/>
  <c r="W646" i="2" s="1"/>
  <c r="W645" i="2"/>
  <c r="S645" i="2"/>
  <c r="S644" i="2"/>
  <c r="W644" i="2" s="1"/>
  <c r="S643" i="2"/>
  <c r="W643" i="2" s="1"/>
  <c r="S642" i="2"/>
  <c r="W642" i="2" s="1"/>
  <c r="S641" i="2"/>
  <c r="W641" i="2" s="1"/>
  <c r="S640" i="2"/>
  <c r="W640" i="2" s="1"/>
  <c r="S639" i="2"/>
  <c r="W639" i="2" s="1"/>
  <c r="S638" i="2"/>
  <c r="W638" i="2" s="1"/>
  <c r="W637" i="2"/>
  <c r="S637" i="2"/>
  <c r="S636" i="2"/>
  <c r="W636" i="2" s="1"/>
  <c r="S635" i="2"/>
  <c r="W635" i="2" s="1"/>
  <c r="S634" i="2"/>
  <c r="W634" i="2" s="1"/>
  <c r="S633" i="2"/>
  <c r="W633" i="2" s="1"/>
  <c r="S632" i="2"/>
  <c r="W632" i="2" s="1"/>
  <c r="S631" i="2"/>
  <c r="W631" i="2" s="1"/>
  <c r="S630" i="2"/>
  <c r="W630" i="2" s="1"/>
  <c r="W629" i="2"/>
  <c r="S629" i="2"/>
  <c r="S628" i="2"/>
  <c r="W628" i="2" s="1"/>
  <c r="S627" i="2"/>
  <c r="W627" i="2" s="1"/>
  <c r="S626" i="2"/>
  <c r="W626" i="2" s="1"/>
  <c r="S623" i="2"/>
  <c r="W623" i="2" s="1"/>
  <c r="S621" i="2"/>
  <c r="W621" i="2" s="1"/>
  <c r="S620" i="2"/>
  <c r="W620" i="2" s="1"/>
  <c r="O618" i="2"/>
  <c r="S617" i="2"/>
  <c r="W617" i="2" s="1"/>
  <c r="C619" i="2"/>
  <c r="I619" i="2"/>
  <c r="D619" i="2"/>
  <c r="I618" i="2"/>
  <c r="J618" i="2"/>
  <c r="D618" i="2"/>
  <c r="G618" i="2" s="1"/>
  <c r="K618" i="2" s="1"/>
  <c r="I617" i="2"/>
  <c r="I660" i="2" s="1"/>
  <c r="E617" i="2"/>
  <c r="E660" i="2" s="1"/>
  <c r="D617" i="2"/>
  <c r="C618" i="2"/>
  <c r="G620" i="2"/>
  <c r="K620" i="2" s="1"/>
  <c r="G621" i="2"/>
  <c r="K621" i="2"/>
  <c r="G622" i="2"/>
  <c r="K622" i="2" s="1"/>
  <c r="G623" i="2"/>
  <c r="K623" i="2"/>
  <c r="G624" i="2"/>
  <c r="K624" i="2"/>
  <c r="G625" i="2"/>
  <c r="K625" i="2" s="1"/>
  <c r="G626" i="2"/>
  <c r="K626" i="2"/>
  <c r="G627" i="2"/>
  <c r="K627" i="2"/>
  <c r="G628" i="2"/>
  <c r="K628" i="2"/>
  <c r="G629" i="2"/>
  <c r="K629" i="2"/>
  <c r="G630" i="2"/>
  <c r="K630" i="2" s="1"/>
  <c r="G631" i="2"/>
  <c r="K631" i="2"/>
  <c r="G632" i="2"/>
  <c r="K632" i="2"/>
  <c r="G633" i="2"/>
  <c r="K633" i="2" s="1"/>
  <c r="G634" i="2"/>
  <c r="K634" i="2"/>
  <c r="G635" i="2"/>
  <c r="K635" i="2"/>
  <c r="G636" i="2"/>
  <c r="K636" i="2"/>
  <c r="G637" i="2"/>
  <c r="K637" i="2"/>
  <c r="G638" i="2"/>
  <c r="K638" i="2" s="1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 s="1"/>
  <c r="G647" i="2"/>
  <c r="K647" i="2"/>
  <c r="G648" i="2"/>
  <c r="K648" i="2"/>
  <c r="G649" i="2"/>
  <c r="K649" i="2" s="1"/>
  <c r="G650" i="2"/>
  <c r="K650" i="2"/>
  <c r="G657" i="2"/>
  <c r="K657" i="2"/>
  <c r="F660" i="2"/>
  <c r="J660" i="2"/>
  <c r="AH660" i="2" l="1"/>
  <c r="AI623" i="2"/>
  <c r="AE619" i="2"/>
  <c r="AI619" i="2" s="1"/>
  <c r="AE617" i="2"/>
  <c r="AI617" i="2" s="1"/>
  <c r="AE660" i="2"/>
  <c r="W625" i="2"/>
  <c r="W619" i="2"/>
  <c r="P660" i="2"/>
  <c r="W660" i="2"/>
  <c r="S660" i="2"/>
  <c r="G617" i="2"/>
  <c r="K617" i="2" s="1"/>
  <c r="D660" i="2"/>
  <c r="G619" i="2"/>
  <c r="K619" i="2" s="1"/>
  <c r="K660" i="2" s="1"/>
  <c r="AA571" i="2"/>
  <c r="AB571" i="2"/>
  <c r="AE571" i="2" s="1"/>
  <c r="AI571" i="2" s="1"/>
  <c r="AB570" i="2"/>
  <c r="AB569" i="2"/>
  <c r="AE569" i="2" s="1"/>
  <c r="AI569" i="2" s="1"/>
  <c r="AB568" i="2"/>
  <c r="AB567" i="2"/>
  <c r="AB566" i="2"/>
  <c r="AB565" i="2"/>
  <c r="AE565" i="2" s="1"/>
  <c r="AI565" i="2" s="1"/>
  <c r="AB564" i="2"/>
  <c r="AA564" i="2"/>
  <c r="AA565" i="2"/>
  <c r="AA566" i="2"/>
  <c r="AA567" i="2"/>
  <c r="AA569" i="2"/>
  <c r="AA570" i="2"/>
  <c r="AA563" i="2"/>
  <c r="AE570" i="2"/>
  <c r="AI570" i="2" s="1"/>
  <c r="AE568" i="2"/>
  <c r="AI568" i="2" s="1"/>
  <c r="AE567" i="2"/>
  <c r="AI567" i="2" s="1"/>
  <c r="AE564" i="2"/>
  <c r="AI564" i="2" s="1"/>
  <c r="AG563" i="2"/>
  <c r="AB563" i="2"/>
  <c r="AG562" i="2"/>
  <c r="AG605" i="2" s="1"/>
  <c r="AC562" i="2"/>
  <c r="AB562" i="2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I596" i="2"/>
  <c r="AE596" i="2"/>
  <c r="AI595" i="2"/>
  <c r="AE595" i="2"/>
  <c r="AE594" i="2"/>
  <c r="AI594" i="2" s="1"/>
  <c r="AE593" i="2"/>
  <c r="AI593" i="2" s="1"/>
  <c r="AE592" i="2"/>
  <c r="AI592" i="2" s="1"/>
  <c r="AI591" i="2"/>
  <c r="AE591" i="2"/>
  <c r="AE590" i="2"/>
  <c r="AI590" i="2" s="1"/>
  <c r="AE589" i="2"/>
  <c r="AI589" i="2" s="1"/>
  <c r="AI588" i="2"/>
  <c r="AE588" i="2"/>
  <c r="AI587" i="2"/>
  <c r="AE587" i="2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I580" i="2"/>
  <c r="AE580" i="2"/>
  <c r="AI579" i="2"/>
  <c r="AE579" i="2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I572" i="2"/>
  <c r="AE572" i="2"/>
  <c r="AE566" i="2"/>
  <c r="AI566" i="2" s="1"/>
  <c r="AC605" i="2"/>
  <c r="AH605" i="2"/>
  <c r="AE562" i="2"/>
  <c r="D567" i="2"/>
  <c r="G567" i="2" s="1"/>
  <c r="K567" i="2" s="1"/>
  <c r="D566" i="2"/>
  <c r="G566" i="2" s="1"/>
  <c r="K566" i="2" s="1"/>
  <c r="J565" i="2"/>
  <c r="D565" i="2"/>
  <c r="G565" i="2" s="1"/>
  <c r="D564" i="2"/>
  <c r="D563" i="2"/>
  <c r="J562" i="2"/>
  <c r="I562" i="2"/>
  <c r="I605" i="2" s="1"/>
  <c r="E562" i="2"/>
  <c r="E605" i="2" s="1"/>
  <c r="D562" i="2"/>
  <c r="C563" i="2"/>
  <c r="G563" i="2"/>
  <c r="K563" i="2" s="1"/>
  <c r="C564" i="2"/>
  <c r="C565" i="2" s="1"/>
  <c r="C566" i="2" s="1"/>
  <c r="C567" i="2" s="1"/>
  <c r="G564" i="2"/>
  <c r="K564" i="2" s="1"/>
  <c r="G568" i="2"/>
  <c r="K568" i="2" s="1"/>
  <c r="G569" i="2"/>
  <c r="K569" i="2"/>
  <c r="G570" i="2"/>
  <c r="K570" i="2" s="1"/>
  <c r="G571" i="2"/>
  <c r="K571" i="2" s="1"/>
  <c r="G572" i="2"/>
  <c r="K572" i="2" s="1"/>
  <c r="G573" i="2"/>
  <c r="K573" i="2"/>
  <c r="G574" i="2"/>
  <c r="K574" i="2" s="1"/>
  <c r="G575" i="2"/>
  <c r="K575" i="2"/>
  <c r="G576" i="2"/>
  <c r="K576" i="2"/>
  <c r="G577" i="2"/>
  <c r="K577" i="2"/>
  <c r="G578" i="2"/>
  <c r="K578" i="2" s="1"/>
  <c r="G579" i="2"/>
  <c r="K579" i="2"/>
  <c r="G580" i="2"/>
  <c r="K580" i="2"/>
  <c r="G581" i="2"/>
  <c r="K581" i="2" s="1"/>
  <c r="G582" i="2"/>
  <c r="K582" i="2" s="1"/>
  <c r="G583" i="2"/>
  <c r="K583" i="2"/>
  <c r="G584" i="2"/>
  <c r="K584" i="2"/>
  <c r="G585" i="2"/>
  <c r="K585" i="2"/>
  <c r="G586" i="2"/>
  <c r="K586" i="2"/>
  <c r="G587" i="2"/>
  <c r="K587" i="2"/>
  <c r="G588" i="2"/>
  <c r="K588" i="2"/>
  <c r="G589" i="2"/>
  <c r="K589" i="2"/>
  <c r="G590" i="2"/>
  <c r="K590" i="2" s="1"/>
  <c r="G591" i="2"/>
  <c r="K591" i="2"/>
  <c r="G592" i="2"/>
  <c r="K592" i="2"/>
  <c r="G593" i="2"/>
  <c r="K593" i="2"/>
  <c r="G594" i="2"/>
  <c r="K594" i="2"/>
  <c r="G595" i="2"/>
  <c r="K595" i="2"/>
  <c r="G602" i="2"/>
  <c r="K602" i="2"/>
  <c r="F605" i="2"/>
  <c r="AI660" i="2" l="1"/>
  <c r="G660" i="2"/>
  <c r="AB605" i="2"/>
  <c r="AI562" i="2"/>
  <c r="AE563" i="2"/>
  <c r="AI563" i="2" s="1"/>
  <c r="J605" i="2"/>
  <c r="K565" i="2"/>
  <c r="G562" i="2"/>
  <c r="G605" i="2"/>
  <c r="K562" i="2"/>
  <c r="K605" i="2" s="1"/>
  <c r="D605" i="2"/>
  <c r="U509" i="2"/>
  <c r="V509" i="2"/>
  <c r="V550" i="2" s="1"/>
  <c r="P509" i="2"/>
  <c r="S509" i="2"/>
  <c r="W509" i="2" s="1"/>
  <c r="V508" i="2"/>
  <c r="U508" i="2"/>
  <c r="Q508" i="2"/>
  <c r="Q550" i="2"/>
  <c r="P508" i="2"/>
  <c r="U507" i="2"/>
  <c r="U550" i="2" s="1"/>
  <c r="P507" i="2"/>
  <c r="S507" i="2"/>
  <c r="W507" i="2" s="1"/>
  <c r="O508" i="2"/>
  <c r="S508" i="2"/>
  <c r="W508" i="2" s="1"/>
  <c r="O509" i="2"/>
  <c r="S510" i="2"/>
  <c r="W510" i="2" s="1"/>
  <c r="S511" i="2"/>
  <c r="W511" i="2" s="1"/>
  <c r="S512" i="2"/>
  <c r="W512" i="2" s="1"/>
  <c r="S513" i="2"/>
  <c r="W513" i="2" s="1"/>
  <c r="S514" i="2"/>
  <c r="W514" i="2" s="1"/>
  <c r="S515" i="2"/>
  <c r="W515" i="2"/>
  <c r="S516" i="2"/>
  <c r="W516" i="2" s="1"/>
  <c r="S517" i="2"/>
  <c r="W517" i="2"/>
  <c r="S518" i="2"/>
  <c r="W518" i="2"/>
  <c r="S519" i="2"/>
  <c r="W519" i="2" s="1"/>
  <c r="S520" i="2"/>
  <c r="W520" i="2"/>
  <c r="S521" i="2"/>
  <c r="W521" i="2"/>
  <c r="S522" i="2"/>
  <c r="W522" i="2" s="1"/>
  <c r="S523" i="2"/>
  <c r="W523" i="2"/>
  <c r="S524" i="2"/>
  <c r="W524" i="2" s="1"/>
  <c r="S525" i="2"/>
  <c r="W525" i="2"/>
  <c r="S526" i="2"/>
  <c r="W526" i="2"/>
  <c r="S527" i="2"/>
  <c r="W527" i="2" s="1"/>
  <c r="S528" i="2"/>
  <c r="W528" i="2"/>
  <c r="S529" i="2"/>
  <c r="W529" i="2"/>
  <c r="S530" i="2"/>
  <c r="W530" i="2" s="1"/>
  <c r="S531" i="2"/>
  <c r="W531" i="2"/>
  <c r="S532" i="2"/>
  <c r="W532" i="2" s="1"/>
  <c r="S533" i="2"/>
  <c r="W533" i="2"/>
  <c r="S534" i="2"/>
  <c r="W534" i="2"/>
  <c r="S535" i="2"/>
  <c r="W535" i="2" s="1"/>
  <c r="S536" i="2"/>
  <c r="W536" i="2"/>
  <c r="S537" i="2"/>
  <c r="W537" i="2"/>
  <c r="S538" i="2"/>
  <c r="W538" i="2" s="1"/>
  <c r="S539" i="2"/>
  <c r="W539" i="2"/>
  <c r="S540" i="2"/>
  <c r="W540" i="2" s="1"/>
  <c r="S541" i="2"/>
  <c r="W541" i="2"/>
  <c r="S542" i="2"/>
  <c r="W542" i="2"/>
  <c r="S543" i="2"/>
  <c r="W543" i="2" s="1"/>
  <c r="S544" i="2"/>
  <c r="W544" i="2"/>
  <c r="S545" i="2"/>
  <c r="W545" i="2"/>
  <c r="W546" i="2"/>
  <c r="S547" i="2"/>
  <c r="W547" i="2"/>
  <c r="W548" i="2"/>
  <c r="R550" i="2"/>
  <c r="D519" i="2"/>
  <c r="G519" i="2" s="1"/>
  <c r="K519" i="2" s="1"/>
  <c r="D526" i="2"/>
  <c r="G526" i="2" s="1"/>
  <c r="K526" i="2" s="1"/>
  <c r="D525" i="2"/>
  <c r="D524" i="2"/>
  <c r="G524" i="2" s="1"/>
  <c r="K524" i="2" s="1"/>
  <c r="D523" i="2"/>
  <c r="D522" i="2"/>
  <c r="D521" i="2"/>
  <c r="I520" i="2"/>
  <c r="I550" i="2" s="1"/>
  <c r="D520" i="2"/>
  <c r="G520" i="2" s="1"/>
  <c r="D518" i="2"/>
  <c r="G518" i="2" s="1"/>
  <c r="K518" i="2" s="1"/>
  <c r="I517" i="2"/>
  <c r="D517" i="2"/>
  <c r="G517" i="2" s="1"/>
  <c r="D516" i="2"/>
  <c r="G516" i="2" s="1"/>
  <c r="K516" i="2" s="1"/>
  <c r="I515" i="2"/>
  <c r="D515" i="2"/>
  <c r="D514" i="2"/>
  <c r="D513" i="2"/>
  <c r="G513" i="2" s="1"/>
  <c r="K513" i="2" s="1"/>
  <c r="D512" i="2"/>
  <c r="D511" i="2"/>
  <c r="G511" i="2" s="1"/>
  <c r="K511" i="2" s="1"/>
  <c r="C526" i="2"/>
  <c r="C512" i="2"/>
  <c r="C513" i="2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D510" i="2"/>
  <c r="D509" i="2"/>
  <c r="G509" i="2" s="1"/>
  <c r="K509" i="2" s="1"/>
  <c r="D508" i="2"/>
  <c r="I507" i="2"/>
  <c r="D507" i="2"/>
  <c r="C511" i="2"/>
  <c r="G507" i="2"/>
  <c r="K507" i="2" s="1"/>
  <c r="C508" i="2"/>
  <c r="C509" i="2" s="1"/>
  <c r="C510" i="2" s="1"/>
  <c r="G508" i="2"/>
  <c r="K508" i="2" s="1"/>
  <c r="G510" i="2"/>
  <c r="K510" i="2" s="1"/>
  <c r="E550" i="2"/>
  <c r="G512" i="2"/>
  <c r="K512" i="2"/>
  <c r="G514" i="2"/>
  <c r="K514" i="2" s="1"/>
  <c r="G515" i="2"/>
  <c r="K515" i="2"/>
  <c r="G521" i="2"/>
  <c r="K521" i="2"/>
  <c r="G522" i="2"/>
  <c r="K522" i="2" s="1"/>
  <c r="G523" i="2"/>
  <c r="K523" i="2" s="1"/>
  <c r="G525" i="2"/>
  <c r="K525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J550" i="2"/>
  <c r="AI605" i="2" l="1"/>
  <c r="AE605" i="2"/>
  <c r="P550" i="2"/>
  <c r="W550" i="2"/>
  <c r="S550" i="2"/>
  <c r="K520" i="2"/>
  <c r="K517" i="2"/>
  <c r="D550" i="2"/>
  <c r="G550" i="2"/>
  <c r="K550" i="2"/>
  <c r="E456" i="2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J14" i="1"/>
  <c r="D14" i="1" s="1"/>
  <c r="J15" i="1"/>
  <c r="D15" i="1" s="1"/>
  <c r="J21" i="1"/>
  <c r="D21" i="1" s="1"/>
  <c r="J22" i="1"/>
  <c r="J28" i="1"/>
  <c r="D28" i="1" s="1"/>
  <c r="J29" i="1"/>
  <c r="D29" i="1" s="1"/>
  <c r="J30" i="1"/>
  <c r="J35" i="1"/>
  <c r="J36" i="1"/>
  <c r="D35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A13" i="2" l="1"/>
  <c r="D36" i="1" l="1"/>
  <c r="J27" i="1"/>
  <c r="D27" i="1" s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EB6F9CE0-A795-44EF-9BC2-F0283916B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G23" authorId="0" shapeId="0" xr:uid="{C3EDCCE9-7809-45A2-B2D2-75C39B774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DAY-OFF</t>
        </r>
      </text>
    </comment>
    <comment ref="F25" authorId="0" shapeId="0" xr:uid="{BFB33894-3BBE-4BC0-9029-3A1D9311E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H25" authorId="0" shapeId="0" xr:uid="{E208F921-B9AF-43D0-80B1-D50BB7D28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  <comment ref="C507" authorId="0" shapeId="0" xr:uid="{524AC097-8300-4708-9F56-16FB9FBB7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 LAGAG SINDANGAN</t>
        </r>
      </text>
    </comment>
    <comment ref="O507" authorId="0" shapeId="0" xr:uid="{EF4E1CDF-E69B-4765-A89E-DDE926BE64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508" authorId="0" shapeId="0" xr:uid="{16AAB0E4-11A9-4756-880E-788BC9524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 LAGAG SINDANGAN</t>
        </r>
      </text>
    </comment>
    <comment ref="O508" authorId="0" shapeId="0" xr:uid="{DC3C5B76-F7CB-46D6-ACB6-6A85555D77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C509" authorId="0" shapeId="0" xr:uid="{66C80CA0-92D6-4348-A7B1-EC9973DF8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 STORE 
DENUYAN</t>
        </r>
      </text>
    </comment>
    <comment ref="O509" authorId="0" shapeId="0" xr:uid="{80176DC6-1ACA-41FB-8088-64FB363337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C510" authorId="0" shapeId="0" xr:uid="{06AD7611-0A96-43A7-895F-55EEE624FC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DAMONBONG STORE
DENUYAN
</t>
        </r>
      </text>
    </comment>
    <comment ref="C511" authorId="0" shapeId="0" xr:uid="{64F74C77-8FC1-4F75-8684-2A778880C8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INONANCIA
POLAYO SIAYAN</t>
        </r>
      </text>
    </comment>
    <comment ref="C512" authorId="0" shapeId="0" xr:uid="{EB8A6CA8-C6F5-4CF9-B7A1-82BCCD4FA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CAMILLON STORE POLAYO</t>
        </r>
      </text>
    </comment>
    <comment ref="C513" authorId="0" shapeId="0" xr:uid="{834694C0-B76A-4995-BC09-33CE95FA1B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 STORE
POLAYO</t>
        </r>
      </text>
    </comment>
    <comment ref="C514" authorId="0" shapeId="0" xr:uid="{4273B4F9-288D-460E-98BA-E848EEC16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POB.SIAYAN</t>
        </r>
      </text>
    </comment>
    <comment ref="C515" authorId="0" shapeId="0" xr:uid="{D38C2AC6-795F-4243-A7F8-80285485E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POB.SIAYAN</t>
        </r>
      </text>
    </comment>
    <comment ref="C516" authorId="0" shapeId="0" xr:uid="{AB2243A9-A1C4-42EB-A2CD-032D1015EB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POB.SIAYAN</t>
        </r>
      </text>
    </comment>
    <comment ref="C517" authorId="0" shapeId="0" xr:uid="{77683B61-1271-4918-A2F8-1812CA6F0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POB.SIAYAN</t>
        </r>
      </text>
    </comment>
    <comment ref="C518" authorId="0" shapeId="0" xr:uid="{90E6E730-94A7-401B-B627-23FB4C64E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JONATAHN CENAS
POB. SIAYAN</t>
        </r>
      </text>
    </comment>
    <comment ref="C519" authorId="0" shapeId="0" xr:uid="{07AF279D-8E18-4D99-8675-66F21E62C1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BENABEBE
STORE
POB. SIAYAN</t>
        </r>
      </text>
    </comment>
    <comment ref="C520" authorId="0" shapeId="0" xr:uid="{956A75BB-F0C5-47F4-B400-3E74CAA62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C521" authorId="0" shapeId="0" xr:uid="{8E833AD1-25A8-454C-A24C-F1DDAAE931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CENAS,FERNANDA
DAGAO SIAYAN</t>
        </r>
      </text>
    </comment>
    <comment ref="C522" authorId="0" shapeId="0" xr:uid="{44A1618A-06A2-47C5-B722-F79D159CB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 SIAYAN</t>
        </r>
      </text>
    </comment>
    <comment ref="C523" authorId="0" shapeId="0" xr:uid="{AA689C51-C039-41C6-8643-A1018C86D9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DOMETRIO STORE
DAGAO SIAYAN</t>
        </r>
      </text>
    </comment>
    <comment ref="C524" authorId="0" shapeId="0" xr:uid="{F0B66B31-B4FD-479D-B045-0B3B12400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 SIAYAN</t>
        </r>
      </text>
    </comment>
    <comment ref="C525" authorId="0" shapeId="0" xr:uid="{FA5D32FC-4C78-4644-AA08-CA9D80CC5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526" authorId="0" shapeId="0" xr:uid="{127FB137-EF52-475B-9591-9735FCC9E2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SY RESTAURANT
POB. SINDANGAN</t>
        </r>
      </text>
    </comment>
    <comment ref="C562" authorId="0" shapeId="0" xr:uid="{78CDABAD-3E6A-4D60-B823-3E21F6A000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 SIAYAN</t>
        </r>
      </text>
    </comment>
    <comment ref="AA562" authorId="0" shapeId="0" xr:uid="{2BB1A9E4-C091-4D08-A83E-E6FEA5D4F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POB.  EAST SALUG</t>
        </r>
      </text>
    </comment>
    <comment ref="C563" authorId="0" shapeId="0" xr:uid="{470ABBED-AAB0-467B-8134-C73876066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563" authorId="0" shapeId="0" xr:uid="{4263A9AC-FFAF-4685-AB75-DCB065D12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 STORE
POB. EAST SALUG</t>
        </r>
      </text>
    </comment>
    <comment ref="C564" authorId="0" shapeId="0" xr:uid="{D5FCE25D-336A-4F41-8538-53450FC726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MAGSAYSAY SINDANGAN</t>
        </r>
      </text>
    </comment>
    <comment ref="AA564" authorId="0" shapeId="0" xr:uid="{D783BED2-B42C-451E-AC5C-99BB2D4BDD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65" authorId="0" shapeId="0" xr:uid="{18C67661-7D97-41F4-8F81-B0BC5CF4F7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ANIOÑON
DISUD</t>
        </r>
      </text>
    </comment>
    <comment ref="AA565" authorId="0" shapeId="0" xr:uid="{7DD58B28-F282-4A0C-B8D6-1BE7B224C3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PAJUAY
POB EAST, SALUG</t>
        </r>
      </text>
    </comment>
    <comment ref="C566" authorId="0" shapeId="0" xr:uid="{3536754D-BC9C-4E08-ACF1-E2589AC3BD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JOSEPINA
DISUD</t>
        </r>
      </text>
    </comment>
    <comment ref="AA566" authorId="0" shapeId="0" xr:uid="{1C7874ED-AB3E-4C43-8591-A7F76AE4C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STORE
POB EAST, SALUG</t>
        </r>
      </text>
    </comment>
    <comment ref="C567" authorId="0" shapeId="0" xr:uid="{78FD7A35-90C5-4F03-B7F9-1F90E6084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DAPAON SINDANGAN</t>
        </r>
      </text>
    </comment>
    <comment ref="AA567" authorId="0" shapeId="0" xr:uid="{337E17A4-A212-4468-895C-26A793835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 EAST, SALUG</t>
        </r>
      </text>
    </comment>
    <comment ref="AA568" authorId="0" shapeId="0" xr:uid="{2835127D-C2FA-4C37-9FAF-F7B066063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RRJ STORE
POB EAST, SALUG</t>
        </r>
      </text>
    </comment>
    <comment ref="AA569" authorId="0" shapeId="0" xr:uid="{F515E366-B089-4ABB-B958-8B000BA6AF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JENG2 STORE
CARACOL, SALUG</t>
        </r>
      </text>
    </comment>
    <comment ref="AA570" authorId="0" shapeId="0" xr:uid="{A5F6B587-E09B-4C33-BD0B-4E6BB085C8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ALCANTARA STORE
CARACOL, SALUG</t>
        </r>
      </text>
    </comment>
    <comment ref="AA571" authorId="0" shapeId="0" xr:uid="{A0529A88-DF5A-4262-AC22-DAB958CFB8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 STORE
CANAWAN, SALUG</t>
        </r>
      </text>
    </comment>
    <comment ref="C617" authorId="0" shapeId="0" xr:uid="{6C05EC7E-4161-40A1-B0A4-A056E20E0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POB.SINGANGAN</t>
        </r>
      </text>
    </comment>
    <comment ref="O617" authorId="0" shapeId="0" xr:uid="{B4A9B8A3-67B0-4A47-80FA-A270C9EF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617" authorId="0" shapeId="0" xr:uid="{4DF89DBD-C2DD-4D53-A9F3-0733EE2DF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C618" authorId="0" shapeId="0" xr:uid="{1AAD1360-6BCA-4708-9F4C-ADC72F19E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O618" authorId="0" shapeId="0" xr:uid="{1121A58B-277C-4977-9479-5CE63EE263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AA618" authorId="0" shapeId="0" xr:uid="{BD34B52C-0B8F-42BB-93A6-571519795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619" authorId="0" shapeId="0" xr:uid="{04DB662F-0071-46AE-B485-B1C8A5E69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GARGOLES
MISOK SINDANGAN</t>
        </r>
      </text>
    </comment>
    <comment ref="O619" authorId="0" shapeId="0" xr:uid="{89B8D792-8B11-4003-AF9A-A878F7F9A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TAGOB
GOLEO</t>
        </r>
      </text>
    </comment>
    <comment ref="AA619" authorId="0" shapeId="0" xr:uid="{663945EA-8789-44F9-BF6B-C016C31C1C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O620" authorId="0" shapeId="0" xr:uid="{3DFC626C-9F87-4054-8174-F98472DDB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620" authorId="0" shapeId="0" xr:uid="{861575B9-F6AF-4B68-8718-41908A24F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EZMY STORE
POB. EAST SALUG</t>
        </r>
      </text>
    </comment>
    <comment ref="O621" authorId="0" shapeId="0" xr:uid="{DFA30763-340F-4FC7-9DCE-E3640AF1A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JAYBE TA-ATA
BRGY. GOLEO</t>
        </r>
      </text>
    </comment>
    <comment ref="AA621" authorId="0" shapeId="0" xr:uid="{6307D5D8-97F0-4ABF-A69A-E3213C919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BACUNG SALUG</t>
        </r>
      </text>
    </comment>
    <comment ref="O622" authorId="0" shapeId="0" xr:uid="{FA8E5BC6-3931-4B4C-B8C8-7E5048E49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622" authorId="0" shapeId="0" xr:uid="{D10D3C21-D570-41A2-8530-3C486364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BACUNG SALOG</t>
        </r>
      </text>
    </comment>
    <comment ref="O623" authorId="0" shapeId="0" xr:uid="{74576AB5-0911-40FD-9548-F975B795F2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JEZEELLY STORE
POB.SIAYAN</t>
        </r>
      </text>
    </comment>
    <comment ref="AA623" authorId="0" shapeId="0" xr:uid="{1DB93470-A5E3-4CCC-8454-1260A28DF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 SALUG</t>
        </r>
      </text>
    </comment>
    <comment ref="O624" authorId="0" shapeId="0" xr:uid="{58AB8BF1-303A-4F21-8C05-A486087304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PABALON
BRGY. MARAS</t>
        </r>
      </text>
    </comment>
    <comment ref="O625" authorId="0" shapeId="0" xr:uid="{7114FA94-B836-4D56-BC34-311CB923F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DIASIS
BRGY.DAPAON</t>
        </r>
      </text>
    </comment>
    <comment ref="O626" authorId="0" shapeId="0" xr:uid="{5EE1B92B-88AA-4032-B6C0-FC916FAFF9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BRGY.GOLEO</t>
        </r>
      </text>
    </comment>
    <comment ref="O672" authorId="0" shapeId="0" xr:uid="{5C0A85EA-0590-4BBE-8BED-74AE86AC2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</t>
        </r>
      </text>
    </comment>
    <comment ref="O673" authorId="0" shapeId="0" xr:uid="{B74A15E3-0D14-4832-B6B8-D9954B5CD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POB.BACUNGAN</t>
        </r>
      </text>
    </comment>
    <comment ref="O674" authorId="0" shapeId="0" xr:uid="{806AFE1E-CDD0-4864-9FD0-C80DB48B1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POB. BACUNGAN
</t>
        </r>
      </text>
    </comment>
  </commentList>
</comments>
</file>

<file path=xl/sharedStrings.xml><?xml version="1.0" encoding="utf-8"?>
<sst xmlns="http://schemas.openxmlformats.org/spreadsheetml/2006/main" count="774" uniqueCount="75">
  <si>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</si>
  <si>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</si>
  <si>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</si>
  <si>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</si>
  <si>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</si>
  <si>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</si>
  <si>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</si>
  <si>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</si>
  <si>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</si>
  <si>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</si>
  <si>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</si>
  <si>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</si>
  <si>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</si>
  <si>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</si>
  <si>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</si>
  <si>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</si>
  <si>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</si>
  <si>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</si>
  <si>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</si>
  <si>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</si>
  <si>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</si>
  <si>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</si>
  <si>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</si>
  <si>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</si>
  <si>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</si>
  <si>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</si>
  <si>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</si>
  <si>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</si>
  <si>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</si>
  <si>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</si>
  <si>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</si>
  <si>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</si>
  <si>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</si>
  <si>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</si>
  <si>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</si>
  <si>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</si>
  <si>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</si>
  <si>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</si>
  <si>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</si>
  <si>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</si>
  <si>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</si>
  <si>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</si>
  <si>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</si>
  <si>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</si>
  <si>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</si>
  <si>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</si>
  <si>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</si>
  <si>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</si>
  <si>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</si>
  <si>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</si>
  <si>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</si>
  <si>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</si>
  <si>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</si>
  <si>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</si>
  <si>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</si>
  <si>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</si>
  <si>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</si>
  <si>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</si>
  <si>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</si>
  <si>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</si>
  <si>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</si>
  <si>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</si>
  <si>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</si>
  <si>
    <t>MAY 13, 2026</t>
  </si>
  <si>
    <t>05/13/2026</t>
  </si>
  <si>
    <t>10525-10544/10442-10444</t>
  </si>
  <si>
    <t>MAY 14, 2026</t>
  </si>
  <si>
    <t>05/14/2026</t>
  </si>
  <si>
    <t>10545-10550//10495-10500,10601-10604/</t>
  </si>
  <si>
    <t>MAY 15, 2026</t>
  </si>
  <si>
    <t>05/15/2026</t>
  </si>
  <si>
    <t>10651-10652,10354/10445-10454/10605-10611</t>
  </si>
  <si>
    <t>05/16/2026</t>
  </si>
  <si>
    <t>/10555-10557/</t>
  </si>
  <si>
    <t>MAY 16,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</si>
</sst>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H25" sqref="H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38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5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 t="s">
        <v>65</v>
      </c>
      <c r="D22" s="16">
        <f t="shared" si="0"/>
        <v>530963.77</v>
      </c>
      <c r="F22" s="14">
        <v>299391.77</v>
      </c>
      <c r="G22" s="14">
        <v>231572</v>
      </c>
      <c r="H22" s="14"/>
      <c r="I22" s="14"/>
      <c r="J22" s="17">
        <f t="shared" si="1"/>
        <v>530963.77</v>
      </c>
    </row>
    <row r="23" spans="1:10" x14ac:dyDescent="0.25">
      <c r="A23" s="10">
        <f t="shared" si="2"/>
        <v>14</v>
      </c>
      <c r="B23" s="11" t="s">
        <v>30</v>
      </c>
      <c r="C23" s="12" t="s">
        <v>68</v>
      </c>
      <c r="D23" s="16">
        <f t="shared" si="0"/>
        <v>768286.5</v>
      </c>
      <c r="F23" s="14">
        <v>476927.5</v>
      </c>
      <c r="G23" s="14"/>
      <c r="H23" s="14">
        <v>291359</v>
      </c>
      <c r="I23" s="14"/>
      <c r="J23" s="17">
        <f t="shared" si="1"/>
        <v>768286.5</v>
      </c>
    </row>
    <row r="24" spans="1:10" x14ac:dyDescent="0.25">
      <c r="A24" s="10">
        <f t="shared" si="2"/>
        <v>15</v>
      </c>
      <c r="B24" s="43" t="s">
        <v>4</v>
      </c>
      <c r="C24" s="12" t="s">
        <v>71</v>
      </c>
      <c r="D24" s="16">
        <f t="shared" si="0"/>
        <v>974253</v>
      </c>
      <c r="F24" s="14">
        <v>287561</v>
      </c>
      <c r="G24" s="14">
        <v>256257</v>
      </c>
      <c r="H24" s="14">
        <v>430435</v>
      </c>
      <c r="I24" s="14"/>
      <c r="J24" s="17">
        <f>F24+G24+H24</f>
        <v>974253</v>
      </c>
    </row>
    <row r="25" spans="1:10" x14ac:dyDescent="0.25">
      <c r="A25" s="10">
        <f t="shared" si="2"/>
        <v>16</v>
      </c>
      <c r="B25" s="56" t="s">
        <v>5</v>
      </c>
      <c r="C25" s="12" t="s">
        <v>73</v>
      </c>
      <c r="D25" s="16">
        <f t="shared" si="0"/>
        <v>230620</v>
      </c>
      <c r="F25" s="14"/>
      <c r="G25" s="14">
        <v>230620</v>
      </c>
      <c r="H25" s="14"/>
      <c r="I25" s="14"/>
      <c r="J25" s="17">
        <f>F25+G25+H25</f>
        <v>230620</v>
      </c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SUM(D2:D41)</f>
        <v>10091727.77</v>
      </c>
      <c r="J42" s="49">
        <f>SUM(J10:J41)</f>
        <v>10091727.77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F662" zoomScale="115" zoomScaleNormal="115" workbookViewId="0">
      <selection activeCell="Q677" sqref="Q67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7"/>
      <c r="E65" s="107"/>
      <c r="F65" s="89"/>
      <c r="G65" s="89"/>
      <c r="H65" s="62"/>
      <c r="I65" s="107"/>
      <c r="J65" s="107"/>
      <c r="K65" s="106"/>
      <c r="L65" s="62"/>
      <c r="M65" s="62"/>
      <c r="N65" s="65"/>
      <c r="O65" s="89"/>
      <c r="P65" s="107"/>
      <c r="Q65" s="107"/>
      <c r="R65" s="89"/>
      <c r="S65" s="89"/>
      <c r="T65" s="62"/>
      <c r="U65" s="107"/>
      <c r="V65" s="107"/>
      <c r="W65" s="106"/>
      <c r="Z65" s="25"/>
      <c r="AA65" s="26"/>
      <c r="AB65" s="112" t="s">
        <v>17</v>
      </c>
      <c r="AC65" s="112"/>
      <c r="AD65" s="90"/>
      <c r="AE65" s="27"/>
      <c r="AG65" s="110" t="s">
        <v>18</v>
      </c>
      <c r="AH65" s="111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6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6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7"/>
      <c r="AO67" s="107"/>
      <c r="AP67" s="86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1"/>
      <c r="G120" s="27"/>
      <c r="I120" s="110" t="s">
        <v>18</v>
      </c>
      <c r="J120" s="111"/>
      <c r="K120" s="108" t="s">
        <v>19</v>
      </c>
      <c r="N120" s="25"/>
      <c r="O120" s="26"/>
      <c r="P120" s="112" t="s">
        <v>17</v>
      </c>
      <c r="Q120" s="112"/>
      <c r="R120" s="91"/>
      <c r="S120" s="27"/>
      <c r="U120" s="110" t="s">
        <v>18</v>
      </c>
      <c r="V120" s="111"/>
      <c r="W120" s="108" t="s">
        <v>19</v>
      </c>
      <c r="Z120" s="25"/>
      <c r="AA120" s="26"/>
      <c r="AB120" s="112" t="s">
        <v>17</v>
      </c>
      <c r="AC120" s="112"/>
      <c r="AD120" s="91"/>
      <c r="AE120" s="27"/>
      <c r="AG120" s="110" t="s">
        <v>18</v>
      </c>
      <c r="AH120" s="111"/>
      <c r="AI120" s="10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2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2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2"/>
      <c r="AE175" s="27"/>
      <c r="AG175" s="110" t="s">
        <v>18</v>
      </c>
      <c r="AH175" s="111"/>
      <c r="AI175" s="10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7"/>
      <c r="AO181" s="107"/>
      <c r="AP181" s="86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3"/>
      <c r="G230" s="27"/>
      <c r="I230" s="110" t="s">
        <v>18</v>
      </c>
      <c r="J230" s="111"/>
      <c r="K230" s="108" t="s">
        <v>19</v>
      </c>
      <c r="N230" s="25"/>
      <c r="O230" s="26"/>
      <c r="P230" s="112" t="s">
        <v>17</v>
      </c>
      <c r="Q230" s="112"/>
      <c r="R230" s="93"/>
      <c r="S230" s="27"/>
      <c r="U230" s="110" t="s">
        <v>18</v>
      </c>
      <c r="V230" s="111"/>
      <c r="W230" s="108" t="s">
        <v>19</v>
      </c>
      <c r="Z230" s="25"/>
      <c r="AA230" s="26"/>
      <c r="AB230" s="112" t="s">
        <v>17</v>
      </c>
      <c r="AC230" s="112"/>
      <c r="AD230" s="93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4"/>
      <c r="G285" s="27"/>
      <c r="I285" s="110" t="s">
        <v>18</v>
      </c>
      <c r="J285" s="111"/>
      <c r="K285" s="108" t="s">
        <v>19</v>
      </c>
      <c r="N285" s="25"/>
      <c r="O285" s="26"/>
      <c r="P285" s="112" t="s">
        <v>17</v>
      </c>
      <c r="Q285" s="112"/>
      <c r="R285" s="94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4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7"/>
      <c r="E340" s="107"/>
      <c r="F340" s="89"/>
      <c r="G340" s="89"/>
      <c r="H340" s="62"/>
      <c r="I340" s="107"/>
      <c r="J340" s="107"/>
      <c r="K340" s="106"/>
      <c r="N340" s="25"/>
      <c r="O340" s="26"/>
      <c r="P340" s="112" t="s">
        <v>17</v>
      </c>
      <c r="Q340" s="112"/>
      <c r="R340" s="95"/>
      <c r="S340" s="27"/>
      <c r="U340" s="110" t="s">
        <v>18</v>
      </c>
      <c r="V340" s="111"/>
      <c r="W340" s="108" t="s">
        <v>19</v>
      </c>
      <c r="Z340" s="25"/>
      <c r="AA340" s="26"/>
      <c r="AB340" s="112" t="s">
        <v>17</v>
      </c>
      <c r="AC340" s="112"/>
      <c r="AD340" s="95"/>
      <c r="AE340" s="27"/>
      <c r="AG340" s="110" t="s">
        <v>18</v>
      </c>
      <c r="AH340" s="111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6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96"/>
      <c r="G395" s="27"/>
      <c r="I395" s="110" t="s">
        <v>18</v>
      </c>
      <c r="J395" s="111"/>
      <c r="K395" s="108" t="s">
        <v>19</v>
      </c>
      <c r="N395" s="25"/>
      <c r="O395" s="26"/>
      <c r="P395" s="112" t="s">
        <v>17</v>
      </c>
      <c r="Q395" s="112"/>
      <c r="R395" s="96"/>
      <c r="S395" s="27"/>
      <c r="U395" s="110" t="s">
        <v>18</v>
      </c>
      <c r="V395" s="111"/>
      <c r="W395" s="108" t="s">
        <v>19</v>
      </c>
      <c r="Z395" s="25"/>
      <c r="AA395" s="26"/>
      <c r="AB395" s="112" t="s">
        <v>17</v>
      </c>
      <c r="AC395" s="112"/>
      <c r="AD395" s="96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97"/>
      <c r="G450" s="27"/>
      <c r="I450" s="110" t="s">
        <v>18</v>
      </c>
      <c r="J450" s="111"/>
      <c r="K450" s="108" t="s">
        <v>19</v>
      </c>
      <c r="N450" s="25"/>
      <c r="O450" s="26"/>
      <c r="P450" s="112" t="s">
        <v>17</v>
      </c>
      <c r="Q450" s="112"/>
      <c r="R450" s="97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97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85" si="115">SUM(D452:E452)</f>
        <v>11476</v>
      </c>
      <c r="H452" s="12"/>
      <c r="I452" s="12"/>
      <c r="J452" s="12"/>
      <c r="K452" s="12">
        <f t="shared" ref="K452:K485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0" si="117">SUM(P453:Q453)</f>
        <v>39458</v>
      </c>
      <c r="T453" s="12"/>
      <c r="U453" s="12">
        <f>12*4.5</f>
        <v>54</v>
      </c>
      <c r="V453" s="12"/>
      <c r="W453" s="12">
        <f t="shared" ref="W453:W493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1" si="119">SUM(AB453:AC453)</f>
        <v>295451</v>
      </c>
      <c r="AF453" s="12"/>
      <c r="AG453" s="12">
        <f>1.5*96</f>
        <v>144</v>
      </c>
      <c r="AH453" s="12"/>
      <c r="AI453" s="12">
        <f t="shared" ref="AI453:AI493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56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58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5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0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F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51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51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63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63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2" t="s">
        <v>17</v>
      </c>
      <c r="E505" s="112"/>
      <c r="F505" s="98"/>
      <c r="G505" s="27"/>
      <c r="I505" s="110" t="s">
        <v>18</v>
      </c>
      <c r="J505" s="111"/>
      <c r="K505" s="108" t="s">
        <v>19</v>
      </c>
      <c r="N505" s="25"/>
      <c r="O505" s="26"/>
      <c r="P505" s="112" t="s">
        <v>17</v>
      </c>
      <c r="Q505" s="112"/>
      <c r="R505" s="98"/>
      <c r="S505" s="27"/>
      <c r="U505" s="110" t="s">
        <v>18</v>
      </c>
      <c r="V505" s="111"/>
      <c r="W505" s="108" t="s">
        <v>19</v>
      </c>
      <c r="Y505" s="62"/>
      <c r="Z505" s="65"/>
      <c r="AA505" s="89"/>
      <c r="AB505" s="107"/>
      <c r="AC505" s="107"/>
      <c r="AD505" s="89"/>
      <c r="AE505" s="89"/>
      <c r="AF505" s="62"/>
      <c r="AG505" s="107"/>
      <c r="AH505" s="107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9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64</v>
      </c>
      <c r="C507" s="83">
        <v>10525</v>
      </c>
      <c r="D507" s="32">
        <f>650*10+9.5*10</f>
        <v>6595</v>
      </c>
      <c r="E507" s="32"/>
      <c r="F507" s="32"/>
      <c r="G507" s="32">
        <f t="shared" ref="G507:G540" si="130">SUM(D507:E507)</f>
        <v>6595</v>
      </c>
      <c r="H507" s="12"/>
      <c r="I507" s="12">
        <f>111*8</f>
        <v>888</v>
      </c>
      <c r="J507" s="12"/>
      <c r="K507" s="12">
        <f t="shared" ref="K507:K540" si="131">SUM(G507:J507)</f>
        <v>7483</v>
      </c>
      <c r="M507" s="10">
        <v>1</v>
      </c>
      <c r="N507" s="30" t="s">
        <v>64</v>
      </c>
      <c r="O507" s="31">
        <v>10442</v>
      </c>
      <c r="P507" s="32">
        <f>650*8+9.5*8</f>
        <v>5276</v>
      </c>
      <c r="Q507" s="32"/>
      <c r="R507" s="32"/>
      <c r="S507" s="32">
        <f>SUM(P507:Q507)</f>
        <v>5276</v>
      </c>
      <c r="T507" s="12"/>
      <c r="U507" s="12">
        <f>4.5*1</f>
        <v>4.5</v>
      </c>
      <c r="V507" s="12"/>
      <c r="W507" s="12">
        <f>SUM(S507:V507)</f>
        <v>5280.5</v>
      </c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64</v>
      </c>
      <c r="C508" s="83">
        <f>C507+1</f>
        <v>10526</v>
      </c>
      <c r="D508" s="32">
        <f>650*2+9.5*2</f>
        <v>1319</v>
      </c>
      <c r="E508" s="32"/>
      <c r="F508" s="32"/>
      <c r="G508" s="32">
        <f t="shared" si="130"/>
        <v>1319</v>
      </c>
      <c r="H508" s="12"/>
      <c r="I508" s="12"/>
      <c r="J508" s="12"/>
      <c r="K508" s="12">
        <f t="shared" si="131"/>
        <v>1319</v>
      </c>
      <c r="M508" s="10">
        <v>2</v>
      </c>
      <c r="N508" s="30" t="s">
        <v>64</v>
      </c>
      <c r="O508" s="31">
        <f>O507+1</f>
        <v>10443</v>
      </c>
      <c r="P508" s="32">
        <f>650*324+229*12+650*2</f>
        <v>214648</v>
      </c>
      <c r="Q508" s="32">
        <f>-324*6</f>
        <v>-1944</v>
      </c>
      <c r="R508" s="32"/>
      <c r="S508" s="32">
        <f t="shared" ref="S508:S545" si="132">SUM(P508:Q508)</f>
        <v>212704</v>
      </c>
      <c r="T508" s="12"/>
      <c r="U508" s="12">
        <f>78*6</f>
        <v>468</v>
      </c>
      <c r="V508" s="12">
        <f>-42*2</f>
        <v>-84</v>
      </c>
      <c r="W508" s="12">
        <f t="shared" ref="W508:W548" si="133">SUM(S508:V508)</f>
        <v>213088</v>
      </c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64</v>
      </c>
      <c r="C509" s="83">
        <f t="shared" ref="C509:C510" si="134">C508+1</f>
        <v>10527</v>
      </c>
      <c r="D509" s="33">
        <f>650*3+9.5*3</f>
        <v>1978.5</v>
      </c>
      <c r="E509" s="33"/>
      <c r="F509" s="33"/>
      <c r="G509" s="33">
        <f t="shared" si="130"/>
        <v>1978.5</v>
      </c>
      <c r="H509" s="34"/>
      <c r="I509" s="34"/>
      <c r="J509" s="34"/>
      <c r="K509" s="34">
        <f t="shared" si="131"/>
        <v>1978.5</v>
      </c>
      <c r="M509" s="10">
        <v>3</v>
      </c>
      <c r="N509" s="30" t="s">
        <v>64</v>
      </c>
      <c r="O509" s="31">
        <f t="shared" ref="O509" si="135">O508+1</f>
        <v>10444</v>
      </c>
      <c r="P509" s="32">
        <f>650*10+622*10+872</f>
        <v>13592</v>
      </c>
      <c r="Q509" s="32"/>
      <c r="R509" s="32"/>
      <c r="S509" s="32">
        <f t="shared" si="132"/>
        <v>13592</v>
      </c>
      <c r="T509" s="12"/>
      <c r="U509" s="12">
        <f>4.5*3</f>
        <v>13.5</v>
      </c>
      <c r="V509" s="12">
        <f>-111*8</f>
        <v>-888</v>
      </c>
      <c r="W509" s="12">
        <f t="shared" si="133"/>
        <v>12717.5</v>
      </c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64</v>
      </c>
      <c r="C510" s="83">
        <f t="shared" si="134"/>
        <v>10528</v>
      </c>
      <c r="D510" s="32">
        <f>650*6+622+9.5*7</f>
        <v>4588.5</v>
      </c>
      <c r="E510" s="32"/>
      <c r="F510" s="32"/>
      <c r="G510" s="32">
        <f t="shared" si="130"/>
        <v>4588.5</v>
      </c>
      <c r="H510" s="12"/>
      <c r="I510" s="12"/>
      <c r="J510" s="12"/>
      <c r="K510" s="12">
        <f t="shared" si="131"/>
        <v>4588.5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32"/>
        <v>0</v>
      </c>
      <c r="T510" s="12"/>
      <c r="U510" s="12"/>
      <c r="V510" s="12"/>
      <c r="W510" s="12">
        <f t="shared" si="133"/>
        <v>0</v>
      </c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64</v>
      </c>
      <c r="C511" s="83">
        <f>C510+1</f>
        <v>10529</v>
      </c>
      <c r="D511" s="32">
        <f>650*6+622*2+9.5*8</f>
        <v>5220</v>
      </c>
      <c r="E511" s="32"/>
      <c r="F511" s="32"/>
      <c r="G511" s="32">
        <f t="shared" si="130"/>
        <v>5220</v>
      </c>
      <c r="H511" s="12"/>
      <c r="I511" s="12"/>
      <c r="J511" s="12"/>
      <c r="K511" s="12">
        <f t="shared" si="131"/>
        <v>5220</v>
      </c>
      <c r="M511" s="10">
        <v>5</v>
      </c>
      <c r="N511" s="30"/>
      <c r="O511" s="31"/>
      <c r="P511" s="32"/>
      <c r="Q511" s="32"/>
      <c r="R511" s="32"/>
      <c r="S511" s="32">
        <f t="shared" si="132"/>
        <v>0</v>
      </c>
      <c r="T511" s="12"/>
      <c r="U511" s="12"/>
      <c r="V511" s="12"/>
      <c r="W511" s="12">
        <f t="shared" si="133"/>
        <v>0</v>
      </c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64</v>
      </c>
      <c r="C512" s="83">
        <f t="shared" ref="C512:C525" si="136">C511+1</f>
        <v>10530</v>
      </c>
      <c r="D512" s="32">
        <f>650*6+9.5*6</f>
        <v>3957</v>
      </c>
      <c r="E512" s="32"/>
      <c r="F512" s="32"/>
      <c r="G512" s="32">
        <f t="shared" si="130"/>
        <v>3957</v>
      </c>
      <c r="H512" s="12"/>
      <c r="I512" s="12"/>
      <c r="J512" s="12"/>
      <c r="K512" s="12">
        <f t="shared" si="131"/>
        <v>3957</v>
      </c>
      <c r="M512" s="10">
        <v>6</v>
      </c>
      <c r="N512" s="30"/>
      <c r="O512" s="31"/>
      <c r="P512" s="32"/>
      <c r="Q512" s="32"/>
      <c r="R512" s="32"/>
      <c r="S512" s="32">
        <f t="shared" si="132"/>
        <v>0</v>
      </c>
      <c r="T512" s="12"/>
      <c r="U512" s="12"/>
      <c r="V512" s="10"/>
      <c r="W512" s="12">
        <f t="shared" si="133"/>
        <v>0</v>
      </c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64</v>
      </c>
      <c r="C513" s="83">
        <f t="shared" si="136"/>
        <v>10531</v>
      </c>
      <c r="D513" s="32">
        <f>650*2+9.5*2</f>
        <v>1319</v>
      </c>
      <c r="E513" s="32"/>
      <c r="F513" s="32"/>
      <c r="G513" s="32">
        <f t="shared" si="130"/>
        <v>1319</v>
      </c>
      <c r="H513" s="12"/>
      <c r="I513" s="12"/>
      <c r="J513" s="12"/>
      <c r="K513" s="12">
        <f t="shared" si="131"/>
        <v>1319</v>
      </c>
      <c r="M513" s="10">
        <v>7</v>
      </c>
      <c r="N513" s="30"/>
      <c r="O513" s="31"/>
      <c r="P513" s="32"/>
      <c r="Q513" s="32"/>
      <c r="R513" s="32"/>
      <c r="S513" s="32">
        <f t="shared" si="132"/>
        <v>0</v>
      </c>
      <c r="T513" s="12"/>
      <c r="U513" s="12"/>
      <c r="V513" s="12"/>
      <c r="W513" s="12">
        <f t="shared" si="133"/>
        <v>0</v>
      </c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64</v>
      </c>
      <c r="C514" s="83">
        <f t="shared" si="136"/>
        <v>10532</v>
      </c>
      <c r="D514" s="32">
        <f>650*34+670*2+622*6+229*2</f>
        <v>27630</v>
      </c>
      <c r="E514" s="32"/>
      <c r="F514" s="32"/>
      <c r="G514" s="32">
        <f t="shared" si="130"/>
        <v>27630</v>
      </c>
      <c r="H514" s="12"/>
      <c r="I514" s="12"/>
      <c r="J514" s="12"/>
      <c r="K514" s="12">
        <f t="shared" si="131"/>
        <v>27630</v>
      </c>
      <c r="M514" s="10">
        <v>8</v>
      </c>
      <c r="N514" s="30"/>
      <c r="P514" s="32"/>
      <c r="Q514" s="32"/>
      <c r="R514" s="32"/>
      <c r="S514" s="32">
        <f t="shared" si="132"/>
        <v>0</v>
      </c>
      <c r="T514" s="12"/>
      <c r="U514" s="12"/>
      <c r="V514" s="12"/>
      <c r="W514" s="12">
        <f t="shared" si="133"/>
        <v>0</v>
      </c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64</v>
      </c>
      <c r="C515" s="83">
        <f t="shared" si="136"/>
        <v>10533</v>
      </c>
      <c r="D515" s="32">
        <f>650*17+622*3+872+650</f>
        <v>14438</v>
      </c>
      <c r="E515" s="32"/>
      <c r="F515" s="32"/>
      <c r="G515" s="32">
        <f t="shared" si="130"/>
        <v>14438</v>
      </c>
      <c r="H515" s="12"/>
      <c r="I515" s="12">
        <f>111*15</f>
        <v>1665</v>
      </c>
      <c r="J515" s="12"/>
      <c r="K515" s="12">
        <f t="shared" si="131"/>
        <v>16103</v>
      </c>
      <c r="M515" s="10">
        <v>9</v>
      </c>
      <c r="N515" s="30"/>
      <c r="O515" s="31"/>
      <c r="P515" s="32"/>
      <c r="Q515" s="32"/>
      <c r="R515" s="32"/>
      <c r="S515" s="32">
        <f t="shared" si="132"/>
        <v>0</v>
      </c>
      <c r="T515" s="12"/>
      <c r="U515" s="12"/>
      <c r="V515" s="12"/>
      <c r="W515" s="12">
        <f t="shared" si="133"/>
        <v>0</v>
      </c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64</v>
      </c>
      <c r="C516" s="83">
        <f t="shared" si="136"/>
        <v>10534</v>
      </c>
      <c r="D516" s="32">
        <f>650*35+670+622*10+229+650</f>
        <v>30519</v>
      </c>
      <c r="E516" s="32"/>
      <c r="F516" s="32"/>
      <c r="G516" s="32">
        <f t="shared" si="130"/>
        <v>30519</v>
      </c>
      <c r="H516" s="12"/>
      <c r="I516" s="12"/>
      <c r="J516" s="12"/>
      <c r="K516" s="12">
        <f t="shared" si="131"/>
        <v>30519</v>
      </c>
      <c r="M516" s="10">
        <v>10</v>
      </c>
      <c r="N516" s="30"/>
      <c r="O516" s="31"/>
      <c r="P516" s="32"/>
      <c r="Q516" s="32"/>
      <c r="R516" s="32"/>
      <c r="S516" s="32">
        <f t="shared" si="132"/>
        <v>0</v>
      </c>
      <c r="T516" s="12"/>
      <c r="U516" s="12"/>
      <c r="V516" s="12"/>
      <c r="W516" s="12">
        <f t="shared" si="133"/>
        <v>0</v>
      </c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64</v>
      </c>
      <c r="C517" s="83">
        <f t="shared" si="136"/>
        <v>10535</v>
      </c>
      <c r="D517" s="32">
        <f>650*20</f>
        <v>13000</v>
      </c>
      <c r="E517" s="32"/>
      <c r="F517" s="32"/>
      <c r="G517" s="32">
        <f t="shared" si="130"/>
        <v>13000</v>
      </c>
      <c r="H517" s="12"/>
      <c r="I517" s="12">
        <f>4.5*30</f>
        <v>135</v>
      </c>
      <c r="J517" s="12"/>
      <c r="K517" s="12">
        <f t="shared" si="131"/>
        <v>13135</v>
      </c>
      <c r="M517" s="10">
        <v>11</v>
      </c>
      <c r="N517" s="30"/>
      <c r="O517" s="31"/>
      <c r="P517" s="32"/>
      <c r="Q517" s="32"/>
      <c r="R517" s="32"/>
      <c r="S517" s="32">
        <f t="shared" si="132"/>
        <v>0</v>
      </c>
      <c r="T517" s="12"/>
      <c r="U517" s="12"/>
      <c r="V517" s="12"/>
      <c r="W517" s="12">
        <f t="shared" si="133"/>
        <v>0</v>
      </c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64</v>
      </c>
      <c r="C518" s="83">
        <f t="shared" si="136"/>
        <v>10536</v>
      </c>
      <c r="D518" s="32">
        <f>650*108+229*3</f>
        <v>70887</v>
      </c>
      <c r="E518" s="32"/>
      <c r="F518" s="32"/>
      <c r="G518" s="32">
        <f t="shared" si="130"/>
        <v>70887</v>
      </c>
      <c r="H518" s="12"/>
      <c r="I518" s="12"/>
      <c r="J518" s="10"/>
      <c r="K518" s="12">
        <f t="shared" si="131"/>
        <v>70887</v>
      </c>
      <c r="M518" s="10">
        <v>12</v>
      </c>
      <c r="N518" s="30"/>
      <c r="O518" s="31"/>
      <c r="P518" s="32"/>
      <c r="Q518" s="32"/>
      <c r="R518" s="32"/>
      <c r="S518" s="32">
        <f t="shared" si="132"/>
        <v>0</v>
      </c>
      <c r="T518" s="12"/>
      <c r="U518" s="12"/>
      <c r="V518" s="12"/>
      <c r="W518" s="12">
        <f t="shared" si="133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64</v>
      </c>
      <c r="C519" s="83">
        <f t="shared" si="136"/>
        <v>10537</v>
      </c>
      <c r="D519" s="32">
        <f>650*10+670*2+36.33*19+9.5*10</f>
        <v>8625.27</v>
      </c>
      <c r="E519" s="32"/>
      <c r="F519" s="32"/>
      <c r="G519" s="32">
        <f t="shared" si="130"/>
        <v>8625.27</v>
      </c>
      <c r="H519" s="12"/>
      <c r="I519" s="12"/>
      <c r="J519" s="12"/>
      <c r="K519" s="12">
        <f t="shared" si="131"/>
        <v>8625.27</v>
      </c>
      <c r="M519" s="10">
        <v>13</v>
      </c>
      <c r="N519" s="30"/>
      <c r="O519" s="31"/>
      <c r="P519" s="32"/>
      <c r="Q519" s="32"/>
      <c r="R519" s="32"/>
      <c r="S519" s="32">
        <f t="shared" si="132"/>
        <v>0</v>
      </c>
      <c r="T519" s="12"/>
      <c r="U519" s="12"/>
      <c r="V519" s="12"/>
      <c r="W519" s="12">
        <f t="shared" si="133"/>
        <v>0</v>
      </c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64</v>
      </c>
      <c r="C520" s="83">
        <f t="shared" si="136"/>
        <v>10538</v>
      </c>
      <c r="D520" s="32">
        <f>650*3+9.5*3</f>
        <v>1978.5</v>
      </c>
      <c r="E520" s="32"/>
      <c r="F520" s="32"/>
      <c r="G520" s="32">
        <f t="shared" si="130"/>
        <v>1978.5</v>
      </c>
      <c r="H520" s="12"/>
      <c r="I520" s="12">
        <f>84*1</f>
        <v>84</v>
      </c>
      <c r="J520" s="12"/>
      <c r="K520" s="12">
        <f t="shared" si="131"/>
        <v>2062.5</v>
      </c>
      <c r="M520" s="10">
        <v>14</v>
      </c>
      <c r="N520" s="30"/>
      <c r="O520" s="31"/>
      <c r="P520" s="32"/>
      <c r="Q520" s="32"/>
      <c r="R520" s="32"/>
      <c r="S520" s="32">
        <f t="shared" si="132"/>
        <v>0</v>
      </c>
      <c r="T520" s="12"/>
      <c r="U520" s="12"/>
      <c r="V520" s="12"/>
      <c r="W520" s="12">
        <f t="shared" si="133"/>
        <v>0</v>
      </c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64</v>
      </c>
      <c r="C521" s="83">
        <f t="shared" si="136"/>
        <v>10539</v>
      </c>
      <c r="D521" s="32">
        <f>650*23</f>
        <v>14950</v>
      </c>
      <c r="E521" s="32"/>
      <c r="F521" s="32"/>
      <c r="G521" s="32">
        <f t="shared" si="130"/>
        <v>14950</v>
      </c>
      <c r="H521" s="12"/>
      <c r="I521" s="12"/>
      <c r="J521" s="12"/>
      <c r="K521" s="12">
        <f t="shared" si="131"/>
        <v>14950</v>
      </c>
      <c r="M521" s="10">
        <v>15</v>
      </c>
      <c r="N521" s="30"/>
      <c r="P521" s="32"/>
      <c r="Q521" s="32"/>
      <c r="R521" s="32"/>
      <c r="S521" s="32">
        <f t="shared" si="132"/>
        <v>0</v>
      </c>
      <c r="T521" s="12"/>
      <c r="U521" s="12"/>
      <c r="V521" s="12"/>
      <c r="W521" s="12">
        <f t="shared" si="133"/>
        <v>0</v>
      </c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64</v>
      </c>
      <c r="C522" s="83">
        <f t="shared" si="136"/>
        <v>10540</v>
      </c>
      <c r="D522" s="32">
        <f>650*8+622*2</f>
        <v>6444</v>
      </c>
      <c r="E522" s="32"/>
      <c r="F522" s="32"/>
      <c r="G522" s="32">
        <f t="shared" si="130"/>
        <v>6444</v>
      </c>
      <c r="H522" s="12"/>
      <c r="I522" s="12"/>
      <c r="J522" s="12"/>
      <c r="K522" s="12">
        <f t="shared" si="131"/>
        <v>6444</v>
      </c>
      <c r="M522" s="10">
        <v>16</v>
      </c>
      <c r="N522" s="30"/>
      <c r="O522" s="31"/>
      <c r="P522" s="32"/>
      <c r="Q522" s="32"/>
      <c r="R522" s="32"/>
      <c r="S522" s="32">
        <f t="shared" si="132"/>
        <v>0</v>
      </c>
      <c r="T522" s="12"/>
      <c r="U522" s="12"/>
      <c r="V522" s="12"/>
      <c r="W522" s="12">
        <f t="shared" si="133"/>
        <v>0</v>
      </c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64</v>
      </c>
      <c r="C523" s="83">
        <f t="shared" si="136"/>
        <v>10541</v>
      </c>
      <c r="D523" s="32">
        <f>650*5+670</f>
        <v>3920</v>
      </c>
      <c r="E523" s="32"/>
      <c r="F523" s="32"/>
      <c r="G523" s="32">
        <f t="shared" si="130"/>
        <v>3920</v>
      </c>
      <c r="H523" s="12"/>
      <c r="I523" s="12"/>
      <c r="J523" s="12"/>
      <c r="K523" s="12">
        <f t="shared" si="131"/>
        <v>3920</v>
      </c>
      <c r="M523" s="10">
        <v>17</v>
      </c>
      <c r="N523" s="30"/>
      <c r="O523" s="31"/>
      <c r="P523" s="35"/>
      <c r="Q523" s="32"/>
      <c r="R523" s="32"/>
      <c r="S523" s="32">
        <f t="shared" si="132"/>
        <v>0</v>
      </c>
      <c r="T523" s="12"/>
      <c r="U523" s="12"/>
      <c r="V523" s="12"/>
      <c r="W523" s="12">
        <f t="shared" si="133"/>
        <v>0</v>
      </c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64</v>
      </c>
      <c r="C524" s="83">
        <f t="shared" si="136"/>
        <v>10542</v>
      </c>
      <c r="D524" s="32">
        <f>650*10+9.5*10</f>
        <v>6595</v>
      </c>
      <c r="E524" s="32"/>
      <c r="F524" s="32"/>
      <c r="G524" s="32">
        <f t="shared" si="130"/>
        <v>6595</v>
      </c>
      <c r="H524" s="12"/>
      <c r="I524" s="12"/>
      <c r="J524" s="12"/>
      <c r="K524" s="12">
        <f t="shared" si="131"/>
        <v>6595</v>
      </c>
      <c r="M524" s="10">
        <v>18</v>
      </c>
      <c r="N524" s="30"/>
      <c r="O524" s="11"/>
      <c r="P524" s="32"/>
      <c r="Q524" s="32"/>
      <c r="R524" s="32"/>
      <c r="S524" s="32">
        <f t="shared" si="132"/>
        <v>0</v>
      </c>
      <c r="T524" s="12"/>
      <c r="U524" s="12"/>
      <c r="V524" s="12"/>
      <c r="W524" s="12">
        <f t="shared" si="133"/>
        <v>0</v>
      </c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64</v>
      </c>
      <c r="C525" s="83">
        <f t="shared" si="136"/>
        <v>10543</v>
      </c>
      <c r="D525" s="32">
        <f>973*62+912*3+872*3</f>
        <v>65678</v>
      </c>
      <c r="E525" s="32"/>
      <c r="F525" s="32"/>
      <c r="G525" s="32">
        <f t="shared" si="130"/>
        <v>65678</v>
      </c>
      <c r="H525" s="12"/>
      <c r="I525" s="12"/>
      <c r="J525" s="12"/>
      <c r="K525" s="12">
        <f t="shared" si="131"/>
        <v>65678</v>
      </c>
      <c r="M525" s="10">
        <v>19</v>
      </c>
      <c r="N525" s="30"/>
      <c r="O525" s="31"/>
      <c r="P525" s="32"/>
      <c r="Q525" s="32"/>
      <c r="R525" s="32"/>
      <c r="S525" s="32">
        <f t="shared" si="132"/>
        <v>0</v>
      </c>
      <c r="T525" s="12"/>
      <c r="U525" s="12"/>
      <c r="V525" s="12"/>
      <c r="W525" s="12">
        <f t="shared" si="133"/>
        <v>0</v>
      </c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64</v>
      </c>
      <c r="C526" s="83">
        <f>C525+1</f>
        <v>10544</v>
      </c>
      <c r="D526" s="32">
        <f>650*15</f>
        <v>9750</v>
      </c>
      <c r="E526" s="32"/>
      <c r="F526" s="32"/>
      <c r="G526" s="32">
        <f t="shared" si="130"/>
        <v>9750</v>
      </c>
      <c r="H526" s="12"/>
      <c r="I526" s="12"/>
      <c r="J526" s="12"/>
      <c r="K526" s="12">
        <f t="shared" si="131"/>
        <v>9750</v>
      </c>
      <c r="M526" s="10">
        <v>20</v>
      </c>
      <c r="N526" s="30"/>
      <c r="P526" s="32"/>
      <c r="Q526" s="32"/>
      <c r="R526" s="32"/>
      <c r="S526" s="32">
        <f t="shared" si="132"/>
        <v>0</v>
      </c>
      <c r="T526" s="12"/>
      <c r="U526" s="12"/>
      <c r="V526" s="12"/>
      <c r="W526" s="12">
        <f t="shared" si="133"/>
        <v>0</v>
      </c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 t="s">
        <v>27</v>
      </c>
      <c r="D527" s="32"/>
      <c r="E527" s="32"/>
      <c r="F527" s="32"/>
      <c r="G527" s="32">
        <f t="shared" si="130"/>
        <v>0</v>
      </c>
      <c r="H527" s="10"/>
      <c r="I527" s="10"/>
      <c r="J527" s="10"/>
      <c r="K527" s="12">
        <f t="shared" si="131"/>
        <v>0</v>
      </c>
      <c r="M527" s="10">
        <v>21</v>
      </c>
      <c r="N527" s="30"/>
      <c r="O527" s="31"/>
      <c r="P527" s="46"/>
      <c r="Q527" s="31"/>
      <c r="R527" s="31"/>
      <c r="S527" s="32">
        <f t="shared" si="132"/>
        <v>0</v>
      </c>
      <c r="T527" s="10"/>
      <c r="U527" s="10"/>
      <c r="V527" s="10"/>
      <c r="W527" s="12">
        <f t="shared" si="133"/>
        <v>0</v>
      </c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0"/>
        <v>0</v>
      </c>
      <c r="H528" s="10"/>
      <c r="I528" s="10"/>
      <c r="J528" s="10"/>
      <c r="K528" s="12">
        <f t="shared" si="131"/>
        <v>0</v>
      </c>
      <c r="M528" s="10">
        <v>22</v>
      </c>
      <c r="N528" s="30"/>
      <c r="O528" s="31"/>
      <c r="P528" s="45"/>
      <c r="Q528" s="31"/>
      <c r="R528" s="31"/>
      <c r="S528" s="32">
        <f t="shared" si="132"/>
        <v>0</v>
      </c>
      <c r="T528" s="10"/>
      <c r="U528" s="10"/>
      <c r="V528" s="10"/>
      <c r="W528" s="12">
        <f t="shared" si="133"/>
        <v>0</v>
      </c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0"/>
        <v>0</v>
      </c>
      <c r="H529" s="10"/>
      <c r="I529" s="10"/>
      <c r="J529" s="12"/>
      <c r="K529" s="12">
        <f t="shared" si="131"/>
        <v>0</v>
      </c>
      <c r="M529" s="10">
        <v>23</v>
      </c>
      <c r="N529" s="30"/>
      <c r="O529" s="31"/>
      <c r="P529" s="47"/>
      <c r="S529" s="32">
        <f t="shared" si="132"/>
        <v>0</v>
      </c>
      <c r="T529" s="10"/>
      <c r="U529" s="10"/>
      <c r="V529" s="10"/>
      <c r="W529" s="12">
        <f t="shared" si="133"/>
        <v>0</v>
      </c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0"/>
        <v>0</v>
      </c>
      <c r="H530" s="10"/>
      <c r="I530" s="10"/>
      <c r="J530" s="10"/>
      <c r="K530" s="12">
        <f t="shared" si="131"/>
        <v>0</v>
      </c>
      <c r="M530" s="10">
        <v>24</v>
      </c>
      <c r="N530" s="30"/>
      <c r="O530" s="31"/>
      <c r="P530" s="47"/>
      <c r="Q530" s="31"/>
      <c r="R530" s="31"/>
      <c r="S530" s="32">
        <f t="shared" si="132"/>
        <v>0</v>
      </c>
      <c r="T530" s="10"/>
      <c r="U530" s="10"/>
      <c r="V530" s="10"/>
      <c r="W530" s="12">
        <f t="shared" si="133"/>
        <v>0</v>
      </c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30"/>
        <v>0</v>
      </c>
      <c r="H531" s="10"/>
      <c r="I531" s="10"/>
      <c r="J531" s="10"/>
      <c r="K531" s="12">
        <f t="shared" si="131"/>
        <v>0</v>
      </c>
      <c r="M531" s="10">
        <v>25</v>
      </c>
      <c r="N531" s="30"/>
      <c r="O531" s="31"/>
      <c r="P531" s="47"/>
      <c r="Q531" s="31"/>
      <c r="R531" s="31"/>
      <c r="S531" s="32">
        <f t="shared" si="132"/>
        <v>0</v>
      </c>
      <c r="T531" s="10"/>
      <c r="U531" s="10"/>
      <c r="V531" s="10"/>
      <c r="W531" s="12">
        <f t="shared" si="133"/>
        <v>0</v>
      </c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0"/>
        <v>0</v>
      </c>
      <c r="H532" s="10"/>
      <c r="I532" s="10"/>
      <c r="J532" s="10"/>
      <c r="K532" s="12">
        <f t="shared" si="131"/>
        <v>0</v>
      </c>
      <c r="M532" s="10">
        <v>26</v>
      </c>
      <c r="N532" s="30"/>
      <c r="O532" s="31"/>
      <c r="P532" s="47"/>
      <c r="Q532" s="31"/>
      <c r="R532" s="31"/>
      <c r="S532" s="32">
        <f t="shared" si="132"/>
        <v>0</v>
      </c>
      <c r="T532" s="10"/>
      <c r="U532" s="10"/>
      <c r="V532" s="10"/>
      <c r="W532" s="12">
        <f t="shared" si="133"/>
        <v>0</v>
      </c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0"/>
        <v>0</v>
      </c>
      <c r="H533" s="10"/>
      <c r="I533" s="10"/>
      <c r="J533" s="10"/>
      <c r="K533" s="12">
        <f t="shared" si="131"/>
        <v>0</v>
      </c>
      <c r="M533" s="10">
        <v>27</v>
      </c>
      <c r="N533" s="30"/>
      <c r="O533" s="31"/>
      <c r="P533" s="47"/>
      <c r="Q533" s="31"/>
      <c r="R533" s="31"/>
      <c r="S533" s="32">
        <f t="shared" si="132"/>
        <v>0</v>
      </c>
      <c r="T533" s="10"/>
      <c r="U533" s="10"/>
      <c r="V533" s="10"/>
      <c r="W533" s="12">
        <f t="shared" si="133"/>
        <v>0</v>
      </c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0"/>
        <v>0</v>
      </c>
      <c r="H534" s="10"/>
      <c r="I534" s="10"/>
      <c r="J534" s="10"/>
      <c r="K534" s="12">
        <f t="shared" si="131"/>
        <v>0</v>
      </c>
      <c r="M534" s="10">
        <v>28</v>
      </c>
      <c r="N534" s="30"/>
      <c r="O534" s="31"/>
      <c r="P534" s="47"/>
      <c r="Q534" s="31"/>
      <c r="R534" s="31"/>
      <c r="S534" s="32">
        <f t="shared" si="132"/>
        <v>0</v>
      </c>
      <c r="T534" s="10"/>
      <c r="U534" s="10"/>
      <c r="V534" s="10"/>
      <c r="W534" s="12">
        <f t="shared" si="133"/>
        <v>0</v>
      </c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0"/>
        <v>0</v>
      </c>
      <c r="H535" s="10"/>
      <c r="I535" s="10"/>
      <c r="J535" s="10"/>
      <c r="K535" s="12">
        <f t="shared" si="131"/>
        <v>0</v>
      </c>
      <c r="M535" s="10">
        <v>29</v>
      </c>
      <c r="N535" s="30"/>
      <c r="O535" s="31"/>
      <c r="P535" s="47"/>
      <c r="Q535" s="31"/>
      <c r="R535" s="31"/>
      <c r="S535" s="32">
        <f t="shared" si="132"/>
        <v>0</v>
      </c>
      <c r="T535" s="10"/>
      <c r="U535" s="10"/>
      <c r="V535" s="10"/>
      <c r="W535" s="12">
        <f t="shared" si="133"/>
        <v>0</v>
      </c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0"/>
        <v>0</v>
      </c>
      <c r="H536" s="10"/>
      <c r="I536" s="10"/>
      <c r="J536" s="10"/>
      <c r="K536" s="12">
        <f t="shared" si="131"/>
        <v>0</v>
      </c>
      <c r="M536" s="10">
        <v>30</v>
      </c>
      <c r="N536" s="30"/>
      <c r="O536" s="31"/>
      <c r="P536" s="47"/>
      <c r="Q536" s="31"/>
      <c r="R536" s="31"/>
      <c r="S536" s="32">
        <f t="shared" si="132"/>
        <v>0</v>
      </c>
      <c r="T536" s="10"/>
      <c r="U536" s="10"/>
      <c r="V536" s="10"/>
      <c r="W536" s="12">
        <f t="shared" si="133"/>
        <v>0</v>
      </c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0"/>
        <v>0</v>
      </c>
      <c r="H537" s="10"/>
      <c r="I537" s="10"/>
      <c r="J537" s="10"/>
      <c r="K537" s="12">
        <f t="shared" si="131"/>
        <v>0</v>
      </c>
      <c r="M537" s="10">
        <v>31</v>
      </c>
      <c r="N537" s="30"/>
      <c r="O537" s="31"/>
      <c r="P537" s="47"/>
      <c r="Q537" s="31"/>
      <c r="R537" s="31"/>
      <c r="S537" s="32">
        <f t="shared" si="132"/>
        <v>0</v>
      </c>
      <c r="T537" s="10"/>
      <c r="U537" s="10"/>
      <c r="V537" s="10"/>
      <c r="W537" s="12">
        <f t="shared" si="133"/>
        <v>0</v>
      </c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0"/>
        <v>0</v>
      </c>
      <c r="H538" s="10"/>
      <c r="I538" s="10"/>
      <c r="J538" s="10"/>
      <c r="K538" s="12">
        <f t="shared" si="131"/>
        <v>0</v>
      </c>
      <c r="M538" s="10">
        <v>32</v>
      </c>
      <c r="N538" s="30"/>
      <c r="O538" s="31"/>
      <c r="P538" s="47"/>
      <c r="Q538" s="31"/>
      <c r="R538" s="31"/>
      <c r="S538" s="32">
        <f t="shared" si="132"/>
        <v>0</v>
      </c>
      <c r="T538" s="10"/>
      <c r="U538" s="10"/>
      <c r="V538" s="10"/>
      <c r="W538" s="12">
        <f t="shared" si="133"/>
        <v>0</v>
      </c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0"/>
        <v>0</v>
      </c>
      <c r="H539" s="10"/>
      <c r="I539" s="10"/>
      <c r="J539" s="10"/>
      <c r="K539" s="12">
        <f t="shared" si="131"/>
        <v>0</v>
      </c>
      <c r="M539" s="10">
        <v>33</v>
      </c>
      <c r="N539" s="30"/>
      <c r="O539" s="31"/>
      <c r="P539" s="47"/>
      <c r="Q539" s="31"/>
      <c r="R539" s="31"/>
      <c r="S539" s="32">
        <f t="shared" si="132"/>
        <v>0</v>
      </c>
      <c r="T539" s="10"/>
      <c r="U539" s="10"/>
      <c r="V539" s="10"/>
      <c r="W539" s="12">
        <f t="shared" si="133"/>
        <v>0</v>
      </c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0"/>
        <v>0</v>
      </c>
      <c r="H540" s="10"/>
      <c r="I540" s="10"/>
      <c r="J540" s="10"/>
      <c r="K540" s="12">
        <f t="shared" si="131"/>
        <v>0</v>
      </c>
      <c r="M540" s="10">
        <v>34</v>
      </c>
      <c r="N540" s="30"/>
      <c r="O540" s="31"/>
      <c r="P540" s="47"/>
      <c r="Q540" s="31"/>
      <c r="R540" s="31"/>
      <c r="S540" s="32">
        <f t="shared" si="132"/>
        <v>0</v>
      </c>
      <c r="T540" s="10"/>
      <c r="U540" s="10"/>
      <c r="V540" s="10"/>
      <c r="W540" s="12">
        <f t="shared" si="133"/>
        <v>0</v>
      </c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32"/>
        <v>0</v>
      </c>
      <c r="T541" s="10"/>
      <c r="U541" s="10"/>
      <c r="V541" s="10"/>
      <c r="W541" s="12">
        <f t="shared" si="133"/>
        <v>0</v>
      </c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32"/>
        <v>0</v>
      </c>
      <c r="T542" s="10"/>
      <c r="U542" s="10"/>
      <c r="V542" s="10"/>
      <c r="W542" s="12">
        <f t="shared" si="133"/>
        <v>0</v>
      </c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32"/>
        <v>0</v>
      </c>
      <c r="T543" s="10"/>
      <c r="U543" s="10"/>
      <c r="V543" s="10"/>
      <c r="W543" s="12">
        <f t="shared" si="133"/>
        <v>0</v>
      </c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32"/>
        <v>0</v>
      </c>
      <c r="T544" s="10"/>
      <c r="U544" s="10"/>
      <c r="V544" s="10"/>
      <c r="W544" s="12">
        <f t="shared" si="133"/>
        <v>0</v>
      </c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32"/>
        <v>0</v>
      </c>
      <c r="T545" s="10"/>
      <c r="U545" s="10"/>
      <c r="V545" s="10"/>
      <c r="W545" s="12">
        <f t="shared" si="133"/>
        <v>0</v>
      </c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33"/>
        <v>0</v>
      </c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7">SUM(D547:E547)</f>
        <v>0</v>
      </c>
      <c r="H547" s="10"/>
      <c r="I547" s="10"/>
      <c r="J547" s="10"/>
      <c r="K547" s="12">
        <f t="shared" ref="K547" si="138">SUM(G547:J547)</f>
        <v>0</v>
      </c>
      <c r="M547" s="10"/>
      <c r="N547" s="30"/>
      <c r="O547" s="31"/>
      <c r="P547" s="47"/>
      <c r="Q547" s="31"/>
      <c r="R547" s="31"/>
      <c r="S547" s="32">
        <f t="shared" ref="S547" si="139">SUM(P547:Q547)</f>
        <v>0</v>
      </c>
      <c r="T547" s="10"/>
      <c r="U547" s="10"/>
      <c r="V547" s="10"/>
      <c r="W547" s="12">
        <f t="shared" si="133"/>
        <v>0</v>
      </c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33"/>
        <v>0</v>
      </c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299391.77</v>
      </c>
      <c r="E550" s="38">
        <f t="shared" ref="E550:F550" si="140">SUM(E507:E547)</f>
        <v>0</v>
      </c>
      <c r="F550" s="38">
        <f t="shared" si="140"/>
        <v>0</v>
      </c>
      <c r="G550" s="38">
        <f>SUM(G507:G549)</f>
        <v>299391.77</v>
      </c>
      <c r="H550" s="4"/>
      <c r="I550" s="39">
        <f>SUM(I507:I549)</f>
        <v>2772</v>
      </c>
      <c r="J550" s="39">
        <f>SUM(J507:J549)</f>
        <v>0</v>
      </c>
      <c r="K550" s="40">
        <f>SUM(K507:K549)</f>
        <v>302163.77</v>
      </c>
      <c r="N550" s="57"/>
      <c r="O550" s="57"/>
      <c r="P550" s="38">
        <f>SUM(P507:P549)</f>
        <v>233516</v>
      </c>
      <c r="Q550" s="38">
        <f>SUM(Q507:Q531)</f>
        <v>-1944</v>
      </c>
      <c r="R550" s="38">
        <f>SUM(R507:R531)</f>
        <v>0</v>
      </c>
      <c r="S550" s="38">
        <f>SUM(S507:S549)</f>
        <v>231572</v>
      </c>
      <c r="T550" s="4"/>
      <c r="U550" s="41">
        <f>SUM(U507:U549)</f>
        <v>486</v>
      </c>
      <c r="V550" s="41">
        <f>SUM(V507:V531)</f>
        <v>-972</v>
      </c>
      <c r="W550" s="42">
        <f>SUM(W507:W549)</f>
        <v>231086</v>
      </c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Y557" t="s">
        <v>54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66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Y558" s="21" t="s">
        <v>66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2" t="s">
        <v>17</v>
      </c>
      <c r="E560" s="112"/>
      <c r="F560" s="99"/>
      <c r="G560" s="27"/>
      <c r="I560" s="110" t="s">
        <v>18</v>
      </c>
      <c r="J560" s="111"/>
      <c r="K560" s="108" t="s">
        <v>19</v>
      </c>
      <c r="M560" s="62"/>
      <c r="N560" s="65"/>
      <c r="O560" s="89"/>
      <c r="P560" s="107"/>
      <c r="Q560" s="107"/>
      <c r="R560" s="89"/>
      <c r="S560" s="89"/>
      <c r="T560" s="62"/>
      <c r="U560" s="107"/>
      <c r="V560" s="107"/>
      <c r="W560" s="106"/>
      <c r="Z560" s="25"/>
      <c r="AA560" s="26"/>
      <c r="AB560" s="112" t="s">
        <v>17</v>
      </c>
      <c r="AC560" s="112"/>
      <c r="AD560" s="99"/>
      <c r="AE560" s="27"/>
      <c r="AG560" s="110" t="s">
        <v>18</v>
      </c>
      <c r="AH560" s="111"/>
      <c r="AI560" s="10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09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6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67</v>
      </c>
      <c r="C562" s="83">
        <v>10545</v>
      </c>
      <c r="D562" s="32">
        <f>650*540+622*30+229*24</f>
        <v>375156</v>
      </c>
      <c r="E562" s="32">
        <f>-570*6</f>
        <v>-3420</v>
      </c>
      <c r="F562" s="32"/>
      <c r="G562" s="32">
        <f t="shared" ref="G562:G595" si="141">SUM(D562:E562)</f>
        <v>371736</v>
      </c>
      <c r="H562" s="12"/>
      <c r="I562" s="12">
        <f>111*82+78*22</f>
        <v>10818</v>
      </c>
      <c r="J562" s="12">
        <f>-42*35</f>
        <v>-1470</v>
      </c>
      <c r="K562" s="12">
        <f t="shared" ref="K562:K595" si="142">SUM(G562:J562)</f>
        <v>381084</v>
      </c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Y562" s="10">
        <v>1</v>
      </c>
      <c r="Z562" s="30" t="s">
        <v>67</v>
      </c>
      <c r="AA562" s="31">
        <v>10495</v>
      </c>
      <c r="AB562" s="32">
        <f>650*216+670*10+622*50+229*9</f>
        <v>180261</v>
      </c>
      <c r="AC562" s="32">
        <f>-276*6</f>
        <v>-1656</v>
      </c>
      <c r="AD562" s="32"/>
      <c r="AE562" s="32">
        <f>SUM(AB562:AC562)</f>
        <v>178605</v>
      </c>
      <c r="AF562" s="12"/>
      <c r="AG562" s="12">
        <f>111*43+1.5*198</f>
        <v>5070</v>
      </c>
      <c r="AH562" s="12"/>
      <c r="AI562" s="12">
        <f>SUM(AE562:AH562)</f>
        <v>183675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67</v>
      </c>
      <c r="C563" s="83">
        <f>C562+1</f>
        <v>10546</v>
      </c>
      <c r="D563" s="32">
        <f>650*5+9.5*5</f>
        <v>3297.5</v>
      </c>
      <c r="E563" s="32"/>
      <c r="F563" s="32"/>
      <c r="G563" s="32">
        <f t="shared" si="141"/>
        <v>3297.5</v>
      </c>
      <c r="H563" s="12"/>
      <c r="I563" s="12"/>
      <c r="J563" s="12"/>
      <c r="K563" s="12">
        <f t="shared" si="142"/>
        <v>3297.5</v>
      </c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Y563" s="10">
        <v>2</v>
      </c>
      <c r="Z563" s="30" t="s">
        <v>67</v>
      </c>
      <c r="AA563" s="31">
        <f>AA562+1</f>
        <v>10496</v>
      </c>
      <c r="AB563" s="32">
        <f>650*52+670+622*5+229*2</f>
        <v>38038</v>
      </c>
      <c r="AC563" s="32"/>
      <c r="AD563" s="32"/>
      <c r="AE563" s="32">
        <f t="shared" ref="AE563:AE600" si="143">SUM(AB563:AC563)</f>
        <v>38038</v>
      </c>
      <c r="AF563" s="12"/>
      <c r="AG563" s="12">
        <f>2.25*7+1.5*35</f>
        <v>68.25</v>
      </c>
      <c r="AH563" s="12"/>
      <c r="AI563" s="12">
        <f t="shared" ref="AI563:AI603" si="144">SUM(AE563:AH563)</f>
        <v>38106.25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5">C563+1</f>
        <v>10547</v>
      </c>
      <c r="D564" s="33">
        <f>650*100+670*2+973+622*10+700*6+500</f>
        <v>78233</v>
      </c>
      <c r="E564" s="33"/>
      <c r="F564" s="33"/>
      <c r="G564" s="33">
        <f t="shared" si="141"/>
        <v>78233</v>
      </c>
      <c r="H564" s="34"/>
      <c r="I564" s="34"/>
      <c r="J564" s="34"/>
      <c r="K564" s="34">
        <f t="shared" si="142"/>
        <v>78233</v>
      </c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Y564" s="10">
        <v>3</v>
      </c>
      <c r="Z564" s="30" t="s">
        <v>67</v>
      </c>
      <c r="AA564" s="31">
        <f t="shared" ref="AA564:AA571" si="146">AA563+1</f>
        <v>10497</v>
      </c>
      <c r="AB564" s="33">
        <f>622*32</f>
        <v>19904</v>
      </c>
      <c r="AC564" s="33"/>
      <c r="AD564" s="32"/>
      <c r="AE564" s="32">
        <f t="shared" si="143"/>
        <v>19904</v>
      </c>
      <c r="AF564" s="12"/>
      <c r="AG564" s="12"/>
      <c r="AH564" s="12"/>
      <c r="AI564" s="12">
        <f t="shared" si="144"/>
        <v>19904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67</v>
      </c>
      <c r="C565" s="83">
        <f t="shared" si="145"/>
        <v>10548</v>
      </c>
      <c r="D565" s="32">
        <f>650*19+670*3+9.5*19</f>
        <v>14540.5</v>
      </c>
      <c r="E565" s="32"/>
      <c r="F565" s="32"/>
      <c r="G565" s="32">
        <f t="shared" si="141"/>
        <v>14540.5</v>
      </c>
      <c r="H565" s="12"/>
      <c r="I565" s="12"/>
      <c r="J565" s="12">
        <f>-33*111</f>
        <v>-3663</v>
      </c>
      <c r="K565" s="12">
        <f t="shared" si="142"/>
        <v>10877.5</v>
      </c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Y565" s="10">
        <v>4</v>
      </c>
      <c r="Z565" s="30" t="s">
        <v>67</v>
      </c>
      <c r="AA565" s="31">
        <f t="shared" si="146"/>
        <v>10498</v>
      </c>
      <c r="AB565" s="32">
        <f>650*25+670*5+229</f>
        <v>19829</v>
      </c>
      <c r="AC565" s="32"/>
      <c r="AD565" s="32"/>
      <c r="AE565" s="32">
        <f t="shared" si="143"/>
        <v>19829</v>
      </c>
      <c r="AF565" s="12"/>
      <c r="AH565" s="12"/>
      <c r="AI565" s="12">
        <f t="shared" si="144"/>
        <v>19829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67</v>
      </c>
      <c r="C566" s="83">
        <f>C565+1</f>
        <v>10549</v>
      </c>
      <c r="D566" s="32">
        <f>650*11+9.5*11</f>
        <v>7254.5</v>
      </c>
      <c r="E566" s="32"/>
      <c r="F566" s="32"/>
      <c r="G566" s="32">
        <f t="shared" si="141"/>
        <v>7254.5</v>
      </c>
      <c r="H566" s="12"/>
      <c r="I566" s="12"/>
      <c r="J566" s="12"/>
      <c r="K566" s="12">
        <f t="shared" si="142"/>
        <v>7254.5</v>
      </c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Y566" s="10">
        <v>5</v>
      </c>
      <c r="Z566" s="30" t="s">
        <v>67</v>
      </c>
      <c r="AA566" s="31">
        <f t="shared" si="146"/>
        <v>10499</v>
      </c>
      <c r="AB566" s="32">
        <f>650*11+872</f>
        <v>8022</v>
      </c>
      <c r="AC566" s="32"/>
      <c r="AD566" s="32"/>
      <c r="AE566" s="32">
        <f t="shared" si="143"/>
        <v>8022</v>
      </c>
      <c r="AF566" s="12"/>
      <c r="AG566" s="12"/>
      <c r="AH566" s="12"/>
      <c r="AI566" s="12">
        <f t="shared" si="144"/>
        <v>8022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67</v>
      </c>
      <c r="C567" s="83">
        <f t="shared" ref="C567" si="147">C566+1</f>
        <v>10550</v>
      </c>
      <c r="D567" s="32">
        <f>622*3</f>
        <v>1866</v>
      </c>
      <c r="E567" s="32"/>
      <c r="F567" s="32"/>
      <c r="G567" s="32">
        <f t="shared" si="141"/>
        <v>1866</v>
      </c>
      <c r="H567" s="12"/>
      <c r="I567" s="12"/>
      <c r="J567" s="12"/>
      <c r="K567" s="12">
        <f t="shared" si="142"/>
        <v>1866</v>
      </c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Y567" s="10">
        <v>6</v>
      </c>
      <c r="Z567" s="30" t="s">
        <v>67</v>
      </c>
      <c r="AA567" s="31">
        <f t="shared" si="146"/>
        <v>10500</v>
      </c>
      <c r="AB567" s="32">
        <f>650*12+670+9.5*12</f>
        <v>8584</v>
      </c>
      <c r="AC567" s="32"/>
      <c r="AD567" s="32"/>
      <c r="AE567" s="32">
        <f t="shared" si="143"/>
        <v>8584</v>
      </c>
      <c r="AF567" s="12"/>
      <c r="AG567" s="12"/>
      <c r="AH567" s="10">
        <v>-444</v>
      </c>
      <c r="AI567" s="12">
        <f t="shared" si="144"/>
        <v>8140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11" t="s">
        <v>27</v>
      </c>
      <c r="D568" s="32"/>
      <c r="E568" s="32"/>
      <c r="F568" s="32"/>
      <c r="G568" s="32">
        <f t="shared" si="141"/>
        <v>0</v>
      </c>
      <c r="H568" s="12"/>
      <c r="I568" s="12"/>
      <c r="J568" s="12"/>
      <c r="K568" s="12">
        <f t="shared" si="142"/>
        <v>0</v>
      </c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Y568" s="10">
        <v>7</v>
      </c>
      <c r="Z568" s="30" t="s">
        <v>67</v>
      </c>
      <c r="AA568" s="31">
        <v>10601</v>
      </c>
      <c r="AB568" s="32">
        <f>650+670*3</f>
        <v>2660</v>
      </c>
      <c r="AC568" s="32"/>
      <c r="AD568" s="32"/>
      <c r="AE568" s="32">
        <f t="shared" si="143"/>
        <v>2660</v>
      </c>
      <c r="AF568" s="12"/>
      <c r="AG568" s="58"/>
      <c r="AH568" s="12"/>
      <c r="AI568" s="12">
        <f t="shared" si="144"/>
        <v>2660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41"/>
        <v>0</v>
      </c>
      <c r="H569" s="12"/>
      <c r="I569" s="12"/>
      <c r="J569" s="12"/>
      <c r="K569" s="12">
        <f t="shared" si="142"/>
        <v>0</v>
      </c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Y569" s="10">
        <v>8</v>
      </c>
      <c r="Z569" s="30" t="s">
        <v>67</v>
      </c>
      <c r="AA569" s="31">
        <f t="shared" si="146"/>
        <v>10602</v>
      </c>
      <c r="AB569" s="32">
        <f>650*10+229</f>
        <v>6729</v>
      </c>
      <c r="AC569" s="32"/>
      <c r="AE569" s="32">
        <f t="shared" si="143"/>
        <v>6729</v>
      </c>
      <c r="AF569" s="12"/>
      <c r="AG569" s="12"/>
      <c r="AH569" s="12"/>
      <c r="AI569" s="12">
        <f t="shared" si="144"/>
        <v>6729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41"/>
        <v>0</v>
      </c>
      <c r="H570" s="12"/>
      <c r="I570" s="12"/>
      <c r="J570" s="12"/>
      <c r="K570" s="12">
        <f t="shared" si="142"/>
        <v>0</v>
      </c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Y570" s="10">
        <v>9</v>
      </c>
      <c r="Z570" s="30" t="s">
        <v>67</v>
      </c>
      <c r="AA570" s="31">
        <f t="shared" si="146"/>
        <v>10603</v>
      </c>
      <c r="AB570" s="32">
        <f>650*5</f>
        <v>3250</v>
      </c>
      <c r="AC570" s="32"/>
      <c r="AD570" s="32"/>
      <c r="AE570" s="32">
        <f t="shared" si="143"/>
        <v>3250</v>
      </c>
      <c r="AF570" s="12"/>
      <c r="AG570" s="12"/>
      <c r="AH570" s="12"/>
      <c r="AI570" s="12">
        <f t="shared" si="144"/>
        <v>3250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41"/>
        <v>0</v>
      </c>
      <c r="H571" s="12"/>
      <c r="I571" s="12"/>
      <c r="J571" s="12"/>
      <c r="K571" s="12">
        <f t="shared" si="142"/>
        <v>0</v>
      </c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Y571" s="10">
        <v>10</v>
      </c>
      <c r="Z571" s="30" t="s">
        <v>67</v>
      </c>
      <c r="AA571" s="31">
        <f t="shared" si="146"/>
        <v>10604</v>
      </c>
      <c r="AB571" s="32">
        <f>650*5+622*4</f>
        <v>5738</v>
      </c>
      <c r="AC571" s="32"/>
      <c r="AD571" s="32"/>
      <c r="AE571" s="32">
        <f t="shared" si="143"/>
        <v>5738</v>
      </c>
      <c r="AF571" s="12"/>
      <c r="AG571" s="12"/>
      <c r="AH571" s="12"/>
      <c r="AI571" s="12">
        <f t="shared" si="144"/>
        <v>5738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41"/>
        <v>0</v>
      </c>
      <c r="H572" s="12"/>
      <c r="I572" s="12"/>
      <c r="J572" s="12"/>
      <c r="K572" s="12">
        <f t="shared" si="142"/>
        <v>0</v>
      </c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Y572" s="10">
        <v>11</v>
      </c>
      <c r="Z572" s="30"/>
      <c r="AA572" s="11" t="s">
        <v>27</v>
      </c>
      <c r="AB572" s="32"/>
      <c r="AC572" s="32"/>
      <c r="AD572" s="32"/>
      <c r="AE572" s="32">
        <f t="shared" si="143"/>
        <v>0</v>
      </c>
      <c r="AF572" s="12"/>
      <c r="AG572" s="12"/>
      <c r="AH572" s="12"/>
      <c r="AI572" s="12">
        <f t="shared" si="144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41"/>
        <v>0</v>
      </c>
      <c r="H573" s="12"/>
      <c r="I573" s="12"/>
      <c r="J573" s="10"/>
      <c r="K573" s="12">
        <f t="shared" si="142"/>
        <v>0</v>
      </c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Y573" s="10">
        <v>12</v>
      </c>
      <c r="Z573" s="30"/>
      <c r="AA573" s="31"/>
      <c r="AB573" s="32"/>
      <c r="AC573" s="32"/>
      <c r="AD573" s="32"/>
      <c r="AE573" s="32">
        <f t="shared" si="143"/>
        <v>0</v>
      </c>
      <c r="AF573" s="12"/>
      <c r="AG573" s="12"/>
      <c r="AH573" s="12"/>
      <c r="AI573" s="12">
        <f t="shared" si="144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41"/>
        <v>0</v>
      </c>
      <c r="H574" s="12"/>
      <c r="I574" s="12"/>
      <c r="J574" s="12"/>
      <c r="K574" s="12">
        <f t="shared" si="142"/>
        <v>0</v>
      </c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Y574" s="10">
        <v>13</v>
      </c>
      <c r="Z574" s="30"/>
      <c r="AA574" s="31"/>
      <c r="AB574" s="32"/>
      <c r="AC574" s="32"/>
      <c r="AD574" s="32"/>
      <c r="AE574" s="32">
        <f t="shared" si="143"/>
        <v>0</v>
      </c>
      <c r="AF574" s="12"/>
      <c r="AG574" s="12"/>
      <c r="AH574" s="12"/>
      <c r="AI574" s="12">
        <f t="shared" si="144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41"/>
        <v>0</v>
      </c>
      <c r="H575" s="12"/>
      <c r="I575" s="12"/>
      <c r="J575" s="12"/>
      <c r="K575" s="12">
        <f t="shared" si="142"/>
        <v>0</v>
      </c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Y575" s="10">
        <v>14</v>
      </c>
      <c r="Z575" s="30"/>
      <c r="AA575" s="31"/>
      <c r="AB575" s="32"/>
      <c r="AC575" s="32"/>
      <c r="AD575" s="32"/>
      <c r="AE575" s="32">
        <f t="shared" si="143"/>
        <v>0</v>
      </c>
      <c r="AF575" s="12"/>
      <c r="AG575" s="12"/>
      <c r="AH575" s="12"/>
      <c r="AI575" s="12">
        <f t="shared" si="144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41"/>
        <v>0</v>
      </c>
      <c r="H576" s="12"/>
      <c r="I576" s="12"/>
      <c r="J576" s="12"/>
      <c r="K576" s="12">
        <f t="shared" si="142"/>
        <v>0</v>
      </c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Y576" s="10">
        <v>15</v>
      </c>
      <c r="Z576" s="30"/>
      <c r="AA576" s="31"/>
      <c r="AB576" s="32"/>
      <c r="AC576" s="32"/>
      <c r="AD576" s="32"/>
      <c r="AE576" s="32">
        <f t="shared" si="143"/>
        <v>0</v>
      </c>
      <c r="AF576" s="12"/>
      <c r="AG576" s="12"/>
      <c r="AH576" s="12"/>
      <c r="AI576" s="12">
        <f t="shared" si="144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41"/>
        <v>0</v>
      </c>
      <c r="H577" s="12"/>
      <c r="I577" s="12"/>
      <c r="J577" s="12"/>
      <c r="K577" s="12">
        <f t="shared" si="142"/>
        <v>0</v>
      </c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Y577" s="10">
        <v>16</v>
      </c>
      <c r="Z577" s="30"/>
      <c r="AB577" s="32"/>
      <c r="AC577" s="32"/>
      <c r="AD577" s="32"/>
      <c r="AE577" s="32">
        <f t="shared" si="143"/>
        <v>0</v>
      </c>
      <c r="AF577" s="12"/>
      <c r="AG577" s="12"/>
      <c r="AH577" s="12"/>
      <c r="AI577" s="12">
        <f t="shared" si="144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41"/>
        <v>0</v>
      </c>
      <c r="H578" s="12"/>
      <c r="I578" s="12"/>
      <c r="J578" s="12"/>
      <c r="K578" s="12">
        <f t="shared" si="142"/>
        <v>0</v>
      </c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Y578" s="10">
        <v>17</v>
      </c>
      <c r="Z578" s="30"/>
      <c r="AA578" s="31"/>
      <c r="AB578" s="35"/>
      <c r="AC578" s="32"/>
      <c r="AD578" s="32"/>
      <c r="AE578" s="32">
        <f t="shared" si="143"/>
        <v>0</v>
      </c>
      <c r="AF578" s="12"/>
      <c r="AG578" s="12"/>
      <c r="AH578" s="12"/>
      <c r="AI578" s="12">
        <f t="shared" si="144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41"/>
        <v>0</v>
      </c>
      <c r="H579" s="12"/>
      <c r="I579" s="12"/>
      <c r="J579" s="12"/>
      <c r="K579" s="12">
        <f t="shared" si="142"/>
        <v>0</v>
      </c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Y579" s="10">
        <v>18</v>
      </c>
      <c r="Z579" s="30"/>
      <c r="AA579" s="31"/>
      <c r="AB579" s="32"/>
      <c r="AC579" s="32"/>
      <c r="AD579" s="32"/>
      <c r="AE579" s="32">
        <f t="shared" si="143"/>
        <v>0</v>
      </c>
      <c r="AF579" s="12"/>
      <c r="AG579" s="12"/>
      <c r="AH579" s="12"/>
      <c r="AI579" s="12">
        <f t="shared" si="144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41"/>
        <v>0</v>
      </c>
      <c r="H580" s="12"/>
      <c r="I580" s="12"/>
      <c r="J580" s="12"/>
      <c r="K580" s="12">
        <f t="shared" si="142"/>
        <v>0</v>
      </c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Y580" s="10">
        <v>19</v>
      </c>
      <c r="Z580" s="30"/>
      <c r="AA580" s="31"/>
      <c r="AB580" s="32"/>
      <c r="AC580" s="32"/>
      <c r="AD580" s="32"/>
      <c r="AE580" s="32">
        <f t="shared" si="143"/>
        <v>0</v>
      </c>
      <c r="AF580" s="12"/>
      <c r="AG580" s="12"/>
      <c r="AH580" s="12"/>
      <c r="AI580" s="12">
        <f t="shared" si="144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41"/>
        <v>0</v>
      </c>
      <c r="H581" s="12"/>
      <c r="I581" s="12"/>
      <c r="J581" s="12"/>
      <c r="K581" s="12">
        <f t="shared" si="142"/>
        <v>0</v>
      </c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Y581" s="10">
        <v>20</v>
      </c>
      <c r="Z581" s="30"/>
      <c r="AB581" s="32"/>
      <c r="AC581" s="32"/>
      <c r="AD581" s="32"/>
      <c r="AE581" s="32">
        <f t="shared" si="143"/>
        <v>0</v>
      </c>
      <c r="AF581" s="12"/>
      <c r="AG581" s="12"/>
      <c r="AH581" s="12"/>
      <c r="AI581" s="12">
        <f t="shared" si="144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41"/>
        <v>0</v>
      </c>
      <c r="H582" s="10"/>
      <c r="I582" s="10"/>
      <c r="J582" s="10"/>
      <c r="K582" s="12">
        <f t="shared" si="142"/>
        <v>0</v>
      </c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Y582" s="10">
        <v>21</v>
      </c>
      <c r="Z582" s="30"/>
      <c r="AA582" s="31"/>
      <c r="AB582" s="46"/>
      <c r="AC582" s="31"/>
      <c r="AD582" s="31"/>
      <c r="AE582" s="32">
        <f t="shared" si="143"/>
        <v>0</v>
      </c>
      <c r="AF582" s="10"/>
      <c r="AG582" s="10"/>
      <c r="AH582" s="10"/>
      <c r="AI582" s="12">
        <f t="shared" si="144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41"/>
        <v>0</v>
      </c>
      <c r="H583" s="10"/>
      <c r="I583" s="10"/>
      <c r="J583" s="10"/>
      <c r="K583" s="12">
        <f t="shared" si="142"/>
        <v>0</v>
      </c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Y583" s="10">
        <v>22</v>
      </c>
      <c r="Z583" s="30"/>
      <c r="AA583" s="31"/>
      <c r="AB583" s="45"/>
      <c r="AC583" s="31"/>
      <c r="AD583" s="31"/>
      <c r="AE583" s="32">
        <f t="shared" si="143"/>
        <v>0</v>
      </c>
      <c r="AF583" s="10"/>
      <c r="AG583" s="10"/>
      <c r="AH583" s="10"/>
      <c r="AI583" s="12">
        <f t="shared" si="144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41"/>
        <v>0</v>
      </c>
      <c r="H584" s="10"/>
      <c r="I584" s="10"/>
      <c r="J584" s="12"/>
      <c r="K584" s="12">
        <f t="shared" si="142"/>
        <v>0</v>
      </c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Y584" s="10">
        <v>23</v>
      </c>
      <c r="Z584" s="30"/>
      <c r="AA584" s="31"/>
      <c r="AB584" s="47"/>
      <c r="AC584" s="31"/>
      <c r="AE584" s="32">
        <f t="shared" si="143"/>
        <v>0</v>
      </c>
      <c r="AF584" s="10"/>
      <c r="AG584" s="10"/>
      <c r="AH584" s="10"/>
      <c r="AI584" s="12">
        <f t="shared" si="144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41"/>
        <v>0</v>
      </c>
      <c r="H585" s="10"/>
      <c r="I585" s="10"/>
      <c r="J585" s="10"/>
      <c r="K585" s="12">
        <f t="shared" si="142"/>
        <v>0</v>
      </c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Y585" s="10">
        <v>24</v>
      </c>
      <c r="Z585" s="30"/>
      <c r="AA585" s="31"/>
      <c r="AB585" s="47"/>
      <c r="AC585" s="31"/>
      <c r="AD585" s="31"/>
      <c r="AE585" s="32">
        <f t="shared" si="143"/>
        <v>0</v>
      </c>
      <c r="AF585" s="10"/>
      <c r="AG585" s="10"/>
      <c r="AH585" s="10"/>
      <c r="AI585" s="12">
        <f t="shared" si="144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41"/>
        <v>0</v>
      </c>
      <c r="H586" s="10"/>
      <c r="I586" s="10"/>
      <c r="J586" s="10"/>
      <c r="K586" s="12">
        <f t="shared" si="142"/>
        <v>0</v>
      </c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Y586" s="10">
        <v>25</v>
      </c>
      <c r="Z586" s="30"/>
      <c r="AA586" s="31"/>
      <c r="AB586" s="47"/>
      <c r="AC586" s="31"/>
      <c r="AD586" s="31"/>
      <c r="AE586" s="32">
        <f t="shared" si="143"/>
        <v>0</v>
      </c>
      <c r="AF586" s="10"/>
      <c r="AG586" s="10"/>
      <c r="AH586" s="10"/>
      <c r="AI586" s="12">
        <f t="shared" si="144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41"/>
        <v>0</v>
      </c>
      <c r="H587" s="10"/>
      <c r="I587" s="10"/>
      <c r="J587" s="10"/>
      <c r="K587" s="12">
        <f t="shared" si="142"/>
        <v>0</v>
      </c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Y587" s="10">
        <v>26</v>
      </c>
      <c r="Z587" s="30"/>
      <c r="AA587" s="31"/>
      <c r="AB587" s="47"/>
      <c r="AC587" s="31"/>
      <c r="AD587" s="31"/>
      <c r="AE587" s="32">
        <f t="shared" si="143"/>
        <v>0</v>
      </c>
      <c r="AF587" s="10"/>
      <c r="AG587" s="10"/>
      <c r="AH587" s="10"/>
      <c r="AI587" s="12">
        <f t="shared" si="144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41"/>
        <v>0</v>
      </c>
      <c r="H588" s="10"/>
      <c r="I588" s="10"/>
      <c r="J588" s="10"/>
      <c r="K588" s="12">
        <f t="shared" si="142"/>
        <v>0</v>
      </c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Y588" s="10">
        <v>27</v>
      </c>
      <c r="Z588" s="30"/>
      <c r="AA588" s="31"/>
      <c r="AB588" s="47"/>
      <c r="AC588" s="31"/>
      <c r="AD588" s="31"/>
      <c r="AE588" s="32">
        <f t="shared" si="143"/>
        <v>0</v>
      </c>
      <c r="AF588" s="10"/>
      <c r="AG588" s="10"/>
      <c r="AH588" s="10"/>
      <c r="AI588" s="12">
        <f t="shared" si="144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41"/>
        <v>0</v>
      </c>
      <c r="H589" s="10"/>
      <c r="I589" s="10"/>
      <c r="J589" s="10"/>
      <c r="K589" s="12">
        <f t="shared" si="142"/>
        <v>0</v>
      </c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Y589" s="10">
        <v>28</v>
      </c>
      <c r="Z589" s="30"/>
      <c r="AA589" s="31"/>
      <c r="AB589" s="47"/>
      <c r="AC589" s="31"/>
      <c r="AD589" s="31"/>
      <c r="AE589" s="32">
        <f t="shared" si="143"/>
        <v>0</v>
      </c>
      <c r="AF589" s="10"/>
      <c r="AG589" s="10"/>
      <c r="AH589" s="10"/>
      <c r="AI589" s="12">
        <f t="shared" si="144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41"/>
        <v>0</v>
      </c>
      <c r="H590" s="10"/>
      <c r="I590" s="10"/>
      <c r="J590" s="10"/>
      <c r="K590" s="12">
        <f t="shared" si="142"/>
        <v>0</v>
      </c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Y590" s="10">
        <v>29</v>
      </c>
      <c r="Z590" s="30"/>
      <c r="AA590" s="31"/>
      <c r="AB590" s="47"/>
      <c r="AC590" s="31"/>
      <c r="AD590" s="31"/>
      <c r="AE590" s="32">
        <f t="shared" si="143"/>
        <v>0</v>
      </c>
      <c r="AF590" s="10"/>
      <c r="AG590" s="10"/>
      <c r="AH590" s="10"/>
      <c r="AI590" s="12">
        <f t="shared" si="144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41"/>
        <v>0</v>
      </c>
      <c r="H591" s="10"/>
      <c r="I591" s="10"/>
      <c r="J591" s="10"/>
      <c r="K591" s="12">
        <f t="shared" si="142"/>
        <v>0</v>
      </c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Y591" s="10">
        <v>30</v>
      </c>
      <c r="Z591" s="30"/>
      <c r="AA591" s="31"/>
      <c r="AB591" s="47"/>
      <c r="AC591" s="31"/>
      <c r="AD591" s="31"/>
      <c r="AE591" s="32">
        <f t="shared" si="143"/>
        <v>0</v>
      </c>
      <c r="AF591" s="10"/>
      <c r="AG591" s="10"/>
      <c r="AH591" s="10"/>
      <c r="AI591" s="12">
        <f t="shared" si="144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41"/>
        <v>0</v>
      </c>
      <c r="H592" s="10"/>
      <c r="I592" s="10"/>
      <c r="J592" s="10"/>
      <c r="K592" s="12">
        <f t="shared" si="142"/>
        <v>0</v>
      </c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Y592" s="10">
        <v>31</v>
      </c>
      <c r="Z592" s="30"/>
      <c r="AA592" s="31"/>
      <c r="AB592" s="47"/>
      <c r="AC592" s="31"/>
      <c r="AD592" s="31"/>
      <c r="AE592" s="32">
        <f t="shared" si="143"/>
        <v>0</v>
      </c>
      <c r="AF592" s="10"/>
      <c r="AG592" s="10"/>
      <c r="AH592" s="10"/>
      <c r="AI592" s="12">
        <f t="shared" si="144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41"/>
        <v>0</v>
      </c>
      <c r="H593" s="10"/>
      <c r="I593" s="10"/>
      <c r="J593" s="10"/>
      <c r="K593" s="12">
        <f t="shared" si="142"/>
        <v>0</v>
      </c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Y593" s="10">
        <v>32</v>
      </c>
      <c r="Z593" s="30"/>
      <c r="AA593" s="31"/>
      <c r="AB593" s="47"/>
      <c r="AC593" s="31"/>
      <c r="AD593" s="31"/>
      <c r="AE593" s="32">
        <f t="shared" si="143"/>
        <v>0</v>
      </c>
      <c r="AF593" s="10"/>
      <c r="AG593" s="10"/>
      <c r="AH593" s="10"/>
      <c r="AI593" s="12">
        <f t="shared" si="144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41"/>
        <v>0</v>
      </c>
      <c r="H594" s="10"/>
      <c r="I594" s="10"/>
      <c r="J594" s="10"/>
      <c r="K594" s="12">
        <f t="shared" si="142"/>
        <v>0</v>
      </c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Y594" s="10">
        <v>33</v>
      </c>
      <c r="Z594" s="30"/>
      <c r="AA594" s="31"/>
      <c r="AB594" s="47"/>
      <c r="AC594" s="31"/>
      <c r="AD594" s="31"/>
      <c r="AE594" s="32">
        <f t="shared" si="143"/>
        <v>0</v>
      </c>
      <c r="AF594" s="10"/>
      <c r="AG594" s="10"/>
      <c r="AH594" s="10"/>
      <c r="AI594" s="12">
        <f t="shared" si="144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41"/>
        <v>0</v>
      </c>
      <c r="H595" s="10"/>
      <c r="I595" s="10"/>
      <c r="J595" s="10"/>
      <c r="K595" s="12">
        <f t="shared" si="142"/>
        <v>0</v>
      </c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Y595" s="10">
        <v>34</v>
      </c>
      <c r="Z595" s="30"/>
      <c r="AA595" s="31"/>
      <c r="AB595" s="47"/>
      <c r="AC595" s="31"/>
      <c r="AD595" s="31"/>
      <c r="AE595" s="32">
        <f t="shared" si="143"/>
        <v>0</v>
      </c>
      <c r="AF595" s="10"/>
      <c r="AG595" s="10"/>
      <c r="AH595" s="10"/>
      <c r="AI595" s="12">
        <f t="shared" si="144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Y596" s="10">
        <v>35</v>
      </c>
      <c r="Z596" s="30"/>
      <c r="AA596" s="31"/>
      <c r="AB596" s="47"/>
      <c r="AC596" s="31"/>
      <c r="AD596" s="31"/>
      <c r="AE596" s="32">
        <f t="shared" si="143"/>
        <v>0</v>
      </c>
      <c r="AF596" s="10"/>
      <c r="AG596" s="10"/>
      <c r="AH596" s="10"/>
      <c r="AI596" s="12">
        <f t="shared" si="144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Y597" s="10">
        <v>36</v>
      </c>
      <c r="Z597" s="30"/>
      <c r="AA597" s="31"/>
      <c r="AB597" s="47"/>
      <c r="AC597" s="31"/>
      <c r="AD597" s="31"/>
      <c r="AE597" s="32">
        <f t="shared" si="143"/>
        <v>0</v>
      </c>
      <c r="AF597" s="10"/>
      <c r="AG597" s="10"/>
      <c r="AH597" s="10"/>
      <c r="AI597" s="12">
        <f t="shared" si="144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Y598" s="10">
        <v>37</v>
      </c>
      <c r="Z598" s="30"/>
      <c r="AA598" s="31"/>
      <c r="AB598" s="47"/>
      <c r="AC598" s="31"/>
      <c r="AD598" s="31"/>
      <c r="AE598" s="32">
        <f t="shared" si="143"/>
        <v>0</v>
      </c>
      <c r="AF598" s="10"/>
      <c r="AG598" s="10"/>
      <c r="AH598" s="10"/>
      <c r="AI598" s="12">
        <f t="shared" si="144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Y599" s="10">
        <v>38</v>
      </c>
      <c r="Z599" s="30"/>
      <c r="AA599" s="31"/>
      <c r="AB599" s="47"/>
      <c r="AC599" s="31"/>
      <c r="AD599" s="31"/>
      <c r="AE599" s="32">
        <f t="shared" si="143"/>
        <v>0</v>
      </c>
      <c r="AF599" s="10"/>
      <c r="AG599" s="10"/>
      <c r="AH599" s="10"/>
      <c r="AI599" s="12">
        <f t="shared" si="144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Y600" s="10">
        <v>39</v>
      </c>
      <c r="Z600" s="30"/>
      <c r="AA600" s="31"/>
      <c r="AB600" s="47"/>
      <c r="AC600" s="31"/>
      <c r="AD600" s="31"/>
      <c r="AE600" s="32">
        <f t="shared" si="143"/>
        <v>0</v>
      </c>
      <c r="AF600" s="10"/>
      <c r="AG600" s="10"/>
      <c r="AH600" s="10"/>
      <c r="AI600" s="12">
        <f t="shared" si="144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4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8">SUM(D602:E602)</f>
        <v>0</v>
      </c>
      <c r="H602" s="10"/>
      <c r="I602" s="10"/>
      <c r="J602" s="10"/>
      <c r="K602" s="12">
        <f t="shared" ref="K602" si="149">SUM(G602:J602)</f>
        <v>0</v>
      </c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4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4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480347.5</v>
      </c>
      <c r="E605" s="38">
        <f t="shared" ref="E605:F605" si="151">SUM(E562:E602)</f>
        <v>-3420</v>
      </c>
      <c r="F605" s="38">
        <f t="shared" si="151"/>
        <v>0</v>
      </c>
      <c r="G605" s="38">
        <f>SUM(G562:G604)</f>
        <v>476927.5</v>
      </c>
      <c r="H605" s="4"/>
      <c r="I605" s="39">
        <f>SUM(I562:I604)</f>
        <v>10818</v>
      </c>
      <c r="J605" s="39">
        <f>SUM(J562:J604)</f>
        <v>-5133</v>
      </c>
      <c r="K605" s="40">
        <f>SUM(K562:K604)</f>
        <v>482612.5</v>
      </c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Z605" s="57"/>
      <c r="AA605" s="57"/>
      <c r="AB605" s="38">
        <f>SUM(AB562:AB604)</f>
        <v>293015</v>
      </c>
      <c r="AC605" s="38">
        <f>SUM(AC562:AC586)</f>
        <v>-1656</v>
      </c>
      <c r="AD605" s="38">
        <f>SUM(AD562:AD586)</f>
        <v>0</v>
      </c>
      <c r="AE605" s="38">
        <f>SUM(AE562:AE604)</f>
        <v>291359</v>
      </c>
      <c r="AF605" s="4"/>
      <c r="AG605" s="41">
        <f>SUM(AG562:AG604)</f>
        <v>5138.25</v>
      </c>
      <c r="AH605" s="41">
        <f>SUM(AH562:AH586)</f>
        <v>-444</v>
      </c>
      <c r="AI605" s="42">
        <f>SUM(AI562:AI604)</f>
        <v>296053.25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37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37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37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69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69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69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2" t="s">
        <v>17</v>
      </c>
      <c r="E615" s="112"/>
      <c r="F615" s="100"/>
      <c r="G615" s="27"/>
      <c r="I615" s="110" t="s">
        <v>18</v>
      </c>
      <c r="J615" s="111"/>
      <c r="K615" s="108" t="s">
        <v>19</v>
      </c>
      <c r="N615" s="25"/>
      <c r="O615" s="26"/>
      <c r="P615" s="112" t="s">
        <v>17</v>
      </c>
      <c r="Q615" s="112"/>
      <c r="R615" s="100"/>
      <c r="S615" s="27"/>
      <c r="U615" s="110" t="s">
        <v>18</v>
      </c>
      <c r="V615" s="111"/>
      <c r="W615" s="108" t="s">
        <v>19</v>
      </c>
      <c r="Z615" s="25"/>
      <c r="AA615" s="26"/>
      <c r="AB615" s="112" t="s">
        <v>17</v>
      </c>
      <c r="AC615" s="112"/>
      <c r="AD615" s="100"/>
      <c r="AE615" s="27"/>
      <c r="AG615" s="110" t="s">
        <v>18</v>
      </c>
      <c r="AH615" s="111"/>
      <c r="AI615" s="10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70</v>
      </c>
      <c r="C617" s="83">
        <v>10651</v>
      </c>
      <c r="D617" s="32">
        <f>650*324</f>
        <v>210600</v>
      </c>
      <c r="E617" s="32">
        <f>-324*6</f>
        <v>-1944</v>
      </c>
      <c r="F617" s="32"/>
      <c r="G617" s="32">
        <f t="shared" ref="G617:G650" si="152">SUM(D617:E617)</f>
        <v>208656</v>
      </c>
      <c r="H617" s="12"/>
      <c r="I617" s="12">
        <f>111*324</f>
        <v>35964</v>
      </c>
      <c r="J617" s="12"/>
      <c r="K617" s="12">
        <f t="shared" ref="K617:K650" si="153">SUM(G617:J617)</f>
        <v>244620</v>
      </c>
      <c r="M617" s="10">
        <v>1</v>
      </c>
      <c r="N617" s="30" t="s">
        <v>70</v>
      </c>
      <c r="O617" s="31">
        <v>10445</v>
      </c>
      <c r="P617" s="32">
        <f>650*50+670*2+622*15+229*3</f>
        <v>43857</v>
      </c>
      <c r="Q617" s="32"/>
      <c r="R617" s="32"/>
      <c r="S617" s="32">
        <f>SUM(P617:Q617)</f>
        <v>43857</v>
      </c>
      <c r="T617" s="12"/>
      <c r="U617" s="12"/>
      <c r="V617" s="12"/>
      <c r="W617" s="12">
        <f>SUM(S617:V617)</f>
        <v>43857</v>
      </c>
      <c r="Y617" s="10">
        <v>1</v>
      </c>
      <c r="Z617" s="30" t="s">
        <v>70</v>
      </c>
      <c r="AA617" s="31">
        <v>10605</v>
      </c>
      <c r="AB617" s="32">
        <f>650*216+622*50+229*5</f>
        <v>172645</v>
      </c>
      <c r="AC617" s="32">
        <f>-266*6</f>
        <v>-1596</v>
      </c>
      <c r="AD617" s="32"/>
      <c r="AE617" s="32">
        <f>SUM(AB617:AC617)</f>
        <v>171049</v>
      </c>
      <c r="AF617" s="12"/>
      <c r="AG617" s="12">
        <f>53*111</f>
        <v>5883</v>
      </c>
      <c r="AH617" s="12"/>
      <c r="AI617" s="12">
        <f>SUM(AE617:AH617)</f>
        <v>176932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70</v>
      </c>
      <c r="C618" s="83">
        <f>C617+1</f>
        <v>10652</v>
      </c>
      <c r="D618" s="32">
        <f>650*38+670*2</f>
        <v>26040</v>
      </c>
      <c r="E618" s="32"/>
      <c r="F618" s="32"/>
      <c r="G618" s="32">
        <f t="shared" si="152"/>
        <v>26040</v>
      </c>
      <c r="H618" s="12"/>
      <c r="I618" s="12">
        <f>4.5*36</f>
        <v>162</v>
      </c>
      <c r="J618" s="12">
        <f>-111*4</f>
        <v>-444</v>
      </c>
      <c r="K618" s="12">
        <f t="shared" si="153"/>
        <v>25758</v>
      </c>
      <c r="M618" s="10">
        <v>2</v>
      </c>
      <c r="N618" s="30" t="s">
        <v>70</v>
      </c>
      <c r="O618" s="31">
        <f>O617+1</f>
        <v>10446</v>
      </c>
      <c r="P618" s="32">
        <f>650*7+622</f>
        <v>5172</v>
      </c>
      <c r="Q618" s="32"/>
      <c r="R618" s="32"/>
      <c r="S618" s="32">
        <f t="shared" ref="S618:S655" si="154">SUM(P618:Q618)</f>
        <v>5172</v>
      </c>
      <c r="T618" s="12"/>
      <c r="U618" s="12"/>
      <c r="V618" s="12"/>
      <c r="W618" s="12">
        <f t="shared" ref="W618:W658" si="155">SUM(S618:V618)</f>
        <v>5172</v>
      </c>
      <c r="Y618" s="10">
        <v>2</v>
      </c>
      <c r="Z618" s="30" t="s">
        <v>70</v>
      </c>
      <c r="AA618" s="31">
        <f>AA617+1</f>
        <v>10606</v>
      </c>
      <c r="AB618" s="32">
        <f>650*216+229*6</f>
        <v>141774</v>
      </c>
      <c r="AC618" s="32">
        <f>-216*6</f>
        <v>-1296</v>
      </c>
      <c r="AD618" s="32"/>
      <c r="AE618" s="32">
        <f t="shared" ref="AE618:AE655" si="156">SUM(AB618:AC618)</f>
        <v>140478</v>
      </c>
      <c r="AF618" s="12"/>
      <c r="AG618" s="12"/>
      <c r="AH618" s="12"/>
      <c r="AI618" s="12">
        <f t="shared" ref="AI618:AI658" si="157">SUM(AE618:AH618)</f>
        <v>140478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70</v>
      </c>
      <c r="C619" s="83">
        <f>10354</f>
        <v>10354</v>
      </c>
      <c r="D619" s="33">
        <f>650*70+622*10+229*5</f>
        <v>52865</v>
      </c>
      <c r="E619" s="33"/>
      <c r="F619" s="33"/>
      <c r="G619" s="33">
        <f t="shared" si="152"/>
        <v>52865</v>
      </c>
      <c r="H619" s="34"/>
      <c r="I619" s="34">
        <f>111*80+78*5</f>
        <v>9270</v>
      </c>
      <c r="J619" s="34"/>
      <c r="K619" s="34">
        <f t="shared" si="153"/>
        <v>62135</v>
      </c>
      <c r="M619" s="10">
        <v>3</v>
      </c>
      <c r="N619" s="30" t="s">
        <v>70</v>
      </c>
      <c r="O619" s="31">
        <f t="shared" ref="O619:O626" si="158">O618+1</f>
        <v>10447</v>
      </c>
      <c r="P619" s="32">
        <f>650+622</f>
        <v>1272</v>
      </c>
      <c r="Q619" s="32"/>
      <c r="R619" s="32"/>
      <c r="S619" s="32">
        <f t="shared" si="154"/>
        <v>1272</v>
      </c>
      <c r="T619" s="12"/>
      <c r="U619" s="12">
        <f>111</f>
        <v>111</v>
      </c>
      <c r="V619" s="12"/>
      <c r="W619" s="12">
        <f t="shared" si="155"/>
        <v>1383</v>
      </c>
      <c r="Y619" s="10">
        <v>3</v>
      </c>
      <c r="Z619" s="30" t="s">
        <v>70</v>
      </c>
      <c r="AA619" s="31">
        <f t="shared" ref="AA619:AA622" si="159">AA618+1</f>
        <v>10607</v>
      </c>
      <c r="AB619" s="33">
        <f>650*40+622*10+229*10</f>
        <v>34510</v>
      </c>
      <c r="AC619" s="33">
        <f>-50*6</f>
        <v>-300</v>
      </c>
      <c r="AD619" s="32"/>
      <c r="AE619" s="32">
        <f t="shared" si="156"/>
        <v>34210</v>
      </c>
      <c r="AF619" s="12"/>
      <c r="AG619" s="12">
        <f>42*6</f>
        <v>252</v>
      </c>
      <c r="AH619" s="12">
        <f>-111*15</f>
        <v>-1665</v>
      </c>
      <c r="AI619" s="12">
        <f t="shared" si="157"/>
        <v>32797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52"/>
        <v>0</v>
      </c>
      <c r="H620" s="12"/>
      <c r="I620" s="12"/>
      <c r="J620" s="12"/>
      <c r="K620" s="12">
        <f t="shared" si="153"/>
        <v>0</v>
      </c>
      <c r="M620" s="10">
        <v>4</v>
      </c>
      <c r="N620" s="30" t="s">
        <v>70</v>
      </c>
      <c r="O620" s="31">
        <f t="shared" si="158"/>
        <v>10448</v>
      </c>
      <c r="P620" s="32">
        <f>670*2</f>
        <v>1340</v>
      </c>
      <c r="Q620" s="32"/>
      <c r="R620" s="32"/>
      <c r="S620" s="32">
        <f t="shared" si="154"/>
        <v>1340</v>
      </c>
      <c r="T620" s="12"/>
      <c r="U620" s="12">
        <f>4.5*10</f>
        <v>45</v>
      </c>
      <c r="V620" s="12"/>
      <c r="W620" s="12">
        <f t="shared" si="155"/>
        <v>1385</v>
      </c>
      <c r="Y620" s="10">
        <v>4</v>
      </c>
      <c r="Z620" s="30" t="s">
        <v>70</v>
      </c>
      <c r="AA620" s="31">
        <f t="shared" si="159"/>
        <v>10608</v>
      </c>
      <c r="AB620" s="32">
        <f>650*60+622*20+872</f>
        <v>52312</v>
      </c>
      <c r="AC620" s="32"/>
      <c r="AD620" s="32"/>
      <c r="AE620" s="32">
        <f t="shared" si="156"/>
        <v>52312</v>
      </c>
      <c r="AF620" s="12"/>
      <c r="AH620" s="12"/>
      <c r="AI620" s="12">
        <f t="shared" si="157"/>
        <v>52312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D621" s="32"/>
      <c r="E621" s="32"/>
      <c r="F621" s="32"/>
      <c r="G621" s="32">
        <f t="shared" si="152"/>
        <v>0</v>
      </c>
      <c r="H621" s="12"/>
      <c r="I621" s="12"/>
      <c r="J621" s="12"/>
      <c r="K621" s="12">
        <f t="shared" si="153"/>
        <v>0</v>
      </c>
      <c r="M621" s="10">
        <v>5</v>
      </c>
      <c r="N621" s="30" t="s">
        <v>70</v>
      </c>
      <c r="O621" s="31">
        <f t="shared" si="158"/>
        <v>10449</v>
      </c>
      <c r="P621" s="32">
        <f>650*7+622</f>
        <v>5172</v>
      </c>
      <c r="Q621" s="32"/>
      <c r="R621" s="32"/>
      <c r="S621" s="32">
        <f t="shared" si="154"/>
        <v>5172</v>
      </c>
      <c r="T621" s="12"/>
      <c r="U621" s="12"/>
      <c r="V621" s="12"/>
      <c r="W621" s="12">
        <f t="shared" si="155"/>
        <v>5172</v>
      </c>
      <c r="Y621" s="10">
        <v>5</v>
      </c>
      <c r="Z621" s="30" t="s">
        <v>70</v>
      </c>
      <c r="AA621" s="31">
        <f t="shared" si="159"/>
        <v>10609</v>
      </c>
      <c r="AB621" s="32">
        <f>650*7+670+622*20</f>
        <v>17660</v>
      </c>
      <c r="AC621" s="32"/>
      <c r="AD621" s="32"/>
      <c r="AE621" s="32">
        <f t="shared" si="156"/>
        <v>17660</v>
      </c>
      <c r="AF621" s="12"/>
      <c r="AG621" s="12"/>
      <c r="AH621" s="12"/>
      <c r="AI621" s="12">
        <f t="shared" si="157"/>
        <v>17660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83"/>
      <c r="D622" s="32"/>
      <c r="E622" s="32"/>
      <c r="F622" s="32"/>
      <c r="G622" s="32">
        <f t="shared" si="152"/>
        <v>0</v>
      </c>
      <c r="H622" s="12"/>
      <c r="I622" s="12"/>
      <c r="J622" s="12"/>
      <c r="K622" s="12">
        <f t="shared" si="153"/>
        <v>0</v>
      </c>
      <c r="M622" s="10">
        <v>6</v>
      </c>
      <c r="N622" s="30" t="s">
        <v>70</v>
      </c>
      <c r="O622" s="31">
        <f t="shared" si="158"/>
        <v>10450</v>
      </c>
      <c r="P622" s="32">
        <f>650*180+622*20+229*6</f>
        <v>130814</v>
      </c>
      <c r="Q622" s="32">
        <f>-200*6</f>
        <v>-1200</v>
      </c>
      <c r="R622" s="32"/>
      <c r="S622" s="32">
        <f t="shared" si="154"/>
        <v>129614</v>
      </c>
      <c r="T622" s="12"/>
      <c r="U622" s="12">
        <f>111*7+78*4</f>
        <v>1089</v>
      </c>
      <c r="V622" s="10">
        <f>-42*6</f>
        <v>-252</v>
      </c>
      <c r="W622" s="12">
        <f t="shared" si="155"/>
        <v>130451</v>
      </c>
      <c r="Y622" s="10">
        <v>6</v>
      </c>
      <c r="Z622" s="30" t="s">
        <v>70</v>
      </c>
      <c r="AA622" s="31">
        <f t="shared" si="159"/>
        <v>10610</v>
      </c>
      <c r="AB622" s="32">
        <f>622*4</f>
        <v>2488</v>
      </c>
      <c r="AC622" s="32"/>
      <c r="AD622" s="32"/>
      <c r="AE622" s="32">
        <f t="shared" si="156"/>
        <v>2488</v>
      </c>
      <c r="AF622" s="12"/>
      <c r="AG622" s="12"/>
      <c r="AH622" s="10"/>
      <c r="AI622" s="12">
        <f t="shared" si="157"/>
        <v>2488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 t="s">
        <v>70</v>
      </c>
      <c r="O623" s="31">
        <f t="shared" si="158"/>
        <v>10451</v>
      </c>
      <c r="P623" s="32">
        <f>650*52</f>
        <v>33800</v>
      </c>
      <c r="Q623" s="32"/>
      <c r="R623" s="32"/>
      <c r="S623" s="32">
        <f t="shared" si="154"/>
        <v>33800</v>
      </c>
      <c r="T623" s="12"/>
      <c r="U623" s="12"/>
      <c r="V623" s="12"/>
      <c r="W623" s="12">
        <f t="shared" si="155"/>
        <v>33800</v>
      </c>
      <c r="Y623" s="10">
        <v>7</v>
      </c>
      <c r="Z623" s="30" t="s">
        <v>70</v>
      </c>
      <c r="AA623" s="31">
        <v>10611</v>
      </c>
      <c r="AB623" s="32">
        <f>650*15+622*4</f>
        <v>12238</v>
      </c>
      <c r="AC623" s="32"/>
      <c r="AD623" s="32"/>
      <c r="AE623" s="32">
        <f t="shared" si="156"/>
        <v>12238</v>
      </c>
      <c r="AF623" s="12"/>
      <c r="AG623" s="58"/>
      <c r="AH623" s="12">
        <f>-111*1</f>
        <v>-111</v>
      </c>
      <c r="AI623" s="12">
        <f t="shared" si="157"/>
        <v>12127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 t="s">
        <v>70</v>
      </c>
      <c r="O624" s="31">
        <f t="shared" si="158"/>
        <v>10452</v>
      </c>
      <c r="P624" s="32">
        <f>650*10+9.5*10</f>
        <v>6595</v>
      </c>
      <c r="Q624" s="32"/>
      <c r="R624" s="32"/>
      <c r="S624" s="32">
        <f t="shared" si="154"/>
        <v>6595</v>
      </c>
      <c r="T624" s="12"/>
      <c r="U624" s="12"/>
      <c r="V624" s="12"/>
      <c r="W624" s="12">
        <f t="shared" si="155"/>
        <v>6595</v>
      </c>
      <c r="Y624" s="10">
        <v>8</v>
      </c>
      <c r="Z624" s="30"/>
      <c r="AA624" s="11" t="s">
        <v>27</v>
      </c>
      <c r="AB624" s="32"/>
      <c r="AC624" s="32"/>
      <c r="AE624" s="32">
        <f t="shared" si="156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 t="s">
        <v>70</v>
      </c>
      <c r="O625" s="31">
        <f t="shared" si="158"/>
        <v>10453</v>
      </c>
      <c r="P625" s="32">
        <f>650*30+670*2+622*3+229</f>
        <v>22935</v>
      </c>
      <c r="Q625" s="32"/>
      <c r="R625" s="32"/>
      <c r="S625" s="32">
        <f t="shared" si="154"/>
        <v>22935</v>
      </c>
      <c r="T625" s="12"/>
      <c r="U625" s="12"/>
      <c r="V625" s="12">
        <f>-111*12</f>
        <v>-1332</v>
      </c>
      <c r="W625" s="12">
        <f t="shared" si="155"/>
        <v>21603</v>
      </c>
      <c r="Y625" s="10">
        <v>9</v>
      </c>
      <c r="Z625" s="30"/>
      <c r="AA625" s="31"/>
      <c r="AB625" s="32"/>
      <c r="AC625" s="32"/>
      <c r="AD625" s="32"/>
      <c r="AE625" s="32">
        <f t="shared" si="156"/>
        <v>0</v>
      </c>
      <c r="AF625" s="12"/>
      <c r="AG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 t="s">
        <v>70</v>
      </c>
      <c r="O626" s="31">
        <f t="shared" si="158"/>
        <v>10454</v>
      </c>
      <c r="P626" s="32">
        <f>650*10</f>
        <v>6500</v>
      </c>
      <c r="Q626" s="32"/>
      <c r="R626" s="32"/>
      <c r="S626" s="32">
        <f t="shared" si="154"/>
        <v>6500</v>
      </c>
      <c r="T626" s="12"/>
      <c r="U626" s="12"/>
      <c r="V626" s="12"/>
      <c r="W626" s="12">
        <f t="shared" si="155"/>
        <v>6500</v>
      </c>
      <c r="Y626" s="10">
        <v>10</v>
      </c>
      <c r="Z626" s="30"/>
      <c r="AA626" s="31"/>
      <c r="AB626" s="32"/>
      <c r="AC626" s="32"/>
      <c r="AD626" s="32"/>
      <c r="AE626" s="32">
        <f t="shared" si="156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11" t="s">
        <v>27</v>
      </c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B627" s="32"/>
      <c r="AC627" s="32"/>
      <c r="AD627" s="32"/>
      <c r="AE627" s="32">
        <f t="shared" si="156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56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56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56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56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83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3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B632" s="32"/>
      <c r="AC632" s="32"/>
      <c r="AD632" s="32"/>
      <c r="AE632" s="32">
        <f t="shared" si="156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56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1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56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56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56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57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56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56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C639" s="31"/>
      <c r="AE639" s="32">
        <f t="shared" si="156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56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56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56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56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56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56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56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56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56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56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56"/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56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56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56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56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56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0">SUM(D657:E657)</f>
        <v>0</v>
      </c>
      <c r="H657" s="10"/>
      <c r="I657" s="10"/>
      <c r="J657" s="10"/>
      <c r="K657" s="12">
        <f t="shared" ref="K657" si="161">SUM(G657:J657)</f>
        <v>0</v>
      </c>
      <c r="M657" s="10"/>
      <c r="N657" s="30"/>
      <c r="O657" s="31"/>
      <c r="P657" s="47"/>
      <c r="Q657" s="31"/>
      <c r="R657" s="31"/>
      <c r="S657" s="32">
        <f t="shared" ref="S657" si="162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3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289505</v>
      </c>
      <c r="E660" s="38">
        <f t="shared" ref="E660:F660" si="164">SUM(E617:E657)</f>
        <v>-1944</v>
      </c>
      <c r="F660" s="38">
        <f t="shared" si="164"/>
        <v>0</v>
      </c>
      <c r="G660" s="38">
        <f>SUM(G617:G659)</f>
        <v>287561</v>
      </c>
      <c r="H660" s="4"/>
      <c r="I660" s="39">
        <f>SUM(I617:I659)</f>
        <v>45396</v>
      </c>
      <c r="J660" s="39">
        <f>SUM(J617:J659)</f>
        <v>-444</v>
      </c>
      <c r="K660" s="40">
        <f>SUM(K617:K659)</f>
        <v>332513</v>
      </c>
      <c r="N660" s="57"/>
      <c r="O660" s="57"/>
      <c r="P660" s="38">
        <f>SUM(P617:P659)</f>
        <v>257457</v>
      </c>
      <c r="Q660" s="38">
        <f>SUM(Q617:Q641)</f>
        <v>-1200</v>
      </c>
      <c r="R660" s="38">
        <f>SUM(R617:R641)</f>
        <v>0</v>
      </c>
      <c r="S660" s="38">
        <f>SUM(S617:S659)</f>
        <v>256257</v>
      </c>
      <c r="T660" s="4"/>
      <c r="U660" s="41">
        <f>SUM(U617:U659)</f>
        <v>1245</v>
      </c>
      <c r="V660" s="41">
        <f>SUM(V617:V641)</f>
        <v>-1584</v>
      </c>
      <c r="W660" s="42">
        <f>SUM(W617:W659)</f>
        <v>255918</v>
      </c>
      <c r="Z660" s="57"/>
      <c r="AA660" s="57"/>
      <c r="AB660" s="38">
        <f>SUM(AB617:AB659)</f>
        <v>433627</v>
      </c>
      <c r="AC660" s="38">
        <f>SUM(AC617:AC641)</f>
        <v>-3192</v>
      </c>
      <c r="AD660" s="38">
        <f>SUM(AD617:AD641)</f>
        <v>0</v>
      </c>
      <c r="AE660" s="38">
        <f>SUM(AE617:AE659)</f>
        <v>430435</v>
      </c>
      <c r="AF660" s="4"/>
      <c r="AG660" s="41">
        <f>SUM(AG617:AG659)</f>
        <v>6135</v>
      </c>
      <c r="AH660" s="41">
        <f>SUM(AH617:AH641)</f>
        <v>-1776</v>
      </c>
      <c r="AI660" s="42">
        <f>SUM(AI617:AI659)</f>
        <v>434794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M663" t="s">
        <v>28</v>
      </c>
      <c r="N663" s="57"/>
      <c r="O663" s="57"/>
      <c r="P663" s="57"/>
      <c r="Q663" s="57"/>
      <c r="R663" s="57"/>
      <c r="S663" s="57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M665" s="4" t="s">
        <v>14</v>
      </c>
      <c r="N665" s="57"/>
      <c r="O665" s="57"/>
      <c r="P665" s="57"/>
      <c r="Q665" s="57"/>
      <c r="R665" s="57"/>
      <c r="S665" s="57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7"/>
      <c r="E670" s="107"/>
      <c r="F670" s="89"/>
      <c r="G670" s="89"/>
      <c r="H670" s="62"/>
      <c r="I670" s="107"/>
      <c r="J670" s="107"/>
      <c r="K670" s="106"/>
      <c r="N670" s="25"/>
      <c r="O670" s="26"/>
      <c r="P670" s="112" t="s">
        <v>17</v>
      </c>
      <c r="Q670" s="112"/>
      <c r="R670" s="101"/>
      <c r="S670" s="27"/>
      <c r="U670" s="110" t="s">
        <v>18</v>
      </c>
      <c r="V670" s="111"/>
      <c r="W670" s="108" t="s">
        <v>19</v>
      </c>
      <c r="Y670" s="62"/>
      <c r="Z670" s="65"/>
      <c r="AA670" s="89"/>
      <c r="AB670" s="107"/>
      <c r="AC670" s="107"/>
      <c r="AD670" s="89"/>
      <c r="AE670" s="89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6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9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72</v>
      </c>
      <c r="O672" s="31">
        <v>10555</v>
      </c>
      <c r="P672" s="32">
        <f>1667+650</f>
        <v>2317</v>
      </c>
      <c r="Q672" s="32"/>
      <c r="R672" s="32"/>
      <c r="S672" s="32">
        <f>SUM(P672:Q672)</f>
        <v>2317</v>
      </c>
      <c r="T672" s="12"/>
      <c r="U672" s="12"/>
      <c r="V672" s="12"/>
      <c r="W672" s="12">
        <f>SUM(S672:V672)</f>
        <v>2317</v>
      </c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72</v>
      </c>
      <c r="O673" s="31">
        <f>O672+1</f>
        <v>10556</v>
      </c>
      <c r="P673" s="32">
        <f>650*100+670*5+622*20+229*2</f>
        <v>81248</v>
      </c>
      <c r="Q673" s="32">
        <f>-125*6</f>
        <v>-750</v>
      </c>
      <c r="R673" s="32"/>
      <c r="S673" s="32">
        <f t="shared" ref="S673:S716" si="165">SUM(P673:Q673)</f>
        <v>80498</v>
      </c>
      <c r="T673" s="12"/>
      <c r="U673" s="12">
        <f>1.5*48</f>
        <v>72</v>
      </c>
      <c r="V673" s="12"/>
      <c r="W673" s="12">
        <f t="shared" ref="W673:W716" si="166">SUM(S673:V673)</f>
        <v>80570</v>
      </c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72</v>
      </c>
      <c r="O674" s="31">
        <f t="shared" ref="O674" si="167">O673+1</f>
        <v>10557</v>
      </c>
      <c r="P674" s="32">
        <f>650*216+670*10+229*9</f>
        <v>149161</v>
      </c>
      <c r="Q674" s="32">
        <f>-226*6</f>
        <v>-1356</v>
      </c>
      <c r="R674" s="32"/>
      <c r="S674" s="32">
        <f t="shared" si="165"/>
        <v>147805</v>
      </c>
      <c r="T674" s="12"/>
      <c r="U674" s="12">
        <f>78*7</f>
        <v>546</v>
      </c>
      <c r="V674" s="12">
        <f>-111*9</f>
        <v>-999</v>
      </c>
      <c r="W674" s="12">
        <f t="shared" si="166"/>
        <v>147352</v>
      </c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/>
      <c r="O675" s="11" t="s">
        <v>27</v>
      </c>
      <c r="P675" s="32"/>
      <c r="Q675" s="32"/>
      <c r="R675" s="32"/>
      <c r="S675" s="32">
        <f t="shared" si="165"/>
        <v>0</v>
      </c>
      <c r="T675" s="12"/>
      <c r="U675" s="12"/>
      <c r="V675" s="12"/>
      <c r="W675" s="12">
        <f t="shared" si="166"/>
        <v>0</v>
      </c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/>
      <c r="O676" s="31"/>
      <c r="P676" s="32"/>
      <c r="Q676" s="32"/>
      <c r="R676" s="32"/>
      <c r="S676" s="32">
        <f t="shared" si="165"/>
        <v>0</v>
      </c>
      <c r="T676" s="12"/>
      <c r="U676" s="12"/>
      <c r="V676" s="12"/>
      <c r="W676" s="12">
        <f t="shared" si="166"/>
        <v>0</v>
      </c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/>
      <c r="O677" s="31"/>
      <c r="P677" s="32"/>
      <c r="Q677" s="32"/>
      <c r="R677" s="32"/>
      <c r="S677" s="32">
        <f t="shared" si="165"/>
        <v>0</v>
      </c>
      <c r="T677" s="12"/>
      <c r="U677" s="12"/>
      <c r="V677" s="10"/>
      <c r="W677" s="12">
        <f t="shared" si="166"/>
        <v>0</v>
      </c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/>
      <c r="O678" s="31"/>
      <c r="P678" s="32"/>
      <c r="Q678" s="32"/>
      <c r="R678" s="32"/>
      <c r="S678" s="32">
        <f t="shared" si="165"/>
        <v>0</v>
      </c>
      <c r="T678" s="12"/>
      <c r="U678" s="12"/>
      <c r="V678" s="12"/>
      <c r="W678" s="12">
        <f t="shared" si="166"/>
        <v>0</v>
      </c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/>
      <c r="O679" s="31"/>
      <c r="P679" s="32"/>
      <c r="Q679" s="32"/>
      <c r="R679" s="32"/>
      <c r="S679" s="32">
        <f t="shared" si="165"/>
        <v>0</v>
      </c>
      <c r="T679" s="12"/>
      <c r="U679" s="12"/>
      <c r="V679" s="12"/>
      <c r="W679" s="12">
        <f t="shared" si="166"/>
        <v>0</v>
      </c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/>
      <c r="O680" s="31"/>
      <c r="P680" s="32"/>
      <c r="Q680" s="32"/>
      <c r="R680" s="32"/>
      <c r="S680" s="32">
        <f t="shared" si="165"/>
        <v>0</v>
      </c>
      <c r="T680" s="12"/>
      <c r="U680" s="12"/>
      <c r="V680" s="12"/>
      <c r="W680" s="12">
        <f t="shared" si="166"/>
        <v>0</v>
      </c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/>
      <c r="O681" s="31"/>
      <c r="P681" s="32"/>
      <c r="Q681" s="32"/>
      <c r="R681" s="32"/>
      <c r="S681" s="32">
        <f t="shared" si="165"/>
        <v>0</v>
      </c>
      <c r="T681" s="12"/>
      <c r="U681" s="12"/>
      <c r="V681" s="12"/>
      <c r="W681" s="12">
        <f t="shared" si="166"/>
        <v>0</v>
      </c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P682" s="32"/>
      <c r="Q682" s="32"/>
      <c r="R682" s="32"/>
      <c r="S682" s="32">
        <f t="shared" si="165"/>
        <v>0</v>
      </c>
      <c r="T682" s="12"/>
      <c r="U682" s="12"/>
      <c r="V682" s="12"/>
      <c r="W682" s="12">
        <f t="shared" si="166"/>
        <v>0</v>
      </c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65"/>
        <v>0</v>
      </c>
      <c r="T683" s="12"/>
      <c r="U683" s="12"/>
      <c r="V683" s="12"/>
      <c r="W683" s="12">
        <f t="shared" si="166"/>
        <v>0</v>
      </c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65"/>
        <v>0</v>
      </c>
      <c r="T684" s="12"/>
      <c r="U684" s="12"/>
      <c r="V684" s="12"/>
      <c r="W684" s="12">
        <f t="shared" si="166"/>
        <v>0</v>
      </c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65"/>
        <v>0</v>
      </c>
      <c r="T685" s="12"/>
      <c r="U685" s="12"/>
      <c r="V685" s="12"/>
      <c r="W685" s="12">
        <f t="shared" si="166"/>
        <v>0</v>
      </c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65"/>
        <v>0</v>
      </c>
      <c r="T686" s="12"/>
      <c r="U686" s="12"/>
      <c r="V686" s="12"/>
      <c r="W686" s="12">
        <f t="shared" si="166"/>
        <v>0</v>
      </c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65"/>
        <v>0</v>
      </c>
      <c r="T687" s="12"/>
      <c r="U687" s="12"/>
      <c r="V687" s="12"/>
      <c r="W687" s="12">
        <f t="shared" si="166"/>
        <v>0</v>
      </c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P688" s="35"/>
      <c r="Q688" s="32"/>
      <c r="R688" s="32"/>
      <c r="S688" s="32">
        <f t="shared" si="165"/>
        <v>0</v>
      </c>
      <c r="T688" s="12"/>
      <c r="U688" s="12"/>
      <c r="V688" s="12"/>
      <c r="W688" s="12">
        <f t="shared" si="166"/>
        <v>0</v>
      </c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11"/>
      <c r="P689" s="32"/>
      <c r="Q689" s="32"/>
      <c r="R689" s="32"/>
      <c r="S689" s="32">
        <f t="shared" si="165"/>
        <v>0</v>
      </c>
      <c r="T689" s="12"/>
      <c r="U689" s="12"/>
      <c r="V689" s="12"/>
      <c r="W689" s="12">
        <f t="shared" si="166"/>
        <v>0</v>
      </c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65"/>
        <v>0</v>
      </c>
      <c r="T690" s="12"/>
      <c r="U690" s="12"/>
      <c r="V690" s="12"/>
      <c r="W690" s="12">
        <f t="shared" si="166"/>
        <v>0</v>
      </c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P691" s="32"/>
      <c r="Q691" s="32"/>
      <c r="R691" s="32"/>
      <c r="S691" s="32">
        <f t="shared" si="165"/>
        <v>0</v>
      </c>
      <c r="T691" s="12"/>
      <c r="U691" s="12"/>
      <c r="V691" s="12"/>
      <c r="W691" s="12">
        <f t="shared" si="166"/>
        <v>0</v>
      </c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O692" s="31"/>
      <c r="P692" s="46"/>
      <c r="Q692" s="31"/>
      <c r="R692" s="31"/>
      <c r="S692" s="32">
        <f t="shared" si="165"/>
        <v>0</v>
      </c>
      <c r="T692" s="10"/>
      <c r="U692" s="10"/>
      <c r="V692" s="10"/>
      <c r="W692" s="12">
        <f t="shared" si="166"/>
        <v>0</v>
      </c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65"/>
        <v>0</v>
      </c>
      <c r="T693" s="10"/>
      <c r="U693" s="10"/>
      <c r="V693" s="10"/>
      <c r="W693" s="12">
        <f t="shared" si="166"/>
        <v>0</v>
      </c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45"/>
      <c r="S694" s="32">
        <f t="shared" si="165"/>
        <v>0</v>
      </c>
      <c r="T694" s="10"/>
      <c r="U694" s="10"/>
      <c r="V694" s="10"/>
      <c r="W694" s="12">
        <f t="shared" si="166"/>
        <v>0</v>
      </c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65"/>
        <v>0</v>
      </c>
      <c r="T695" s="10"/>
      <c r="U695" s="10"/>
      <c r="V695" s="10"/>
      <c r="W695" s="12">
        <f t="shared" si="166"/>
        <v>0</v>
      </c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65"/>
        <v>0</v>
      </c>
      <c r="T696" s="10"/>
      <c r="U696" s="10"/>
      <c r="V696" s="10"/>
      <c r="W696" s="12">
        <f t="shared" si="166"/>
        <v>0</v>
      </c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O697" s="31"/>
      <c r="P697" s="47"/>
      <c r="Q697" s="31"/>
      <c r="R697" s="31"/>
      <c r="S697" s="32">
        <f t="shared" si="165"/>
        <v>0</v>
      </c>
      <c r="T697" s="10"/>
      <c r="U697" s="10"/>
      <c r="V697" s="10"/>
      <c r="W697" s="12">
        <f t="shared" si="166"/>
        <v>0</v>
      </c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65"/>
        <v>0</v>
      </c>
      <c r="T698" s="10"/>
      <c r="U698" s="10"/>
      <c r="V698" s="10"/>
      <c r="W698" s="12">
        <f t="shared" si="166"/>
        <v>0</v>
      </c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65"/>
        <v>0</v>
      </c>
      <c r="T699" s="10"/>
      <c r="U699" s="10"/>
      <c r="V699" s="10"/>
      <c r="W699" s="12">
        <f t="shared" si="166"/>
        <v>0</v>
      </c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65"/>
        <v>0</v>
      </c>
      <c r="T700" s="10"/>
      <c r="U700" s="10"/>
      <c r="V700" s="10"/>
      <c r="W700" s="12">
        <f t="shared" si="166"/>
        <v>0</v>
      </c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O701" s="31"/>
      <c r="P701" s="47"/>
      <c r="Q701" s="31"/>
      <c r="R701" s="31"/>
      <c r="S701" s="32">
        <f t="shared" si="165"/>
        <v>0</v>
      </c>
      <c r="T701" s="10"/>
      <c r="U701" s="10"/>
      <c r="V701" s="10"/>
      <c r="W701" s="12">
        <f t="shared" si="166"/>
        <v>0</v>
      </c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65"/>
        <v>0</v>
      </c>
      <c r="T702" s="10"/>
      <c r="U702" s="10"/>
      <c r="V702" s="10"/>
      <c r="W702" s="12">
        <f t="shared" si="166"/>
        <v>0</v>
      </c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65"/>
        <v>0</v>
      </c>
      <c r="T703" s="10"/>
      <c r="U703" s="10"/>
      <c r="V703" s="10"/>
      <c r="W703" s="12">
        <f t="shared" si="166"/>
        <v>0</v>
      </c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65"/>
        <v>0</v>
      </c>
      <c r="T704" s="10"/>
      <c r="U704" s="10"/>
      <c r="V704" s="10"/>
      <c r="W704" s="12">
        <f t="shared" si="166"/>
        <v>0</v>
      </c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65"/>
        <v>0</v>
      </c>
      <c r="T705" s="10"/>
      <c r="U705" s="10"/>
      <c r="V705" s="10"/>
      <c r="W705" s="12">
        <f t="shared" si="166"/>
        <v>0</v>
      </c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65"/>
        <v>0</v>
      </c>
      <c r="T706" s="10"/>
      <c r="U706" s="10"/>
      <c r="V706" s="10"/>
      <c r="W706" s="12">
        <f t="shared" si="166"/>
        <v>0</v>
      </c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65"/>
        <v>0</v>
      </c>
      <c r="T707" s="10"/>
      <c r="U707" s="10"/>
      <c r="V707" s="10"/>
      <c r="W707" s="12">
        <f t="shared" si="166"/>
        <v>0</v>
      </c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65"/>
        <v>0</v>
      </c>
      <c r="T708" s="10"/>
      <c r="U708" s="10"/>
      <c r="V708" s="10"/>
      <c r="W708" s="12">
        <f t="shared" si="166"/>
        <v>0</v>
      </c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65"/>
        <v>0</v>
      </c>
      <c r="T709" s="10"/>
      <c r="U709" s="10"/>
      <c r="V709" s="10"/>
      <c r="W709" s="12">
        <f t="shared" si="166"/>
        <v>0</v>
      </c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65"/>
        <v>0</v>
      </c>
      <c r="T710" s="10"/>
      <c r="U710" s="10"/>
      <c r="V710" s="10"/>
      <c r="W710" s="12">
        <f t="shared" si="166"/>
        <v>0</v>
      </c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66"/>
        <v>0</v>
      </c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68">SUM(P712:Q712)</f>
        <v>0</v>
      </c>
      <c r="T712" s="10"/>
      <c r="U712" s="10"/>
      <c r="V712" s="10"/>
      <c r="W712" s="12">
        <f t="shared" si="166"/>
        <v>0</v>
      </c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66"/>
        <v>0</v>
      </c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232726</v>
      </c>
      <c r="Q715" s="38">
        <f>SUM(Q672:Q696)</f>
        <v>-2106</v>
      </c>
      <c r="R715" s="38">
        <f>SUM(R672:R696)</f>
        <v>0</v>
      </c>
      <c r="S715" s="38">
        <f>SUM(S672:S714)</f>
        <v>230620</v>
      </c>
      <c r="T715" s="4"/>
      <c r="U715" s="41">
        <f>SUM(U672:U714)</f>
        <v>618</v>
      </c>
      <c r="V715" s="41">
        <f>SUM(V672:V696)</f>
        <v>-999</v>
      </c>
      <c r="W715" s="42">
        <f>SUM(W672:W714)</f>
        <v>230239</v>
      </c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7"/>
      <c r="E725" s="107"/>
      <c r="F725" s="89"/>
      <c r="G725" s="89"/>
      <c r="H725" s="62"/>
      <c r="I725" s="107"/>
      <c r="J725" s="107"/>
      <c r="K725" s="106"/>
      <c r="L725" s="62"/>
      <c r="M725" s="62"/>
      <c r="N725" s="65"/>
      <c r="O725" s="89"/>
      <c r="P725" s="107"/>
      <c r="Q725" s="107"/>
      <c r="R725" s="89"/>
      <c r="S725" s="89"/>
      <c r="T725" s="62"/>
      <c r="U725" s="107"/>
      <c r="V725" s="107"/>
      <c r="W725" s="106"/>
      <c r="X725" s="62"/>
      <c r="Y725" s="62"/>
      <c r="Z725" s="65"/>
      <c r="AA725" s="89"/>
      <c r="AB725" s="107"/>
      <c r="AC725" s="107"/>
      <c r="AD725" s="89"/>
      <c r="AE725" s="89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6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6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7"/>
      <c r="E780" s="107"/>
      <c r="F780" s="89"/>
      <c r="G780" s="89"/>
      <c r="H780" s="62"/>
      <c r="I780" s="107"/>
      <c r="J780" s="107"/>
      <c r="K780" s="106"/>
      <c r="L780" s="62"/>
      <c r="M780" s="62"/>
      <c r="N780" s="65"/>
      <c r="O780" s="89"/>
      <c r="P780" s="107"/>
      <c r="Q780" s="107"/>
      <c r="R780" s="89"/>
      <c r="S780" s="89"/>
      <c r="T780" s="62"/>
      <c r="U780" s="107"/>
      <c r="V780" s="107"/>
      <c r="W780" s="106"/>
      <c r="X780" s="62"/>
      <c r="Y780" s="62"/>
      <c r="Z780" s="65"/>
      <c r="AA780" s="89"/>
      <c r="AB780" s="107"/>
      <c r="AC780" s="107"/>
      <c r="AD780" s="89"/>
      <c r="AE780" s="89"/>
      <c r="AF780" s="62"/>
      <c r="AG780" s="107"/>
      <c r="AH780" s="107"/>
      <c r="AI780" s="106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6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6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7"/>
      <c r="E835" s="107"/>
      <c r="F835" s="89"/>
      <c r="G835" s="89"/>
      <c r="H835" s="62"/>
      <c r="I835" s="107"/>
      <c r="J835" s="107"/>
      <c r="K835" s="106"/>
      <c r="L835" s="62"/>
      <c r="M835" s="62"/>
      <c r="N835" s="65"/>
      <c r="O835" s="89"/>
      <c r="P835" s="107"/>
      <c r="Q835" s="107"/>
      <c r="R835" s="89"/>
      <c r="S835" s="89"/>
      <c r="T835" s="62"/>
      <c r="U835" s="107"/>
      <c r="V835" s="107"/>
      <c r="W835" s="106"/>
      <c r="X835" s="62"/>
      <c r="Y835" s="62"/>
      <c r="Z835" s="65"/>
      <c r="AA835" s="89"/>
      <c r="AB835" s="107"/>
      <c r="AC835" s="107"/>
      <c r="AD835" s="89"/>
      <c r="AE835" s="89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7"/>
      <c r="E890" s="107"/>
      <c r="F890" s="89"/>
      <c r="G890" s="89"/>
      <c r="H890" s="62"/>
      <c r="I890" s="107"/>
      <c r="J890" s="107"/>
      <c r="K890" s="106"/>
      <c r="L890" s="62"/>
      <c r="M890" s="62"/>
      <c r="N890" s="65"/>
      <c r="O890" s="89"/>
      <c r="P890" s="107"/>
      <c r="Q890" s="107"/>
      <c r="R890" s="89"/>
      <c r="S890" s="89"/>
      <c r="T890" s="62"/>
      <c r="U890" s="107"/>
      <c r="V890" s="107"/>
      <c r="W890" s="106"/>
      <c r="X890" s="62"/>
      <c r="Y890" s="62"/>
      <c r="Z890" s="65"/>
      <c r="AA890" s="89"/>
      <c r="AB890" s="107"/>
      <c r="AC890" s="107"/>
      <c r="AD890" s="89"/>
      <c r="AE890" s="89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7"/>
      <c r="E945" s="107"/>
      <c r="F945" s="89"/>
      <c r="G945" s="89"/>
      <c r="H945" s="62"/>
      <c r="I945" s="107"/>
      <c r="J945" s="107"/>
      <c r="K945" s="106"/>
      <c r="L945" s="62"/>
      <c r="M945" s="62"/>
      <c r="N945" s="65"/>
      <c r="O945" s="89"/>
      <c r="P945" s="107"/>
      <c r="Q945" s="107"/>
      <c r="R945" s="89"/>
      <c r="S945" s="89"/>
      <c r="T945" s="62"/>
      <c r="U945" s="107"/>
      <c r="V945" s="107"/>
      <c r="W945" s="106"/>
      <c r="X945" s="62"/>
      <c r="Y945" s="62"/>
      <c r="Z945" s="65"/>
      <c r="AA945" s="89"/>
      <c r="AB945" s="107"/>
      <c r="AC945" s="107"/>
      <c r="AD945" s="89"/>
      <c r="AE945" s="89"/>
      <c r="AF945" s="62"/>
      <c r="AG945" s="107"/>
      <c r="AH945" s="107"/>
      <c r="AI945" s="106"/>
      <c r="AJ945" s="62"/>
      <c r="AK945" s="62"/>
      <c r="AL945" s="65"/>
      <c r="AM945" s="86"/>
      <c r="AN945" s="107"/>
      <c r="AO945" s="107"/>
      <c r="AP945" s="86"/>
      <c r="AQ945" s="86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7"/>
      <c r="E1000" s="107"/>
      <c r="F1000" s="86"/>
      <c r="G1000" s="86"/>
      <c r="H1000" s="62"/>
      <c r="I1000" s="107"/>
      <c r="J1000" s="107"/>
      <c r="K1000" s="106"/>
      <c r="L1000" s="62"/>
      <c r="M1000" s="62"/>
      <c r="N1000" s="65"/>
      <c r="O1000" s="86"/>
      <c r="P1000" s="107"/>
      <c r="Q1000" s="107"/>
      <c r="R1000" s="86"/>
      <c r="S1000" s="86"/>
      <c r="T1000" s="62"/>
      <c r="U1000" s="107"/>
      <c r="V1000" s="107"/>
      <c r="W1000" s="106"/>
      <c r="X1000" s="62"/>
      <c r="Y1000" s="62"/>
      <c r="Z1000" s="65"/>
      <c r="AA1000" s="86"/>
      <c r="AB1000" s="107"/>
      <c r="AC1000" s="107"/>
      <c r="AD1000" s="86"/>
      <c r="AE1000" s="86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7"/>
      <c r="E1055" s="107"/>
      <c r="F1055" s="86"/>
      <c r="G1055" s="86"/>
      <c r="H1055" s="62"/>
      <c r="I1055" s="107"/>
      <c r="J1055" s="107"/>
      <c r="K1055" s="106"/>
      <c r="L1055" s="62"/>
      <c r="M1055" s="62"/>
      <c r="N1055" s="65"/>
      <c r="O1055" s="86"/>
      <c r="P1055" s="107"/>
      <c r="Q1055" s="107"/>
      <c r="R1055" s="86"/>
      <c r="S1055" s="86"/>
      <c r="T1055" s="62"/>
      <c r="U1055" s="107"/>
      <c r="V1055" s="107"/>
      <c r="W1055" s="106"/>
      <c r="X1055" s="62"/>
      <c r="Y1055" s="62"/>
      <c r="Z1055" s="65"/>
      <c r="AA1055" s="86"/>
      <c r="AB1055" s="107"/>
      <c r="AC1055" s="107"/>
      <c r="AD1055" s="86"/>
      <c r="AE1055" s="86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7"/>
      <c r="E1110" s="107"/>
      <c r="F1110" s="86"/>
      <c r="G1110" s="86"/>
      <c r="H1110" s="62"/>
      <c r="I1110" s="107"/>
      <c r="J1110" s="107"/>
      <c r="K1110" s="106"/>
      <c r="L1110" s="62"/>
      <c r="M1110" s="62"/>
      <c r="N1110" s="65"/>
      <c r="O1110" s="86"/>
      <c r="P1110" s="107"/>
      <c r="Q1110" s="107"/>
      <c r="R1110" s="86"/>
      <c r="S1110" s="86"/>
      <c r="T1110" s="62"/>
      <c r="U1110" s="107"/>
      <c r="V1110" s="107"/>
      <c r="W1110" s="106"/>
      <c r="X1110" s="62"/>
      <c r="Y1110" s="62"/>
      <c r="Z1110" s="65"/>
      <c r="AA1110" s="86"/>
      <c r="AB1110" s="107"/>
      <c r="AC1110" s="107"/>
      <c r="AD1110" s="86"/>
      <c r="AE1110" s="86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7"/>
      <c r="E1165" s="107"/>
      <c r="F1165" s="86"/>
      <c r="G1165" s="86"/>
      <c r="H1165" s="62"/>
      <c r="I1165" s="107"/>
      <c r="J1165" s="107"/>
      <c r="K1165" s="106"/>
      <c r="L1165" s="62"/>
      <c r="M1165" s="62"/>
      <c r="N1165" s="65"/>
      <c r="O1165" s="86"/>
      <c r="P1165" s="107"/>
      <c r="Q1165" s="107"/>
      <c r="R1165" s="86"/>
      <c r="S1165" s="86"/>
      <c r="T1165" s="62"/>
      <c r="U1165" s="107"/>
      <c r="V1165" s="107"/>
      <c r="W1165" s="106"/>
      <c r="X1165" s="62"/>
      <c r="Y1165" s="62"/>
      <c r="Z1165" s="65"/>
      <c r="AA1165" s="86"/>
      <c r="AB1165" s="107"/>
      <c r="AC1165" s="107"/>
      <c r="AD1165" s="86"/>
      <c r="AE1165" s="86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7"/>
      <c r="E1221" s="107"/>
      <c r="F1221" s="86"/>
      <c r="G1221" s="86"/>
      <c r="H1221" s="62"/>
      <c r="I1221" s="107"/>
      <c r="J1221" s="107"/>
      <c r="K1221" s="106"/>
      <c r="L1221" s="62"/>
      <c r="M1221" s="62"/>
      <c r="N1221" s="65"/>
      <c r="O1221" s="86"/>
      <c r="P1221" s="107"/>
      <c r="Q1221" s="107"/>
      <c r="R1221" s="86"/>
      <c r="S1221" s="86"/>
      <c r="T1221" s="62"/>
      <c r="U1221" s="107"/>
      <c r="V1221" s="107"/>
      <c r="W1221" s="106"/>
      <c r="X1221" s="62"/>
      <c r="Y1221" s="62"/>
      <c r="Z1221" s="65"/>
      <c r="AA1221" s="86"/>
      <c r="AB1221" s="107"/>
      <c r="AC1221" s="107"/>
      <c r="AD1221" s="86"/>
      <c r="AE1221" s="86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7"/>
      <c r="E1283" s="107"/>
      <c r="F1283" s="86"/>
      <c r="G1283" s="86"/>
      <c r="H1283" s="62"/>
      <c r="I1283" s="107"/>
      <c r="J1283" s="107"/>
      <c r="K1283" s="106"/>
      <c r="L1283" s="62"/>
      <c r="M1283" s="62"/>
      <c r="N1283" s="65"/>
      <c r="O1283" s="86"/>
      <c r="P1283" s="107"/>
      <c r="Q1283" s="107"/>
      <c r="R1283" s="86"/>
      <c r="S1283" s="86"/>
      <c r="T1283" s="62"/>
      <c r="U1283" s="107"/>
      <c r="V1283" s="107"/>
      <c r="W1283" s="106"/>
      <c r="X1283" s="62"/>
      <c r="Y1283" s="62"/>
      <c r="Z1283" s="65"/>
      <c r="AA1283" s="86"/>
      <c r="AB1283" s="107"/>
      <c r="AC1283" s="107"/>
      <c r="AD1283" s="86"/>
      <c r="AE1283" s="86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2026-05-18T01:16:14Z</dcterms:modified>
</cp:coreProperties>
</file>