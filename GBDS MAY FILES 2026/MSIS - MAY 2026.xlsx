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BCCAA123-FA34-4153-BB06-DF935539397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226" i="2" l="1"/>
  <c r="V1266" i="2" s="1"/>
  <c r="P1226" i="2"/>
  <c r="P1225" i="2"/>
  <c r="V1224" i="2"/>
  <c r="U1224" i="2"/>
  <c r="Q1224" i="2"/>
  <c r="Q1266" i="2" s="1"/>
  <c r="P1224" i="2"/>
  <c r="S1224" i="2" s="1"/>
  <c r="W1224" i="2" s="1"/>
  <c r="U1223" i="2"/>
  <c r="U1266" i="2" s="1"/>
  <c r="P1223" i="2"/>
  <c r="S1223" i="2" s="1"/>
  <c r="J1232" i="2"/>
  <c r="J1266" i="2" s="1"/>
  <c r="D1232" i="2"/>
  <c r="G1232" i="2" s="1"/>
  <c r="K1232" i="2" s="1"/>
  <c r="E1231" i="2"/>
  <c r="D1231" i="2"/>
  <c r="D1230" i="2"/>
  <c r="D1229" i="2"/>
  <c r="D1228" i="2"/>
  <c r="G1228" i="2" s="1"/>
  <c r="K1228" i="2" s="1"/>
  <c r="D1227" i="2"/>
  <c r="G1227" i="2" s="1"/>
  <c r="D1226" i="2"/>
  <c r="D1225" i="2"/>
  <c r="J1224" i="2"/>
  <c r="D1224" i="2"/>
  <c r="D1223" i="2"/>
  <c r="AD1266" i="2"/>
  <c r="AE1263" i="2"/>
  <c r="AI1263" i="2" s="1"/>
  <c r="AE1256" i="2"/>
  <c r="AI1256" i="2" s="1"/>
  <c r="AE1255" i="2"/>
  <c r="AI1255" i="2" s="1"/>
  <c r="AI1254" i="2"/>
  <c r="AE1254" i="2"/>
  <c r="AE1253" i="2"/>
  <c r="AI1253" i="2" s="1"/>
  <c r="AE1252" i="2"/>
  <c r="AI1252" i="2" s="1"/>
  <c r="AI1251" i="2"/>
  <c r="AE1251" i="2"/>
  <c r="AE1250" i="2"/>
  <c r="AI1250" i="2" s="1"/>
  <c r="AE1249" i="2"/>
  <c r="AI1249" i="2" s="1"/>
  <c r="AE1248" i="2"/>
  <c r="AI1248" i="2" s="1"/>
  <c r="AE1247" i="2"/>
  <c r="AI1247" i="2" s="1"/>
  <c r="AI1246" i="2"/>
  <c r="AE1246" i="2"/>
  <c r="AE1245" i="2"/>
  <c r="AI1245" i="2" s="1"/>
  <c r="AE1244" i="2"/>
  <c r="AI1244" i="2" s="1"/>
  <c r="AI1243" i="2"/>
  <c r="AI1242" i="2"/>
  <c r="AI1241" i="2"/>
  <c r="AI1240" i="2"/>
  <c r="AI1239" i="2"/>
  <c r="AI1238" i="2"/>
  <c r="AI1237" i="2"/>
  <c r="AE1236" i="2"/>
  <c r="AI1236" i="2" s="1"/>
  <c r="AE1235" i="2"/>
  <c r="AI1235" i="2" s="1"/>
  <c r="AE1234" i="2"/>
  <c r="AI1234" i="2" s="1"/>
  <c r="AB1233" i="2"/>
  <c r="AE1233" i="2" s="1"/>
  <c r="AI1233" i="2" s="1"/>
  <c r="AB1232" i="2"/>
  <c r="AE1232" i="2" s="1"/>
  <c r="AI1232" i="2" s="1"/>
  <c r="AB1231" i="2"/>
  <c r="AE1231" i="2" s="1"/>
  <c r="AI1231" i="2" s="1"/>
  <c r="AH1230" i="2"/>
  <c r="AB1230" i="2"/>
  <c r="AE1230" i="2" s="1"/>
  <c r="AI1230" i="2" s="1"/>
  <c r="AB1229" i="2"/>
  <c r="AE1229" i="2" s="1"/>
  <c r="AI1229" i="2" s="1"/>
  <c r="AE1228" i="2"/>
  <c r="AI1228" i="2" s="1"/>
  <c r="AB1228" i="2"/>
  <c r="AG1227" i="2"/>
  <c r="AG1266" i="2" s="1"/>
  <c r="AB1227" i="2"/>
  <c r="AE1227" i="2" s="1"/>
  <c r="AI1227" i="2" s="1"/>
  <c r="AB1226" i="2"/>
  <c r="AE1226" i="2" s="1"/>
  <c r="AI1226" i="2" s="1"/>
  <c r="AE1225" i="2"/>
  <c r="AI1225" i="2" s="1"/>
  <c r="AB1225" i="2"/>
  <c r="AC1224" i="2"/>
  <c r="AB1224" i="2"/>
  <c r="AE1224" i="2" s="1"/>
  <c r="AI1224" i="2" s="1"/>
  <c r="AA1224" i="2"/>
  <c r="AA1225" i="2" s="1"/>
  <c r="AA1226" i="2" s="1"/>
  <c r="AA1227" i="2" s="1"/>
  <c r="AA1228" i="2" s="1"/>
  <c r="AA1229" i="2" s="1"/>
  <c r="AA1230" i="2" s="1"/>
  <c r="AA1231" i="2" s="1"/>
  <c r="AA1232" i="2" s="1"/>
  <c r="AA1233" i="2" s="1"/>
  <c r="AH1223" i="2"/>
  <c r="AH1266" i="2" s="1"/>
  <c r="AC1223" i="2"/>
  <c r="AC1266" i="2" s="1"/>
  <c r="AB1223" i="2"/>
  <c r="AB1266" i="2" s="1"/>
  <c r="R1266" i="2"/>
  <c r="W1264" i="2"/>
  <c r="S1263" i="2"/>
  <c r="W1263" i="2" s="1"/>
  <c r="W1262" i="2"/>
  <c r="S1261" i="2"/>
  <c r="W1261" i="2" s="1"/>
  <c r="S1260" i="2"/>
  <c r="W1260" i="2" s="1"/>
  <c r="S1259" i="2"/>
  <c r="W1259" i="2" s="1"/>
  <c r="S1258" i="2"/>
  <c r="W1258" i="2" s="1"/>
  <c r="S1257" i="2"/>
  <c r="W1257" i="2" s="1"/>
  <c r="W1256" i="2"/>
  <c r="S1256" i="2"/>
  <c r="W1255" i="2"/>
  <c r="S1255" i="2"/>
  <c r="S1254" i="2"/>
  <c r="W1254" i="2" s="1"/>
  <c r="S1253" i="2"/>
  <c r="W1253" i="2" s="1"/>
  <c r="S1252" i="2"/>
  <c r="W1252" i="2" s="1"/>
  <c r="S1251" i="2"/>
  <c r="W1251" i="2" s="1"/>
  <c r="S1250" i="2"/>
  <c r="W1250" i="2" s="1"/>
  <c r="S1249" i="2"/>
  <c r="W1249" i="2" s="1"/>
  <c r="W1248" i="2"/>
  <c r="S1248" i="2"/>
  <c r="W1247" i="2"/>
  <c r="S1247" i="2"/>
  <c r="S1246" i="2"/>
  <c r="W1246" i="2" s="1"/>
  <c r="S1245" i="2"/>
  <c r="W1245" i="2" s="1"/>
  <c r="S1244" i="2"/>
  <c r="W1244" i="2" s="1"/>
  <c r="S1243" i="2"/>
  <c r="W1243" i="2" s="1"/>
  <c r="S1242" i="2"/>
  <c r="W1242" i="2" s="1"/>
  <c r="S1241" i="2"/>
  <c r="W1241" i="2" s="1"/>
  <c r="W1240" i="2"/>
  <c r="S1240" i="2"/>
  <c r="S1239" i="2"/>
  <c r="W1239" i="2" s="1"/>
  <c r="S1238" i="2"/>
  <c r="W1238" i="2" s="1"/>
  <c r="S1237" i="2"/>
  <c r="W1237" i="2" s="1"/>
  <c r="S1236" i="2"/>
  <c r="W1236" i="2" s="1"/>
  <c r="S1235" i="2"/>
  <c r="W1235" i="2" s="1"/>
  <c r="S1234" i="2"/>
  <c r="W1234" i="2" s="1"/>
  <c r="S1233" i="2"/>
  <c r="W1233" i="2" s="1"/>
  <c r="W1232" i="2"/>
  <c r="S1232" i="2"/>
  <c r="S1231" i="2"/>
  <c r="W1231" i="2" s="1"/>
  <c r="S1230" i="2"/>
  <c r="W1230" i="2" s="1"/>
  <c r="S1229" i="2"/>
  <c r="W1229" i="2" s="1"/>
  <c r="S1228" i="2"/>
  <c r="W1228" i="2" s="1"/>
  <c r="S1227" i="2"/>
  <c r="W1227" i="2" s="1"/>
  <c r="S1226" i="2"/>
  <c r="W1226" i="2" s="1"/>
  <c r="S1225" i="2"/>
  <c r="W1225" i="2" s="1"/>
  <c r="O1224" i="2"/>
  <c r="O1225" i="2" s="1"/>
  <c r="O1226" i="2" s="1"/>
  <c r="O1227" i="2" s="1"/>
  <c r="G1233" i="2"/>
  <c r="K1233" i="2" s="1"/>
  <c r="G1231" i="2"/>
  <c r="K1231" i="2" s="1"/>
  <c r="I1266" i="2"/>
  <c r="G1226" i="2"/>
  <c r="K1226" i="2" s="1"/>
  <c r="G1225" i="2"/>
  <c r="K1225" i="2" s="1"/>
  <c r="E1266" i="2"/>
  <c r="F1266" i="2"/>
  <c r="G1263" i="2"/>
  <c r="K1263" i="2" s="1"/>
  <c r="G1256" i="2"/>
  <c r="K1256" i="2" s="1"/>
  <c r="G1255" i="2"/>
  <c r="K1255" i="2" s="1"/>
  <c r="K1254" i="2"/>
  <c r="G1254" i="2"/>
  <c r="G1253" i="2"/>
  <c r="K1253" i="2" s="1"/>
  <c r="G1252" i="2"/>
  <c r="K1252" i="2" s="1"/>
  <c r="G1251" i="2"/>
  <c r="K1251" i="2" s="1"/>
  <c r="G1250" i="2"/>
  <c r="K1250" i="2" s="1"/>
  <c r="G1249" i="2"/>
  <c r="K1249" i="2" s="1"/>
  <c r="G1248" i="2"/>
  <c r="K1248" i="2" s="1"/>
  <c r="G1247" i="2"/>
  <c r="K1247" i="2" s="1"/>
  <c r="K1246" i="2"/>
  <c r="G1246" i="2"/>
  <c r="G1245" i="2"/>
  <c r="K1245" i="2" s="1"/>
  <c r="G1244" i="2"/>
  <c r="K1244" i="2" s="1"/>
  <c r="K1243" i="2"/>
  <c r="K1242" i="2"/>
  <c r="K1241" i="2"/>
  <c r="K1240" i="2"/>
  <c r="K1239" i="2"/>
  <c r="K1238" i="2"/>
  <c r="K1237" i="2"/>
  <c r="G1236" i="2"/>
  <c r="K1236" i="2" s="1"/>
  <c r="K1235" i="2"/>
  <c r="G1235" i="2"/>
  <c r="G1234" i="2"/>
  <c r="K1234" i="2" s="1"/>
  <c r="G1230" i="2"/>
  <c r="K1230" i="2" s="1"/>
  <c r="G1229" i="2"/>
  <c r="K1229" i="2" s="1"/>
  <c r="C1224" i="2"/>
  <c r="C1225" i="2" s="1"/>
  <c r="C1226" i="2" s="1"/>
  <c r="C1227" i="2" s="1"/>
  <c r="C1228" i="2" s="1"/>
  <c r="C1229" i="2" s="1"/>
  <c r="C1230" i="2" s="1"/>
  <c r="C1231" i="2" s="1"/>
  <c r="C1232" i="2" s="1"/>
  <c r="P1266" i="2" l="1"/>
  <c r="AE1223" i="2"/>
  <c r="S1266" i="2"/>
  <c r="W1223" i="2"/>
  <c r="W1266" i="2" s="1"/>
  <c r="K1227" i="2"/>
  <c r="G1224" i="2"/>
  <c r="K1224" i="2" s="1"/>
  <c r="G1223" i="2"/>
  <c r="K1223" i="2" s="1"/>
  <c r="D1266" i="2"/>
  <c r="AG1177" i="2"/>
  <c r="AB1177" i="2"/>
  <c r="AE1177" i="2" s="1"/>
  <c r="AB1176" i="2"/>
  <c r="AB1175" i="2"/>
  <c r="AB1174" i="2"/>
  <c r="AE1174" i="2" s="1"/>
  <c r="AI1174" i="2" s="1"/>
  <c r="AG1173" i="2"/>
  <c r="AB1173" i="2"/>
  <c r="AE1173" i="2" s="1"/>
  <c r="AG1172" i="2"/>
  <c r="AB1172" i="2"/>
  <c r="AE1172" i="2" s="1"/>
  <c r="AI1172" i="2" s="1"/>
  <c r="AB1171" i="2"/>
  <c r="AG1171" i="2"/>
  <c r="AG1170" i="2"/>
  <c r="AB1170" i="2"/>
  <c r="AG1169" i="2"/>
  <c r="AB1169" i="2"/>
  <c r="AC1168" i="2"/>
  <c r="AB1168" i="2"/>
  <c r="AE1168" i="2" s="1"/>
  <c r="AA1176" i="2"/>
  <c r="AA1177" i="2" s="1"/>
  <c r="AH1211" i="2"/>
  <c r="AD1211" i="2"/>
  <c r="AI1209" i="2"/>
  <c r="AE1208" i="2"/>
  <c r="AI1208" i="2" s="1"/>
  <c r="AI1207" i="2"/>
  <c r="AI1206" i="2"/>
  <c r="AE1206" i="2"/>
  <c r="AE1205" i="2"/>
  <c r="AI1205" i="2" s="1"/>
  <c r="AI1204" i="2"/>
  <c r="AE1204" i="2"/>
  <c r="AE1203" i="2"/>
  <c r="AI1203" i="2" s="1"/>
  <c r="AE1202" i="2"/>
  <c r="AI1202" i="2" s="1"/>
  <c r="AE1201" i="2"/>
  <c r="AI1201" i="2" s="1"/>
  <c r="AE1200" i="2"/>
  <c r="AI1200" i="2" s="1"/>
  <c r="AE1199" i="2"/>
  <c r="AI1199" i="2" s="1"/>
  <c r="AI1198" i="2"/>
  <c r="AE1198" i="2"/>
  <c r="AE1197" i="2"/>
  <c r="AI1197" i="2" s="1"/>
  <c r="AI1196" i="2"/>
  <c r="AE1196" i="2"/>
  <c r="AE1195" i="2"/>
  <c r="AI1195" i="2" s="1"/>
  <c r="AE1194" i="2"/>
  <c r="AI1194" i="2" s="1"/>
  <c r="AE1193" i="2"/>
  <c r="AI1193" i="2" s="1"/>
  <c r="AE1192" i="2"/>
  <c r="AI1192" i="2" s="1"/>
  <c r="AE1191" i="2"/>
  <c r="AI1191" i="2" s="1"/>
  <c r="AI1190" i="2"/>
  <c r="AE1190" i="2"/>
  <c r="AE1189" i="2"/>
  <c r="AI1189" i="2" s="1"/>
  <c r="AI1188" i="2"/>
  <c r="AE1188" i="2"/>
  <c r="AE1187" i="2"/>
  <c r="AI1187" i="2" s="1"/>
  <c r="AE1186" i="2"/>
  <c r="AI1186" i="2" s="1"/>
  <c r="AE1185" i="2"/>
  <c r="AI1185" i="2" s="1"/>
  <c r="AE1184" i="2"/>
  <c r="AI1184" i="2" s="1"/>
  <c r="AE1183" i="2"/>
  <c r="AI1183" i="2" s="1"/>
  <c r="AE1182" i="2"/>
  <c r="AI1182" i="2" s="1"/>
  <c r="AE1181" i="2"/>
  <c r="AI1181" i="2" s="1"/>
  <c r="AI1180" i="2"/>
  <c r="AE1180" i="2"/>
  <c r="AE1179" i="2"/>
  <c r="AI1179" i="2" s="1"/>
  <c r="AE1178" i="2"/>
  <c r="AI1178" i="2" s="1"/>
  <c r="AE1176" i="2"/>
  <c r="AI1176" i="2" s="1"/>
  <c r="AE1175" i="2"/>
  <c r="AI1175" i="2" s="1"/>
  <c r="AE1171" i="2"/>
  <c r="AC1211" i="2"/>
  <c r="AE1170" i="2"/>
  <c r="AE1169" i="2"/>
  <c r="AI1169" i="2" s="1"/>
  <c r="AA1169" i="2"/>
  <c r="AA1170" i="2" s="1"/>
  <c r="AA1171" i="2" s="1"/>
  <c r="AA1172" i="2" s="1"/>
  <c r="AA1173" i="2" s="1"/>
  <c r="AA1174" i="2" s="1"/>
  <c r="AA1175" i="2" s="1"/>
  <c r="P1173" i="2"/>
  <c r="P1172" i="2"/>
  <c r="S1172" i="2" s="1"/>
  <c r="W1172" i="2" s="1"/>
  <c r="P1171" i="2"/>
  <c r="S1171" i="2" s="1"/>
  <c r="W1171" i="2" s="1"/>
  <c r="U1170" i="2"/>
  <c r="U1211" i="2" s="1"/>
  <c r="Q1170" i="2"/>
  <c r="P1170" i="2"/>
  <c r="P1169" i="2"/>
  <c r="S1169" i="2" s="1"/>
  <c r="W1169" i="2" s="1"/>
  <c r="P1168" i="2"/>
  <c r="S1168" i="2" s="1"/>
  <c r="R1211" i="2"/>
  <c r="W1209" i="2"/>
  <c r="S1208" i="2"/>
  <c r="W1208" i="2" s="1"/>
  <c r="W1207" i="2"/>
  <c r="S1206" i="2"/>
  <c r="W1206" i="2" s="1"/>
  <c r="S1205" i="2"/>
  <c r="W1205" i="2" s="1"/>
  <c r="W1204" i="2"/>
  <c r="S1204" i="2"/>
  <c r="S1203" i="2"/>
  <c r="W1203" i="2" s="1"/>
  <c r="W1202" i="2"/>
  <c r="S1202" i="2"/>
  <c r="S1201" i="2"/>
  <c r="W1201" i="2" s="1"/>
  <c r="S1200" i="2"/>
  <c r="W1200" i="2" s="1"/>
  <c r="S1199" i="2"/>
  <c r="W1199" i="2" s="1"/>
  <c r="S1198" i="2"/>
  <c r="W1198" i="2" s="1"/>
  <c r="S1197" i="2"/>
  <c r="W1197" i="2" s="1"/>
  <c r="W1196" i="2"/>
  <c r="S1196" i="2"/>
  <c r="S1195" i="2"/>
  <c r="W1195" i="2" s="1"/>
  <c r="W1194" i="2"/>
  <c r="S1194" i="2"/>
  <c r="S1193" i="2"/>
  <c r="W1193" i="2" s="1"/>
  <c r="W1192" i="2"/>
  <c r="S1192" i="2"/>
  <c r="S1191" i="2"/>
  <c r="W1191" i="2" s="1"/>
  <c r="S1190" i="2"/>
  <c r="W1190" i="2" s="1"/>
  <c r="S1189" i="2"/>
  <c r="W1189" i="2" s="1"/>
  <c r="W1188" i="2"/>
  <c r="S1188" i="2"/>
  <c r="S1187" i="2"/>
  <c r="W1187" i="2" s="1"/>
  <c r="W1186" i="2"/>
  <c r="S1186" i="2"/>
  <c r="S1185" i="2"/>
  <c r="W1185" i="2" s="1"/>
  <c r="W1184" i="2"/>
  <c r="S1184" i="2"/>
  <c r="S1183" i="2"/>
  <c r="W1183" i="2" s="1"/>
  <c r="S1182" i="2"/>
  <c r="W1182" i="2" s="1"/>
  <c r="S1181" i="2"/>
  <c r="W1181" i="2" s="1"/>
  <c r="S1180" i="2"/>
  <c r="W1180" i="2" s="1"/>
  <c r="S1179" i="2"/>
  <c r="W1179" i="2" s="1"/>
  <c r="S1178" i="2"/>
  <c r="W1178" i="2" s="1"/>
  <c r="S1177" i="2"/>
  <c r="W1177" i="2" s="1"/>
  <c r="S1176" i="2"/>
  <c r="W1176" i="2" s="1"/>
  <c r="S1175" i="2"/>
  <c r="W1175" i="2" s="1"/>
  <c r="S1174" i="2"/>
  <c r="W1174" i="2" s="1"/>
  <c r="S1173" i="2"/>
  <c r="W1173" i="2" s="1"/>
  <c r="S1170" i="2"/>
  <c r="O1169" i="2"/>
  <c r="O1170" i="2" s="1"/>
  <c r="O1171" i="2" s="1"/>
  <c r="O1172" i="2" s="1"/>
  <c r="O1173" i="2" s="1"/>
  <c r="V1211" i="2"/>
  <c r="Q1211" i="2"/>
  <c r="J1169" i="2"/>
  <c r="D1169" i="2"/>
  <c r="G1169" i="2" s="1"/>
  <c r="K1169" i="2" s="1"/>
  <c r="I1168" i="2"/>
  <c r="I1211" i="2" s="1"/>
  <c r="E1168" i="2"/>
  <c r="E1211" i="2" s="1"/>
  <c r="D1168" i="2"/>
  <c r="C1169" i="2"/>
  <c r="F1211" i="2"/>
  <c r="G1208" i="2"/>
  <c r="K1208" i="2" s="1"/>
  <c r="G1201" i="2"/>
  <c r="K1201" i="2" s="1"/>
  <c r="G1200" i="2"/>
  <c r="K1200" i="2" s="1"/>
  <c r="G1199" i="2"/>
  <c r="K1199" i="2" s="1"/>
  <c r="K1198" i="2"/>
  <c r="G1198" i="2"/>
  <c r="G1197" i="2"/>
  <c r="K1197" i="2" s="1"/>
  <c r="K1196" i="2"/>
  <c r="G1196" i="2"/>
  <c r="G1195" i="2"/>
  <c r="K1195" i="2" s="1"/>
  <c r="G1194" i="2"/>
  <c r="K1194" i="2" s="1"/>
  <c r="G1193" i="2"/>
  <c r="K1193" i="2" s="1"/>
  <c r="G1192" i="2"/>
  <c r="K1192" i="2" s="1"/>
  <c r="G1191" i="2"/>
  <c r="K1191" i="2" s="1"/>
  <c r="K1190" i="2"/>
  <c r="G1190" i="2"/>
  <c r="G1189" i="2"/>
  <c r="K1189" i="2" s="1"/>
  <c r="K1188" i="2"/>
  <c r="K1187" i="2"/>
  <c r="K1186" i="2"/>
  <c r="K1185" i="2"/>
  <c r="K1184" i="2"/>
  <c r="K1183" i="2"/>
  <c r="K1182" i="2"/>
  <c r="G1181" i="2"/>
  <c r="K1181" i="2" s="1"/>
  <c r="G1180" i="2"/>
  <c r="K1180" i="2" s="1"/>
  <c r="G1179" i="2"/>
  <c r="K1179" i="2" s="1"/>
  <c r="J1211" i="2"/>
  <c r="G1178" i="2"/>
  <c r="K1178" i="2" s="1"/>
  <c r="G1177" i="2"/>
  <c r="K1177" i="2" s="1"/>
  <c r="G1176" i="2"/>
  <c r="K1176" i="2" s="1"/>
  <c r="G1175" i="2"/>
  <c r="K1175" i="2" s="1"/>
  <c r="G1174" i="2"/>
  <c r="K1174" i="2" s="1"/>
  <c r="G1173" i="2"/>
  <c r="K1173" i="2" s="1"/>
  <c r="G1172" i="2"/>
  <c r="K1172" i="2" s="1"/>
  <c r="G1171" i="2"/>
  <c r="K1171" i="2" s="1"/>
  <c r="G1170" i="2"/>
  <c r="K1170" i="2" s="1"/>
  <c r="G1266" i="2" l="1"/>
  <c r="K1266" i="2"/>
  <c r="AE1266" i="2"/>
  <c r="AI1223" i="2"/>
  <c r="AI1266" i="2" s="1"/>
  <c r="AI1177" i="2"/>
  <c r="AI1173" i="2"/>
  <c r="AG1211" i="2"/>
  <c r="AI1171" i="2"/>
  <c r="AI1170" i="2"/>
  <c r="AE1211" i="2"/>
  <c r="AI1168" i="2"/>
  <c r="AI1211" i="2" s="1"/>
  <c r="AB1211" i="2"/>
  <c r="W1170" i="2"/>
  <c r="W1168" i="2"/>
  <c r="W1211" i="2" s="1"/>
  <c r="S1211" i="2"/>
  <c r="P1211" i="2"/>
  <c r="G1168" i="2"/>
  <c r="D1211" i="2"/>
  <c r="G1211" i="2"/>
  <c r="K1168" i="2"/>
  <c r="K1211" i="2" s="1"/>
  <c r="AG1120" i="2"/>
  <c r="AB1120" i="2"/>
  <c r="AE1120" i="2" s="1"/>
  <c r="AI1120" i="2" s="1"/>
  <c r="AB1119" i="2"/>
  <c r="AB1118" i="2"/>
  <c r="AE1118" i="2" s="1"/>
  <c r="AI1118" i="2" s="1"/>
  <c r="AB1117" i="2"/>
  <c r="AE1117" i="2" s="1"/>
  <c r="AI1117" i="2" s="1"/>
  <c r="AC1116" i="2"/>
  <c r="AB1116" i="2"/>
  <c r="AC1115" i="2"/>
  <c r="AB1115" i="2"/>
  <c r="AB1114" i="2"/>
  <c r="AB1113" i="2"/>
  <c r="AE1113" i="2" s="1"/>
  <c r="AA1115" i="2"/>
  <c r="AA1116" i="2" s="1"/>
  <c r="AA1117" i="2" s="1"/>
  <c r="AA1118" i="2" s="1"/>
  <c r="AA1119" i="2" s="1"/>
  <c r="AA1120" i="2" s="1"/>
  <c r="AH1156" i="2"/>
  <c r="AD1156" i="2"/>
  <c r="AI1154" i="2"/>
  <c r="AI1153" i="2"/>
  <c r="AE1153" i="2"/>
  <c r="AI1152" i="2"/>
  <c r="AE1151" i="2"/>
  <c r="AI1151" i="2" s="1"/>
  <c r="AI1150" i="2"/>
  <c r="AE1150" i="2"/>
  <c r="AI1149" i="2"/>
  <c r="AE1149" i="2"/>
  <c r="AE1148" i="2"/>
  <c r="AI1148" i="2" s="1"/>
  <c r="AI1147" i="2"/>
  <c r="AE1147" i="2"/>
  <c r="AE1146" i="2"/>
  <c r="AI1146" i="2" s="1"/>
  <c r="AE1145" i="2"/>
  <c r="AI1145" i="2" s="1"/>
  <c r="AE1144" i="2"/>
  <c r="AI1144" i="2" s="1"/>
  <c r="AE1143" i="2"/>
  <c r="AI1143" i="2" s="1"/>
  <c r="AI1142" i="2"/>
  <c r="AE1142" i="2"/>
  <c r="AI1141" i="2"/>
  <c r="AE1141" i="2"/>
  <c r="AE1140" i="2"/>
  <c r="AI1140" i="2" s="1"/>
  <c r="AI1139" i="2"/>
  <c r="AE1139" i="2"/>
  <c r="AE1138" i="2"/>
  <c r="AI1138" i="2" s="1"/>
  <c r="AE1137" i="2"/>
  <c r="AI1137" i="2" s="1"/>
  <c r="AE1136" i="2"/>
  <c r="AI1136" i="2" s="1"/>
  <c r="AE1135" i="2"/>
  <c r="AI1135" i="2" s="1"/>
  <c r="AI1134" i="2"/>
  <c r="AE1134" i="2"/>
  <c r="AI1133" i="2"/>
  <c r="AE1133" i="2"/>
  <c r="AE1132" i="2"/>
  <c r="AI1132" i="2" s="1"/>
  <c r="AI1131" i="2"/>
  <c r="AE1131" i="2"/>
  <c r="AE1130" i="2"/>
  <c r="AI1130" i="2" s="1"/>
  <c r="AE1129" i="2"/>
  <c r="AI1129" i="2" s="1"/>
  <c r="AE1128" i="2"/>
  <c r="AI1128" i="2" s="1"/>
  <c r="AE1127" i="2"/>
  <c r="AI1127" i="2" s="1"/>
  <c r="AI1126" i="2"/>
  <c r="AE1126" i="2"/>
  <c r="AI1125" i="2"/>
  <c r="AE1125" i="2"/>
  <c r="AE1124" i="2"/>
  <c r="AI1124" i="2" s="1"/>
  <c r="AI1123" i="2"/>
  <c r="AE1123" i="2"/>
  <c r="AE1122" i="2"/>
  <c r="AI1122" i="2" s="1"/>
  <c r="AE1121" i="2"/>
  <c r="AI1121" i="2" s="1"/>
  <c r="AE1119" i="2"/>
  <c r="AI1119" i="2" s="1"/>
  <c r="AE1114" i="2"/>
  <c r="AI1114" i="2" s="1"/>
  <c r="AA1114" i="2"/>
  <c r="AG1156" i="2"/>
  <c r="O1115" i="2"/>
  <c r="O1116" i="2"/>
  <c r="O1117" i="2"/>
  <c r="O1118" i="2"/>
  <c r="O1119" i="2"/>
  <c r="O1120" i="2"/>
  <c r="O1121" i="2"/>
  <c r="O1122" i="2"/>
  <c r="O1123" i="2" s="1"/>
  <c r="O1124" i="2" s="1"/>
  <c r="O1125" i="2" s="1"/>
  <c r="O1114" i="2"/>
  <c r="P1125" i="2"/>
  <c r="S1125" i="2" s="1"/>
  <c r="W1125" i="2" s="1"/>
  <c r="P1124" i="2"/>
  <c r="S1124" i="2" s="1"/>
  <c r="W1124" i="2" s="1"/>
  <c r="V1123" i="2"/>
  <c r="V1156" i="2" s="1"/>
  <c r="P1123" i="2"/>
  <c r="S1123" i="2" s="1"/>
  <c r="U1122" i="2"/>
  <c r="P1122" i="2"/>
  <c r="P1121" i="2"/>
  <c r="S1121" i="2" s="1"/>
  <c r="W1121" i="2" s="1"/>
  <c r="P1120" i="2"/>
  <c r="P1119" i="2"/>
  <c r="S1119" i="2" s="1"/>
  <c r="W1119" i="2" s="1"/>
  <c r="P1118" i="2"/>
  <c r="S1118" i="2" s="1"/>
  <c r="W1118" i="2" s="1"/>
  <c r="P1117" i="2"/>
  <c r="S1117" i="2" s="1"/>
  <c r="W1117" i="2" s="1"/>
  <c r="P1116" i="2"/>
  <c r="P1115" i="2"/>
  <c r="P1114" i="2"/>
  <c r="V1113" i="2"/>
  <c r="U1113" i="2"/>
  <c r="Q1113" i="2"/>
  <c r="P1113" i="2"/>
  <c r="S1113" i="2" s="1"/>
  <c r="R1156" i="2"/>
  <c r="W1154" i="2"/>
  <c r="S1153" i="2"/>
  <c r="W1153" i="2" s="1"/>
  <c r="W1152" i="2"/>
  <c r="S1151" i="2"/>
  <c r="W1151" i="2" s="1"/>
  <c r="S1150" i="2"/>
  <c r="W1150" i="2" s="1"/>
  <c r="W1149" i="2"/>
  <c r="S1149" i="2"/>
  <c r="S1148" i="2"/>
  <c r="W1148" i="2" s="1"/>
  <c r="S1147" i="2"/>
  <c r="W1147" i="2" s="1"/>
  <c r="S1146" i="2"/>
  <c r="W1146" i="2" s="1"/>
  <c r="W1145" i="2"/>
  <c r="S1145" i="2"/>
  <c r="S1144" i="2"/>
  <c r="W1144" i="2" s="1"/>
  <c r="S1143" i="2"/>
  <c r="W1143" i="2" s="1"/>
  <c r="S1142" i="2"/>
  <c r="W1142" i="2" s="1"/>
  <c r="W1141" i="2"/>
  <c r="S1141" i="2"/>
  <c r="S1140" i="2"/>
  <c r="W1140" i="2" s="1"/>
  <c r="S1139" i="2"/>
  <c r="W1139" i="2" s="1"/>
  <c r="S1138" i="2"/>
  <c r="W1138" i="2" s="1"/>
  <c r="W1137" i="2"/>
  <c r="S1137" i="2"/>
  <c r="S1136" i="2"/>
  <c r="W1136" i="2" s="1"/>
  <c r="S1135" i="2"/>
  <c r="W1135" i="2" s="1"/>
  <c r="S1134" i="2"/>
  <c r="W1134" i="2" s="1"/>
  <c r="W1133" i="2"/>
  <c r="S1133" i="2"/>
  <c r="S1132" i="2"/>
  <c r="W1132" i="2" s="1"/>
  <c r="S1131" i="2"/>
  <c r="W1131" i="2" s="1"/>
  <c r="W1130" i="2"/>
  <c r="S1130" i="2"/>
  <c r="W1129" i="2"/>
  <c r="S1129" i="2"/>
  <c r="S1128" i="2"/>
  <c r="W1128" i="2" s="1"/>
  <c r="S1127" i="2"/>
  <c r="W1127" i="2" s="1"/>
  <c r="S1126" i="2"/>
  <c r="W1126" i="2" s="1"/>
  <c r="S1122" i="2"/>
  <c r="W1122" i="2" s="1"/>
  <c r="S1120" i="2"/>
  <c r="W1120" i="2" s="1"/>
  <c r="S1116" i="2"/>
  <c r="W1116" i="2" s="1"/>
  <c r="S1115" i="2"/>
  <c r="W1115" i="2" s="1"/>
  <c r="Q1156" i="2"/>
  <c r="S1114" i="2"/>
  <c r="W1114" i="2" s="1"/>
  <c r="D1125" i="2"/>
  <c r="G1125" i="2" s="1"/>
  <c r="K1125" i="2" s="1"/>
  <c r="D1124" i="2"/>
  <c r="J1123" i="2"/>
  <c r="J1156" i="2" s="1"/>
  <c r="D1123" i="2"/>
  <c r="G1123" i="2" s="1"/>
  <c r="D1122" i="2"/>
  <c r="D1121" i="2"/>
  <c r="D1120" i="2"/>
  <c r="D1119" i="2"/>
  <c r="G1119" i="2" s="1"/>
  <c r="K1119" i="2" s="1"/>
  <c r="D1118" i="2"/>
  <c r="G1118" i="2" s="1"/>
  <c r="K1118" i="2" s="1"/>
  <c r="D1117" i="2"/>
  <c r="G1117" i="2" s="1"/>
  <c r="K1117" i="2" s="1"/>
  <c r="I1116" i="2"/>
  <c r="D1116" i="2"/>
  <c r="G1116" i="2" s="1"/>
  <c r="K1116" i="2" s="1"/>
  <c r="D1115" i="2"/>
  <c r="D1114" i="2"/>
  <c r="I1113" i="2"/>
  <c r="I1156" i="2" s="1"/>
  <c r="D1113" i="2"/>
  <c r="C1114" i="2"/>
  <c r="C1115" i="2" s="1"/>
  <c r="C1116" i="2" s="1"/>
  <c r="C1118" i="2" s="1"/>
  <c r="C1119" i="2" s="1"/>
  <c r="C1120" i="2" s="1"/>
  <c r="C1121" i="2" s="1"/>
  <c r="C1122" i="2" s="1"/>
  <c r="C1123" i="2" s="1"/>
  <c r="C1124" i="2" s="1"/>
  <c r="C1125" i="2" s="1"/>
  <c r="F1156" i="2"/>
  <c r="E1156" i="2"/>
  <c r="K1153" i="2"/>
  <c r="G1153" i="2"/>
  <c r="K1146" i="2"/>
  <c r="G1146" i="2"/>
  <c r="G1145" i="2"/>
  <c r="K1145" i="2" s="1"/>
  <c r="G1144" i="2"/>
  <c r="K1144" i="2" s="1"/>
  <c r="K1143" i="2"/>
  <c r="G1143" i="2"/>
  <c r="K1142" i="2"/>
  <c r="G1142" i="2"/>
  <c r="G1141" i="2"/>
  <c r="K1141" i="2" s="1"/>
  <c r="G1140" i="2"/>
  <c r="K1140" i="2" s="1"/>
  <c r="K1139" i="2"/>
  <c r="G1139" i="2"/>
  <c r="K1138" i="2"/>
  <c r="G1138" i="2"/>
  <c r="G1137" i="2"/>
  <c r="K1137" i="2" s="1"/>
  <c r="G1136" i="2"/>
  <c r="K1136" i="2" s="1"/>
  <c r="K1135" i="2"/>
  <c r="G1135" i="2"/>
  <c r="K1134" i="2"/>
  <c r="G1134" i="2"/>
  <c r="K1133" i="2"/>
  <c r="K1132" i="2"/>
  <c r="K1131" i="2"/>
  <c r="K1130" i="2"/>
  <c r="K1129" i="2"/>
  <c r="K1128" i="2"/>
  <c r="K1127" i="2"/>
  <c r="G1126" i="2"/>
  <c r="K1126" i="2" s="1"/>
  <c r="G1124" i="2"/>
  <c r="K1124" i="2" s="1"/>
  <c r="G1122" i="2"/>
  <c r="K1122" i="2" s="1"/>
  <c r="G1121" i="2"/>
  <c r="K1121" i="2" s="1"/>
  <c r="G1120" i="2"/>
  <c r="K1120" i="2" s="1"/>
  <c r="G1115" i="2"/>
  <c r="K1115" i="2" s="1"/>
  <c r="G1113" i="2"/>
  <c r="K1113" i="2" s="1"/>
  <c r="AC1156" i="2" l="1"/>
  <c r="AB1156" i="2"/>
  <c r="AE1115" i="2"/>
  <c r="AI1115" i="2" s="1"/>
  <c r="AE1116" i="2"/>
  <c r="AI1116" i="2" s="1"/>
  <c r="AI1113" i="2"/>
  <c r="W1123" i="2"/>
  <c r="U1156" i="2"/>
  <c r="S1156" i="2"/>
  <c r="W1113" i="2"/>
  <c r="W1156" i="2" s="1"/>
  <c r="P1156" i="2"/>
  <c r="K1123" i="2"/>
  <c r="D1156" i="2"/>
  <c r="G1114" i="2"/>
  <c r="K1114" i="2" s="1"/>
  <c r="K1156" i="2" s="1"/>
  <c r="J1003" i="2"/>
  <c r="I1003" i="2"/>
  <c r="J1004" i="2"/>
  <c r="D1004" i="2"/>
  <c r="E1003" i="2"/>
  <c r="D1003" i="2"/>
  <c r="AI1156" i="2" l="1"/>
  <c r="AE1156" i="2"/>
  <c r="G1156" i="2"/>
  <c r="AE1101" i="2"/>
  <c r="AB1062" i="2"/>
  <c r="AH1061" i="2"/>
  <c r="AH1101" i="2" s="1"/>
  <c r="AC1061" i="2"/>
  <c r="AC1101" i="2" s="1"/>
  <c r="AB1061" i="2"/>
  <c r="AE1061" i="2" s="1"/>
  <c r="AG1058" i="2"/>
  <c r="AG1059" i="2"/>
  <c r="AG1060" i="2"/>
  <c r="AB1060" i="2"/>
  <c r="AC1059" i="2"/>
  <c r="AB1059" i="2"/>
  <c r="AB1058" i="2"/>
  <c r="AG1101" i="2"/>
  <c r="AD1101" i="2"/>
  <c r="AI1099" i="2"/>
  <c r="AE1098" i="2"/>
  <c r="AI1098" i="2" s="1"/>
  <c r="AI1097" i="2"/>
  <c r="AE1096" i="2"/>
  <c r="AI1096" i="2" s="1"/>
  <c r="AI1095" i="2"/>
  <c r="AE1095" i="2"/>
  <c r="AI1094" i="2"/>
  <c r="AE1094" i="2"/>
  <c r="AI1093" i="2"/>
  <c r="AE1093" i="2"/>
  <c r="AE1092" i="2"/>
  <c r="AI1092" i="2" s="1"/>
  <c r="AI1091" i="2"/>
  <c r="AE1091" i="2"/>
  <c r="AI1090" i="2"/>
  <c r="AE1090" i="2"/>
  <c r="AE1089" i="2"/>
  <c r="AI1089" i="2" s="1"/>
  <c r="AE1088" i="2"/>
  <c r="AI1088" i="2" s="1"/>
  <c r="AI1087" i="2"/>
  <c r="AE1087" i="2"/>
  <c r="AI1086" i="2"/>
  <c r="AE1086" i="2"/>
  <c r="AI1085" i="2"/>
  <c r="AE1085" i="2"/>
  <c r="AE1084" i="2"/>
  <c r="AI1084" i="2" s="1"/>
  <c r="AI1083" i="2"/>
  <c r="AE1083" i="2"/>
  <c r="AI1082" i="2"/>
  <c r="AE1082" i="2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I1075" i="2"/>
  <c r="AE1075" i="2"/>
  <c r="AI1074" i="2"/>
  <c r="AE1074" i="2"/>
  <c r="AE1073" i="2"/>
  <c r="AI1073" i="2" s="1"/>
  <c r="AE1072" i="2"/>
  <c r="AI1072" i="2" s="1"/>
  <c r="AI1071" i="2"/>
  <c r="AE1071" i="2"/>
  <c r="AI1070" i="2"/>
  <c r="AE1070" i="2"/>
  <c r="AI1069" i="2"/>
  <c r="AE1069" i="2"/>
  <c r="AE1068" i="2"/>
  <c r="AI1068" i="2" s="1"/>
  <c r="AI1067" i="2"/>
  <c r="AE1067" i="2"/>
  <c r="AI1066" i="2"/>
  <c r="AE1066" i="2"/>
  <c r="AE1065" i="2"/>
  <c r="AI1065" i="2" s="1"/>
  <c r="AE1064" i="2"/>
  <c r="AI1064" i="2" s="1"/>
  <c r="AE1062" i="2"/>
  <c r="AI1062" i="2" s="1"/>
  <c r="AE1060" i="2"/>
  <c r="AI1060" i="2" s="1"/>
  <c r="AE1059" i="2"/>
  <c r="AI1059" i="2" s="1"/>
  <c r="AA1059" i="2"/>
  <c r="AA1060" i="2" s="1"/>
  <c r="AA1061" i="2" s="1"/>
  <c r="AA1062" i="2" s="1"/>
  <c r="Q1060" i="2"/>
  <c r="Q1101" i="2" s="1"/>
  <c r="P1060" i="2"/>
  <c r="S1060" i="2" s="1"/>
  <c r="W1060" i="2" s="1"/>
  <c r="U1059" i="2"/>
  <c r="U1101" i="2" s="1"/>
  <c r="I1064" i="2"/>
  <c r="J1101" i="2"/>
  <c r="Q1059" i="2"/>
  <c r="P1059" i="2"/>
  <c r="V1058" i="2"/>
  <c r="P1058" i="2"/>
  <c r="R1101" i="2"/>
  <c r="W1099" i="2"/>
  <c r="S1098" i="2"/>
  <c r="W1098" i="2" s="1"/>
  <c r="W1097" i="2"/>
  <c r="S1096" i="2"/>
  <c r="W1096" i="2" s="1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W1075" i="2"/>
  <c r="S1075" i="2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W1066" i="2"/>
  <c r="S1066" i="2"/>
  <c r="S1065" i="2"/>
  <c r="W1065" i="2" s="1"/>
  <c r="S1064" i="2"/>
  <c r="W1064" i="2" s="1"/>
  <c r="S1063" i="2"/>
  <c r="W1063" i="2" s="1"/>
  <c r="S1062" i="2"/>
  <c r="W1062" i="2" s="1"/>
  <c r="S1061" i="2"/>
  <c r="W1061" i="2" s="1"/>
  <c r="V1101" i="2"/>
  <c r="S1059" i="2"/>
  <c r="O1059" i="2"/>
  <c r="O1060" i="2" s="1"/>
  <c r="O1061" i="2" s="1"/>
  <c r="S1058" i="2"/>
  <c r="D1070" i="2"/>
  <c r="G1070" i="2" s="1"/>
  <c r="K1070" i="2" s="1"/>
  <c r="D1069" i="2"/>
  <c r="C1069" i="2"/>
  <c r="C1070" i="2" s="1"/>
  <c r="D1068" i="2"/>
  <c r="G1068" i="2" s="1"/>
  <c r="K1068" i="2" s="1"/>
  <c r="D1067" i="2"/>
  <c r="G1067" i="2" s="1"/>
  <c r="K1067" i="2" s="1"/>
  <c r="D1066" i="2"/>
  <c r="D1065" i="2"/>
  <c r="G1065" i="2"/>
  <c r="K1065" i="2" s="1"/>
  <c r="D1064" i="2"/>
  <c r="D1063" i="2"/>
  <c r="G1063" i="2"/>
  <c r="K1063" i="2" s="1"/>
  <c r="I1062" i="2"/>
  <c r="D1062" i="2"/>
  <c r="G1062" i="2" s="1"/>
  <c r="I1061" i="2"/>
  <c r="D1061" i="2"/>
  <c r="G1061" i="2"/>
  <c r="I1060" i="2"/>
  <c r="D1060" i="2"/>
  <c r="G1060" i="2" s="1"/>
  <c r="K1060" i="2" s="1"/>
  <c r="D1059" i="2"/>
  <c r="D1058" i="2"/>
  <c r="C1060" i="2"/>
  <c r="C1061" i="2"/>
  <c r="C1062" i="2"/>
  <c r="C1063" i="2"/>
  <c r="C1064" i="2"/>
  <c r="C1065" i="2"/>
  <c r="C1066" i="2"/>
  <c r="C1067" i="2"/>
  <c r="C1068" i="2"/>
  <c r="F1101" i="2"/>
  <c r="E1101" i="2"/>
  <c r="K1098" i="2"/>
  <c r="G1098" i="2"/>
  <c r="G1091" i="2"/>
  <c r="K1091" i="2" s="1"/>
  <c r="G1090" i="2"/>
  <c r="K1090" i="2" s="1"/>
  <c r="K1089" i="2"/>
  <c r="G1089" i="2"/>
  <c r="K1088" i="2"/>
  <c r="G1088" i="2"/>
  <c r="G1087" i="2"/>
  <c r="K1087" i="2" s="1"/>
  <c r="G1086" i="2"/>
  <c r="K1086" i="2" s="1"/>
  <c r="G1085" i="2"/>
  <c r="K1085" i="2" s="1"/>
  <c r="G1084" i="2"/>
  <c r="K1084" i="2" s="1"/>
  <c r="G1083" i="2"/>
  <c r="K1083" i="2" s="1"/>
  <c r="G1082" i="2"/>
  <c r="K1082" i="2" s="1"/>
  <c r="K1081" i="2"/>
  <c r="G1081" i="2"/>
  <c r="K1080" i="2"/>
  <c r="G1080" i="2"/>
  <c r="G1079" i="2"/>
  <c r="K1079" i="2" s="1"/>
  <c r="K1078" i="2"/>
  <c r="K1077" i="2"/>
  <c r="K1076" i="2"/>
  <c r="K1075" i="2"/>
  <c r="K1074" i="2"/>
  <c r="K1073" i="2"/>
  <c r="K1072" i="2"/>
  <c r="K1071" i="2"/>
  <c r="G1071" i="2"/>
  <c r="G1069" i="2"/>
  <c r="K1069" i="2" s="1"/>
  <c r="G1066" i="2"/>
  <c r="K1066" i="2" s="1"/>
  <c r="G1064" i="2"/>
  <c r="G1059" i="2"/>
  <c r="K1059" i="2" s="1"/>
  <c r="C1059" i="2"/>
  <c r="AI1061" i="2" l="1"/>
  <c r="AB1101" i="2"/>
  <c r="AE1063" i="2"/>
  <c r="AI1063" i="2" s="1"/>
  <c r="AE1058" i="2"/>
  <c r="W1059" i="2"/>
  <c r="W1058" i="2"/>
  <c r="W1101" i="2" s="1"/>
  <c r="S1101" i="2"/>
  <c r="P1101" i="2"/>
  <c r="K1064" i="2"/>
  <c r="K1062" i="2"/>
  <c r="K1061" i="2"/>
  <c r="I1101" i="2"/>
  <c r="D1101" i="2"/>
  <c r="G1058" i="2"/>
  <c r="G1101" i="2"/>
  <c r="K1058" i="2"/>
  <c r="AC1008" i="2"/>
  <c r="AB1008" i="2"/>
  <c r="AB1007" i="2"/>
  <c r="AE1007" i="2"/>
  <c r="AI1007" i="2" s="1"/>
  <c r="AB1006" i="2"/>
  <c r="AH1005" i="2"/>
  <c r="AG1005" i="2"/>
  <c r="AG1046" i="2" s="1"/>
  <c r="AB1005" i="2"/>
  <c r="AE1005" i="2" s="1"/>
  <c r="AC1004" i="2"/>
  <c r="AB1004" i="2"/>
  <c r="AH1003" i="2"/>
  <c r="AH1046" i="2" s="1"/>
  <c r="AC1003" i="2"/>
  <c r="AB1003" i="2"/>
  <c r="AD1046" i="2"/>
  <c r="AI1044" i="2"/>
  <c r="AI1043" i="2"/>
  <c r="AE1043" i="2"/>
  <c r="AI1042" i="2"/>
  <c r="AE1041" i="2"/>
  <c r="AI1041" i="2" s="1"/>
  <c r="AI1040" i="2"/>
  <c r="AE1040" i="2"/>
  <c r="AI1039" i="2"/>
  <c r="AE1039" i="2"/>
  <c r="AE1038" i="2"/>
  <c r="AI1038" i="2" s="1"/>
  <c r="AI1037" i="2"/>
  <c r="AE1037" i="2"/>
  <c r="AI1036" i="2"/>
  <c r="AE1036" i="2"/>
  <c r="AE1035" i="2"/>
  <c r="AI1035" i="2" s="1"/>
  <c r="AE1034" i="2"/>
  <c r="AI1034" i="2" s="1"/>
  <c r="AE1033" i="2"/>
  <c r="AI1033" i="2" s="1"/>
  <c r="AE1032" i="2"/>
  <c r="AI1032" i="2" s="1"/>
  <c r="AE1031" i="2"/>
  <c r="AI1031" i="2" s="1"/>
  <c r="AE1030" i="2"/>
  <c r="AI1030" i="2" s="1"/>
  <c r="AI1029" i="2"/>
  <c r="AE1029" i="2"/>
  <c r="AI1028" i="2"/>
  <c r="AE1028" i="2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I1021" i="2"/>
  <c r="AE1021" i="2"/>
  <c r="AI1020" i="2"/>
  <c r="AE1020" i="2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I1013" i="2"/>
  <c r="AE1013" i="2"/>
  <c r="AE1012" i="2"/>
  <c r="AI1012" i="2" s="1"/>
  <c r="AE1011" i="2"/>
  <c r="AI1011" i="2" s="1"/>
  <c r="AE1010" i="2"/>
  <c r="AI1010" i="2" s="1"/>
  <c r="AE1009" i="2"/>
  <c r="AI1009" i="2" s="1"/>
  <c r="AE1006" i="2"/>
  <c r="AI1006" i="2" s="1"/>
  <c r="AE1004" i="2"/>
  <c r="AI1004" i="2" s="1"/>
  <c r="AA1004" i="2"/>
  <c r="AA1005" i="2" s="1"/>
  <c r="AA1006" i="2" s="1"/>
  <c r="AA1007" i="2" s="1"/>
  <c r="AA1008" i="2" s="1"/>
  <c r="AI1058" i="2" l="1"/>
  <c r="AI1101" i="2" s="1"/>
  <c r="K1101" i="2"/>
  <c r="AC1046" i="2"/>
  <c r="AE1008" i="2"/>
  <c r="AI1008" i="2" s="1"/>
  <c r="AI1005" i="2"/>
  <c r="AE1003" i="2"/>
  <c r="AE1046" i="2" s="1"/>
  <c r="AI1003" i="2"/>
  <c r="AI1046" i="2" s="1"/>
  <c r="AB1046" i="2"/>
  <c r="P1010" i="2"/>
  <c r="V1009" i="2"/>
  <c r="U1009" i="2"/>
  <c r="Q1009" i="2"/>
  <c r="P1009" i="2"/>
  <c r="V1008" i="2"/>
  <c r="P1008" i="2"/>
  <c r="S1008" i="2" s="1"/>
  <c r="P1007" i="2"/>
  <c r="S1007" i="2" s="1"/>
  <c r="W1007" i="2" s="1"/>
  <c r="V1006" i="2"/>
  <c r="W1006" i="2" s="1"/>
  <c r="P1006" i="2"/>
  <c r="V1005" i="2"/>
  <c r="P1005" i="2"/>
  <c r="S1005" i="2" s="1"/>
  <c r="W1005" i="2" s="1"/>
  <c r="U1004" i="2"/>
  <c r="P1004" i="2"/>
  <c r="P1003" i="2"/>
  <c r="S1003" i="2"/>
  <c r="O1004" i="2"/>
  <c r="O1005" i="2" s="1"/>
  <c r="O1006" i="2" s="1"/>
  <c r="O1008" i="2" s="1"/>
  <c r="O1009" i="2" s="1"/>
  <c r="O1010" i="2" s="1"/>
  <c r="S1004" i="2"/>
  <c r="Q1046" i="2"/>
  <c r="S1006" i="2"/>
  <c r="S1009" i="2"/>
  <c r="W1009" i="2" s="1"/>
  <c r="S1010" i="2"/>
  <c r="W1010" i="2" s="1"/>
  <c r="S1011" i="2"/>
  <c r="W1011" i="2"/>
  <c r="S1012" i="2"/>
  <c r="W1012" i="2"/>
  <c r="S1013" i="2"/>
  <c r="W1013" i="2" s="1"/>
  <c r="S1014" i="2"/>
  <c r="W1014" i="2" s="1"/>
  <c r="S1015" i="2"/>
  <c r="W1015" i="2" s="1"/>
  <c r="S1016" i="2"/>
  <c r="W1016" i="2"/>
  <c r="S1017" i="2"/>
  <c r="W1017" i="2"/>
  <c r="S1018" i="2"/>
  <c r="W1018" i="2" s="1"/>
  <c r="S1019" i="2"/>
  <c r="W1019" i="2"/>
  <c r="S1020" i="2"/>
  <c r="W1020" i="2"/>
  <c r="S1021" i="2"/>
  <c r="W1021" i="2" s="1"/>
  <c r="S1022" i="2"/>
  <c r="W1022" i="2" s="1"/>
  <c r="S1023" i="2"/>
  <c r="W1023" i="2"/>
  <c r="S1024" i="2"/>
  <c r="W1024" i="2"/>
  <c r="S1025" i="2"/>
  <c r="W1025" i="2"/>
  <c r="S1026" i="2"/>
  <c r="W1026" i="2" s="1"/>
  <c r="S1027" i="2"/>
  <c r="W1027" i="2"/>
  <c r="S1028" i="2"/>
  <c r="W1028" i="2"/>
  <c r="S1029" i="2"/>
  <c r="W1029" i="2" s="1"/>
  <c r="S1030" i="2"/>
  <c r="W1030" i="2" s="1"/>
  <c r="S1031" i="2"/>
  <c r="W1031" i="2"/>
  <c r="S1032" i="2"/>
  <c r="W1032" i="2"/>
  <c r="S1033" i="2"/>
  <c r="W1033" i="2"/>
  <c r="S1034" i="2"/>
  <c r="W1034" i="2" s="1"/>
  <c r="S1035" i="2"/>
  <c r="W1035" i="2"/>
  <c r="S1036" i="2"/>
  <c r="W1036" i="2"/>
  <c r="S1037" i="2"/>
  <c r="W1037" i="2" s="1"/>
  <c r="S1038" i="2"/>
  <c r="W1038" i="2" s="1"/>
  <c r="S1039" i="2"/>
  <c r="W1039" i="2"/>
  <c r="S1040" i="2"/>
  <c r="W1040" i="2"/>
  <c r="S1041" i="2"/>
  <c r="W1041" i="2"/>
  <c r="W1042" i="2"/>
  <c r="S1043" i="2"/>
  <c r="W1043" i="2" s="1"/>
  <c r="W1044" i="2"/>
  <c r="R1046" i="2"/>
  <c r="D1046" i="2"/>
  <c r="J1046" i="2"/>
  <c r="E1046" i="2"/>
  <c r="I1046" i="2"/>
  <c r="C1004" i="2"/>
  <c r="G1005" i="2"/>
  <c r="K1005" i="2" s="1"/>
  <c r="G1006" i="2"/>
  <c r="K1006" i="2"/>
  <c r="G1007" i="2"/>
  <c r="K1007" i="2"/>
  <c r="G1008" i="2"/>
  <c r="K1008" i="2"/>
  <c r="G1009" i="2"/>
  <c r="K1009" i="2" s="1"/>
  <c r="G1010" i="2"/>
  <c r="K1010" i="2"/>
  <c r="G1011" i="2"/>
  <c r="K1011" i="2" s="1"/>
  <c r="G1012" i="2"/>
  <c r="K1012" i="2"/>
  <c r="G1013" i="2"/>
  <c r="K1013" i="2"/>
  <c r="G1014" i="2"/>
  <c r="K1014" i="2"/>
  <c r="G1015" i="2"/>
  <c r="K1015" i="2"/>
  <c r="G1016" i="2"/>
  <c r="K1016" i="2"/>
  <c r="K1017" i="2"/>
  <c r="K1018" i="2"/>
  <c r="K1019" i="2"/>
  <c r="K1020" i="2"/>
  <c r="K1021" i="2"/>
  <c r="K1022" i="2"/>
  <c r="K1023" i="2"/>
  <c r="G1024" i="2"/>
  <c r="K1024" i="2" s="1"/>
  <c r="G1025" i="2"/>
  <c r="K1025" i="2"/>
  <c r="G1026" i="2"/>
  <c r="K1026" i="2"/>
  <c r="G1027" i="2"/>
  <c r="K1027" i="2"/>
  <c r="G1028" i="2"/>
  <c r="K1028" i="2"/>
  <c r="G1029" i="2"/>
  <c r="K1029" i="2"/>
  <c r="G1030" i="2"/>
  <c r="K1030" i="2"/>
  <c r="G1031" i="2"/>
  <c r="K1031" i="2"/>
  <c r="G1032" i="2"/>
  <c r="K1032" i="2" s="1"/>
  <c r="G1033" i="2"/>
  <c r="K1033" i="2"/>
  <c r="G1034" i="2"/>
  <c r="K1034" i="2"/>
  <c r="G1035" i="2"/>
  <c r="K1035" i="2"/>
  <c r="G1036" i="2"/>
  <c r="K1036" i="2"/>
  <c r="G1043" i="2"/>
  <c r="K1043" i="2"/>
  <c r="F1046" i="2"/>
  <c r="U1046" i="2" l="1"/>
  <c r="W1008" i="2"/>
  <c r="V1046" i="2"/>
  <c r="W1004" i="2"/>
  <c r="W1003" i="2"/>
  <c r="S1046" i="2"/>
  <c r="P1046" i="2"/>
  <c r="G1004" i="2"/>
  <c r="K1004" i="2" s="1"/>
  <c r="G1003" i="2"/>
  <c r="K1003" i="2" s="1"/>
  <c r="K1046" i="2" s="1"/>
  <c r="P955" i="2"/>
  <c r="S955" i="2" s="1"/>
  <c r="W955" i="2" s="1"/>
  <c r="P954" i="2"/>
  <c r="S954" i="2" s="1"/>
  <c r="W954" i="2" s="1"/>
  <c r="P953" i="2"/>
  <c r="S953" i="2" s="1"/>
  <c r="W953" i="2" s="1"/>
  <c r="Q952" i="2"/>
  <c r="P952" i="2"/>
  <c r="S952" i="2" s="1"/>
  <c r="W952" i="2" s="1"/>
  <c r="V951" i="2"/>
  <c r="V991" i="2" s="1"/>
  <c r="Q951" i="2"/>
  <c r="Q991" i="2" s="1"/>
  <c r="P951" i="2"/>
  <c r="P950" i="2"/>
  <c r="P949" i="2"/>
  <c r="P948" i="2"/>
  <c r="S948" i="2"/>
  <c r="O949" i="2"/>
  <c r="S949" i="2"/>
  <c r="W949" i="2" s="1"/>
  <c r="O950" i="2"/>
  <c r="O951" i="2" s="1"/>
  <c r="O952" i="2" s="1"/>
  <c r="O953" i="2" s="1"/>
  <c r="O954" i="2" s="1"/>
  <c r="O955" i="2" s="1"/>
  <c r="U991" i="2"/>
  <c r="S956" i="2"/>
  <c r="W956" i="2"/>
  <c r="S957" i="2"/>
  <c r="W957" i="2" s="1"/>
  <c r="S958" i="2"/>
  <c r="W958" i="2"/>
  <c r="S959" i="2"/>
  <c r="W959" i="2"/>
  <c r="S960" i="2"/>
  <c r="W960" i="2"/>
  <c r="S961" i="2"/>
  <c r="W961" i="2"/>
  <c r="S962" i="2"/>
  <c r="W962" i="2" s="1"/>
  <c r="S963" i="2"/>
  <c r="W963" i="2"/>
  <c r="S964" i="2"/>
  <c r="W964" i="2"/>
  <c r="S965" i="2"/>
  <c r="W965" i="2" s="1"/>
  <c r="S966" i="2"/>
  <c r="W966" i="2"/>
  <c r="S967" i="2"/>
  <c r="W967" i="2"/>
  <c r="S968" i="2"/>
  <c r="W968" i="2"/>
  <c r="S969" i="2"/>
  <c r="W969" i="2"/>
  <c r="S970" i="2"/>
  <c r="W970" i="2" s="1"/>
  <c r="S971" i="2"/>
  <c r="W971" i="2"/>
  <c r="S972" i="2"/>
  <c r="W972" i="2"/>
  <c r="S973" i="2"/>
  <c r="W973" i="2" s="1"/>
  <c r="S974" i="2"/>
  <c r="W974" i="2"/>
  <c r="S975" i="2"/>
  <c r="W975" i="2"/>
  <c r="S976" i="2"/>
  <c r="W976" i="2"/>
  <c r="S977" i="2"/>
  <c r="W977" i="2"/>
  <c r="S978" i="2"/>
  <c r="W978" i="2" s="1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S986" i="2"/>
  <c r="W986" i="2" s="1"/>
  <c r="W987" i="2"/>
  <c r="S988" i="2"/>
  <c r="W988" i="2" s="1"/>
  <c r="W989" i="2"/>
  <c r="R991" i="2"/>
  <c r="J951" i="2"/>
  <c r="D951" i="2"/>
  <c r="D950" i="2"/>
  <c r="G950" i="2"/>
  <c r="K950" i="2" s="1"/>
  <c r="D949" i="2"/>
  <c r="G949" i="2" s="1"/>
  <c r="K949" i="2" s="1"/>
  <c r="I948" i="2"/>
  <c r="I991" i="2" s="1"/>
  <c r="E948" i="2"/>
  <c r="D948" i="2"/>
  <c r="C949" i="2"/>
  <c r="C950" i="2"/>
  <c r="C951" i="2" s="1"/>
  <c r="G952" i="2"/>
  <c r="K952" i="2"/>
  <c r="G953" i="2"/>
  <c r="K953" i="2"/>
  <c r="G954" i="2"/>
  <c r="K954" i="2"/>
  <c r="G955" i="2"/>
  <c r="K955" i="2" s="1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K962" i="2"/>
  <c r="K963" i="2"/>
  <c r="K964" i="2"/>
  <c r="K965" i="2"/>
  <c r="K966" i="2"/>
  <c r="K967" i="2"/>
  <c r="K968" i="2"/>
  <c r="G969" i="2"/>
  <c r="K969" i="2"/>
  <c r="G970" i="2"/>
  <c r="K970" i="2"/>
  <c r="G971" i="2"/>
  <c r="K971" i="2" s="1"/>
  <c r="G972" i="2"/>
  <c r="K972" i="2"/>
  <c r="G973" i="2"/>
  <c r="K973" i="2"/>
  <c r="G974" i="2"/>
  <c r="K974" i="2"/>
  <c r="G975" i="2"/>
  <c r="K975" i="2"/>
  <c r="G976" i="2"/>
  <c r="K976" i="2" s="1"/>
  <c r="G977" i="2"/>
  <c r="K977" i="2"/>
  <c r="G978" i="2"/>
  <c r="K978" i="2"/>
  <c r="G979" i="2"/>
  <c r="K979" i="2" s="1"/>
  <c r="G980" i="2"/>
  <c r="K980" i="2"/>
  <c r="G981" i="2"/>
  <c r="K981" i="2"/>
  <c r="G988" i="2"/>
  <c r="K988" i="2"/>
  <c r="E991" i="2"/>
  <c r="F991" i="2"/>
  <c r="J991" i="2"/>
  <c r="J32" i="1"/>
  <c r="D32" i="1" s="1"/>
  <c r="W1046" i="2" l="1"/>
  <c r="G1046" i="2"/>
  <c r="S951" i="2"/>
  <c r="W951" i="2" s="1"/>
  <c r="P991" i="2"/>
  <c r="S950" i="2"/>
  <c r="W950" i="2" s="1"/>
  <c r="W948" i="2"/>
  <c r="D991" i="2"/>
  <c r="G948" i="2"/>
  <c r="K948" i="2" s="1"/>
  <c r="G951" i="2"/>
  <c r="K951" i="2" s="1"/>
  <c r="AA901" i="2"/>
  <c r="AA902" i="2" s="1"/>
  <c r="AH902" i="2"/>
  <c r="AH936" i="2" s="1"/>
  <c r="AC902" i="2"/>
  <c r="AE902" i="2" s="1"/>
  <c r="AB902" i="2"/>
  <c r="AB901" i="2"/>
  <c r="AB900" i="2"/>
  <c r="AB899" i="2"/>
  <c r="AE899" i="2" s="1"/>
  <c r="AI899" i="2" s="1"/>
  <c r="AG898" i="2"/>
  <c r="AG936" i="2" s="1"/>
  <c r="AB898" i="2"/>
  <c r="AB897" i="2"/>
  <c r="AE897" i="2" s="1"/>
  <c r="AI897" i="2" s="1"/>
  <c r="AB896" i="2"/>
  <c r="AE896" i="2" s="1"/>
  <c r="AI896" i="2" s="1"/>
  <c r="AB895" i="2"/>
  <c r="AB894" i="2"/>
  <c r="AC894" i="2"/>
  <c r="AC893" i="2"/>
  <c r="AB893" i="2"/>
  <c r="AE893" i="2"/>
  <c r="AA894" i="2"/>
  <c r="AA895" i="2"/>
  <c r="AE895" i="2"/>
  <c r="AI895" i="2" s="1"/>
  <c r="AA896" i="2"/>
  <c r="AA897" i="2" s="1"/>
  <c r="AA898" i="2" s="1"/>
  <c r="AA899" i="2" s="1"/>
  <c r="AA900" i="2" s="1"/>
  <c r="AE898" i="2"/>
  <c r="AE900" i="2"/>
  <c r="AI900" i="2" s="1"/>
  <c r="AE901" i="2"/>
  <c r="AI901" i="2" s="1"/>
  <c r="AE903" i="2"/>
  <c r="AI903" i="2"/>
  <c r="AE904" i="2"/>
  <c r="AI904" i="2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E931" i="2"/>
  <c r="AI931" i="2"/>
  <c r="AI932" i="2"/>
  <c r="AE933" i="2"/>
  <c r="AI933" i="2" s="1"/>
  <c r="AI934" i="2"/>
  <c r="AD936" i="2"/>
  <c r="P900" i="2"/>
  <c r="P936" i="2" s="1"/>
  <c r="V899" i="2"/>
  <c r="U899" i="2"/>
  <c r="P899" i="2"/>
  <c r="P898" i="2"/>
  <c r="P897" i="2"/>
  <c r="P896" i="2"/>
  <c r="U895" i="2"/>
  <c r="U936" i="2" s="1"/>
  <c r="P895" i="2"/>
  <c r="U894" i="2"/>
  <c r="P894" i="2"/>
  <c r="P893" i="2"/>
  <c r="S893" i="2"/>
  <c r="W893" i="2" s="1"/>
  <c r="O894" i="2"/>
  <c r="O895" i="2" s="1"/>
  <c r="O896" i="2" s="1"/>
  <c r="O897" i="2" s="1"/>
  <c r="O898" i="2" s="1"/>
  <c r="O899" i="2" s="1"/>
  <c r="O900" i="2" s="1"/>
  <c r="S894" i="2"/>
  <c r="S895" i="2"/>
  <c r="S896" i="2"/>
  <c r="W896" i="2"/>
  <c r="S897" i="2"/>
  <c r="W897" i="2" s="1"/>
  <c r="S898" i="2"/>
  <c r="W898" i="2" s="1"/>
  <c r="V936" i="2"/>
  <c r="S899" i="2"/>
  <c r="W899" i="2" s="1"/>
  <c r="S900" i="2"/>
  <c r="W900" i="2" s="1"/>
  <c r="S901" i="2"/>
  <c r="W901" i="2" s="1"/>
  <c r="S902" i="2"/>
  <c r="W902" i="2" s="1"/>
  <c r="S903" i="2"/>
  <c r="W903" i="2" s="1"/>
  <c r="S904" i="2"/>
  <c r="W904" i="2" s="1"/>
  <c r="S905" i="2"/>
  <c r="W905" i="2" s="1"/>
  <c r="S906" i="2"/>
  <c r="W906" i="2"/>
  <c r="S907" i="2"/>
  <c r="W907" i="2"/>
  <c r="S908" i="2"/>
  <c r="W908" i="2"/>
  <c r="S909" i="2"/>
  <c r="W909" i="2"/>
  <c r="S910" i="2"/>
  <c r="W910" i="2"/>
  <c r="S911" i="2"/>
  <c r="W911" i="2"/>
  <c r="S912" i="2"/>
  <c r="W912" i="2" s="1"/>
  <c r="S913" i="2"/>
  <c r="W913" i="2" s="1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 s="1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 s="1"/>
  <c r="S929" i="2"/>
  <c r="W929" i="2"/>
  <c r="S930" i="2"/>
  <c r="W930" i="2"/>
  <c r="S931" i="2"/>
  <c r="W931" i="2"/>
  <c r="W932" i="2"/>
  <c r="S933" i="2"/>
  <c r="W933" i="2" s="1"/>
  <c r="W934" i="2"/>
  <c r="Q936" i="2"/>
  <c r="R936" i="2"/>
  <c r="D906" i="2"/>
  <c r="G906" i="2" s="1"/>
  <c r="K906" i="2" s="1"/>
  <c r="D905" i="2"/>
  <c r="G905" i="2" s="1"/>
  <c r="K905" i="2" s="1"/>
  <c r="D904" i="2"/>
  <c r="D903" i="2"/>
  <c r="D902" i="2"/>
  <c r="G902" i="2" s="1"/>
  <c r="K902" i="2" s="1"/>
  <c r="D901" i="2"/>
  <c r="G901" i="2" s="1"/>
  <c r="K901" i="2" s="1"/>
  <c r="D900" i="2"/>
  <c r="G900" i="2" s="1"/>
  <c r="K900" i="2" s="1"/>
  <c r="D899" i="2"/>
  <c r="G899" i="2" s="1"/>
  <c r="K899" i="2" s="1"/>
  <c r="D898" i="2"/>
  <c r="G898" i="2" s="1"/>
  <c r="K898" i="2" s="1"/>
  <c r="I897" i="2"/>
  <c r="D897" i="2"/>
  <c r="D896" i="2"/>
  <c r="I895" i="2"/>
  <c r="D895" i="2"/>
  <c r="G895" i="2" s="1"/>
  <c r="K895" i="2" s="1"/>
  <c r="I894" i="2"/>
  <c r="D894" i="2"/>
  <c r="G894" i="2" s="1"/>
  <c r="D893" i="2"/>
  <c r="G893" i="2" s="1"/>
  <c r="J936" i="2"/>
  <c r="F936" i="2"/>
  <c r="E936" i="2"/>
  <c r="G933" i="2"/>
  <c r="K933" i="2" s="1"/>
  <c r="G926" i="2"/>
  <c r="K926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K913" i="2"/>
  <c r="K912" i="2"/>
  <c r="K911" i="2"/>
  <c r="K910" i="2"/>
  <c r="K909" i="2"/>
  <c r="K908" i="2"/>
  <c r="K907" i="2"/>
  <c r="G904" i="2"/>
  <c r="K904" i="2" s="1"/>
  <c r="G903" i="2"/>
  <c r="K903" i="2" s="1"/>
  <c r="G897" i="2"/>
  <c r="G896" i="2"/>
  <c r="K896" i="2" s="1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W991" i="2" l="1"/>
  <c r="S991" i="2"/>
  <c r="K991" i="2"/>
  <c r="G991" i="2"/>
  <c r="AI902" i="2"/>
  <c r="AC936" i="2"/>
  <c r="AI898" i="2"/>
  <c r="AE894" i="2"/>
  <c r="AI894" i="2" s="1"/>
  <c r="AI893" i="2"/>
  <c r="AB936" i="2"/>
  <c r="W895" i="2"/>
  <c r="S936" i="2"/>
  <c r="W894" i="2"/>
  <c r="K897" i="2"/>
  <c r="I936" i="2"/>
  <c r="K894" i="2"/>
  <c r="G936" i="2"/>
  <c r="K893" i="2"/>
  <c r="K936" i="2" s="1"/>
  <c r="D936" i="2"/>
  <c r="AE936" i="2" l="1"/>
  <c r="AI936" i="2"/>
  <c r="W936" i="2"/>
  <c r="AG838" i="2"/>
  <c r="AH838" i="2"/>
  <c r="AB845" i="2"/>
  <c r="AB844" i="2"/>
  <c r="AE844" i="2" s="1"/>
  <c r="AI844" i="2" s="1"/>
  <c r="AH843" i="2"/>
  <c r="AH881" i="2" s="1"/>
  <c r="AB843" i="2"/>
  <c r="AB842" i="2"/>
  <c r="AG841" i="2"/>
  <c r="AG881" i="2" s="1"/>
  <c r="AB841" i="2"/>
  <c r="AC840" i="2"/>
  <c r="AB840" i="2"/>
  <c r="AB881" i="2" s="1"/>
  <c r="AB839" i="2"/>
  <c r="AE839" i="2" s="1"/>
  <c r="AI839" i="2" s="1"/>
  <c r="AB838" i="2"/>
  <c r="AC838" i="2"/>
  <c r="AE838" i="2" s="1"/>
  <c r="AI879" i="2"/>
  <c r="AE878" i="2"/>
  <c r="AI878" i="2" s="1"/>
  <c r="AI877" i="2"/>
  <c r="AE876" i="2"/>
  <c r="AI876" i="2" s="1"/>
  <c r="AI875" i="2"/>
  <c r="AE875" i="2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I867" i="2"/>
  <c r="AE867" i="2"/>
  <c r="AE866" i="2"/>
  <c r="AI866" i="2" s="1"/>
  <c r="AE865" i="2"/>
  <c r="AI865" i="2" s="1"/>
  <c r="AE864" i="2"/>
  <c r="AI864" i="2" s="1"/>
  <c r="AE863" i="2"/>
  <c r="AI863" i="2" s="1"/>
  <c r="AI862" i="2"/>
  <c r="AE862" i="2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I854" i="2"/>
  <c r="AE854" i="2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I846" i="2"/>
  <c r="AE846" i="2"/>
  <c r="AE845" i="2"/>
  <c r="AI845" i="2" s="1"/>
  <c r="AE843" i="2"/>
  <c r="AE842" i="2"/>
  <c r="AI842" i="2" s="1"/>
  <c r="AC881" i="2"/>
  <c r="AE840" i="2"/>
  <c r="AI840" i="2" s="1"/>
  <c r="AA839" i="2"/>
  <c r="AA840" i="2" s="1"/>
  <c r="AA841" i="2" s="1"/>
  <c r="AA842" i="2" s="1"/>
  <c r="AA843" i="2" s="1"/>
  <c r="AA844" i="2" s="1"/>
  <c r="AA845" i="2" s="1"/>
  <c r="AI880" i="2"/>
  <c r="AD881" i="2"/>
  <c r="U840" i="2"/>
  <c r="P849" i="2"/>
  <c r="P847" i="2"/>
  <c r="S847" i="2" s="1"/>
  <c r="W847" i="2" s="1"/>
  <c r="U846" i="2"/>
  <c r="P846" i="2"/>
  <c r="S846" i="2" s="1"/>
  <c r="W846" i="2" s="1"/>
  <c r="V845" i="2"/>
  <c r="V881" i="2"/>
  <c r="U845" i="2"/>
  <c r="Q845" i="2"/>
  <c r="Q881" i="2" s="1"/>
  <c r="P845" i="2"/>
  <c r="D838" i="2"/>
  <c r="G838" i="2"/>
  <c r="J838" i="2"/>
  <c r="K838" i="2"/>
  <c r="P838" i="2"/>
  <c r="S838" i="2"/>
  <c r="W838" i="2" s="1"/>
  <c r="C839" i="2"/>
  <c r="D839" i="2"/>
  <c r="G839" i="2" s="1"/>
  <c r="I839" i="2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P839" i="2"/>
  <c r="C840" i="2"/>
  <c r="D840" i="2"/>
  <c r="G840" i="2" s="1"/>
  <c r="K840" i="2" s="1"/>
  <c r="P840" i="2"/>
  <c r="S840" i="2"/>
  <c r="W840" i="2" s="1"/>
  <c r="D841" i="2"/>
  <c r="G841" i="2"/>
  <c r="K841" i="2"/>
  <c r="P841" i="2"/>
  <c r="S841" i="2" s="1"/>
  <c r="W841" i="2" s="1"/>
  <c r="D842" i="2"/>
  <c r="G842" i="2" s="1"/>
  <c r="J842" i="2"/>
  <c r="P842" i="2"/>
  <c r="S842" i="2"/>
  <c r="W842" i="2" s="1"/>
  <c r="G843" i="2"/>
  <c r="K843" i="2" s="1"/>
  <c r="P843" i="2"/>
  <c r="S843" i="2" s="1"/>
  <c r="W843" i="2" s="1"/>
  <c r="V843" i="2"/>
  <c r="G844" i="2"/>
  <c r="K844" i="2"/>
  <c r="P844" i="2"/>
  <c r="S844" i="2"/>
  <c r="W844" i="2" s="1"/>
  <c r="G845" i="2"/>
  <c r="K845" i="2"/>
  <c r="G846" i="2"/>
  <c r="K846" i="2"/>
  <c r="G847" i="2"/>
  <c r="K847" i="2" s="1"/>
  <c r="G848" i="2"/>
  <c r="K848" i="2" s="1"/>
  <c r="S848" i="2"/>
  <c r="W848" i="2" s="1"/>
  <c r="G849" i="2"/>
  <c r="K849" i="2" s="1"/>
  <c r="S849" i="2"/>
  <c r="W849" i="2" s="1"/>
  <c r="G850" i="2"/>
  <c r="K850" i="2" s="1"/>
  <c r="S850" i="2"/>
  <c r="W850" i="2"/>
  <c r="G851" i="2"/>
  <c r="K851" i="2" s="1"/>
  <c r="S851" i="2"/>
  <c r="W851" i="2" s="1"/>
  <c r="G852" i="2"/>
  <c r="K852" i="2"/>
  <c r="S852" i="2"/>
  <c r="W852" i="2"/>
  <c r="G853" i="2"/>
  <c r="K853" i="2" s="1"/>
  <c r="S853" i="2"/>
  <c r="W853" i="2" s="1"/>
  <c r="G854" i="2"/>
  <c r="K854" i="2" s="1"/>
  <c r="S854" i="2"/>
  <c r="W854" i="2"/>
  <c r="G855" i="2"/>
  <c r="K855" i="2"/>
  <c r="S855" i="2"/>
  <c r="W855" i="2" s="1"/>
  <c r="G856" i="2"/>
  <c r="K856" i="2" s="1"/>
  <c r="S856" i="2"/>
  <c r="W856" i="2" s="1"/>
  <c r="G857" i="2"/>
  <c r="K857" i="2" s="1"/>
  <c r="S857" i="2"/>
  <c r="W857" i="2"/>
  <c r="G858" i="2"/>
  <c r="K858" i="2"/>
  <c r="S858" i="2"/>
  <c r="W858" i="2" s="1"/>
  <c r="G859" i="2"/>
  <c r="K859" i="2" s="1"/>
  <c r="S859" i="2"/>
  <c r="W859" i="2" s="1"/>
  <c r="G860" i="2"/>
  <c r="K860" i="2"/>
  <c r="S860" i="2"/>
  <c r="W860" i="2"/>
  <c r="G861" i="2"/>
  <c r="K861" i="2" s="1"/>
  <c r="S861" i="2"/>
  <c r="W861" i="2" s="1"/>
  <c r="G862" i="2"/>
  <c r="K862" i="2"/>
  <c r="S862" i="2"/>
  <c r="W862" i="2"/>
  <c r="G863" i="2"/>
  <c r="K863" i="2" s="1"/>
  <c r="S863" i="2"/>
  <c r="W863" i="2" s="1"/>
  <c r="G864" i="2"/>
  <c r="K864" i="2" s="1"/>
  <c r="S864" i="2"/>
  <c r="W864" i="2"/>
  <c r="G865" i="2"/>
  <c r="K865" i="2" s="1"/>
  <c r="S865" i="2"/>
  <c r="W865" i="2" s="1"/>
  <c r="G866" i="2"/>
  <c r="K866" i="2" s="1"/>
  <c r="S866" i="2"/>
  <c r="W866" i="2" s="1"/>
  <c r="G867" i="2"/>
  <c r="K867" i="2"/>
  <c r="S867" i="2"/>
  <c r="W867" i="2" s="1"/>
  <c r="G868" i="2"/>
  <c r="K868" i="2"/>
  <c r="S868" i="2"/>
  <c r="W868" i="2"/>
  <c r="G869" i="2"/>
  <c r="K869" i="2" s="1"/>
  <c r="S869" i="2"/>
  <c r="W869" i="2" s="1"/>
  <c r="G870" i="2"/>
  <c r="K870" i="2" s="1"/>
  <c r="S870" i="2"/>
  <c r="W870" i="2"/>
  <c r="G871" i="2"/>
  <c r="K871" i="2"/>
  <c r="S871" i="2"/>
  <c r="W871" i="2" s="1"/>
  <c r="S872" i="2"/>
  <c r="W872" i="2" s="1"/>
  <c r="S873" i="2"/>
  <c r="W873" i="2"/>
  <c r="S874" i="2"/>
  <c r="W874" i="2" s="1"/>
  <c r="S875" i="2"/>
  <c r="W875" i="2"/>
  <c r="S876" i="2"/>
  <c r="W876" i="2" s="1"/>
  <c r="W877" i="2"/>
  <c r="G878" i="2"/>
  <c r="K878" i="2" s="1"/>
  <c r="S878" i="2"/>
  <c r="W878" i="2" s="1"/>
  <c r="W879" i="2"/>
  <c r="E881" i="2"/>
  <c r="F881" i="2"/>
  <c r="J881" i="2"/>
  <c r="R881" i="2"/>
  <c r="K839" i="2" l="1"/>
  <c r="AI843" i="2"/>
  <c r="AI838" i="2"/>
  <c r="AI881" i="2" s="1"/>
  <c r="AE841" i="2"/>
  <c r="AI841" i="2" s="1"/>
  <c r="U881" i="2"/>
  <c r="S845" i="2"/>
  <c r="W845" i="2" s="1"/>
  <c r="P881" i="2"/>
  <c r="I881" i="2"/>
  <c r="K842" i="2"/>
  <c r="K881" i="2" s="1"/>
  <c r="G881" i="2"/>
  <c r="S839" i="2"/>
  <c r="D881" i="2"/>
  <c r="AC786" i="2"/>
  <c r="AB786" i="2"/>
  <c r="AH786" i="2"/>
  <c r="AB785" i="2"/>
  <c r="AE785" i="2" s="1"/>
  <c r="AI785" i="2" s="1"/>
  <c r="AC784" i="2"/>
  <c r="AB784" i="2"/>
  <c r="AH783" i="2"/>
  <c r="AB783" i="2"/>
  <c r="AC783" i="2"/>
  <c r="AG783" i="2"/>
  <c r="AG826" i="2" s="1"/>
  <c r="AD826" i="2"/>
  <c r="AI824" i="2"/>
  <c r="AE823" i="2"/>
  <c r="AI823" i="2" s="1"/>
  <c r="AI822" i="2"/>
  <c r="AE821" i="2"/>
  <c r="AI821" i="2" s="1"/>
  <c r="AE820" i="2"/>
  <c r="AI820" i="2" s="1"/>
  <c r="AE819" i="2"/>
  <c r="AI819" i="2" s="1"/>
  <c r="AE818" i="2"/>
  <c r="AI818" i="2" s="1"/>
  <c r="AE817" i="2"/>
  <c r="AI817" i="2" s="1"/>
  <c r="AE816" i="2"/>
  <c r="AI816" i="2" s="1"/>
  <c r="AE815" i="2"/>
  <c r="AI815" i="2" s="1"/>
  <c r="AE814" i="2"/>
  <c r="AI814" i="2" s="1"/>
  <c r="AE813" i="2"/>
  <c r="AI813" i="2" s="1"/>
  <c r="AE812" i="2"/>
  <c r="AI812" i="2" s="1"/>
  <c r="AE811" i="2"/>
  <c r="AI811" i="2" s="1"/>
  <c r="AE810" i="2"/>
  <c r="AI810" i="2" s="1"/>
  <c r="AE809" i="2"/>
  <c r="AI809" i="2" s="1"/>
  <c r="AE808" i="2"/>
  <c r="AI808" i="2" s="1"/>
  <c r="AE807" i="2"/>
  <c r="AI807" i="2" s="1"/>
  <c r="AE806" i="2"/>
  <c r="AI806" i="2" s="1"/>
  <c r="AE805" i="2"/>
  <c r="AI805" i="2" s="1"/>
  <c r="AE804" i="2"/>
  <c r="AI804" i="2" s="1"/>
  <c r="AE803" i="2"/>
  <c r="AI803" i="2" s="1"/>
  <c r="AE802" i="2"/>
  <c r="AI802" i="2" s="1"/>
  <c r="AE801" i="2"/>
  <c r="AI801" i="2" s="1"/>
  <c r="AE800" i="2"/>
  <c r="AI800" i="2" s="1"/>
  <c r="AE799" i="2"/>
  <c r="AI799" i="2" s="1"/>
  <c r="AE798" i="2"/>
  <c r="AI798" i="2" s="1"/>
  <c r="AE797" i="2"/>
  <c r="AI797" i="2" s="1"/>
  <c r="AE796" i="2"/>
  <c r="AI796" i="2" s="1"/>
  <c r="AE795" i="2"/>
  <c r="AI795" i="2" s="1"/>
  <c r="AE794" i="2"/>
  <c r="AI794" i="2" s="1"/>
  <c r="AE793" i="2"/>
  <c r="AI793" i="2" s="1"/>
  <c r="AE792" i="2"/>
  <c r="AI792" i="2" s="1"/>
  <c r="AE791" i="2"/>
  <c r="AI791" i="2" s="1"/>
  <c r="AE790" i="2"/>
  <c r="AI790" i="2" s="1"/>
  <c r="AE789" i="2"/>
  <c r="AI789" i="2" s="1"/>
  <c r="AE788" i="2"/>
  <c r="AI788" i="2" s="1"/>
  <c r="AE787" i="2"/>
  <c r="AI787" i="2" s="1"/>
  <c r="AA784" i="2"/>
  <c r="AA785" i="2" s="1"/>
  <c r="AA786" i="2" s="1"/>
  <c r="P789" i="2"/>
  <c r="S789" i="2" s="1"/>
  <c r="W789" i="2" s="1"/>
  <c r="U788" i="2"/>
  <c r="Q788" i="2"/>
  <c r="P788" i="2"/>
  <c r="U787" i="2"/>
  <c r="Q787" i="2"/>
  <c r="P787" i="2"/>
  <c r="S787" i="2" s="1"/>
  <c r="V786" i="2"/>
  <c r="P786" i="2"/>
  <c r="S786" i="2" s="1"/>
  <c r="P785" i="2"/>
  <c r="V784" i="2"/>
  <c r="P784" i="2"/>
  <c r="S784" i="2" s="1"/>
  <c r="P783" i="2"/>
  <c r="O784" i="2"/>
  <c r="O785" i="2" s="1"/>
  <c r="O786" i="2" s="1"/>
  <c r="O787" i="2" s="1"/>
  <c r="O788" i="2" s="1"/>
  <c r="O789" i="2" s="1"/>
  <c r="O790" i="2" s="1"/>
  <c r="C784" i="2"/>
  <c r="R826" i="2"/>
  <c r="W824" i="2"/>
  <c r="S823" i="2"/>
  <c r="W823" i="2" s="1"/>
  <c r="W822" i="2"/>
  <c r="S821" i="2"/>
  <c r="W821" i="2" s="1"/>
  <c r="S820" i="2"/>
  <c r="W820" i="2" s="1"/>
  <c r="S819" i="2"/>
  <c r="W819" i="2" s="1"/>
  <c r="S818" i="2"/>
  <c r="W818" i="2" s="1"/>
  <c r="S817" i="2"/>
  <c r="W817" i="2" s="1"/>
  <c r="S816" i="2"/>
  <c r="W816" i="2" s="1"/>
  <c r="S815" i="2"/>
  <c r="W815" i="2" s="1"/>
  <c r="S814" i="2"/>
  <c r="W814" i="2" s="1"/>
  <c r="S813" i="2"/>
  <c r="W813" i="2" s="1"/>
  <c r="S812" i="2"/>
  <c r="W812" i="2" s="1"/>
  <c r="S811" i="2"/>
  <c r="W811" i="2" s="1"/>
  <c r="S810" i="2"/>
  <c r="W810" i="2" s="1"/>
  <c r="S809" i="2"/>
  <c r="W809" i="2" s="1"/>
  <c r="S808" i="2"/>
  <c r="W808" i="2" s="1"/>
  <c r="S807" i="2"/>
  <c r="W807" i="2" s="1"/>
  <c r="S806" i="2"/>
  <c r="W806" i="2" s="1"/>
  <c r="S805" i="2"/>
  <c r="W805" i="2" s="1"/>
  <c r="S804" i="2"/>
  <c r="W804" i="2" s="1"/>
  <c r="S803" i="2"/>
  <c r="W803" i="2" s="1"/>
  <c r="S802" i="2"/>
  <c r="W802" i="2" s="1"/>
  <c r="S801" i="2"/>
  <c r="W801" i="2" s="1"/>
  <c r="S800" i="2"/>
  <c r="W800" i="2" s="1"/>
  <c r="S799" i="2"/>
  <c r="W799" i="2" s="1"/>
  <c r="S798" i="2"/>
  <c r="W798" i="2" s="1"/>
  <c r="S797" i="2"/>
  <c r="W797" i="2" s="1"/>
  <c r="S796" i="2"/>
  <c r="W796" i="2" s="1"/>
  <c r="S795" i="2"/>
  <c r="W795" i="2" s="1"/>
  <c r="S794" i="2"/>
  <c r="W794" i="2" s="1"/>
  <c r="S793" i="2"/>
  <c r="W793" i="2" s="1"/>
  <c r="S792" i="2"/>
  <c r="W792" i="2" s="1"/>
  <c r="S791" i="2"/>
  <c r="W791" i="2" s="1"/>
  <c r="S790" i="2"/>
  <c r="W790" i="2" s="1"/>
  <c r="J786" i="2"/>
  <c r="J826" i="2" s="1"/>
  <c r="I786" i="2"/>
  <c r="E786" i="2"/>
  <c r="E826" i="2" s="1"/>
  <c r="D786" i="2"/>
  <c r="G786" i="2" s="1"/>
  <c r="I785" i="2"/>
  <c r="D785" i="2"/>
  <c r="G785" i="2" s="1"/>
  <c r="C785" i="2"/>
  <c r="I784" i="2"/>
  <c r="D784" i="2"/>
  <c r="G784" i="2" s="1"/>
  <c r="I783" i="2"/>
  <c r="D783" i="2"/>
  <c r="G783" i="2" s="1"/>
  <c r="F826" i="2"/>
  <c r="G823" i="2"/>
  <c r="K823" i="2" s="1"/>
  <c r="G816" i="2"/>
  <c r="K816" i="2" s="1"/>
  <c r="G815" i="2"/>
  <c r="K815" i="2" s="1"/>
  <c r="G814" i="2"/>
  <c r="K814" i="2" s="1"/>
  <c r="G813" i="2"/>
  <c r="K813" i="2" s="1"/>
  <c r="G812" i="2"/>
  <c r="K812" i="2" s="1"/>
  <c r="G811" i="2"/>
  <c r="K811" i="2" s="1"/>
  <c r="G810" i="2"/>
  <c r="K810" i="2" s="1"/>
  <c r="G809" i="2"/>
  <c r="K809" i="2" s="1"/>
  <c r="G808" i="2"/>
  <c r="K808" i="2" s="1"/>
  <c r="G807" i="2"/>
  <c r="K807" i="2" s="1"/>
  <c r="G806" i="2"/>
  <c r="K806" i="2" s="1"/>
  <c r="G805" i="2"/>
  <c r="K805" i="2" s="1"/>
  <c r="G804" i="2"/>
  <c r="K804" i="2" s="1"/>
  <c r="G803" i="2"/>
  <c r="K803" i="2" s="1"/>
  <c r="G802" i="2"/>
  <c r="K802" i="2" s="1"/>
  <c r="G801" i="2"/>
  <c r="K801" i="2" s="1"/>
  <c r="G800" i="2"/>
  <c r="K800" i="2" s="1"/>
  <c r="G799" i="2"/>
  <c r="K799" i="2" s="1"/>
  <c r="G798" i="2"/>
  <c r="K798" i="2" s="1"/>
  <c r="G797" i="2"/>
  <c r="K797" i="2" s="1"/>
  <c r="G796" i="2"/>
  <c r="K796" i="2" s="1"/>
  <c r="G795" i="2"/>
  <c r="K795" i="2" s="1"/>
  <c r="G794" i="2"/>
  <c r="K794" i="2" s="1"/>
  <c r="G793" i="2"/>
  <c r="K793" i="2" s="1"/>
  <c r="G792" i="2"/>
  <c r="K792" i="2" s="1"/>
  <c r="G791" i="2"/>
  <c r="K791" i="2" s="1"/>
  <c r="G790" i="2"/>
  <c r="K790" i="2" s="1"/>
  <c r="G789" i="2"/>
  <c r="K789" i="2" s="1"/>
  <c r="G788" i="2"/>
  <c r="K788" i="2" s="1"/>
  <c r="G787" i="2"/>
  <c r="K787" i="2" s="1"/>
  <c r="AE786" i="2" l="1"/>
  <c r="AE881" i="2"/>
  <c r="S881" i="2"/>
  <c r="W839" i="2"/>
  <c r="W881" i="2" s="1"/>
  <c r="AH826" i="2"/>
  <c r="AC826" i="2"/>
  <c r="AE783" i="2"/>
  <c r="AI783" i="2" s="1"/>
  <c r="W784" i="2"/>
  <c r="S788" i="2"/>
  <c r="W788" i="2" s="1"/>
  <c r="AI786" i="2"/>
  <c r="AB826" i="2"/>
  <c r="V826" i="2"/>
  <c r="W786" i="2"/>
  <c r="K783" i="2"/>
  <c r="K786" i="2"/>
  <c r="Q826" i="2"/>
  <c r="AE784" i="2"/>
  <c r="U826" i="2"/>
  <c r="W787" i="2"/>
  <c r="P826" i="2"/>
  <c r="S783" i="2"/>
  <c r="W783" i="2" s="1"/>
  <c r="S785" i="2"/>
  <c r="W785" i="2" s="1"/>
  <c r="I826" i="2"/>
  <c r="K785" i="2"/>
  <c r="D826" i="2"/>
  <c r="K784" i="2"/>
  <c r="G826" i="2"/>
  <c r="AG731" i="2"/>
  <c r="AB731" i="2"/>
  <c r="AE731" i="2" s="1"/>
  <c r="AH730" i="2"/>
  <c r="AH770" i="2" s="1"/>
  <c r="AB730" i="2"/>
  <c r="AE730" i="2" s="1"/>
  <c r="AB729" i="2"/>
  <c r="AG729" i="2"/>
  <c r="AC729" i="2"/>
  <c r="AC728" i="2"/>
  <c r="AB728" i="2"/>
  <c r="AG727" i="2"/>
  <c r="AB727" i="2"/>
  <c r="AE727" i="2" s="1"/>
  <c r="AD770" i="2"/>
  <c r="AI768" i="2"/>
  <c r="AE767" i="2"/>
  <c r="AI767" i="2" s="1"/>
  <c r="AI766" i="2"/>
  <c r="AE765" i="2"/>
  <c r="AI765" i="2" s="1"/>
  <c r="AE764" i="2"/>
  <c r="AI764" i="2" s="1"/>
  <c r="AE763" i="2"/>
  <c r="AI763" i="2" s="1"/>
  <c r="AE762" i="2"/>
  <c r="AI762" i="2" s="1"/>
  <c r="AE761" i="2"/>
  <c r="AI761" i="2" s="1"/>
  <c r="AE760" i="2"/>
  <c r="AI760" i="2" s="1"/>
  <c r="AE759" i="2"/>
  <c r="AI759" i="2" s="1"/>
  <c r="AE758" i="2"/>
  <c r="AI758" i="2" s="1"/>
  <c r="AE757" i="2"/>
  <c r="AI757" i="2" s="1"/>
  <c r="AE756" i="2"/>
  <c r="AI756" i="2" s="1"/>
  <c r="AE755" i="2"/>
  <c r="AI755" i="2" s="1"/>
  <c r="AE754" i="2"/>
  <c r="AI754" i="2" s="1"/>
  <c r="AE753" i="2"/>
  <c r="AI753" i="2" s="1"/>
  <c r="AE752" i="2"/>
  <c r="AI752" i="2" s="1"/>
  <c r="AE751" i="2"/>
  <c r="AI751" i="2" s="1"/>
  <c r="AE750" i="2"/>
  <c r="AI750" i="2" s="1"/>
  <c r="AE749" i="2"/>
  <c r="AI749" i="2" s="1"/>
  <c r="AE748" i="2"/>
  <c r="AI748" i="2" s="1"/>
  <c r="AE747" i="2"/>
  <c r="AI747" i="2" s="1"/>
  <c r="AE746" i="2"/>
  <c r="AI746" i="2" s="1"/>
  <c r="AE745" i="2"/>
  <c r="AI745" i="2" s="1"/>
  <c r="AE744" i="2"/>
  <c r="AI744" i="2" s="1"/>
  <c r="AE743" i="2"/>
  <c r="AI743" i="2" s="1"/>
  <c r="AE742" i="2"/>
  <c r="AI742" i="2" s="1"/>
  <c r="AE741" i="2"/>
  <c r="AI741" i="2" s="1"/>
  <c r="AE740" i="2"/>
  <c r="AI740" i="2" s="1"/>
  <c r="AE739" i="2"/>
  <c r="AI739" i="2" s="1"/>
  <c r="AE738" i="2"/>
  <c r="AI738" i="2" s="1"/>
  <c r="AE737" i="2"/>
  <c r="AI737" i="2" s="1"/>
  <c r="AE736" i="2"/>
  <c r="AI736" i="2" s="1"/>
  <c r="AE735" i="2"/>
  <c r="AI735" i="2" s="1"/>
  <c r="AE734" i="2"/>
  <c r="AI734" i="2" s="1"/>
  <c r="AE733" i="2"/>
  <c r="AI733" i="2" s="1"/>
  <c r="AE732" i="2"/>
  <c r="AI732" i="2" s="1"/>
  <c r="AA728" i="2"/>
  <c r="AA729" i="2" s="1"/>
  <c r="AA730" i="2" s="1"/>
  <c r="AA731" i="2" s="1"/>
  <c r="V729" i="2"/>
  <c r="U729" i="2"/>
  <c r="Q729" i="2"/>
  <c r="P729" i="2"/>
  <c r="V728" i="2"/>
  <c r="U728" i="2"/>
  <c r="Q728" i="2"/>
  <c r="P728" i="2"/>
  <c r="V727" i="2"/>
  <c r="P727" i="2"/>
  <c r="S727" i="2" s="1"/>
  <c r="O728" i="2"/>
  <c r="O729" i="2" s="1"/>
  <c r="S730" i="2"/>
  <c r="W730" i="2" s="1"/>
  <c r="S731" i="2"/>
  <c r="W731" i="2" s="1"/>
  <c r="S732" i="2"/>
  <c r="W732" i="2" s="1"/>
  <c r="S733" i="2"/>
  <c r="W733" i="2" s="1"/>
  <c r="S734" i="2"/>
  <c r="W734" i="2" s="1"/>
  <c r="S735" i="2"/>
  <c r="W735" i="2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 s="1"/>
  <c r="S743" i="2"/>
  <c r="W743" i="2" s="1"/>
  <c r="S744" i="2"/>
  <c r="W744" i="2" s="1"/>
  <c r="S745" i="2"/>
  <c r="W745" i="2" s="1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AI730" i="2" l="1"/>
  <c r="AI731" i="2"/>
  <c r="S729" i="2"/>
  <c r="W729" i="2" s="1"/>
  <c r="V770" i="2"/>
  <c r="K826" i="2"/>
  <c r="Q770" i="2"/>
  <c r="AI784" i="2"/>
  <c r="AI826" i="2" s="1"/>
  <c r="AE826" i="2"/>
  <c r="S826" i="2"/>
  <c r="W826" i="2"/>
  <c r="AE729" i="2"/>
  <c r="AI729" i="2" s="1"/>
  <c r="AG770" i="2"/>
  <c r="AC770" i="2"/>
  <c r="AE728" i="2"/>
  <c r="AI728" i="2" s="1"/>
  <c r="AI727" i="2"/>
  <c r="AB770" i="2"/>
  <c r="U770" i="2"/>
  <c r="S728" i="2"/>
  <c r="W728" i="2" s="1"/>
  <c r="W727" i="2"/>
  <c r="P770" i="2"/>
  <c r="V674" i="2"/>
  <c r="V715" i="2" s="1"/>
  <c r="U674" i="2"/>
  <c r="Q674" i="2"/>
  <c r="P674" i="2"/>
  <c r="S674" i="2" s="1"/>
  <c r="P673" i="2"/>
  <c r="U673" i="2"/>
  <c r="Q673" i="2"/>
  <c r="P672" i="2"/>
  <c r="S672" i="2" s="1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 s="1"/>
  <c r="S684" i="2"/>
  <c r="W684" i="2"/>
  <c r="S685" i="2"/>
  <c r="W685" i="2" s="1"/>
  <c r="S686" i="2"/>
  <c r="W686" i="2" s="1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 s="1"/>
  <c r="S696" i="2"/>
  <c r="W696" i="2"/>
  <c r="S697" i="2"/>
  <c r="W697" i="2" s="1"/>
  <c r="S698" i="2"/>
  <c r="W698" i="2" s="1"/>
  <c r="S699" i="2"/>
  <c r="W699" i="2"/>
  <c r="S700" i="2"/>
  <c r="W700" i="2" s="1"/>
  <c r="S701" i="2"/>
  <c r="W701" i="2" s="1"/>
  <c r="S702" i="2"/>
  <c r="W702" i="2" s="1"/>
  <c r="S703" i="2"/>
  <c r="W703" i="2" s="1"/>
  <c r="S704" i="2"/>
  <c r="W704" i="2"/>
  <c r="S705" i="2"/>
  <c r="W705" i="2" s="1"/>
  <c r="S706" i="2"/>
  <c r="W706" i="2" s="1"/>
  <c r="S707" i="2"/>
  <c r="W707" i="2" s="1"/>
  <c r="S708" i="2"/>
  <c r="W708" i="2"/>
  <c r="S709" i="2"/>
  <c r="W709" i="2" s="1"/>
  <c r="S710" i="2"/>
  <c r="W710" i="2" s="1"/>
  <c r="W711" i="2"/>
  <c r="S712" i="2"/>
  <c r="W712" i="2"/>
  <c r="W713" i="2"/>
  <c r="R715" i="2"/>
  <c r="W770" i="2" l="1"/>
  <c r="U715" i="2"/>
  <c r="S770" i="2"/>
  <c r="AI770" i="2"/>
  <c r="AE770" i="2"/>
  <c r="Q715" i="2"/>
  <c r="W674" i="2"/>
  <c r="S673" i="2"/>
  <c r="W673" i="2" s="1"/>
  <c r="W715" i="2" s="1"/>
  <c r="P715" i="2"/>
  <c r="J25" i="1"/>
  <c r="D25" i="1" s="1"/>
  <c r="S715" i="2" l="1"/>
  <c r="AH623" i="2"/>
  <c r="AB623" i="2"/>
  <c r="AE623" i="2" s="1"/>
  <c r="AB622" i="2"/>
  <c r="AE622" i="2"/>
  <c r="AI622" i="2" s="1"/>
  <c r="AB621" i="2"/>
  <c r="AE621" i="2" s="1"/>
  <c r="AI621" i="2" s="1"/>
  <c r="AB620" i="2"/>
  <c r="AE620" i="2" s="1"/>
  <c r="AI620" i="2" s="1"/>
  <c r="AH619" i="2"/>
  <c r="AG619" i="2"/>
  <c r="AC619" i="2"/>
  <c r="AB619" i="2"/>
  <c r="AC618" i="2"/>
  <c r="AB618" i="2"/>
  <c r="AE618" i="2" s="1"/>
  <c r="AI618" i="2" s="1"/>
  <c r="AC617" i="2"/>
  <c r="AC660" i="2" s="1"/>
  <c r="AB617" i="2"/>
  <c r="AG617" i="2"/>
  <c r="AA618" i="2"/>
  <c r="AA619" i="2" s="1"/>
  <c r="AA620" i="2" s="1"/>
  <c r="AA621" i="2" s="1"/>
  <c r="AA622" i="2" s="1"/>
  <c r="AE624" i="2"/>
  <c r="AI624" i="2" s="1"/>
  <c r="AE625" i="2"/>
  <c r="AI625" i="2" s="1"/>
  <c r="AE626" i="2"/>
  <c r="AI626" i="2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/>
  <c r="AE655" i="2"/>
  <c r="AI655" i="2" s="1"/>
  <c r="AI656" i="2"/>
  <c r="AE657" i="2"/>
  <c r="AI657" i="2" s="1"/>
  <c r="AI658" i="2"/>
  <c r="AD660" i="2"/>
  <c r="P626" i="2"/>
  <c r="V625" i="2"/>
  <c r="P625" i="2"/>
  <c r="S625" i="2" s="1"/>
  <c r="P624" i="2"/>
  <c r="S624" i="2" s="1"/>
  <c r="W624" i="2" s="1"/>
  <c r="P623" i="2"/>
  <c r="S623" i="2" s="1"/>
  <c r="W623" i="2" s="1"/>
  <c r="Q622" i="2"/>
  <c r="Q660" i="2" s="1"/>
  <c r="V622" i="2"/>
  <c r="U622" i="2"/>
  <c r="P622" i="2"/>
  <c r="P621" i="2"/>
  <c r="U620" i="2"/>
  <c r="P620" i="2"/>
  <c r="U619" i="2"/>
  <c r="P619" i="2"/>
  <c r="S619" i="2" s="1"/>
  <c r="P618" i="2"/>
  <c r="S618" i="2" s="1"/>
  <c r="W618" i="2" s="1"/>
  <c r="P617" i="2"/>
  <c r="S617" i="2" s="1"/>
  <c r="W617" i="2" s="1"/>
  <c r="R660" i="2"/>
  <c r="W658" i="2"/>
  <c r="S657" i="2"/>
  <c r="W657" i="2" s="1"/>
  <c r="W656" i="2"/>
  <c r="S655" i="2"/>
  <c r="W655" i="2" s="1"/>
  <c r="S654" i="2"/>
  <c r="W654" i="2" s="1"/>
  <c r="S653" i="2"/>
  <c r="W653" i="2" s="1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S645" i="2"/>
  <c r="W645" i="2" s="1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S637" i="2"/>
  <c r="W637" i="2" s="1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S629" i="2"/>
  <c r="W629" i="2" s="1"/>
  <c r="S628" i="2"/>
  <c r="W628" i="2" s="1"/>
  <c r="S627" i="2"/>
  <c r="W627" i="2" s="1"/>
  <c r="S626" i="2"/>
  <c r="W626" i="2" s="1"/>
  <c r="S621" i="2"/>
  <c r="W621" i="2" s="1"/>
  <c r="S620" i="2"/>
  <c r="W620" i="2" s="1"/>
  <c r="O618" i="2"/>
  <c r="O619" i="2" s="1"/>
  <c r="O620" i="2" s="1"/>
  <c r="O621" i="2" s="1"/>
  <c r="O622" i="2" s="1"/>
  <c r="O623" i="2" s="1"/>
  <c r="O624" i="2" s="1"/>
  <c r="O625" i="2" s="1"/>
  <c r="O626" i="2" s="1"/>
  <c r="C619" i="2"/>
  <c r="I619" i="2"/>
  <c r="D619" i="2"/>
  <c r="I618" i="2"/>
  <c r="J618" i="2"/>
  <c r="J660" i="2" s="1"/>
  <c r="D618" i="2"/>
  <c r="G618" i="2" s="1"/>
  <c r="I617" i="2"/>
  <c r="E617" i="2"/>
  <c r="E660" i="2" s="1"/>
  <c r="D617" i="2"/>
  <c r="C618" i="2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/>
  <c r="G633" i="2"/>
  <c r="K633" i="2" s="1"/>
  <c r="G634" i="2"/>
  <c r="K634" i="2" s="1"/>
  <c r="G635" i="2"/>
  <c r="K635" i="2" s="1"/>
  <c r="G636" i="2"/>
  <c r="K636" i="2"/>
  <c r="G637" i="2"/>
  <c r="K637" i="2" s="1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K618" i="2" l="1"/>
  <c r="U660" i="2"/>
  <c r="I660" i="2"/>
  <c r="S622" i="2"/>
  <c r="W622" i="2" s="1"/>
  <c r="AG660" i="2"/>
  <c r="V660" i="2"/>
  <c r="AB660" i="2"/>
  <c r="AH660" i="2"/>
  <c r="AI623" i="2"/>
  <c r="AE619" i="2"/>
  <c r="AI619" i="2" s="1"/>
  <c r="AE617" i="2"/>
  <c r="AI617" i="2" s="1"/>
  <c r="W625" i="2"/>
  <c r="W619" i="2"/>
  <c r="W660" i="2" s="1"/>
  <c r="P660" i="2"/>
  <c r="S660" i="2"/>
  <c r="G617" i="2"/>
  <c r="K617" i="2" s="1"/>
  <c r="D660" i="2"/>
  <c r="G619" i="2"/>
  <c r="K619" i="2" s="1"/>
  <c r="AB571" i="2"/>
  <c r="AE571" i="2" s="1"/>
  <c r="AI571" i="2" s="1"/>
  <c r="AB570" i="2"/>
  <c r="AE570" i="2" s="1"/>
  <c r="AI570" i="2" s="1"/>
  <c r="AB569" i="2"/>
  <c r="AE569" i="2" s="1"/>
  <c r="AI569" i="2" s="1"/>
  <c r="AB568" i="2"/>
  <c r="AE568" i="2" s="1"/>
  <c r="AI568" i="2" s="1"/>
  <c r="AB567" i="2"/>
  <c r="AE567" i="2" s="1"/>
  <c r="AI567" i="2" s="1"/>
  <c r="AB566" i="2"/>
  <c r="AE566" i="2" s="1"/>
  <c r="AI566" i="2" s="1"/>
  <c r="AB565" i="2"/>
  <c r="AE565" i="2" s="1"/>
  <c r="AI565" i="2" s="1"/>
  <c r="AB564" i="2"/>
  <c r="AA569" i="2"/>
  <c r="AA570" i="2" s="1"/>
  <c r="AA571" i="2" s="1"/>
  <c r="AA563" i="2"/>
  <c r="AA564" i="2" s="1"/>
  <c r="AA565" i="2" s="1"/>
  <c r="AA566" i="2" s="1"/>
  <c r="AA567" i="2" s="1"/>
  <c r="AE564" i="2"/>
  <c r="AI564" i="2" s="1"/>
  <c r="AG563" i="2"/>
  <c r="AB563" i="2"/>
  <c r="AG562" i="2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G564" i="2" s="1"/>
  <c r="K564" i="2" s="1"/>
  <c r="D563" i="2"/>
  <c r="G563" i="2" s="1"/>
  <c r="K563" i="2" s="1"/>
  <c r="J562" i="2"/>
  <c r="I562" i="2"/>
  <c r="I605" i="2" s="1"/>
  <c r="E562" i="2"/>
  <c r="E605" i="2" s="1"/>
  <c r="D562" i="2"/>
  <c r="C563" i="2"/>
  <c r="C564" i="2"/>
  <c r="C565" i="2" s="1"/>
  <c r="C566" i="2" s="1"/>
  <c r="C567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 s="1"/>
  <c r="G576" i="2"/>
  <c r="K576" i="2" s="1"/>
  <c r="G577" i="2"/>
  <c r="K577" i="2"/>
  <c r="G578" i="2"/>
  <c r="K578" i="2" s="1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 s="1"/>
  <c r="G585" i="2"/>
  <c r="K585" i="2" s="1"/>
  <c r="G586" i="2"/>
  <c r="K586" i="2" s="1"/>
  <c r="G587" i="2"/>
  <c r="K587" i="2" s="1"/>
  <c r="G588" i="2"/>
  <c r="K588" i="2" s="1"/>
  <c r="G589" i="2"/>
  <c r="K589" i="2" s="1"/>
  <c r="G590" i="2"/>
  <c r="K590" i="2" s="1"/>
  <c r="G591" i="2"/>
  <c r="K591" i="2" s="1"/>
  <c r="G592" i="2"/>
  <c r="K592" i="2" s="1"/>
  <c r="G593" i="2"/>
  <c r="K593" i="2" s="1"/>
  <c r="G594" i="2"/>
  <c r="K594" i="2"/>
  <c r="G595" i="2"/>
  <c r="K595" i="2" s="1"/>
  <c r="G602" i="2"/>
  <c r="K602" i="2" s="1"/>
  <c r="F605" i="2"/>
  <c r="AG605" i="2" l="1"/>
  <c r="AE660" i="2"/>
  <c r="K660" i="2"/>
  <c r="AI660" i="2"/>
  <c r="G660" i="2"/>
  <c r="AB605" i="2"/>
  <c r="AI562" i="2"/>
  <c r="AE563" i="2"/>
  <c r="AI563" i="2" s="1"/>
  <c r="J605" i="2"/>
  <c r="K565" i="2"/>
  <c r="G562" i="2"/>
  <c r="G605" i="2" s="1"/>
  <c r="D605" i="2"/>
  <c r="U509" i="2"/>
  <c r="V509" i="2"/>
  <c r="P509" i="2"/>
  <c r="S509" i="2" s="1"/>
  <c r="V508" i="2"/>
  <c r="U508" i="2"/>
  <c r="Q508" i="2"/>
  <c r="Q550" i="2" s="1"/>
  <c r="P508" i="2"/>
  <c r="U507" i="2"/>
  <c r="P507" i="2"/>
  <c r="S507" i="2" s="1"/>
  <c r="W507" i="2" s="1"/>
  <c r="O508" i="2"/>
  <c r="O509" i="2" s="1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 s="1"/>
  <c r="S516" i="2"/>
  <c r="W516" i="2" s="1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 s="1"/>
  <c r="S523" i="2"/>
  <c r="W523" i="2" s="1"/>
  <c r="S524" i="2"/>
  <c r="W524" i="2" s="1"/>
  <c r="S525" i="2"/>
  <c r="W525" i="2" s="1"/>
  <c r="S526" i="2"/>
  <c r="W526" i="2" s="1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 s="1"/>
  <c r="S535" i="2"/>
  <c r="W535" i="2" s="1"/>
  <c r="S536" i="2"/>
  <c r="W536" i="2" s="1"/>
  <c r="S537" i="2"/>
  <c r="W537" i="2" s="1"/>
  <c r="S538" i="2"/>
  <c r="W538" i="2" s="1"/>
  <c r="S539" i="2"/>
  <c r="W539" i="2" s="1"/>
  <c r="S540" i="2"/>
  <c r="W540" i="2" s="1"/>
  <c r="S541" i="2"/>
  <c r="W541" i="2" s="1"/>
  <c r="S542" i="2"/>
  <c r="W542" i="2" s="1"/>
  <c r="S543" i="2"/>
  <c r="W543" i="2" s="1"/>
  <c r="S544" i="2"/>
  <c r="W544" i="2" s="1"/>
  <c r="S545" i="2"/>
  <c r="W545" i="2" s="1"/>
  <c r="W546" i="2"/>
  <c r="S547" i="2"/>
  <c r="W547" i="2" s="1"/>
  <c r="W548" i="2"/>
  <c r="R550" i="2"/>
  <c r="D519" i="2"/>
  <c r="G519" i="2" s="1"/>
  <c r="K519" i="2" s="1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G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I507" i="2"/>
  <c r="D507" i="2"/>
  <c r="G507" i="2" s="1"/>
  <c r="C508" i="2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E550" i="2"/>
  <c r="G527" i="2"/>
  <c r="K527" i="2" s="1"/>
  <c r="G528" i="2"/>
  <c r="K528" i="2" s="1"/>
  <c r="G529" i="2"/>
  <c r="K529" i="2"/>
  <c r="G530" i="2"/>
  <c r="K530" i="2" s="1"/>
  <c r="G531" i="2"/>
  <c r="K531" i="2" s="1"/>
  <c r="G532" i="2"/>
  <c r="K532" i="2" s="1"/>
  <c r="G533" i="2"/>
  <c r="K533" i="2" s="1"/>
  <c r="G534" i="2"/>
  <c r="K534" i="2" s="1"/>
  <c r="G535" i="2"/>
  <c r="K535" i="2" s="1"/>
  <c r="G536" i="2"/>
  <c r="K536" i="2" s="1"/>
  <c r="G537" i="2"/>
  <c r="K537" i="2" s="1"/>
  <c r="G538" i="2"/>
  <c r="K538" i="2" s="1"/>
  <c r="G539" i="2"/>
  <c r="K539" i="2" s="1"/>
  <c r="G540" i="2"/>
  <c r="K540" i="2" s="1"/>
  <c r="G547" i="2"/>
  <c r="K547" i="2" s="1"/>
  <c r="F550" i="2"/>
  <c r="J550" i="2"/>
  <c r="V550" i="2" l="1"/>
  <c r="K562" i="2"/>
  <c r="K605" i="2" s="1"/>
  <c r="K507" i="2"/>
  <c r="K515" i="2"/>
  <c r="U550" i="2"/>
  <c r="S508" i="2"/>
  <c r="W508" i="2" s="1"/>
  <c r="W509" i="2"/>
  <c r="I550" i="2"/>
  <c r="AI605" i="2"/>
  <c r="AE605" i="2"/>
  <c r="P550" i="2"/>
  <c r="K520" i="2"/>
  <c r="K517" i="2"/>
  <c r="D550" i="2"/>
  <c r="G550" i="2"/>
  <c r="E456" i="2"/>
  <c r="E495" i="2" s="1"/>
  <c r="D456" i="2"/>
  <c r="Q457" i="2"/>
  <c r="Q495" i="2" s="1"/>
  <c r="P457" i="2"/>
  <c r="AC453" i="2"/>
  <c r="AB453" i="2"/>
  <c r="AC452" i="2"/>
  <c r="AB452" i="2"/>
  <c r="AB455" i="2"/>
  <c r="AH454" i="2"/>
  <c r="AB454" i="2"/>
  <c r="AC454" i="2"/>
  <c r="AG453" i="2"/>
  <c r="AH452" i="2"/>
  <c r="AA453" i="2"/>
  <c r="AA454" i="2" s="1"/>
  <c r="AA455" i="2" s="1"/>
  <c r="AE454" i="2"/>
  <c r="AE455" i="2"/>
  <c r="AI455" i="2" s="1"/>
  <c r="AE456" i="2"/>
  <c r="AI456" i="2" s="1"/>
  <c r="AE457" i="2"/>
  <c r="AI457" i="2" s="1"/>
  <c r="AE458" i="2"/>
  <c r="AI458" i="2" s="1"/>
  <c r="AE459" i="2"/>
  <c r="AI459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 s="1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 s="1"/>
  <c r="AI493" i="2"/>
  <c r="AD495" i="2"/>
  <c r="P458" i="2"/>
  <c r="S458" i="2" s="1"/>
  <c r="W458" i="2" s="1"/>
  <c r="U457" i="2"/>
  <c r="V456" i="2"/>
  <c r="P456" i="2"/>
  <c r="S456" i="2" s="1"/>
  <c r="V455" i="2"/>
  <c r="P455" i="2"/>
  <c r="S455" i="2" s="1"/>
  <c r="U454" i="2"/>
  <c r="P454" i="2"/>
  <c r="S454" i="2" s="1"/>
  <c r="U453" i="2"/>
  <c r="P453" i="2"/>
  <c r="S453" i="2" s="1"/>
  <c r="P452" i="2"/>
  <c r="S452" i="2" s="1"/>
  <c r="O453" i="2"/>
  <c r="O454" i="2" s="1"/>
  <c r="O455" i="2" s="1"/>
  <c r="O456" i="2" s="1"/>
  <c r="O457" i="2" s="1"/>
  <c r="O458" i="2" s="1"/>
  <c r="S459" i="2"/>
  <c r="W459" i="2" s="1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 s="1"/>
  <c r="S468" i="2"/>
  <c r="W468" i="2" s="1"/>
  <c r="S469" i="2"/>
  <c r="W469" i="2" s="1"/>
  <c r="S470" i="2"/>
  <c r="W470" i="2" s="1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 s="1"/>
  <c r="S477" i="2"/>
  <c r="W477" i="2" s="1"/>
  <c r="S478" i="2"/>
  <c r="W478" i="2" s="1"/>
  <c r="S479" i="2"/>
  <c r="W479" i="2" s="1"/>
  <c r="S480" i="2"/>
  <c r="W480" i="2" s="1"/>
  <c r="S481" i="2"/>
  <c r="W481" i="2" s="1"/>
  <c r="S482" i="2"/>
  <c r="W482" i="2" s="1"/>
  <c r="S483" i="2"/>
  <c r="W483" i="2"/>
  <c r="S484" i="2"/>
  <c r="W484" i="2" s="1"/>
  <c r="S485" i="2"/>
  <c r="W485" i="2" s="1"/>
  <c r="S486" i="2"/>
  <c r="W486" i="2" s="1"/>
  <c r="S487" i="2"/>
  <c r="W487" i="2" s="1"/>
  <c r="S488" i="2"/>
  <c r="W488" i="2" s="1"/>
  <c r="S489" i="2"/>
  <c r="W489" i="2" s="1"/>
  <c r="S490" i="2"/>
  <c r="W490" i="2" s="1"/>
  <c r="W491" i="2"/>
  <c r="S492" i="2"/>
  <c r="W492" i="2" s="1"/>
  <c r="W493" i="2"/>
  <c r="R495" i="2"/>
  <c r="J456" i="2"/>
  <c r="J495" i="2" s="1"/>
  <c r="I456" i="2"/>
  <c r="I495" i="2" s="1"/>
  <c r="D455" i="2"/>
  <c r="G455" i="2" s="1"/>
  <c r="K455" i="2" s="1"/>
  <c r="D454" i="2"/>
  <c r="G454" i="2" s="1"/>
  <c r="K454" i="2" s="1"/>
  <c r="D453" i="2"/>
  <c r="G453" i="2" s="1"/>
  <c r="K453" i="2" s="1"/>
  <c r="D452" i="2"/>
  <c r="G452" i="2" s="1"/>
  <c r="K452" i="2" s="1"/>
  <c r="C453" i="2"/>
  <c r="C454" i="2" s="1"/>
  <c r="C455" i="2" s="1"/>
  <c r="C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 s="1"/>
  <c r="G465" i="2"/>
  <c r="K465" i="2"/>
  <c r="G466" i="2"/>
  <c r="K466" i="2" s="1"/>
  <c r="G467" i="2"/>
  <c r="K467" i="2" s="1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 s="1"/>
  <c r="G474" i="2"/>
  <c r="K474" i="2" s="1"/>
  <c r="G475" i="2"/>
  <c r="K475" i="2" s="1"/>
  <c r="G476" i="2"/>
  <c r="K476" i="2" s="1"/>
  <c r="G477" i="2"/>
  <c r="K477" i="2" s="1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 s="1"/>
  <c r="G484" i="2"/>
  <c r="K484" i="2" s="1"/>
  <c r="G485" i="2"/>
  <c r="K485" i="2" s="1"/>
  <c r="G492" i="2"/>
  <c r="K492" i="2" s="1"/>
  <c r="F495" i="2"/>
  <c r="W550" i="2" l="1"/>
  <c r="V495" i="2"/>
  <c r="S550" i="2"/>
  <c r="K550" i="2"/>
  <c r="W453" i="2"/>
  <c r="AB495" i="2"/>
  <c r="W455" i="2"/>
  <c r="G456" i="2"/>
  <c r="K456" i="2" s="1"/>
  <c r="K495" i="2" s="1"/>
  <c r="AH495" i="2"/>
  <c r="S457" i="2"/>
  <c r="S495" i="2" s="1"/>
  <c r="U495" i="2"/>
  <c r="W454" i="2"/>
  <c r="W456" i="2"/>
  <c r="AC495" i="2"/>
  <c r="AE453" i="2"/>
  <c r="AI453" i="2" s="1"/>
  <c r="AI454" i="2"/>
  <c r="AG495" i="2"/>
  <c r="AE452" i="2"/>
  <c r="AI452" i="2" s="1"/>
  <c r="W452" i="2"/>
  <c r="P495" i="2"/>
  <c r="D495" i="2"/>
  <c r="AB403" i="2"/>
  <c r="AE403" i="2" s="1"/>
  <c r="AI403" i="2" s="1"/>
  <c r="AC402" i="2"/>
  <c r="AB402" i="2"/>
  <c r="AB401" i="2"/>
  <c r="AE401" i="2" s="1"/>
  <c r="AI401" i="2" s="1"/>
  <c r="AG400" i="2"/>
  <c r="AC400" i="2"/>
  <c r="AB400" i="2"/>
  <c r="AG399" i="2"/>
  <c r="AC399" i="2"/>
  <c r="AB399" i="2"/>
  <c r="AG398" i="2"/>
  <c r="AB398" i="2"/>
  <c r="AE398" i="2" s="1"/>
  <c r="AH397" i="2"/>
  <c r="AH440" i="2" s="1"/>
  <c r="AC397" i="2"/>
  <c r="AB397" i="2"/>
  <c r="AA398" i="2"/>
  <c r="AA399" i="2" s="1"/>
  <c r="AA400" i="2" s="1"/>
  <c r="AA401" i="2" s="1"/>
  <c r="AA402" i="2" s="1"/>
  <c r="AA403" i="2" s="1"/>
  <c r="AE404" i="2"/>
  <c r="AI404" i="2" s="1"/>
  <c r="AE405" i="2"/>
  <c r="AI405" i="2" s="1"/>
  <c r="AE406" i="2"/>
  <c r="AI406" i="2" s="1"/>
  <c r="AE407" i="2"/>
  <c r="AI407" i="2" s="1"/>
  <c r="AE408" i="2"/>
  <c r="AI408" i="2" s="1"/>
  <c r="AE409" i="2"/>
  <c r="AI409" i="2" s="1"/>
  <c r="AE410" i="2"/>
  <c r="AI410" i="2" s="1"/>
  <c r="AE411" i="2"/>
  <c r="AI411" i="2"/>
  <c r="AE412" i="2"/>
  <c r="AI412" i="2" s="1"/>
  <c r="AE413" i="2"/>
  <c r="AI413" i="2" s="1"/>
  <c r="AE414" i="2"/>
  <c r="AI414" i="2" s="1"/>
  <c r="AE415" i="2"/>
  <c r="AI415" i="2" s="1"/>
  <c r="AE416" i="2"/>
  <c r="AI416" i="2" s="1"/>
  <c r="AE417" i="2"/>
  <c r="AI417" i="2" s="1"/>
  <c r="AE418" i="2"/>
  <c r="AI418" i="2" s="1"/>
  <c r="AE419" i="2"/>
  <c r="AI419" i="2" s="1"/>
  <c r="AE420" i="2"/>
  <c r="AI420" i="2" s="1"/>
  <c r="AE421" i="2"/>
  <c r="AI421" i="2" s="1"/>
  <c r="AE422" i="2"/>
  <c r="AI422" i="2" s="1"/>
  <c r="AE423" i="2"/>
  <c r="AI423" i="2" s="1"/>
  <c r="AE424" i="2"/>
  <c r="AI424" i="2" s="1"/>
  <c r="AE425" i="2"/>
  <c r="AI425" i="2" s="1"/>
  <c r="AE426" i="2"/>
  <c r="AI426" i="2" s="1"/>
  <c r="AE427" i="2"/>
  <c r="AI427" i="2" s="1"/>
  <c r="AE428" i="2"/>
  <c r="AI428" i="2" s="1"/>
  <c r="AE429" i="2"/>
  <c r="AI429" i="2" s="1"/>
  <c r="AE430" i="2"/>
  <c r="AI430" i="2" s="1"/>
  <c r="AE431" i="2"/>
  <c r="AI431" i="2" s="1"/>
  <c r="AE432" i="2"/>
  <c r="AI432" i="2" s="1"/>
  <c r="AE433" i="2"/>
  <c r="AI433" i="2" s="1"/>
  <c r="AE434" i="2"/>
  <c r="AI434" i="2" s="1"/>
  <c r="AE435" i="2"/>
  <c r="AI435" i="2" s="1"/>
  <c r="AI436" i="2"/>
  <c r="AE437" i="2"/>
  <c r="AI437" i="2" s="1"/>
  <c r="AI438" i="2"/>
  <c r="AD440" i="2"/>
  <c r="P400" i="2"/>
  <c r="S400" i="2" s="1"/>
  <c r="Q399" i="2"/>
  <c r="P399" i="2"/>
  <c r="U398" i="2"/>
  <c r="U440" i="2" s="1"/>
  <c r="Q398" i="2"/>
  <c r="P398" i="2"/>
  <c r="P397" i="2"/>
  <c r="S397" i="2" s="1"/>
  <c r="W397" i="2" s="1"/>
  <c r="O398" i="2"/>
  <c r="O399" i="2" s="1"/>
  <c r="O400" i="2" s="1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/>
  <c r="S409" i="2"/>
  <c r="W409" i="2" s="1"/>
  <c r="S410" i="2"/>
  <c r="W410" i="2" s="1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 s="1"/>
  <c r="S417" i="2"/>
  <c r="W417" i="2" s="1"/>
  <c r="S418" i="2"/>
  <c r="W418" i="2" s="1"/>
  <c r="S419" i="2"/>
  <c r="W419" i="2" s="1"/>
  <c r="S420" i="2"/>
  <c r="W420" i="2" s="1"/>
  <c r="S421" i="2"/>
  <c r="W421" i="2" s="1"/>
  <c r="S422" i="2"/>
  <c r="W422" i="2" s="1"/>
  <c r="S423" i="2"/>
  <c r="W423" i="2" s="1"/>
  <c r="S424" i="2"/>
  <c r="W424" i="2" s="1"/>
  <c r="S425" i="2"/>
  <c r="W425" i="2" s="1"/>
  <c r="S426" i="2"/>
  <c r="W426" i="2" s="1"/>
  <c r="S427" i="2"/>
  <c r="W427" i="2" s="1"/>
  <c r="S428" i="2"/>
  <c r="W428" i="2" s="1"/>
  <c r="S429" i="2"/>
  <c r="W429" i="2" s="1"/>
  <c r="S430" i="2"/>
  <c r="W430" i="2" s="1"/>
  <c r="S431" i="2"/>
  <c r="W431" i="2" s="1"/>
  <c r="S432" i="2"/>
  <c r="W432" i="2" s="1"/>
  <c r="S433" i="2"/>
  <c r="W433" i="2" s="1"/>
  <c r="S434" i="2"/>
  <c r="W434" i="2" s="1"/>
  <c r="S435" i="2"/>
  <c r="W435" i="2" s="1"/>
  <c r="W436" i="2"/>
  <c r="S437" i="2"/>
  <c r="W437" i="2" s="1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F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E440" i="2"/>
  <c r="K403" i="2" l="1"/>
  <c r="AE402" i="2"/>
  <c r="AI402" i="2" s="1"/>
  <c r="AE397" i="2"/>
  <c r="W457" i="2"/>
  <c r="W495" i="2" s="1"/>
  <c r="G495" i="2"/>
  <c r="AI398" i="2"/>
  <c r="AC440" i="2"/>
  <c r="AG440" i="2"/>
  <c r="S399" i="2"/>
  <c r="W399" i="2" s="1"/>
  <c r="AI495" i="2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49" i="2"/>
  <c r="AB348" i="2"/>
  <c r="AE348" i="2" s="1"/>
  <c r="AI348" i="2" s="1"/>
  <c r="AB347" i="2"/>
  <c r="AE347" i="2" s="1"/>
  <c r="AI347" i="2" s="1"/>
  <c r="AB346" i="2"/>
  <c r="AE346" i="2" s="1"/>
  <c r="AI346" i="2" s="1"/>
  <c r="AC345" i="2"/>
  <c r="AB345" i="2"/>
  <c r="AB344" i="2"/>
  <c r="AE344" i="2" s="1"/>
  <c r="AI344" i="2" s="1"/>
  <c r="AC343" i="2"/>
  <c r="AB343" i="2"/>
  <c r="AB342" i="2"/>
  <c r="AE342" i="2" s="1"/>
  <c r="AI342" i="2" s="1"/>
  <c r="AA343" i="2"/>
  <c r="AA344" i="2" s="1"/>
  <c r="AA345" i="2" s="1"/>
  <c r="AA346" i="2" s="1"/>
  <c r="AA347" i="2" s="1"/>
  <c r="AA348" i="2" s="1"/>
  <c r="AA349" i="2" s="1"/>
  <c r="AA350" i="2" s="1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 s="1"/>
  <c r="AE359" i="2"/>
  <c r="AI359" i="2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/>
  <c r="AE380" i="2"/>
  <c r="AI380" i="2"/>
  <c r="AI381" i="2"/>
  <c r="AE382" i="2"/>
  <c r="AI382" i="2" s="1"/>
  <c r="AI383" i="2"/>
  <c r="AD385" i="2"/>
  <c r="AH385" i="2"/>
  <c r="P351" i="2"/>
  <c r="S351" i="2" s="1"/>
  <c r="W351" i="2" s="1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V344" i="2"/>
  <c r="V385" i="2" s="1"/>
  <c r="U344" i="2"/>
  <c r="U385" i="2" s="1"/>
  <c r="Q344" i="2"/>
  <c r="Q385" i="2" s="1"/>
  <c r="P344" i="2"/>
  <c r="P343" i="2"/>
  <c r="S343" i="2" s="1"/>
  <c r="W343" i="2" s="1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/>
  <c r="S361" i="2"/>
  <c r="W361" i="2"/>
  <c r="S362" i="2"/>
  <c r="W362" i="2" s="1"/>
  <c r="S363" i="2"/>
  <c r="W363" i="2" s="1"/>
  <c r="S364" i="2"/>
  <c r="W364" i="2"/>
  <c r="S365" i="2"/>
  <c r="W365" i="2" s="1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/>
  <c r="S375" i="2"/>
  <c r="W375" i="2" s="1"/>
  <c r="S376" i="2"/>
  <c r="W376" i="2" s="1"/>
  <c r="S377" i="2"/>
  <c r="W377" i="2" s="1"/>
  <c r="S378" i="2"/>
  <c r="W378" i="2" s="1"/>
  <c r="S379" i="2"/>
  <c r="W379" i="2" s="1"/>
  <c r="S380" i="2"/>
  <c r="W380" i="2" s="1"/>
  <c r="W381" i="2"/>
  <c r="S382" i="2"/>
  <c r="W382" i="2" s="1"/>
  <c r="W383" i="2"/>
  <c r="R385" i="2"/>
  <c r="AE343" i="2" l="1"/>
  <c r="AE345" i="2"/>
  <c r="AI345" i="2" s="1"/>
  <c r="AE350" i="2"/>
  <c r="AE440" i="2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G330" i="2" s="1"/>
  <c r="AB292" i="2"/>
  <c r="AE292" i="2" s="1"/>
  <c r="AB291" i="2"/>
  <c r="AE291" i="2" s="1"/>
  <c r="AI291" i="2" s="1"/>
  <c r="AC290" i="2"/>
  <c r="AB290" i="2"/>
  <c r="AC289" i="2"/>
  <c r="AB289" i="2"/>
  <c r="AC288" i="2"/>
  <c r="AC330" i="2" s="1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 s="1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 s="1"/>
  <c r="AE305" i="2"/>
  <c r="AI305" i="2" s="1"/>
  <c r="AE306" i="2"/>
  <c r="AI306" i="2" s="1"/>
  <c r="AE307" i="2"/>
  <c r="AI307" i="2" s="1"/>
  <c r="AE308" i="2"/>
  <c r="AI308" i="2" s="1"/>
  <c r="AE309" i="2"/>
  <c r="AI309" i="2" s="1"/>
  <c r="AE310" i="2"/>
  <c r="AI310" i="2" s="1"/>
  <c r="AE311" i="2"/>
  <c r="AI311" i="2" s="1"/>
  <c r="AE312" i="2"/>
  <c r="AI312" i="2" s="1"/>
  <c r="AE313" i="2"/>
  <c r="AI313" i="2" s="1"/>
  <c r="AE314" i="2"/>
  <c r="AI314" i="2" s="1"/>
  <c r="AE315" i="2"/>
  <c r="AI315" i="2" s="1"/>
  <c r="AE316" i="2"/>
  <c r="AI316" i="2" s="1"/>
  <c r="AE317" i="2"/>
  <c r="AI317" i="2" s="1"/>
  <c r="AE318" i="2"/>
  <c r="AI318" i="2" s="1"/>
  <c r="AE319" i="2"/>
  <c r="AI319" i="2" s="1"/>
  <c r="AE320" i="2"/>
  <c r="AI320" i="2" s="1"/>
  <c r="AE321" i="2"/>
  <c r="AI321" i="2" s="1"/>
  <c r="AE322" i="2"/>
  <c r="AI322" i="2" s="1"/>
  <c r="AE323" i="2"/>
  <c r="AI323" i="2" s="1"/>
  <c r="AE324" i="2"/>
  <c r="AI324" i="2" s="1"/>
  <c r="AE325" i="2"/>
  <c r="AI325" i="2" s="1"/>
  <c r="AI326" i="2"/>
  <c r="AE327" i="2"/>
  <c r="AI327" i="2" s="1"/>
  <c r="AI328" i="2"/>
  <c r="AD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S297" i="2" s="1"/>
  <c r="W297" i="2" s="1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 s="1"/>
  <c r="W287" i="2" s="1"/>
  <c r="O288" i="2"/>
  <c r="S288" i="2"/>
  <c r="W288" i="2" s="1"/>
  <c r="O289" i="2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301" i="2"/>
  <c r="W301" i="2" s="1"/>
  <c r="S302" i="2"/>
  <c r="W302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/>
  <c r="S310" i="2"/>
  <c r="W310" i="2" s="1"/>
  <c r="S311" i="2"/>
  <c r="W311" i="2" s="1"/>
  <c r="S312" i="2"/>
  <c r="W312" i="2"/>
  <c r="S313" i="2"/>
  <c r="W313" i="2" s="1"/>
  <c r="S314" i="2"/>
  <c r="W314" i="2"/>
  <c r="S315" i="2"/>
  <c r="W315" i="2" s="1"/>
  <c r="S316" i="2"/>
  <c r="W316" i="2" s="1"/>
  <c r="S317" i="2"/>
  <c r="W317" i="2" s="1"/>
  <c r="S318" i="2"/>
  <c r="W318" i="2" s="1"/>
  <c r="S319" i="2"/>
  <c r="W319" i="2" s="1"/>
  <c r="S320" i="2"/>
  <c r="W320" i="2" s="1"/>
  <c r="S321" i="2"/>
  <c r="W321" i="2" s="1"/>
  <c r="S322" i="2"/>
  <c r="W322" i="2" s="1"/>
  <c r="S323" i="2"/>
  <c r="W323" i="2" s="1"/>
  <c r="S324" i="2"/>
  <c r="W324" i="2" s="1"/>
  <c r="S325" i="2"/>
  <c r="W325" i="2" s="1"/>
  <c r="W326" i="2"/>
  <c r="S327" i="2"/>
  <c r="W327" i="2"/>
  <c r="W328" i="2"/>
  <c r="Q330" i="2"/>
  <c r="R330" i="2"/>
  <c r="V330" i="2"/>
  <c r="J291" i="2"/>
  <c r="E291" i="2"/>
  <c r="E330" i="2" s="1"/>
  <c r="D291" i="2"/>
  <c r="D290" i="2"/>
  <c r="G290" i="2" s="1"/>
  <c r="K290" i="2" s="1"/>
  <c r="D289" i="2"/>
  <c r="J288" i="2"/>
  <c r="D288" i="2"/>
  <c r="G288" i="2" s="1"/>
  <c r="D287" i="2"/>
  <c r="G287" i="2"/>
  <c r="C289" i="2"/>
  <c r="C290" i="2" s="1"/>
  <c r="C291" i="2" s="1"/>
  <c r="G289" i="2"/>
  <c r="K289" i="2" s="1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 s="1"/>
  <c r="G299" i="2"/>
  <c r="K299" i="2" s="1"/>
  <c r="G300" i="2"/>
  <c r="K300" i="2" s="1"/>
  <c r="G301" i="2"/>
  <c r="K301" i="2" s="1"/>
  <c r="G302" i="2"/>
  <c r="K302" i="2" s="1"/>
  <c r="G303" i="2"/>
  <c r="K303" i="2" s="1"/>
  <c r="G304" i="2"/>
  <c r="K304" i="2" s="1"/>
  <c r="G305" i="2"/>
  <c r="K305" i="2" s="1"/>
  <c r="G306" i="2"/>
  <c r="K306" i="2" s="1"/>
  <c r="G307" i="2"/>
  <c r="K307" i="2"/>
  <c r="G308" i="2"/>
  <c r="K308" i="2" s="1"/>
  <c r="G309" i="2"/>
  <c r="K309" i="2" s="1"/>
  <c r="G310" i="2"/>
  <c r="K310" i="2" s="1"/>
  <c r="G311" i="2"/>
  <c r="K311" i="2" s="1"/>
  <c r="G312" i="2"/>
  <c r="K312" i="2" s="1"/>
  <c r="G313" i="2"/>
  <c r="K313" i="2" s="1"/>
  <c r="G314" i="2"/>
  <c r="K314" i="2" s="1"/>
  <c r="G315" i="2"/>
  <c r="K315" i="2" s="1"/>
  <c r="G316" i="2"/>
  <c r="K316" i="2" s="1"/>
  <c r="G317" i="2"/>
  <c r="K317" i="2" s="1"/>
  <c r="G318" i="2"/>
  <c r="K318" i="2"/>
  <c r="G319" i="2"/>
  <c r="K319" i="2" s="1"/>
  <c r="G320" i="2"/>
  <c r="K320" i="2" s="1"/>
  <c r="G327" i="2"/>
  <c r="K327" i="2" s="1"/>
  <c r="F330" i="2"/>
  <c r="I330" i="2"/>
  <c r="K288" i="2" l="1"/>
  <c r="G291" i="2"/>
  <c r="AE290" i="2"/>
  <c r="AI290" i="2" s="1"/>
  <c r="J330" i="2"/>
  <c r="AE289" i="2"/>
  <c r="AI289" i="2" s="1"/>
  <c r="AI292" i="2"/>
  <c r="AI385" i="2"/>
  <c r="S385" i="2"/>
  <c r="AB330" i="2"/>
  <c r="AE288" i="2"/>
  <c r="W295" i="2"/>
  <c r="U330" i="2"/>
  <c r="W291" i="2"/>
  <c r="P330" i="2"/>
  <c r="S330" i="2"/>
  <c r="K291" i="2"/>
  <c r="K287" i="2"/>
  <c r="G330" i="2"/>
  <c r="D330" i="2"/>
  <c r="AB237" i="2"/>
  <c r="AE237" i="2" s="1"/>
  <c r="AI237" i="2" s="1"/>
  <c r="AB236" i="2"/>
  <c r="AE236" i="2" s="1"/>
  <c r="AI236" i="2" s="1"/>
  <c r="AG235" i="2"/>
  <c r="AC235" i="2"/>
  <c r="AB235" i="2"/>
  <c r="AE235" i="2" s="1"/>
  <c r="AI235" i="2" s="1"/>
  <c r="AC234" i="2"/>
  <c r="AB234" i="2"/>
  <c r="AC233" i="2"/>
  <c r="AC275" i="2" s="1"/>
  <c r="AB233" i="2"/>
  <c r="AB232" i="2"/>
  <c r="AE232" i="2"/>
  <c r="AA233" i="2"/>
  <c r="AA234" i="2" s="1"/>
  <c r="AA235" i="2" s="1"/>
  <c r="AA236" i="2" s="1"/>
  <c r="AA237" i="2" s="1"/>
  <c r="AE234" i="2"/>
  <c r="AI234" i="2" s="1"/>
  <c r="AE238" i="2"/>
  <c r="AI238" i="2" s="1"/>
  <c r="AE239" i="2"/>
  <c r="AI239" i="2" s="1"/>
  <c r="AE240" i="2"/>
  <c r="AI240" i="2" s="1"/>
  <c r="AE241" i="2"/>
  <c r="AI241" i="2" s="1"/>
  <c r="AE242" i="2"/>
  <c r="AI242" i="2" s="1"/>
  <c r="AE243" i="2"/>
  <c r="AI243" i="2" s="1"/>
  <c r="AE244" i="2"/>
  <c r="AI244" i="2" s="1"/>
  <c r="AE245" i="2"/>
  <c r="AI245" i="2"/>
  <c r="AE246" i="2"/>
  <c r="AI246" i="2" s="1"/>
  <c r="AE247" i="2"/>
  <c r="AI247" i="2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 s="1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 s="1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 s="1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S235" i="2" s="1"/>
  <c r="W235" i="2" s="1"/>
  <c r="Q234" i="2"/>
  <c r="Q275" i="2" s="1"/>
  <c r="P234" i="2"/>
  <c r="P233" i="2"/>
  <c r="S233" i="2" s="1"/>
  <c r="P232" i="2"/>
  <c r="O233" i="2"/>
  <c r="O234" i="2" s="1"/>
  <c r="O235" i="2" s="1"/>
  <c r="O236" i="2" s="1"/>
  <c r="S237" i="2"/>
  <c r="W237" i="2" s="1"/>
  <c r="S238" i="2"/>
  <c r="W238" i="2" s="1"/>
  <c r="S239" i="2"/>
  <c r="W239" i="2"/>
  <c r="S240" i="2"/>
  <c r="W240" i="2" s="1"/>
  <c r="S241" i="2"/>
  <c r="W241" i="2"/>
  <c r="S242" i="2"/>
  <c r="W242" i="2" s="1"/>
  <c r="S243" i="2"/>
  <c r="W243" i="2" s="1"/>
  <c r="S244" i="2"/>
  <c r="W244" i="2" s="1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 s="1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 s="1"/>
  <c r="S269" i="2"/>
  <c r="W269" i="2" s="1"/>
  <c r="S270" i="2"/>
  <c r="W270" i="2" s="1"/>
  <c r="W271" i="2"/>
  <c r="S272" i="2"/>
  <c r="W272" i="2" s="1"/>
  <c r="W273" i="2"/>
  <c r="R275" i="2"/>
  <c r="U275" i="2"/>
  <c r="V275" i="2"/>
  <c r="D242" i="2"/>
  <c r="G242" i="2" s="1"/>
  <c r="K242" i="2" s="1"/>
  <c r="D241" i="2"/>
  <c r="G241" i="2" s="1"/>
  <c r="K241" i="2" s="1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 s="1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 s="1"/>
  <c r="G243" i="2"/>
  <c r="K243" i="2" s="1"/>
  <c r="G244" i="2"/>
  <c r="K244" i="2" s="1"/>
  <c r="G245" i="2"/>
  <c r="K245" i="2" s="1"/>
  <c r="G246" i="2"/>
  <c r="K246" i="2" s="1"/>
  <c r="G247" i="2"/>
  <c r="K247" i="2" s="1"/>
  <c r="G248" i="2"/>
  <c r="K248" i="2" s="1"/>
  <c r="G249" i="2"/>
  <c r="K249" i="2" s="1"/>
  <c r="G250" i="2"/>
  <c r="K250" i="2" s="1"/>
  <c r="G251" i="2"/>
  <c r="K251" i="2" s="1"/>
  <c r="G252" i="2"/>
  <c r="K252" i="2" s="1"/>
  <c r="G253" i="2"/>
  <c r="K253" i="2" s="1"/>
  <c r="G254" i="2"/>
  <c r="K254" i="2" s="1"/>
  <c r="G255" i="2"/>
  <c r="K255" i="2" s="1"/>
  <c r="G256" i="2"/>
  <c r="K256" i="2" s="1"/>
  <c r="G257" i="2"/>
  <c r="K257" i="2" s="1"/>
  <c r="G258" i="2"/>
  <c r="K258" i="2" s="1"/>
  <c r="G259" i="2"/>
  <c r="K259" i="2" s="1"/>
  <c r="G260" i="2"/>
  <c r="K260" i="2"/>
  <c r="G261" i="2"/>
  <c r="K261" i="2" s="1"/>
  <c r="G262" i="2"/>
  <c r="K262" i="2" s="1"/>
  <c r="G263" i="2"/>
  <c r="K263" i="2" s="1"/>
  <c r="G264" i="2"/>
  <c r="K264" i="2" s="1"/>
  <c r="G265" i="2"/>
  <c r="K265" i="2" s="1"/>
  <c r="G272" i="2"/>
  <c r="K272" i="2" s="1"/>
  <c r="E275" i="2"/>
  <c r="F275" i="2"/>
  <c r="I275" i="2"/>
  <c r="J275" i="2"/>
  <c r="W330" i="2" l="1"/>
  <c r="AE233" i="2"/>
  <c r="AI233" i="2" s="1"/>
  <c r="S234" i="2"/>
  <c r="W234" i="2" s="1"/>
  <c r="K330" i="2"/>
  <c r="AE330" i="2"/>
  <c r="AI288" i="2"/>
  <c r="AI330" i="2" s="1"/>
  <c r="AI232" i="2"/>
  <c r="AI275" i="2" s="1"/>
  <c r="AE275" i="2"/>
  <c r="AB275" i="2"/>
  <c r="P275" i="2"/>
  <c r="S232" i="2"/>
  <c r="W232" i="2" s="1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B181" i="2"/>
  <c r="AC180" i="2"/>
  <c r="AB180" i="2"/>
  <c r="AC179" i="2"/>
  <c r="AB179" i="2"/>
  <c r="AB178" i="2"/>
  <c r="AB177" i="2"/>
  <c r="AE177" i="2" s="1"/>
  <c r="AI177" i="2" s="1"/>
  <c r="AA178" i="2"/>
  <c r="AA179" i="2" s="1"/>
  <c r="AA180" i="2" s="1"/>
  <c r="AA181" i="2" s="1"/>
  <c r="AA182" i="2" s="1"/>
  <c r="AA183" i="2" s="1"/>
  <c r="AE178" i="2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 s="1"/>
  <c r="AE190" i="2"/>
  <c r="AI190" i="2" s="1"/>
  <c r="AE191" i="2"/>
  <c r="AI191" i="2" s="1"/>
  <c r="AE192" i="2"/>
  <c r="AI192" i="2" s="1"/>
  <c r="AE193" i="2"/>
  <c r="AI193" i="2" s="1"/>
  <c r="AE194" i="2"/>
  <c r="AI194" i="2" s="1"/>
  <c r="AE195" i="2"/>
  <c r="AI195" i="2" s="1"/>
  <c r="AE196" i="2"/>
  <c r="AI196" i="2" s="1"/>
  <c r="AE197" i="2"/>
  <c r="AI197" i="2" s="1"/>
  <c r="AE198" i="2"/>
  <c r="AI198" i="2" s="1"/>
  <c r="AE199" i="2"/>
  <c r="AI199" i="2" s="1"/>
  <c r="AE200" i="2"/>
  <c r="AI200" i="2" s="1"/>
  <c r="AE201" i="2"/>
  <c r="AI201" i="2" s="1"/>
  <c r="AE202" i="2"/>
  <c r="AI202" i="2" s="1"/>
  <c r="AE203" i="2"/>
  <c r="AI203" i="2" s="1"/>
  <c r="AE204" i="2"/>
  <c r="AI204" i="2" s="1"/>
  <c r="AE205" i="2"/>
  <c r="AI205" i="2" s="1"/>
  <c r="AE206" i="2"/>
  <c r="AI206" i="2" s="1"/>
  <c r="AE207" i="2"/>
  <c r="AI207" i="2" s="1"/>
  <c r="AE208" i="2"/>
  <c r="AI208" i="2" s="1"/>
  <c r="AE209" i="2"/>
  <c r="AI209" i="2" s="1"/>
  <c r="AE210" i="2"/>
  <c r="AI210" i="2" s="1"/>
  <c r="AE211" i="2"/>
  <c r="AI211" i="2" s="1"/>
  <c r="AE212" i="2"/>
  <c r="AI212" i="2" s="1"/>
  <c r="AE213" i="2"/>
  <c r="AI213" i="2" s="1"/>
  <c r="AE214" i="2"/>
  <c r="AI214" i="2" s="1"/>
  <c r="AE215" i="2"/>
  <c r="AI215" i="2" s="1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P179" i="2"/>
  <c r="S179" i="2" s="1"/>
  <c r="W179" i="2" s="1"/>
  <c r="Q178" i="2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 s="1"/>
  <c r="S184" i="2"/>
  <c r="W184" i="2" s="1"/>
  <c r="S185" i="2"/>
  <c r="W185" i="2" s="1"/>
  <c r="S186" i="2"/>
  <c r="W186" i="2" s="1"/>
  <c r="S187" i="2"/>
  <c r="W187" i="2" s="1"/>
  <c r="S188" i="2"/>
  <c r="W188" i="2" s="1"/>
  <c r="S189" i="2"/>
  <c r="W189" i="2" s="1"/>
  <c r="S190" i="2"/>
  <c r="W190" i="2" s="1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 s="1"/>
  <c r="S198" i="2"/>
  <c r="W198" i="2" s="1"/>
  <c r="S199" i="2"/>
  <c r="W199" i="2" s="1"/>
  <c r="S200" i="2"/>
  <c r="W200" i="2" s="1"/>
  <c r="S201" i="2"/>
  <c r="W201" i="2" s="1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 s="1"/>
  <c r="S208" i="2"/>
  <c r="W208" i="2" s="1"/>
  <c r="S209" i="2"/>
  <c r="W209" i="2" s="1"/>
  <c r="S210" i="2"/>
  <c r="W210" i="2" s="1"/>
  <c r="S211" i="2"/>
  <c r="W211" i="2" s="1"/>
  <c r="S212" i="2"/>
  <c r="W212" i="2" s="1"/>
  <c r="S213" i="2"/>
  <c r="W213" i="2" s="1"/>
  <c r="S214" i="2"/>
  <c r="W214" i="2" s="1"/>
  <c r="S215" i="2"/>
  <c r="W215" i="2" s="1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I220" i="2" s="1"/>
  <c r="E178" i="2"/>
  <c r="D178" i="2"/>
  <c r="D177" i="2"/>
  <c r="G177" i="2" s="1"/>
  <c r="C178" i="2"/>
  <c r="C179" i="2" s="1"/>
  <c r="G180" i="2"/>
  <c r="K180" i="2" s="1"/>
  <c r="G181" i="2"/>
  <c r="K181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 s="1"/>
  <c r="G189" i="2"/>
  <c r="K189" i="2" s="1"/>
  <c r="G190" i="2"/>
  <c r="K190" i="2" s="1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 s="1"/>
  <c r="G197" i="2"/>
  <c r="K197" i="2" s="1"/>
  <c r="G198" i="2"/>
  <c r="K198" i="2" s="1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 s="1"/>
  <c r="G205" i="2"/>
  <c r="K205" i="2" s="1"/>
  <c r="G206" i="2"/>
  <c r="K206" i="2" s="1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S275" i="2" l="1"/>
  <c r="G178" i="2"/>
  <c r="K178" i="2" s="1"/>
  <c r="E220" i="2"/>
  <c r="AC220" i="2"/>
  <c r="S178" i="2"/>
  <c r="W178" i="2" s="1"/>
  <c r="S180" i="2"/>
  <c r="W180" i="2" s="1"/>
  <c r="AE179" i="2"/>
  <c r="AI179" i="2" s="1"/>
  <c r="W275" i="2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7" i="2"/>
  <c r="D220" i="2"/>
  <c r="AB131" i="2"/>
  <c r="AE131" i="2" s="1"/>
  <c r="AI131" i="2" s="1"/>
  <c r="AG130" i="2"/>
  <c r="AB130" i="2"/>
  <c r="AE130" i="2" s="1"/>
  <c r="AB129" i="2"/>
  <c r="AE129" i="2" s="1"/>
  <c r="AI129" i="2" s="1"/>
  <c r="AB128" i="2"/>
  <c r="AE128" i="2" s="1"/>
  <c r="AI128" i="2" s="1"/>
  <c r="AB127" i="2"/>
  <c r="AE127" i="2" s="1"/>
  <c r="AI127" i="2" s="1"/>
  <c r="AB126" i="2"/>
  <c r="AE126" i="2" s="1"/>
  <c r="AI126" i="2" s="1"/>
  <c r="AB125" i="2"/>
  <c r="AE125" i="2" s="1"/>
  <c r="AI125" i="2" s="1"/>
  <c r="AG124" i="2"/>
  <c r="AC124" i="2"/>
  <c r="AB124" i="2"/>
  <c r="AE124" i="2" s="1"/>
  <c r="AI124" i="2" s="1"/>
  <c r="AB123" i="2"/>
  <c r="AC123" i="2"/>
  <c r="AC122" i="2"/>
  <c r="AB122" i="2"/>
  <c r="AA123" i="2"/>
  <c r="AA124" i="2" s="1"/>
  <c r="AA125" i="2" s="1"/>
  <c r="AA126" i="2" s="1"/>
  <c r="AA128" i="2" s="1"/>
  <c r="AA129" i="2" s="1"/>
  <c r="AA130" i="2" s="1"/>
  <c r="AA131" i="2" s="1"/>
  <c r="AE132" i="2"/>
  <c r="AI132" i="2" s="1"/>
  <c r="AE133" i="2"/>
  <c r="AI133" i="2"/>
  <c r="AE134" i="2"/>
  <c r="AI134" i="2" s="1"/>
  <c r="AE135" i="2"/>
  <c r="AI135" i="2"/>
  <c r="AE136" i="2"/>
  <c r="AI136" i="2" s="1"/>
  <c r="AE137" i="2"/>
  <c r="AI137" i="2" s="1"/>
  <c r="AE138" i="2"/>
  <c r="AI138" i="2" s="1"/>
  <c r="AE139" i="2"/>
  <c r="AI139" i="2" s="1"/>
  <c r="AE140" i="2"/>
  <c r="AI140" i="2" s="1"/>
  <c r="AE141" i="2"/>
  <c r="AI141" i="2" s="1"/>
  <c r="AE142" i="2"/>
  <c r="AI142" i="2" s="1"/>
  <c r="AE143" i="2"/>
  <c r="AI143" i="2" s="1"/>
  <c r="AE144" i="2"/>
  <c r="AI144" i="2" s="1"/>
  <c r="AE145" i="2"/>
  <c r="AI145" i="2" s="1"/>
  <c r="AE146" i="2"/>
  <c r="AI146" i="2" s="1"/>
  <c r="AE147" i="2"/>
  <c r="AI147" i="2"/>
  <c r="AE148" i="2"/>
  <c r="AI148" i="2" s="1"/>
  <c r="AE149" i="2"/>
  <c r="AI149" i="2" s="1"/>
  <c r="AE150" i="2"/>
  <c r="AI150" i="2" s="1"/>
  <c r="AE151" i="2"/>
  <c r="AI151" i="2"/>
  <c r="AE152" i="2"/>
  <c r="AI152" i="2" s="1"/>
  <c r="AE153" i="2"/>
  <c r="AI153" i="2" s="1"/>
  <c r="AE154" i="2"/>
  <c r="AI154" i="2" s="1"/>
  <c r="AE155" i="2"/>
  <c r="AI155" i="2" s="1"/>
  <c r="AE156" i="2"/>
  <c r="AI156" i="2" s="1"/>
  <c r="AE157" i="2"/>
  <c r="AI157" i="2" s="1"/>
  <c r="AE158" i="2"/>
  <c r="AI158" i="2" s="1"/>
  <c r="AE159" i="2"/>
  <c r="AI159" i="2" s="1"/>
  <c r="AE160" i="2"/>
  <c r="AI160" i="2" s="1"/>
  <c r="AI161" i="2"/>
  <c r="AE162" i="2"/>
  <c r="AI162" i="2" s="1"/>
  <c r="AI163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V125" i="2"/>
  <c r="V165" i="2" s="1"/>
  <c r="P125" i="2"/>
  <c r="S125" i="2" s="1"/>
  <c r="P124" i="2"/>
  <c r="S124" i="2" s="1"/>
  <c r="W124" i="2" s="1"/>
  <c r="P123" i="2"/>
  <c r="Q122" i="2"/>
  <c r="Q165" i="2" s="1"/>
  <c r="P122" i="2"/>
  <c r="U165" i="2"/>
  <c r="R165" i="2"/>
  <c r="W163" i="2"/>
  <c r="S162" i="2"/>
  <c r="W162" i="2" s="1"/>
  <c r="W161" i="2"/>
  <c r="S160" i="2"/>
  <c r="W160" i="2" s="1"/>
  <c r="S159" i="2"/>
  <c r="W159" i="2" s="1"/>
  <c r="S158" i="2"/>
  <c r="W158" i="2" s="1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S150" i="2"/>
  <c r="W150" i="2" s="1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S142" i="2"/>
  <c r="W142" i="2" s="1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S134" i="2"/>
  <c r="W134" i="2" s="1"/>
  <c r="S133" i="2"/>
  <c r="W133" i="2" s="1"/>
  <c r="S132" i="2"/>
  <c r="W132" i="2" s="1"/>
  <c r="S131" i="2"/>
  <c r="W131" i="2" s="1"/>
  <c r="S130" i="2"/>
  <c r="W130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D130" i="2"/>
  <c r="G130" i="2" s="1"/>
  <c r="D129" i="2"/>
  <c r="G129" i="2" s="1"/>
  <c r="K129" i="2" s="1"/>
  <c r="D128" i="2"/>
  <c r="G128" i="2" s="1"/>
  <c r="K128" i="2" s="1"/>
  <c r="D127" i="2"/>
  <c r="G127" i="2" s="1"/>
  <c r="K127" i="2" s="1"/>
  <c r="I126" i="2"/>
  <c r="D126" i="2"/>
  <c r="G126" i="2" s="1"/>
  <c r="D125" i="2"/>
  <c r="D124" i="2"/>
  <c r="G124" i="2" s="1"/>
  <c r="K124" i="2" s="1"/>
  <c r="J123" i="2"/>
  <c r="J165" i="2" s="1"/>
  <c r="D123" i="2"/>
  <c r="D122" i="2"/>
  <c r="F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E165" i="2"/>
  <c r="C123" i="2"/>
  <c r="C124" i="2" s="1"/>
  <c r="C125" i="2" s="1"/>
  <c r="C126" i="2" s="1"/>
  <c r="C127" i="2" s="1"/>
  <c r="C128" i="2" s="1"/>
  <c r="C129" i="2" s="1"/>
  <c r="C130" i="2" s="1"/>
  <c r="C131" i="2" s="1"/>
  <c r="C132" i="2" s="1"/>
  <c r="K126" i="2" l="1"/>
  <c r="G220" i="2"/>
  <c r="S122" i="2"/>
  <c r="W122" i="2" s="1"/>
  <c r="W125" i="2"/>
  <c r="I165" i="2"/>
  <c r="AG165" i="2"/>
  <c r="AI220" i="2"/>
  <c r="AE220" i="2"/>
  <c r="K220" i="2"/>
  <c r="AI130" i="2"/>
  <c r="AC165" i="2"/>
  <c r="AE123" i="2"/>
  <c r="AI123" i="2" s="1"/>
  <c r="AE122" i="2"/>
  <c r="AI122" i="2" s="1"/>
  <c r="AI165" i="2" s="1"/>
  <c r="AB165" i="2"/>
  <c r="P165" i="2"/>
  <c r="S123" i="2"/>
  <c r="W123" i="2" s="1"/>
  <c r="W165" i="2" s="1"/>
  <c r="K130" i="2"/>
  <c r="D165" i="2"/>
  <c r="G122" i="2"/>
  <c r="K122" i="2" s="1"/>
  <c r="G125" i="2"/>
  <c r="K125" i="2" s="1"/>
  <c r="G123" i="2"/>
  <c r="K123" i="2" s="1"/>
  <c r="AH69" i="2"/>
  <c r="AE165" i="2" l="1"/>
  <c r="S165" i="2"/>
  <c r="G165" i="2"/>
  <c r="K165" i="2"/>
  <c r="AG69" i="2"/>
  <c r="AB71" i="2"/>
  <c r="AE71" i="2" s="1"/>
  <c r="AI71" i="2" s="1"/>
  <c r="AC70" i="2"/>
  <c r="AB70" i="2"/>
  <c r="AG110" i="2"/>
  <c r="AB69" i="2"/>
  <c r="AC68" i="2"/>
  <c r="AB68" i="2"/>
  <c r="AE68" i="2" s="1"/>
  <c r="AI68" i="2" s="1"/>
  <c r="AC67" i="2"/>
  <c r="AB67" i="2"/>
  <c r="AE67" i="2"/>
  <c r="AA68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/>
  <c r="AE82" i="2"/>
  <c r="AI82" i="2" s="1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 s="1"/>
  <c r="AE90" i="2"/>
  <c r="AI90" i="2" s="1"/>
  <c r="AE91" i="2"/>
  <c r="AI91" i="2" s="1"/>
  <c r="AE92" i="2"/>
  <c r="AI92" i="2" s="1"/>
  <c r="AE93" i="2"/>
  <c r="AI93" i="2" s="1"/>
  <c r="AE94" i="2"/>
  <c r="AI94" i="2" s="1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 s="1"/>
  <c r="AE102" i="2"/>
  <c r="AI102" i="2"/>
  <c r="AE103" i="2"/>
  <c r="AI103" i="2"/>
  <c r="AE104" i="2"/>
  <c r="AI104" i="2" s="1"/>
  <c r="AE105" i="2"/>
  <c r="AI105" i="2" s="1"/>
  <c r="AI106" i="2"/>
  <c r="AE107" i="2"/>
  <c r="AI107" i="2" s="1"/>
  <c r="AI108" i="2"/>
  <c r="AD110" i="2"/>
  <c r="AH110" i="2"/>
  <c r="AB110" i="2" l="1"/>
  <c r="AE70" i="2"/>
  <c r="AI70" i="2" s="1"/>
  <c r="AE69" i="2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D35" i="1" s="1"/>
  <c r="J36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F27" authorId="0" shapeId="0" xr:uid="{F5540219-7ACD-461A-842A-91129F0BF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  <comment ref="O727" authorId="0" shapeId="0" xr:uid="{70F83764-FD6C-4447-BF51-B85C37C77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 DICOYONG SINDANGAN</t>
        </r>
      </text>
    </comment>
    <comment ref="AA727" authorId="0" shapeId="0" xr:uid="{979C57CE-3214-4F88-8AF4-F025CA8B0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HEMSON
BACONG SALUG</t>
        </r>
      </text>
    </comment>
    <comment ref="O728" authorId="0" shapeId="0" xr:uid="{65AB46F4-7C21-46B9-AEEE-B863C2E05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BACUNGAN,SINDANGAN
</t>
        </r>
      </text>
    </comment>
    <comment ref="AA728" authorId="0" shapeId="0" xr:uid="{0E64D2DD-04F0-48E2-9B37-2616322FA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O729" authorId="0" shapeId="0" xr:uid="{27C6CAFD-23E9-41BA-9738-5F1025120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729" authorId="0" shapeId="0" xr:uid="{B7DBAAE6-B162-49DC-8BCB-A64DD254B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730" authorId="0" shapeId="0" xr:uid="{2EB4C1EC-C728-48CC-919F-2F3B961A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AA731" authorId="0" shapeId="0" xr:uid="{D8369685-9C94-42E7-95C6-FA4BAD991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POB. EAST, SALUG
</t>
        </r>
      </text>
    </comment>
    <comment ref="C783" authorId="0" shapeId="0" xr:uid="{F0DF40E4-1A86-40F4-A902-79C5E3D80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POB.SINDANGAN</t>
        </r>
      </text>
    </comment>
    <comment ref="O783" authorId="0" shapeId="0" xr:uid="{6C5145ED-B4D0-4AB9-AFEB-5EA6C9CE6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GOLEO,SINDANGAN</t>
        </r>
      </text>
    </comment>
    <comment ref="C784" authorId="0" shapeId="0" xr:uid="{48D68D18-84E6-40E3-BDC6-B6D1B7E3D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YEN STORE
DAPAON SINDANGAN</t>
        </r>
      </text>
    </comment>
    <comment ref="O784" authorId="0" shapeId="0" xr:uid="{07310970-A898-4E5D-8D95-6DF7DA047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BOGONOTAN STORE
UPPER INUMAN</t>
        </r>
      </text>
    </comment>
    <comment ref="C785" authorId="0" shapeId="0" xr:uid="{8E331CC8-5451-4ECE-AA23-44144535EC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 SINDANGAN</t>
        </r>
      </text>
    </comment>
    <comment ref="O785" authorId="0" shapeId="0" xr:uid="{19706ADE-DDA1-4F28-A2BB-D5888886EF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STORE
UPPER INUMAN</t>
        </r>
      </text>
    </comment>
    <comment ref="C786" authorId="0" shapeId="0" xr:uid="{3A7F97F9-A7F0-401D-AA7A-548A5B49BE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 
POB.SINDANGAN
</t>
        </r>
      </text>
    </comment>
    <comment ref="O786" authorId="0" shapeId="0" xr:uid="{1E55E9FA-2F9A-41A3-AB20-314115A2E8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REMULONA
UPPER INUMAN</t>
        </r>
      </text>
    </comment>
    <comment ref="O787" authorId="0" shapeId="0" xr:uid="{23D1C5F4-7AE3-4FCB-BCF1-32188BF26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O788" authorId="0" shapeId="0" xr:uid="{3A595A56-0369-4102-AC23-5590741F3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89" authorId="0" shapeId="0" xr:uid="{7074BD84-3D06-4B00-829C-E415338EC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TINAPLAN</t>
        </r>
      </text>
    </comment>
    <comment ref="O790" authorId="0" shapeId="0" xr:uid="{DD2F2BCF-F267-4726-8E60-6BD8CFDA2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 SINDANGAN</t>
        </r>
      </text>
    </comment>
    <comment ref="C838" authorId="0" shapeId="0" xr:uid="{8B3D6375-D53E-4C7D-BC21-3DD0846CA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838" authorId="0" shapeId="0" xr:uid="{DCBC67D7-410B-41F7-9973-B7F390183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MOÑUZ 
DATU TANGKILAN</t>
        </r>
      </text>
    </comment>
    <comment ref="AA838" authorId="0" shapeId="0" xr:uid="{DD9FD5AD-172F-4B3C-88B4-53128D81E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 SALUG
</t>
        </r>
      </text>
    </comment>
    <comment ref="C839" authorId="0" shapeId="0" xr:uid="{D619A8F3-FB34-42F1-84BC-967BD66A0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CENAS,JONATHAN
POB.SIAYAN
</t>
        </r>
      </text>
    </comment>
    <comment ref="O839" authorId="0" shapeId="0" xr:uid="{C8BAEB12-C033-4BBE-B030-7A1400AA4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AA839" authorId="0" shapeId="0" xr:uid="{56E5BF68-CAD8-48E9-83A5-D61D14006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GV CON. STORE
SALUG</t>
        </r>
      </text>
    </comment>
    <comment ref="C840" authorId="0" shapeId="0" xr:uid="{20E31D09-8F98-45E2-87B5-09D9C1C33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O840" authorId="0" shapeId="0" xr:uid="{0D6FD461-9EB0-4D15-BAEE-1A6C93591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
</t>
        </r>
      </text>
    </comment>
    <comment ref="AA840" authorId="0" shapeId="0" xr:uid="{F3F91342-A163-4E87-9C62-29AAB4526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
POB. SALUG</t>
        </r>
      </text>
    </comment>
    <comment ref="C841" authorId="0" shapeId="0" xr:uid="{C6AD0C3B-19F3-4F63-A903-30283A9CF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DIZON ALEJANDRO
POB.SIAYAN</t>
        </r>
      </text>
    </comment>
    <comment ref="O841" authorId="0" shapeId="0" xr:uid="{6B5E37D4-0B2A-4909-B260-515A981A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
</t>
        </r>
      </text>
    </comment>
    <comment ref="AA841" authorId="0" shapeId="0" xr:uid="{C6A31048-D197-4C41-8D92-6FCDC7984A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
POB SALUG</t>
        </r>
      </text>
    </comment>
    <comment ref="C842" authorId="0" shapeId="0" xr:uid="{E2833099-7DCD-454F-BF7C-663784FCF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
</t>
        </r>
      </text>
    </comment>
    <comment ref="O842" authorId="0" shapeId="0" xr:uid="{779A7A47-4511-496A-947B-F68864F67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 BACUNGAN</t>
        </r>
      </text>
    </comment>
    <comment ref="AA842" authorId="0" shapeId="0" xr:uid="{00253B88-CC5C-4A2A-BD30-B86642579E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</t>
        </r>
      </text>
    </comment>
    <comment ref="O843" authorId="0" shapeId="0" xr:uid="{B3286BDF-27FA-4F5B-8832-18C35CCA53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 SINDANGAN</t>
        </r>
      </text>
    </comment>
    <comment ref="AA843" authorId="0" shapeId="0" xr:uid="{AEAB572B-7924-45AD-840A-DF6A9244D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</t>
        </r>
      </text>
    </comment>
    <comment ref="O844" authorId="0" shapeId="0" xr:uid="{E9D3CD8C-DAD8-434F-B756-8B7AD2CFCA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 SINDANGAN</t>
        </r>
      </text>
    </comment>
    <comment ref="AA844" authorId="0" shapeId="0" xr:uid="{971A7541-6DF1-4F0D-9433-1A16BAF54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O845" authorId="0" shapeId="0" xr:uid="{A5933CFF-44CA-420E-9A6D-1B7EBFE2A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45" authorId="0" shapeId="0" xr:uid="{F51AA56A-8AF9-4430-B3BA-A80D74994B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LILOY</t>
        </r>
      </text>
    </comment>
    <comment ref="O846" authorId="0" shapeId="0" xr:uid="{6C1980A1-A0E9-417D-BDF6-83A3188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O847" authorId="0" shapeId="0" xr:uid="{40E1EA0A-3053-4846-9AB4-4CE8DC3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O848" authorId="0" shapeId="0" xr:uid="{73312AD1-5E5F-41E9-9343-5BFF3278B9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O849" authorId="0" shapeId="0" xr:uid="{43D36A7C-BFFE-4389-A69F-8C2C495158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</t>
        </r>
      </text>
    </comment>
    <comment ref="C893" authorId="0" shapeId="0" xr:uid="{E513BB7B-213C-4807-B0AD-9A79249E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893" authorId="0" shapeId="0" xr:uid="{A6BC86FC-C56B-4DF4-A508-7C16A89B3D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893" authorId="0" shapeId="0" xr:uid="{D1238384-B69D-4658-9C7F-411F216641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94" authorId="0" shapeId="0" xr:uid="{D9AC87C7-E493-4357-B708-B94177F74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LABAKID, SINDANGAN</t>
        </r>
      </text>
    </comment>
    <comment ref="O894" authorId="0" shapeId="0" xr:uid="{98313A3B-A8B4-4488-AFCB-5387C72A6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894" authorId="0" shapeId="0" xr:uid="{F4B47EB2-05E7-4EF2-B8F1-B330884F4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895" authorId="0" shapeId="0" xr:uid="{15AE5B7F-BA37-4488-AA1E-DC14A93BB6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95" authorId="0" shapeId="0" xr:uid="{2E765BDD-4360-4FCC-99E3-61EBD4A0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SINDANGAN</t>
        </r>
      </text>
    </comment>
    <comment ref="AA895" authorId="0" shapeId="0" xr:uid="{01BB7BE8-8537-4F7F-A765-24704FB15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96" authorId="0" shapeId="0" xr:uid="{19FED7D7-4438-4B3A-BB70-D2A4765C3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96" authorId="0" shapeId="0" xr:uid="{14E018F7-AC82-4526-8014-EBB8783DF7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 STORE
TALINGA, BACUNGAN</t>
        </r>
      </text>
    </comment>
    <comment ref="AA896" authorId="0" shapeId="0" xr:uid="{5FFB230B-97B1-4650-83E6-08357C731C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897" authorId="0" shapeId="0" xr:uid="{10097534-810F-44B8-BEF7-9BEAEEAE6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7" authorId="0" shapeId="0" xr:uid="{3EC9635C-AAD8-49B5-A0FC-B511322C3E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 SOLO MAYOR
MARAS, SINDANGAN</t>
        </r>
      </text>
    </comment>
    <comment ref="AA897" authorId="0" shapeId="0" xr:uid="{FDC795F7-15BA-41AD-8ED5-F0426C214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C898" authorId="0" shapeId="0" xr:uid="{29C01743-E0E7-4B83-9210-F6954705B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SINDNAGAN</t>
        </r>
      </text>
    </comment>
    <comment ref="O898" authorId="0" shapeId="0" xr:uid="{28D96DAC-60EF-4258-A097-F6D59C8BD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898" authorId="0" shapeId="0" xr:uid="{5E25654D-B217-405A-9669-A061D5FB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 STORE
BAYBAY, LILOY</t>
        </r>
      </text>
    </comment>
    <comment ref="C899" authorId="0" shapeId="0" xr:uid="{D608CC25-19AB-4420-A24F-D253619FC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SEA FOODS
DISUD, SINDANGAN</t>
        </r>
      </text>
    </comment>
    <comment ref="O899" authorId="0" shapeId="0" xr:uid="{E92BFCBC-4513-4E67-9A21-62E4EB8DC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899" authorId="0" shapeId="0" xr:uid="{B7740C76-30EF-46B5-8BDA-BF5F62000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900" authorId="0" shapeId="0" xr:uid="{A55270B2-B191-4F00-979B-4878539B5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900" authorId="0" shapeId="0" xr:uid="{A4DD0D72-3B20-47BE-AFE3-5286D5BB7F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900" authorId="0" shapeId="0" xr:uid="{5963C736-EBA0-4DDD-8015-0CF1B254C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SUICIDAL, LILOY</t>
        </r>
      </text>
    </comment>
    <comment ref="C901" authorId="0" shapeId="0" xr:uid="{A33BB483-A7A6-458C-967C-AB3825993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LOMOCSO, ROBIN
DISUD, SINDANGAN</t>
        </r>
      </text>
    </comment>
    <comment ref="AA901" authorId="0" shapeId="0" xr:uid="{D619B7FF-F687-4375-9C6D-D8C9A915B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
VILLA SUICIDAL, LILOY</t>
        </r>
      </text>
    </comment>
    <comment ref="C902" authorId="0" shapeId="0" xr:uid="{6DC516C1-D8B5-4FAB-AACF-0C5C6C77E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AA902" authorId="0" shapeId="0" xr:uid="{48637AB9-9055-4BC4-881C-64059E0F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03" authorId="0" shapeId="0" xr:uid="{818023E5-BC87-4881-A1DD-CDD6C195A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C904" authorId="0" shapeId="0" xr:uid="{7833424E-262E-4554-89C5-486D309FE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BONOCAN, JOSEPHINE
PIAO, SINDANGAN</t>
        </r>
      </text>
    </comment>
    <comment ref="C905" authorId="0" shapeId="0" xr:uid="{95E6D542-90CC-4959-A6DD-598E00DD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06" authorId="0" shapeId="0" xr:uid="{E0BB5618-811F-4A7A-8F5D-7EB772709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
POB, SINDANGAN</t>
        </r>
      </text>
    </comment>
    <comment ref="C948" authorId="0" shapeId="0" xr:uid="{E2920374-F1F7-4CFA-B63C-C322BFBA7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8" authorId="0" shapeId="0" xr:uid="{91E4E218-F206-43F9-9CD4-096A85600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949" authorId="0" shapeId="0" xr:uid="{BB8B53DD-64D2-4ED9-9862-68D689BFD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949" authorId="0" shapeId="0" xr:uid="{D45BCFB9-E40C-453E-B46D-BCD7DA0D76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C950" authorId="0" shapeId="0" xr:uid="{438CBC20-5AFF-440E-982C-7AF3BF1F4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O950" authorId="0" shapeId="0" xr:uid="{8D61BC3F-ED8D-47DF-AA51-E8CEBBCB7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951" authorId="0" shapeId="0" xr:uid="{0D1CD42E-7E88-4169-B5BF-A96611A75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951" authorId="0" shapeId="0" xr:uid="{32927E67-2A05-426D-A6AA-6F34985DD8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O952" authorId="0" shapeId="0" xr:uid="{B1211F84-E2D0-408E-A31D-F6EFD0F53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953" authorId="0" shapeId="0" xr:uid="{3DB62AB4-E5F4-413E-AD51-69D1B4BA4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954" authorId="0" shapeId="0" xr:uid="{2D636D4C-63F3-4A60-A819-BB10E2616B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55" authorId="0" shapeId="0" xr:uid="{34F31A0F-D688-4576-BD0A-111660580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1003" authorId="0" shapeId="0" xr:uid="{6B9D5835-C3C6-4F2A-A5CE-EAB527EBC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003" authorId="0" shapeId="0" xr:uid="{9D99CBB9-9730-44FF-8F5B-B9D1B8965F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003" authorId="0" shapeId="0" xr:uid="{112EF56B-7F0B-4ECA-A335-7E3756826B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1004" authorId="0" shapeId="0" xr:uid="{30A26F64-DD2E-43DF-84F7-8D41AE97F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 CAMASURA
POB, SINDANGAN</t>
        </r>
      </text>
    </comment>
    <comment ref="O1004" authorId="0" shapeId="0" xr:uid="{EC12844A-ADB4-4D88-BB9A-CB74579AD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004" authorId="0" shapeId="0" xr:uid="{DAB88CAE-9DAE-434D-A177-7DA7E46612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O1005" authorId="0" shapeId="0" xr:uid="{E4AC8176-4BF2-4548-8D7D-AB916AAA4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1005" authorId="0" shapeId="0" xr:uid="{2ABEF37D-997F-4840-86B3-723A1576D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006" authorId="0" shapeId="0" xr:uid="{46A76526-209B-4248-8C31-A4C642F06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006" authorId="0" shapeId="0" xr:uid="{51A9CC8F-9748-4A08-AD71-75FA1D2C05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07" authorId="0" shapeId="0" xr:uid="{4D36A015-8A2E-4EC8-971B-D208208693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SAHANES STORE
MARAS, SINDANGAN</t>
        </r>
      </text>
    </comment>
    <comment ref="AA1007" authorId="0" shapeId="0" xr:uid="{A6EE3C5C-1584-48FA-AD0E-14621C5C9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1008" authorId="0" shapeId="0" xr:uid="{94A36484-EC9F-4109-8FAA-815915173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1008" authorId="0" shapeId="0" xr:uid="{803D88C5-0937-4DEC-B02B-74BC63FC21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1009" authorId="0" shapeId="0" xr:uid="{D6DE2FA1-718B-40CA-8BC7-D6F014620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10" authorId="0" shapeId="0" xr:uid="{207EB804-237D-427A-9D5D-43685BA12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1058" authorId="0" shapeId="0" xr:uid="{E4B9F3F3-5544-4978-9D2F-D27C34AF02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LAPUTAN
GOLEO</t>
        </r>
      </text>
    </comment>
    <comment ref="O1058" authorId="0" shapeId="0" xr:uid="{DC35CFE0-05F2-468F-9B89-080EEF6EC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BRGY.MARAS</t>
        </r>
      </text>
    </comment>
    <comment ref="AA1058" authorId="0" shapeId="0" xr:uid="{472DB2DC-9EC7-43A0-A3DC-1948DE1773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C1059" authorId="0" shapeId="0" xr:uid="{5D8741C2-DA7E-4132-95FB-C4A2C7ABE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MYRAH
POB.SINDANGAN</t>
        </r>
      </text>
    </comment>
    <comment ref="O1059" authorId="0" shapeId="0" xr:uid="{3512EFF5-397C-401C-8551-22475F1BA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059" authorId="0" shapeId="0" xr:uid="{B360BF07-E483-4840-9B1B-9F9379D1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1060" authorId="0" shapeId="0" xr:uid="{9C8373BB-D1C3-4F8F-98BB-BEC56B4196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POB.SINDANGAN</t>
        </r>
      </text>
    </comment>
    <comment ref="O1060" authorId="0" shapeId="0" xr:uid="{4CB99EB4-56E6-4B42-AD3E-F1FE6D73F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BRGY.MANDIH</t>
        </r>
      </text>
    </comment>
    <comment ref="AA1060" authorId="0" shapeId="0" xr:uid="{F87FC5A5-1F10-4CCE-811B-D7FFA22CAD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POB. EAST SALUG
</t>
        </r>
      </text>
    </comment>
    <comment ref="C1061" authorId="0" shapeId="0" xr:uid="{993B1CBC-127C-4526-AD0E-29BA0B72B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FRONTAL
DAPAON</t>
        </r>
      </text>
    </comment>
    <comment ref="O1061" authorId="0" shapeId="0" xr:uid="{CAE27B5F-F826-4173-AE15-DF9BD2503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1061" authorId="0" shapeId="0" xr:uid="{959BF7BD-D2FA-4A67-AE62-08F7F56C6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SRORE
CANAWAN SALUG</t>
        </r>
      </text>
    </comment>
    <comment ref="C1062" authorId="0" shapeId="0" xr:uid="{F36498FB-19F8-4A15-874F-F2C2D8F1A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</t>
        </r>
      </text>
    </comment>
    <comment ref="AA1062" authorId="0" shapeId="0" xr:uid="{E6FA55F4-9F75-4A51-AAD6-20BA4CB53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63" authorId="0" shapeId="0" xr:uid="{6CC0FE36-A11F-4EE8-BC83-2D5DB0336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LORLINA VILLAESPIN
DAPAON</t>
        </r>
      </text>
    </comment>
    <comment ref="C1064" authorId="0" shapeId="0" xr:uid="{9A262074-2173-4AE7-BB44-B387CB9E3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ARIÑON
DISUD</t>
        </r>
      </text>
    </comment>
    <comment ref="C1065" authorId="0" shapeId="0" xr:uid="{27B40251-A19F-4CE7-B81C-1C98F2420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PUSIANA
DISUD</t>
        </r>
      </text>
    </comment>
    <comment ref="C1066" authorId="0" shapeId="0" xr:uid="{AB32EC9F-F9E9-47BC-9DA4-3782EB82B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 ARLYN
DISUD</t>
        </r>
      </text>
    </comment>
    <comment ref="C1067" authorId="0" shapeId="0" xr:uid="{F5113FA2-DD39-49FB-BB2D-DCA473C86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</t>
        </r>
      </text>
    </comment>
    <comment ref="C1068" authorId="0" shapeId="0" xr:uid="{34C3C0F3-CB2D-4E01-A8A7-4CF48F23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NORANO
DISUD</t>
        </r>
      </text>
    </comment>
    <comment ref="C1069" authorId="0" shapeId="0" xr:uid="{80CF0414-E229-45A6-A01F-16D5D865F0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AMILID
DAPAON</t>
        </r>
      </text>
    </comment>
    <comment ref="C1070" authorId="0" shapeId="0" xr:uid="{01106AAB-53D8-4814-AA0D-3FAEFBC98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C1113" authorId="0" shapeId="0" xr:uid="{B2D74D21-7160-4FA3-9EAE-A6C30E448E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PUNOKAN STORE
</t>
        </r>
      </text>
    </comment>
    <comment ref="O1113" authorId="0" shapeId="0" xr:uid="{2776153E-DB0C-4557-94A6-BA18F14D2A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113" authorId="0" shapeId="0" xr:uid="{C26380B5-C20F-40DC-80AB-8A2E1437F5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 ALCAYDE 
KAYOK, LILOY</t>
        </r>
      </text>
    </comment>
    <comment ref="C1114" authorId="0" shapeId="0" xr:uid="{5AD2E064-3925-4714-A536-2465F77FB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SHERLY ESTOTA</t>
        </r>
      </text>
    </comment>
    <comment ref="O1114" authorId="0" shapeId="0" xr:uid="{074C13A0-3D6F-41BE-BFA5-D04C1E871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114" authorId="0" shapeId="0" xr:uid="{2961F265-A536-46CF-9AEE-78E407E55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115" authorId="0" shapeId="0" xr:uid="{A542F321-335D-4C09-84E6-BB41B3DA8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 STORE</t>
        </r>
      </text>
    </comment>
    <comment ref="O1115" authorId="0" shapeId="0" xr:uid="{3ECE7217-2C82-4EC6-AC16-2E4E1ADC2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AA1115" authorId="0" shapeId="0" xr:uid="{61EAEF9E-9C6D-4FD3-8384-46ED06CAE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16" authorId="0" shapeId="0" xr:uid="{B55DB2D7-BD02-4ADD-A43A-E0DA19404F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</t>
        </r>
      </text>
    </comment>
    <comment ref="O1116" authorId="0" shapeId="0" xr:uid="{27221412-998B-4129-954C-97C30E1086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1116" authorId="0" shapeId="0" xr:uid="{BBCC2BC9-9D16-4259-B180-2D4A9F7612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YAKIM STORE
BAYBAY,LILOY</t>
        </r>
      </text>
    </comment>
    <comment ref="C1117" authorId="0" shapeId="0" xr:uid="{B724F201-79F3-43F1-B926-8B56B2896C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BINABEBE STORE</t>
        </r>
      </text>
    </comment>
    <comment ref="O1117" authorId="0" shapeId="0" xr:uid="{56EF8AB2-DEBE-458E-8AD9-3D136C571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</t>
        </r>
      </text>
    </comment>
    <comment ref="AA1117" authorId="0" shapeId="0" xr:uid="{2BF5ECCD-D66D-4309-AD82-AFABE6A18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118" authorId="0" shapeId="0" xr:uid="{93503C8E-2B75-4FFF-9F01-82F53C898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SECRETARYO STORE</t>
        </r>
      </text>
    </comment>
    <comment ref="O1118" authorId="0" shapeId="0" xr:uid="{AFD4E587-260F-440C-AEB8-CC220A749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TRILLIANA STORE
BRGY GOLEO</t>
        </r>
      </text>
    </comment>
    <comment ref="AA1118" authorId="0" shapeId="0" xr:uid="{CD2F32CB-13D4-4324-A39E-E6E850012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GUM-BOS
BAYBAY LILOY</t>
        </r>
      </text>
    </comment>
    <comment ref="C1119" authorId="0" shapeId="0" xr:uid="{35816F91-8E21-425A-8D0E-BAF79EBF89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</t>
        </r>
      </text>
    </comment>
    <comment ref="O1119" authorId="0" shapeId="0" xr:uid="{FC9CF580-2266-47C0-BBE6-526A903385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1119" authorId="0" shapeId="0" xr:uid="{4BE3EC1E-3FB9-4791-B165-86FA5603A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KAYOK,LILOY</t>
        </r>
      </text>
    </comment>
    <comment ref="C1120" authorId="0" shapeId="0" xr:uid="{0F95EC64-696F-4CBE-9FA3-7347B3CA0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SWERTE STORE</t>
        </r>
      </text>
    </comment>
    <comment ref="O1120" authorId="0" shapeId="0" xr:uid="{D8F2B512-B974-4EED-90B5-0EEC064676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 STORE
BRGY. INUMAN</t>
        </r>
      </text>
    </comment>
    <comment ref="AA1120" authorId="0" shapeId="0" xr:uid="{7671AB94-D85D-4F3D-8F25-774B5D02D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KAYOK,LILOY</t>
        </r>
      </text>
    </comment>
    <comment ref="C1121" authorId="0" shapeId="0" xr:uid="{DA97FA08-174B-43DD-95B6-7554D48B92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GABATO STORE</t>
        </r>
      </text>
    </comment>
    <comment ref="O1121" authorId="0" shapeId="0" xr:uid="{37D5EC59-B839-44FA-923E-CDA783697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</t>
        </r>
      </text>
    </comment>
    <comment ref="C1122" authorId="0" shapeId="0" xr:uid="{377E2C62-922C-4ABD-A827-E7817D0F1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</t>
        </r>
      </text>
    </comment>
    <comment ref="O1122" authorId="0" shapeId="0" xr:uid="{794CB49C-E4CC-4C7F-8E51-B44E621E2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DATU-TANGKILAN</t>
        </r>
      </text>
    </comment>
    <comment ref="C1123" authorId="0" shapeId="0" xr:uid="{51B68B89-AB1C-400D-89F8-FC329E99B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 STORE</t>
        </r>
      </text>
    </comment>
    <comment ref="O1123" authorId="0" shapeId="0" xr:uid="{9B16AA22-9A4D-4C44-AADD-0B071765FB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C1124" authorId="0" shapeId="0" xr:uid="{1CE22202-3E47-4617-A5A4-79EA76331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</t>
        </r>
      </text>
    </comment>
    <comment ref="O1124" authorId="0" shapeId="0" xr:uid="{6E530537-34C6-4774-B58E-F2D99CF0E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BEBOYS EATERY
UPPER INUMAN</t>
        </r>
      </text>
    </comment>
    <comment ref="C1125" authorId="0" shapeId="0" xr:uid="{EC71EF50-54A0-46E8-B020-C6A690A78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DIMETRIO STORE</t>
        </r>
      </text>
    </comment>
    <comment ref="O1125" authorId="0" shapeId="0" xr:uid="{5C40418E-79BB-4C85-A7A6-224DE7FE1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C1168" authorId="0" shapeId="0" xr:uid="{5EFD4946-DB90-4A69-98E2-9A73A50D4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</t>
        </r>
      </text>
    </comment>
    <comment ref="O1168" authorId="0" shapeId="0" xr:uid="{F4738344-7CF9-45E3-8D21-8008A4F0F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 BACUNGAN</t>
        </r>
      </text>
    </comment>
    <comment ref="AA1168" authorId="0" shapeId="0" xr:uid="{95615A09-4877-4DBA-8284-88BA4E0B2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POBALACION EAST, SALUG</t>
        </r>
      </text>
    </comment>
    <comment ref="C1169" authorId="0" shapeId="0" xr:uid="{4BA51A6D-A314-44A2-AE69-F11CA6CA8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ESTRELLA, VALENTINA
MUÑOZ, SIAYAN</t>
        </r>
      </text>
    </comment>
    <comment ref="O1169" authorId="0" shapeId="0" xr:uid="{F3E18606-7A68-4CCC-85D8-0C22E9D7A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 STORE
UPPER INUMAN</t>
        </r>
      </text>
    </comment>
    <comment ref="AA1169" authorId="0" shapeId="0" xr:uid="{2BAAA47B-E0FF-45DF-A56C-BAB9C937A8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POBLACION EAST, SALUG</t>
        </r>
      </text>
    </comment>
    <comment ref="O1170" authorId="0" shapeId="0" xr:uid="{175018BE-12DD-4939-917F-0C06628724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170" authorId="0" shapeId="0" xr:uid="{A3362E24-344E-4CDE-BDD7-A5EA1674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POBLACION EAST, SALUG</t>
        </r>
      </text>
    </comment>
    <comment ref="O1171" authorId="0" shapeId="0" xr:uid="{6253D229-38C2-44A9-A857-A8DE3B0BCB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BRGY. MARAS</t>
        </r>
      </text>
    </comment>
    <comment ref="AA1171" authorId="0" shapeId="0" xr:uid="{5515B278-B346-49E6-B3D8-5CFCCA5B8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POBLACION EAST, SALUG</t>
        </r>
      </text>
    </comment>
    <comment ref="O1172" authorId="0" shapeId="0" xr:uid="{4C5AAEF7-B648-4C3D-A4FF-E82B31DF8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BRGY. MANDIH
</t>
        </r>
      </text>
    </comment>
    <comment ref="AA1172" authorId="0" shapeId="0" xr:uid="{13C2038B-CAB2-459F-B09C-D3ED955D2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EAST, SALUG</t>
        </r>
      </text>
    </comment>
    <comment ref="O1173" authorId="0" shapeId="0" xr:uid="{84D5D9DC-F393-4738-8A07-4B79A5181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 GOLEO</t>
        </r>
      </text>
    </comment>
    <comment ref="AA1173" authorId="0" shapeId="0" xr:uid="{462CFF83-ED78-4599-B4E6-BE5D854A2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STORE
CARACOL, SALUG</t>
        </r>
      </text>
    </comment>
    <comment ref="AA1174" authorId="0" shapeId="0" xr:uid="{E4C5116A-E35C-4768-80B6-B2BF53819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AA1175" authorId="0" shapeId="0" xr:uid="{180A3FF9-678E-4C35-92D0-8A6612669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TROCIO
BACONG, SALUG</t>
        </r>
      </text>
    </comment>
    <comment ref="AA1176" authorId="0" shapeId="0" xr:uid="{8EB600B9-E440-449E-8B10-FE453944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1177" authorId="0" shapeId="0" xr:uid="{7912B1B1-A94B-4AF9-A832-D6EDBB859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BACONG,SALUG</t>
        </r>
      </text>
    </comment>
    <comment ref="C1223" authorId="0" shapeId="0" xr:uid="{74D821D7-FA50-4B8F-97EA-95A21B20A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POBLACION, SIAYAN</t>
        </r>
      </text>
    </comment>
    <comment ref="O1223" authorId="0" shapeId="0" xr:uid="{121F74C2-520E-4D25-AF69-63121734E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 SALUG</t>
        </r>
      </text>
    </comment>
    <comment ref="AA1223" authorId="0" shapeId="0" xr:uid="{F8511632-DE7A-4E8C-9C65-830E86C25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JODY VARIETY STORE
BAYBAY LILOY</t>
        </r>
      </text>
    </comment>
    <comment ref="C1224" authorId="0" shapeId="0" xr:uid="{F001CC2E-475B-4CA8-A3C5-1D4D383DC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POBLACION, SIAYAN</t>
        </r>
      </text>
    </comment>
    <comment ref="O1224" authorId="0" shapeId="0" xr:uid="{02284F61-A464-47B8-8BB9-383B19218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1224" authorId="0" shapeId="0" xr:uid="{B3A1603A-8BB4-44EC-BDCE-A966EBD1EB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1225" authorId="0" shapeId="0" xr:uid="{CD1AA8F7-A178-4F5C-B56C-7CFEF338FE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JENILYN LANGAN
POBLACION, SIAYAN</t>
        </r>
      </text>
    </comment>
    <comment ref="O1225" authorId="0" shapeId="0" xr:uid="{C19DBB4B-30B0-4B7C-BF4C-764EDBF8A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 BACUNGAN
</t>
        </r>
      </text>
    </comment>
    <comment ref="AA1225" authorId="0" shapeId="0" xr:uid="{9B7A7DB1-A687-40E1-B1FE-1EE02373C0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26" authorId="0" shapeId="0" xr:uid="{5DB38D44-0218-4C4E-A579-6E456542AF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POBLACION, SIAYAN</t>
        </r>
      </text>
    </comment>
    <comment ref="O1226" authorId="0" shapeId="0" xr:uid="{0D4B715B-7208-4062-8157-01D573749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226" authorId="0" shapeId="0" xr:uid="{CFF81F4C-3658-4965-ACFC-961EB8A9B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 LILOY</t>
        </r>
      </text>
    </comment>
    <comment ref="C1227" authorId="0" shapeId="0" xr:uid="{94D4CFD4-8863-47F2-9304-FEE7A067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POBLACION, SIAYAN</t>
        </r>
      </text>
    </comment>
    <comment ref="O1227" authorId="0" shapeId="0" xr:uid="{E000CB95-047D-49D3-A914-2E7BA94B86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A1227" authorId="0" shapeId="0" xr:uid="{4DD5A74B-AFEC-46DA-A093-5CE16CE637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SUDIACAL,LILOY</t>
        </r>
      </text>
    </comment>
    <comment ref="C1228" authorId="0" shapeId="0" xr:uid="{AD525061-0E37-4364-A7EF-5D175ACDA4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DODOY
POBLACION, SIAYAN</t>
        </r>
      </text>
    </comment>
    <comment ref="AA1228" authorId="0" shapeId="0" xr:uid="{72685E84-D474-4D05-BD66-FF87E11DC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STORE
VILLA SIDIACAL, LILOY</t>
        </r>
      </text>
    </comment>
    <comment ref="C1229" authorId="0" shapeId="0" xr:uid="{91843A26-1C86-4F3C-A9F0-5F5C0EC37F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DOMONSONG
DENUYAN SIAYAN</t>
        </r>
      </text>
    </comment>
    <comment ref="AA1229" authorId="0" shapeId="0" xr:uid="{7B77B8E0-278A-461C-8CF8-52E076D1E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VERCILIA NICANOR
VILLA SUDIACAL, LILOY</t>
        </r>
      </text>
    </comment>
    <comment ref="C1230" authorId="0" shapeId="0" xr:uid="{2FD79230-BD4B-41EE-8DAF-FAD244388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POBLACION, SIAYAN</t>
        </r>
      </text>
    </comment>
    <comment ref="AA1230" authorId="0" shapeId="0" xr:uid="{DECBDD8B-7C99-4E96-87DF-45E266DB76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BAYBAY, LILOY</t>
        </r>
      </text>
    </comment>
    <comment ref="C1231" authorId="0" shapeId="0" xr:uid="{14868F94-E6BE-4E0E-BD46-580CF873A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1231" authorId="0" shapeId="0" xr:uid="{E9165F4A-9C32-406C-8659-F713C830C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</t>
        </r>
      </text>
    </comment>
    <comment ref="C1232" authorId="0" shapeId="0" xr:uid="{0E8B170F-C386-455B-BD43-E7A40ABB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 SINDANGAN</t>
        </r>
      </text>
    </comment>
    <comment ref="AA1232" authorId="0" shapeId="0" xr:uid="{98010B53-DFCF-4D1C-B49A-B75806456F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EAST,SALUG</t>
        </r>
      </text>
    </comment>
    <comment ref="AA1233" authorId="0" shapeId="0" xr:uid="{C4048B18-7DC6-48B9-90E4-0C7F20121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RAY-RAY STORE
POBLACION EAST, SALUG</t>
        </r>
      </text>
    </comment>
  </commentList>
</comments>
</file>

<file path=xl/sharedStrings.xml><?xml version="1.0" encoding="utf-8"?>
<sst xmlns="http://schemas.openxmlformats.org/spreadsheetml/2006/main" count="1551" uniqueCount="166">
  <si>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</si>
  <si>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</si>
  <si>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</si>
  <si>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</si>
  <si>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</si>
  <si>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</si>
  <si>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</si>
  <si>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</si>
  <si>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</si>
  <si>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</si>
  <si>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</si>
  <si>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</si>
  <si>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</si>
  <si>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</si>
  <si>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</si>
  <si>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</si>
  <si>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</si>
  <si>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</si>
  <si>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</si>
  <si>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</si>
  <si>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</si>
  <si>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</si>
  <si>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</si>
  <si>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</si>
  <si>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</si>
  <si>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</si>
  <si>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</si>
  <si>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</si>
  <si>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</si>
  <si>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</si>
  <si>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</si>
  <si>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</si>
  <si>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</si>
  <si>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</si>
  <si>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</si>
  <si>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</si>
  <si>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</si>
  <si>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</si>
  <si>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</si>
  <si>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</si>
  <si>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</si>
  <si>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</si>
  <si>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</si>
  <si>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</si>
  <si>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</si>
  <si>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</si>
  <si>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</si>
  <si>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</si>
  <si>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</si>
  <si>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</si>
  <si>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</si>
  <si>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</si>
  <si>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</si>
  <si>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</si>
  <si>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</si>
  <si>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</si>
  <si>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</si>
  <si>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</si>
  <si>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</si>
  <si>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</si>
  <si>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</si>
  <si>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</si>
  <si>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</si>
  <si>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</si>
  <si>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</si>
  <si>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</si>
  <si>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</si>
  <si>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</si>
  <si>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</si>
  <si>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</si>
  <si>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</si>
  <si>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</si>
  <si>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</si>
  <si>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</si>
  <si>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</si>
  <si>
    <t>MAY 18, 2026</t>
  </si>
  <si>
    <t>05/18/2026</t>
  </si>
  <si>
    <t>/10558-10560/10612-10616</t>
  </si>
  <si>
    <t>MAY 19, 2026</t>
  </si>
  <si>
    <t>05/19/2026</t>
  </si>
  <si>
    <t>05/19/2027</t>
  </si>
  <si>
    <t>05/19/2028</t>
  </si>
  <si>
    <t>10655-10658/10561-10568/10618-10621</t>
  </si>
  <si>
    <t>MAY 20, 2026</t>
  </si>
  <si>
    <t>05/20/2026</t>
  </si>
  <si>
    <t>05/20/2027</t>
  </si>
  <si>
    <t>05/20/2028</t>
  </si>
  <si>
    <t>05/20/2029</t>
  </si>
  <si>
    <t>05/20/2030</t>
  </si>
  <si>
    <t>05/20/2031</t>
  </si>
  <si>
    <t>05/20/2032</t>
  </si>
  <si>
    <t>05/20/2033</t>
  </si>
  <si>
    <t>05/20/2034</t>
  </si>
  <si>
    <t>05/20/2035</t>
  </si>
  <si>
    <t>05/20/2036</t>
  </si>
  <si>
    <t>05/20/2037</t>
  </si>
  <si>
    <t xml:space="preserve">                       CONTENTS  DELIVERED</t>
  </si>
  <si>
    <t xml:space="preserve">                 EXTRA  CONTAINERS</t>
  </si>
  <si>
    <t>10659-10663/10569-10580/10622-10629</t>
  </si>
  <si>
    <t>05/21/2026</t>
  </si>
  <si>
    <t>MAY 21, 2026</t>
  </si>
  <si>
    <t>05/21/2027</t>
  </si>
  <si>
    <t>05/21/2028</t>
  </si>
  <si>
    <t>10664-10677/10581-10588/10630-10639</t>
  </si>
  <si>
    <t>MAY 22, 2026</t>
  </si>
  <si>
    <t>05/22/2026</t>
  </si>
  <si>
    <t>10678-10681/10589-10596/</t>
  </si>
  <si>
    <t>MAY 23, 2026</t>
  </si>
  <si>
    <t>05/23/2026</t>
  </si>
  <si>
    <t>10682-10683/10597-10600,10751-10754/10640-10645</t>
  </si>
  <si>
    <t>05/25/2026</t>
  </si>
  <si>
    <t>05/25/2027</t>
  </si>
  <si>
    <t>05/25/2028</t>
  </si>
  <si>
    <t>05/25/2029</t>
  </si>
  <si>
    <t>05/25/2030</t>
  </si>
  <si>
    <t>05/25/2031</t>
  </si>
  <si>
    <t>05/25/2032</t>
  </si>
  <si>
    <t>05/25/2033</t>
  </si>
  <si>
    <t>05/25/2034</t>
  </si>
  <si>
    <t>05/25/2035</t>
  </si>
  <si>
    <t>05/25/2036</t>
  </si>
  <si>
    <t>05/25/2037</t>
  </si>
  <si>
    <t>MAY 25, 2026</t>
  </si>
  <si>
    <t>10684-10696/10756-10759/10646-10650</t>
  </si>
  <si>
    <t>MAY 26, 2026</t>
  </si>
  <si>
    <t>05/26/2026</t>
  </si>
  <si>
    <t>05/26/2027</t>
  </si>
  <si>
    <t>05/26/2028</t>
  </si>
  <si>
    <t>05/26/2029</t>
  </si>
  <si>
    <t>05/26/2030</t>
  </si>
  <si>
    <t>05/26/2031</t>
  </si>
  <si>
    <t>05/26/2032</t>
  </si>
  <si>
    <t>05/26/2033</t>
  </si>
  <si>
    <t>05/26/2034</t>
  </si>
  <si>
    <t>05/26/2035</t>
  </si>
  <si>
    <t>05/26/2036</t>
  </si>
  <si>
    <t>05/26/2037</t>
  </si>
  <si>
    <t>05/26/2038</t>
  </si>
  <si>
    <t>AIR JOHN PODIOTAN</t>
  </si>
  <si>
    <t>10697-10809/10760-10772/10701-10708</t>
  </si>
  <si>
    <t>MAY 27, 2026</t>
  </si>
  <si>
    <t>DANDAYO RONNEL</t>
  </si>
  <si>
    <t>05/27/2026</t>
  </si>
  <si>
    <t>05/27/2027</t>
  </si>
  <si>
    <t>05/27/2028</t>
  </si>
  <si>
    <t>05/27/2029</t>
  </si>
  <si>
    <t>05/27/2030</t>
  </si>
  <si>
    <t>05/27/2031</t>
  </si>
  <si>
    <t>05/27/2032</t>
  </si>
  <si>
    <t>05/27/2033</t>
  </si>
  <si>
    <t>05/27/2034</t>
  </si>
  <si>
    <t>05/27/2035</t>
  </si>
  <si>
    <t>10810-10811/10773-10778/10709-10718</t>
  </si>
  <si>
    <t>MAY 28, 2026</t>
  </si>
  <si>
    <t>05/28/2026</t>
  </si>
  <si>
    <t>05/28/2027</t>
  </si>
  <si>
    <t>05/28/2028</t>
  </si>
  <si>
    <t>05/28/2029</t>
  </si>
  <si>
    <t>05/28/2030</t>
  </si>
  <si>
    <t>05/28/2031</t>
  </si>
  <si>
    <t>05/28/2032</t>
  </si>
  <si>
    <t>05/28/2033</t>
  </si>
  <si>
    <t>05/28/2034</t>
  </si>
  <si>
    <t>05/28/2035</t>
  </si>
  <si>
    <t>05/28/2036</t>
  </si>
  <si>
    <t>10812-10821/10779-10783/10719-10729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</si>
</sst>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3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6" borderId="0" xfId="0" applyNumberFormat="1" applyFill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6" zoomScaleNormal="100" workbookViewId="0">
      <selection activeCell="F46" sqref="F4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6" t="s">
        <v>38</v>
      </c>
      <c r="B6" s="11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 t="s">
        <v>77</v>
      </c>
      <c r="D27" s="16">
        <f t="shared" ref="D27:D29" si="3">J27</f>
        <v>875360</v>
      </c>
      <c r="F27" s="14"/>
      <c r="G27" s="14">
        <v>414790</v>
      </c>
      <c r="H27" s="14">
        <v>460570</v>
      </c>
      <c r="I27" s="14"/>
      <c r="J27" s="17">
        <f t="shared" si="1"/>
        <v>875360</v>
      </c>
    </row>
    <row r="28" spans="1:10" x14ac:dyDescent="0.25">
      <c r="A28" s="10">
        <f t="shared" si="2"/>
        <v>19</v>
      </c>
      <c r="B28" s="43" t="s">
        <v>8</v>
      </c>
      <c r="C28" s="12" t="s">
        <v>82</v>
      </c>
      <c r="D28" s="16">
        <f t="shared" si="3"/>
        <v>1090896</v>
      </c>
      <c r="F28" s="14">
        <v>375191</v>
      </c>
      <c r="G28" s="14">
        <v>271045</v>
      </c>
      <c r="H28" s="14">
        <v>444660</v>
      </c>
      <c r="I28" s="14"/>
      <c r="J28" s="17">
        <f t="shared" si="1"/>
        <v>1090896</v>
      </c>
    </row>
    <row r="29" spans="1:10" x14ac:dyDescent="0.25">
      <c r="A29" s="10">
        <f t="shared" si="2"/>
        <v>20</v>
      </c>
      <c r="B29" s="56" t="s">
        <v>9</v>
      </c>
      <c r="C29" s="12" t="s">
        <v>98</v>
      </c>
      <c r="D29" s="16">
        <f t="shared" si="3"/>
        <v>727710</v>
      </c>
      <c r="F29" s="14">
        <v>335301</v>
      </c>
      <c r="G29" s="14">
        <v>249537</v>
      </c>
      <c r="H29" s="14">
        <v>142872</v>
      </c>
      <c r="I29" s="14"/>
      <c r="J29" s="17">
        <f t="shared" si="1"/>
        <v>727710</v>
      </c>
    </row>
    <row r="30" spans="1:10" x14ac:dyDescent="0.25">
      <c r="A30" s="10">
        <f t="shared" si="2"/>
        <v>21</v>
      </c>
      <c r="B30" s="11" t="s">
        <v>30</v>
      </c>
      <c r="C30" s="12" t="s">
        <v>103</v>
      </c>
      <c r="D30" s="16">
        <f t="shared" ref="D30:D31" si="4">J30</f>
        <v>739283.22</v>
      </c>
      <c r="F30" s="14">
        <v>188153.72</v>
      </c>
      <c r="G30" s="14">
        <v>202805</v>
      </c>
      <c r="H30" s="14">
        <v>348324.5</v>
      </c>
      <c r="I30" s="14"/>
      <c r="J30" s="17">
        <f t="shared" si="1"/>
        <v>739283.22</v>
      </c>
    </row>
    <row r="31" spans="1:10" x14ac:dyDescent="0.25">
      <c r="A31" s="10">
        <f t="shared" si="2"/>
        <v>22</v>
      </c>
      <c r="B31" s="43" t="s">
        <v>4</v>
      </c>
      <c r="C31" s="12" t="s">
        <v>106</v>
      </c>
      <c r="D31" s="16">
        <f t="shared" si="4"/>
        <v>507453</v>
      </c>
      <c r="E31" s="14"/>
      <c r="F31" s="14">
        <v>291067</v>
      </c>
      <c r="G31" s="14">
        <v>216386</v>
      </c>
      <c r="H31" s="14"/>
      <c r="I31" s="14"/>
      <c r="J31" s="17">
        <f t="shared" si="1"/>
        <v>507453</v>
      </c>
    </row>
    <row r="32" spans="1:10" x14ac:dyDescent="0.25">
      <c r="A32" s="10">
        <f t="shared" si="2"/>
        <v>23</v>
      </c>
      <c r="B32" s="56" t="s">
        <v>5</v>
      </c>
      <c r="C32" s="12" t="s">
        <v>109</v>
      </c>
      <c r="D32" s="16">
        <f t="shared" ref="D32" si="5">J32</f>
        <v>915002</v>
      </c>
      <c r="E32" s="15"/>
      <c r="F32" s="14">
        <v>259293</v>
      </c>
      <c r="G32" s="14">
        <v>195762</v>
      </c>
      <c r="H32" s="14">
        <v>459947</v>
      </c>
      <c r="I32" s="54"/>
      <c r="J32" s="17">
        <f t="shared" si="1"/>
        <v>915002</v>
      </c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 t="s">
        <v>123</v>
      </c>
      <c r="D34" s="16">
        <f t="shared" ref="D34:D38" si="6">J34</f>
        <v>675140.5</v>
      </c>
      <c r="E34" s="14"/>
      <c r="F34" s="14">
        <v>76148</v>
      </c>
      <c r="G34" s="14">
        <v>234517.5</v>
      </c>
      <c r="H34" s="14">
        <v>364475</v>
      </c>
      <c r="I34" s="14"/>
      <c r="J34" s="17">
        <f t="shared" si="1"/>
        <v>675140.5</v>
      </c>
    </row>
    <row r="35" spans="1:10" x14ac:dyDescent="0.25">
      <c r="A35" s="10">
        <f t="shared" si="2"/>
        <v>26</v>
      </c>
      <c r="B35" s="43" t="s">
        <v>8</v>
      </c>
      <c r="C35" s="12" t="s">
        <v>139</v>
      </c>
      <c r="D35" s="16">
        <f t="shared" si="6"/>
        <v>739275.5</v>
      </c>
      <c r="E35" s="14"/>
      <c r="F35" s="14">
        <v>185222</v>
      </c>
      <c r="G35" s="14">
        <v>200988.5</v>
      </c>
      <c r="H35" s="14">
        <v>353065</v>
      </c>
      <c r="I35" s="14"/>
      <c r="J35" s="17">
        <f t="shared" si="1"/>
        <v>739275.5</v>
      </c>
    </row>
    <row r="36" spans="1:10" x14ac:dyDescent="0.25">
      <c r="A36" s="10">
        <f t="shared" si="2"/>
        <v>27</v>
      </c>
      <c r="B36" s="56" t="s">
        <v>9</v>
      </c>
      <c r="C36" s="12" t="s">
        <v>152</v>
      </c>
      <c r="D36" s="16">
        <f t="shared" si="6"/>
        <v>556799</v>
      </c>
      <c r="E36" s="14"/>
      <c r="F36" s="14">
        <v>226147</v>
      </c>
      <c r="G36" s="14">
        <v>116301</v>
      </c>
      <c r="H36" s="14">
        <v>214351</v>
      </c>
      <c r="I36" s="14"/>
      <c r="J36" s="17">
        <f t="shared" si="1"/>
        <v>556799</v>
      </c>
    </row>
    <row r="37" spans="1:10" x14ac:dyDescent="0.25">
      <c r="A37" s="10">
        <f t="shared" si="2"/>
        <v>28</v>
      </c>
      <c r="B37" s="11" t="s">
        <v>30</v>
      </c>
      <c r="C37" s="12" t="s">
        <v>165</v>
      </c>
      <c r="D37" s="16">
        <f t="shared" si="6"/>
        <v>702886.5</v>
      </c>
      <c r="E37" s="14"/>
      <c r="F37" s="14">
        <v>271447.5</v>
      </c>
      <c r="G37" s="14">
        <v>230537</v>
      </c>
      <c r="H37" s="14">
        <v>200902</v>
      </c>
      <c r="I37" s="14"/>
      <c r="J37" s="17">
        <f t="shared" si="1"/>
        <v>702886.5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6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7" t="s">
        <v>10</v>
      </c>
      <c r="B42" s="118"/>
      <c r="C42" s="119"/>
      <c r="D42" s="48">
        <f>SUM(D2:D41)</f>
        <v>17621533.490000002</v>
      </c>
      <c r="J42" s="49">
        <f>SUM(J10:J41)</f>
        <v>17621533.490000002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O1234" zoomScaleNormal="100" workbookViewId="0">
      <selection activeCell="AA1243" sqref="AA124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8" t="s">
        <v>17</v>
      </c>
      <c r="E10" s="128"/>
      <c r="F10" s="75"/>
      <c r="G10" s="27"/>
      <c r="I10" s="129" t="s">
        <v>18</v>
      </c>
      <c r="J10" s="130"/>
      <c r="K10" s="122" t="s">
        <v>19</v>
      </c>
      <c r="N10" s="25"/>
      <c r="O10" s="26"/>
      <c r="P10" s="128" t="s">
        <v>17</v>
      </c>
      <c r="Q10" s="128"/>
      <c r="R10" s="75"/>
      <c r="S10" s="27"/>
      <c r="U10" s="129" t="s">
        <v>18</v>
      </c>
      <c r="V10" s="130"/>
      <c r="W10" s="122" t="s">
        <v>19</v>
      </c>
      <c r="Z10" s="25"/>
      <c r="AA10" s="26"/>
      <c r="AB10" s="128" t="s">
        <v>17</v>
      </c>
      <c r="AC10" s="128"/>
      <c r="AD10" s="75"/>
      <c r="AE10" s="27"/>
      <c r="AG10" s="129" t="s">
        <v>18</v>
      </c>
      <c r="AH10" s="130"/>
      <c r="AI10" s="12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2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2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27"/>
    </row>
    <row r="12" spans="1:35" x14ac:dyDescent="0.25">
      <c r="A12" s="10">
        <v>1</v>
      </c>
      <c r="B12" s="30">
        <v>46027</v>
      </c>
      <c r="C12" s="82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2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2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2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2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2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2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2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7"/>
      <c r="C57" s="87"/>
      <c r="D57" s="87"/>
      <c r="E57" s="87"/>
      <c r="F57" s="87"/>
      <c r="G57" s="87"/>
      <c r="H57" s="62"/>
      <c r="I57" s="62"/>
      <c r="J57" s="62"/>
      <c r="K57" s="62"/>
      <c r="L57" s="62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7"/>
      <c r="C58" s="87"/>
      <c r="D58" s="87"/>
      <c r="E58" s="87"/>
      <c r="F58" s="87"/>
      <c r="G58" s="87"/>
      <c r="H58" s="62"/>
      <c r="I58" s="62"/>
      <c r="J58" s="62"/>
      <c r="K58" s="62"/>
      <c r="L58" s="62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7"/>
      <c r="C59" s="87"/>
      <c r="D59" s="87"/>
      <c r="E59" s="87"/>
      <c r="F59" s="87"/>
      <c r="G59" s="87"/>
      <c r="H59" s="62"/>
      <c r="I59" s="62"/>
      <c r="J59" s="62"/>
      <c r="K59" s="62"/>
      <c r="L59" s="62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7"/>
      <c r="C60" s="87"/>
      <c r="D60" s="87"/>
      <c r="E60" s="87"/>
      <c r="F60" s="87"/>
      <c r="G60" s="87"/>
      <c r="H60" s="62"/>
      <c r="I60" s="62"/>
      <c r="J60" s="62"/>
      <c r="K60" s="62"/>
      <c r="L60" s="62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7"/>
      <c r="C61" s="87"/>
      <c r="D61" s="87"/>
      <c r="E61" s="87"/>
      <c r="F61" s="87"/>
      <c r="G61" s="87"/>
      <c r="H61" s="62"/>
      <c r="I61" s="62"/>
      <c r="J61" s="62"/>
      <c r="K61" s="62"/>
      <c r="L61" s="62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7"/>
      <c r="C62" s="87"/>
      <c r="D62" s="87"/>
      <c r="E62" s="87"/>
      <c r="F62" s="87"/>
      <c r="G62" s="87"/>
      <c r="H62" s="62"/>
      <c r="I62" s="87"/>
      <c r="J62" s="73"/>
      <c r="K62" s="62"/>
      <c r="L62" s="62"/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7"/>
      <c r="C63" s="87"/>
      <c r="D63" s="87"/>
      <c r="E63" s="87"/>
      <c r="F63" s="87"/>
      <c r="G63" s="87"/>
      <c r="H63" s="62"/>
      <c r="I63" s="65"/>
      <c r="J63" s="65"/>
      <c r="K63" s="62"/>
      <c r="L63" s="62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7"/>
      <c r="C64" s="87"/>
      <c r="D64" s="87"/>
      <c r="E64" s="87"/>
      <c r="F64" s="87"/>
      <c r="G64" s="87"/>
      <c r="H64" s="62"/>
      <c r="I64" s="62"/>
      <c r="J64" s="62"/>
      <c r="K64" s="62"/>
      <c r="L64" s="62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7"/>
      <c r="D65" s="125"/>
      <c r="E65" s="125"/>
      <c r="F65" s="87"/>
      <c r="G65" s="87"/>
      <c r="H65" s="62"/>
      <c r="I65" s="125"/>
      <c r="J65" s="125"/>
      <c r="K65" s="124"/>
      <c r="L65" s="62"/>
      <c r="M65" s="62"/>
      <c r="N65" s="65"/>
      <c r="O65" s="87"/>
      <c r="P65" s="125"/>
      <c r="Q65" s="125"/>
      <c r="R65" s="87"/>
      <c r="S65" s="87"/>
      <c r="T65" s="62"/>
      <c r="U65" s="125"/>
      <c r="V65" s="125"/>
      <c r="W65" s="124"/>
      <c r="Z65" s="25"/>
      <c r="AA65" s="26"/>
      <c r="AB65" s="128" t="s">
        <v>17</v>
      </c>
      <c r="AC65" s="128"/>
      <c r="AD65" s="88"/>
      <c r="AE65" s="27"/>
      <c r="AG65" s="129" t="s">
        <v>18</v>
      </c>
      <c r="AH65" s="130"/>
      <c r="AI65" s="122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7"/>
      <c r="C66" s="87"/>
      <c r="D66" s="79"/>
      <c r="E66" s="80"/>
      <c r="F66" s="81"/>
      <c r="G66" s="81"/>
      <c r="H66" s="62"/>
      <c r="I66" s="86"/>
      <c r="J66" s="86"/>
      <c r="K66" s="124"/>
      <c r="L66" s="62"/>
      <c r="M66" s="62"/>
      <c r="N66" s="87"/>
      <c r="O66" s="87"/>
      <c r="P66" s="79"/>
      <c r="Q66" s="81"/>
      <c r="R66" s="81"/>
      <c r="S66" s="81"/>
      <c r="T66" s="62"/>
      <c r="U66" s="86"/>
      <c r="V66" s="86"/>
      <c r="W66" s="12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27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3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5"/>
      <c r="AN67" s="125"/>
      <c r="AO67" s="125"/>
      <c r="AP67" s="85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3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24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3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3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3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3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3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3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3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3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3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3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3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7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7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3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3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3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3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3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3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3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3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3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3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3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3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3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3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3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3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3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3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7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7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7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7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7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7"/>
      <c r="C109" s="87"/>
      <c r="D109" s="87"/>
      <c r="E109" s="87"/>
      <c r="F109" s="87"/>
      <c r="G109" s="87"/>
      <c r="H109" s="62"/>
      <c r="I109" s="62"/>
      <c r="J109" s="62"/>
      <c r="K109" s="62"/>
      <c r="L109" s="62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7"/>
      <c r="C110" s="87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8" t="s">
        <v>17</v>
      </c>
      <c r="E120" s="128"/>
      <c r="F120" s="89"/>
      <c r="G120" s="27"/>
      <c r="I120" s="129" t="s">
        <v>18</v>
      </c>
      <c r="J120" s="130"/>
      <c r="K120" s="122" t="s">
        <v>19</v>
      </c>
      <c r="N120" s="25"/>
      <c r="O120" s="26"/>
      <c r="P120" s="128" t="s">
        <v>17</v>
      </c>
      <c r="Q120" s="128"/>
      <c r="R120" s="89"/>
      <c r="S120" s="27"/>
      <c r="U120" s="129" t="s">
        <v>18</v>
      </c>
      <c r="V120" s="130"/>
      <c r="W120" s="122" t="s">
        <v>19</v>
      </c>
      <c r="Z120" s="25"/>
      <c r="AA120" s="26"/>
      <c r="AB120" s="128" t="s">
        <v>17</v>
      </c>
      <c r="AC120" s="128"/>
      <c r="AD120" s="89"/>
      <c r="AE120" s="27"/>
      <c r="AG120" s="129" t="s">
        <v>18</v>
      </c>
      <c r="AH120" s="130"/>
      <c r="AI120" s="12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27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27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2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2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2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2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2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2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2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2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2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2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2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2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2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2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2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8" t="s">
        <v>17</v>
      </c>
      <c r="E175" s="128"/>
      <c r="F175" s="90"/>
      <c r="G175" s="27"/>
      <c r="I175" s="129" t="s">
        <v>18</v>
      </c>
      <c r="J175" s="130"/>
      <c r="K175" s="122" t="s">
        <v>19</v>
      </c>
      <c r="N175" s="25"/>
      <c r="O175" s="26"/>
      <c r="P175" s="128" t="s">
        <v>17</v>
      </c>
      <c r="Q175" s="128"/>
      <c r="R175" s="90"/>
      <c r="S175" s="27"/>
      <c r="U175" s="129" t="s">
        <v>18</v>
      </c>
      <c r="V175" s="130"/>
      <c r="W175" s="122" t="s">
        <v>19</v>
      </c>
      <c r="Z175" s="25"/>
      <c r="AA175" s="26"/>
      <c r="AB175" s="128" t="s">
        <v>17</v>
      </c>
      <c r="AC175" s="128"/>
      <c r="AD175" s="90"/>
      <c r="AE175" s="27"/>
      <c r="AG175" s="129" t="s">
        <v>18</v>
      </c>
      <c r="AH175" s="130"/>
      <c r="AI175" s="122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27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27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27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2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2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2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2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5"/>
      <c r="AN181" s="125"/>
      <c r="AO181" s="125"/>
      <c r="AP181" s="85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2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2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2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2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2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2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2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2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8" t="s">
        <v>17</v>
      </c>
      <c r="E230" s="128"/>
      <c r="F230" s="91"/>
      <c r="G230" s="27"/>
      <c r="I230" s="129" t="s">
        <v>18</v>
      </c>
      <c r="J230" s="130"/>
      <c r="K230" s="122" t="s">
        <v>19</v>
      </c>
      <c r="N230" s="25"/>
      <c r="O230" s="26"/>
      <c r="P230" s="128" t="s">
        <v>17</v>
      </c>
      <c r="Q230" s="128"/>
      <c r="R230" s="91"/>
      <c r="S230" s="27"/>
      <c r="U230" s="129" t="s">
        <v>18</v>
      </c>
      <c r="V230" s="130"/>
      <c r="W230" s="122" t="s">
        <v>19</v>
      </c>
      <c r="Z230" s="25"/>
      <c r="AA230" s="26"/>
      <c r="AB230" s="128" t="s">
        <v>17</v>
      </c>
      <c r="AC230" s="128"/>
      <c r="AD230" s="91"/>
      <c r="AE230" s="27"/>
      <c r="AG230" s="129" t="s">
        <v>18</v>
      </c>
      <c r="AH230" s="130"/>
      <c r="AI230" s="12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27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27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2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2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2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2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2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2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2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2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2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2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2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2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2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2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8" t="s">
        <v>17</v>
      </c>
      <c r="E285" s="128"/>
      <c r="F285" s="92"/>
      <c r="G285" s="27"/>
      <c r="I285" s="129" t="s">
        <v>18</v>
      </c>
      <c r="J285" s="130"/>
      <c r="K285" s="122" t="s">
        <v>19</v>
      </c>
      <c r="N285" s="25"/>
      <c r="O285" s="26"/>
      <c r="P285" s="128" t="s">
        <v>17</v>
      </c>
      <c r="Q285" s="128"/>
      <c r="R285" s="92"/>
      <c r="S285" s="27"/>
      <c r="U285" s="129" t="s">
        <v>18</v>
      </c>
      <c r="V285" s="130"/>
      <c r="W285" s="122" t="s">
        <v>19</v>
      </c>
      <c r="Z285" s="25"/>
      <c r="AA285" s="26"/>
      <c r="AB285" s="128" t="s">
        <v>17</v>
      </c>
      <c r="AC285" s="128"/>
      <c r="AD285" s="92"/>
      <c r="AE285" s="27"/>
      <c r="AG285" s="129" t="s">
        <v>18</v>
      </c>
      <c r="AH285" s="130"/>
      <c r="AI285" s="12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27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27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2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2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2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2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2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2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2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2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2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2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2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2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2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2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25"/>
      <c r="E340" s="125"/>
      <c r="F340" s="87"/>
      <c r="G340" s="87"/>
      <c r="H340" s="62"/>
      <c r="I340" s="125"/>
      <c r="J340" s="125"/>
      <c r="K340" s="124"/>
      <c r="N340" s="25"/>
      <c r="O340" s="26"/>
      <c r="P340" s="128" t="s">
        <v>17</v>
      </c>
      <c r="Q340" s="128"/>
      <c r="R340" s="93"/>
      <c r="S340" s="27"/>
      <c r="U340" s="129" t="s">
        <v>18</v>
      </c>
      <c r="V340" s="130"/>
      <c r="W340" s="122" t="s">
        <v>19</v>
      </c>
      <c r="Z340" s="25"/>
      <c r="AA340" s="26"/>
      <c r="AB340" s="128" t="s">
        <v>17</v>
      </c>
      <c r="AC340" s="128"/>
      <c r="AD340" s="93"/>
      <c r="AE340" s="27"/>
      <c r="AG340" s="129" t="s">
        <v>18</v>
      </c>
      <c r="AH340" s="130"/>
      <c r="AI340" s="12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7"/>
      <c r="C341" s="87"/>
      <c r="D341" s="79"/>
      <c r="E341" s="80"/>
      <c r="F341" s="81"/>
      <c r="G341" s="81"/>
      <c r="H341" s="62"/>
      <c r="I341" s="86"/>
      <c r="J341" s="86"/>
      <c r="K341" s="12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27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2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3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3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3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3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3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3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3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3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3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3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3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3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3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3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3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3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3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3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3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3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3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3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3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3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3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3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3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3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3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3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3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3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3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3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8" t="s">
        <v>17</v>
      </c>
      <c r="E395" s="128"/>
      <c r="F395" s="94"/>
      <c r="G395" s="27"/>
      <c r="I395" s="129" t="s">
        <v>18</v>
      </c>
      <c r="J395" s="130"/>
      <c r="K395" s="122" t="s">
        <v>19</v>
      </c>
      <c r="N395" s="25"/>
      <c r="O395" s="26"/>
      <c r="P395" s="128" t="s">
        <v>17</v>
      </c>
      <c r="Q395" s="128"/>
      <c r="R395" s="94"/>
      <c r="S395" s="27"/>
      <c r="U395" s="129" t="s">
        <v>18</v>
      </c>
      <c r="V395" s="130"/>
      <c r="W395" s="122" t="s">
        <v>19</v>
      </c>
      <c r="Z395" s="25"/>
      <c r="AA395" s="26"/>
      <c r="AB395" s="128" t="s">
        <v>17</v>
      </c>
      <c r="AC395" s="128"/>
      <c r="AD395" s="94"/>
      <c r="AE395" s="27"/>
      <c r="AG395" s="129" t="s">
        <v>18</v>
      </c>
      <c r="AH395" s="130"/>
      <c r="AI395" s="12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27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27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2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2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2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2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2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2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2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2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2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2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2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2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2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8" t="s">
        <v>17</v>
      </c>
      <c r="E450" s="128"/>
      <c r="F450" s="95"/>
      <c r="G450" s="27"/>
      <c r="I450" s="129" t="s">
        <v>18</v>
      </c>
      <c r="J450" s="130"/>
      <c r="K450" s="122" t="s">
        <v>19</v>
      </c>
      <c r="N450" s="25"/>
      <c r="O450" s="26"/>
      <c r="P450" s="128" t="s">
        <v>17</v>
      </c>
      <c r="Q450" s="128"/>
      <c r="R450" s="95"/>
      <c r="S450" s="27"/>
      <c r="U450" s="129" t="s">
        <v>18</v>
      </c>
      <c r="V450" s="130"/>
      <c r="W450" s="122" t="s">
        <v>19</v>
      </c>
      <c r="Z450" s="25"/>
      <c r="AA450" s="26"/>
      <c r="AB450" s="128" t="s">
        <v>17</v>
      </c>
      <c r="AC450" s="128"/>
      <c r="AD450" s="95"/>
      <c r="AE450" s="27"/>
      <c r="AG450" s="129" t="s">
        <v>18</v>
      </c>
      <c r="AH450" s="130"/>
      <c r="AI450" s="12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27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27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2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2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2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2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2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2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2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2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2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2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7"/>
      <c r="AA501" s="87"/>
      <c r="AB501" s="87"/>
      <c r="AC501" s="87"/>
      <c r="AD501" s="87"/>
      <c r="AE501" s="87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7"/>
      <c r="AA502" s="87"/>
      <c r="AB502" s="87"/>
      <c r="AC502" s="87"/>
      <c r="AD502" s="87"/>
      <c r="AE502" s="87"/>
      <c r="AF502" s="62"/>
      <c r="AG502" s="87"/>
      <c r="AH502" s="87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7"/>
      <c r="AA503" s="87"/>
      <c r="AB503" s="87"/>
      <c r="AC503" s="87"/>
      <c r="AD503" s="87"/>
      <c r="AE503" s="87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7"/>
      <c r="AA504" s="87"/>
      <c r="AB504" s="87"/>
      <c r="AC504" s="87"/>
      <c r="AD504" s="87"/>
      <c r="AE504" s="87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8" t="s">
        <v>17</v>
      </c>
      <c r="E505" s="128"/>
      <c r="F505" s="96"/>
      <c r="G505" s="27"/>
      <c r="I505" s="129" t="s">
        <v>18</v>
      </c>
      <c r="J505" s="130"/>
      <c r="K505" s="122" t="s">
        <v>19</v>
      </c>
      <c r="N505" s="25"/>
      <c r="O505" s="26"/>
      <c r="P505" s="128" t="s">
        <v>17</v>
      </c>
      <c r="Q505" s="128"/>
      <c r="R505" s="96"/>
      <c r="S505" s="27"/>
      <c r="U505" s="129" t="s">
        <v>18</v>
      </c>
      <c r="V505" s="130"/>
      <c r="W505" s="122" t="s">
        <v>19</v>
      </c>
      <c r="Y505" s="62"/>
      <c r="Z505" s="65"/>
      <c r="AA505" s="87"/>
      <c r="AB505" s="125"/>
      <c r="AC505" s="125"/>
      <c r="AD505" s="87"/>
      <c r="AE505" s="87"/>
      <c r="AF505" s="62"/>
      <c r="AG505" s="125"/>
      <c r="AH505" s="125"/>
      <c r="AI505" s="12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27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27"/>
      <c r="Y506" s="62"/>
      <c r="Z506" s="87"/>
      <c r="AA506" s="87"/>
      <c r="AB506" s="79"/>
      <c r="AC506" s="81"/>
      <c r="AD506" s="81"/>
      <c r="AE506" s="81"/>
      <c r="AF506" s="62"/>
      <c r="AG506" s="86"/>
      <c r="AH506" s="86"/>
      <c r="AI506" s="12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2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2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2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7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2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7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2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7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2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7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2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7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2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7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2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7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2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2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7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2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2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2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2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7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2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2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2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2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7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2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7"/>
      <c r="AB527" s="67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7"/>
      <c r="AB528" s="68"/>
      <c r="AC528" s="87"/>
      <c r="AD528" s="87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7"/>
      <c r="AB529" s="69"/>
      <c r="AC529" s="87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2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7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7"/>
      <c r="AB547" s="69"/>
      <c r="AC547" s="87"/>
      <c r="AD547" s="87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7"/>
      <c r="AA549" s="87"/>
      <c r="AB549" s="87"/>
      <c r="AC549" s="87"/>
      <c r="AD549" s="87"/>
      <c r="AE549" s="87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7"/>
      <c r="AA550" s="87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8" t="s">
        <v>17</v>
      </c>
      <c r="E560" s="128"/>
      <c r="F560" s="97"/>
      <c r="G560" s="27"/>
      <c r="I560" s="129" t="s">
        <v>18</v>
      </c>
      <c r="J560" s="130"/>
      <c r="K560" s="122" t="s">
        <v>19</v>
      </c>
      <c r="M560" s="62"/>
      <c r="N560" s="65"/>
      <c r="O560" s="87"/>
      <c r="P560" s="125"/>
      <c r="Q560" s="125"/>
      <c r="R560" s="87"/>
      <c r="S560" s="87"/>
      <c r="T560" s="62"/>
      <c r="U560" s="125"/>
      <c r="V560" s="125"/>
      <c r="W560" s="124"/>
      <c r="Z560" s="25"/>
      <c r="AA560" s="26"/>
      <c r="AB560" s="128" t="s">
        <v>17</v>
      </c>
      <c r="AC560" s="128"/>
      <c r="AD560" s="97"/>
      <c r="AE560" s="27"/>
      <c r="AG560" s="129" t="s">
        <v>18</v>
      </c>
      <c r="AH560" s="130"/>
      <c r="AI560" s="12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27"/>
      <c r="M561" s="62"/>
      <c r="N561" s="87"/>
      <c r="O561" s="87"/>
      <c r="P561" s="79"/>
      <c r="Q561" s="81"/>
      <c r="R561" s="81"/>
      <c r="S561" s="81"/>
      <c r="T561" s="62"/>
      <c r="U561" s="86"/>
      <c r="V561" s="86"/>
      <c r="W561" s="12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2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2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2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2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2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7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2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2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7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2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7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2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2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2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2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2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2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2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2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2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2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2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2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7"/>
      <c r="R582" s="87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2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2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7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2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2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2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2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2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2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2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2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2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2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2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2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8" t="s">
        <v>17</v>
      </c>
      <c r="E615" s="128"/>
      <c r="F615" s="98"/>
      <c r="G615" s="27"/>
      <c r="I615" s="129" t="s">
        <v>18</v>
      </c>
      <c r="J615" s="130"/>
      <c r="K615" s="122" t="s">
        <v>19</v>
      </c>
      <c r="N615" s="25"/>
      <c r="O615" s="26"/>
      <c r="P615" s="128" t="s">
        <v>17</v>
      </c>
      <c r="Q615" s="128"/>
      <c r="R615" s="98"/>
      <c r="S615" s="27"/>
      <c r="U615" s="129" t="s">
        <v>18</v>
      </c>
      <c r="V615" s="130"/>
      <c r="W615" s="122" t="s">
        <v>19</v>
      </c>
      <c r="Z615" s="25"/>
      <c r="AA615" s="26"/>
      <c r="AB615" s="128" t="s">
        <v>17</v>
      </c>
      <c r="AC615" s="128"/>
      <c r="AD615" s="98"/>
      <c r="AE615" s="27"/>
      <c r="AG615" s="129" t="s">
        <v>18</v>
      </c>
      <c r="AH615" s="130"/>
      <c r="AI615" s="12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27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27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2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2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2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2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2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2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2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2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2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2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2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2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2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2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7"/>
      <c r="D670" s="125"/>
      <c r="E670" s="125"/>
      <c r="F670" s="87"/>
      <c r="G670" s="87"/>
      <c r="H670" s="62"/>
      <c r="I670" s="125"/>
      <c r="J670" s="125"/>
      <c r="K670" s="124"/>
      <c r="N670" s="25"/>
      <c r="O670" s="26"/>
      <c r="P670" s="128" t="s">
        <v>17</v>
      </c>
      <c r="Q670" s="128"/>
      <c r="R670" s="99"/>
      <c r="S670" s="27"/>
      <c r="U670" s="129" t="s">
        <v>18</v>
      </c>
      <c r="V670" s="130"/>
      <c r="W670" s="122" t="s">
        <v>19</v>
      </c>
      <c r="Y670" s="62"/>
      <c r="Z670" s="65"/>
      <c r="AA670" s="87"/>
      <c r="AB670" s="125"/>
      <c r="AC670" s="125"/>
      <c r="AD670" s="87"/>
      <c r="AE670" s="87"/>
      <c r="AF670" s="62"/>
      <c r="AG670" s="125"/>
      <c r="AH670" s="125"/>
      <c r="AI670" s="12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7"/>
      <c r="C671" s="87"/>
      <c r="D671" s="79"/>
      <c r="E671" s="80"/>
      <c r="F671" s="81"/>
      <c r="G671" s="81"/>
      <c r="H671" s="62"/>
      <c r="I671" s="86"/>
      <c r="J671" s="86"/>
      <c r="K671" s="12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27"/>
      <c r="Y671" s="62"/>
      <c r="Z671" s="87"/>
      <c r="AA671" s="87"/>
      <c r="AB671" s="79"/>
      <c r="AC671" s="81"/>
      <c r="AD671" s="81"/>
      <c r="AE671" s="81"/>
      <c r="AF671" s="62"/>
      <c r="AG671" s="86"/>
      <c r="AH671" s="86"/>
      <c r="AI671" s="12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3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3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0" si="165">SUM(P673:Q673)</f>
        <v>80498</v>
      </c>
      <c r="T673" s="12"/>
      <c r="U673" s="12">
        <f>1.5*48</f>
        <v>72</v>
      </c>
      <c r="V673" s="12"/>
      <c r="W673" s="12">
        <f t="shared" ref="W673:W713" si="166">SUM(S673:V673)</f>
        <v>80570</v>
      </c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3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3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3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3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3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3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3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3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3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3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3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3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7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3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3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3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3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3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7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3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7"/>
      <c r="AB694" s="69"/>
      <c r="AC694" s="87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3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3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3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3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3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3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3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3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3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3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3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3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M722" t="s">
        <v>45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45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M723" s="21" t="s">
        <v>75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87"/>
      <c r="D725" s="125"/>
      <c r="E725" s="125"/>
      <c r="F725" s="87"/>
      <c r="G725" s="87"/>
      <c r="H725" s="62"/>
      <c r="I725" s="125"/>
      <c r="J725" s="125"/>
      <c r="K725" s="124"/>
      <c r="N725" s="25"/>
      <c r="O725" s="26"/>
      <c r="P725" s="128" t="s">
        <v>17</v>
      </c>
      <c r="Q725" s="128"/>
      <c r="R725" s="100"/>
      <c r="S725" s="27"/>
      <c r="U725" s="129" t="s">
        <v>18</v>
      </c>
      <c r="V725" s="130"/>
      <c r="W725" s="122" t="s">
        <v>19</v>
      </c>
      <c r="Z725" s="25"/>
      <c r="AA725" s="26"/>
      <c r="AB725" s="128" t="s">
        <v>17</v>
      </c>
      <c r="AC725" s="128"/>
      <c r="AD725" s="100"/>
      <c r="AE725" s="27"/>
      <c r="AG725" s="129" t="s">
        <v>18</v>
      </c>
      <c r="AH725" s="130"/>
      <c r="AI725" s="12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A726" s="62"/>
      <c r="B726" s="87"/>
      <c r="C726" s="87"/>
      <c r="D726" s="79"/>
      <c r="E726" s="80"/>
      <c r="F726" s="81"/>
      <c r="G726" s="81"/>
      <c r="H726" s="62"/>
      <c r="I726" s="86"/>
      <c r="J726" s="86"/>
      <c r="K726" s="12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27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2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3"/>
      <c r="D727" s="60"/>
      <c r="E727" s="60"/>
      <c r="F727" s="60"/>
      <c r="G727" s="60"/>
      <c r="H727" s="61"/>
      <c r="I727" s="61"/>
      <c r="J727" s="61"/>
      <c r="K727" s="61"/>
      <c r="M727" s="10">
        <v>1</v>
      </c>
      <c r="N727" s="30" t="s">
        <v>76</v>
      </c>
      <c r="O727" s="31">
        <v>10558</v>
      </c>
      <c r="P727" s="32">
        <f>650*18+622*3</f>
        <v>13566</v>
      </c>
      <c r="Q727" s="32"/>
      <c r="R727" s="32"/>
      <c r="S727" s="32">
        <f>SUM(P727:Q727)</f>
        <v>13566</v>
      </c>
      <c r="T727" s="12"/>
      <c r="U727" s="12"/>
      <c r="V727" s="12">
        <f>-111*12+-42*8</f>
        <v>-1668</v>
      </c>
      <c r="W727" s="12">
        <f>SUM(S727:V727)</f>
        <v>11898</v>
      </c>
      <c r="Y727" s="10">
        <v>1</v>
      </c>
      <c r="Z727" s="30" t="s">
        <v>76</v>
      </c>
      <c r="AA727" s="31">
        <v>10612</v>
      </c>
      <c r="AB727" s="32">
        <f>650*108+622*50+872*3+229*10</f>
        <v>106206</v>
      </c>
      <c r="AC727" s="32"/>
      <c r="AD727" s="32"/>
      <c r="AE727" s="32">
        <f>SUM(AB727:AC727)</f>
        <v>106206</v>
      </c>
      <c r="AF727" s="12"/>
      <c r="AG727" s="12">
        <f>120*3+78*10</f>
        <v>1140</v>
      </c>
      <c r="AH727" s="12"/>
      <c r="AI727" s="12">
        <f>SUM(AE727:AH727)</f>
        <v>107346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3"/>
      <c r="D728" s="60"/>
      <c r="E728" s="60"/>
      <c r="F728" s="60"/>
      <c r="G728" s="60"/>
      <c r="H728" s="61"/>
      <c r="I728" s="61"/>
      <c r="J728" s="61"/>
      <c r="K728" s="61"/>
      <c r="M728" s="10">
        <v>2</v>
      </c>
      <c r="N728" s="30" t="s">
        <v>76</v>
      </c>
      <c r="O728" s="31">
        <f>O727+1</f>
        <v>10559</v>
      </c>
      <c r="P728" s="32">
        <f>650*216+229*9</f>
        <v>142461</v>
      </c>
      <c r="Q728" s="32">
        <f>-216*6</f>
        <v>-1296</v>
      </c>
      <c r="R728" s="32"/>
      <c r="S728" s="32">
        <f t="shared" ref="S728:S765" si="169">SUM(P728:Q728)</f>
        <v>141165</v>
      </c>
      <c r="T728" s="12"/>
      <c r="U728" s="12">
        <f>78*8</f>
        <v>624</v>
      </c>
      <c r="V728" s="12">
        <f>-111*4</f>
        <v>-444</v>
      </c>
      <c r="W728" s="12">
        <f t="shared" ref="W728:W768" si="170">SUM(S728:V728)</f>
        <v>141345</v>
      </c>
      <c r="Y728" s="10">
        <v>2</v>
      </c>
      <c r="Z728" s="30" t="s">
        <v>76</v>
      </c>
      <c r="AA728" s="31">
        <f>AA727+1</f>
        <v>10613</v>
      </c>
      <c r="AB728" s="32">
        <f>650*108+622*50</f>
        <v>101300</v>
      </c>
      <c r="AC728" s="32">
        <f>-158*6</f>
        <v>-948</v>
      </c>
      <c r="AD728" s="32"/>
      <c r="AE728" s="32">
        <f t="shared" ref="AE728:AE765" si="171">SUM(AB728:AC728)</f>
        <v>100352</v>
      </c>
      <c r="AF728" s="12"/>
      <c r="AG728" s="12"/>
      <c r="AH728" s="12"/>
      <c r="AI728" s="12">
        <f t="shared" ref="AI728:AI768" si="172">SUM(AE728:AH728)</f>
        <v>100352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3"/>
      <c r="D729" s="60"/>
      <c r="E729" s="60"/>
      <c r="F729" s="60"/>
      <c r="G729" s="60"/>
      <c r="H729" s="61"/>
      <c r="I729" s="61"/>
      <c r="J729" s="61"/>
      <c r="K729" s="61"/>
      <c r="M729" s="10">
        <v>3</v>
      </c>
      <c r="N729" s="30" t="s">
        <v>76</v>
      </c>
      <c r="O729" s="31">
        <f t="shared" ref="O729" si="173">O728+1</f>
        <v>10560</v>
      </c>
      <c r="P729" s="32">
        <f>650*350+1175+622*40+912*5+229*16+650</f>
        <v>262429</v>
      </c>
      <c r="Q729" s="32">
        <f>-395*6</f>
        <v>-2370</v>
      </c>
      <c r="R729" s="32"/>
      <c r="S729" s="32">
        <f t="shared" si="169"/>
        <v>260059</v>
      </c>
      <c r="T729" s="12"/>
      <c r="U729" s="12">
        <f>111*47</f>
        <v>5217</v>
      </c>
      <c r="V729" s="12">
        <f>-120*4+-78*7+-1.5*144</f>
        <v>-1242</v>
      </c>
      <c r="W729" s="12">
        <f t="shared" si="170"/>
        <v>264034</v>
      </c>
      <c r="Y729" s="10">
        <v>3</v>
      </c>
      <c r="Z729" s="30" t="s">
        <v>76</v>
      </c>
      <c r="AA729" s="31">
        <f t="shared" ref="AA729:AA731" si="174">AA728+1</f>
        <v>10614</v>
      </c>
      <c r="AB729" s="33">
        <f>650*238+670*15+622*50+872*3+229*5</f>
        <v>199611</v>
      </c>
      <c r="AC729" s="33">
        <f>-306*6</f>
        <v>-1836</v>
      </c>
      <c r="AD729" s="32"/>
      <c r="AE729" s="32">
        <f t="shared" si="171"/>
        <v>197775</v>
      </c>
      <c r="AF729" s="12"/>
      <c r="AG729" s="12">
        <f>78*4</f>
        <v>312</v>
      </c>
      <c r="AH729" s="12"/>
      <c r="AI729" s="12">
        <f t="shared" si="172"/>
        <v>198087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3"/>
      <c r="D730" s="60"/>
      <c r="E730" s="60"/>
      <c r="F730" s="60"/>
      <c r="G730" s="60"/>
      <c r="H730" s="61"/>
      <c r="I730" s="61"/>
      <c r="J730" s="61"/>
      <c r="K730" s="61"/>
      <c r="M730" s="10">
        <v>4</v>
      </c>
      <c r="N730" s="30"/>
      <c r="O730" s="11" t="s">
        <v>27</v>
      </c>
      <c r="P730" s="32"/>
      <c r="Q730" s="32"/>
      <c r="R730" s="32"/>
      <c r="S730" s="32">
        <f t="shared" si="169"/>
        <v>0</v>
      </c>
      <c r="T730" s="12"/>
      <c r="U730" s="12"/>
      <c r="V730" s="12"/>
      <c r="W730" s="12">
        <f t="shared" si="170"/>
        <v>0</v>
      </c>
      <c r="Y730" s="10">
        <v>4</v>
      </c>
      <c r="Z730" s="30" t="s">
        <v>76</v>
      </c>
      <c r="AA730" s="31">
        <f t="shared" si="174"/>
        <v>10615</v>
      </c>
      <c r="AB730" s="32">
        <f>650*70+622*11+872+229</f>
        <v>53443</v>
      </c>
      <c r="AC730" s="32"/>
      <c r="AD730" s="32"/>
      <c r="AE730" s="32">
        <f t="shared" si="171"/>
        <v>53443</v>
      </c>
      <c r="AF730" s="12"/>
      <c r="AH730" s="12">
        <f>-111*4</f>
        <v>-444</v>
      </c>
      <c r="AI730" s="12">
        <f t="shared" si="172"/>
        <v>52999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3"/>
      <c r="D731" s="60"/>
      <c r="E731" s="60"/>
      <c r="F731" s="60"/>
      <c r="G731" s="60"/>
      <c r="H731" s="61"/>
      <c r="I731" s="61"/>
      <c r="J731" s="61"/>
      <c r="K731" s="61"/>
      <c r="M731" s="10">
        <v>5</v>
      </c>
      <c r="N731" s="30"/>
      <c r="O731" s="31"/>
      <c r="P731" s="32"/>
      <c r="Q731" s="32"/>
      <c r="R731" s="32"/>
      <c r="S731" s="32">
        <f t="shared" si="169"/>
        <v>0</v>
      </c>
      <c r="T731" s="12"/>
      <c r="U731" s="12"/>
      <c r="V731" s="12"/>
      <c r="W731" s="12">
        <f t="shared" si="170"/>
        <v>0</v>
      </c>
      <c r="Y731" s="10">
        <v>5</v>
      </c>
      <c r="Z731" s="30" t="s">
        <v>76</v>
      </c>
      <c r="AA731" s="31">
        <f t="shared" si="174"/>
        <v>10616</v>
      </c>
      <c r="AB731" s="32">
        <f>622+872+650*2</f>
        <v>2794</v>
      </c>
      <c r="AC731" s="32"/>
      <c r="AD731" s="32"/>
      <c r="AE731" s="32">
        <f t="shared" si="171"/>
        <v>2794</v>
      </c>
      <c r="AF731" s="12"/>
      <c r="AG731" s="12">
        <f>111</f>
        <v>111</v>
      </c>
      <c r="AH731" s="12"/>
      <c r="AI731" s="12">
        <f t="shared" si="172"/>
        <v>2905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M732" s="10">
        <v>6</v>
      </c>
      <c r="N732" s="30"/>
      <c r="O732" s="31"/>
      <c r="P732" s="32"/>
      <c r="Q732" s="32"/>
      <c r="R732" s="32"/>
      <c r="S732" s="32">
        <f t="shared" si="169"/>
        <v>0</v>
      </c>
      <c r="T732" s="12"/>
      <c r="U732" s="12"/>
      <c r="V732" s="10"/>
      <c r="W732" s="12">
        <f t="shared" si="170"/>
        <v>0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171"/>
        <v>0</v>
      </c>
      <c r="AF732" s="12"/>
      <c r="AG732" s="12"/>
      <c r="AH732" s="10"/>
      <c r="AI732" s="12">
        <f t="shared" si="17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3"/>
      <c r="D733" s="60"/>
      <c r="E733" s="60"/>
      <c r="F733" s="60"/>
      <c r="G733" s="60"/>
      <c r="H733" s="61"/>
      <c r="I733" s="61"/>
      <c r="J733" s="61"/>
      <c r="K733" s="61"/>
      <c r="M733" s="10">
        <v>7</v>
      </c>
      <c r="N733" s="30"/>
      <c r="O733" s="31"/>
      <c r="P733" s="32"/>
      <c r="Q733" s="32"/>
      <c r="R733" s="32"/>
      <c r="S733" s="32">
        <f t="shared" si="169"/>
        <v>0</v>
      </c>
      <c r="T733" s="12"/>
      <c r="U733" s="12"/>
      <c r="V733" s="12"/>
      <c r="W733" s="12">
        <f t="shared" si="170"/>
        <v>0</v>
      </c>
      <c r="Y733" s="10">
        <v>7</v>
      </c>
      <c r="Z733" s="30"/>
      <c r="AA733" s="31"/>
      <c r="AB733" s="32"/>
      <c r="AC733" s="32"/>
      <c r="AD733" s="32"/>
      <c r="AE733" s="32">
        <f t="shared" si="171"/>
        <v>0</v>
      </c>
      <c r="AF733" s="12"/>
      <c r="AG733" s="58"/>
      <c r="AH733" s="12"/>
      <c r="AI733" s="12">
        <f t="shared" si="17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3"/>
      <c r="D734" s="60"/>
      <c r="E734" s="60"/>
      <c r="F734" s="60"/>
      <c r="G734" s="60"/>
      <c r="H734" s="61"/>
      <c r="I734" s="61"/>
      <c r="J734" s="61"/>
      <c r="K734" s="61"/>
      <c r="M734" s="10">
        <v>8</v>
      </c>
      <c r="N734" s="30"/>
      <c r="O734" s="31"/>
      <c r="P734" s="32"/>
      <c r="Q734" s="32"/>
      <c r="R734" s="32"/>
      <c r="S734" s="32">
        <f t="shared" si="169"/>
        <v>0</v>
      </c>
      <c r="T734" s="12"/>
      <c r="U734" s="12"/>
      <c r="V734" s="12"/>
      <c r="W734" s="12">
        <f t="shared" si="170"/>
        <v>0</v>
      </c>
      <c r="Y734" s="10">
        <v>8</v>
      </c>
      <c r="Z734" s="30"/>
      <c r="AB734" s="32"/>
      <c r="AC734" s="32"/>
      <c r="AE734" s="32">
        <f t="shared" si="171"/>
        <v>0</v>
      </c>
      <c r="AF734" s="12"/>
      <c r="AG734" s="12"/>
      <c r="AH734" s="12"/>
      <c r="AI734" s="12">
        <f t="shared" si="17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3"/>
      <c r="D735" s="60"/>
      <c r="E735" s="60"/>
      <c r="F735" s="60"/>
      <c r="G735" s="60"/>
      <c r="H735" s="61"/>
      <c r="I735" s="61"/>
      <c r="J735" s="61"/>
      <c r="K735" s="61"/>
      <c r="M735" s="10">
        <v>9</v>
      </c>
      <c r="N735" s="30"/>
      <c r="O735" s="31"/>
      <c r="P735" s="32"/>
      <c r="Q735" s="32"/>
      <c r="R735" s="32"/>
      <c r="S735" s="32">
        <f t="shared" si="169"/>
        <v>0</v>
      </c>
      <c r="T735" s="12"/>
      <c r="U735" s="12"/>
      <c r="V735" s="12"/>
      <c r="W735" s="12">
        <f t="shared" si="170"/>
        <v>0</v>
      </c>
      <c r="Y735" s="10">
        <v>9</v>
      </c>
      <c r="Z735" s="30"/>
      <c r="AB735" s="32"/>
      <c r="AC735" s="32"/>
      <c r="AD735" s="32"/>
      <c r="AE735" s="32">
        <f t="shared" si="171"/>
        <v>0</v>
      </c>
      <c r="AF735" s="12"/>
      <c r="AG735" s="12"/>
      <c r="AH735" s="12"/>
      <c r="AI735" s="12">
        <f t="shared" si="17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3"/>
      <c r="D736" s="60"/>
      <c r="E736" s="60"/>
      <c r="F736" s="60"/>
      <c r="G736" s="60"/>
      <c r="H736" s="61"/>
      <c r="I736" s="61"/>
      <c r="J736" s="61"/>
      <c r="K736" s="61"/>
      <c r="M736" s="10">
        <v>10</v>
      </c>
      <c r="N736" s="30"/>
      <c r="O736" s="31"/>
      <c r="P736" s="32"/>
      <c r="Q736" s="32"/>
      <c r="R736" s="32"/>
      <c r="S736" s="32">
        <f t="shared" si="169"/>
        <v>0</v>
      </c>
      <c r="T736" s="12"/>
      <c r="U736" s="12"/>
      <c r="V736" s="12"/>
      <c r="W736" s="12">
        <f t="shared" si="170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71"/>
        <v>0</v>
      </c>
      <c r="AF736" s="12"/>
      <c r="AG736" s="12"/>
      <c r="AH736" s="12"/>
      <c r="AI736" s="12">
        <f t="shared" si="17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3"/>
      <c r="D737" s="60"/>
      <c r="E737" s="60"/>
      <c r="F737" s="60"/>
      <c r="G737" s="60"/>
      <c r="H737" s="61"/>
      <c r="I737" s="61"/>
      <c r="J737" s="61"/>
      <c r="K737" s="61"/>
      <c r="M737" s="10">
        <v>11</v>
      </c>
      <c r="N737" s="30"/>
      <c r="P737" s="32"/>
      <c r="Q737" s="32"/>
      <c r="R737" s="32"/>
      <c r="S737" s="32">
        <f t="shared" si="169"/>
        <v>0</v>
      </c>
      <c r="T737" s="12"/>
      <c r="U737" s="12"/>
      <c r="V737" s="12"/>
      <c r="W737" s="12">
        <f t="shared" si="170"/>
        <v>0</v>
      </c>
      <c r="Y737" s="10">
        <v>11</v>
      </c>
      <c r="Z737" s="30"/>
      <c r="AB737" s="32"/>
      <c r="AC737" s="32"/>
      <c r="AD737" s="32"/>
      <c r="AE737" s="32">
        <f t="shared" si="171"/>
        <v>0</v>
      </c>
      <c r="AF737" s="12"/>
      <c r="AG737" s="12"/>
      <c r="AH737" s="12"/>
      <c r="AI737" s="12">
        <f t="shared" si="17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3"/>
      <c r="D738" s="60"/>
      <c r="E738" s="60"/>
      <c r="F738" s="60"/>
      <c r="G738" s="60"/>
      <c r="H738" s="61"/>
      <c r="I738" s="61"/>
      <c r="J738" s="62"/>
      <c r="K738" s="61"/>
      <c r="M738" s="10">
        <v>12</v>
      </c>
      <c r="N738" s="30"/>
      <c r="P738" s="32"/>
      <c r="Q738" s="32"/>
      <c r="R738" s="32"/>
      <c r="S738" s="32">
        <f t="shared" si="169"/>
        <v>0</v>
      </c>
      <c r="T738" s="12"/>
      <c r="U738" s="12"/>
      <c r="V738" s="12"/>
      <c r="W738" s="12">
        <f t="shared" si="17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71"/>
        <v>0</v>
      </c>
      <c r="AF738" s="12"/>
      <c r="AG738" s="12"/>
      <c r="AH738" s="12"/>
      <c r="AI738" s="12">
        <f t="shared" si="17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3"/>
      <c r="D739" s="60"/>
      <c r="E739" s="60"/>
      <c r="F739" s="60"/>
      <c r="G739" s="60"/>
      <c r="H739" s="61"/>
      <c r="I739" s="61"/>
      <c r="J739" s="61"/>
      <c r="K739" s="61"/>
      <c r="M739" s="10">
        <v>13</v>
      </c>
      <c r="N739" s="30"/>
      <c r="O739" s="31"/>
      <c r="P739" s="32"/>
      <c r="Q739" s="32"/>
      <c r="R739" s="32"/>
      <c r="S739" s="32">
        <f t="shared" si="169"/>
        <v>0</v>
      </c>
      <c r="T739" s="12"/>
      <c r="U739" s="12"/>
      <c r="V739" s="12"/>
      <c r="W739" s="12">
        <f t="shared" si="17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71"/>
        <v>0</v>
      </c>
      <c r="AF739" s="12"/>
      <c r="AG739" s="12"/>
      <c r="AH739" s="12"/>
      <c r="AI739" s="12">
        <f t="shared" si="17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3"/>
      <c r="D740" s="60"/>
      <c r="E740" s="60"/>
      <c r="F740" s="60"/>
      <c r="G740" s="60"/>
      <c r="H740" s="61"/>
      <c r="I740" s="61"/>
      <c r="J740" s="61"/>
      <c r="K740" s="61"/>
      <c r="M740" s="10">
        <v>14</v>
      </c>
      <c r="N740" s="30"/>
      <c r="O740" s="31"/>
      <c r="P740" s="32"/>
      <c r="Q740" s="32"/>
      <c r="R740" s="32"/>
      <c r="S740" s="32">
        <f t="shared" si="169"/>
        <v>0</v>
      </c>
      <c r="T740" s="12"/>
      <c r="U740" s="12"/>
      <c r="V740" s="12"/>
      <c r="W740" s="12">
        <f t="shared" si="17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71"/>
        <v>0</v>
      </c>
      <c r="AF740" s="12"/>
      <c r="AG740" s="12"/>
      <c r="AH740" s="12"/>
      <c r="AI740" s="12">
        <f t="shared" si="17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3"/>
      <c r="D741" s="60"/>
      <c r="E741" s="60"/>
      <c r="F741" s="60"/>
      <c r="G741" s="60"/>
      <c r="H741" s="61"/>
      <c r="I741" s="61"/>
      <c r="J741" s="61"/>
      <c r="K741" s="61"/>
      <c r="M741" s="10">
        <v>15</v>
      </c>
      <c r="N741" s="30"/>
      <c r="O741" s="31"/>
      <c r="P741" s="32"/>
      <c r="Q741" s="32"/>
      <c r="R741" s="32"/>
      <c r="S741" s="32">
        <f t="shared" si="169"/>
        <v>0</v>
      </c>
      <c r="T741" s="12"/>
      <c r="U741" s="12"/>
      <c r="V741" s="12"/>
      <c r="W741" s="12">
        <f t="shared" si="17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71"/>
        <v>0</v>
      </c>
      <c r="AF741" s="12"/>
      <c r="AG741" s="12"/>
      <c r="AH741" s="12"/>
      <c r="AI741" s="12">
        <f t="shared" si="17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M742" s="10">
        <v>16</v>
      </c>
      <c r="N742" s="30"/>
      <c r="O742" s="31"/>
      <c r="P742" s="32"/>
      <c r="Q742" s="32"/>
      <c r="R742" s="32"/>
      <c r="S742" s="32">
        <f t="shared" si="169"/>
        <v>0</v>
      </c>
      <c r="T742" s="12"/>
      <c r="U742" s="12"/>
      <c r="V742" s="12"/>
      <c r="W742" s="12">
        <f t="shared" si="170"/>
        <v>0</v>
      </c>
      <c r="Y742" s="10">
        <v>16</v>
      </c>
      <c r="Z742" s="30"/>
      <c r="AB742" s="32"/>
      <c r="AC742" s="32"/>
      <c r="AD742" s="32"/>
      <c r="AE742" s="32">
        <f t="shared" si="171"/>
        <v>0</v>
      </c>
      <c r="AF742" s="12"/>
      <c r="AG742" s="12"/>
      <c r="AH742" s="12"/>
      <c r="AI742" s="12">
        <f t="shared" si="17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3"/>
      <c r="D743" s="60"/>
      <c r="E743" s="60"/>
      <c r="F743" s="60"/>
      <c r="G743" s="60"/>
      <c r="H743" s="61"/>
      <c r="I743" s="61"/>
      <c r="J743" s="61"/>
      <c r="K743" s="61"/>
      <c r="M743" s="10">
        <v>17</v>
      </c>
      <c r="N743" s="30"/>
      <c r="P743" s="35"/>
      <c r="Q743" s="32"/>
      <c r="R743" s="32"/>
      <c r="S743" s="32">
        <f t="shared" si="169"/>
        <v>0</v>
      </c>
      <c r="T743" s="12"/>
      <c r="U743" s="12"/>
      <c r="V743" s="12"/>
      <c r="W743" s="12">
        <f t="shared" si="17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71"/>
        <v>0</v>
      </c>
      <c r="AF743" s="12"/>
      <c r="AG743" s="12"/>
      <c r="AH743" s="12"/>
      <c r="AI743" s="12">
        <f t="shared" si="17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3"/>
      <c r="D744" s="60"/>
      <c r="E744" s="60"/>
      <c r="F744" s="60"/>
      <c r="G744" s="60"/>
      <c r="H744" s="61"/>
      <c r="I744" s="61"/>
      <c r="J744" s="61"/>
      <c r="K744" s="61"/>
      <c r="M744" s="10">
        <v>18</v>
      </c>
      <c r="N744" s="30"/>
      <c r="O744" s="11"/>
      <c r="P744" s="32"/>
      <c r="Q744" s="32"/>
      <c r="R744" s="32"/>
      <c r="S744" s="32">
        <f t="shared" si="169"/>
        <v>0</v>
      </c>
      <c r="T744" s="12"/>
      <c r="U744" s="12"/>
      <c r="V744" s="12"/>
      <c r="W744" s="12">
        <f t="shared" si="17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71"/>
        <v>0</v>
      </c>
      <c r="AF744" s="12"/>
      <c r="AG744" s="12"/>
      <c r="AH744" s="12"/>
      <c r="AI744" s="12">
        <f t="shared" si="17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3"/>
      <c r="D745" s="60"/>
      <c r="E745" s="60"/>
      <c r="F745" s="60"/>
      <c r="G745" s="60"/>
      <c r="H745" s="61"/>
      <c r="I745" s="61"/>
      <c r="J745" s="61"/>
      <c r="K745" s="61"/>
      <c r="M745" s="10">
        <v>19</v>
      </c>
      <c r="N745" s="30"/>
      <c r="O745" s="31"/>
      <c r="P745" s="32"/>
      <c r="Q745" s="32"/>
      <c r="R745" s="32"/>
      <c r="S745" s="32">
        <f t="shared" si="169"/>
        <v>0</v>
      </c>
      <c r="T745" s="12"/>
      <c r="U745" s="12"/>
      <c r="V745" s="12"/>
      <c r="W745" s="12">
        <f t="shared" si="17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71"/>
        <v>0</v>
      </c>
      <c r="AF745" s="12"/>
      <c r="AG745" s="12"/>
      <c r="AH745" s="12"/>
      <c r="AI745" s="12">
        <f t="shared" si="17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3"/>
      <c r="D746" s="60"/>
      <c r="E746" s="60"/>
      <c r="F746" s="60"/>
      <c r="G746" s="60"/>
      <c r="H746" s="61"/>
      <c r="I746" s="61"/>
      <c r="J746" s="61"/>
      <c r="K746" s="61"/>
      <c r="M746" s="10">
        <v>20</v>
      </c>
      <c r="N746" s="30"/>
      <c r="P746" s="32"/>
      <c r="Q746" s="32"/>
      <c r="R746" s="32"/>
      <c r="S746" s="32">
        <f t="shared" si="169"/>
        <v>0</v>
      </c>
      <c r="T746" s="12"/>
      <c r="U746" s="12"/>
      <c r="V746" s="12"/>
      <c r="W746" s="12">
        <f t="shared" si="170"/>
        <v>0</v>
      </c>
      <c r="Y746" s="10">
        <v>20</v>
      </c>
      <c r="Z746" s="30"/>
      <c r="AB746" s="32"/>
      <c r="AC746" s="32"/>
      <c r="AD746" s="32"/>
      <c r="AE746" s="32">
        <f t="shared" si="171"/>
        <v>0</v>
      </c>
      <c r="AF746" s="12"/>
      <c r="AG746" s="12"/>
      <c r="AH746" s="12"/>
      <c r="AI746" s="12">
        <f t="shared" si="17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3"/>
      <c r="D747" s="60"/>
      <c r="E747" s="60"/>
      <c r="F747" s="60"/>
      <c r="G747" s="60"/>
      <c r="H747" s="62"/>
      <c r="I747" s="62"/>
      <c r="J747" s="62"/>
      <c r="K747" s="61"/>
      <c r="M747" s="10">
        <v>21</v>
      </c>
      <c r="N747" s="30"/>
      <c r="O747" s="31"/>
      <c r="P747" s="46"/>
      <c r="Q747" s="31"/>
      <c r="R747" s="31"/>
      <c r="S747" s="32">
        <f t="shared" si="169"/>
        <v>0</v>
      </c>
      <c r="T747" s="10"/>
      <c r="U747" s="10"/>
      <c r="V747" s="10"/>
      <c r="W747" s="12">
        <f t="shared" si="17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71"/>
        <v>0</v>
      </c>
      <c r="AF747" s="10"/>
      <c r="AG747" s="10"/>
      <c r="AH747" s="10"/>
      <c r="AI747" s="12">
        <f t="shared" si="17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7"/>
      <c r="D748" s="60"/>
      <c r="E748" s="60"/>
      <c r="F748" s="60"/>
      <c r="G748" s="60"/>
      <c r="H748" s="62"/>
      <c r="I748" s="62"/>
      <c r="J748" s="62"/>
      <c r="K748" s="61"/>
      <c r="M748" s="10">
        <v>22</v>
      </c>
      <c r="N748" s="30"/>
      <c r="O748" s="31"/>
      <c r="P748" s="45"/>
      <c r="Q748" s="31"/>
      <c r="R748" s="31"/>
      <c r="S748" s="32">
        <f t="shared" si="169"/>
        <v>0</v>
      </c>
      <c r="T748" s="10"/>
      <c r="U748" s="10"/>
      <c r="V748" s="10"/>
      <c r="W748" s="12">
        <f t="shared" si="17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71"/>
        <v>0</v>
      </c>
      <c r="AF748" s="10"/>
      <c r="AG748" s="10"/>
      <c r="AH748" s="10"/>
      <c r="AI748" s="12">
        <f t="shared" si="17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3"/>
      <c r="D749" s="60"/>
      <c r="E749" s="60"/>
      <c r="F749" s="60"/>
      <c r="G749" s="60"/>
      <c r="H749" s="62"/>
      <c r="I749" s="62"/>
      <c r="J749" s="61"/>
      <c r="K749" s="61"/>
      <c r="M749" s="10">
        <v>23</v>
      </c>
      <c r="N749" s="30"/>
      <c r="O749" s="31"/>
      <c r="P749" s="47"/>
      <c r="Q749" s="45"/>
      <c r="S749" s="32">
        <f t="shared" si="169"/>
        <v>0</v>
      </c>
      <c r="T749" s="10"/>
      <c r="U749" s="10"/>
      <c r="V749" s="10"/>
      <c r="W749" s="12">
        <f t="shared" si="170"/>
        <v>0</v>
      </c>
      <c r="Y749" s="10">
        <v>23</v>
      </c>
      <c r="Z749" s="30"/>
      <c r="AA749" s="31"/>
      <c r="AB749" s="47"/>
      <c r="AC749" s="31"/>
      <c r="AE749" s="32">
        <f t="shared" si="171"/>
        <v>0</v>
      </c>
      <c r="AF749" s="10"/>
      <c r="AG749" s="10"/>
      <c r="AH749" s="10"/>
      <c r="AI749" s="12">
        <f t="shared" si="17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3"/>
      <c r="D750" s="60"/>
      <c r="E750" s="60"/>
      <c r="F750" s="60"/>
      <c r="G750" s="60"/>
      <c r="H750" s="62"/>
      <c r="I750" s="62"/>
      <c r="J750" s="62"/>
      <c r="K750" s="61"/>
      <c r="M750" s="10">
        <v>24</v>
      </c>
      <c r="N750" s="30"/>
      <c r="O750" s="31"/>
      <c r="P750" s="47"/>
      <c r="Q750" s="31"/>
      <c r="R750" s="31"/>
      <c r="S750" s="32">
        <f t="shared" si="169"/>
        <v>0</v>
      </c>
      <c r="T750" s="10"/>
      <c r="U750" s="10"/>
      <c r="V750" s="10"/>
      <c r="W750" s="12">
        <f t="shared" si="17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71"/>
        <v>0</v>
      </c>
      <c r="AF750" s="10"/>
      <c r="AG750" s="10"/>
      <c r="AH750" s="10"/>
      <c r="AI750" s="12">
        <f t="shared" si="17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3"/>
      <c r="D751" s="60"/>
      <c r="E751" s="60"/>
      <c r="F751" s="60"/>
      <c r="G751" s="60"/>
      <c r="H751" s="62"/>
      <c r="I751" s="62"/>
      <c r="J751" s="62"/>
      <c r="K751" s="61"/>
      <c r="M751" s="10">
        <v>25</v>
      </c>
      <c r="N751" s="30"/>
      <c r="O751" s="31"/>
      <c r="P751" s="47"/>
      <c r="Q751" s="31"/>
      <c r="R751" s="31"/>
      <c r="S751" s="32">
        <f t="shared" si="169"/>
        <v>0</v>
      </c>
      <c r="T751" s="10"/>
      <c r="U751" s="10"/>
      <c r="V751" s="10"/>
      <c r="W751" s="12">
        <f t="shared" si="17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71"/>
        <v>0</v>
      </c>
      <c r="AF751" s="10"/>
      <c r="AG751" s="10"/>
      <c r="AH751" s="10"/>
      <c r="AI751" s="12">
        <f t="shared" si="17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3"/>
      <c r="D752" s="60"/>
      <c r="E752" s="60"/>
      <c r="F752" s="60"/>
      <c r="G752" s="60"/>
      <c r="H752" s="62"/>
      <c r="I752" s="62"/>
      <c r="J752" s="62"/>
      <c r="K752" s="61"/>
      <c r="M752" s="10">
        <v>26</v>
      </c>
      <c r="N752" s="30"/>
      <c r="O752" s="31"/>
      <c r="P752" s="47"/>
      <c r="Q752" s="31"/>
      <c r="R752" s="31"/>
      <c r="S752" s="32">
        <f t="shared" si="169"/>
        <v>0</v>
      </c>
      <c r="T752" s="10"/>
      <c r="U752" s="10"/>
      <c r="V752" s="10"/>
      <c r="W752" s="12">
        <f t="shared" si="17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71"/>
        <v>0</v>
      </c>
      <c r="AF752" s="10"/>
      <c r="AG752" s="10"/>
      <c r="AH752" s="10"/>
      <c r="AI752" s="12">
        <f t="shared" si="17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3"/>
      <c r="D753" s="60"/>
      <c r="E753" s="60"/>
      <c r="F753" s="60"/>
      <c r="G753" s="60"/>
      <c r="H753" s="62"/>
      <c r="I753" s="62"/>
      <c r="J753" s="62"/>
      <c r="K753" s="61"/>
      <c r="M753" s="10">
        <v>27</v>
      </c>
      <c r="N753" s="30"/>
      <c r="O753" s="31"/>
      <c r="P753" s="47"/>
      <c r="Q753" s="31"/>
      <c r="R753" s="31"/>
      <c r="S753" s="32">
        <f t="shared" si="169"/>
        <v>0</v>
      </c>
      <c r="T753" s="10"/>
      <c r="U753" s="10"/>
      <c r="V753" s="10"/>
      <c r="W753" s="12">
        <f t="shared" si="17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71"/>
        <v>0</v>
      </c>
      <c r="AF753" s="10"/>
      <c r="AG753" s="10"/>
      <c r="AH753" s="10"/>
      <c r="AI753" s="12">
        <f t="shared" si="17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3"/>
      <c r="D754" s="60"/>
      <c r="E754" s="60"/>
      <c r="F754" s="60"/>
      <c r="G754" s="60"/>
      <c r="H754" s="62"/>
      <c r="I754" s="62"/>
      <c r="J754" s="62"/>
      <c r="K754" s="61"/>
      <c r="M754" s="10">
        <v>28</v>
      </c>
      <c r="N754" s="30"/>
      <c r="O754" s="31"/>
      <c r="P754" s="47"/>
      <c r="Q754" s="31"/>
      <c r="R754" s="31"/>
      <c r="S754" s="32">
        <f t="shared" si="169"/>
        <v>0</v>
      </c>
      <c r="T754" s="10"/>
      <c r="U754" s="10"/>
      <c r="V754" s="10"/>
      <c r="W754" s="12">
        <f t="shared" si="17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71"/>
        <v>0</v>
      </c>
      <c r="AF754" s="10"/>
      <c r="AG754" s="10"/>
      <c r="AH754" s="10"/>
      <c r="AI754" s="12">
        <f t="shared" si="17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3"/>
      <c r="D755" s="60"/>
      <c r="E755" s="60"/>
      <c r="F755" s="60"/>
      <c r="G755" s="60"/>
      <c r="H755" s="62"/>
      <c r="I755" s="62"/>
      <c r="J755" s="62"/>
      <c r="K755" s="61"/>
      <c r="M755" s="10">
        <v>29</v>
      </c>
      <c r="N755" s="30"/>
      <c r="O755" s="31"/>
      <c r="P755" s="47"/>
      <c r="Q755" s="31"/>
      <c r="R755" s="31"/>
      <c r="S755" s="32">
        <f t="shared" si="169"/>
        <v>0</v>
      </c>
      <c r="T755" s="10"/>
      <c r="U755" s="10"/>
      <c r="V755" s="10"/>
      <c r="W755" s="12">
        <f t="shared" si="17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71"/>
        <v>0</v>
      </c>
      <c r="AF755" s="10"/>
      <c r="AG755" s="10"/>
      <c r="AH755" s="10"/>
      <c r="AI755" s="12">
        <f t="shared" si="17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3"/>
      <c r="D756" s="60"/>
      <c r="E756" s="60"/>
      <c r="F756" s="60"/>
      <c r="G756" s="60"/>
      <c r="H756" s="62"/>
      <c r="I756" s="62"/>
      <c r="J756" s="62"/>
      <c r="K756" s="61"/>
      <c r="M756" s="10">
        <v>30</v>
      </c>
      <c r="N756" s="30"/>
      <c r="O756" s="31"/>
      <c r="P756" s="47"/>
      <c r="Q756" s="31"/>
      <c r="R756" s="31"/>
      <c r="S756" s="32">
        <f t="shared" si="169"/>
        <v>0</v>
      </c>
      <c r="T756" s="10"/>
      <c r="U756" s="10"/>
      <c r="V756" s="10"/>
      <c r="W756" s="12">
        <f t="shared" si="17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71"/>
        <v>0</v>
      </c>
      <c r="AF756" s="10"/>
      <c r="AG756" s="10"/>
      <c r="AH756" s="10"/>
      <c r="AI756" s="12">
        <f t="shared" si="17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M757" s="10">
        <v>31</v>
      </c>
      <c r="N757" s="30"/>
      <c r="O757" s="31"/>
      <c r="P757" s="47"/>
      <c r="Q757" s="31"/>
      <c r="R757" s="31"/>
      <c r="S757" s="32">
        <f t="shared" si="169"/>
        <v>0</v>
      </c>
      <c r="T757" s="10"/>
      <c r="U757" s="10"/>
      <c r="V757" s="10"/>
      <c r="W757" s="12">
        <f t="shared" si="17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71"/>
        <v>0</v>
      </c>
      <c r="AF757" s="10"/>
      <c r="AG757" s="10"/>
      <c r="AH757" s="10"/>
      <c r="AI757" s="12">
        <f t="shared" si="17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3"/>
      <c r="D758" s="60"/>
      <c r="E758" s="60"/>
      <c r="F758" s="60"/>
      <c r="G758" s="60"/>
      <c r="H758" s="62"/>
      <c r="I758" s="62"/>
      <c r="J758" s="62"/>
      <c r="K758" s="61"/>
      <c r="M758" s="10">
        <v>32</v>
      </c>
      <c r="N758" s="30"/>
      <c r="O758" s="31"/>
      <c r="P758" s="47"/>
      <c r="Q758" s="31"/>
      <c r="R758" s="31"/>
      <c r="S758" s="32">
        <f t="shared" si="169"/>
        <v>0</v>
      </c>
      <c r="T758" s="10"/>
      <c r="U758" s="10"/>
      <c r="V758" s="10"/>
      <c r="W758" s="12">
        <f t="shared" si="17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71"/>
        <v>0</v>
      </c>
      <c r="AF758" s="10"/>
      <c r="AG758" s="10"/>
      <c r="AH758" s="10"/>
      <c r="AI758" s="12">
        <f t="shared" si="17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3"/>
      <c r="D759" s="60"/>
      <c r="E759" s="60"/>
      <c r="F759" s="60"/>
      <c r="G759" s="60"/>
      <c r="H759" s="62"/>
      <c r="I759" s="62"/>
      <c r="J759" s="62"/>
      <c r="K759" s="61"/>
      <c r="M759" s="10">
        <v>33</v>
      </c>
      <c r="N759" s="30"/>
      <c r="O759" s="31"/>
      <c r="P759" s="47"/>
      <c r="Q759" s="31"/>
      <c r="R759" s="31"/>
      <c r="S759" s="32">
        <f t="shared" si="169"/>
        <v>0</v>
      </c>
      <c r="T759" s="10"/>
      <c r="U759" s="10"/>
      <c r="V759" s="10"/>
      <c r="W759" s="12">
        <f t="shared" si="17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71"/>
        <v>0</v>
      </c>
      <c r="AF759" s="10"/>
      <c r="AG759" s="10"/>
      <c r="AH759" s="10"/>
      <c r="AI759" s="12">
        <f t="shared" si="17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3"/>
      <c r="D760" s="60"/>
      <c r="E760" s="60"/>
      <c r="F760" s="60"/>
      <c r="G760" s="60"/>
      <c r="H760" s="62"/>
      <c r="I760" s="62"/>
      <c r="J760" s="62"/>
      <c r="K760" s="61"/>
      <c r="M760" s="10">
        <v>34</v>
      </c>
      <c r="N760" s="30"/>
      <c r="O760" s="31"/>
      <c r="P760" s="47"/>
      <c r="Q760" s="31"/>
      <c r="R760" s="31"/>
      <c r="S760" s="32">
        <f t="shared" si="169"/>
        <v>0</v>
      </c>
      <c r="T760" s="10"/>
      <c r="U760" s="10"/>
      <c r="V760" s="10"/>
      <c r="W760" s="12">
        <f t="shared" si="17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71"/>
        <v>0</v>
      </c>
      <c r="AF760" s="10"/>
      <c r="AG760" s="10"/>
      <c r="AH760" s="10"/>
      <c r="AI760" s="12">
        <f t="shared" si="17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3"/>
      <c r="D761" s="60"/>
      <c r="E761" s="60"/>
      <c r="F761" s="60"/>
      <c r="G761" s="60"/>
      <c r="H761" s="62"/>
      <c r="I761" s="62"/>
      <c r="J761" s="62"/>
      <c r="K761" s="61"/>
      <c r="M761" s="10">
        <v>35</v>
      </c>
      <c r="N761" s="30"/>
      <c r="O761" s="31"/>
      <c r="P761" s="47"/>
      <c r="Q761" s="31"/>
      <c r="R761" s="31"/>
      <c r="S761" s="32">
        <f t="shared" si="169"/>
        <v>0</v>
      </c>
      <c r="T761" s="10"/>
      <c r="U761" s="10"/>
      <c r="V761" s="10"/>
      <c r="W761" s="12">
        <f t="shared" si="17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71"/>
        <v>0</v>
      </c>
      <c r="AF761" s="10"/>
      <c r="AG761" s="10"/>
      <c r="AH761" s="10"/>
      <c r="AI761" s="12">
        <f t="shared" si="17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3"/>
      <c r="D762" s="60"/>
      <c r="E762" s="60"/>
      <c r="F762" s="60"/>
      <c r="G762" s="60"/>
      <c r="H762" s="62"/>
      <c r="I762" s="62"/>
      <c r="J762" s="62"/>
      <c r="K762" s="61"/>
      <c r="M762" s="10">
        <v>36</v>
      </c>
      <c r="N762" s="30"/>
      <c r="O762" s="31"/>
      <c r="P762" s="47"/>
      <c r="Q762" s="31"/>
      <c r="R762" s="31"/>
      <c r="S762" s="32">
        <f t="shared" si="169"/>
        <v>0</v>
      </c>
      <c r="T762" s="10"/>
      <c r="U762" s="10"/>
      <c r="V762" s="10"/>
      <c r="W762" s="12">
        <f t="shared" si="17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71"/>
        <v>0</v>
      </c>
      <c r="AF762" s="10"/>
      <c r="AG762" s="10"/>
      <c r="AH762" s="10"/>
      <c r="AI762" s="12">
        <f t="shared" si="17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M763" s="10">
        <v>37</v>
      </c>
      <c r="N763" s="30"/>
      <c r="P763" s="47"/>
      <c r="Q763" s="31"/>
      <c r="R763" s="31"/>
      <c r="S763" s="32">
        <f t="shared" si="169"/>
        <v>0</v>
      </c>
      <c r="T763" s="10"/>
      <c r="U763" s="10"/>
      <c r="V763" s="10"/>
      <c r="W763" s="12">
        <f t="shared" si="17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71"/>
        <v>0</v>
      </c>
      <c r="AF763" s="10"/>
      <c r="AG763" s="10"/>
      <c r="AH763" s="10"/>
      <c r="AI763" s="12">
        <f t="shared" si="17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M764" s="10">
        <v>38</v>
      </c>
      <c r="N764" s="30"/>
      <c r="O764" s="31"/>
      <c r="P764" s="47"/>
      <c r="Q764" s="31"/>
      <c r="R764" s="31"/>
      <c r="S764" s="32">
        <f t="shared" si="169"/>
        <v>0</v>
      </c>
      <c r="T764" s="10"/>
      <c r="U764" s="10"/>
      <c r="V764" s="10"/>
      <c r="W764" s="12">
        <f t="shared" si="17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71"/>
        <v>0</v>
      </c>
      <c r="AF764" s="10"/>
      <c r="AG764" s="10"/>
      <c r="AH764" s="10"/>
      <c r="AI764" s="12">
        <f t="shared" si="17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M765" s="10">
        <v>39</v>
      </c>
      <c r="N765" s="30"/>
      <c r="O765" s="31"/>
      <c r="P765" s="47"/>
      <c r="Q765" s="31"/>
      <c r="R765" s="31"/>
      <c r="S765" s="32">
        <f t="shared" si="169"/>
        <v>0</v>
      </c>
      <c r="T765" s="10"/>
      <c r="U765" s="10"/>
      <c r="V765" s="10"/>
      <c r="W765" s="12">
        <f t="shared" si="17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71"/>
        <v>0</v>
      </c>
      <c r="AF765" s="10"/>
      <c r="AG765" s="10"/>
      <c r="AH765" s="10"/>
      <c r="AI765" s="12">
        <f t="shared" si="17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7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7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M767" s="10"/>
      <c r="N767" s="30"/>
      <c r="O767" s="31"/>
      <c r="P767" s="47"/>
      <c r="Q767" s="31"/>
      <c r="R767" s="31"/>
      <c r="S767" s="32">
        <f t="shared" ref="S767" si="175">SUM(P767:Q767)</f>
        <v>0</v>
      </c>
      <c r="T767" s="10"/>
      <c r="U767" s="10"/>
      <c r="V767" s="10"/>
      <c r="W767" s="12">
        <f t="shared" si="170"/>
        <v>0</v>
      </c>
      <c r="Y767" s="10"/>
      <c r="Z767" s="30"/>
      <c r="AA767" s="31"/>
      <c r="AB767" s="47"/>
      <c r="AC767" s="31"/>
      <c r="AD767" s="31"/>
      <c r="AE767" s="32">
        <f t="shared" ref="AE767" si="176">SUM(AB767:AC767)</f>
        <v>0</v>
      </c>
      <c r="AF767" s="10"/>
      <c r="AG767" s="10"/>
      <c r="AH767" s="10"/>
      <c r="AI767" s="12">
        <f t="shared" si="17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7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7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N770" s="57"/>
      <c r="O770" s="57"/>
      <c r="P770" s="38">
        <f>SUM(P727:P769)</f>
        <v>418456</v>
      </c>
      <c r="Q770" s="38">
        <f>SUM(Q727:Q751)</f>
        <v>-3666</v>
      </c>
      <c r="R770" s="38">
        <f>SUM(R727:R751)</f>
        <v>0</v>
      </c>
      <c r="S770" s="38">
        <f>SUM(S727:S769)</f>
        <v>414790</v>
      </c>
      <c r="T770" s="4"/>
      <c r="U770" s="41">
        <f>SUM(U727:U769)</f>
        <v>5841</v>
      </c>
      <c r="V770" s="41">
        <f>SUM(V727:V751)</f>
        <v>-3354</v>
      </c>
      <c r="W770" s="42">
        <f>SUM(W727:W769)</f>
        <v>417277</v>
      </c>
      <c r="Z770" s="57"/>
      <c r="AA770" s="57"/>
      <c r="AB770" s="38">
        <f>SUM(AB727:AB769)</f>
        <v>463354</v>
      </c>
      <c r="AC770" s="38">
        <f>SUM(AC727:AC751)</f>
        <v>-2784</v>
      </c>
      <c r="AD770" s="38">
        <f>SUM(AD727:AD751)</f>
        <v>0</v>
      </c>
      <c r="AE770" s="38">
        <f>SUM(AE727:AE769)</f>
        <v>460570</v>
      </c>
      <c r="AF770" s="4"/>
      <c r="AG770" s="41">
        <f>SUM(AG727:AG769)</f>
        <v>1563</v>
      </c>
      <c r="AH770" s="41">
        <f>SUM(AH727:AH751)</f>
        <v>-444</v>
      </c>
      <c r="AI770" s="42">
        <f>SUM(AI727:AI769)</f>
        <v>461689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0</v>
      </c>
      <c r="B773" s="57"/>
      <c r="C773" s="57"/>
      <c r="D773" s="57"/>
      <c r="E773" s="57"/>
      <c r="G773" s="57"/>
      <c r="M773" t="s">
        <v>0</v>
      </c>
      <c r="N773" s="57"/>
      <c r="O773" s="57"/>
      <c r="P773" s="57"/>
      <c r="Q773" s="57"/>
      <c r="R773" s="57"/>
      <c r="S773" s="57"/>
      <c r="Y773" t="s">
        <v>0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t="s">
        <v>28</v>
      </c>
      <c r="B774" s="57"/>
      <c r="C774" s="57"/>
      <c r="D774" s="57"/>
      <c r="E774" s="57"/>
      <c r="G774" s="57"/>
      <c r="M774" t="s">
        <v>28</v>
      </c>
      <c r="N774" s="57"/>
      <c r="O774" s="57"/>
      <c r="P774" s="57"/>
      <c r="Q774" s="57"/>
      <c r="R774" s="57"/>
      <c r="S774" s="57"/>
      <c r="Y774" t="s">
        <v>28</v>
      </c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B775" s="57"/>
      <c r="C775" s="57"/>
      <c r="D775" s="57"/>
      <c r="E775" s="57"/>
      <c r="G775" s="57"/>
      <c r="N775" s="57"/>
      <c r="O775" s="57"/>
      <c r="P775" s="57"/>
      <c r="Q775" s="57"/>
      <c r="R775" s="57"/>
      <c r="S775" s="57"/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4" t="s">
        <v>14</v>
      </c>
      <c r="B776" s="57"/>
      <c r="C776" s="57"/>
      <c r="D776" s="57"/>
      <c r="E776" s="57"/>
      <c r="G776" s="57"/>
      <c r="M776" s="4" t="s">
        <v>14</v>
      </c>
      <c r="N776" s="57"/>
      <c r="O776" s="57"/>
      <c r="P776" s="57"/>
      <c r="Q776" s="57"/>
      <c r="R776" s="57"/>
      <c r="S776" s="57"/>
      <c r="Y776" s="4" t="s">
        <v>14</v>
      </c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B777" s="57"/>
      <c r="C777" s="57"/>
      <c r="D777" s="57"/>
      <c r="E777" s="57"/>
      <c r="G777" s="57"/>
      <c r="N777" s="57"/>
      <c r="O777" s="57"/>
      <c r="P777" s="57"/>
      <c r="Q777" s="57"/>
      <c r="R777" s="57"/>
      <c r="S777" s="57"/>
      <c r="Z777" s="57"/>
      <c r="AA777" s="57"/>
      <c r="AB777" s="57"/>
      <c r="AC777" s="57"/>
      <c r="AD777" s="57"/>
      <c r="AE777" s="57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t="s">
        <v>48</v>
      </c>
      <c r="B778" s="57"/>
      <c r="C778" s="57"/>
      <c r="D778" s="57"/>
      <c r="E778" s="57"/>
      <c r="G778" s="57"/>
      <c r="I778" s="57" t="s">
        <v>15</v>
      </c>
      <c r="J778" s="19">
        <v>1</v>
      </c>
      <c r="M778" t="s">
        <v>48</v>
      </c>
      <c r="N778" s="57"/>
      <c r="O778" s="57"/>
      <c r="P778" s="57"/>
      <c r="Q778" s="57"/>
      <c r="R778" s="57"/>
      <c r="S778" s="57"/>
      <c r="U778" s="57" t="s">
        <v>15</v>
      </c>
      <c r="V778" s="19">
        <v>2</v>
      </c>
      <c r="Y778" t="s">
        <v>48</v>
      </c>
      <c r="Z778" s="57"/>
      <c r="AA778" s="57"/>
      <c r="AB778" s="57"/>
      <c r="AC778" s="57"/>
      <c r="AD778" s="57"/>
      <c r="AE778" s="57"/>
      <c r="AG778" s="57" t="s">
        <v>15</v>
      </c>
      <c r="AH778" s="20">
        <v>3</v>
      </c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21" t="s">
        <v>78</v>
      </c>
      <c r="B779" s="20"/>
      <c r="C779" s="57"/>
      <c r="D779" s="57"/>
      <c r="E779" s="57"/>
      <c r="G779" s="57"/>
      <c r="I779" s="22" t="s">
        <v>16</v>
      </c>
      <c r="J779" s="23" t="s">
        <v>31</v>
      </c>
      <c r="K779" s="24"/>
      <c r="M779" s="21" t="s">
        <v>78</v>
      </c>
      <c r="N779" s="20"/>
      <c r="O779" s="57"/>
      <c r="P779" s="57"/>
      <c r="Q779" s="57"/>
      <c r="R779" s="57"/>
      <c r="S779" s="57"/>
      <c r="U779" s="22" t="s">
        <v>16</v>
      </c>
      <c r="V779" s="23" t="s">
        <v>33</v>
      </c>
      <c r="W779" s="24"/>
      <c r="Y779" s="21" t="s">
        <v>78</v>
      </c>
      <c r="Z779" s="20"/>
      <c r="AA779" s="57"/>
      <c r="AB779" s="57"/>
      <c r="AC779" s="57"/>
      <c r="AD779" s="57"/>
      <c r="AE779" s="57"/>
      <c r="AG779" s="22" t="s">
        <v>16</v>
      </c>
      <c r="AH779" s="23" t="s">
        <v>34</v>
      </c>
      <c r="AI779" s="24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57"/>
      <c r="C780" s="57"/>
      <c r="D780" s="57"/>
      <c r="E780" s="57"/>
      <c r="G780" s="57"/>
      <c r="N780" s="57"/>
      <c r="O780" s="57"/>
      <c r="P780" s="57"/>
      <c r="Q780" s="57"/>
      <c r="R780" s="57"/>
      <c r="S780" s="57"/>
      <c r="Z780" s="57"/>
      <c r="AA780" s="57"/>
      <c r="AB780" s="57"/>
      <c r="AC780" s="57"/>
      <c r="AD780" s="57"/>
      <c r="AE780" s="57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B781" s="25"/>
      <c r="C781" s="26"/>
      <c r="D781" s="128" t="s">
        <v>17</v>
      </c>
      <c r="E781" s="128"/>
      <c r="F781" s="101"/>
      <c r="G781" s="27"/>
      <c r="I781" s="129" t="s">
        <v>18</v>
      </c>
      <c r="J781" s="130"/>
      <c r="K781" s="122" t="s">
        <v>19</v>
      </c>
      <c r="N781" s="25"/>
      <c r="O781" s="26"/>
      <c r="P781" s="128" t="s">
        <v>17</v>
      </c>
      <c r="Q781" s="128"/>
      <c r="R781" s="101"/>
      <c r="S781" s="27"/>
      <c r="U781" s="129" t="s">
        <v>18</v>
      </c>
      <c r="V781" s="130"/>
      <c r="W781" s="122" t="s">
        <v>19</v>
      </c>
      <c r="Z781" s="25"/>
      <c r="AA781" s="26"/>
      <c r="AB781" s="128" t="s">
        <v>17</v>
      </c>
      <c r="AC781" s="128"/>
      <c r="AD781" s="101"/>
      <c r="AE781" s="27"/>
      <c r="AG781" s="129" t="s">
        <v>18</v>
      </c>
      <c r="AH781" s="130"/>
      <c r="AI781" s="122" t="s">
        <v>19</v>
      </c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ht="30" x14ac:dyDescent="0.25">
      <c r="B782" s="28" t="s">
        <v>20</v>
      </c>
      <c r="C782" s="28" t="s">
        <v>21</v>
      </c>
      <c r="D782" s="77" t="s">
        <v>22</v>
      </c>
      <c r="E782" s="76" t="s">
        <v>23</v>
      </c>
      <c r="F782" s="78" t="s">
        <v>32</v>
      </c>
      <c r="G782" s="78" t="s">
        <v>24</v>
      </c>
      <c r="I782" s="29" t="s">
        <v>25</v>
      </c>
      <c r="J782" s="29" t="s">
        <v>26</v>
      </c>
      <c r="K782" s="127"/>
      <c r="N782" s="28" t="s">
        <v>20</v>
      </c>
      <c r="O782" s="28" t="s">
        <v>21</v>
      </c>
      <c r="P782" s="77" t="s">
        <v>22</v>
      </c>
      <c r="Q782" s="78" t="s">
        <v>23</v>
      </c>
      <c r="R782" s="78" t="s">
        <v>32</v>
      </c>
      <c r="S782" s="78" t="s">
        <v>24</v>
      </c>
      <c r="U782" s="29" t="s">
        <v>25</v>
      </c>
      <c r="V782" s="29" t="s">
        <v>26</v>
      </c>
      <c r="W782" s="127"/>
      <c r="Z782" s="28" t="s">
        <v>20</v>
      </c>
      <c r="AA782" s="28" t="s">
        <v>21</v>
      </c>
      <c r="AB782" s="77" t="s">
        <v>22</v>
      </c>
      <c r="AC782" s="78" t="s">
        <v>23</v>
      </c>
      <c r="AD782" s="78" t="s">
        <v>32</v>
      </c>
      <c r="AE782" s="78" t="s">
        <v>24</v>
      </c>
      <c r="AG782" s="29" t="s">
        <v>25</v>
      </c>
      <c r="AH782" s="29" t="s">
        <v>26</v>
      </c>
      <c r="AI782" s="127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1</v>
      </c>
      <c r="B783" s="30" t="s">
        <v>79</v>
      </c>
      <c r="C783" s="82">
        <v>10655</v>
      </c>
      <c r="D783" s="32">
        <f>650*52+670*2+622*5</f>
        <v>38250</v>
      </c>
      <c r="E783" s="32"/>
      <c r="F783" s="32"/>
      <c r="G783" s="32">
        <f t="shared" ref="G783:G816" si="177">SUM(D783:E783)</f>
        <v>38250</v>
      </c>
      <c r="H783" s="12"/>
      <c r="I783" s="12">
        <f>4.5*10</f>
        <v>45</v>
      </c>
      <c r="J783" s="12"/>
      <c r="K783" s="12">
        <f t="shared" ref="K783:K816" si="178">SUM(G783:J783)</f>
        <v>38295</v>
      </c>
      <c r="M783" s="10">
        <v>1</v>
      </c>
      <c r="N783" s="30" t="s">
        <v>79</v>
      </c>
      <c r="O783" s="31">
        <v>10561</v>
      </c>
      <c r="P783" s="32">
        <f>650*15</f>
        <v>9750</v>
      </c>
      <c r="Q783" s="32"/>
      <c r="R783" s="32"/>
      <c r="S783" s="32">
        <f>SUM(P783:Q783)</f>
        <v>9750</v>
      </c>
      <c r="T783" s="12"/>
      <c r="U783" s="12"/>
      <c r="V783" s="12"/>
      <c r="W783" s="12">
        <f>SUM(S783:V783)</f>
        <v>9750</v>
      </c>
      <c r="Y783" s="10">
        <v>1</v>
      </c>
      <c r="Z783" s="30" t="s">
        <v>79</v>
      </c>
      <c r="AA783" s="31">
        <v>10618</v>
      </c>
      <c r="AB783" s="32">
        <f>650*394+670*8+622*50+912*3+1050*15+872*15+229*18</f>
        <v>328248</v>
      </c>
      <c r="AC783" s="32">
        <f>-485*6</f>
        <v>-2910</v>
      </c>
      <c r="AD783" s="32"/>
      <c r="AE783" s="32">
        <f>SUM(AB783:AC783)</f>
        <v>325338</v>
      </c>
      <c r="AF783" s="12"/>
      <c r="AG783" s="12">
        <f>120*9+111*37</f>
        <v>5187</v>
      </c>
      <c r="AH783" s="12">
        <f>-84*12+-60</f>
        <v>-1068</v>
      </c>
      <c r="AI783" s="12">
        <f>SUM(AE783:AH783)</f>
        <v>329457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2</v>
      </c>
      <c r="B784" s="30" t="s">
        <v>79</v>
      </c>
      <c r="C784" s="82">
        <f>C783+1</f>
        <v>10656</v>
      </c>
      <c r="D784" s="32">
        <f>650*25+670*2</f>
        <v>17590</v>
      </c>
      <c r="E784" s="32"/>
      <c r="F784" s="32"/>
      <c r="G784" s="32">
        <f t="shared" si="177"/>
        <v>17590</v>
      </c>
      <c r="H784" s="12"/>
      <c r="I784" s="12">
        <f>4.5*162</f>
        <v>729</v>
      </c>
      <c r="J784" s="12"/>
      <c r="K784" s="12">
        <f t="shared" si="178"/>
        <v>18319</v>
      </c>
      <c r="M784" s="10">
        <v>2</v>
      </c>
      <c r="N784" s="30" t="s">
        <v>79</v>
      </c>
      <c r="O784" s="31">
        <f>O783+1</f>
        <v>10562</v>
      </c>
      <c r="P784" s="32">
        <f>650*23+622*5+9.5*28</f>
        <v>18326</v>
      </c>
      <c r="Q784" s="32"/>
      <c r="R784" s="32"/>
      <c r="S784" s="32">
        <f t="shared" ref="S784:S821" si="179">SUM(P784:Q784)</f>
        <v>18326</v>
      </c>
      <c r="T784" s="12"/>
      <c r="U784" s="12"/>
      <c r="V784" s="12">
        <f>-111*2</f>
        <v>-222</v>
      </c>
      <c r="W784" s="12">
        <f t="shared" ref="W784:W824" si="180">SUM(S784:V784)</f>
        <v>18104</v>
      </c>
      <c r="Y784" s="10">
        <v>2</v>
      </c>
      <c r="Z784" s="30" t="s">
        <v>79</v>
      </c>
      <c r="AA784" s="31">
        <f>AA783+1</f>
        <v>10619</v>
      </c>
      <c r="AB784" s="32">
        <f>650*62+670*2+872+229*5</f>
        <v>43657</v>
      </c>
      <c r="AC784" s="32">
        <f>-65*6</f>
        <v>-390</v>
      </c>
      <c r="AD784" s="32"/>
      <c r="AE784" s="32">
        <f t="shared" ref="AE784:AE821" si="181">SUM(AB784:AC784)</f>
        <v>43267</v>
      </c>
      <c r="AF784" s="12"/>
      <c r="AG784" s="12"/>
      <c r="AH784" s="12"/>
      <c r="AI784" s="12">
        <f t="shared" ref="AI784:AI824" si="182">SUM(AE784:AH784)</f>
        <v>43267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3</v>
      </c>
      <c r="B785" s="30" t="s">
        <v>79</v>
      </c>
      <c r="C785" s="82">
        <f>10657</f>
        <v>10657</v>
      </c>
      <c r="D785" s="33">
        <f>650*20+670*3+622*3+229</f>
        <v>17105</v>
      </c>
      <c r="E785" s="33"/>
      <c r="F785" s="33"/>
      <c r="G785" s="33">
        <f t="shared" si="177"/>
        <v>17105</v>
      </c>
      <c r="H785" s="34"/>
      <c r="I785" s="34">
        <f>4.5*52</f>
        <v>234</v>
      </c>
      <c r="J785" s="34"/>
      <c r="K785" s="34">
        <f t="shared" si="178"/>
        <v>17339</v>
      </c>
      <c r="M785" s="10">
        <v>3</v>
      </c>
      <c r="N785" s="30" t="s">
        <v>79</v>
      </c>
      <c r="O785" s="31">
        <f t="shared" ref="O785:O790" si="183">O784+1</f>
        <v>10563</v>
      </c>
      <c r="P785" s="32">
        <f>650*2+9.5*2</f>
        <v>1319</v>
      </c>
      <c r="Q785" s="32"/>
      <c r="R785" s="32"/>
      <c r="S785" s="32">
        <f t="shared" si="179"/>
        <v>1319</v>
      </c>
      <c r="T785" s="12"/>
      <c r="U785" s="12"/>
      <c r="V785" s="12"/>
      <c r="W785" s="12">
        <f t="shared" si="180"/>
        <v>1319</v>
      </c>
      <c r="Y785" s="10">
        <v>3</v>
      </c>
      <c r="Z785" s="30" t="s">
        <v>80</v>
      </c>
      <c r="AA785" s="31">
        <f t="shared" ref="AA785:AA786" si="184">AA784+1</f>
        <v>10620</v>
      </c>
      <c r="AB785" s="33">
        <f>650*45+973*2+622*2+912*2+872*2+229*2+500*2</f>
        <v>37466</v>
      </c>
      <c r="AC785" s="33"/>
      <c r="AD785" s="32"/>
      <c r="AE785" s="32">
        <f t="shared" si="181"/>
        <v>37466</v>
      </c>
      <c r="AF785" s="12"/>
      <c r="AG785" s="12"/>
      <c r="AH785" s="12"/>
      <c r="AI785" s="12">
        <f t="shared" si="182"/>
        <v>37466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4</v>
      </c>
      <c r="B786" s="30" t="s">
        <v>79</v>
      </c>
      <c r="C786" s="3">
        <v>10658</v>
      </c>
      <c r="D786" s="32">
        <f>650*324+622*108+912*10+1050*5+872*10+229*18</f>
        <v>304988</v>
      </c>
      <c r="E786" s="32">
        <f>-457*6</f>
        <v>-2742</v>
      </c>
      <c r="F786" s="32"/>
      <c r="G786" s="32">
        <f t="shared" si="177"/>
        <v>302246</v>
      </c>
      <c r="H786" s="12"/>
      <c r="I786" s="12">
        <f>120*7+111*7+78*14</f>
        <v>2709</v>
      </c>
      <c r="J786" s="12">
        <f>-42*27</f>
        <v>-1134</v>
      </c>
      <c r="K786" s="12">
        <f t="shared" si="178"/>
        <v>303821</v>
      </c>
      <c r="M786" s="10">
        <v>4</v>
      </c>
      <c r="N786" s="30" t="s">
        <v>79</v>
      </c>
      <c r="O786" s="31">
        <f t="shared" si="183"/>
        <v>10564</v>
      </c>
      <c r="P786" s="32">
        <f>650*6+9.5*6</f>
        <v>3957</v>
      </c>
      <c r="Q786" s="32"/>
      <c r="R786" s="32"/>
      <c r="S786" s="32">
        <f t="shared" si="179"/>
        <v>3957</v>
      </c>
      <c r="T786" s="12"/>
      <c r="U786" s="12"/>
      <c r="V786" s="12">
        <f>-111*10</f>
        <v>-1110</v>
      </c>
      <c r="W786" s="12">
        <f t="shared" si="180"/>
        <v>2847</v>
      </c>
      <c r="Y786" s="10">
        <v>4</v>
      </c>
      <c r="Z786" s="30" t="s">
        <v>81</v>
      </c>
      <c r="AA786" s="31">
        <f t="shared" si="184"/>
        <v>10621</v>
      </c>
      <c r="AB786" s="32">
        <f>650*50+622*10+229</f>
        <v>38949</v>
      </c>
      <c r="AC786" s="32">
        <f>-60*6</f>
        <v>-360</v>
      </c>
      <c r="AD786" s="32"/>
      <c r="AE786" s="32">
        <f t="shared" si="181"/>
        <v>38589</v>
      </c>
      <c r="AF786" s="12"/>
      <c r="AH786" s="12">
        <f>-111*5</f>
        <v>-555</v>
      </c>
      <c r="AI786" s="12">
        <f t="shared" si="182"/>
        <v>38034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5</v>
      </c>
      <c r="B787" s="30"/>
      <c r="C787" s="11" t="s">
        <v>27</v>
      </c>
      <c r="D787" s="32"/>
      <c r="E787" s="32"/>
      <c r="F787" s="32"/>
      <c r="G787" s="32">
        <f t="shared" si="177"/>
        <v>0</v>
      </c>
      <c r="H787" s="12"/>
      <c r="I787" s="12"/>
      <c r="J787" s="12"/>
      <c r="K787" s="12">
        <f t="shared" si="178"/>
        <v>0</v>
      </c>
      <c r="M787" s="10">
        <v>5</v>
      </c>
      <c r="N787" s="30" t="s">
        <v>79</v>
      </c>
      <c r="O787" s="31">
        <f t="shared" si="183"/>
        <v>10565</v>
      </c>
      <c r="P787" s="32">
        <f>650*108+670*5+622*17+229*2</f>
        <v>84582</v>
      </c>
      <c r="Q787" s="32">
        <f>-130*6</f>
        <v>-780</v>
      </c>
      <c r="R787" s="32"/>
      <c r="S787" s="32">
        <f t="shared" si="179"/>
        <v>83802</v>
      </c>
      <c r="T787" s="12"/>
      <c r="U787" s="12">
        <f>24*1.5</f>
        <v>36</v>
      </c>
      <c r="V787" s="12"/>
      <c r="W787" s="12">
        <f t="shared" si="180"/>
        <v>83838</v>
      </c>
      <c r="Y787" s="10">
        <v>5</v>
      </c>
      <c r="Z787" s="30"/>
      <c r="AA787" s="11" t="s">
        <v>27</v>
      </c>
      <c r="AB787" s="32"/>
      <c r="AC787" s="32"/>
      <c r="AD787" s="32"/>
      <c r="AE787" s="32">
        <f t="shared" si="181"/>
        <v>0</v>
      </c>
      <c r="AF787" s="12"/>
      <c r="AG787" s="12"/>
      <c r="AH787" s="12"/>
      <c r="AI787" s="12">
        <f t="shared" si="182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6</v>
      </c>
      <c r="B788" s="30"/>
      <c r="C788" s="82"/>
      <c r="D788" s="32"/>
      <c r="E788" s="32"/>
      <c r="F788" s="32"/>
      <c r="G788" s="32">
        <f t="shared" si="177"/>
        <v>0</v>
      </c>
      <c r="H788" s="12"/>
      <c r="I788" s="12"/>
      <c r="J788" s="12"/>
      <c r="K788" s="12">
        <f t="shared" si="178"/>
        <v>0</v>
      </c>
      <c r="M788" s="10">
        <v>6</v>
      </c>
      <c r="N788" s="30" t="s">
        <v>79</v>
      </c>
      <c r="O788" s="31">
        <f t="shared" si="183"/>
        <v>10566</v>
      </c>
      <c r="P788" s="32">
        <f>216*650+229*6</f>
        <v>141774</v>
      </c>
      <c r="Q788" s="32">
        <f>-216*6</f>
        <v>-1296</v>
      </c>
      <c r="R788" s="32"/>
      <c r="S788" s="32">
        <f t="shared" si="179"/>
        <v>140478</v>
      </c>
      <c r="T788" s="12"/>
      <c r="U788" s="12">
        <f>144*1.5</f>
        <v>216</v>
      </c>
      <c r="V788" s="10"/>
      <c r="W788" s="12">
        <f t="shared" si="180"/>
        <v>140694</v>
      </c>
      <c r="Y788" s="10">
        <v>6</v>
      </c>
      <c r="Z788" s="30"/>
      <c r="AB788" s="32"/>
      <c r="AC788" s="32"/>
      <c r="AD788" s="32"/>
      <c r="AE788" s="32">
        <f t="shared" si="181"/>
        <v>0</v>
      </c>
      <c r="AF788" s="12"/>
      <c r="AG788" s="12"/>
      <c r="AH788" s="10"/>
      <c r="AI788" s="12">
        <f t="shared" si="182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7</v>
      </c>
      <c r="B789" s="30"/>
      <c r="C789" s="57"/>
      <c r="D789" s="32"/>
      <c r="E789" s="32"/>
      <c r="F789" s="32"/>
      <c r="G789" s="32">
        <f t="shared" si="177"/>
        <v>0</v>
      </c>
      <c r="H789" s="12"/>
      <c r="I789" s="12"/>
      <c r="J789" s="12"/>
      <c r="K789" s="12">
        <f t="shared" si="178"/>
        <v>0</v>
      </c>
      <c r="M789" s="10">
        <v>7</v>
      </c>
      <c r="N789" s="30" t="s">
        <v>79</v>
      </c>
      <c r="O789" s="31">
        <f t="shared" si="183"/>
        <v>10567</v>
      </c>
      <c r="P789" s="32">
        <f>622*20</f>
        <v>12440</v>
      </c>
      <c r="Q789" s="32"/>
      <c r="R789" s="32"/>
      <c r="S789" s="32">
        <f t="shared" si="179"/>
        <v>12440</v>
      </c>
      <c r="T789" s="12"/>
      <c r="U789" s="12"/>
      <c r="V789" s="12"/>
      <c r="W789" s="12">
        <f t="shared" si="180"/>
        <v>12440</v>
      </c>
      <c r="Y789" s="10">
        <v>7</v>
      </c>
      <c r="Z789" s="30"/>
      <c r="AA789" s="31"/>
      <c r="AB789" s="32"/>
      <c r="AC789" s="32"/>
      <c r="AD789" s="32"/>
      <c r="AE789" s="32">
        <f t="shared" si="181"/>
        <v>0</v>
      </c>
      <c r="AF789" s="12"/>
      <c r="AG789" s="58"/>
      <c r="AH789" s="12"/>
      <c r="AI789" s="12">
        <f t="shared" si="182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8</v>
      </c>
      <c r="B790" s="30"/>
      <c r="C790" s="82"/>
      <c r="D790" s="32"/>
      <c r="E790" s="32"/>
      <c r="F790" s="32"/>
      <c r="G790" s="32">
        <f t="shared" si="177"/>
        <v>0</v>
      </c>
      <c r="H790" s="12"/>
      <c r="I790" s="12"/>
      <c r="J790" s="12"/>
      <c r="K790" s="12">
        <f t="shared" si="178"/>
        <v>0</v>
      </c>
      <c r="M790" s="10">
        <v>8</v>
      </c>
      <c r="N790" s="30" t="s">
        <v>79</v>
      </c>
      <c r="O790" s="31">
        <f t="shared" si="183"/>
        <v>10568</v>
      </c>
      <c r="P790" s="32">
        <v>973</v>
      </c>
      <c r="Q790" s="32"/>
      <c r="R790" s="32"/>
      <c r="S790" s="32">
        <f t="shared" si="179"/>
        <v>973</v>
      </c>
      <c r="T790" s="12"/>
      <c r="U790" s="12"/>
      <c r="V790" s="12"/>
      <c r="W790" s="12">
        <f t="shared" si="180"/>
        <v>973</v>
      </c>
      <c r="Y790" s="10">
        <v>8</v>
      </c>
      <c r="Z790" s="30"/>
      <c r="AB790" s="32"/>
      <c r="AC790" s="32"/>
      <c r="AE790" s="32">
        <f t="shared" si="181"/>
        <v>0</v>
      </c>
      <c r="AF790" s="12"/>
      <c r="AG790" s="12"/>
      <c r="AH790" s="12"/>
      <c r="AI790" s="12">
        <f t="shared" si="182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9</v>
      </c>
      <c r="B791" s="30"/>
      <c r="C791" s="82"/>
      <c r="D791" s="32"/>
      <c r="E791" s="32"/>
      <c r="F791" s="32"/>
      <c r="G791" s="32">
        <f t="shared" si="177"/>
        <v>0</v>
      </c>
      <c r="H791" s="12"/>
      <c r="I791" s="12"/>
      <c r="J791" s="12"/>
      <c r="K791" s="12">
        <f t="shared" si="178"/>
        <v>0</v>
      </c>
      <c r="M791" s="10">
        <v>9</v>
      </c>
      <c r="N791" s="30"/>
      <c r="O791" s="11" t="s">
        <v>27</v>
      </c>
      <c r="P791" s="32"/>
      <c r="Q791" s="32"/>
      <c r="R791" s="32"/>
      <c r="S791" s="32">
        <f t="shared" si="179"/>
        <v>0</v>
      </c>
      <c r="T791" s="12"/>
      <c r="U791" s="12"/>
      <c r="V791" s="12"/>
      <c r="W791" s="12">
        <f t="shared" si="180"/>
        <v>0</v>
      </c>
      <c r="Y791" s="10">
        <v>9</v>
      </c>
      <c r="Z791" s="30"/>
      <c r="AB791" s="32"/>
      <c r="AC791" s="32"/>
      <c r="AD791" s="32"/>
      <c r="AE791" s="32">
        <f t="shared" si="181"/>
        <v>0</v>
      </c>
      <c r="AF791" s="12"/>
      <c r="AG791" s="12"/>
      <c r="AH791" s="12"/>
      <c r="AI791" s="12">
        <f t="shared" si="182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10</v>
      </c>
      <c r="B792" s="30"/>
      <c r="D792" s="32"/>
      <c r="E792" s="32"/>
      <c r="F792" s="32"/>
      <c r="G792" s="32">
        <f t="shared" si="177"/>
        <v>0</v>
      </c>
      <c r="H792" s="12"/>
      <c r="I792" s="12"/>
      <c r="J792" s="12"/>
      <c r="K792" s="12">
        <f t="shared" si="178"/>
        <v>0</v>
      </c>
      <c r="M792" s="10">
        <v>10</v>
      </c>
      <c r="N792" s="30"/>
      <c r="P792" s="32"/>
      <c r="Q792" s="32"/>
      <c r="R792" s="32"/>
      <c r="S792" s="32">
        <f t="shared" si="179"/>
        <v>0</v>
      </c>
      <c r="T792" s="12"/>
      <c r="U792" s="12"/>
      <c r="V792" s="12"/>
      <c r="W792" s="12">
        <f t="shared" si="180"/>
        <v>0</v>
      </c>
      <c r="Y792" s="10">
        <v>10</v>
      </c>
      <c r="Z792" s="30"/>
      <c r="AA792" s="31"/>
      <c r="AB792" s="32"/>
      <c r="AC792" s="32"/>
      <c r="AD792" s="32"/>
      <c r="AE792" s="32">
        <f t="shared" si="181"/>
        <v>0</v>
      </c>
      <c r="AF792" s="12"/>
      <c r="AG792" s="12"/>
      <c r="AH792" s="12"/>
      <c r="AI792" s="12">
        <f t="shared" si="182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11</v>
      </c>
      <c r="B793" s="30"/>
      <c r="C793" s="57"/>
      <c r="D793" s="32"/>
      <c r="E793" s="32"/>
      <c r="F793" s="32"/>
      <c r="G793" s="32">
        <f t="shared" si="177"/>
        <v>0</v>
      </c>
      <c r="H793" s="12"/>
      <c r="I793" s="12"/>
      <c r="J793" s="12"/>
      <c r="K793" s="12">
        <f t="shared" si="178"/>
        <v>0</v>
      </c>
      <c r="M793" s="10">
        <v>11</v>
      </c>
      <c r="N793" s="30"/>
      <c r="P793" s="32"/>
      <c r="Q793" s="32"/>
      <c r="R793" s="32"/>
      <c r="S793" s="32">
        <f t="shared" si="179"/>
        <v>0</v>
      </c>
      <c r="T793" s="12"/>
      <c r="U793" s="12"/>
      <c r="V793" s="12"/>
      <c r="W793" s="12">
        <f t="shared" si="180"/>
        <v>0</v>
      </c>
      <c r="Y793" s="10">
        <v>11</v>
      </c>
      <c r="Z793" s="30"/>
      <c r="AB793" s="32"/>
      <c r="AC793" s="32"/>
      <c r="AD793" s="32"/>
      <c r="AE793" s="32">
        <f t="shared" si="181"/>
        <v>0</v>
      </c>
      <c r="AF793" s="12"/>
      <c r="AG793" s="12"/>
      <c r="AH793" s="12"/>
      <c r="AI793" s="12">
        <f t="shared" si="182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12</v>
      </c>
      <c r="B794" s="30"/>
      <c r="C794" s="82"/>
      <c r="D794" s="32"/>
      <c r="E794" s="32"/>
      <c r="F794" s="32"/>
      <c r="G794" s="32">
        <f t="shared" si="177"/>
        <v>0</v>
      </c>
      <c r="H794" s="12"/>
      <c r="I794" s="12"/>
      <c r="J794" s="10"/>
      <c r="K794" s="12">
        <f t="shared" si="178"/>
        <v>0</v>
      </c>
      <c r="M794" s="10">
        <v>12</v>
      </c>
      <c r="N794" s="30"/>
      <c r="P794" s="32"/>
      <c r="Q794" s="32"/>
      <c r="R794" s="32"/>
      <c r="S794" s="32">
        <f t="shared" si="179"/>
        <v>0</v>
      </c>
      <c r="T794" s="12"/>
      <c r="U794" s="12"/>
      <c r="V794" s="12"/>
      <c r="W794" s="12">
        <f t="shared" si="180"/>
        <v>0</v>
      </c>
      <c r="Y794" s="10">
        <v>12</v>
      </c>
      <c r="Z794" s="30"/>
      <c r="AA794" s="31"/>
      <c r="AB794" s="32"/>
      <c r="AC794" s="32"/>
      <c r="AD794" s="32"/>
      <c r="AE794" s="32">
        <f t="shared" si="181"/>
        <v>0</v>
      </c>
      <c r="AF794" s="12"/>
      <c r="AG794" s="12"/>
      <c r="AH794" s="12"/>
      <c r="AI794" s="12">
        <f t="shared" si="182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13</v>
      </c>
      <c r="B795" s="30"/>
      <c r="C795" s="82"/>
      <c r="D795" s="32"/>
      <c r="E795" s="32"/>
      <c r="F795" s="32"/>
      <c r="G795" s="32">
        <f t="shared" si="177"/>
        <v>0</v>
      </c>
      <c r="H795" s="12"/>
      <c r="I795" s="12"/>
      <c r="J795" s="12"/>
      <c r="K795" s="12">
        <f t="shared" si="178"/>
        <v>0</v>
      </c>
      <c r="M795" s="10">
        <v>13</v>
      </c>
      <c r="N795" s="30"/>
      <c r="O795" s="31"/>
      <c r="P795" s="32"/>
      <c r="Q795" s="32"/>
      <c r="R795" s="32"/>
      <c r="S795" s="32">
        <f t="shared" si="179"/>
        <v>0</v>
      </c>
      <c r="T795" s="12"/>
      <c r="U795" s="12"/>
      <c r="V795" s="12"/>
      <c r="W795" s="12">
        <f t="shared" si="180"/>
        <v>0</v>
      </c>
      <c r="Y795" s="10">
        <v>13</v>
      </c>
      <c r="Z795" s="30"/>
      <c r="AA795" s="31"/>
      <c r="AB795" s="32"/>
      <c r="AC795" s="32"/>
      <c r="AD795" s="32"/>
      <c r="AE795" s="32">
        <f t="shared" si="181"/>
        <v>0</v>
      </c>
      <c r="AF795" s="12"/>
      <c r="AG795" s="12"/>
      <c r="AH795" s="12"/>
      <c r="AI795" s="12">
        <f t="shared" si="182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14</v>
      </c>
      <c r="B796" s="30"/>
      <c r="C796" s="82"/>
      <c r="D796" s="32"/>
      <c r="E796" s="32"/>
      <c r="F796" s="32"/>
      <c r="G796" s="32">
        <f t="shared" si="177"/>
        <v>0</v>
      </c>
      <c r="H796" s="12"/>
      <c r="I796" s="12"/>
      <c r="J796" s="12"/>
      <c r="K796" s="12">
        <f t="shared" si="178"/>
        <v>0</v>
      </c>
      <c r="M796" s="10">
        <v>14</v>
      </c>
      <c r="N796" s="30"/>
      <c r="O796" s="31"/>
      <c r="P796" s="32"/>
      <c r="Q796" s="32"/>
      <c r="R796" s="32"/>
      <c r="S796" s="32">
        <f t="shared" si="179"/>
        <v>0</v>
      </c>
      <c r="T796" s="12"/>
      <c r="U796" s="12"/>
      <c r="V796" s="12"/>
      <c r="W796" s="12">
        <f t="shared" si="180"/>
        <v>0</v>
      </c>
      <c r="Y796" s="10">
        <v>14</v>
      </c>
      <c r="Z796" s="30"/>
      <c r="AA796" s="31"/>
      <c r="AB796" s="32"/>
      <c r="AC796" s="32"/>
      <c r="AD796" s="32"/>
      <c r="AE796" s="32">
        <f t="shared" si="181"/>
        <v>0</v>
      </c>
      <c r="AF796" s="12"/>
      <c r="AG796" s="12"/>
      <c r="AH796" s="12"/>
      <c r="AI796" s="12">
        <f t="shared" si="182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15</v>
      </c>
      <c r="B797" s="30"/>
      <c r="C797" s="82"/>
      <c r="D797" s="32"/>
      <c r="E797" s="32"/>
      <c r="F797" s="32"/>
      <c r="G797" s="32">
        <f t="shared" si="177"/>
        <v>0</v>
      </c>
      <c r="H797" s="12"/>
      <c r="I797" s="12"/>
      <c r="J797" s="12"/>
      <c r="K797" s="12">
        <f t="shared" si="178"/>
        <v>0</v>
      </c>
      <c r="M797" s="10">
        <v>15</v>
      </c>
      <c r="N797" s="30"/>
      <c r="O797" s="31"/>
      <c r="P797" s="32"/>
      <c r="Q797" s="32"/>
      <c r="R797" s="32"/>
      <c r="S797" s="32">
        <f t="shared" si="179"/>
        <v>0</v>
      </c>
      <c r="T797" s="12"/>
      <c r="U797" s="12"/>
      <c r="V797" s="12"/>
      <c r="W797" s="12">
        <f t="shared" si="180"/>
        <v>0</v>
      </c>
      <c r="Y797" s="10">
        <v>15</v>
      </c>
      <c r="Z797" s="30"/>
      <c r="AA797" s="31"/>
      <c r="AB797" s="32"/>
      <c r="AC797" s="32"/>
      <c r="AD797" s="32"/>
      <c r="AE797" s="32">
        <f t="shared" si="181"/>
        <v>0</v>
      </c>
      <c r="AF797" s="12"/>
      <c r="AG797" s="12"/>
      <c r="AH797" s="12"/>
      <c r="AI797" s="12">
        <f t="shared" si="182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16</v>
      </c>
      <c r="B798" s="30"/>
      <c r="C798" s="82"/>
      <c r="D798" s="32"/>
      <c r="E798" s="32"/>
      <c r="F798" s="32"/>
      <c r="G798" s="32">
        <f t="shared" si="177"/>
        <v>0</v>
      </c>
      <c r="H798" s="12"/>
      <c r="I798" s="12"/>
      <c r="J798" s="12"/>
      <c r="K798" s="12">
        <f t="shared" si="178"/>
        <v>0</v>
      </c>
      <c r="M798" s="10">
        <v>16</v>
      </c>
      <c r="N798" s="30"/>
      <c r="O798" s="31"/>
      <c r="P798" s="32"/>
      <c r="Q798" s="32"/>
      <c r="R798" s="32"/>
      <c r="S798" s="32">
        <f t="shared" si="179"/>
        <v>0</v>
      </c>
      <c r="T798" s="12"/>
      <c r="U798" s="12"/>
      <c r="V798" s="12"/>
      <c r="W798" s="12">
        <f t="shared" si="180"/>
        <v>0</v>
      </c>
      <c r="Y798" s="10">
        <v>16</v>
      </c>
      <c r="Z798" s="30"/>
      <c r="AB798" s="32"/>
      <c r="AC798" s="32"/>
      <c r="AD798" s="32"/>
      <c r="AE798" s="32">
        <f t="shared" si="181"/>
        <v>0</v>
      </c>
      <c r="AF798" s="12"/>
      <c r="AG798" s="12"/>
      <c r="AH798" s="12"/>
      <c r="AI798" s="12">
        <f t="shared" si="182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17</v>
      </c>
      <c r="B799" s="30"/>
      <c r="C799" s="82"/>
      <c r="D799" s="32"/>
      <c r="E799" s="32"/>
      <c r="F799" s="32"/>
      <c r="G799" s="32">
        <f t="shared" si="177"/>
        <v>0</v>
      </c>
      <c r="H799" s="12"/>
      <c r="I799" s="12"/>
      <c r="J799" s="12"/>
      <c r="K799" s="12">
        <f t="shared" si="178"/>
        <v>0</v>
      </c>
      <c r="M799" s="10">
        <v>17</v>
      </c>
      <c r="N799" s="30"/>
      <c r="P799" s="35"/>
      <c r="Q799" s="32"/>
      <c r="R799" s="32"/>
      <c r="S799" s="32">
        <f t="shared" si="179"/>
        <v>0</v>
      </c>
      <c r="T799" s="12"/>
      <c r="U799" s="12"/>
      <c r="V799" s="12"/>
      <c r="W799" s="12">
        <f t="shared" si="180"/>
        <v>0</v>
      </c>
      <c r="Y799" s="10">
        <v>17</v>
      </c>
      <c r="Z799" s="30"/>
      <c r="AA799" s="31"/>
      <c r="AB799" s="35"/>
      <c r="AC799" s="32"/>
      <c r="AD799" s="32"/>
      <c r="AE799" s="32">
        <f t="shared" si="181"/>
        <v>0</v>
      </c>
      <c r="AF799" s="12"/>
      <c r="AG799" s="12"/>
      <c r="AH799" s="12"/>
      <c r="AI799" s="12">
        <f t="shared" si="182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18</v>
      </c>
      <c r="B800" s="30"/>
      <c r="C800" s="82"/>
      <c r="D800" s="32"/>
      <c r="E800" s="32"/>
      <c r="F800" s="32"/>
      <c r="G800" s="32">
        <f t="shared" si="177"/>
        <v>0</v>
      </c>
      <c r="H800" s="12"/>
      <c r="I800" s="12"/>
      <c r="J800" s="12"/>
      <c r="K800" s="12">
        <f t="shared" si="178"/>
        <v>0</v>
      </c>
      <c r="M800" s="10">
        <v>18</v>
      </c>
      <c r="N800" s="30"/>
      <c r="O800" s="11"/>
      <c r="P800" s="32"/>
      <c r="Q800" s="32"/>
      <c r="R800" s="32"/>
      <c r="S800" s="32">
        <f t="shared" si="179"/>
        <v>0</v>
      </c>
      <c r="T800" s="12"/>
      <c r="U800" s="12"/>
      <c r="V800" s="12"/>
      <c r="W800" s="12">
        <f t="shared" si="180"/>
        <v>0</v>
      </c>
      <c r="Y800" s="10">
        <v>18</v>
      </c>
      <c r="Z800" s="30"/>
      <c r="AA800" s="31"/>
      <c r="AB800" s="32"/>
      <c r="AC800" s="32"/>
      <c r="AD800" s="32"/>
      <c r="AE800" s="32">
        <f t="shared" si="181"/>
        <v>0</v>
      </c>
      <c r="AF800" s="12"/>
      <c r="AG800" s="12"/>
      <c r="AH800" s="12"/>
      <c r="AI800" s="12">
        <f t="shared" si="182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19</v>
      </c>
      <c r="B801" s="30"/>
      <c r="C801" s="82"/>
      <c r="D801" s="32"/>
      <c r="E801" s="32"/>
      <c r="F801" s="32"/>
      <c r="G801" s="32">
        <f t="shared" si="177"/>
        <v>0</v>
      </c>
      <c r="H801" s="12"/>
      <c r="I801" s="12"/>
      <c r="J801" s="12"/>
      <c r="K801" s="12">
        <f t="shared" si="178"/>
        <v>0</v>
      </c>
      <c r="M801" s="10">
        <v>19</v>
      </c>
      <c r="N801" s="30"/>
      <c r="O801" s="31"/>
      <c r="P801" s="32"/>
      <c r="Q801" s="32"/>
      <c r="R801" s="32"/>
      <c r="S801" s="32">
        <f t="shared" si="179"/>
        <v>0</v>
      </c>
      <c r="T801" s="12"/>
      <c r="U801" s="12"/>
      <c r="V801" s="12"/>
      <c r="W801" s="12">
        <f t="shared" si="180"/>
        <v>0</v>
      </c>
      <c r="Y801" s="10">
        <v>19</v>
      </c>
      <c r="Z801" s="30"/>
      <c r="AA801" s="31"/>
      <c r="AB801" s="32"/>
      <c r="AC801" s="32"/>
      <c r="AD801" s="32"/>
      <c r="AE801" s="32">
        <f t="shared" si="181"/>
        <v>0</v>
      </c>
      <c r="AF801" s="12"/>
      <c r="AG801" s="12"/>
      <c r="AH801" s="12"/>
      <c r="AI801" s="12">
        <f t="shared" si="182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20</v>
      </c>
      <c r="B802" s="30"/>
      <c r="C802" s="82"/>
      <c r="D802" s="32"/>
      <c r="E802" s="32"/>
      <c r="F802" s="32"/>
      <c r="G802" s="32">
        <f t="shared" si="177"/>
        <v>0</v>
      </c>
      <c r="H802" s="12"/>
      <c r="I802" s="12"/>
      <c r="J802" s="12"/>
      <c r="K802" s="12">
        <f t="shared" si="178"/>
        <v>0</v>
      </c>
      <c r="M802" s="10">
        <v>20</v>
      </c>
      <c r="N802" s="30"/>
      <c r="P802" s="32"/>
      <c r="Q802" s="32"/>
      <c r="R802" s="32"/>
      <c r="S802" s="32">
        <f t="shared" si="179"/>
        <v>0</v>
      </c>
      <c r="T802" s="12"/>
      <c r="U802" s="12"/>
      <c r="V802" s="12"/>
      <c r="W802" s="12">
        <f t="shared" si="180"/>
        <v>0</v>
      </c>
      <c r="Y802" s="10">
        <v>20</v>
      </c>
      <c r="Z802" s="30"/>
      <c r="AB802" s="32"/>
      <c r="AC802" s="32"/>
      <c r="AD802" s="32"/>
      <c r="AE802" s="32">
        <f t="shared" si="181"/>
        <v>0</v>
      </c>
      <c r="AF802" s="12"/>
      <c r="AG802" s="12"/>
      <c r="AH802" s="12"/>
      <c r="AI802" s="12">
        <f t="shared" si="182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21</v>
      </c>
      <c r="B803" s="30"/>
      <c r="C803" s="57"/>
      <c r="D803" s="32"/>
      <c r="E803" s="32"/>
      <c r="F803" s="32"/>
      <c r="G803" s="32">
        <f t="shared" si="177"/>
        <v>0</v>
      </c>
      <c r="H803" s="10"/>
      <c r="I803" s="10"/>
      <c r="J803" s="10"/>
      <c r="K803" s="12">
        <f t="shared" si="178"/>
        <v>0</v>
      </c>
      <c r="M803" s="10">
        <v>21</v>
      </c>
      <c r="N803" s="30"/>
      <c r="O803" s="31"/>
      <c r="P803" s="46"/>
      <c r="Q803" s="31"/>
      <c r="R803" s="31"/>
      <c r="S803" s="32">
        <f t="shared" si="179"/>
        <v>0</v>
      </c>
      <c r="T803" s="10"/>
      <c r="U803" s="10"/>
      <c r="V803" s="10"/>
      <c r="W803" s="12">
        <f t="shared" si="180"/>
        <v>0</v>
      </c>
      <c r="Y803" s="10">
        <v>21</v>
      </c>
      <c r="Z803" s="30"/>
      <c r="AA803" s="31"/>
      <c r="AB803" s="46"/>
      <c r="AC803" s="31"/>
      <c r="AD803" s="31"/>
      <c r="AE803" s="32">
        <f t="shared" si="181"/>
        <v>0</v>
      </c>
      <c r="AF803" s="10"/>
      <c r="AG803" s="10"/>
      <c r="AH803" s="10"/>
      <c r="AI803" s="12">
        <f t="shared" si="182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22</v>
      </c>
      <c r="B804" s="30"/>
      <c r="C804" s="82"/>
      <c r="D804" s="32"/>
      <c r="E804" s="32"/>
      <c r="F804" s="32"/>
      <c r="G804" s="32">
        <f t="shared" si="177"/>
        <v>0</v>
      </c>
      <c r="H804" s="10"/>
      <c r="I804" s="10"/>
      <c r="J804" s="10"/>
      <c r="K804" s="12">
        <f t="shared" si="178"/>
        <v>0</v>
      </c>
      <c r="M804" s="10">
        <v>22</v>
      </c>
      <c r="N804" s="30"/>
      <c r="O804" s="31"/>
      <c r="P804" s="45"/>
      <c r="Q804" s="31"/>
      <c r="R804" s="31"/>
      <c r="S804" s="32">
        <f t="shared" si="179"/>
        <v>0</v>
      </c>
      <c r="T804" s="10"/>
      <c r="U804" s="10"/>
      <c r="V804" s="10"/>
      <c r="W804" s="12">
        <f t="shared" si="180"/>
        <v>0</v>
      </c>
      <c r="Y804" s="10">
        <v>22</v>
      </c>
      <c r="Z804" s="30"/>
      <c r="AA804" s="31"/>
      <c r="AB804" s="45"/>
      <c r="AC804" s="31"/>
      <c r="AD804" s="31"/>
      <c r="AE804" s="32">
        <f t="shared" si="181"/>
        <v>0</v>
      </c>
      <c r="AF804" s="10"/>
      <c r="AG804" s="10"/>
      <c r="AH804" s="10"/>
      <c r="AI804" s="12">
        <f t="shared" si="182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23</v>
      </c>
      <c r="B805" s="30"/>
      <c r="C805" s="82"/>
      <c r="D805" s="32"/>
      <c r="E805" s="32"/>
      <c r="F805" s="32"/>
      <c r="G805" s="32">
        <f t="shared" si="177"/>
        <v>0</v>
      </c>
      <c r="H805" s="10"/>
      <c r="I805" s="10"/>
      <c r="J805" s="12"/>
      <c r="K805" s="12">
        <f t="shared" si="178"/>
        <v>0</v>
      </c>
      <c r="M805" s="10">
        <v>23</v>
      </c>
      <c r="N805" s="30"/>
      <c r="O805" s="31"/>
      <c r="P805" s="47"/>
      <c r="Q805" s="45"/>
      <c r="S805" s="32">
        <f t="shared" si="179"/>
        <v>0</v>
      </c>
      <c r="T805" s="10"/>
      <c r="U805" s="10"/>
      <c r="V805" s="10"/>
      <c r="W805" s="12">
        <f t="shared" si="180"/>
        <v>0</v>
      </c>
      <c r="Y805" s="10">
        <v>23</v>
      </c>
      <c r="Z805" s="30"/>
      <c r="AA805" s="31"/>
      <c r="AB805" s="47"/>
      <c r="AC805" s="31"/>
      <c r="AE805" s="32">
        <f t="shared" si="181"/>
        <v>0</v>
      </c>
      <c r="AF805" s="10"/>
      <c r="AG805" s="10"/>
      <c r="AH805" s="10"/>
      <c r="AI805" s="12">
        <f t="shared" si="182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24</v>
      </c>
      <c r="B806" s="30"/>
      <c r="C806" s="82"/>
      <c r="D806" s="32"/>
      <c r="E806" s="32"/>
      <c r="F806" s="32"/>
      <c r="G806" s="32">
        <f t="shared" si="177"/>
        <v>0</v>
      </c>
      <c r="H806" s="10"/>
      <c r="I806" s="10"/>
      <c r="J806" s="10"/>
      <c r="K806" s="12">
        <f t="shared" si="178"/>
        <v>0</v>
      </c>
      <c r="M806" s="10">
        <v>24</v>
      </c>
      <c r="N806" s="30"/>
      <c r="O806" s="31"/>
      <c r="P806" s="47"/>
      <c r="Q806" s="31"/>
      <c r="R806" s="31"/>
      <c r="S806" s="32">
        <f t="shared" si="179"/>
        <v>0</v>
      </c>
      <c r="T806" s="10"/>
      <c r="U806" s="10"/>
      <c r="V806" s="10"/>
      <c r="W806" s="12">
        <f t="shared" si="180"/>
        <v>0</v>
      </c>
      <c r="Y806" s="10">
        <v>24</v>
      </c>
      <c r="Z806" s="30"/>
      <c r="AA806" s="31"/>
      <c r="AB806" s="47"/>
      <c r="AC806" s="31"/>
      <c r="AD806" s="31"/>
      <c r="AE806" s="32">
        <f t="shared" si="181"/>
        <v>0</v>
      </c>
      <c r="AF806" s="10"/>
      <c r="AG806" s="10"/>
      <c r="AH806" s="10"/>
      <c r="AI806" s="12">
        <f t="shared" si="182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25</v>
      </c>
      <c r="B807" s="30"/>
      <c r="C807" s="57"/>
      <c r="D807" s="32"/>
      <c r="E807" s="32"/>
      <c r="F807" s="32"/>
      <c r="G807" s="32">
        <f t="shared" si="177"/>
        <v>0</v>
      </c>
      <c r="H807" s="10"/>
      <c r="I807" s="10"/>
      <c r="J807" s="10"/>
      <c r="K807" s="12">
        <f t="shared" si="178"/>
        <v>0</v>
      </c>
      <c r="M807" s="10">
        <v>25</v>
      </c>
      <c r="N807" s="30"/>
      <c r="O807" s="31"/>
      <c r="P807" s="47"/>
      <c r="Q807" s="31"/>
      <c r="R807" s="31"/>
      <c r="S807" s="32">
        <f t="shared" si="179"/>
        <v>0</v>
      </c>
      <c r="T807" s="10"/>
      <c r="U807" s="10"/>
      <c r="V807" s="10"/>
      <c r="W807" s="12">
        <f t="shared" si="180"/>
        <v>0</v>
      </c>
      <c r="Y807" s="10">
        <v>25</v>
      </c>
      <c r="Z807" s="30"/>
      <c r="AA807" s="31"/>
      <c r="AB807" s="47"/>
      <c r="AC807" s="31"/>
      <c r="AD807" s="31"/>
      <c r="AE807" s="32">
        <f t="shared" si="181"/>
        <v>0</v>
      </c>
      <c r="AF807" s="10"/>
      <c r="AG807" s="10"/>
      <c r="AH807" s="10"/>
      <c r="AI807" s="12">
        <f t="shared" si="182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26</v>
      </c>
      <c r="B808" s="30"/>
      <c r="C808" s="82"/>
      <c r="D808" s="32"/>
      <c r="E808" s="32"/>
      <c r="F808" s="32"/>
      <c r="G808" s="32">
        <f t="shared" si="177"/>
        <v>0</v>
      </c>
      <c r="H808" s="10"/>
      <c r="I808" s="10"/>
      <c r="J808" s="10"/>
      <c r="K808" s="12">
        <f t="shared" si="178"/>
        <v>0</v>
      </c>
      <c r="M808" s="10">
        <v>26</v>
      </c>
      <c r="N808" s="30"/>
      <c r="O808" s="31"/>
      <c r="P808" s="47"/>
      <c r="Q808" s="31"/>
      <c r="R808" s="31"/>
      <c r="S808" s="32">
        <f t="shared" si="179"/>
        <v>0</v>
      </c>
      <c r="T808" s="10"/>
      <c r="U808" s="10"/>
      <c r="V808" s="10"/>
      <c r="W808" s="12">
        <f t="shared" si="180"/>
        <v>0</v>
      </c>
      <c r="Y808" s="10">
        <v>26</v>
      </c>
      <c r="Z808" s="30"/>
      <c r="AA808" s="31"/>
      <c r="AB808" s="47"/>
      <c r="AC808" s="31"/>
      <c r="AD808" s="31"/>
      <c r="AE808" s="32">
        <f t="shared" si="181"/>
        <v>0</v>
      </c>
      <c r="AF808" s="10"/>
      <c r="AG808" s="10"/>
      <c r="AH808" s="10"/>
      <c r="AI808" s="12">
        <f t="shared" si="182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27</v>
      </c>
      <c r="B809" s="30"/>
      <c r="C809" s="82"/>
      <c r="D809" s="32"/>
      <c r="E809" s="32"/>
      <c r="F809" s="32"/>
      <c r="G809" s="32">
        <f t="shared" si="177"/>
        <v>0</v>
      </c>
      <c r="H809" s="10"/>
      <c r="I809" s="10"/>
      <c r="J809" s="10"/>
      <c r="K809" s="12">
        <f t="shared" si="178"/>
        <v>0</v>
      </c>
      <c r="M809" s="10">
        <v>27</v>
      </c>
      <c r="N809" s="30"/>
      <c r="O809" s="31"/>
      <c r="P809" s="47"/>
      <c r="Q809" s="31"/>
      <c r="R809" s="31"/>
      <c r="S809" s="32">
        <f t="shared" si="179"/>
        <v>0</v>
      </c>
      <c r="T809" s="10"/>
      <c r="U809" s="10"/>
      <c r="V809" s="10"/>
      <c r="W809" s="12">
        <f t="shared" si="180"/>
        <v>0</v>
      </c>
      <c r="Y809" s="10">
        <v>27</v>
      </c>
      <c r="Z809" s="30"/>
      <c r="AA809" s="31"/>
      <c r="AB809" s="47"/>
      <c r="AC809" s="31"/>
      <c r="AD809" s="31"/>
      <c r="AE809" s="32">
        <f t="shared" si="181"/>
        <v>0</v>
      </c>
      <c r="AF809" s="10"/>
      <c r="AG809" s="10"/>
      <c r="AH809" s="10"/>
      <c r="AI809" s="12">
        <f t="shared" si="182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28</v>
      </c>
      <c r="B810" s="30"/>
      <c r="C810" s="82"/>
      <c r="D810" s="32"/>
      <c r="E810" s="32"/>
      <c r="F810" s="32"/>
      <c r="G810" s="32">
        <f t="shared" si="177"/>
        <v>0</v>
      </c>
      <c r="H810" s="10"/>
      <c r="I810" s="10"/>
      <c r="J810" s="10"/>
      <c r="K810" s="12">
        <f t="shared" si="178"/>
        <v>0</v>
      </c>
      <c r="M810" s="10">
        <v>28</v>
      </c>
      <c r="N810" s="30"/>
      <c r="O810" s="31"/>
      <c r="P810" s="47"/>
      <c r="Q810" s="31"/>
      <c r="R810" s="31"/>
      <c r="S810" s="32">
        <f t="shared" si="179"/>
        <v>0</v>
      </c>
      <c r="T810" s="10"/>
      <c r="U810" s="10"/>
      <c r="V810" s="10"/>
      <c r="W810" s="12">
        <f t="shared" si="180"/>
        <v>0</v>
      </c>
      <c r="Y810" s="10">
        <v>28</v>
      </c>
      <c r="Z810" s="30"/>
      <c r="AA810" s="31"/>
      <c r="AB810" s="47"/>
      <c r="AC810" s="31"/>
      <c r="AD810" s="31"/>
      <c r="AE810" s="32">
        <f t="shared" si="181"/>
        <v>0</v>
      </c>
      <c r="AF810" s="10"/>
      <c r="AG810" s="10"/>
      <c r="AH810" s="10"/>
      <c r="AI810" s="12">
        <f t="shared" si="182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29</v>
      </c>
      <c r="B811" s="30"/>
      <c r="C811" s="82"/>
      <c r="D811" s="32"/>
      <c r="E811" s="32"/>
      <c r="F811" s="32"/>
      <c r="G811" s="32">
        <f t="shared" si="177"/>
        <v>0</v>
      </c>
      <c r="H811" s="10"/>
      <c r="I811" s="10"/>
      <c r="J811" s="10"/>
      <c r="K811" s="12">
        <f t="shared" si="178"/>
        <v>0</v>
      </c>
      <c r="M811" s="10">
        <v>29</v>
      </c>
      <c r="N811" s="30"/>
      <c r="O811" s="31"/>
      <c r="P811" s="47"/>
      <c r="Q811" s="31"/>
      <c r="R811" s="31"/>
      <c r="S811" s="32">
        <f t="shared" si="179"/>
        <v>0</v>
      </c>
      <c r="T811" s="10"/>
      <c r="U811" s="10"/>
      <c r="V811" s="10"/>
      <c r="W811" s="12">
        <f t="shared" si="180"/>
        <v>0</v>
      </c>
      <c r="Y811" s="10">
        <v>29</v>
      </c>
      <c r="Z811" s="30"/>
      <c r="AA811" s="31"/>
      <c r="AB811" s="47"/>
      <c r="AC811" s="31"/>
      <c r="AD811" s="31"/>
      <c r="AE811" s="32">
        <f t="shared" si="181"/>
        <v>0</v>
      </c>
      <c r="AF811" s="10"/>
      <c r="AG811" s="10"/>
      <c r="AH811" s="10"/>
      <c r="AI811" s="12">
        <f t="shared" si="182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30</v>
      </c>
      <c r="B812" s="30"/>
      <c r="C812" s="82"/>
      <c r="D812" s="32"/>
      <c r="E812" s="32"/>
      <c r="F812" s="32"/>
      <c r="G812" s="32">
        <f t="shared" si="177"/>
        <v>0</v>
      </c>
      <c r="H812" s="10"/>
      <c r="I812" s="10"/>
      <c r="J812" s="10"/>
      <c r="K812" s="12">
        <f t="shared" si="178"/>
        <v>0</v>
      </c>
      <c r="M812" s="10">
        <v>30</v>
      </c>
      <c r="N812" s="30"/>
      <c r="O812" s="31"/>
      <c r="P812" s="47"/>
      <c r="Q812" s="31"/>
      <c r="R812" s="31"/>
      <c r="S812" s="32">
        <f t="shared" si="179"/>
        <v>0</v>
      </c>
      <c r="T812" s="10"/>
      <c r="U812" s="10"/>
      <c r="V812" s="10"/>
      <c r="W812" s="12">
        <f t="shared" si="180"/>
        <v>0</v>
      </c>
      <c r="Y812" s="10">
        <v>30</v>
      </c>
      <c r="Z812" s="30"/>
      <c r="AA812" s="31"/>
      <c r="AB812" s="47"/>
      <c r="AC812" s="31"/>
      <c r="AD812" s="31"/>
      <c r="AE812" s="32">
        <f t="shared" si="181"/>
        <v>0</v>
      </c>
      <c r="AF812" s="10"/>
      <c r="AG812" s="10"/>
      <c r="AH812" s="10"/>
      <c r="AI812" s="12">
        <f t="shared" si="182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31</v>
      </c>
      <c r="B813" s="30"/>
      <c r="C813" s="82"/>
      <c r="D813" s="32"/>
      <c r="E813" s="32"/>
      <c r="F813" s="32"/>
      <c r="G813" s="32">
        <f t="shared" si="177"/>
        <v>0</v>
      </c>
      <c r="H813" s="10"/>
      <c r="I813" s="10"/>
      <c r="J813" s="10"/>
      <c r="K813" s="12">
        <f t="shared" si="178"/>
        <v>0</v>
      </c>
      <c r="M813" s="10">
        <v>31</v>
      </c>
      <c r="N813" s="30"/>
      <c r="O813" s="31"/>
      <c r="P813" s="47"/>
      <c r="Q813" s="31"/>
      <c r="R813" s="31"/>
      <c r="S813" s="32">
        <f t="shared" si="179"/>
        <v>0</v>
      </c>
      <c r="T813" s="10"/>
      <c r="U813" s="10"/>
      <c r="V813" s="10"/>
      <c r="W813" s="12">
        <f t="shared" si="180"/>
        <v>0</v>
      </c>
      <c r="Y813" s="10">
        <v>31</v>
      </c>
      <c r="Z813" s="30"/>
      <c r="AA813" s="31"/>
      <c r="AB813" s="47"/>
      <c r="AC813" s="31"/>
      <c r="AD813" s="31"/>
      <c r="AE813" s="32">
        <f t="shared" si="181"/>
        <v>0</v>
      </c>
      <c r="AF813" s="10"/>
      <c r="AG813" s="10"/>
      <c r="AH813" s="10"/>
      <c r="AI813" s="12">
        <f t="shared" si="182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32</v>
      </c>
      <c r="B814" s="30"/>
      <c r="C814" s="82"/>
      <c r="D814" s="32"/>
      <c r="E814" s="32"/>
      <c r="F814" s="32"/>
      <c r="G814" s="32">
        <f t="shared" si="177"/>
        <v>0</v>
      </c>
      <c r="H814" s="10"/>
      <c r="I814" s="10"/>
      <c r="J814" s="10"/>
      <c r="K814" s="12">
        <f t="shared" si="178"/>
        <v>0</v>
      </c>
      <c r="M814" s="10">
        <v>32</v>
      </c>
      <c r="N814" s="30"/>
      <c r="O814" s="31"/>
      <c r="P814" s="47"/>
      <c r="Q814" s="31"/>
      <c r="R814" s="31"/>
      <c r="S814" s="32">
        <f t="shared" si="179"/>
        <v>0</v>
      </c>
      <c r="T814" s="10"/>
      <c r="U814" s="10"/>
      <c r="V814" s="10"/>
      <c r="W814" s="12">
        <f t="shared" si="180"/>
        <v>0</v>
      </c>
      <c r="Y814" s="10">
        <v>32</v>
      </c>
      <c r="Z814" s="30"/>
      <c r="AA814" s="31"/>
      <c r="AB814" s="47"/>
      <c r="AC814" s="31"/>
      <c r="AD814" s="31"/>
      <c r="AE814" s="32">
        <f t="shared" si="181"/>
        <v>0</v>
      </c>
      <c r="AF814" s="10"/>
      <c r="AG814" s="10"/>
      <c r="AH814" s="10"/>
      <c r="AI814" s="12">
        <f t="shared" si="182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>
        <v>33</v>
      </c>
      <c r="B815" s="30"/>
      <c r="C815" s="82"/>
      <c r="D815" s="32"/>
      <c r="E815" s="32"/>
      <c r="F815" s="32"/>
      <c r="G815" s="32">
        <f t="shared" si="177"/>
        <v>0</v>
      </c>
      <c r="H815" s="10"/>
      <c r="I815" s="10"/>
      <c r="J815" s="10"/>
      <c r="K815" s="12">
        <f t="shared" si="178"/>
        <v>0</v>
      </c>
      <c r="M815" s="10">
        <v>33</v>
      </c>
      <c r="N815" s="30"/>
      <c r="O815" s="31"/>
      <c r="P815" s="47"/>
      <c r="Q815" s="31"/>
      <c r="R815" s="31"/>
      <c r="S815" s="32">
        <f t="shared" si="179"/>
        <v>0</v>
      </c>
      <c r="T815" s="10"/>
      <c r="U815" s="10"/>
      <c r="V815" s="10"/>
      <c r="W815" s="12">
        <f t="shared" si="180"/>
        <v>0</v>
      </c>
      <c r="Y815" s="10">
        <v>33</v>
      </c>
      <c r="Z815" s="30"/>
      <c r="AA815" s="31"/>
      <c r="AB815" s="47"/>
      <c r="AC815" s="31"/>
      <c r="AD815" s="31"/>
      <c r="AE815" s="32">
        <f t="shared" si="181"/>
        <v>0</v>
      </c>
      <c r="AF815" s="10"/>
      <c r="AG815" s="10"/>
      <c r="AH815" s="10"/>
      <c r="AI815" s="12">
        <f t="shared" si="182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2"/>
      <c r="D816" s="32"/>
      <c r="E816" s="32"/>
      <c r="F816" s="32"/>
      <c r="G816" s="32">
        <f t="shared" si="177"/>
        <v>0</v>
      </c>
      <c r="H816" s="10"/>
      <c r="I816" s="10"/>
      <c r="J816" s="10"/>
      <c r="K816" s="12">
        <f t="shared" si="178"/>
        <v>0</v>
      </c>
      <c r="M816" s="10">
        <v>34</v>
      </c>
      <c r="N816" s="30"/>
      <c r="O816" s="31"/>
      <c r="P816" s="47"/>
      <c r="Q816" s="31"/>
      <c r="R816" s="31"/>
      <c r="S816" s="32">
        <f t="shared" si="179"/>
        <v>0</v>
      </c>
      <c r="T816" s="10"/>
      <c r="U816" s="10"/>
      <c r="V816" s="10"/>
      <c r="W816" s="12">
        <f t="shared" si="180"/>
        <v>0</v>
      </c>
      <c r="Y816" s="10">
        <v>34</v>
      </c>
      <c r="Z816" s="30"/>
      <c r="AA816" s="31"/>
      <c r="AB816" s="47"/>
      <c r="AC816" s="31"/>
      <c r="AD816" s="31"/>
      <c r="AE816" s="32">
        <f t="shared" si="181"/>
        <v>0</v>
      </c>
      <c r="AF816" s="10"/>
      <c r="AG816" s="10"/>
      <c r="AH816" s="10"/>
      <c r="AI816" s="12">
        <f t="shared" si="182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2"/>
      <c r="D817" s="32"/>
      <c r="E817" s="32"/>
      <c r="F817" s="32"/>
      <c r="G817" s="32"/>
      <c r="H817" s="10"/>
      <c r="I817" s="10"/>
      <c r="J817" s="10"/>
      <c r="K817" s="12"/>
      <c r="M817" s="10">
        <v>35</v>
      </c>
      <c r="N817" s="30"/>
      <c r="O817" s="31"/>
      <c r="P817" s="47"/>
      <c r="Q817" s="31"/>
      <c r="R817" s="31"/>
      <c r="S817" s="32">
        <f t="shared" si="179"/>
        <v>0</v>
      </c>
      <c r="T817" s="10"/>
      <c r="U817" s="10"/>
      <c r="V817" s="10"/>
      <c r="W817" s="12">
        <f t="shared" si="180"/>
        <v>0</v>
      </c>
      <c r="Y817" s="10">
        <v>35</v>
      </c>
      <c r="Z817" s="30"/>
      <c r="AA817" s="31"/>
      <c r="AB817" s="47"/>
      <c r="AC817" s="31"/>
      <c r="AD817" s="31"/>
      <c r="AE817" s="32">
        <f t="shared" si="181"/>
        <v>0</v>
      </c>
      <c r="AF817" s="10"/>
      <c r="AG817" s="10"/>
      <c r="AH817" s="10"/>
      <c r="AI817" s="12">
        <f t="shared" si="182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82"/>
      <c r="D818" s="32"/>
      <c r="E818" s="32"/>
      <c r="F818" s="32"/>
      <c r="G818" s="32"/>
      <c r="H818" s="10"/>
      <c r="I818" s="10"/>
      <c r="J818" s="10"/>
      <c r="K818" s="12"/>
      <c r="M818" s="10">
        <v>36</v>
      </c>
      <c r="N818" s="30"/>
      <c r="O818" s="31"/>
      <c r="P818" s="47"/>
      <c r="Q818" s="31"/>
      <c r="R818" s="31"/>
      <c r="S818" s="32">
        <f t="shared" si="179"/>
        <v>0</v>
      </c>
      <c r="T818" s="10"/>
      <c r="U818" s="10"/>
      <c r="V818" s="10"/>
      <c r="W818" s="12">
        <f t="shared" si="180"/>
        <v>0</v>
      </c>
      <c r="Y818" s="10">
        <v>36</v>
      </c>
      <c r="Z818" s="30"/>
      <c r="AA818" s="31"/>
      <c r="AB818" s="47"/>
      <c r="AC818" s="31"/>
      <c r="AD818" s="31"/>
      <c r="AE818" s="32">
        <f t="shared" si="181"/>
        <v>0</v>
      </c>
      <c r="AF818" s="10"/>
      <c r="AG818" s="10"/>
      <c r="AH818" s="10"/>
      <c r="AI818" s="12">
        <f t="shared" si="182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37</v>
      </c>
      <c r="N819" s="30"/>
      <c r="P819" s="47"/>
      <c r="Q819" s="31"/>
      <c r="R819" s="31"/>
      <c r="S819" s="32">
        <f t="shared" si="179"/>
        <v>0</v>
      </c>
      <c r="T819" s="10"/>
      <c r="U819" s="10"/>
      <c r="V819" s="10"/>
      <c r="W819" s="12">
        <f t="shared" si="180"/>
        <v>0</v>
      </c>
      <c r="Y819" s="10">
        <v>37</v>
      </c>
      <c r="Z819" s="30"/>
      <c r="AA819" s="31"/>
      <c r="AB819" s="47"/>
      <c r="AC819" s="31"/>
      <c r="AD819" s="31"/>
      <c r="AE819" s="32">
        <f t="shared" si="181"/>
        <v>0</v>
      </c>
      <c r="AF819" s="10"/>
      <c r="AG819" s="10"/>
      <c r="AH819" s="10"/>
      <c r="AI819" s="12">
        <f t="shared" si="182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38</v>
      </c>
      <c r="N820" s="30"/>
      <c r="O820" s="31"/>
      <c r="P820" s="47"/>
      <c r="Q820" s="31"/>
      <c r="R820" s="31"/>
      <c r="S820" s="32">
        <f t="shared" si="179"/>
        <v>0</v>
      </c>
      <c r="T820" s="10"/>
      <c r="U820" s="10"/>
      <c r="V820" s="10"/>
      <c r="W820" s="12">
        <f t="shared" si="180"/>
        <v>0</v>
      </c>
      <c r="Y820" s="10">
        <v>38</v>
      </c>
      <c r="Z820" s="30"/>
      <c r="AA820" s="31"/>
      <c r="AB820" s="47"/>
      <c r="AC820" s="31"/>
      <c r="AD820" s="31"/>
      <c r="AE820" s="32">
        <f t="shared" si="181"/>
        <v>0</v>
      </c>
      <c r="AF820" s="10"/>
      <c r="AG820" s="10"/>
      <c r="AH820" s="10"/>
      <c r="AI820" s="12">
        <f t="shared" si="182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>
        <v>39</v>
      </c>
      <c r="N821" s="30"/>
      <c r="O821" s="31"/>
      <c r="P821" s="47"/>
      <c r="Q821" s="31"/>
      <c r="R821" s="31"/>
      <c r="S821" s="32">
        <f t="shared" si="179"/>
        <v>0</v>
      </c>
      <c r="T821" s="10"/>
      <c r="U821" s="10"/>
      <c r="V821" s="10"/>
      <c r="W821" s="12">
        <f t="shared" si="180"/>
        <v>0</v>
      </c>
      <c r="Y821" s="10">
        <v>39</v>
      </c>
      <c r="Z821" s="30"/>
      <c r="AA821" s="31"/>
      <c r="AB821" s="47"/>
      <c r="AC821" s="31"/>
      <c r="AD821" s="31"/>
      <c r="AE821" s="32">
        <f t="shared" si="181"/>
        <v>0</v>
      </c>
      <c r="AF821" s="10"/>
      <c r="AG821" s="10"/>
      <c r="AH821" s="10"/>
      <c r="AI821" s="12">
        <f t="shared" si="182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/>
      <c r="H822" s="10"/>
      <c r="I822" s="10"/>
      <c r="J822" s="10"/>
      <c r="K822" s="12"/>
      <c r="M822" s="10"/>
      <c r="N822" s="30"/>
      <c r="P822" s="47"/>
      <c r="Q822" s="31"/>
      <c r="R822" s="31"/>
      <c r="S822" s="32"/>
      <c r="T822" s="10"/>
      <c r="U822" s="10"/>
      <c r="V822" s="10"/>
      <c r="W822" s="12">
        <f t="shared" si="180"/>
        <v>0</v>
      </c>
      <c r="Y822" s="10"/>
      <c r="Z822" s="30"/>
      <c r="AB822" s="47"/>
      <c r="AC822" s="31"/>
      <c r="AD822" s="31"/>
      <c r="AE822" s="32"/>
      <c r="AF822" s="10"/>
      <c r="AG822" s="10"/>
      <c r="AH822" s="10"/>
      <c r="AI822" s="12">
        <f t="shared" si="182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1"/>
      <c r="D823" s="32"/>
      <c r="E823" s="32"/>
      <c r="F823" s="32"/>
      <c r="G823" s="32">
        <f t="shared" ref="G823" si="185">SUM(D823:E823)</f>
        <v>0</v>
      </c>
      <c r="H823" s="10"/>
      <c r="I823" s="10"/>
      <c r="J823" s="10"/>
      <c r="K823" s="12">
        <f t="shared" ref="K823" si="186">SUM(G823:J823)</f>
        <v>0</v>
      </c>
      <c r="M823" s="10"/>
      <c r="N823" s="30"/>
      <c r="O823" s="31"/>
      <c r="P823" s="47"/>
      <c r="Q823" s="31"/>
      <c r="R823" s="31"/>
      <c r="S823" s="32">
        <f t="shared" ref="S823" si="187">SUM(P823:Q823)</f>
        <v>0</v>
      </c>
      <c r="T823" s="10"/>
      <c r="U823" s="10"/>
      <c r="V823" s="10"/>
      <c r="W823" s="12">
        <f t="shared" si="180"/>
        <v>0</v>
      </c>
      <c r="Y823" s="10"/>
      <c r="Z823" s="30"/>
      <c r="AA823" s="31"/>
      <c r="AB823" s="47"/>
      <c r="AC823" s="31"/>
      <c r="AD823" s="31"/>
      <c r="AE823" s="32">
        <f t="shared" ref="AE823" si="188">SUM(AB823:AC823)</f>
        <v>0</v>
      </c>
      <c r="AF823" s="10"/>
      <c r="AG823" s="10"/>
      <c r="AH823" s="10"/>
      <c r="AI823" s="12">
        <f t="shared" si="182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10"/>
      <c r="B824" s="30"/>
      <c r="C824" s="30"/>
      <c r="D824" s="32"/>
      <c r="E824" s="32"/>
      <c r="F824" s="32"/>
      <c r="G824" s="32"/>
      <c r="H824" s="10"/>
      <c r="I824" s="10"/>
      <c r="J824" s="10"/>
      <c r="K824" s="12"/>
      <c r="M824" s="10"/>
      <c r="N824" s="31"/>
      <c r="O824" s="31"/>
      <c r="P824" s="31"/>
      <c r="Q824" s="31"/>
      <c r="R824" s="31"/>
      <c r="S824" s="31"/>
      <c r="T824" s="10"/>
      <c r="U824" s="10"/>
      <c r="V824" s="10"/>
      <c r="W824" s="12">
        <f t="shared" si="180"/>
        <v>0</v>
      </c>
      <c r="Y824" s="10"/>
      <c r="Z824" s="31"/>
      <c r="AA824" s="31"/>
      <c r="AB824" s="31"/>
      <c r="AC824" s="31"/>
      <c r="AD824" s="31"/>
      <c r="AE824" s="31"/>
      <c r="AF824" s="10"/>
      <c r="AG824" s="10"/>
      <c r="AH824" s="10"/>
      <c r="AI824" s="12">
        <f t="shared" si="182"/>
        <v>0</v>
      </c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6"/>
      <c r="E825" s="36"/>
      <c r="F825" s="36"/>
      <c r="G825" s="36"/>
      <c r="H825" s="37"/>
      <c r="I825" s="37"/>
      <c r="J825" s="37"/>
      <c r="K825" s="37"/>
      <c r="N825" s="57"/>
      <c r="O825" s="57"/>
      <c r="P825" s="36"/>
      <c r="Q825" s="36"/>
      <c r="R825" s="36"/>
      <c r="S825" s="36"/>
      <c r="T825" s="37"/>
      <c r="U825" s="37"/>
      <c r="V825" s="37"/>
      <c r="W825" s="37"/>
      <c r="Z825" s="57"/>
      <c r="AA825" s="57"/>
      <c r="AB825" s="36"/>
      <c r="AC825" s="36"/>
      <c r="AD825" s="36"/>
      <c r="AE825" s="36"/>
      <c r="AF825" s="37"/>
      <c r="AG825" s="37"/>
      <c r="AH825" s="37"/>
      <c r="AI825" s="37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B826" s="57"/>
      <c r="C826" s="57"/>
      <c r="D826" s="38">
        <f>SUM(D783:D825)</f>
        <v>377933</v>
      </c>
      <c r="E826" s="38">
        <f t="shared" ref="E826:F826" si="189">SUM(E783:E823)</f>
        <v>-2742</v>
      </c>
      <c r="F826" s="38">
        <f t="shared" si="189"/>
        <v>0</v>
      </c>
      <c r="G826" s="38">
        <f>SUM(G783:G825)</f>
        <v>375191</v>
      </c>
      <c r="H826" s="4"/>
      <c r="I826" s="39">
        <f>SUM(I783:I825)</f>
        <v>3717</v>
      </c>
      <c r="J826" s="39">
        <f>SUM(J783:J825)</f>
        <v>-1134</v>
      </c>
      <c r="K826" s="40">
        <f>SUM(K783:K825)</f>
        <v>377774</v>
      </c>
      <c r="N826" s="57"/>
      <c r="O826" s="57"/>
      <c r="P826" s="38">
        <f>SUM(P783:P825)</f>
        <v>273121</v>
      </c>
      <c r="Q826" s="38">
        <f>SUM(Q783:Q807)</f>
        <v>-2076</v>
      </c>
      <c r="R826" s="38">
        <f>SUM(R783:R807)</f>
        <v>0</v>
      </c>
      <c r="S826" s="38">
        <f>SUM(S783:S825)</f>
        <v>271045</v>
      </c>
      <c r="T826" s="4"/>
      <c r="U826" s="41">
        <f>SUM(U783:U825)</f>
        <v>252</v>
      </c>
      <c r="V826" s="41">
        <f>SUM(V783:V807)</f>
        <v>-1332</v>
      </c>
      <c r="W826" s="42">
        <f>SUM(W783:W825)</f>
        <v>269965</v>
      </c>
      <c r="Z826" s="57"/>
      <c r="AA826" s="57"/>
      <c r="AB826" s="38">
        <f>SUM(AB783:AB825)</f>
        <v>448320</v>
      </c>
      <c r="AC826" s="38">
        <f>SUM(AC783:AC807)</f>
        <v>-3660</v>
      </c>
      <c r="AD826" s="38">
        <f>SUM(AD783:AD807)</f>
        <v>0</v>
      </c>
      <c r="AE826" s="38">
        <f>SUM(AE783:AE825)</f>
        <v>444660</v>
      </c>
      <c r="AF826" s="4"/>
      <c r="AG826" s="41">
        <f>SUM(AG783:AG825)</f>
        <v>5187</v>
      </c>
      <c r="AH826" s="41">
        <f>SUM(AH783:AH807)</f>
        <v>-1623</v>
      </c>
      <c r="AI826" s="42">
        <f>SUM(AI783:AI825)</f>
        <v>448224</v>
      </c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0</v>
      </c>
      <c r="B828" s="57"/>
      <c r="C828" s="57"/>
      <c r="D828" s="57"/>
      <c r="E828" s="57"/>
      <c r="G828" s="57"/>
      <c r="M828" t="s">
        <v>0</v>
      </c>
      <c r="N828" s="57"/>
      <c r="O828" s="57"/>
      <c r="P828" s="57"/>
      <c r="Q828" s="57"/>
      <c r="R828" s="57"/>
      <c r="S828" s="57"/>
      <c r="Y828" t="s">
        <v>0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t="s">
        <v>28</v>
      </c>
      <c r="B829" s="57"/>
      <c r="C829" s="57"/>
      <c r="D829" s="57"/>
      <c r="E829" s="57"/>
      <c r="G829" s="57"/>
      <c r="M829" t="s">
        <v>28</v>
      </c>
      <c r="N829" s="57"/>
      <c r="O829" s="57"/>
      <c r="P829" s="57"/>
      <c r="Q829" s="57"/>
      <c r="R829" s="57"/>
      <c r="S829" s="57"/>
      <c r="Y829" t="s">
        <v>28</v>
      </c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B830" s="57"/>
      <c r="C830" s="57"/>
      <c r="D830" s="57"/>
      <c r="E830" s="57"/>
      <c r="G830" s="57"/>
      <c r="N830" s="57"/>
      <c r="O830" s="57"/>
      <c r="P830" s="57"/>
      <c r="Q830" s="57"/>
      <c r="R830" s="57"/>
      <c r="S830" s="57"/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4" t="s">
        <v>14</v>
      </c>
      <c r="B831" s="57"/>
      <c r="C831" s="57"/>
      <c r="D831" s="57"/>
      <c r="E831" s="57"/>
      <c r="G831" s="57"/>
      <c r="M831" s="4" t="s">
        <v>14</v>
      </c>
      <c r="N831" s="57"/>
      <c r="O831" s="57"/>
      <c r="P831" s="57"/>
      <c r="Q831" s="57"/>
      <c r="R831" s="57"/>
      <c r="S831" s="57"/>
      <c r="Y831" s="4" t="s">
        <v>14</v>
      </c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x14ac:dyDescent="0.25">
      <c r="B832" s="57"/>
      <c r="C832" s="57"/>
      <c r="D832" s="57"/>
      <c r="E832" s="57"/>
      <c r="G832" s="57"/>
      <c r="N832" s="57"/>
      <c r="O832" s="57"/>
      <c r="P832" s="57"/>
      <c r="Q832" s="57"/>
      <c r="R832" s="57"/>
      <c r="S832" s="57"/>
      <c r="Z832" s="57"/>
      <c r="AA832" s="57"/>
      <c r="AB832" s="57"/>
      <c r="AC832" s="57"/>
      <c r="AD832" s="57"/>
      <c r="AE832" s="57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ht="15.75" x14ac:dyDescent="0.25">
      <c r="A833" t="s">
        <v>51</v>
      </c>
      <c r="B833" s="57"/>
      <c r="C833" s="57"/>
      <c r="D833" s="57"/>
      <c r="E833" s="57"/>
      <c r="G833" s="57"/>
      <c r="I833" s="57" t="s">
        <v>15</v>
      </c>
      <c r="J833" s="19">
        <v>1</v>
      </c>
      <c r="M833" t="s">
        <v>51</v>
      </c>
      <c r="N833" s="57"/>
      <c r="O833" s="57"/>
      <c r="P833" s="57"/>
      <c r="Q833" s="57"/>
      <c r="R833" s="57"/>
      <c r="S833" s="57"/>
      <c r="U833" s="57" t="s">
        <v>15</v>
      </c>
      <c r="V833" s="19">
        <v>2</v>
      </c>
      <c r="Y833" t="s">
        <v>48</v>
      </c>
      <c r="Z833" s="57"/>
      <c r="AA833" s="57"/>
      <c r="AB833" s="57"/>
      <c r="AC833" s="57"/>
      <c r="AD833" s="57"/>
      <c r="AE833" s="57"/>
      <c r="AG833" s="57" t="s">
        <v>15</v>
      </c>
      <c r="AH833" s="20">
        <v>3</v>
      </c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21" t="s">
        <v>83</v>
      </c>
      <c r="B834" s="20"/>
      <c r="C834" s="57"/>
      <c r="D834" s="57"/>
      <c r="E834" s="57"/>
      <c r="G834" s="57"/>
      <c r="I834" s="22" t="s">
        <v>16</v>
      </c>
      <c r="J834" s="23" t="s">
        <v>31</v>
      </c>
      <c r="K834" s="24"/>
      <c r="M834" s="21" t="s">
        <v>83</v>
      </c>
      <c r="N834" s="20"/>
      <c r="O834" s="57"/>
      <c r="P834" s="57"/>
      <c r="Q834" s="57"/>
      <c r="R834" s="57"/>
      <c r="S834" s="57"/>
      <c r="U834" s="22" t="s">
        <v>16</v>
      </c>
      <c r="V834" s="23" t="s">
        <v>33</v>
      </c>
      <c r="W834" s="24"/>
      <c r="Y834" s="21" t="s">
        <v>78</v>
      </c>
      <c r="Z834" s="20"/>
      <c r="AA834" s="57"/>
      <c r="AB834" s="57"/>
      <c r="AC834" s="57"/>
      <c r="AD834" s="57"/>
      <c r="AE834" s="57"/>
      <c r="AG834" s="22" t="s">
        <v>16</v>
      </c>
      <c r="AH834" s="23" t="s">
        <v>34</v>
      </c>
      <c r="AI834" s="24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57"/>
      <c r="C835" s="57"/>
      <c r="D835" s="57"/>
      <c r="E835" s="57"/>
      <c r="G835" s="57"/>
      <c r="N835" s="57"/>
      <c r="O835" s="57"/>
      <c r="P835" s="57"/>
      <c r="Q835" s="57"/>
      <c r="R835" s="57"/>
      <c r="S835" s="57"/>
      <c r="AA835" s="57"/>
      <c r="AB835" s="57"/>
      <c r="AC835" s="57"/>
      <c r="AD835" s="57"/>
      <c r="AE835" s="57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15" customHeight="1" x14ac:dyDescent="0.25">
      <c r="B836" s="25"/>
      <c r="C836" s="26"/>
      <c r="D836" s="126" t="s">
        <v>17</v>
      </c>
      <c r="E836" s="126"/>
      <c r="F836" s="104"/>
      <c r="G836" s="27"/>
      <c r="I836" s="120" t="s">
        <v>18</v>
      </c>
      <c r="J836" s="121"/>
      <c r="K836" s="122" t="s">
        <v>19</v>
      </c>
      <c r="N836" s="25"/>
      <c r="O836" s="26"/>
      <c r="P836" s="126" t="s">
        <v>17</v>
      </c>
      <c r="Q836" s="126"/>
      <c r="R836" s="104"/>
      <c r="S836" s="27"/>
      <c r="U836" s="120" t="s">
        <v>18</v>
      </c>
      <c r="V836" s="121"/>
      <c r="W836" s="122" t="s">
        <v>19</v>
      </c>
      <c r="Z836" s="25"/>
      <c r="AA836" s="26"/>
      <c r="AB836" s="104" t="s">
        <v>96</v>
      </c>
      <c r="AC836" s="104"/>
      <c r="AD836" s="104"/>
      <c r="AE836" s="27"/>
      <c r="AG836" s="105" t="s">
        <v>97</v>
      </c>
      <c r="AH836" s="106"/>
      <c r="AI836" s="102" t="s">
        <v>19</v>
      </c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ht="30" x14ac:dyDescent="0.25">
      <c r="B837" s="28" t="s">
        <v>20</v>
      </c>
      <c r="C837" s="28" t="s">
        <v>21</v>
      </c>
      <c r="D837" s="77" t="s">
        <v>22</v>
      </c>
      <c r="E837" s="76" t="s">
        <v>23</v>
      </c>
      <c r="F837" s="78" t="s">
        <v>32</v>
      </c>
      <c r="G837" s="78" t="s">
        <v>24</v>
      </c>
      <c r="I837" s="29" t="s">
        <v>25</v>
      </c>
      <c r="J837" s="29" t="s">
        <v>26</v>
      </c>
      <c r="K837" s="123"/>
      <c r="N837" s="28" t="s">
        <v>20</v>
      </c>
      <c r="O837" s="28" t="s">
        <v>21</v>
      </c>
      <c r="P837" s="77" t="s">
        <v>22</v>
      </c>
      <c r="Q837" s="78" t="s">
        <v>23</v>
      </c>
      <c r="R837" s="78" t="s">
        <v>32</v>
      </c>
      <c r="S837" s="78" t="s">
        <v>24</v>
      </c>
      <c r="U837" s="29" t="s">
        <v>25</v>
      </c>
      <c r="V837" s="29" t="s">
        <v>26</v>
      </c>
      <c r="W837" s="123"/>
      <c r="Z837" s="28" t="s">
        <v>20</v>
      </c>
      <c r="AA837" s="28" t="s">
        <v>21</v>
      </c>
      <c r="AB837" s="77" t="s">
        <v>22</v>
      </c>
      <c r="AC837" s="78" t="s">
        <v>23</v>
      </c>
      <c r="AD837" s="78" t="s">
        <v>32</v>
      </c>
      <c r="AE837" s="78" t="s">
        <v>24</v>
      </c>
      <c r="AG837" s="29" t="s">
        <v>25</v>
      </c>
      <c r="AH837" s="29" t="s">
        <v>26</v>
      </c>
      <c r="AI837" s="103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ht="15" customHeight="1" x14ac:dyDescent="0.25">
      <c r="A838" s="10">
        <v>1</v>
      </c>
      <c r="B838" s="30" t="s">
        <v>84</v>
      </c>
      <c r="C838" s="82">
        <v>10659</v>
      </c>
      <c r="D838" s="32">
        <f>650*130+670*5+622*15+650*2+872*3+229+500*2</f>
        <v>102325</v>
      </c>
      <c r="E838" s="32"/>
      <c r="F838" s="32"/>
      <c r="G838" s="32">
        <f t="shared" ref="G838:G871" si="190">SUM(D838:E838)</f>
        <v>102325</v>
      </c>
      <c r="H838" s="12"/>
      <c r="I838" s="12"/>
      <c r="J838" s="12">
        <f>-120*2+-111*41+-78+-42</f>
        <v>-4911</v>
      </c>
      <c r="K838" s="12">
        <f t="shared" ref="K838:K871" si="191">SUM(G838:J838)</f>
        <v>97414</v>
      </c>
      <c r="M838" s="10">
        <v>1</v>
      </c>
      <c r="N838" s="30" t="s">
        <v>84</v>
      </c>
      <c r="O838" s="31">
        <v>10569</v>
      </c>
      <c r="P838" s="32">
        <f>650*3+9.5*3</f>
        <v>1978.5</v>
      </c>
      <c r="Q838" s="32"/>
      <c r="R838" s="32"/>
      <c r="S838" s="32">
        <f>SUM(P838:Q838)</f>
        <v>1978.5</v>
      </c>
      <c r="T838" s="12"/>
      <c r="U838" s="12"/>
      <c r="V838" s="12"/>
      <c r="W838" s="12">
        <f>SUM(S838:V838)</f>
        <v>1978.5</v>
      </c>
      <c r="Y838" s="10">
        <v>1</v>
      </c>
      <c r="Z838" s="30" t="s">
        <v>84</v>
      </c>
      <c r="AA838" s="31">
        <v>10622</v>
      </c>
      <c r="AB838" s="32">
        <f>650*50+670*5+622*50+1050+872*2+229*4+650</f>
        <v>71310</v>
      </c>
      <c r="AC838" s="32">
        <f>-109*6</f>
        <v>-654</v>
      </c>
      <c r="AD838" s="32"/>
      <c r="AE838" s="32">
        <f>SUM(AB838:AC838)</f>
        <v>70656</v>
      </c>
      <c r="AF838" s="12"/>
      <c r="AG838" s="12">
        <f>78*2+120*3</f>
        <v>516</v>
      </c>
      <c r="AH838" s="12">
        <f>-111*2+-84*4</f>
        <v>-558</v>
      </c>
      <c r="AI838" s="12">
        <f>SUM(AE838:AH838)</f>
        <v>70614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2</v>
      </c>
      <c r="B839" s="30" t="s">
        <v>84</v>
      </c>
      <c r="C839" s="82">
        <f>C838+1</f>
        <v>10660</v>
      </c>
      <c r="D839" s="32">
        <f>650*180+622*20+229*4</f>
        <v>130356</v>
      </c>
      <c r="E839" s="32"/>
      <c r="F839" s="32"/>
      <c r="G839" s="32">
        <f t="shared" si="190"/>
        <v>130356</v>
      </c>
      <c r="H839" s="12"/>
      <c r="I839" s="12">
        <f>111*80</f>
        <v>8880</v>
      </c>
      <c r="J839" s="12"/>
      <c r="K839" s="12">
        <f t="shared" si="191"/>
        <v>139236</v>
      </c>
      <c r="M839" s="10">
        <v>2</v>
      </c>
      <c r="N839" s="30" t="s">
        <v>85</v>
      </c>
      <c r="O839" s="31">
        <f>O838+1</f>
        <v>10570</v>
      </c>
      <c r="P839" s="32">
        <f>650*3+622*2</f>
        <v>3194</v>
      </c>
      <c r="Q839" s="32"/>
      <c r="R839" s="32"/>
      <c r="S839" s="32">
        <f t="shared" ref="S839:S876" si="192">SUM(P839:Q839)</f>
        <v>3194</v>
      </c>
      <c r="T839" s="12"/>
      <c r="U839" s="12"/>
      <c r="V839" s="12"/>
      <c r="W839" s="12">
        <f t="shared" ref="W839:W879" si="193">SUM(S839:V839)</f>
        <v>3194</v>
      </c>
      <c r="Y839" s="10">
        <v>2</v>
      </c>
      <c r="Z839" s="30" t="s">
        <v>85</v>
      </c>
      <c r="AA839" s="31">
        <f>AA838+1</f>
        <v>10623</v>
      </c>
      <c r="AB839" s="32">
        <f>650*30+622*6+229</f>
        <v>23461</v>
      </c>
      <c r="AC839" s="32"/>
      <c r="AD839" s="32"/>
      <c r="AE839" s="32">
        <f t="shared" ref="AE839:AE876" si="194">SUM(AB839:AC839)</f>
        <v>23461</v>
      </c>
      <c r="AF839" s="12"/>
      <c r="AG839" s="12"/>
      <c r="AH839" s="12"/>
      <c r="AI839" s="12">
        <f t="shared" ref="AI839:AI879" si="195">SUM(AE839:AH839)</f>
        <v>23461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3</v>
      </c>
      <c r="B840" s="30" t="s">
        <v>84</v>
      </c>
      <c r="C840" s="82">
        <f>10661</f>
        <v>10661</v>
      </c>
      <c r="D840" s="33">
        <f>650*14</f>
        <v>9100</v>
      </c>
      <c r="E840" s="33"/>
      <c r="F840" s="33"/>
      <c r="G840" s="33">
        <f t="shared" si="190"/>
        <v>9100</v>
      </c>
      <c r="H840" s="34"/>
      <c r="I840" s="34"/>
      <c r="J840" s="34"/>
      <c r="K840" s="34">
        <f t="shared" si="191"/>
        <v>9100</v>
      </c>
      <c r="M840" s="10">
        <v>3</v>
      </c>
      <c r="N840" s="30" t="s">
        <v>86</v>
      </c>
      <c r="O840" s="31">
        <f t="shared" ref="O840:O849" si="196">O839+1</f>
        <v>10571</v>
      </c>
      <c r="P840" s="32">
        <f>650+622+9.5*2</f>
        <v>1291</v>
      </c>
      <c r="Q840" s="32"/>
      <c r="R840" s="32"/>
      <c r="S840" s="32">
        <f t="shared" si="192"/>
        <v>1291</v>
      </c>
      <c r="T840" s="12"/>
      <c r="U840" s="12">
        <f>1.5*2</f>
        <v>3</v>
      </c>
      <c r="V840" s="12"/>
      <c r="W840" s="12">
        <f t="shared" si="193"/>
        <v>1294</v>
      </c>
      <c r="Y840" s="10">
        <v>3</v>
      </c>
      <c r="Z840" s="30" t="s">
        <v>86</v>
      </c>
      <c r="AA840" s="31">
        <f t="shared" ref="AA840:AA845" si="197">AA839+1</f>
        <v>10624</v>
      </c>
      <c r="AB840" s="33">
        <f>650*60+670*20+622*30+229*4</f>
        <v>71976</v>
      </c>
      <c r="AC840" s="33">
        <f>-110*6</f>
        <v>-660</v>
      </c>
      <c r="AD840" s="32"/>
      <c r="AE840" s="32">
        <f t="shared" si="194"/>
        <v>71316</v>
      </c>
      <c r="AF840" s="12"/>
      <c r="AG840" s="12"/>
      <c r="AH840" s="12"/>
      <c r="AI840" s="12">
        <f t="shared" si="195"/>
        <v>71316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4</v>
      </c>
      <c r="B841" s="30" t="s">
        <v>84</v>
      </c>
      <c r="C841" s="57">
        <v>10662</v>
      </c>
      <c r="D841" s="32">
        <f>650*108+670*10+622*10</f>
        <v>83120</v>
      </c>
      <c r="E841" s="32"/>
      <c r="F841" s="32"/>
      <c r="G841" s="32">
        <f t="shared" si="190"/>
        <v>83120</v>
      </c>
      <c r="H841" s="12"/>
      <c r="I841" s="12"/>
      <c r="J841" s="12"/>
      <c r="K841" s="12">
        <f t="shared" si="191"/>
        <v>83120</v>
      </c>
      <c r="M841" s="10">
        <v>4</v>
      </c>
      <c r="N841" s="30" t="s">
        <v>87</v>
      </c>
      <c r="O841" s="31">
        <f t="shared" si="196"/>
        <v>10572</v>
      </c>
      <c r="P841" s="32">
        <f>650*38+622*5+9.5*5</f>
        <v>27857.5</v>
      </c>
      <c r="Q841" s="32"/>
      <c r="R841" s="32"/>
      <c r="S841" s="32">
        <f t="shared" si="192"/>
        <v>27857.5</v>
      </c>
      <c r="T841" s="12"/>
      <c r="U841" s="12"/>
      <c r="V841" s="12"/>
      <c r="W841" s="12">
        <f t="shared" si="193"/>
        <v>27857.5</v>
      </c>
      <c r="Y841" s="10">
        <v>4</v>
      </c>
      <c r="Z841" s="30" t="s">
        <v>87</v>
      </c>
      <c r="AA841" s="31">
        <f t="shared" si="197"/>
        <v>10625</v>
      </c>
      <c r="AB841" s="32">
        <f>650*21+872*2+229</f>
        <v>15623</v>
      </c>
      <c r="AC841" s="32"/>
      <c r="AD841" s="32"/>
      <c r="AE841" s="32">
        <f t="shared" si="194"/>
        <v>15623</v>
      </c>
      <c r="AF841" s="12"/>
      <c r="AG841">
        <f>120*2+1.5*10+4.5*10</f>
        <v>300</v>
      </c>
      <c r="AH841" s="12"/>
      <c r="AI841" s="12">
        <f t="shared" si="195"/>
        <v>15923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5</v>
      </c>
      <c r="B842" s="30" t="s">
        <v>84</v>
      </c>
      <c r="C842" s="82">
        <v>10663</v>
      </c>
      <c r="D842" s="32">
        <f>650*16</f>
        <v>10400</v>
      </c>
      <c r="E842" s="32"/>
      <c r="F842" s="32"/>
      <c r="G842" s="32">
        <f t="shared" si="190"/>
        <v>10400</v>
      </c>
      <c r="H842" s="12"/>
      <c r="I842" s="12"/>
      <c r="J842" s="12">
        <f>-120+-111*10</f>
        <v>-1230</v>
      </c>
      <c r="K842" s="12">
        <f t="shared" si="191"/>
        <v>9170</v>
      </c>
      <c r="M842" s="10">
        <v>5</v>
      </c>
      <c r="N842" s="30" t="s">
        <v>88</v>
      </c>
      <c r="O842" s="31">
        <f t="shared" si="196"/>
        <v>10573</v>
      </c>
      <c r="P842" s="32">
        <f>650*19+9.5*5</f>
        <v>12397.5</v>
      </c>
      <c r="Q842" s="32"/>
      <c r="R842" s="32"/>
      <c r="S842" s="32">
        <f t="shared" si="192"/>
        <v>12397.5</v>
      </c>
      <c r="T842" s="12"/>
      <c r="U842" s="12"/>
      <c r="V842" s="12"/>
      <c r="W842" s="12">
        <f t="shared" si="193"/>
        <v>12397.5</v>
      </c>
      <c r="Y842" s="10">
        <v>5</v>
      </c>
      <c r="Z842" s="30" t="s">
        <v>88</v>
      </c>
      <c r="AA842" s="31">
        <f t="shared" si="197"/>
        <v>10626</v>
      </c>
      <c r="AB842" s="32">
        <f>650*30+622*7+229</f>
        <v>24083</v>
      </c>
      <c r="AC842" s="32"/>
      <c r="AD842" s="32"/>
      <c r="AE842" s="32">
        <f t="shared" si="194"/>
        <v>24083</v>
      </c>
      <c r="AF842" s="12"/>
      <c r="AG842" s="12">
        <v>78</v>
      </c>
      <c r="AH842" s="12"/>
      <c r="AI842" s="12">
        <f t="shared" si="195"/>
        <v>24161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6</v>
      </c>
      <c r="B843" s="30"/>
      <c r="C843" s="11" t="s">
        <v>27</v>
      </c>
      <c r="D843" s="32"/>
      <c r="E843" s="32"/>
      <c r="F843" s="32"/>
      <c r="G843" s="32">
        <f t="shared" si="190"/>
        <v>0</v>
      </c>
      <c r="H843" s="12"/>
      <c r="I843" s="12"/>
      <c r="J843" s="12"/>
      <c r="K843" s="12">
        <f t="shared" si="191"/>
        <v>0</v>
      </c>
      <c r="M843" s="10">
        <v>6</v>
      </c>
      <c r="N843" s="30" t="s">
        <v>89</v>
      </c>
      <c r="O843" s="31">
        <f t="shared" si="196"/>
        <v>10574</v>
      </c>
      <c r="P843" s="32">
        <f>650*18+9.5*18</f>
        <v>11871</v>
      </c>
      <c r="Q843" s="32"/>
      <c r="R843" s="32"/>
      <c r="S843" s="32">
        <f t="shared" si="192"/>
        <v>11871</v>
      </c>
      <c r="T843" s="12"/>
      <c r="U843" s="12"/>
      <c r="V843" s="10">
        <f>-111*6</f>
        <v>-666</v>
      </c>
      <c r="W843" s="12">
        <f t="shared" si="193"/>
        <v>11205</v>
      </c>
      <c r="Y843" s="10">
        <v>6</v>
      </c>
      <c r="Z843" s="30" t="s">
        <v>89</v>
      </c>
      <c r="AA843" s="31">
        <f t="shared" si="197"/>
        <v>10627</v>
      </c>
      <c r="AB843" s="32">
        <f>650*9</f>
        <v>5850</v>
      </c>
      <c r="AC843" s="32"/>
      <c r="AD843" s="32"/>
      <c r="AE843" s="32">
        <f t="shared" si="194"/>
        <v>5850</v>
      </c>
      <c r="AF843" s="12"/>
      <c r="AG843" s="12"/>
      <c r="AH843" s="10">
        <f>-111*2</f>
        <v>-222</v>
      </c>
      <c r="AI843" s="12">
        <f t="shared" si="195"/>
        <v>5628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7</v>
      </c>
      <c r="B844" s="30"/>
      <c r="C844" s="57"/>
      <c r="D844" s="32"/>
      <c r="E844" s="32"/>
      <c r="F844" s="32"/>
      <c r="G844" s="32">
        <f t="shared" si="190"/>
        <v>0</v>
      </c>
      <c r="H844" s="12"/>
      <c r="I844" s="12"/>
      <c r="J844" s="12"/>
      <c r="K844" s="12">
        <f t="shared" si="191"/>
        <v>0</v>
      </c>
      <c r="M844" s="10">
        <v>7</v>
      </c>
      <c r="N844" s="30" t="s">
        <v>90</v>
      </c>
      <c r="O844" s="31">
        <f t="shared" si="196"/>
        <v>10575</v>
      </c>
      <c r="P844" s="32">
        <f>650*4</f>
        <v>2600</v>
      </c>
      <c r="Q844" s="32"/>
      <c r="R844" s="32"/>
      <c r="S844" s="32">
        <f t="shared" si="192"/>
        <v>2600</v>
      </c>
      <c r="T844" s="12"/>
      <c r="U844" s="12"/>
      <c r="V844" s="12"/>
      <c r="W844" s="12">
        <f t="shared" si="193"/>
        <v>2600</v>
      </c>
      <c r="Y844" s="10">
        <v>7</v>
      </c>
      <c r="Z844" s="30" t="s">
        <v>90</v>
      </c>
      <c r="AA844" s="31">
        <f t="shared" si="197"/>
        <v>10628</v>
      </c>
      <c r="AB844" s="32">
        <f>650*10</f>
        <v>6500</v>
      </c>
      <c r="AC844" s="32"/>
      <c r="AD844" s="32"/>
      <c r="AE844" s="32">
        <f t="shared" si="194"/>
        <v>6500</v>
      </c>
      <c r="AF844" s="12"/>
      <c r="AG844" s="58"/>
      <c r="AH844" s="12"/>
      <c r="AI844" s="12">
        <f t="shared" si="195"/>
        <v>6500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8</v>
      </c>
      <c r="B845" s="30"/>
      <c r="C845" s="82"/>
      <c r="D845" s="32"/>
      <c r="E845" s="32"/>
      <c r="F845" s="32"/>
      <c r="G845" s="32">
        <f t="shared" si="190"/>
        <v>0</v>
      </c>
      <c r="H845" s="12"/>
      <c r="I845" s="12"/>
      <c r="J845" s="12"/>
      <c r="K845" s="12">
        <f t="shared" si="191"/>
        <v>0</v>
      </c>
      <c r="M845" s="10">
        <v>8</v>
      </c>
      <c r="N845" s="30" t="s">
        <v>91</v>
      </c>
      <c r="O845" s="31">
        <f t="shared" si="196"/>
        <v>10576</v>
      </c>
      <c r="P845" s="32">
        <f>650*216+229*10</f>
        <v>142690</v>
      </c>
      <c r="Q845" s="32">
        <f>-216*6</f>
        <v>-1296</v>
      </c>
      <c r="R845" s="32"/>
      <c r="S845" s="32">
        <f t="shared" si="192"/>
        <v>141394</v>
      </c>
      <c r="T845" s="12"/>
      <c r="U845" s="12">
        <f>78*10</f>
        <v>780</v>
      </c>
      <c r="V845" s="12">
        <f>-111*3+-42*7</f>
        <v>-627</v>
      </c>
      <c r="W845" s="12">
        <f t="shared" si="193"/>
        <v>141547</v>
      </c>
      <c r="Y845" s="10">
        <v>8</v>
      </c>
      <c r="Z845" s="30" t="s">
        <v>91</v>
      </c>
      <c r="AA845" s="31">
        <f t="shared" si="197"/>
        <v>10629</v>
      </c>
      <c r="AB845" s="32">
        <f>650*30</f>
        <v>19500</v>
      </c>
      <c r="AC845" s="32"/>
      <c r="AE845" s="32">
        <f t="shared" si="194"/>
        <v>19500</v>
      </c>
      <c r="AF845" s="12"/>
      <c r="AG845" s="12"/>
      <c r="AH845" s="12"/>
      <c r="AI845" s="12">
        <f t="shared" si="195"/>
        <v>19500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9</v>
      </c>
      <c r="B846" s="30"/>
      <c r="C846" s="82"/>
      <c r="D846" s="32"/>
      <c r="E846" s="32"/>
      <c r="F846" s="32"/>
      <c r="G846" s="32">
        <f t="shared" si="190"/>
        <v>0</v>
      </c>
      <c r="H846" s="12"/>
      <c r="I846" s="12"/>
      <c r="J846" s="12"/>
      <c r="K846" s="12">
        <f t="shared" si="191"/>
        <v>0</v>
      </c>
      <c r="M846" s="10">
        <v>9</v>
      </c>
      <c r="N846" s="30" t="s">
        <v>92</v>
      </c>
      <c r="O846" s="31">
        <f t="shared" si="196"/>
        <v>10577</v>
      </c>
      <c r="P846" s="32">
        <f>650*50+622*10+9.5*21</f>
        <v>38919.5</v>
      </c>
      <c r="Q846" s="32"/>
      <c r="R846" s="32"/>
      <c r="S846" s="32">
        <f t="shared" si="192"/>
        <v>38919.5</v>
      </c>
      <c r="T846" s="12"/>
      <c r="U846" s="12">
        <f>4.5*2+1.5*19</f>
        <v>37.5</v>
      </c>
      <c r="V846" s="12"/>
      <c r="W846" s="12">
        <f t="shared" si="193"/>
        <v>38957</v>
      </c>
      <c r="Y846" s="10">
        <v>9</v>
      </c>
      <c r="Z846" s="30"/>
      <c r="AA846" s="11" t="s">
        <v>27</v>
      </c>
      <c r="AB846" s="32"/>
      <c r="AC846" s="32"/>
      <c r="AD846" s="32"/>
      <c r="AE846" s="32">
        <f t="shared" si="194"/>
        <v>0</v>
      </c>
      <c r="AF846" s="12"/>
      <c r="AG846" s="12"/>
      <c r="AH846" s="12"/>
      <c r="AI846" s="12">
        <f t="shared" si="195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10</v>
      </c>
      <c r="B847" s="30"/>
      <c r="C847" s="57"/>
      <c r="D847" s="32"/>
      <c r="E847" s="32"/>
      <c r="F847" s="32"/>
      <c r="G847" s="32">
        <f t="shared" si="190"/>
        <v>0</v>
      </c>
      <c r="H847" s="12"/>
      <c r="I847" s="12"/>
      <c r="J847" s="12"/>
      <c r="K847" s="12">
        <f t="shared" si="191"/>
        <v>0</v>
      </c>
      <c r="M847" s="10">
        <v>10</v>
      </c>
      <c r="N847" s="30" t="s">
        <v>93</v>
      </c>
      <c r="O847" s="31">
        <f t="shared" si="196"/>
        <v>10578</v>
      </c>
      <c r="P847" s="32">
        <f>650*2+670</f>
        <v>1970</v>
      </c>
      <c r="Q847" s="32"/>
      <c r="R847" s="32"/>
      <c r="S847" s="32">
        <f t="shared" si="192"/>
        <v>1970</v>
      </c>
      <c r="T847" s="12"/>
      <c r="U847" s="12"/>
      <c r="V847" s="12"/>
      <c r="W847" s="12">
        <f t="shared" si="193"/>
        <v>1970</v>
      </c>
      <c r="Y847" s="10">
        <v>10</v>
      </c>
      <c r="Z847" s="30"/>
      <c r="AA847" s="31"/>
      <c r="AB847" s="32"/>
      <c r="AC847" s="32"/>
      <c r="AD847" s="32"/>
      <c r="AE847" s="32">
        <f t="shared" si="194"/>
        <v>0</v>
      </c>
      <c r="AF847" s="12"/>
      <c r="AG847" s="12"/>
      <c r="AH847" s="12"/>
      <c r="AI847" s="12">
        <f t="shared" si="195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11</v>
      </c>
      <c r="B848" s="30"/>
      <c r="C848" s="57"/>
      <c r="D848" s="32"/>
      <c r="E848" s="32"/>
      <c r="F848" s="32"/>
      <c r="G848" s="32">
        <f t="shared" si="190"/>
        <v>0</v>
      </c>
      <c r="H848" s="12"/>
      <c r="I848" s="12"/>
      <c r="J848" s="12"/>
      <c r="K848" s="12">
        <f t="shared" si="191"/>
        <v>0</v>
      </c>
      <c r="M848" s="10">
        <v>11</v>
      </c>
      <c r="N848" s="30" t="s">
        <v>94</v>
      </c>
      <c r="O848" s="31">
        <f t="shared" si="196"/>
        <v>10579</v>
      </c>
      <c r="P848" s="32">
        <v>670</v>
      </c>
      <c r="Q848" s="32"/>
      <c r="R848" s="32"/>
      <c r="S848" s="32">
        <f t="shared" si="192"/>
        <v>670</v>
      </c>
      <c r="T848" s="12"/>
      <c r="U848" s="12"/>
      <c r="V848" s="12"/>
      <c r="W848" s="12">
        <f t="shared" si="193"/>
        <v>670</v>
      </c>
      <c r="Y848" s="10">
        <v>11</v>
      </c>
      <c r="Z848" s="30"/>
      <c r="AB848" s="32"/>
      <c r="AC848" s="32"/>
      <c r="AD848" s="32"/>
      <c r="AE848" s="32">
        <f t="shared" si="194"/>
        <v>0</v>
      </c>
      <c r="AF848" s="12"/>
      <c r="AG848" s="12"/>
      <c r="AH848" s="12"/>
      <c r="AI848" s="12">
        <f t="shared" si="19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12</v>
      </c>
      <c r="B849" s="30"/>
      <c r="C849" s="82"/>
      <c r="D849" s="32"/>
      <c r="E849" s="32"/>
      <c r="F849" s="32"/>
      <c r="G849" s="32">
        <f t="shared" si="190"/>
        <v>0</v>
      </c>
      <c r="H849" s="12"/>
      <c r="I849" s="12"/>
      <c r="J849" s="10"/>
      <c r="K849" s="12">
        <f t="shared" si="191"/>
        <v>0</v>
      </c>
      <c r="M849" s="10">
        <v>12</v>
      </c>
      <c r="N849" s="30" t="s">
        <v>95</v>
      </c>
      <c r="O849" s="31">
        <f t="shared" si="196"/>
        <v>10580</v>
      </c>
      <c r="P849" s="32">
        <f>650*6+622+872</f>
        <v>5394</v>
      </c>
      <c r="Q849" s="32"/>
      <c r="R849" s="32"/>
      <c r="S849" s="32">
        <f t="shared" si="192"/>
        <v>5394</v>
      </c>
      <c r="T849" s="12"/>
      <c r="U849" s="12"/>
      <c r="V849" s="12"/>
      <c r="W849" s="12">
        <f t="shared" si="193"/>
        <v>5394</v>
      </c>
      <c r="Y849" s="10">
        <v>12</v>
      </c>
      <c r="Z849" s="30"/>
      <c r="AA849" s="31"/>
      <c r="AB849" s="32"/>
      <c r="AC849" s="32"/>
      <c r="AD849" s="32"/>
      <c r="AE849" s="32">
        <f t="shared" si="194"/>
        <v>0</v>
      </c>
      <c r="AF849" s="12"/>
      <c r="AG849" s="12"/>
      <c r="AH849" s="12"/>
      <c r="AI849" s="12">
        <f t="shared" si="19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13</v>
      </c>
      <c r="B850" s="30"/>
      <c r="C850" s="82"/>
      <c r="D850" s="32"/>
      <c r="E850" s="32"/>
      <c r="F850" s="32"/>
      <c r="G850" s="32">
        <f t="shared" si="190"/>
        <v>0</v>
      </c>
      <c r="H850" s="12"/>
      <c r="I850" s="12"/>
      <c r="J850" s="12"/>
      <c r="K850" s="12">
        <f t="shared" si="191"/>
        <v>0</v>
      </c>
      <c r="M850" s="10">
        <v>13</v>
      </c>
      <c r="N850" s="30"/>
      <c r="O850" s="11" t="s">
        <v>27</v>
      </c>
      <c r="P850" s="32"/>
      <c r="Q850" s="32"/>
      <c r="R850" s="32"/>
      <c r="S850" s="32">
        <f t="shared" si="192"/>
        <v>0</v>
      </c>
      <c r="T850" s="12"/>
      <c r="U850" s="12"/>
      <c r="V850" s="12"/>
      <c r="W850" s="12">
        <f t="shared" si="193"/>
        <v>0</v>
      </c>
      <c r="Y850" s="10">
        <v>13</v>
      </c>
      <c r="Z850" s="30"/>
      <c r="AA850" s="31"/>
      <c r="AB850" s="32"/>
      <c r="AC850" s="32"/>
      <c r="AD850" s="32"/>
      <c r="AE850" s="32">
        <f t="shared" si="194"/>
        <v>0</v>
      </c>
      <c r="AF850" s="12"/>
      <c r="AG850" s="12"/>
      <c r="AH850" s="12"/>
      <c r="AI850" s="12">
        <f t="shared" si="19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14</v>
      </c>
      <c r="B851" s="30"/>
      <c r="C851" s="82"/>
      <c r="D851" s="32"/>
      <c r="E851" s="32"/>
      <c r="F851" s="32"/>
      <c r="G851" s="32">
        <f t="shared" si="190"/>
        <v>0</v>
      </c>
      <c r="H851" s="12"/>
      <c r="I851" s="12"/>
      <c r="J851" s="12"/>
      <c r="K851" s="12">
        <f t="shared" si="191"/>
        <v>0</v>
      </c>
      <c r="M851" s="10">
        <v>14</v>
      </c>
      <c r="N851" s="30"/>
      <c r="P851" s="32"/>
      <c r="Q851" s="32"/>
      <c r="R851" s="32"/>
      <c r="S851" s="32">
        <f t="shared" si="192"/>
        <v>0</v>
      </c>
      <c r="T851" s="12"/>
      <c r="U851" s="12"/>
      <c r="V851" s="12"/>
      <c r="W851" s="12">
        <f t="shared" si="193"/>
        <v>0</v>
      </c>
      <c r="Y851" s="10">
        <v>14</v>
      </c>
      <c r="Z851" s="30"/>
      <c r="AA851" s="31"/>
      <c r="AB851" s="32"/>
      <c r="AC851" s="32"/>
      <c r="AD851" s="32"/>
      <c r="AE851" s="32">
        <f t="shared" si="194"/>
        <v>0</v>
      </c>
      <c r="AF851" s="12"/>
      <c r="AG851" s="12"/>
      <c r="AH851" s="12"/>
      <c r="AI851" s="12">
        <f t="shared" si="19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15</v>
      </c>
      <c r="B852" s="30"/>
      <c r="C852" s="82"/>
      <c r="D852" s="32"/>
      <c r="E852" s="32"/>
      <c r="F852" s="32"/>
      <c r="G852" s="32">
        <f t="shared" si="190"/>
        <v>0</v>
      </c>
      <c r="H852" s="12"/>
      <c r="I852" s="12"/>
      <c r="J852" s="12"/>
      <c r="K852" s="12">
        <f t="shared" si="191"/>
        <v>0</v>
      </c>
      <c r="M852" s="10">
        <v>15</v>
      </c>
      <c r="N852" s="30"/>
      <c r="O852" s="31"/>
      <c r="P852" s="32"/>
      <c r="Q852" s="32"/>
      <c r="R852" s="32"/>
      <c r="S852" s="32">
        <f t="shared" si="192"/>
        <v>0</v>
      </c>
      <c r="T852" s="12"/>
      <c r="U852" s="12"/>
      <c r="V852" s="12"/>
      <c r="W852" s="12">
        <f t="shared" si="193"/>
        <v>0</v>
      </c>
      <c r="Y852" s="10">
        <v>15</v>
      </c>
      <c r="Z852" s="30"/>
      <c r="AA852" s="31"/>
      <c r="AB852" s="32"/>
      <c r="AC852" s="32"/>
      <c r="AD852" s="32"/>
      <c r="AE852" s="32">
        <f t="shared" si="194"/>
        <v>0</v>
      </c>
      <c r="AF852" s="12"/>
      <c r="AG852" s="12"/>
      <c r="AH852" s="12"/>
      <c r="AI852" s="12">
        <f t="shared" si="19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16</v>
      </c>
      <c r="B853" s="30"/>
      <c r="C853" s="82"/>
      <c r="D853" s="32"/>
      <c r="E853" s="32"/>
      <c r="F853" s="32"/>
      <c r="G853" s="32">
        <f t="shared" si="190"/>
        <v>0</v>
      </c>
      <c r="H853" s="12"/>
      <c r="I853" s="12"/>
      <c r="J853" s="12"/>
      <c r="K853" s="12">
        <f t="shared" si="191"/>
        <v>0</v>
      </c>
      <c r="M853" s="10">
        <v>16</v>
      </c>
      <c r="N853" s="30"/>
      <c r="O853" s="31"/>
      <c r="P853" s="32"/>
      <c r="Q853" s="32"/>
      <c r="R853" s="32"/>
      <c r="S853" s="32">
        <f t="shared" si="192"/>
        <v>0</v>
      </c>
      <c r="T853" s="12"/>
      <c r="U853" s="12"/>
      <c r="V853" s="12"/>
      <c r="W853" s="12">
        <f t="shared" si="193"/>
        <v>0</v>
      </c>
      <c r="Y853" s="10">
        <v>16</v>
      </c>
      <c r="Z853" s="30"/>
      <c r="AB853" s="32"/>
      <c r="AC853" s="32"/>
      <c r="AD853" s="32"/>
      <c r="AE853" s="32">
        <f t="shared" si="194"/>
        <v>0</v>
      </c>
      <c r="AF853" s="12"/>
      <c r="AG853" s="12"/>
      <c r="AH853" s="12"/>
      <c r="AI853" s="12">
        <f t="shared" si="19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17</v>
      </c>
      <c r="B854" s="30"/>
      <c r="C854" s="82"/>
      <c r="D854" s="32"/>
      <c r="E854" s="32"/>
      <c r="F854" s="32"/>
      <c r="G854" s="32">
        <f t="shared" si="190"/>
        <v>0</v>
      </c>
      <c r="H854" s="12"/>
      <c r="I854" s="12"/>
      <c r="J854" s="12"/>
      <c r="K854" s="12">
        <f t="shared" si="191"/>
        <v>0</v>
      </c>
      <c r="M854" s="10">
        <v>17</v>
      </c>
      <c r="N854" s="30"/>
      <c r="P854" s="35"/>
      <c r="Q854" s="32"/>
      <c r="R854" s="32"/>
      <c r="S854" s="32">
        <f t="shared" si="192"/>
        <v>0</v>
      </c>
      <c r="T854" s="12"/>
      <c r="U854" s="12"/>
      <c r="V854" s="12"/>
      <c r="W854" s="12">
        <f t="shared" si="193"/>
        <v>0</v>
      </c>
      <c r="Y854" s="10">
        <v>17</v>
      </c>
      <c r="Z854" s="30"/>
      <c r="AA854" s="31"/>
      <c r="AB854" s="35"/>
      <c r="AC854" s="32"/>
      <c r="AD854" s="32"/>
      <c r="AE854" s="32">
        <f t="shared" si="194"/>
        <v>0</v>
      </c>
      <c r="AF854" s="12"/>
      <c r="AG854" s="12"/>
      <c r="AH854" s="12"/>
      <c r="AI854" s="12">
        <f t="shared" si="19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18</v>
      </c>
      <c r="B855" s="30"/>
      <c r="C855" s="82"/>
      <c r="D855" s="32"/>
      <c r="E855" s="32"/>
      <c r="F855" s="32"/>
      <c r="G855" s="32">
        <f t="shared" si="190"/>
        <v>0</v>
      </c>
      <c r="H855" s="12"/>
      <c r="I855" s="12"/>
      <c r="J855" s="12"/>
      <c r="K855" s="12">
        <f t="shared" si="191"/>
        <v>0</v>
      </c>
      <c r="M855" s="10">
        <v>18</v>
      </c>
      <c r="N855" s="30"/>
      <c r="O855" s="11"/>
      <c r="P855" s="32"/>
      <c r="Q855" s="32"/>
      <c r="R855" s="32"/>
      <c r="S855" s="32">
        <f t="shared" si="192"/>
        <v>0</v>
      </c>
      <c r="T855" s="12"/>
      <c r="U855" s="12"/>
      <c r="V855" s="12"/>
      <c r="W855" s="12">
        <f t="shared" si="193"/>
        <v>0</v>
      </c>
      <c r="Y855" s="10">
        <v>18</v>
      </c>
      <c r="Z855" s="30"/>
      <c r="AA855" s="31"/>
      <c r="AB855" s="32"/>
      <c r="AC855" s="32"/>
      <c r="AD855" s="32"/>
      <c r="AE855" s="32">
        <f t="shared" si="194"/>
        <v>0</v>
      </c>
      <c r="AF855" s="12"/>
      <c r="AG855" s="12"/>
      <c r="AH855" s="12"/>
      <c r="AI855" s="12">
        <f t="shared" si="19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19</v>
      </c>
      <c r="B856" s="30"/>
      <c r="C856" s="82"/>
      <c r="D856" s="32"/>
      <c r="E856" s="32"/>
      <c r="F856" s="32"/>
      <c r="G856" s="32">
        <f t="shared" si="190"/>
        <v>0</v>
      </c>
      <c r="H856" s="12"/>
      <c r="I856" s="12"/>
      <c r="J856" s="12"/>
      <c r="K856" s="12">
        <f t="shared" si="191"/>
        <v>0</v>
      </c>
      <c r="M856" s="10">
        <v>19</v>
      </c>
      <c r="N856" s="30"/>
      <c r="O856" s="31"/>
      <c r="P856" s="32"/>
      <c r="Q856" s="32"/>
      <c r="R856" s="32"/>
      <c r="S856" s="32">
        <f t="shared" si="192"/>
        <v>0</v>
      </c>
      <c r="T856" s="12"/>
      <c r="U856" s="12"/>
      <c r="V856" s="12"/>
      <c r="W856" s="12">
        <f t="shared" si="193"/>
        <v>0</v>
      </c>
      <c r="Y856" s="10">
        <v>19</v>
      </c>
      <c r="Z856" s="30"/>
      <c r="AA856" s="31"/>
      <c r="AB856" s="32"/>
      <c r="AC856" s="32"/>
      <c r="AD856" s="32"/>
      <c r="AE856" s="32">
        <f t="shared" si="194"/>
        <v>0</v>
      </c>
      <c r="AF856" s="12"/>
      <c r="AG856" s="12"/>
      <c r="AH856" s="12"/>
      <c r="AI856" s="12">
        <f t="shared" si="19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20</v>
      </c>
      <c r="B857" s="30"/>
      <c r="C857" s="82"/>
      <c r="D857" s="32"/>
      <c r="E857" s="32"/>
      <c r="F857" s="32"/>
      <c r="G857" s="32">
        <f t="shared" si="190"/>
        <v>0</v>
      </c>
      <c r="H857" s="12"/>
      <c r="I857" s="12"/>
      <c r="J857" s="12"/>
      <c r="K857" s="12">
        <f t="shared" si="191"/>
        <v>0</v>
      </c>
      <c r="M857" s="10">
        <v>20</v>
      </c>
      <c r="N857" s="30"/>
      <c r="P857" s="32"/>
      <c r="Q857" s="32"/>
      <c r="R857" s="32"/>
      <c r="S857" s="32">
        <f t="shared" si="192"/>
        <v>0</v>
      </c>
      <c r="T857" s="12"/>
      <c r="U857" s="12"/>
      <c r="V857" s="12"/>
      <c r="W857" s="12">
        <f t="shared" si="193"/>
        <v>0</v>
      </c>
      <c r="Y857" s="10">
        <v>20</v>
      </c>
      <c r="Z857" s="30"/>
      <c r="AB857" s="32"/>
      <c r="AC857" s="32"/>
      <c r="AD857" s="32"/>
      <c r="AE857" s="32">
        <f t="shared" si="194"/>
        <v>0</v>
      </c>
      <c r="AF857" s="12"/>
      <c r="AG857" s="12"/>
      <c r="AH857" s="12"/>
      <c r="AI857" s="12">
        <f t="shared" si="19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21</v>
      </c>
      <c r="B858" s="30"/>
      <c r="C858" s="57"/>
      <c r="D858" s="32"/>
      <c r="E858" s="32"/>
      <c r="F858" s="32"/>
      <c r="G858" s="32">
        <f t="shared" si="190"/>
        <v>0</v>
      </c>
      <c r="H858" s="10"/>
      <c r="I858" s="10"/>
      <c r="J858" s="10"/>
      <c r="K858" s="12">
        <f t="shared" si="191"/>
        <v>0</v>
      </c>
      <c r="M858" s="10">
        <v>21</v>
      </c>
      <c r="N858" s="30"/>
      <c r="O858" s="31"/>
      <c r="P858" s="46"/>
      <c r="Q858" s="31"/>
      <c r="R858" s="31"/>
      <c r="S858" s="32">
        <f t="shared" si="192"/>
        <v>0</v>
      </c>
      <c r="T858" s="10"/>
      <c r="U858" s="10"/>
      <c r="V858" s="10"/>
      <c r="W858" s="12">
        <f t="shared" si="193"/>
        <v>0</v>
      </c>
      <c r="Y858" s="10">
        <v>21</v>
      </c>
      <c r="Z858" s="30"/>
      <c r="AA858" s="31"/>
      <c r="AB858" s="46"/>
      <c r="AC858" s="31"/>
      <c r="AD858" s="31"/>
      <c r="AE858" s="32">
        <f t="shared" si="194"/>
        <v>0</v>
      </c>
      <c r="AF858" s="10"/>
      <c r="AG858" s="10"/>
      <c r="AH858" s="10"/>
      <c r="AI858" s="12">
        <f t="shared" si="19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22</v>
      </c>
      <c r="B859" s="30"/>
      <c r="C859" s="82"/>
      <c r="D859" s="32"/>
      <c r="E859" s="32"/>
      <c r="F859" s="32"/>
      <c r="G859" s="32">
        <f t="shared" si="190"/>
        <v>0</v>
      </c>
      <c r="H859" s="10"/>
      <c r="I859" s="10"/>
      <c r="J859" s="10"/>
      <c r="K859" s="12">
        <f t="shared" si="191"/>
        <v>0</v>
      </c>
      <c r="M859" s="10">
        <v>22</v>
      </c>
      <c r="N859" s="30"/>
      <c r="O859" s="31"/>
      <c r="P859" s="45"/>
      <c r="Q859" s="31"/>
      <c r="R859" s="31"/>
      <c r="S859" s="32">
        <f t="shared" si="192"/>
        <v>0</v>
      </c>
      <c r="T859" s="10"/>
      <c r="U859" s="10"/>
      <c r="V859" s="10"/>
      <c r="W859" s="12">
        <f t="shared" si="193"/>
        <v>0</v>
      </c>
      <c r="Y859" s="10">
        <v>22</v>
      </c>
      <c r="Z859" s="30"/>
      <c r="AA859" s="31"/>
      <c r="AB859" s="45"/>
      <c r="AC859" s="31"/>
      <c r="AD859" s="31"/>
      <c r="AE859" s="32">
        <f t="shared" si="194"/>
        <v>0</v>
      </c>
      <c r="AF859" s="10"/>
      <c r="AG859" s="10"/>
      <c r="AH859" s="10"/>
      <c r="AI859" s="12">
        <f t="shared" si="19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23</v>
      </c>
      <c r="B860" s="30"/>
      <c r="C860" s="82"/>
      <c r="D860" s="32"/>
      <c r="E860" s="32"/>
      <c r="F860" s="32"/>
      <c r="G860" s="32">
        <f t="shared" si="190"/>
        <v>0</v>
      </c>
      <c r="H860" s="10"/>
      <c r="I860" s="10"/>
      <c r="J860" s="12"/>
      <c r="K860" s="12">
        <f t="shared" si="191"/>
        <v>0</v>
      </c>
      <c r="M860" s="10">
        <v>23</v>
      </c>
      <c r="N860" s="30"/>
      <c r="O860" s="31"/>
      <c r="P860" s="47"/>
      <c r="Q860" s="45"/>
      <c r="S860" s="32">
        <f t="shared" si="192"/>
        <v>0</v>
      </c>
      <c r="T860" s="10"/>
      <c r="U860" s="10"/>
      <c r="V860" s="10"/>
      <c r="W860" s="12">
        <f t="shared" si="193"/>
        <v>0</v>
      </c>
      <c r="Y860" s="10">
        <v>23</v>
      </c>
      <c r="Z860" s="30"/>
      <c r="AA860" s="31"/>
      <c r="AB860" s="47"/>
      <c r="AC860" s="31"/>
      <c r="AE860" s="32">
        <f t="shared" si="194"/>
        <v>0</v>
      </c>
      <c r="AF860" s="10"/>
      <c r="AG860" s="10"/>
      <c r="AH860" s="10"/>
      <c r="AI860" s="12">
        <f t="shared" si="19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24</v>
      </c>
      <c r="B861" s="30"/>
      <c r="C861" s="82"/>
      <c r="D861" s="32"/>
      <c r="E861" s="32"/>
      <c r="F861" s="32"/>
      <c r="G861" s="32">
        <f t="shared" si="190"/>
        <v>0</v>
      </c>
      <c r="H861" s="10"/>
      <c r="I861" s="10"/>
      <c r="J861" s="10"/>
      <c r="K861" s="12">
        <f t="shared" si="191"/>
        <v>0</v>
      </c>
      <c r="M861" s="10">
        <v>24</v>
      </c>
      <c r="N861" s="30"/>
      <c r="O861" s="31"/>
      <c r="P861" s="47"/>
      <c r="Q861" s="31"/>
      <c r="R861" s="31"/>
      <c r="S861" s="32">
        <f t="shared" si="192"/>
        <v>0</v>
      </c>
      <c r="T861" s="10"/>
      <c r="U861" s="10"/>
      <c r="V861" s="10"/>
      <c r="W861" s="12">
        <f t="shared" si="193"/>
        <v>0</v>
      </c>
      <c r="Y861" s="10">
        <v>24</v>
      </c>
      <c r="Z861" s="30"/>
      <c r="AA861" s="31"/>
      <c r="AB861" s="47"/>
      <c r="AC861" s="31"/>
      <c r="AD861" s="31"/>
      <c r="AE861" s="32">
        <f t="shared" si="194"/>
        <v>0</v>
      </c>
      <c r="AF861" s="10"/>
      <c r="AG861" s="10"/>
      <c r="AH861" s="10"/>
      <c r="AI861" s="12">
        <f t="shared" si="19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25</v>
      </c>
      <c r="B862" s="30"/>
      <c r="C862" s="57"/>
      <c r="D862" s="32"/>
      <c r="E862" s="32"/>
      <c r="F862" s="32"/>
      <c r="G862" s="32">
        <f t="shared" si="190"/>
        <v>0</v>
      </c>
      <c r="H862" s="10"/>
      <c r="I862" s="10"/>
      <c r="J862" s="10"/>
      <c r="K862" s="12">
        <f t="shared" si="191"/>
        <v>0</v>
      </c>
      <c r="M862" s="10">
        <v>25</v>
      </c>
      <c r="N862" s="30"/>
      <c r="O862" s="31"/>
      <c r="P862" s="47"/>
      <c r="Q862" s="31"/>
      <c r="R862" s="31"/>
      <c r="S862" s="32">
        <f t="shared" si="192"/>
        <v>0</v>
      </c>
      <c r="T862" s="10"/>
      <c r="U862" s="10"/>
      <c r="V862" s="10"/>
      <c r="W862" s="12">
        <f t="shared" si="193"/>
        <v>0</v>
      </c>
      <c r="Y862" s="10">
        <v>25</v>
      </c>
      <c r="Z862" s="30"/>
      <c r="AA862" s="31"/>
      <c r="AB862" s="47"/>
      <c r="AC862" s="31"/>
      <c r="AD862" s="31"/>
      <c r="AE862" s="32">
        <f t="shared" si="194"/>
        <v>0</v>
      </c>
      <c r="AF862" s="10"/>
      <c r="AG862" s="10"/>
      <c r="AH862" s="10"/>
      <c r="AI862" s="12">
        <f t="shared" si="19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26</v>
      </c>
      <c r="B863" s="30"/>
      <c r="C863" s="82"/>
      <c r="D863" s="32"/>
      <c r="E863" s="32"/>
      <c r="F863" s="32"/>
      <c r="G863" s="32">
        <f t="shared" si="190"/>
        <v>0</v>
      </c>
      <c r="H863" s="10"/>
      <c r="I863" s="10"/>
      <c r="J863" s="10"/>
      <c r="K863" s="12">
        <f t="shared" si="191"/>
        <v>0</v>
      </c>
      <c r="M863" s="10">
        <v>26</v>
      </c>
      <c r="N863" s="30"/>
      <c r="O863" s="31"/>
      <c r="P863" s="47"/>
      <c r="Q863" s="31"/>
      <c r="R863" s="31"/>
      <c r="S863" s="32">
        <f t="shared" si="192"/>
        <v>0</v>
      </c>
      <c r="T863" s="10"/>
      <c r="U863" s="10"/>
      <c r="V863" s="10"/>
      <c r="W863" s="12">
        <f t="shared" si="193"/>
        <v>0</v>
      </c>
      <c r="Y863" s="10">
        <v>26</v>
      </c>
      <c r="Z863" s="30"/>
      <c r="AA863" s="31"/>
      <c r="AB863" s="47"/>
      <c r="AC863" s="31"/>
      <c r="AD863" s="31"/>
      <c r="AE863" s="32">
        <f t="shared" si="194"/>
        <v>0</v>
      </c>
      <c r="AF863" s="10"/>
      <c r="AG863" s="10"/>
      <c r="AH863" s="10"/>
      <c r="AI863" s="12">
        <f t="shared" si="19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27</v>
      </c>
      <c r="B864" s="30"/>
      <c r="C864" s="82"/>
      <c r="D864" s="32"/>
      <c r="E864" s="32"/>
      <c r="F864" s="32"/>
      <c r="G864" s="32">
        <f t="shared" si="190"/>
        <v>0</v>
      </c>
      <c r="H864" s="10"/>
      <c r="I864" s="10"/>
      <c r="J864" s="10"/>
      <c r="K864" s="12">
        <f t="shared" si="191"/>
        <v>0</v>
      </c>
      <c r="M864" s="10">
        <v>27</v>
      </c>
      <c r="N864" s="30"/>
      <c r="O864" s="31"/>
      <c r="P864" s="47"/>
      <c r="Q864" s="31"/>
      <c r="R864" s="31"/>
      <c r="S864" s="32">
        <f t="shared" si="192"/>
        <v>0</v>
      </c>
      <c r="T864" s="10"/>
      <c r="U864" s="10"/>
      <c r="V864" s="10"/>
      <c r="W864" s="12">
        <f t="shared" si="193"/>
        <v>0</v>
      </c>
      <c r="Y864" s="10">
        <v>27</v>
      </c>
      <c r="Z864" s="30"/>
      <c r="AA864" s="31"/>
      <c r="AB864" s="47"/>
      <c r="AC864" s="31"/>
      <c r="AD864" s="31"/>
      <c r="AE864" s="32">
        <f t="shared" si="194"/>
        <v>0</v>
      </c>
      <c r="AF864" s="10"/>
      <c r="AG864" s="10"/>
      <c r="AH864" s="10"/>
      <c r="AI864" s="12">
        <f t="shared" si="19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28</v>
      </c>
      <c r="B865" s="30"/>
      <c r="C865" s="82"/>
      <c r="D865" s="32"/>
      <c r="E865" s="32"/>
      <c r="F865" s="32"/>
      <c r="G865" s="32">
        <f t="shared" si="190"/>
        <v>0</v>
      </c>
      <c r="H865" s="10"/>
      <c r="I865" s="10"/>
      <c r="J865" s="10"/>
      <c r="K865" s="12">
        <f t="shared" si="191"/>
        <v>0</v>
      </c>
      <c r="M865" s="10">
        <v>28</v>
      </c>
      <c r="N865" s="30"/>
      <c r="O865" s="31"/>
      <c r="P865" s="47"/>
      <c r="Q865" s="31"/>
      <c r="R865" s="31"/>
      <c r="S865" s="32">
        <f t="shared" si="192"/>
        <v>0</v>
      </c>
      <c r="T865" s="10"/>
      <c r="U865" s="10"/>
      <c r="V865" s="10"/>
      <c r="W865" s="12">
        <f t="shared" si="193"/>
        <v>0</v>
      </c>
      <c r="Y865" s="10">
        <v>28</v>
      </c>
      <c r="Z865" s="30"/>
      <c r="AA865" s="31"/>
      <c r="AB865" s="47"/>
      <c r="AC865" s="31"/>
      <c r="AD865" s="31"/>
      <c r="AE865" s="32">
        <f t="shared" si="194"/>
        <v>0</v>
      </c>
      <c r="AF865" s="10"/>
      <c r="AG865" s="10"/>
      <c r="AH865" s="10"/>
      <c r="AI865" s="12">
        <f t="shared" si="19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29</v>
      </c>
      <c r="B866" s="30"/>
      <c r="C866" s="82"/>
      <c r="D866" s="32"/>
      <c r="E866" s="32"/>
      <c r="F866" s="32"/>
      <c r="G866" s="32">
        <f t="shared" si="190"/>
        <v>0</v>
      </c>
      <c r="H866" s="10"/>
      <c r="I866" s="10"/>
      <c r="J866" s="10"/>
      <c r="K866" s="12">
        <f t="shared" si="191"/>
        <v>0</v>
      </c>
      <c r="M866" s="10">
        <v>29</v>
      </c>
      <c r="N866" s="30"/>
      <c r="O866" s="31"/>
      <c r="P866" s="47"/>
      <c r="Q866" s="31"/>
      <c r="R866" s="31"/>
      <c r="S866" s="32">
        <f t="shared" si="192"/>
        <v>0</v>
      </c>
      <c r="T866" s="10"/>
      <c r="U866" s="10"/>
      <c r="V866" s="10"/>
      <c r="W866" s="12">
        <f t="shared" si="193"/>
        <v>0</v>
      </c>
      <c r="Y866" s="10">
        <v>29</v>
      </c>
      <c r="Z866" s="30"/>
      <c r="AA866" s="31"/>
      <c r="AB866" s="47"/>
      <c r="AC866" s="31"/>
      <c r="AD866" s="31"/>
      <c r="AE866" s="32">
        <f t="shared" si="194"/>
        <v>0</v>
      </c>
      <c r="AF866" s="10"/>
      <c r="AG866" s="10"/>
      <c r="AH866" s="10"/>
      <c r="AI866" s="12">
        <f t="shared" si="19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30</v>
      </c>
      <c r="B867" s="30"/>
      <c r="C867" s="82"/>
      <c r="D867" s="32"/>
      <c r="E867" s="32"/>
      <c r="F867" s="32"/>
      <c r="G867" s="32">
        <f t="shared" si="190"/>
        <v>0</v>
      </c>
      <c r="H867" s="10"/>
      <c r="I867" s="10"/>
      <c r="J867" s="10"/>
      <c r="K867" s="12">
        <f t="shared" si="191"/>
        <v>0</v>
      </c>
      <c r="M867" s="10">
        <v>30</v>
      </c>
      <c r="N867" s="30"/>
      <c r="O867" s="31"/>
      <c r="P867" s="47"/>
      <c r="Q867" s="31"/>
      <c r="R867" s="31"/>
      <c r="S867" s="32">
        <f t="shared" si="192"/>
        <v>0</v>
      </c>
      <c r="T867" s="10"/>
      <c r="U867" s="10"/>
      <c r="V867" s="10"/>
      <c r="W867" s="12">
        <f t="shared" si="193"/>
        <v>0</v>
      </c>
      <c r="Y867" s="10">
        <v>30</v>
      </c>
      <c r="Z867" s="30"/>
      <c r="AA867" s="31"/>
      <c r="AB867" s="47"/>
      <c r="AC867" s="31"/>
      <c r="AD867" s="31"/>
      <c r="AE867" s="32">
        <f t="shared" si="194"/>
        <v>0</v>
      </c>
      <c r="AF867" s="10"/>
      <c r="AG867" s="10"/>
      <c r="AH867" s="10"/>
      <c r="AI867" s="12">
        <f t="shared" si="19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31</v>
      </c>
      <c r="B868" s="30"/>
      <c r="C868" s="82"/>
      <c r="D868" s="32"/>
      <c r="E868" s="32"/>
      <c r="F868" s="32"/>
      <c r="G868" s="32">
        <f t="shared" si="190"/>
        <v>0</v>
      </c>
      <c r="H868" s="10"/>
      <c r="I868" s="10"/>
      <c r="J868" s="10"/>
      <c r="K868" s="12">
        <f t="shared" si="191"/>
        <v>0</v>
      </c>
      <c r="M868" s="10">
        <v>31</v>
      </c>
      <c r="N868" s="30"/>
      <c r="O868" s="31"/>
      <c r="P868" s="47"/>
      <c r="Q868" s="31"/>
      <c r="R868" s="31"/>
      <c r="S868" s="32">
        <f t="shared" si="192"/>
        <v>0</v>
      </c>
      <c r="T868" s="10"/>
      <c r="U868" s="10"/>
      <c r="V868" s="10"/>
      <c r="W868" s="12">
        <f t="shared" si="193"/>
        <v>0</v>
      </c>
      <c r="Y868" s="10">
        <v>31</v>
      </c>
      <c r="Z868" s="30"/>
      <c r="AA868" s="31"/>
      <c r="AB868" s="47"/>
      <c r="AC868" s="31"/>
      <c r="AD868" s="31"/>
      <c r="AE868" s="32">
        <f t="shared" si="194"/>
        <v>0</v>
      </c>
      <c r="AF868" s="10"/>
      <c r="AG868" s="10"/>
      <c r="AH868" s="10"/>
      <c r="AI868" s="12">
        <f t="shared" si="19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32</v>
      </c>
      <c r="B869" s="30"/>
      <c r="C869" s="82"/>
      <c r="D869" s="32"/>
      <c r="E869" s="32"/>
      <c r="F869" s="32"/>
      <c r="G869" s="32">
        <f t="shared" si="190"/>
        <v>0</v>
      </c>
      <c r="H869" s="10"/>
      <c r="I869" s="10"/>
      <c r="J869" s="10"/>
      <c r="K869" s="12">
        <f t="shared" si="191"/>
        <v>0</v>
      </c>
      <c r="M869" s="10">
        <v>32</v>
      </c>
      <c r="N869" s="30"/>
      <c r="O869" s="31"/>
      <c r="P869" s="47"/>
      <c r="Q869" s="31"/>
      <c r="R869" s="31"/>
      <c r="S869" s="32">
        <f t="shared" si="192"/>
        <v>0</v>
      </c>
      <c r="T869" s="10"/>
      <c r="U869" s="10"/>
      <c r="V869" s="10"/>
      <c r="W869" s="12">
        <f t="shared" si="193"/>
        <v>0</v>
      </c>
      <c r="Y869" s="10">
        <v>32</v>
      </c>
      <c r="Z869" s="30"/>
      <c r="AA869" s="31"/>
      <c r="AB869" s="47"/>
      <c r="AC869" s="31"/>
      <c r="AD869" s="31"/>
      <c r="AE869" s="32">
        <f t="shared" si="194"/>
        <v>0</v>
      </c>
      <c r="AF869" s="10"/>
      <c r="AG869" s="10"/>
      <c r="AH869" s="10"/>
      <c r="AI869" s="12">
        <f t="shared" si="19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>
        <v>33</v>
      </c>
      <c r="B870" s="30"/>
      <c r="C870" s="82"/>
      <c r="D870" s="32"/>
      <c r="E870" s="32"/>
      <c r="F870" s="32"/>
      <c r="G870" s="32">
        <f t="shared" si="190"/>
        <v>0</v>
      </c>
      <c r="H870" s="10"/>
      <c r="I870" s="10"/>
      <c r="J870" s="10"/>
      <c r="K870" s="12">
        <f t="shared" si="191"/>
        <v>0</v>
      </c>
      <c r="M870" s="10">
        <v>33</v>
      </c>
      <c r="N870" s="30"/>
      <c r="O870" s="31"/>
      <c r="P870" s="47"/>
      <c r="Q870" s="31"/>
      <c r="R870" s="31"/>
      <c r="S870" s="32">
        <f t="shared" si="192"/>
        <v>0</v>
      </c>
      <c r="T870" s="10"/>
      <c r="U870" s="10"/>
      <c r="V870" s="10"/>
      <c r="W870" s="12">
        <f t="shared" si="193"/>
        <v>0</v>
      </c>
      <c r="Y870" s="10">
        <v>33</v>
      </c>
      <c r="Z870" s="30"/>
      <c r="AA870" s="31"/>
      <c r="AB870" s="47"/>
      <c r="AC870" s="31"/>
      <c r="AD870" s="31"/>
      <c r="AE870" s="32">
        <f t="shared" si="194"/>
        <v>0</v>
      </c>
      <c r="AF870" s="10"/>
      <c r="AG870" s="10"/>
      <c r="AH870" s="10"/>
      <c r="AI870" s="12">
        <f t="shared" si="19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>
        <f t="shared" si="190"/>
        <v>0</v>
      </c>
      <c r="H871" s="10"/>
      <c r="I871" s="10"/>
      <c r="J871" s="10"/>
      <c r="K871" s="12">
        <f t="shared" si="191"/>
        <v>0</v>
      </c>
      <c r="M871" s="10">
        <v>34</v>
      </c>
      <c r="N871" s="30"/>
      <c r="O871" s="31"/>
      <c r="P871" s="47"/>
      <c r="Q871" s="31"/>
      <c r="R871" s="31"/>
      <c r="S871" s="32">
        <f t="shared" si="192"/>
        <v>0</v>
      </c>
      <c r="T871" s="10"/>
      <c r="U871" s="10"/>
      <c r="V871" s="10"/>
      <c r="W871" s="12">
        <f t="shared" si="193"/>
        <v>0</v>
      </c>
      <c r="Y871" s="10">
        <v>34</v>
      </c>
      <c r="Z871" s="30"/>
      <c r="AA871" s="31"/>
      <c r="AB871" s="47"/>
      <c r="AC871" s="31"/>
      <c r="AD871" s="31"/>
      <c r="AE871" s="32">
        <f t="shared" si="194"/>
        <v>0</v>
      </c>
      <c r="AF871" s="10"/>
      <c r="AG871" s="10"/>
      <c r="AH871" s="10"/>
      <c r="AI871" s="12">
        <f t="shared" si="19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ht="15" customHeight="1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35</v>
      </c>
      <c r="N872" s="30"/>
      <c r="O872" s="31"/>
      <c r="P872" s="47"/>
      <c r="Q872" s="31"/>
      <c r="R872" s="31"/>
      <c r="S872" s="32">
        <f t="shared" si="192"/>
        <v>0</v>
      </c>
      <c r="T872" s="10"/>
      <c r="U872" s="10"/>
      <c r="V872" s="10"/>
      <c r="W872" s="12">
        <f t="shared" si="193"/>
        <v>0</v>
      </c>
      <c r="Y872" s="10">
        <v>35</v>
      </c>
      <c r="Z872" s="30"/>
      <c r="AA872" s="31"/>
      <c r="AB872" s="47"/>
      <c r="AC872" s="31"/>
      <c r="AD872" s="31"/>
      <c r="AE872" s="32">
        <f t="shared" si="194"/>
        <v>0</v>
      </c>
      <c r="AF872" s="10"/>
      <c r="AG872" s="10"/>
      <c r="AH872" s="10"/>
      <c r="AI872" s="12">
        <f t="shared" si="19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82"/>
      <c r="D873" s="32"/>
      <c r="E873" s="32"/>
      <c r="F873" s="32"/>
      <c r="G873" s="32"/>
      <c r="H873" s="10"/>
      <c r="I873" s="10"/>
      <c r="J873" s="10"/>
      <c r="K873" s="12"/>
      <c r="M873" s="10">
        <v>36</v>
      </c>
      <c r="N873" s="30"/>
      <c r="O873" s="31"/>
      <c r="P873" s="47"/>
      <c r="Q873" s="31"/>
      <c r="R873" s="31"/>
      <c r="S873" s="32">
        <f t="shared" si="192"/>
        <v>0</v>
      </c>
      <c r="T873" s="10"/>
      <c r="U873" s="10"/>
      <c r="V873" s="10"/>
      <c r="W873" s="12">
        <f t="shared" si="193"/>
        <v>0</v>
      </c>
      <c r="Y873" s="10">
        <v>36</v>
      </c>
      <c r="Z873" s="30"/>
      <c r="AA873" s="31"/>
      <c r="AB873" s="47"/>
      <c r="AC873" s="31"/>
      <c r="AD873" s="31"/>
      <c r="AE873" s="32">
        <f t="shared" si="194"/>
        <v>0</v>
      </c>
      <c r="AF873" s="10"/>
      <c r="AG873" s="10"/>
      <c r="AH873" s="10"/>
      <c r="AI873" s="12">
        <f t="shared" si="19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37</v>
      </c>
      <c r="N874" s="30"/>
      <c r="P874" s="47"/>
      <c r="Q874" s="31"/>
      <c r="R874" s="31"/>
      <c r="S874" s="32">
        <f t="shared" si="192"/>
        <v>0</v>
      </c>
      <c r="T874" s="10"/>
      <c r="U874" s="10"/>
      <c r="V874" s="10"/>
      <c r="W874" s="12">
        <f t="shared" si="193"/>
        <v>0</v>
      </c>
      <c r="Y874" s="10">
        <v>37</v>
      </c>
      <c r="Z874" s="30"/>
      <c r="AA874" s="31"/>
      <c r="AB874" s="47"/>
      <c r="AC874" s="31"/>
      <c r="AD874" s="31"/>
      <c r="AE874" s="32">
        <f t="shared" si="194"/>
        <v>0</v>
      </c>
      <c r="AF874" s="10"/>
      <c r="AG874" s="10"/>
      <c r="AH874" s="10"/>
      <c r="AI874" s="12">
        <f t="shared" si="19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38</v>
      </c>
      <c r="N875" s="30"/>
      <c r="O875" s="31"/>
      <c r="P875" s="47"/>
      <c r="Q875" s="31"/>
      <c r="R875" s="31"/>
      <c r="S875" s="32">
        <f t="shared" si="192"/>
        <v>0</v>
      </c>
      <c r="T875" s="10"/>
      <c r="U875" s="10"/>
      <c r="V875" s="10"/>
      <c r="W875" s="12">
        <f t="shared" si="193"/>
        <v>0</v>
      </c>
      <c r="Y875" s="10">
        <v>38</v>
      </c>
      <c r="Z875" s="30"/>
      <c r="AA875" s="31"/>
      <c r="AB875" s="47"/>
      <c r="AC875" s="31"/>
      <c r="AD875" s="31"/>
      <c r="AE875" s="32">
        <f t="shared" si="194"/>
        <v>0</v>
      </c>
      <c r="AF875" s="10"/>
      <c r="AG875" s="10"/>
      <c r="AH875" s="10"/>
      <c r="AI875" s="12">
        <f t="shared" si="19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>
        <v>39</v>
      </c>
      <c r="N876" s="30"/>
      <c r="O876" s="31"/>
      <c r="P876" s="47"/>
      <c r="Q876" s="31"/>
      <c r="R876" s="31"/>
      <c r="S876" s="32">
        <f t="shared" si="192"/>
        <v>0</v>
      </c>
      <c r="T876" s="10"/>
      <c r="U876" s="10"/>
      <c r="V876" s="10"/>
      <c r="W876" s="12">
        <f t="shared" si="193"/>
        <v>0</v>
      </c>
      <c r="Y876" s="10">
        <v>39</v>
      </c>
      <c r="Z876" s="30"/>
      <c r="AA876" s="31"/>
      <c r="AB876" s="47"/>
      <c r="AC876" s="31"/>
      <c r="AD876" s="31"/>
      <c r="AE876" s="32">
        <f t="shared" si="194"/>
        <v>0</v>
      </c>
      <c r="AF876" s="10"/>
      <c r="AG876" s="10"/>
      <c r="AH876" s="10"/>
      <c r="AI876" s="12">
        <f t="shared" si="19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/>
      <c r="H877" s="10"/>
      <c r="I877" s="10"/>
      <c r="J877" s="10"/>
      <c r="K877" s="12"/>
      <c r="M877" s="10"/>
      <c r="N877" s="30"/>
      <c r="P877" s="47"/>
      <c r="Q877" s="31"/>
      <c r="R877" s="31"/>
      <c r="S877" s="32"/>
      <c r="T877" s="10"/>
      <c r="U877" s="10"/>
      <c r="V877" s="10"/>
      <c r="W877" s="12">
        <f t="shared" si="193"/>
        <v>0</v>
      </c>
      <c r="Y877" s="10"/>
      <c r="Z877" s="30"/>
      <c r="AB877" s="47"/>
      <c r="AC877" s="31"/>
      <c r="AD877" s="31"/>
      <c r="AE877" s="32"/>
      <c r="AF877" s="10"/>
      <c r="AG877" s="10"/>
      <c r="AH877" s="10"/>
      <c r="AI877" s="12">
        <f t="shared" si="19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1"/>
      <c r="D878" s="32"/>
      <c r="E878" s="32"/>
      <c r="F878" s="32"/>
      <c r="G878" s="32">
        <f t="shared" ref="G878" si="198">SUM(D878:E878)</f>
        <v>0</v>
      </c>
      <c r="H878" s="10"/>
      <c r="I878" s="10"/>
      <c r="J878" s="10"/>
      <c r="K878" s="12">
        <f t="shared" ref="K878" si="199">SUM(G878:J878)</f>
        <v>0</v>
      </c>
      <c r="M878" s="10"/>
      <c r="N878" s="30"/>
      <c r="O878" s="31"/>
      <c r="P878" s="47"/>
      <c r="Q878" s="31"/>
      <c r="R878" s="31"/>
      <c r="S878" s="32">
        <f t="shared" ref="S878" si="200">SUM(P878:Q878)</f>
        <v>0</v>
      </c>
      <c r="T878" s="10"/>
      <c r="U878" s="10"/>
      <c r="V878" s="10"/>
      <c r="W878" s="12">
        <f t="shared" si="193"/>
        <v>0</v>
      </c>
      <c r="Y878" s="10"/>
      <c r="Z878" s="30"/>
      <c r="AA878" s="31"/>
      <c r="AB878" s="47"/>
      <c r="AC878" s="31"/>
      <c r="AD878" s="31"/>
      <c r="AE878" s="32">
        <f t="shared" ref="AE878" si="201">SUM(AB878:AC878)</f>
        <v>0</v>
      </c>
      <c r="AF878" s="10"/>
      <c r="AG878" s="10"/>
      <c r="AH878" s="10"/>
      <c r="AI878" s="12">
        <f t="shared" si="19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10"/>
      <c r="B879" s="30"/>
      <c r="C879" s="30"/>
      <c r="D879" s="32"/>
      <c r="E879" s="32"/>
      <c r="F879" s="32"/>
      <c r="G879" s="32"/>
      <c r="H879" s="10"/>
      <c r="I879" s="10"/>
      <c r="J879" s="10"/>
      <c r="K879" s="12"/>
      <c r="M879" s="10"/>
      <c r="N879" s="31"/>
      <c r="O879" s="31"/>
      <c r="P879" s="31"/>
      <c r="Q879" s="31"/>
      <c r="R879" s="31"/>
      <c r="S879" s="31"/>
      <c r="T879" s="10"/>
      <c r="U879" s="10"/>
      <c r="V879" s="10"/>
      <c r="W879" s="12">
        <f t="shared" si="193"/>
        <v>0</v>
      </c>
      <c r="Y879" s="10"/>
      <c r="Z879" s="31"/>
      <c r="AA879" s="31"/>
      <c r="AB879" s="31"/>
      <c r="AC879" s="31"/>
      <c r="AD879" s="31"/>
      <c r="AE879" s="31"/>
      <c r="AF879" s="10"/>
      <c r="AG879" s="10"/>
      <c r="AH879" s="10"/>
      <c r="AI879" s="12">
        <f t="shared" si="195"/>
        <v>0</v>
      </c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6"/>
      <c r="E880" s="36"/>
      <c r="F880" s="36"/>
      <c r="G880" s="36"/>
      <c r="H880" s="37"/>
      <c r="I880" s="37"/>
      <c r="J880" s="37"/>
      <c r="K880" s="37"/>
      <c r="N880" s="57"/>
      <c r="O880" s="57"/>
      <c r="P880" s="36"/>
      <c r="Q880" s="36"/>
      <c r="R880" s="36"/>
      <c r="S880" s="36"/>
      <c r="T880" s="37"/>
      <c r="U880" s="37"/>
      <c r="V880" s="37"/>
      <c r="W880" s="37"/>
      <c r="Y880" s="10"/>
      <c r="Z880" s="31"/>
      <c r="AA880" s="31"/>
      <c r="AB880" s="31"/>
      <c r="AC880" s="31"/>
      <c r="AD880" s="31"/>
      <c r="AE880" s="31"/>
      <c r="AF880" s="10"/>
      <c r="AG880" s="10"/>
      <c r="AH880" s="10"/>
      <c r="AI880" s="12">
        <f t="shared" ref="AI880" si="202">SUM(AE880:AH880)</f>
        <v>0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B881" s="57"/>
      <c r="C881" s="57"/>
      <c r="D881" s="38">
        <f>SUM(D838:D880)</f>
        <v>335301</v>
      </c>
      <c r="E881" s="38">
        <f t="shared" ref="E881:F881" si="203">SUM(E838:E878)</f>
        <v>0</v>
      </c>
      <c r="F881" s="38">
        <f t="shared" si="203"/>
        <v>0</v>
      </c>
      <c r="G881" s="38">
        <f>SUM(G838:G880)</f>
        <v>335301</v>
      </c>
      <c r="H881" s="4"/>
      <c r="I881" s="39">
        <f>SUM(I838:I880)</f>
        <v>8880</v>
      </c>
      <c r="J881" s="39">
        <f>SUM(J838:J880)</f>
        <v>-6141</v>
      </c>
      <c r="K881" s="40">
        <f>SUM(K838:K880)</f>
        <v>338040</v>
      </c>
      <c r="N881" s="57"/>
      <c r="O881" s="57"/>
      <c r="P881" s="38">
        <f>SUM(P838:P880)</f>
        <v>250833</v>
      </c>
      <c r="Q881" s="38">
        <f>SUM(Q838:Q862)</f>
        <v>-1296</v>
      </c>
      <c r="R881" s="38">
        <f>SUM(R838:R862)</f>
        <v>0</v>
      </c>
      <c r="S881" s="38">
        <f>SUM(S838:S880)</f>
        <v>249537</v>
      </c>
      <c r="T881" s="4"/>
      <c r="U881" s="41">
        <f>SUM(U838:U880)</f>
        <v>820.5</v>
      </c>
      <c r="V881" s="41">
        <f>SUM(V838:V862)</f>
        <v>-1293</v>
      </c>
      <c r="W881" s="42">
        <f>SUM(W838:W880)</f>
        <v>249064.5</v>
      </c>
      <c r="Z881" s="57"/>
      <c r="AA881" s="57"/>
      <c r="AB881" s="38">
        <f>SUM(AB840:AB880)</f>
        <v>143532</v>
      </c>
      <c r="AC881" s="38">
        <f>SUM(AC840:AC864)</f>
        <v>-660</v>
      </c>
      <c r="AD881" s="38">
        <f>SUM(AD840:AD864)</f>
        <v>0</v>
      </c>
      <c r="AE881" s="38">
        <f>SUM(AE840:AE880)</f>
        <v>142872</v>
      </c>
      <c r="AF881" s="4"/>
      <c r="AG881" s="41">
        <f>SUM(AG840:AG880)</f>
        <v>378</v>
      </c>
      <c r="AH881" s="41">
        <f>SUM(AH840:AH864)</f>
        <v>-222</v>
      </c>
      <c r="AI881" s="42">
        <f>SUM(AI838:AI880)</f>
        <v>237103</v>
      </c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0</v>
      </c>
      <c r="B883" s="57"/>
      <c r="C883" s="57"/>
      <c r="D883" s="57"/>
      <c r="E883" s="57"/>
      <c r="G883" s="57"/>
      <c r="M883" t="s">
        <v>0</v>
      </c>
      <c r="N883" s="57"/>
      <c r="O883" s="57"/>
      <c r="P883" s="57"/>
      <c r="Q883" s="57"/>
      <c r="R883" s="57"/>
      <c r="S883" s="57"/>
      <c r="Y883" t="s">
        <v>0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t="s">
        <v>28</v>
      </c>
      <c r="B884" s="57"/>
      <c r="C884" s="57"/>
      <c r="D884" s="57"/>
      <c r="E884" s="57"/>
      <c r="G884" s="57"/>
      <c r="M884" t="s">
        <v>28</v>
      </c>
      <c r="N884" s="57"/>
      <c r="O884" s="57"/>
      <c r="P884" s="57"/>
      <c r="Q884" s="57"/>
      <c r="R884" s="57"/>
      <c r="S884" s="57"/>
      <c r="Y884" t="s">
        <v>28</v>
      </c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B885" s="57"/>
      <c r="C885" s="57"/>
      <c r="D885" s="57"/>
      <c r="E885" s="57"/>
      <c r="G885" s="57"/>
      <c r="N885" s="57"/>
      <c r="O885" s="57"/>
      <c r="P885" s="57"/>
      <c r="Q885" s="57"/>
      <c r="R885" s="57"/>
      <c r="S885" s="57"/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4" t="s">
        <v>14</v>
      </c>
      <c r="B886" s="57"/>
      <c r="C886" s="57"/>
      <c r="D886" s="57"/>
      <c r="E886" s="57"/>
      <c r="G886" s="57"/>
      <c r="M886" s="4" t="s">
        <v>14</v>
      </c>
      <c r="N886" s="57"/>
      <c r="O886" s="57"/>
      <c r="P886" s="57"/>
      <c r="Q886" s="57"/>
      <c r="R886" s="57"/>
      <c r="S886" s="57"/>
      <c r="Y886" s="4" t="s">
        <v>14</v>
      </c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x14ac:dyDescent="0.25">
      <c r="B887" s="57"/>
      <c r="C887" s="57"/>
      <c r="D887" s="57"/>
      <c r="E887" s="57"/>
      <c r="G887" s="57"/>
      <c r="N887" s="57"/>
      <c r="O887" s="57"/>
      <c r="P887" s="57"/>
      <c r="Q887" s="57"/>
      <c r="R887" s="57"/>
      <c r="S887" s="57"/>
      <c r="Z887" s="57"/>
      <c r="AA887" s="57"/>
      <c r="AB887" s="57"/>
      <c r="AC887" s="57"/>
      <c r="AD887" s="57"/>
      <c r="AE887" s="57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ht="15.75" x14ac:dyDescent="0.25">
      <c r="A888" t="s">
        <v>54</v>
      </c>
      <c r="B888" s="57"/>
      <c r="C888" s="57"/>
      <c r="D888" s="57"/>
      <c r="E888" s="57"/>
      <c r="G888" s="57"/>
      <c r="I888" s="57" t="s">
        <v>15</v>
      </c>
      <c r="J888" s="19">
        <v>1</v>
      </c>
      <c r="M888" t="s">
        <v>54</v>
      </c>
      <c r="N888" s="57"/>
      <c r="O888" s="57"/>
      <c r="P888" s="57"/>
      <c r="Q888" s="57"/>
      <c r="R888" s="57"/>
      <c r="S888" s="57"/>
      <c r="U888" s="57" t="s">
        <v>15</v>
      </c>
      <c r="V888" s="19">
        <v>2</v>
      </c>
      <c r="Y888" t="s">
        <v>54</v>
      </c>
      <c r="Z888" s="57"/>
      <c r="AA888" s="57"/>
      <c r="AB888" s="57"/>
      <c r="AC888" s="57"/>
      <c r="AD888" s="57"/>
      <c r="AE888" s="57"/>
      <c r="AG888" s="57" t="s">
        <v>15</v>
      </c>
      <c r="AH888" s="20">
        <v>3</v>
      </c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21" t="s">
        <v>100</v>
      </c>
      <c r="B889" s="20"/>
      <c r="C889" s="57"/>
      <c r="D889" s="57"/>
      <c r="E889" s="57"/>
      <c r="G889" s="57"/>
      <c r="I889" s="22" t="s">
        <v>16</v>
      </c>
      <c r="J889" s="23" t="s">
        <v>31</v>
      </c>
      <c r="K889" s="24"/>
      <c r="M889" s="21" t="s">
        <v>100</v>
      </c>
      <c r="N889" s="20"/>
      <c r="O889" s="57"/>
      <c r="P889" s="57"/>
      <c r="Q889" s="57"/>
      <c r="R889" s="57"/>
      <c r="S889" s="57"/>
      <c r="U889" s="22" t="s">
        <v>16</v>
      </c>
      <c r="V889" s="23" t="s">
        <v>33</v>
      </c>
      <c r="W889" s="24"/>
      <c r="Y889" s="21" t="s">
        <v>100</v>
      </c>
      <c r="Z889" s="20"/>
      <c r="AA889" s="57"/>
      <c r="AB889" s="57"/>
      <c r="AC889" s="57"/>
      <c r="AD889" s="57"/>
      <c r="AE889" s="57"/>
      <c r="AG889" s="22" t="s">
        <v>16</v>
      </c>
      <c r="AH889" s="23" t="s">
        <v>34</v>
      </c>
      <c r="AI889" s="24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57"/>
      <c r="C890" s="57"/>
      <c r="D890" s="57"/>
      <c r="E890" s="57"/>
      <c r="G890" s="57"/>
      <c r="N890" s="57"/>
      <c r="O890" s="57"/>
      <c r="P890" s="57"/>
      <c r="Q890" s="57"/>
      <c r="R890" s="57"/>
      <c r="S890" s="57"/>
      <c r="Z890" s="57"/>
      <c r="AA890" s="57"/>
      <c r="AB890" s="57"/>
      <c r="AC890" s="57"/>
      <c r="AD890" s="57"/>
      <c r="AE890" s="57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B891" s="25"/>
      <c r="C891" s="26"/>
      <c r="D891" s="126" t="s">
        <v>17</v>
      </c>
      <c r="E891" s="126"/>
      <c r="F891" s="107"/>
      <c r="G891" s="27"/>
      <c r="I891" s="120" t="s">
        <v>18</v>
      </c>
      <c r="J891" s="121"/>
      <c r="K891" s="122" t="s">
        <v>19</v>
      </c>
      <c r="N891" s="25"/>
      <c r="O891" s="26"/>
      <c r="P891" s="126" t="s">
        <v>17</v>
      </c>
      <c r="Q891" s="126"/>
      <c r="R891" s="107"/>
      <c r="S891" s="27"/>
      <c r="U891" s="120" t="s">
        <v>18</v>
      </c>
      <c r="V891" s="121"/>
      <c r="W891" s="122" t="s">
        <v>19</v>
      </c>
      <c r="Z891" s="25"/>
      <c r="AA891" s="26"/>
      <c r="AB891" s="126" t="s">
        <v>17</v>
      </c>
      <c r="AC891" s="126"/>
      <c r="AD891" s="107"/>
      <c r="AE891" s="27"/>
      <c r="AG891" s="120" t="s">
        <v>18</v>
      </c>
      <c r="AH891" s="121"/>
      <c r="AI891" s="122" t="s">
        <v>19</v>
      </c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ht="30" x14ac:dyDescent="0.25">
      <c r="B892" s="28" t="s">
        <v>20</v>
      </c>
      <c r="C892" s="28" t="s">
        <v>21</v>
      </c>
      <c r="D892" s="77" t="s">
        <v>22</v>
      </c>
      <c r="E892" s="76" t="s">
        <v>23</v>
      </c>
      <c r="F892" s="78" t="s">
        <v>32</v>
      </c>
      <c r="G892" s="78" t="s">
        <v>24</v>
      </c>
      <c r="I892" s="29" t="s">
        <v>25</v>
      </c>
      <c r="J892" s="29" t="s">
        <v>26</v>
      </c>
      <c r="K892" s="123"/>
      <c r="N892" s="28" t="s">
        <v>20</v>
      </c>
      <c r="O892" s="28" t="s">
        <v>21</v>
      </c>
      <c r="P892" s="77" t="s">
        <v>22</v>
      </c>
      <c r="Q892" s="78" t="s">
        <v>23</v>
      </c>
      <c r="R892" s="78" t="s">
        <v>32</v>
      </c>
      <c r="S892" s="78" t="s">
        <v>24</v>
      </c>
      <c r="U892" s="29" t="s">
        <v>25</v>
      </c>
      <c r="V892" s="29" t="s">
        <v>26</v>
      </c>
      <c r="W892" s="123"/>
      <c r="Z892" s="28" t="s">
        <v>20</v>
      </c>
      <c r="AA892" s="28" t="s">
        <v>21</v>
      </c>
      <c r="AB892" s="77" t="s">
        <v>22</v>
      </c>
      <c r="AC892" s="78" t="s">
        <v>23</v>
      </c>
      <c r="AD892" s="78" t="s">
        <v>32</v>
      </c>
      <c r="AE892" s="78" t="s">
        <v>24</v>
      </c>
      <c r="AG892" s="29" t="s">
        <v>25</v>
      </c>
      <c r="AH892" s="29" t="s">
        <v>26</v>
      </c>
      <c r="AI892" s="123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1</v>
      </c>
      <c r="B893" s="30" t="s">
        <v>99</v>
      </c>
      <c r="C893" s="82">
        <v>10664</v>
      </c>
      <c r="D893" s="32">
        <f>650*34+670+622*5+229</f>
        <v>26109</v>
      </c>
      <c r="E893" s="32"/>
      <c r="F893" s="32"/>
      <c r="G893" s="32">
        <f t="shared" ref="G893:G926" si="204">SUM(D893:E893)</f>
        <v>26109</v>
      </c>
      <c r="H893" s="12"/>
      <c r="I893" s="12"/>
      <c r="J893" s="12"/>
      <c r="K893" s="12">
        <f t="shared" ref="K893:K926" si="205">SUM(G893:J893)</f>
        <v>26109</v>
      </c>
      <c r="M893" s="10">
        <v>1</v>
      </c>
      <c r="N893" s="30" t="s">
        <v>99</v>
      </c>
      <c r="O893" s="31">
        <v>10581</v>
      </c>
      <c r="P893" s="32">
        <f>650*2+9.5*2</f>
        <v>1319</v>
      </c>
      <c r="Q893" s="32"/>
      <c r="R893" s="32"/>
      <c r="S893" s="32">
        <f>SUM(P893:Q893)</f>
        <v>1319</v>
      </c>
      <c r="T893" s="12"/>
      <c r="U893" s="12"/>
      <c r="V893" s="12">
        <v>-222</v>
      </c>
      <c r="W893" s="12">
        <f>SUM(S893:V893)</f>
        <v>1097</v>
      </c>
      <c r="Y893" s="10">
        <v>1</v>
      </c>
      <c r="Z893" s="30" t="s">
        <v>99</v>
      </c>
      <c r="AA893" s="31">
        <v>10630</v>
      </c>
      <c r="AB893" s="32">
        <f>650*108+670*5+622*42+872*3+229*3</f>
        <v>102977</v>
      </c>
      <c r="AC893" s="32">
        <f>-158*6</f>
        <v>-948</v>
      </c>
      <c r="AD893" s="32"/>
      <c r="AE893" s="32">
        <f>SUM(AB893:AC893)</f>
        <v>102029</v>
      </c>
      <c r="AF893" s="12"/>
      <c r="AG893" s="12">
        <v>270</v>
      </c>
      <c r="AH893" s="12"/>
      <c r="AI893" s="12">
        <f>SUM(AE893:AH893)</f>
        <v>102299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2</v>
      </c>
      <c r="B894" s="30" t="s">
        <v>99</v>
      </c>
      <c r="C894" s="82">
        <f>C893+1</f>
        <v>10665</v>
      </c>
      <c r="D894" s="32">
        <f>650*8+622*4+1050+872+114+650*5</f>
        <v>12974</v>
      </c>
      <c r="E894" s="32"/>
      <c r="F894" s="32"/>
      <c r="G894" s="32">
        <f t="shared" si="204"/>
        <v>12974</v>
      </c>
      <c r="H894" s="12"/>
      <c r="I894" s="12">
        <f>49.5+99</f>
        <v>148.5</v>
      </c>
      <c r="J894" s="12"/>
      <c r="K894" s="12">
        <f t="shared" si="205"/>
        <v>13122.5</v>
      </c>
      <c r="M894" s="10">
        <v>2</v>
      </c>
      <c r="N894" s="30" t="s">
        <v>99</v>
      </c>
      <c r="O894" s="31">
        <f>O893+1</f>
        <v>10582</v>
      </c>
      <c r="P894" s="32">
        <f>650*60+229</f>
        <v>39229</v>
      </c>
      <c r="Q894" s="32"/>
      <c r="R894" s="32"/>
      <c r="S894" s="32">
        <f t="shared" ref="S894:S931" si="206">SUM(P894:Q894)</f>
        <v>39229</v>
      </c>
      <c r="T894" s="12"/>
      <c r="U894" s="12">
        <f>4.5*13</f>
        <v>58.5</v>
      </c>
      <c r="V894" s="12"/>
      <c r="W894" s="12">
        <f t="shared" ref="W894:W934" si="207">SUM(S894:V894)</f>
        <v>39287.5</v>
      </c>
      <c r="Y894" s="10">
        <v>2</v>
      </c>
      <c r="Z894" s="30" t="s">
        <v>99</v>
      </c>
      <c r="AA894" s="31">
        <f>AA893+1</f>
        <v>10631</v>
      </c>
      <c r="AB894" s="32">
        <f>650*120+670*10+622*10+912+1050*2+229*4</f>
        <v>94848</v>
      </c>
      <c r="AC894" s="32">
        <f>-143*6</f>
        <v>-858</v>
      </c>
      <c r="AD894" s="32"/>
      <c r="AE894" s="32">
        <f t="shared" ref="AE894:AE931" si="208">SUM(AB894:AC894)</f>
        <v>93990</v>
      </c>
      <c r="AF894" s="12"/>
      <c r="AG894" s="12"/>
      <c r="AH894" s="12"/>
      <c r="AI894" s="12">
        <f t="shared" ref="AI894:AI934" si="209">SUM(AE894:AH894)</f>
        <v>93990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3</v>
      </c>
      <c r="B895" s="30" t="s">
        <v>99</v>
      </c>
      <c r="C895" s="82">
        <f t="shared" ref="C895:C906" si="210">C894+1</f>
        <v>10666</v>
      </c>
      <c r="D895" s="33">
        <f>650*15+670*2+912+622*2+872+500</f>
        <v>14618</v>
      </c>
      <c r="E895" s="33"/>
      <c r="F895" s="33"/>
      <c r="G895" s="33">
        <f t="shared" si="204"/>
        <v>14618</v>
      </c>
      <c r="H895" s="34"/>
      <c r="I895" s="34">
        <f>4.5*6+1.5*24+2.25*4</f>
        <v>72</v>
      </c>
      <c r="J895" s="34"/>
      <c r="K895" s="34">
        <f t="shared" si="205"/>
        <v>14690</v>
      </c>
      <c r="M895" s="10">
        <v>3</v>
      </c>
      <c r="N895" s="30" t="s">
        <v>99</v>
      </c>
      <c r="O895" s="31">
        <f t="shared" ref="O895:O900" si="211">O894+1</f>
        <v>10583</v>
      </c>
      <c r="P895" s="32">
        <f>650*34+670*2+622*2+9.5*5</f>
        <v>24731.5</v>
      </c>
      <c r="Q895" s="32"/>
      <c r="R895" s="32"/>
      <c r="S895" s="32">
        <f t="shared" si="206"/>
        <v>24731.5</v>
      </c>
      <c r="T895" s="12"/>
      <c r="U895" s="12">
        <f>4.5*16</f>
        <v>72</v>
      </c>
      <c r="V895" s="12"/>
      <c r="W895" s="12">
        <f t="shared" si="207"/>
        <v>24803.5</v>
      </c>
      <c r="Y895" s="10">
        <v>3</v>
      </c>
      <c r="Z895" s="30" t="s">
        <v>99</v>
      </c>
      <c r="AA895" s="31">
        <f t="shared" ref="AA895:AA902" si="212">AA894+1</f>
        <v>10632</v>
      </c>
      <c r="AB895" s="32">
        <f>650*14+622</f>
        <v>9722</v>
      </c>
      <c r="AC895" s="32"/>
      <c r="AD895" s="32"/>
      <c r="AE895" s="32">
        <f t="shared" si="208"/>
        <v>9722</v>
      </c>
      <c r="AF895" s="12"/>
      <c r="AG895" s="12"/>
      <c r="AH895" s="12">
        <v>-1110</v>
      </c>
      <c r="AI895" s="12">
        <f t="shared" si="209"/>
        <v>8612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4</v>
      </c>
      <c r="B896" s="30" t="s">
        <v>99</v>
      </c>
      <c r="C896" s="82">
        <f t="shared" si="210"/>
        <v>10667</v>
      </c>
      <c r="D896" s="32">
        <f>650*13+622*4+650*2</f>
        <v>12238</v>
      </c>
      <c r="E896" s="32"/>
      <c r="F896" s="32"/>
      <c r="G896" s="32">
        <f t="shared" si="204"/>
        <v>12238</v>
      </c>
      <c r="H896" s="12"/>
      <c r="I896" s="12"/>
      <c r="J896" s="12"/>
      <c r="K896" s="12">
        <f t="shared" si="205"/>
        <v>12238</v>
      </c>
      <c r="M896" s="10">
        <v>4</v>
      </c>
      <c r="N896" s="30" t="s">
        <v>99</v>
      </c>
      <c r="O896" s="31">
        <f t="shared" si="211"/>
        <v>10584</v>
      </c>
      <c r="P896" s="32">
        <f>650</f>
        <v>650</v>
      </c>
      <c r="Q896" s="32"/>
      <c r="R896" s="32"/>
      <c r="S896" s="32">
        <f t="shared" si="206"/>
        <v>650</v>
      </c>
      <c r="T896" s="12"/>
      <c r="U896" s="12"/>
      <c r="V896" s="12"/>
      <c r="W896" s="12">
        <f t="shared" si="207"/>
        <v>650</v>
      </c>
      <c r="Y896" s="10">
        <v>4</v>
      </c>
      <c r="Z896" s="30" t="s">
        <v>99</v>
      </c>
      <c r="AA896" s="31">
        <f t="shared" si="212"/>
        <v>10633</v>
      </c>
      <c r="AB896" s="32">
        <f>650*38+670*5+622*10+229*2</f>
        <v>34728</v>
      </c>
      <c r="AC896" s="32"/>
      <c r="AD896" s="32"/>
      <c r="AE896" s="32">
        <f t="shared" si="208"/>
        <v>34728</v>
      </c>
      <c r="AF896" s="12"/>
      <c r="AG896" s="12"/>
      <c r="AH896" s="12"/>
      <c r="AI896" s="12">
        <f t="shared" si="209"/>
        <v>34728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5</v>
      </c>
      <c r="B897" s="30" t="s">
        <v>99</v>
      </c>
      <c r="C897" s="82">
        <f t="shared" si="210"/>
        <v>10668</v>
      </c>
      <c r="D897" s="32">
        <f>650*11+670*5+973*2+622+1175+1050+872+65.92*16+500+700*3</f>
        <v>19819.72</v>
      </c>
      <c r="E897" s="32"/>
      <c r="F897" s="32"/>
      <c r="G897" s="32">
        <f t="shared" si="204"/>
        <v>19819.72</v>
      </c>
      <c r="H897" s="12"/>
      <c r="I897" s="12">
        <f>1.5*48+4.5*42</f>
        <v>261</v>
      </c>
      <c r="J897" s="12"/>
      <c r="K897" s="12">
        <f t="shared" si="205"/>
        <v>20080.72</v>
      </c>
      <c r="M897" s="10">
        <v>5</v>
      </c>
      <c r="N897" s="30" t="s">
        <v>99</v>
      </c>
      <c r="O897" s="31">
        <f t="shared" si="211"/>
        <v>10585</v>
      </c>
      <c r="P897" s="32">
        <f>650*2</f>
        <v>1300</v>
      </c>
      <c r="Q897" s="32"/>
      <c r="R897" s="32"/>
      <c r="S897" s="32">
        <f t="shared" si="206"/>
        <v>1300</v>
      </c>
      <c r="T897" s="12"/>
      <c r="U897" s="12"/>
      <c r="V897" s="12">
        <v>-222</v>
      </c>
      <c r="W897" s="12">
        <f t="shared" si="207"/>
        <v>1078</v>
      </c>
      <c r="Y897" s="10">
        <v>5</v>
      </c>
      <c r="Z897" s="30" t="s">
        <v>99</v>
      </c>
      <c r="AA897" s="31">
        <f t="shared" si="212"/>
        <v>10634</v>
      </c>
      <c r="AB897" s="32">
        <f>650*20+622*3+229</f>
        <v>15095</v>
      </c>
      <c r="AC897" s="32"/>
      <c r="AD897" s="32"/>
      <c r="AE897" s="32">
        <f t="shared" si="208"/>
        <v>15095</v>
      </c>
      <c r="AF897" s="12"/>
      <c r="AG897" s="12"/>
      <c r="AH897" s="12">
        <v>-1332</v>
      </c>
      <c r="AI897" s="12">
        <f t="shared" si="209"/>
        <v>13763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6</v>
      </c>
      <c r="B898" s="30" t="s">
        <v>99</v>
      </c>
      <c r="C898" s="82">
        <f t="shared" si="210"/>
        <v>10669</v>
      </c>
      <c r="D898" s="32">
        <f>650*15+622</f>
        <v>10372</v>
      </c>
      <c r="E898" s="32"/>
      <c r="F898" s="32"/>
      <c r="G898" s="32">
        <f t="shared" si="204"/>
        <v>10372</v>
      </c>
      <c r="H898" s="12"/>
      <c r="I898" s="12"/>
      <c r="J898" s="12"/>
      <c r="K898" s="12">
        <f t="shared" si="205"/>
        <v>10372</v>
      </c>
      <c r="M898" s="10">
        <v>6</v>
      </c>
      <c r="N898" s="30" t="s">
        <v>99</v>
      </c>
      <c r="O898" s="31">
        <f t="shared" si="211"/>
        <v>10586</v>
      </c>
      <c r="P898" s="32">
        <f>650*6</f>
        <v>3900</v>
      </c>
      <c r="Q898" s="32"/>
      <c r="R898" s="32"/>
      <c r="S898" s="32">
        <f t="shared" si="206"/>
        <v>3900</v>
      </c>
      <c r="T898" s="12"/>
      <c r="U898" s="12"/>
      <c r="V898" s="10">
        <v>-1110</v>
      </c>
      <c r="W898" s="12">
        <f t="shared" si="207"/>
        <v>2790</v>
      </c>
      <c r="Y898" s="10">
        <v>6</v>
      </c>
      <c r="Z898" s="30" t="s">
        <v>99</v>
      </c>
      <c r="AA898" s="31">
        <f t="shared" si="212"/>
        <v>10635</v>
      </c>
      <c r="AB898" s="32">
        <f>650*6+229</f>
        <v>4129</v>
      </c>
      <c r="AC898" s="32"/>
      <c r="AD898" s="32"/>
      <c r="AE898" s="32">
        <f t="shared" si="208"/>
        <v>4129</v>
      </c>
      <c r="AF898" s="12"/>
      <c r="AG898" s="12">
        <f>111+78</f>
        <v>189</v>
      </c>
      <c r="AH898" s="10"/>
      <c r="AI898" s="12">
        <f t="shared" si="209"/>
        <v>4318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7</v>
      </c>
      <c r="B899" s="30" t="s">
        <v>99</v>
      </c>
      <c r="C899" s="82">
        <f t="shared" si="210"/>
        <v>10670</v>
      </c>
      <c r="D899" s="32">
        <f>650*3+9.5*3</f>
        <v>1978.5</v>
      </c>
      <c r="E899" s="32"/>
      <c r="F899" s="32"/>
      <c r="G899" s="32">
        <f t="shared" si="204"/>
        <v>1978.5</v>
      </c>
      <c r="H899" s="12"/>
      <c r="I899" s="12"/>
      <c r="J899" s="12"/>
      <c r="K899" s="12">
        <f t="shared" si="205"/>
        <v>1978.5</v>
      </c>
      <c r="M899" s="10">
        <v>7</v>
      </c>
      <c r="N899" s="30" t="s">
        <v>99</v>
      </c>
      <c r="O899" s="31">
        <f t="shared" si="211"/>
        <v>10587</v>
      </c>
      <c r="P899" s="32">
        <f>650*170+1667+1175+622*20+1102+872*3+229*6+650*2</f>
        <v>132174</v>
      </c>
      <c r="Q899" s="32">
        <v>-1158</v>
      </c>
      <c r="R899" s="32"/>
      <c r="S899" s="32">
        <f t="shared" si="206"/>
        <v>131016</v>
      </c>
      <c r="T899" s="12"/>
      <c r="U899" s="12">
        <f>312+240</f>
        <v>552</v>
      </c>
      <c r="V899" s="12">
        <f>-6660+-336</f>
        <v>-6996</v>
      </c>
      <c r="W899" s="12">
        <f t="shared" si="207"/>
        <v>124572</v>
      </c>
      <c r="Y899" s="10">
        <v>7</v>
      </c>
      <c r="Z899" s="30" t="s">
        <v>99</v>
      </c>
      <c r="AA899" s="31">
        <f t="shared" si="212"/>
        <v>10636</v>
      </c>
      <c r="AB899" s="32">
        <f>650*40+622*10+912*2+229*2</f>
        <v>34502</v>
      </c>
      <c r="AC899" s="32"/>
      <c r="AD899" s="32"/>
      <c r="AE899" s="32">
        <f t="shared" si="208"/>
        <v>34502</v>
      </c>
      <c r="AF899" s="12"/>
      <c r="AG899" s="12"/>
      <c r="AH899" s="12"/>
      <c r="AI899" s="12">
        <f t="shared" si="209"/>
        <v>34502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8</v>
      </c>
      <c r="B900" s="30" t="s">
        <v>99</v>
      </c>
      <c r="C900" s="82">
        <f t="shared" si="210"/>
        <v>10671</v>
      </c>
      <c r="D900" s="32">
        <f>650*7+670+229</f>
        <v>5449</v>
      </c>
      <c r="E900" s="32"/>
      <c r="F900" s="32"/>
      <c r="G900" s="32">
        <f t="shared" si="204"/>
        <v>5449</v>
      </c>
      <c r="H900" s="12"/>
      <c r="I900" s="12"/>
      <c r="J900" s="12"/>
      <c r="K900" s="12">
        <f t="shared" si="205"/>
        <v>5449</v>
      </c>
      <c r="M900" s="10">
        <v>8</v>
      </c>
      <c r="N900" s="30" t="s">
        <v>99</v>
      </c>
      <c r="O900" s="31">
        <f t="shared" si="211"/>
        <v>10588</v>
      </c>
      <c r="P900" s="32">
        <f>650+9.5</f>
        <v>659.5</v>
      </c>
      <c r="Q900" s="32"/>
      <c r="R900" s="32"/>
      <c r="S900" s="32">
        <f t="shared" si="206"/>
        <v>659.5</v>
      </c>
      <c r="T900" s="12"/>
      <c r="U900" s="12"/>
      <c r="V900" s="12"/>
      <c r="W900" s="12">
        <f t="shared" si="207"/>
        <v>659.5</v>
      </c>
      <c r="Y900" s="10">
        <v>8</v>
      </c>
      <c r="Z900" s="30" t="s">
        <v>99</v>
      </c>
      <c r="AA900" s="31">
        <f t="shared" si="212"/>
        <v>10637</v>
      </c>
      <c r="AB900" s="32">
        <f>650*10+622*5</f>
        <v>9610</v>
      </c>
      <c r="AC900" s="32"/>
      <c r="AD900" s="32"/>
      <c r="AE900" s="32">
        <f t="shared" si="208"/>
        <v>9610</v>
      </c>
      <c r="AF900" s="12"/>
      <c r="AG900" s="12"/>
      <c r="AH900" s="12"/>
      <c r="AI900" s="12">
        <f t="shared" si="209"/>
        <v>9610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9</v>
      </c>
      <c r="B901" s="30" t="s">
        <v>99</v>
      </c>
      <c r="C901" s="82">
        <f t="shared" si="210"/>
        <v>10672</v>
      </c>
      <c r="D901" s="32">
        <f>650*6+9.5*6</f>
        <v>3957</v>
      </c>
      <c r="E901" s="32"/>
      <c r="F901" s="32"/>
      <c r="G901" s="32">
        <f t="shared" si="204"/>
        <v>3957</v>
      </c>
      <c r="H901" s="12"/>
      <c r="I901" s="12"/>
      <c r="J901" s="12"/>
      <c r="K901" s="12">
        <f t="shared" si="205"/>
        <v>3957</v>
      </c>
      <c r="M901" s="10">
        <v>9</v>
      </c>
      <c r="N901" s="30"/>
      <c r="O901" s="11" t="s">
        <v>27</v>
      </c>
      <c r="P901" s="32"/>
      <c r="Q901" s="32"/>
      <c r="R901" s="32"/>
      <c r="S901" s="32">
        <f t="shared" si="206"/>
        <v>0</v>
      </c>
      <c r="T901" s="12"/>
      <c r="U901" s="12"/>
      <c r="V901" s="12"/>
      <c r="W901" s="12">
        <f t="shared" si="207"/>
        <v>0</v>
      </c>
      <c r="Y901" s="10">
        <v>9</v>
      </c>
      <c r="Z901" s="30" t="s">
        <v>101</v>
      </c>
      <c r="AA901" s="31">
        <f t="shared" si="212"/>
        <v>10638</v>
      </c>
      <c r="AB901" s="32">
        <f>650*7+622*2+9.5*9</f>
        <v>5879.5</v>
      </c>
      <c r="AC901" s="32"/>
      <c r="AD901" s="32"/>
      <c r="AE901" s="32">
        <f t="shared" si="208"/>
        <v>5879.5</v>
      </c>
      <c r="AF901" s="12"/>
      <c r="AG901" s="12"/>
      <c r="AH901" s="12"/>
      <c r="AI901" s="12">
        <f t="shared" si="209"/>
        <v>5879.5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10</v>
      </c>
      <c r="B902" s="30" t="s">
        <v>99</v>
      </c>
      <c r="C902" s="82">
        <f t="shared" si="210"/>
        <v>10673</v>
      </c>
      <c r="D902" s="32">
        <f>650*5+9.5*5</f>
        <v>3297.5</v>
      </c>
      <c r="E902" s="32"/>
      <c r="F902" s="32"/>
      <c r="G902" s="32">
        <f t="shared" si="204"/>
        <v>3297.5</v>
      </c>
      <c r="H902" s="12"/>
      <c r="I902" s="12"/>
      <c r="J902" s="12"/>
      <c r="K902" s="12">
        <f t="shared" si="205"/>
        <v>3297.5</v>
      </c>
      <c r="M902" s="10">
        <v>10</v>
      </c>
      <c r="N902" s="30"/>
      <c r="O902" s="31"/>
      <c r="P902" s="32"/>
      <c r="Q902" s="32"/>
      <c r="R902" s="32"/>
      <c r="S902" s="32">
        <f t="shared" si="206"/>
        <v>0</v>
      </c>
      <c r="T902" s="12"/>
      <c r="U902" s="12"/>
      <c r="V902" s="12"/>
      <c r="W902" s="12">
        <f t="shared" si="207"/>
        <v>0</v>
      </c>
      <c r="Y902" s="10">
        <v>10</v>
      </c>
      <c r="Z902" s="30" t="s">
        <v>102</v>
      </c>
      <c r="AA902" s="31">
        <f t="shared" si="212"/>
        <v>10639</v>
      </c>
      <c r="AB902" s="32">
        <f>650*60</f>
        <v>39000</v>
      </c>
      <c r="AC902" s="32">
        <f>-60*6</f>
        <v>-360</v>
      </c>
      <c r="AD902" s="32"/>
      <c r="AE902" s="32">
        <f t="shared" si="208"/>
        <v>38640</v>
      </c>
      <c r="AF902" s="12"/>
      <c r="AG902" s="12"/>
      <c r="AH902" s="12">
        <f>-111*26+-78*9</f>
        <v>-3588</v>
      </c>
      <c r="AI902" s="12">
        <f t="shared" si="209"/>
        <v>35052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11</v>
      </c>
      <c r="B903" s="30" t="s">
        <v>99</v>
      </c>
      <c r="C903" s="82">
        <f t="shared" si="210"/>
        <v>10674</v>
      </c>
      <c r="D903" s="32">
        <f>650*14+872+229</f>
        <v>10201</v>
      </c>
      <c r="E903" s="32"/>
      <c r="F903" s="32"/>
      <c r="G903" s="32">
        <f t="shared" si="204"/>
        <v>10201</v>
      </c>
      <c r="H903" s="12"/>
      <c r="I903" s="12"/>
      <c r="J903" s="12"/>
      <c r="K903" s="12">
        <f t="shared" si="205"/>
        <v>10201</v>
      </c>
      <c r="M903" s="10">
        <v>11</v>
      </c>
      <c r="N903" s="30"/>
      <c r="O903" s="31"/>
      <c r="P903" s="32"/>
      <c r="Q903" s="32"/>
      <c r="R903" s="32"/>
      <c r="S903" s="32">
        <f t="shared" si="206"/>
        <v>0</v>
      </c>
      <c r="T903" s="12"/>
      <c r="U903" s="12"/>
      <c r="V903" s="12"/>
      <c r="W903" s="12">
        <f t="shared" si="207"/>
        <v>0</v>
      </c>
      <c r="Y903" s="10">
        <v>11</v>
      </c>
      <c r="Z903" s="30"/>
      <c r="AA903" s="11" t="s">
        <v>27</v>
      </c>
      <c r="AB903" s="32"/>
      <c r="AC903" s="32"/>
      <c r="AD903" s="32"/>
      <c r="AE903" s="32">
        <f t="shared" si="208"/>
        <v>0</v>
      </c>
      <c r="AF903" s="12"/>
      <c r="AG903" s="12"/>
      <c r="AH903" s="12"/>
      <c r="AI903" s="12">
        <f t="shared" si="209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12</v>
      </c>
      <c r="B904" s="30" t="s">
        <v>99</v>
      </c>
      <c r="C904" s="82">
        <f t="shared" si="210"/>
        <v>10675</v>
      </c>
      <c r="D904" s="32">
        <f>650*10</f>
        <v>6500</v>
      </c>
      <c r="E904" s="32"/>
      <c r="F904" s="32"/>
      <c r="G904" s="32">
        <f t="shared" si="204"/>
        <v>6500</v>
      </c>
      <c r="H904" s="12"/>
      <c r="I904" s="12"/>
      <c r="J904" s="10"/>
      <c r="K904" s="12">
        <f t="shared" si="205"/>
        <v>6500</v>
      </c>
      <c r="M904" s="10">
        <v>12</v>
      </c>
      <c r="N904" s="30"/>
      <c r="O904" s="31"/>
      <c r="P904" s="32"/>
      <c r="Q904" s="32"/>
      <c r="R904" s="32"/>
      <c r="S904" s="32">
        <f t="shared" si="206"/>
        <v>0</v>
      </c>
      <c r="T904" s="12"/>
      <c r="U904" s="12"/>
      <c r="V904" s="12"/>
      <c r="W904" s="12">
        <f t="shared" si="207"/>
        <v>0</v>
      </c>
      <c r="Y904" s="10">
        <v>12</v>
      </c>
      <c r="Z904" s="30"/>
      <c r="AA904" s="31"/>
      <c r="AB904" s="32"/>
      <c r="AC904" s="32"/>
      <c r="AD904" s="32"/>
      <c r="AE904" s="32">
        <f t="shared" si="208"/>
        <v>0</v>
      </c>
      <c r="AF904" s="12"/>
      <c r="AG904" s="12"/>
      <c r="AH904" s="12"/>
      <c r="AI904" s="12">
        <f t="shared" si="209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13</v>
      </c>
      <c r="B905" s="30" t="s">
        <v>99</v>
      </c>
      <c r="C905" s="82">
        <f t="shared" si="210"/>
        <v>10676</v>
      </c>
      <c r="D905" s="32">
        <f>973*50+912+1050*5+872*2+500*2</f>
        <v>57556</v>
      </c>
      <c r="E905" s="32"/>
      <c r="F905" s="32"/>
      <c r="G905" s="32">
        <f t="shared" si="204"/>
        <v>57556</v>
      </c>
      <c r="H905" s="12"/>
      <c r="I905" s="12"/>
      <c r="J905" s="12"/>
      <c r="K905" s="12">
        <f t="shared" si="205"/>
        <v>57556</v>
      </c>
      <c r="M905" s="10">
        <v>13</v>
      </c>
      <c r="N905" s="30"/>
      <c r="O905" s="11"/>
      <c r="P905" s="32"/>
      <c r="Q905" s="32"/>
      <c r="R905" s="32"/>
      <c r="S905" s="32">
        <f t="shared" si="206"/>
        <v>0</v>
      </c>
      <c r="T905" s="12"/>
      <c r="U905" s="12"/>
      <c r="V905" s="12"/>
      <c r="W905" s="12">
        <f t="shared" si="207"/>
        <v>0</v>
      </c>
      <c r="Y905" s="10">
        <v>13</v>
      </c>
      <c r="Z905" s="30"/>
      <c r="AA905" s="11"/>
      <c r="AB905" s="32"/>
      <c r="AC905" s="32"/>
      <c r="AD905" s="32"/>
      <c r="AE905" s="32">
        <f t="shared" si="208"/>
        <v>0</v>
      </c>
      <c r="AF905" s="12"/>
      <c r="AG905" s="12"/>
      <c r="AH905" s="12"/>
      <c r="AI905" s="12">
        <f t="shared" si="209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14</v>
      </c>
      <c r="B906" s="30" t="s">
        <v>99</v>
      </c>
      <c r="C906" s="82">
        <f t="shared" si="210"/>
        <v>10677</v>
      </c>
      <c r="D906" s="32">
        <f>650*2+912+872</f>
        <v>3084</v>
      </c>
      <c r="E906" s="32"/>
      <c r="F906" s="32"/>
      <c r="G906" s="32">
        <f t="shared" si="204"/>
        <v>3084</v>
      </c>
      <c r="H906" s="12"/>
      <c r="I906" s="12"/>
      <c r="J906" s="12">
        <v>-720</v>
      </c>
      <c r="K906" s="12">
        <f t="shared" si="205"/>
        <v>2364</v>
      </c>
      <c r="M906" s="10">
        <v>14</v>
      </c>
      <c r="N906" s="30"/>
      <c r="P906" s="32"/>
      <c r="Q906" s="32"/>
      <c r="R906" s="32"/>
      <c r="S906" s="32">
        <f t="shared" si="206"/>
        <v>0</v>
      </c>
      <c r="T906" s="12"/>
      <c r="U906" s="12"/>
      <c r="V906" s="12"/>
      <c r="W906" s="12">
        <f t="shared" si="207"/>
        <v>0</v>
      </c>
      <c r="Y906" s="10">
        <v>14</v>
      </c>
      <c r="Z906" s="30"/>
      <c r="AB906" s="32"/>
      <c r="AC906" s="32"/>
      <c r="AD906" s="32"/>
      <c r="AE906" s="32">
        <f t="shared" si="208"/>
        <v>0</v>
      </c>
      <c r="AF906" s="12"/>
      <c r="AG906" s="12"/>
      <c r="AH906" s="12"/>
      <c r="AI906" s="12">
        <f t="shared" si="209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15</v>
      </c>
      <c r="B907" s="30"/>
      <c r="C907" s="11" t="s">
        <v>27</v>
      </c>
      <c r="D907" s="32"/>
      <c r="E907" s="32"/>
      <c r="F907" s="32"/>
      <c r="G907" s="32"/>
      <c r="H907" s="12"/>
      <c r="I907" s="12"/>
      <c r="J907" s="12"/>
      <c r="K907" s="12">
        <f t="shared" si="205"/>
        <v>0</v>
      </c>
      <c r="M907" s="10">
        <v>15</v>
      </c>
      <c r="N907" s="30"/>
      <c r="O907" s="31"/>
      <c r="P907" s="32"/>
      <c r="Q907" s="32"/>
      <c r="R907" s="32"/>
      <c r="S907" s="32">
        <f t="shared" si="206"/>
        <v>0</v>
      </c>
      <c r="T907" s="12"/>
      <c r="U907" s="12"/>
      <c r="V907" s="12"/>
      <c r="W907" s="12">
        <f t="shared" si="207"/>
        <v>0</v>
      </c>
      <c r="Y907" s="10">
        <v>15</v>
      </c>
      <c r="Z907" s="30"/>
      <c r="AA907" s="31"/>
      <c r="AB907" s="32"/>
      <c r="AC907" s="32"/>
      <c r="AD907" s="32"/>
      <c r="AE907" s="32">
        <f t="shared" si="208"/>
        <v>0</v>
      </c>
      <c r="AF907" s="12"/>
      <c r="AG907" s="12"/>
      <c r="AH907" s="12"/>
      <c r="AI907" s="12">
        <f t="shared" si="209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16</v>
      </c>
      <c r="B908" s="30"/>
      <c r="C908" s="82"/>
      <c r="D908" s="32"/>
      <c r="E908" s="32"/>
      <c r="F908" s="32"/>
      <c r="G908" s="32"/>
      <c r="H908" s="12"/>
      <c r="I908" s="12"/>
      <c r="J908" s="12"/>
      <c r="K908" s="12">
        <f t="shared" si="205"/>
        <v>0</v>
      </c>
      <c r="M908" s="10">
        <v>16</v>
      </c>
      <c r="N908" s="30"/>
      <c r="O908" s="31"/>
      <c r="P908" s="32"/>
      <c r="Q908" s="32"/>
      <c r="R908" s="32"/>
      <c r="S908" s="32">
        <f t="shared" si="206"/>
        <v>0</v>
      </c>
      <c r="T908" s="12"/>
      <c r="U908" s="12"/>
      <c r="V908" s="12"/>
      <c r="W908" s="12">
        <f t="shared" si="207"/>
        <v>0</v>
      </c>
      <c r="Y908" s="10">
        <v>16</v>
      </c>
      <c r="Z908" s="30"/>
      <c r="AA908" s="31"/>
      <c r="AB908" s="32"/>
      <c r="AC908" s="32"/>
      <c r="AD908" s="32"/>
      <c r="AE908" s="32">
        <f t="shared" si="208"/>
        <v>0</v>
      </c>
      <c r="AF908" s="12"/>
      <c r="AG908" s="12"/>
      <c r="AH908" s="12"/>
      <c r="AI908" s="12">
        <f t="shared" si="209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17</v>
      </c>
      <c r="B909" s="30"/>
      <c r="C909" s="82"/>
      <c r="D909" s="32"/>
      <c r="E909" s="32"/>
      <c r="F909" s="32"/>
      <c r="G909" s="32"/>
      <c r="H909" s="12"/>
      <c r="I909" s="12"/>
      <c r="J909" s="12"/>
      <c r="K909" s="12">
        <f t="shared" si="205"/>
        <v>0</v>
      </c>
      <c r="M909" s="10">
        <v>17</v>
      </c>
      <c r="N909" s="30"/>
      <c r="P909" s="35"/>
      <c r="Q909" s="32"/>
      <c r="R909" s="32"/>
      <c r="S909" s="32">
        <f t="shared" si="206"/>
        <v>0</v>
      </c>
      <c r="T909" s="12"/>
      <c r="U909" s="12"/>
      <c r="V909" s="12"/>
      <c r="W909" s="12">
        <f t="shared" si="207"/>
        <v>0</v>
      </c>
      <c r="Y909" s="10">
        <v>17</v>
      </c>
      <c r="Z909" s="30"/>
      <c r="AB909" s="35"/>
      <c r="AC909" s="32"/>
      <c r="AD909" s="32"/>
      <c r="AE909" s="32">
        <f t="shared" si="208"/>
        <v>0</v>
      </c>
      <c r="AF909" s="12"/>
      <c r="AG909" s="12"/>
      <c r="AH909" s="12"/>
      <c r="AI909" s="12">
        <f t="shared" si="209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18</v>
      </c>
      <c r="B910" s="30"/>
      <c r="C910" s="82"/>
      <c r="D910" s="32"/>
      <c r="E910" s="32"/>
      <c r="F910" s="32"/>
      <c r="G910" s="32"/>
      <c r="H910" s="12"/>
      <c r="I910" s="12"/>
      <c r="J910" s="12"/>
      <c r="K910" s="12">
        <f t="shared" si="205"/>
        <v>0</v>
      </c>
      <c r="M910" s="10">
        <v>18</v>
      </c>
      <c r="N910" s="30"/>
      <c r="O910" s="11"/>
      <c r="P910" s="32"/>
      <c r="Q910" s="32"/>
      <c r="R910" s="32"/>
      <c r="S910" s="32">
        <f t="shared" si="206"/>
        <v>0</v>
      </c>
      <c r="T910" s="12"/>
      <c r="U910" s="12"/>
      <c r="V910" s="12"/>
      <c r="W910" s="12">
        <f t="shared" si="207"/>
        <v>0</v>
      </c>
      <c r="Y910" s="10">
        <v>18</v>
      </c>
      <c r="Z910" s="30"/>
      <c r="AA910" s="11"/>
      <c r="AB910" s="32"/>
      <c r="AC910" s="32"/>
      <c r="AD910" s="32"/>
      <c r="AE910" s="32">
        <f t="shared" si="208"/>
        <v>0</v>
      </c>
      <c r="AF910" s="12"/>
      <c r="AG910" s="12"/>
      <c r="AH910" s="12"/>
      <c r="AI910" s="12">
        <f t="shared" si="209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19</v>
      </c>
      <c r="B911" s="30"/>
      <c r="C911" s="82"/>
      <c r="D911" s="32"/>
      <c r="E911" s="32"/>
      <c r="F911" s="32"/>
      <c r="G911" s="32"/>
      <c r="H911" s="12"/>
      <c r="I911" s="12"/>
      <c r="J911" s="12"/>
      <c r="K911" s="12">
        <f t="shared" si="205"/>
        <v>0</v>
      </c>
      <c r="M911" s="10">
        <v>19</v>
      </c>
      <c r="N911" s="30"/>
      <c r="O911" s="31"/>
      <c r="P911" s="32"/>
      <c r="Q911" s="32"/>
      <c r="R911" s="32"/>
      <c r="S911" s="32">
        <f t="shared" si="206"/>
        <v>0</v>
      </c>
      <c r="T911" s="12"/>
      <c r="U911" s="12"/>
      <c r="V911" s="12"/>
      <c r="W911" s="12">
        <f t="shared" si="207"/>
        <v>0</v>
      </c>
      <c r="Y911" s="10">
        <v>19</v>
      </c>
      <c r="Z911" s="30"/>
      <c r="AA911" s="31"/>
      <c r="AB911" s="32"/>
      <c r="AC911" s="32"/>
      <c r="AD911" s="32"/>
      <c r="AE911" s="32">
        <f t="shared" si="208"/>
        <v>0</v>
      </c>
      <c r="AF911" s="12"/>
      <c r="AG911" s="12"/>
      <c r="AH911" s="12"/>
      <c r="AI911" s="12">
        <f t="shared" si="209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20</v>
      </c>
      <c r="B912" s="30"/>
      <c r="C912" s="82"/>
      <c r="D912" s="32"/>
      <c r="E912" s="32"/>
      <c r="F912" s="32"/>
      <c r="G912" s="32"/>
      <c r="H912" s="12"/>
      <c r="I912" s="12"/>
      <c r="J912" s="12"/>
      <c r="K912" s="12">
        <f t="shared" si="205"/>
        <v>0</v>
      </c>
      <c r="M912" s="10">
        <v>20</v>
      </c>
      <c r="N912" s="30"/>
      <c r="P912" s="32"/>
      <c r="Q912" s="32"/>
      <c r="R912" s="32"/>
      <c r="S912" s="32">
        <f t="shared" si="206"/>
        <v>0</v>
      </c>
      <c r="T912" s="12"/>
      <c r="U912" s="12"/>
      <c r="V912" s="12"/>
      <c r="W912" s="12">
        <f t="shared" si="207"/>
        <v>0</v>
      </c>
      <c r="Y912" s="10">
        <v>20</v>
      </c>
      <c r="Z912" s="30"/>
      <c r="AB912" s="32"/>
      <c r="AC912" s="32"/>
      <c r="AD912" s="32"/>
      <c r="AE912" s="32">
        <f t="shared" si="208"/>
        <v>0</v>
      </c>
      <c r="AF912" s="12"/>
      <c r="AG912" s="12"/>
      <c r="AH912" s="12"/>
      <c r="AI912" s="12">
        <f t="shared" si="209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21</v>
      </c>
      <c r="B913" s="30"/>
      <c r="C913" s="57"/>
      <c r="D913" s="32"/>
      <c r="E913" s="32"/>
      <c r="F913" s="32"/>
      <c r="G913" s="32"/>
      <c r="H913" s="10"/>
      <c r="I913" s="10"/>
      <c r="J913" s="10"/>
      <c r="K913" s="12">
        <f t="shared" si="205"/>
        <v>0</v>
      </c>
      <c r="M913" s="10">
        <v>21</v>
      </c>
      <c r="N913" s="30"/>
      <c r="O913" s="31"/>
      <c r="P913" s="46"/>
      <c r="Q913" s="31"/>
      <c r="R913" s="31"/>
      <c r="S913" s="32">
        <f t="shared" si="206"/>
        <v>0</v>
      </c>
      <c r="T913" s="10"/>
      <c r="U913" s="10"/>
      <c r="V913" s="10"/>
      <c r="W913" s="12">
        <f t="shared" si="207"/>
        <v>0</v>
      </c>
      <c r="Y913" s="10">
        <v>21</v>
      </c>
      <c r="Z913" s="30"/>
      <c r="AA913" s="31"/>
      <c r="AB913" s="46"/>
      <c r="AC913" s="31"/>
      <c r="AD913" s="31"/>
      <c r="AE913" s="32">
        <f t="shared" si="208"/>
        <v>0</v>
      </c>
      <c r="AF913" s="10"/>
      <c r="AG913" s="10"/>
      <c r="AH913" s="10"/>
      <c r="AI913" s="12">
        <f t="shared" si="209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22</v>
      </c>
      <c r="B914" s="30"/>
      <c r="C914" s="11"/>
      <c r="D914" s="32"/>
      <c r="E914" s="32"/>
      <c r="F914" s="32"/>
      <c r="G914" s="32">
        <f t="shared" si="204"/>
        <v>0</v>
      </c>
      <c r="H914" s="10"/>
      <c r="I914" s="10"/>
      <c r="J914" s="10"/>
      <c r="K914" s="12">
        <f t="shared" si="205"/>
        <v>0</v>
      </c>
      <c r="M914" s="10">
        <v>22</v>
      </c>
      <c r="N914" s="30"/>
      <c r="O914" s="31"/>
      <c r="P914" s="45"/>
      <c r="Q914" s="31"/>
      <c r="R914" s="31"/>
      <c r="S914" s="32">
        <f t="shared" si="206"/>
        <v>0</v>
      </c>
      <c r="T914" s="10"/>
      <c r="U914" s="10"/>
      <c r="V914" s="10"/>
      <c r="W914" s="12">
        <f t="shared" si="207"/>
        <v>0</v>
      </c>
      <c r="Y914" s="10">
        <v>22</v>
      </c>
      <c r="Z914" s="30"/>
      <c r="AA914" s="31"/>
      <c r="AB914" s="45"/>
      <c r="AC914" s="31"/>
      <c r="AD914" s="31"/>
      <c r="AE914" s="32">
        <f t="shared" si="208"/>
        <v>0</v>
      </c>
      <c r="AF914" s="10"/>
      <c r="AG914" s="10"/>
      <c r="AH914" s="10"/>
      <c r="AI914" s="12">
        <f t="shared" si="209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23</v>
      </c>
      <c r="B915" s="30"/>
      <c r="C915" s="82"/>
      <c r="D915" s="32"/>
      <c r="E915" s="32"/>
      <c r="F915" s="32"/>
      <c r="G915" s="32">
        <f t="shared" si="204"/>
        <v>0</v>
      </c>
      <c r="H915" s="10"/>
      <c r="I915" s="10"/>
      <c r="J915" s="12"/>
      <c r="K915" s="12">
        <f t="shared" si="205"/>
        <v>0</v>
      </c>
      <c r="M915" s="10">
        <v>23</v>
      </c>
      <c r="N915" s="30"/>
      <c r="O915" s="31"/>
      <c r="P915" s="47"/>
      <c r="Q915" s="45"/>
      <c r="S915" s="32">
        <f t="shared" si="206"/>
        <v>0</v>
      </c>
      <c r="T915" s="10"/>
      <c r="U915" s="10"/>
      <c r="V915" s="10"/>
      <c r="W915" s="12">
        <f t="shared" si="207"/>
        <v>0</v>
      </c>
      <c r="Y915" s="10">
        <v>23</v>
      </c>
      <c r="Z915" s="30"/>
      <c r="AA915" s="31"/>
      <c r="AB915" s="47"/>
      <c r="AC915" s="45"/>
      <c r="AE915" s="32">
        <f t="shared" si="208"/>
        <v>0</v>
      </c>
      <c r="AF915" s="10"/>
      <c r="AG915" s="10"/>
      <c r="AH915" s="10"/>
      <c r="AI915" s="12">
        <f t="shared" si="209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24</v>
      </c>
      <c r="B916" s="30"/>
      <c r="C916" s="82"/>
      <c r="D916" s="32"/>
      <c r="E916" s="32"/>
      <c r="F916" s="32"/>
      <c r="G916" s="32">
        <f t="shared" si="204"/>
        <v>0</v>
      </c>
      <c r="H916" s="10"/>
      <c r="I916" s="10"/>
      <c r="J916" s="10"/>
      <c r="K916" s="12">
        <f t="shared" si="205"/>
        <v>0</v>
      </c>
      <c r="M916" s="10">
        <v>24</v>
      </c>
      <c r="N916" s="30"/>
      <c r="O916" s="31"/>
      <c r="P916" s="47"/>
      <c r="Q916" s="31"/>
      <c r="R916" s="31"/>
      <c r="S916" s="32">
        <f t="shared" si="206"/>
        <v>0</v>
      </c>
      <c r="T916" s="10"/>
      <c r="U916" s="10"/>
      <c r="V916" s="10"/>
      <c r="W916" s="12">
        <f t="shared" si="207"/>
        <v>0</v>
      </c>
      <c r="Y916" s="10">
        <v>24</v>
      </c>
      <c r="Z916" s="30"/>
      <c r="AA916" s="31"/>
      <c r="AB916" s="47"/>
      <c r="AC916" s="31"/>
      <c r="AD916" s="31"/>
      <c r="AE916" s="32">
        <f t="shared" si="208"/>
        <v>0</v>
      </c>
      <c r="AF916" s="10"/>
      <c r="AG916" s="10"/>
      <c r="AH916" s="10"/>
      <c r="AI916" s="12">
        <f t="shared" si="209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25</v>
      </c>
      <c r="B917" s="30"/>
      <c r="C917" s="57"/>
      <c r="D917" s="32"/>
      <c r="E917" s="32"/>
      <c r="F917" s="32"/>
      <c r="G917" s="32">
        <f t="shared" si="204"/>
        <v>0</v>
      </c>
      <c r="H917" s="10"/>
      <c r="I917" s="10"/>
      <c r="J917" s="10"/>
      <c r="K917" s="12">
        <f t="shared" si="205"/>
        <v>0</v>
      </c>
      <c r="M917" s="10">
        <v>25</v>
      </c>
      <c r="N917" s="30"/>
      <c r="O917" s="31"/>
      <c r="P917" s="47"/>
      <c r="Q917" s="31"/>
      <c r="R917" s="31"/>
      <c r="S917" s="32">
        <f t="shared" si="206"/>
        <v>0</v>
      </c>
      <c r="T917" s="10"/>
      <c r="U917" s="10"/>
      <c r="V917" s="10"/>
      <c r="W917" s="12">
        <f t="shared" si="207"/>
        <v>0</v>
      </c>
      <c r="Y917" s="10">
        <v>25</v>
      </c>
      <c r="Z917" s="30"/>
      <c r="AA917" s="31"/>
      <c r="AB917" s="47"/>
      <c r="AC917" s="31"/>
      <c r="AD917" s="31"/>
      <c r="AE917" s="32">
        <f t="shared" si="208"/>
        <v>0</v>
      </c>
      <c r="AF917" s="10"/>
      <c r="AG917" s="10"/>
      <c r="AH917" s="10"/>
      <c r="AI917" s="12">
        <f t="shared" si="209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26</v>
      </c>
      <c r="B918" s="30"/>
      <c r="C918" s="82"/>
      <c r="D918" s="32"/>
      <c r="E918" s="32"/>
      <c r="F918" s="32"/>
      <c r="G918" s="32">
        <f t="shared" si="204"/>
        <v>0</v>
      </c>
      <c r="H918" s="10"/>
      <c r="I918" s="10"/>
      <c r="J918" s="10"/>
      <c r="K918" s="12">
        <f t="shared" si="205"/>
        <v>0</v>
      </c>
      <c r="M918" s="10">
        <v>26</v>
      </c>
      <c r="N918" s="30"/>
      <c r="O918" s="31"/>
      <c r="P918" s="47"/>
      <c r="Q918" s="31"/>
      <c r="R918" s="31"/>
      <c r="S918" s="32">
        <f t="shared" si="206"/>
        <v>0</v>
      </c>
      <c r="T918" s="10"/>
      <c r="U918" s="10"/>
      <c r="V918" s="10"/>
      <c r="W918" s="12">
        <f t="shared" si="207"/>
        <v>0</v>
      </c>
      <c r="Y918" s="10">
        <v>26</v>
      </c>
      <c r="Z918" s="30"/>
      <c r="AA918" s="31"/>
      <c r="AB918" s="47"/>
      <c r="AC918" s="31"/>
      <c r="AD918" s="31"/>
      <c r="AE918" s="32">
        <f t="shared" si="208"/>
        <v>0</v>
      </c>
      <c r="AF918" s="10"/>
      <c r="AG918" s="10"/>
      <c r="AH918" s="10"/>
      <c r="AI918" s="12">
        <f t="shared" si="209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27</v>
      </c>
      <c r="B919" s="30"/>
      <c r="C919" s="82"/>
      <c r="D919" s="32"/>
      <c r="E919" s="32"/>
      <c r="F919" s="32"/>
      <c r="G919" s="32">
        <f t="shared" si="204"/>
        <v>0</v>
      </c>
      <c r="H919" s="10"/>
      <c r="I919" s="10"/>
      <c r="J919" s="10"/>
      <c r="K919" s="12">
        <f t="shared" si="205"/>
        <v>0</v>
      </c>
      <c r="M919" s="10">
        <v>27</v>
      </c>
      <c r="N919" s="30"/>
      <c r="O919" s="31"/>
      <c r="P919" s="47"/>
      <c r="Q919" s="31"/>
      <c r="R919" s="31"/>
      <c r="S919" s="32">
        <f t="shared" si="206"/>
        <v>0</v>
      </c>
      <c r="T919" s="10"/>
      <c r="U919" s="10"/>
      <c r="V919" s="10"/>
      <c r="W919" s="12">
        <f t="shared" si="207"/>
        <v>0</v>
      </c>
      <c r="Y919" s="10">
        <v>27</v>
      </c>
      <c r="Z919" s="30"/>
      <c r="AA919" s="31"/>
      <c r="AB919" s="47"/>
      <c r="AC919" s="31"/>
      <c r="AD919" s="31"/>
      <c r="AE919" s="32">
        <f t="shared" si="208"/>
        <v>0</v>
      </c>
      <c r="AF919" s="10"/>
      <c r="AG919" s="10"/>
      <c r="AH919" s="10"/>
      <c r="AI919" s="12">
        <f t="shared" si="209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28</v>
      </c>
      <c r="B920" s="30"/>
      <c r="C920" s="82"/>
      <c r="D920" s="32"/>
      <c r="E920" s="32"/>
      <c r="F920" s="32"/>
      <c r="G920" s="32">
        <f t="shared" si="204"/>
        <v>0</v>
      </c>
      <c r="H920" s="10"/>
      <c r="I920" s="10"/>
      <c r="J920" s="10"/>
      <c r="K920" s="12">
        <f t="shared" si="205"/>
        <v>0</v>
      </c>
      <c r="M920" s="10">
        <v>28</v>
      </c>
      <c r="N920" s="30"/>
      <c r="O920" s="31"/>
      <c r="P920" s="47"/>
      <c r="Q920" s="31"/>
      <c r="R920" s="31"/>
      <c r="S920" s="32">
        <f t="shared" si="206"/>
        <v>0</v>
      </c>
      <c r="T920" s="10"/>
      <c r="U920" s="10"/>
      <c r="V920" s="10"/>
      <c r="W920" s="12">
        <f t="shared" si="207"/>
        <v>0</v>
      </c>
      <c r="Y920" s="10">
        <v>28</v>
      </c>
      <c r="Z920" s="30"/>
      <c r="AA920" s="31"/>
      <c r="AB920" s="47"/>
      <c r="AC920" s="31"/>
      <c r="AD920" s="31"/>
      <c r="AE920" s="32">
        <f t="shared" si="208"/>
        <v>0</v>
      </c>
      <c r="AF920" s="10"/>
      <c r="AG920" s="10"/>
      <c r="AH920" s="10"/>
      <c r="AI920" s="12">
        <f t="shared" si="209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29</v>
      </c>
      <c r="B921" s="30"/>
      <c r="C921" s="82"/>
      <c r="D921" s="32"/>
      <c r="E921" s="32"/>
      <c r="F921" s="32"/>
      <c r="G921" s="32">
        <f t="shared" si="204"/>
        <v>0</v>
      </c>
      <c r="H921" s="10"/>
      <c r="I921" s="10"/>
      <c r="J921" s="10"/>
      <c r="K921" s="12">
        <f t="shared" si="205"/>
        <v>0</v>
      </c>
      <c r="M921" s="10">
        <v>29</v>
      </c>
      <c r="N921" s="30"/>
      <c r="O921" s="31"/>
      <c r="P921" s="47"/>
      <c r="Q921" s="31"/>
      <c r="R921" s="31"/>
      <c r="S921" s="32">
        <f t="shared" si="206"/>
        <v>0</v>
      </c>
      <c r="T921" s="10"/>
      <c r="U921" s="10"/>
      <c r="V921" s="10"/>
      <c r="W921" s="12">
        <f t="shared" si="207"/>
        <v>0</v>
      </c>
      <c r="Y921" s="10">
        <v>29</v>
      </c>
      <c r="Z921" s="30"/>
      <c r="AA921" s="31"/>
      <c r="AB921" s="47"/>
      <c r="AC921" s="31"/>
      <c r="AD921" s="31"/>
      <c r="AE921" s="32">
        <f t="shared" si="208"/>
        <v>0</v>
      </c>
      <c r="AF921" s="10"/>
      <c r="AG921" s="10"/>
      <c r="AH921" s="10"/>
      <c r="AI921" s="12">
        <f t="shared" si="209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30</v>
      </c>
      <c r="B922" s="30"/>
      <c r="C922" s="82"/>
      <c r="D922" s="32"/>
      <c r="E922" s="32"/>
      <c r="F922" s="32"/>
      <c r="G922" s="32">
        <f t="shared" si="204"/>
        <v>0</v>
      </c>
      <c r="H922" s="10"/>
      <c r="I922" s="10"/>
      <c r="J922" s="10"/>
      <c r="K922" s="12">
        <f t="shared" si="205"/>
        <v>0</v>
      </c>
      <c r="M922" s="10">
        <v>30</v>
      </c>
      <c r="N922" s="30"/>
      <c r="O922" s="31"/>
      <c r="P922" s="47"/>
      <c r="Q922" s="31"/>
      <c r="R922" s="31"/>
      <c r="S922" s="32">
        <f t="shared" si="206"/>
        <v>0</v>
      </c>
      <c r="T922" s="10"/>
      <c r="U922" s="10"/>
      <c r="V922" s="10"/>
      <c r="W922" s="12">
        <f t="shared" si="207"/>
        <v>0</v>
      </c>
      <c r="Y922" s="10">
        <v>30</v>
      </c>
      <c r="Z922" s="30"/>
      <c r="AA922" s="31"/>
      <c r="AB922" s="47"/>
      <c r="AC922" s="31"/>
      <c r="AD922" s="31"/>
      <c r="AE922" s="32">
        <f t="shared" si="208"/>
        <v>0</v>
      </c>
      <c r="AF922" s="10"/>
      <c r="AG922" s="10"/>
      <c r="AH922" s="10"/>
      <c r="AI922" s="12">
        <f t="shared" si="209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31</v>
      </c>
      <c r="B923" s="30"/>
      <c r="C923" s="82"/>
      <c r="D923" s="32"/>
      <c r="E923" s="32"/>
      <c r="F923" s="32"/>
      <c r="G923" s="32">
        <f t="shared" si="204"/>
        <v>0</v>
      </c>
      <c r="H923" s="10"/>
      <c r="I923" s="10"/>
      <c r="J923" s="10"/>
      <c r="K923" s="12">
        <f t="shared" si="205"/>
        <v>0</v>
      </c>
      <c r="M923" s="10">
        <v>31</v>
      </c>
      <c r="N923" s="30"/>
      <c r="O923" s="31"/>
      <c r="P923" s="47"/>
      <c r="Q923" s="31"/>
      <c r="R923" s="31"/>
      <c r="S923" s="32">
        <f t="shared" si="206"/>
        <v>0</v>
      </c>
      <c r="T923" s="10"/>
      <c r="U923" s="10"/>
      <c r="V923" s="10"/>
      <c r="W923" s="12">
        <f t="shared" si="207"/>
        <v>0</v>
      </c>
      <c r="Y923" s="10">
        <v>31</v>
      </c>
      <c r="Z923" s="30"/>
      <c r="AA923" s="31"/>
      <c r="AB923" s="47"/>
      <c r="AC923" s="31"/>
      <c r="AD923" s="31"/>
      <c r="AE923" s="32">
        <f t="shared" si="208"/>
        <v>0</v>
      </c>
      <c r="AF923" s="10"/>
      <c r="AG923" s="10"/>
      <c r="AH923" s="10"/>
      <c r="AI923" s="12">
        <f t="shared" si="209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32</v>
      </c>
      <c r="B924" s="30"/>
      <c r="C924" s="82"/>
      <c r="D924" s="32"/>
      <c r="E924" s="32"/>
      <c r="F924" s="32"/>
      <c r="G924" s="32">
        <f t="shared" si="204"/>
        <v>0</v>
      </c>
      <c r="H924" s="10"/>
      <c r="I924" s="10"/>
      <c r="J924" s="10"/>
      <c r="K924" s="12">
        <f t="shared" si="205"/>
        <v>0</v>
      </c>
      <c r="M924" s="10">
        <v>32</v>
      </c>
      <c r="N924" s="30"/>
      <c r="O924" s="31"/>
      <c r="P924" s="47"/>
      <c r="Q924" s="31"/>
      <c r="R924" s="31"/>
      <c r="S924" s="32">
        <f t="shared" si="206"/>
        <v>0</v>
      </c>
      <c r="T924" s="10"/>
      <c r="U924" s="10"/>
      <c r="V924" s="10"/>
      <c r="W924" s="12">
        <f t="shared" si="207"/>
        <v>0</v>
      </c>
      <c r="Y924" s="10">
        <v>32</v>
      </c>
      <c r="Z924" s="30"/>
      <c r="AA924" s="31"/>
      <c r="AB924" s="47"/>
      <c r="AC924" s="31"/>
      <c r="AD924" s="31"/>
      <c r="AE924" s="32">
        <f t="shared" si="208"/>
        <v>0</v>
      </c>
      <c r="AF924" s="10"/>
      <c r="AG924" s="10"/>
      <c r="AH924" s="10"/>
      <c r="AI924" s="12">
        <f t="shared" si="209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>
        <v>33</v>
      </c>
      <c r="B925" s="30"/>
      <c r="C925" s="82"/>
      <c r="D925" s="32"/>
      <c r="E925" s="32"/>
      <c r="F925" s="32"/>
      <c r="G925" s="32">
        <f t="shared" si="204"/>
        <v>0</v>
      </c>
      <c r="H925" s="10"/>
      <c r="I925" s="10"/>
      <c r="J925" s="10"/>
      <c r="K925" s="12">
        <f t="shared" si="205"/>
        <v>0</v>
      </c>
      <c r="M925" s="10">
        <v>33</v>
      </c>
      <c r="N925" s="30"/>
      <c r="O925" s="31"/>
      <c r="P925" s="47"/>
      <c r="Q925" s="31"/>
      <c r="R925" s="31"/>
      <c r="S925" s="32">
        <f t="shared" si="206"/>
        <v>0</v>
      </c>
      <c r="T925" s="10"/>
      <c r="U925" s="10"/>
      <c r="V925" s="10"/>
      <c r="W925" s="12">
        <f t="shared" si="207"/>
        <v>0</v>
      </c>
      <c r="Y925" s="10">
        <v>33</v>
      </c>
      <c r="Z925" s="30"/>
      <c r="AA925" s="31"/>
      <c r="AB925" s="47"/>
      <c r="AC925" s="31"/>
      <c r="AD925" s="31"/>
      <c r="AE925" s="32">
        <f t="shared" si="208"/>
        <v>0</v>
      </c>
      <c r="AF925" s="10"/>
      <c r="AG925" s="10"/>
      <c r="AH925" s="10"/>
      <c r="AI925" s="12">
        <f t="shared" si="209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>
        <f t="shared" si="204"/>
        <v>0</v>
      </c>
      <c r="H926" s="10"/>
      <c r="I926" s="10"/>
      <c r="J926" s="10"/>
      <c r="K926" s="12">
        <f t="shared" si="205"/>
        <v>0</v>
      </c>
      <c r="M926" s="10">
        <v>34</v>
      </c>
      <c r="N926" s="30"/>
      <c r="O926" s="31"/>
      <c r="P926" s="47"/>
      <c r="Q926" s="31"/>
      <c r="R926" s="31"/>
      <c r="S926" s="32">
        <f t="shared" si="206"/>
        <v>0</v>
      </c>
      <c r="T926" s="10"/>
      <c r="U926" s="10"/>
      <c r="V926" s="10"/>
      <c r="W926" s="12">
        <f t="shared" si="207"/>
        <v>0</v>
      </c>
      <c r="Y926" s="10">
        <v>34</v>
      </c>
      <c r="Z926" s="30"/>
      <c r="AA926" s="31"/>
      <c r="AB926" s="47"/>
      <c r="AC926" s="31"/>
      <c r="AD926" s="31"/>
      <c r="AE926" s="32">
        <f t="shared" si="208"/>
        <v>0</v>
      </c>
      <c r="AF926" s="10"/>
      <c r="AG926" s="10"/>
      <c r="AH926" s="10"/>
      <c r="AI926" s="12">
        <f t="shared" si="209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35</v>
      </c>
      <c r="N927" s="30"/>
      <c r="O927" s="31"/>
      <c r="P927" s="47"/>
      <c r="Q927" s="31"/>
      <c r="R927" s="31"/>
      <c r="S927" s="32">
        <f t="shared" si="206"/>
        <v>0</v>
      </c>
      <c r="T927" s="10"/>
      <c r="U927" s="10"/>
      <c r="V927" s="10"/>
      <c r="W927" s="12">
        <f t="shared" si="207"/>
        <v>0</v>
      </c>
      <c r="Y927" s="10">
        <v>35</v>
      </c>
      <c r="Z927" s="30"/>
      <c r="AA927" s="31"/>
      <c r="AB927" s="47"/>
      <c r="AC927" s="31"/>
      <c r="AD927" s="31"/>
      <c r="AE927" s="32">
        <f t="shared" si="208"/>
        <v>0</v>
      </c>
      <c r="AF927" s="10"/>
      <c r="AG927" s="10"/>
      <c r="AH927" s="10"/>
      <c r="AI927" s="12">
        <f t="shared" si="209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82"/>
      <c r="D928" s="32"/>
      <c r="E928" s="32"/>
      <c r="F928" s="32"/>
      <c r="G928" s="32"/>
      <c r="H928" s="10"/>
      <c r="I928" s="10"/>
      <c r="J928" s="10"/>
      <c r="K928" s="12"/>
      <c r="M928" s="10">
        <v>36</v>
      </c>
      <c r="N928" s="30"/>
      <c r="O928" s="31"/>
      <c r="P928" s="47"/>
      <c r="Q928" s="31"/>
      <c r="R928" s="31"/>
      <c r="S928" s="32">
        <f t="shared" si="206"/>
        <v>0</v>
      </c>
      <c r="T928" s="10"/>
      <c r="U928" s="10"/>
      <c r="V928" s="10"/>
      <c r="W928" s="12">
        <f t="shared" si="207"/>
        <v>0</v>
      </c>
      <c r="Y928" s="10">
        <v>36</v>
      </c>
      <c r="Z928" s="30"/>
      <c r="AA928" s="31"/>
      <c r="AB928" s="47"/>
      <c r="AC928" s="31"/>
      <c r="AD928" s="31"/>
      <c r="AE928" s="32">
        <f t="shared" si="208"/>
        <v>0</v>
      </c>
      <c r="AF928" s="10"/>
      <c r="AG928" s="10"/>
      <c r="AH928" s="10"/>
      <c r="AI928" s="12">
        <f t="shared" si="209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37</v>
      </c>
      <c r="N929" s="30"/>
      <c r="P929" s="47"/>
      <c r="Q929" s="31"/>
      <c r="R929" s="31"/>
      <c r="S929" s="32">
        <f t="shared" si="206"/>
        <v>0</v>
      </c>
      <c r="T929" s="10"/>
      <c r="U929" s="10"/>
      <c r="V929" s="10"/>
      <c r="W929" s="12">
        <f t="shared" si="207"/>
        <v>0</v>
      </c>
      <c r="Y929" s="10">
        <v>37</v>
      </c>
      <c r="Z929" s="30"/>
      <c r="AB929" s="47"/>
      <c r="AC929" s="31"/>
      <c r="AD929" s="31"/>
      <c r="AE929" s="32">
        <f t="shared" si="208"/>
        <v>0</v>
      </c>
      <c r="AF929" s="10"/>
      <c r="AG929" s="10"/>
      <c r="AH929" s="10"/>
      <c r="AI929" s="12">
        <f t="shared" si="209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38</v>
      </c>
      <c r="N930" s="30"/>
      <c r="O930" s="31"/>
      <c r="P930" s="47"/>
      <c r="Q930" s="31"/>
      <c r="R930" s="31"/>
      <c r="S930" s="32">
        <f t="shared" si="206"/>
        <v>0</v>
      </c>
      <c r="T930" s="10"/>
      <c r="U930" s="10"/>
      <c r="V930" s="10"/>
      <c r="W930" s="12">
        <f t="shared" si="207"/>
        <v>0</v>
      </c>
      <c r="Y930" s="10">
        <v>38</v>
      </c>
      <c r="Z930" s="30"/>
      <c r="AA930" s="31"/>
      <c r="AB930" s="47"/>
      <c r="AC930" s="31"/>
      <c r="AD930" s="31"/>
      <c r="AE930" s="32">
        <f t="shared" si="208"/>
        <v>0</v>
      </c>
      <c r="AF930" s="10"/>
      <c r="AG930" s="10"/>
      <c r="AH930" s="10"/>
      <c r="AI930" s="12">
        <f t="shared" si="209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>
        <v>39</v>
      </c>
      <c r="N931" s="30"/>
      <c r="O931" s="31"/>
      <c r="P931" s="47"/>
      <c r="Q931" s="31"/>
      <c r="R931" s="31"/>
      <c r="S931" s="32">
        <f t="shared" si="206"/>
        <v>0</v>
      </c>
      <c r="T931" s="10"/>
      <c r="U931" s="10"/>
      <c r="V931" s="10"/>
      <c r="W931" s="12">
        <f t="shared" si="207"/>
        <v>0</v>
      </c>
      <c r="Y931" s="10">
        <v>39</v>
      </c>
      <c r="Z931" s="30"/>
      <c r="AA931" s="31"/>
      <c r="AB931" s="47"/>
      <c r="AC931" s="31"/>
      <c r="AD931" s="31"/>
      <c r="AE931" s="32">
        <f t="shared" si="208"/>
        <v>0</v>
      </c>
      <c r="AF931" s="10"/>
      <c r="AG931" s="10"/>
      <c r="AH931" s="10"/>
      <c r="AI931" s="12">
        <f t="shared" si="209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/>
      <c r="H932" s="10"/>
      <c r="I932" s="10"/>
      <c r="J932" s="10"/>
      <c r="K932" s="12"/>
      <c r="M932" s="10"/>
      <c r="N932" s="30"/>
      <c r="P932" s="47"/>
      <c r="Q932" s="31"/>
      <c r="R932" s="31"/>
      <c r="S932" s="32"/>
      <c r="T932" s="10"/>
      <c r="U932" s="10"/>
      <c r="V932" s="10"/>
      <c r="W932" s="12">
        <f t="shared" si="207"/>
        <v>0</v>
      </c>
      <c r="Y932" s="10"/>
      <c r="Z932" s="30"/>
      <c r="AB932" s="47"/>
      <c r="AC932" s="31"/>
      <c r="AD932" s="31"/>
      <c r="AE932" s="32"/>
      <c r="AF932" s="10"/>
      <c r="AG932" s="10"/>
      <c r="AH932" s="10"/>
      <c r="AI932" s="12">
        <f t="shared" si="209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1"/>
      <c r="D933" s="32"/>
      <c r="E933" s="32"/>
      <c r="F933" s="32"/>
      <c r="G933" s="32">
        <f t="shared" ref="G933" si="213">SUM(D933:E933)</f>
        <v>0</v>
      </c>
      <c r="H933" s="10"/>
      <c r="I933" s="10"/>
      <c r="J933" s="10"/>
      <c r="K933" s="12">
        <f t="shared" ref="K933" si="214">SUM(G933:J933)</f>
        <v>0</v>
      </c>
      <c r="M933" s="10"/>
      <c r="N933" s="30"/>
      <c r="O933" s="31"/>
      <c r="P933" s="47"/>
      <c r="Q933" s="31"/>
      <c r="R933" s="31"/>
      <c r="S933" s="32">
        <f t="shared" ref="S933" si="215">SUM(P933:Q933)</f>
        <v>0</v>
      </c>
      <c r="T933" s="10"/>
      <c r="U933" s="10"/>
      <c r="V933" s="10"/>
      <c r="W933" s="12">
        <f t="shared" si="207"/>
        <v>0</v>
      </c>
      <c r="Y933" s="10"/>
      <c r="Z933" s="30"/>
      <c r="AA933" s="31"/>
      <c r="AB933" s="47"/>
      <c r="AC933" s="31"/>
      <c r="AD933" s="31"/>
      <c r="AE933" s="32">
        <f t="shared" ref="AE933" si="216">SUM(AB933:AC933)</f>
        <v>0</v>
      </c>
      <c r="AF933" s="10"/>
      <c r="AG933" s="10"/>
      <c r="AH933" s="10"/>
      <c r="AI933" s="12">
        <f t="shared" si="209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10"/>
      <c r="B934" s="30"/>
      <c r="C934" s="30"/>
      <c r="D934" s="32"/>
      <c r="E934" s="32"/>
      <c r="F934" s="32"/>
      <c r="G934" s="32"/>
      <c r="H934" s="10"/>
      <c r="I934" s="10"/>
      <c r="J934" s="10"/>
      <c r="K934" s="12"/>
      <c r="M934" s="10"/>
      <c r="N934" s="31"/>
      <c r="O934" s="31"/>
      <c r="P934" s="31"/>
      <c r="Q934" s="31"/>
      <c r="R934" s="31"/>
      <c r="S934" s="31"/>
      <c r="T934" s="10"/>
      <c r="U934" s="10"/>
      <c r="V934" s="10"/>
      <c r="W934" s="12">
        <f t="shared" si="207"/>
        <v>0</v>
      </c>
      <c r="Y934" s="10"/>
      <c r="Z934" s="31"/>
      <c r="AA934" s="31"/>
      <c r="AB934" s="31"/>
      <c r="AC934" s="31"/>
      <c r="AD934" s="31"/>
      <c r="AE934" s="31"/>
      <c r="AF934" s="10"/>
      <c r="AG934" s="10"/>
      <c r="AH934" s="10"/>
      <c r="AI934" s="12">
        <f t="shared" si="209"/>
        <v>0</v>
      </c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6"/>
      <c r="E935" s="36"/>
      <c r="F935" s="36"/>
      <c r="G935" s="36"/>
      <c r="H935" s="37"/>
      <c r="I935" s="37"/>
      <c r="J935" s="37"/>
      <c r="K935" s="37"/>
      <c r="N935" s="57"/>
      <c r="O935" s="57"/>
      <c r="P935" s="36"/>
      <c r="Q935" s="36"/>
      <c r="R935" s="36"/>
      <c r="S935" s="36"/>
      <c r="T935" s="37"/>
      <c r="U935" s="37"/>
      <c r="V935" s="37"/>
      <c r="W935" s="37"/>
      <c r="Z935" s="57"/>
      <c r="AA935" s="57"/>
      <c r="AB935" s="36"/>
      <c r="AC935" s="36"/>
      <c r="AD935" s="36"/>
      <c r="AE935" s="36"/>
      <c r="AF935" s="37"/>
      <c r="AG935" s="37"/>
      <c r="AH935" s="37"/>
      <c r="AI935" s="37"/>
      <c r="AK935" s="62"/>
      <c r="AL935" s="85"/>
      <c r="AM935" s="85"/>
      <c r="AN935" s="85"/>
      <c r="AO935" s="85"/>
      <c r="AP935" s="85"/>
      <c r="AQ935" s="85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B936" s="57"/>
      <c r="C936" s="57"/>
      <c r="D936" s="38">
        <f>SUM(D893:D935)</f>
        <v>188153.72</v>
      </c>
      <c r="E936" s="38">
        <f t="shared" ref="E936:F936" si="217">SUM(E893:E933)</f>
        <v>0</v>
      </c>
      <c r="F936" s="38">
        <f t="shared" si="217"/>
        <v>0</v>
      </c>
      <c r="G936" s="38">
        <f>SUM(G893:G935)</f>
        <v>188153.72</v>
      </c>
      <c r="H936" s="4"/>
      <c r="I936" s="39">
        <f>SUM(I893:I935)</f>
        <v>481.5</v>
      </c>
      <c r="J936" s="39">
        <f>SUM(J893:J935)</f>
        <v>-720</v>
      </c>
      <c r="K936" s="40">
        <f>SUM(K893:K935)</f>
        <v>187915.22</v>
      </c>
      <c r="N936" s="57"/>
      <c r="O936" s="57"/>
      <c r="P936" s="38">
        <f>SUM(P893:P935)</f>
        <v>203963</v>
      </c>
      <c r="Q936" s="38">
        <f>SUM(Q893:Q917)</f>
        <v>-1158</v>
      </c>
      <c r="R936" s="38">
        <f>SUM(R893:R917)</f>
        <v>0</v>
      </c>
      <c r="S936" s="38">
        <f>SUM(S893:S935)</f>
        <v>202805</v>
      </c>
      <c r="T936" s="4"/>
      <c r="U936" s="41">
        <f>SUM(U893:U935)</f>
        <v>682.5</v>
      </c>
      <c r="V936" s="41">
        <f>SUM(V893:V917)</f>
        <v>-8550</v>
      </c>
      <c r="W936" s="42">
        <f>SUM(W893:W935)</f>
        <v>194937.5</v>
      </c>
      <c r="Z936" s="57"/>
      <c r="AA936" s="57"/>
      <c r="AB936" s="38">
        <f>SUM(AB893:AB935)</f>
        <v>350490.5</v>
      </c>
      <c r="AC936" s="38">
        <f>SUM(AC893:AC917)</f>
        <v>-2166</v>
      </c>
      <c r="AD936" s="38">
        <f>SUM(AD893:AD917)</f>
        <v>0</v>
      </c>
      <c r="AE936" s="38">
        <f>SUM(AE893:AE935)</f>
        <v>348324.5</v>
      </c>
      <c r="AF936" s="4"/>
      <c r="AG936" s="41">
        <f>SUM(AG893:AG935)</f>
        <v>459</v>
      </c>
      <c r="AH936" s="41">
        <f>SUM(AH893:AH917)</f>
        <v>-6030</v>
      </c>
      <c r="AI936" s="42">
        <f>SUM(AI893:AI935)</f>
        <v>342753.5</v>
      </c>
      <c r="AK936" s="62"/>
      <c r="AL936" s="85"/>
      <c r="AM936" s="85"/>
      <c r="AN936" s="85"/>
      <c r="AO936" s="85"/>
      <c r="AP936" s="85"/>
      <c r="AQ936" s="85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0</v>
      </c>
      <c r="B938" s="57"/>
      <c r="C938" s="57"/>
      <c r="D938" s="57"/>
      <c r="E938" s="57"/>
      <c r="G938" s="57"/>
      <c r="M938" t="s">
        <v>0</v>
      </c>
      <c r="N938" s="57"/>
      <c r="O938" s="57"/>
      <c r="P938" s="57"/>
      <c r="Q938" s="57"/>
      <c r="R938" s="57"/>
      <c r="S938" s="57"/>
      <c r="Y938" s="63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t="s">
        <v>28</v>
      </c>
      <c r="B939" s="57"/>
      <c r="C939" s="57"/>
      <c r="D939" s="57"/>
      <c r="E939" s="57"/>
      <c r="G939" s="57"/>
      <c r="M939" t="s">
        <v>28</v>
      </c>
      <c r="N939" s="57"/>
      <c r="O939" s="57"/>
      <c r="P939" s="57"/>
      <c r="Q939" s="57"/>
      <c r="R939" s="57"/>
      <c r="S939" s="57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B940" s="57"/>
      <c r="C940" s="57"/>
      <c r="D940" s="57"/>
      <c r="E940" s="57"/>
      <c r="G940" s="57"/>
      <c r="N940" s="57"/>
      <c r="O940" s="57"/>
      <c r="P940" s="57"/>
      <c r="Q940" s="57"/>
      <c r="R940" s="57"/>
      <c r="S940" s="57"/>
      <c r="Y940" s="62"/>
      <c r="Z940" s="87"/>
      <c r="AA940" s="87"/>
      <c r="AB940" s="87"/>
      <c r="AC940" s="87"/>
      <c r="AD940" s="87"/>
      <c r="AE940" s="87"/>
      <c r="AF940" s="62"/>
      <c r="AG940" s="87"/>
      <c r="AH940" s="87"/>
      <c r="AI940" s="62"/>
      <c r="AJ940" s="62"/>
      <c r="AK940" s="62"/>
      <c r="AL940" s="85"/>
      <c r="AM940" s="85"/>
      <c r="AN940" s="85"/>
      <c r="AO940" s="85"/>
      <c r="AP940" s="85"/>
      <c r="AQ940" s="85"/>
      <c r="AR940" s="62"/>
      <c r="AS940" s="85"/>
      <c r="AT940" s="85"/>
      <c r="AU940" s="62"/>
      <c r="AV940" s="62"/>
      <c r="AW940" s="62"/>
      <c r="AX940" s="62"/>
      <c r="AY940" s="62"/>
      <c r="AZ940" s="62"/>
    </row>
    <row r="941" spans="1:52" x14ac:dyDescent="0.25">
      <c r="A941" s="4" t="s">
        <v>14</v>
      </c>
      <c r="B941" s="57"/>
      <c r="C941" s="57"/>
      <c r="D941" s="57"/>
      <c r="E941" s="57"/>
      <c r="G941" s="57"/>
      <c r="M941" s="4" t="s">
        <v>14</v>
      </c>
      <c r="N941" s="57"/>
      <c r="O941" s="57"/>
      <c r="P941" s="57"/>
      <c r="Q941" s="57"/>
      <c r="R941" s="57"/>
      <c r="S941" s="57"/>
      <c r="Y941" s="64"/>
      <c r="Z941" s="87"/>
      <c r="AA941" s="87"/>
      <c r="AB941" s="87"/>
      <c r="AC941" s="87"/>
      <c r="AD941" s="87"/>
      <c r="AE941" s="87"/>
      <c r="AF941" s="62"/>
      <c r="AG941" s="65"/>
      <c r="AH941" s="65"/>
      <c r="AI941" s="62"/>
      <c r="AJ941" s="62"/>
      <c r="AK941" s="64"/>
      <c r="AL941" s="85"/>
      <c r="AM941" s="85"/>
      <c r="AN941" s="85"/>
      <c r="AO941" s="85"/>
      <c r="AP941" s="85"/>
      <c r="AQ941" s="85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x14ac:dyDescent="0.25">
      <c r="B942" s="57"/>
      <c r="C942" s="57"/>
      <c r="D942" s="57"/>
      <c r="E942" s="57"/>
      <c r="G942" s="57"/>
      <c r="N942" s="57"/>
      <c r="O942" s="57"/>
      <c r="P942" s="57"/>
      <c r="Q942" s="57"/>
      <c r="R942" s="57"/>
      <c r="S942" s="57"/>
      <c r="Y942" s="62"/>
      <c r="Z942" s="87"/>
      <c r="AA942" s="87"/>
      <c r="AB942" s="87"/>
      <c r="AC942" s="87"/>
      <c r="AD942" s="87"/>
      <c r="AE942" s="87"/>
      <c r="AF942" s="62"/>
      <c r="AG942" s="62"/>
      <c r="AH942" s="62"/>
      <c r="AI942" s="62"/>
      <c r="AJ942" s="62"/>
      <c r="AK942" s="62"/>
      <c r="AL942" s="85"/>
      <c r="AM942" s="85"/>
      <c r="AN942" s="85"/>
      <c r="AO942" s="85"/>
      <c r="AP942" s="85"/>
      <c r="AQ942" s="85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t="s">
        <v>37</v>
      </c>
      <c r="B943" s="57"/>
      <c r="C943" s="57"/>
      <c r="D943" s="57"/>
      <c r="E943" s="57"/>
      <c r="G943" s="57"/>
      <c r="I943" s="57" t="s">
        <v>15</v>
      </c>
      <c r="J943" s="19">
        <v>1</v>
      </c>
      <c r="M943" t="s">
        <v>37</v>
      </c>
      <c r="N943" s="57"/>
      <c r="O943" s="57"/>
      <c r="P943" s="57"/>
      <c r="Q943" s="57"/>
      <c r="R943" s="57"/>
      <c r="S943" s="57"/>
      <c r="U943" s="57" t="s">
        <v>15</v>
      </c>
      <c r="V943" s="19">
        <v>2</v>
      </c>
      <c r="Y943" s="62"/>
      <c r="Z943" s="65"/>
      <c r="AA943" s="87"/>
      <c r="AB943" s="125"/>
      <c r="AC943" s="125"/>
      <c r="AD943" s="87"/>
      <c r="AE943" s="87"/>
      <c r="AF943" s="62"/>
      <c r="AG943" s="125"/>
      <c r="AH943" s="125"/>
      <c r="AI943" s="124"/>
      <c r="AJ943" s="62"/>
      <c r="AK943" s="62"/>
      <c r="AL943" s="65"/>
      <c r="AM943" s="85"/>
      <c r="AN943" s="125"/>
      <c r="AO943" s="125"/>
      <c r="AP943" s="85"/>
      <c r="AQ943" s="85"/>
      <c r="AR943" s="62"/>
      <c r="AS943" s="125"/>
      <c r="AT943" s="125"/>
      <c r="AU943" s="124"/>
      <c r="AV943" s="62"/>
      <c r="AW943" s="62"/>
      <c r="AX943" s="62"/>
      <c r="AY943" s="62"/>
      <c r="AZ943" s="62"/>
    </row>
    <row r="944" spans="1:52" x14ac:dyDescent="0.25">
      <c r="A944" s="21" t="s">
        <v>104</v>
      </c>
      <c r="B944" s="20"/>
      <c r="C944" s="57"/>
      <c r="D944" s="57"/>
      <c r="E944" s="57"/>
      <c r="G944" s="57"/>
      <c r="I944" s="22" t="s">
        <v>16</v>
      </c>
      <c r="J944" s="23" t="s">
        <v>31</v>
      </c>
      <c r="K944" s="24"/>
      <c r="M944" s="21" t="s">
        <v>104</v>
      </c>
      <c r="N944" s="20"/>
      <c r="O944" s="57"/>
      <c r="P944" s="57"/>
      <c r="Q944" s="57"/>
      <c r="R944" s="57"/>
      <c r="S944" s="57"/>
      <c r="U944" s="22" t="s">
        <v>16</v>
      </c>
      <c r="V944" s="23" t="s">
        <v>33</v>
      </c>
      <c r="W944" s="24"/>
      <c r="Y944" s="62"/>
      <c r="Z944" s="87"/>
      <c r="AA944" s="87"/>
      <c r="AB944" s="79"/>
      <c r="AC944" s="81"/>
      <c r="AD944" s="81"/>
      <c r="AE944" s="81"/>
      <c r="AF944" s="62"/>
      <c r="AG944" s="86"/>
      <c r="AH944" s="86"/>
      <c r="AI944" s="124"/>
      <c r="AJ944" s="62"/>
      <c r="AK944" s="62"/>
      <c r="AL944" s="85"/>
      <c r="AM944" s="85"/>
      <c r="AN944" s="79"/>
      <c r="AO944" s="81"/>
      <c r="AP944" s="81"/>
      <c r="AQ944" s="81"/>
      <c r="AR944" s="62"/>
      <c r="AS944" s="84"/>
      <c r="AT944" s="84"/>
      <c r="AU944" s="124"/>
      <c r="AV944" s="62"/>
      <c r="AW944" s="62"/>
      <c r="AX944" s="62"/>
      <c r="AY944" s="62"/>
      <c r="AZ944" s="62"/>
    </row>
    <row r="945" spans="1:52" x14ac:dyDescent="0.25">
      <c r="B945" s="57"/>
      <c r="C945" s="57"/>
      <c r="D945" s="57"/>
      <c r="E945" s="57"/>
      <c r="G945" s="57"/>
      <c r="N945" s="57"/>
      <c r="O945" s="57"/>
      <c r="P945" s="57"/>
      <c r="Q945" s="57"/>
      <c r="R945" s="57"/>
      <c r="S945" s="57"/>
      <c r="Y945" s="62"/>
      <c r="Z945" s="66"/>
      <c r="AA945" s="87"/>
      <c r="AB945" s="60"/>
      <c r="AC945" s="60"/>
      <c r="AD945" s="60"/>
      <c r="AE945" s="60"/>
      <c r="AF945" s="61"/>
      <c r="AG945" s="61"/>
      <c r="AH945" s="61"/>
      <c r="AI945" s="61"/>
      <c r="AJ945" s="62"/>
      <c r="AK945" s="62"/>
      <c r="AL945" s="66"/>
      <c r="AM945" s="85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B946" s="25"/>
      <c r="C946" s="26"/>
      <c r="D946" s="126" t="s">
        <v>17</v>
      </c>
      <c r="E946" s="126"/>
      <c r="F946" s="108"/>
      <c r="G946" s="27"/>
      <c r="I946" s="120" t="s">
        <v>18</v>
      </c>
      <c r="J946" s="121"/>
      <c r="K946" s="122" t="s">
        <v>19</v>
      </c>
      <c r="N946" s="25"/>
      <c r="O946" s="26"/>
      <c r="P946" s="126" t="s">
        <v>17</v>
      </c>
      <c r="Q946" s="126"/>
      <c r="R946" s="108"/>
      <c r="S946" s="27"/>
      <c r="U946" s="120" t="s">
        <v>18</v>
      </c>
      <c r="V946" s="121"/>
      <c r="W946" s="122" t="s">
        <v>19</v>
      </c>
      <c r="Y946" s="62"/>
      <c r="Z946" s="66"/>
      <c r="AA946" s="87"/>
      <c r="AB946" s="60"/>
      <c r="AC946" s="60"/>
      <c r="AD946" s="60"/>
      <c r="AE946" s="60"/>
      <c r="AF946" s="61"/>
      <c r="AG946" s="61"/>
      <c r="AH946" s="61"/>
      <c r="AI946" s="61"/>
      <c r="AJ946" s="62"/>
      <c r="AK946" s="62"/>
      <c r="AL946" s="66"/>
      <c r="AM946" s="85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ht="30" x14ac:dyDescent="0.25">
      <c r="B947" s="28" t="s">
        <v>20</v>
      </c>
      <c r="C947" s="28" t="s">
        <v>21</v>
      </c>
      <c r="D947" s="77" t="s">
        <v>22</v>
      </c>
      <c r="E947" s="76" t="s">
        <v>23</v>
      </c>
      <c r="F947" s="78" t="s">
        <v>32</v>
      </c>
      <c r="G947" s="78" t="s">
        <v>24</v>
      </c>
      <c r="I947" s="29" t="s">
        <v>25</v>
      </c>
      <c r="J947" s="29" t="s">
        <v>26</v>
      </c>
      <c r="K947" s="123"/>
      <c r="N947" s="28" t="s">
        <v>20</v>
      </c>
      <c r="O947" s="28" t="s">
        <v>21</v>
      </c>
      <c r="P947" s="77" t="s">
        <v>22</v>
      </c>
      <c r="Q947" s="78" t="s">
        <v>23</v>
      </c>
      <c r="R947" s="78" t="s">
        <v>32</v>
      </c>
      <c r="S947" s="78" t="s">
        <v>24</v>
      </c>
      <c r="U947" s="29" t="s">
        <v>25</v>
      </c>
      <c r="V947" s="29" t="s">
        <v>26</v>
      </c>
      <c r="W947" s="123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1</v>
      </c>
      <c r="B948" s="30" t="s">
        <v>105</v>
      </c>
      <c r="C948" s="82">
        <v>10678</v>
      </c>
      <c r="D948" s="32">
        <f>378*650+229*15</f>
        <v>249135</v>
      </c>
      <c r="E948" s="32">
        <f>-378*6</f>
        <v>-2268</v>
      </c>
      <c r="F948" s="32"/>
      <c r="G948" s="32">
        <f t="shared" ref="G948:G961" si="218">SUM(D948:E948)</f>
        <v>246867</v>
      </c>
      <c r="H948" s="12"/>
      <c r="I948" s="12">
        <f>240*1.5</f>
        <v>360</v>
      </c>
      <c r="J948" s="12"/>
      <c r="K948" s="12">
        <f t="shared" ref="K948:K981" si="219">SUM(G948:J948)</f>
        <v>247227</v>
      </c>
      <c r="M948" s="10">
        <v>1</v>
      </c>
      <c r="N948" s="30" t="s">
        <v>105</v>
      </c>
      <c r="O948" s="31">
        <v>10589</v>
      </c>
      <c r="P948" s="32">
        <f>650*15+622*15</f>
        <v>19080</v>
      </c>
      <c r="Q948" s="32"/>
      <c r="R948" s="32"/>
      <c r="S948" s="32">
        <f>SUM(P948:Q948)</f>
        <v>19080</v>
      </c>
      <c r="T948" s="12"/>
      <c r="U948" s="12"/>
      <c r="V948" s="12"/>
      <c r="W948" s="12">
        <f>SUM(S948:V948)</f>
        <v>19080</v>
      </c>
      <c r="Y948" s="62"/>
      <c r="Z948" s="66"/>
      <c r="AA948" s="87"/>
      <c r="AB948" s="60"/>
      <c r="AC948" s="60"/>
      <c r="AD948" s="60"/>
      <c r="AE948" s="60"/>
      <c r="AF948" s="61"/>
      <c r="AG948" s="62"/>
      <c r="AH948" s="61"/>
      <c r="AI948" s="61"/>
      <c r="AJ948" s="62"/>
      <c r="AK948" s="62"/>
      <c r="AL948" s="66"/>
      <c r="AM948" s="85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2</v>
      </c>
      <c r="B949" s="30" t="s">
        <v>105</v>
      </c>
      <c r="C949" s="82">
        <f>C948+1</f>
        <v>10679</v>
      </c>
      <c r="D949" s="32">
        <f>650*17</f>
        <v>11050</v>
      </c>
      <c r="E949" s="32"/>
      <c r="F949" s="32"/>
      <c r="G949" s="32">
        <f t="shared" si="218"/>
        <v>11050</v>
      </c>
      <c r="H949" s="12"/>
      <c r="I949" s="12"/>
      <c r="J949" s="12"/>
      <c r="K949" s="12">
        <f t="shared" si="219"/>
        <v>11050</v>
      </c>
      <c r="M949" s="10">
        <v>2</v>
      </c>
      <c r="N949" s="30" t="s">
        <v>105</v>
      </c>
      <c r="O949" s="31">
        <f>O948+1</f>
        <v>10590</v>
      </c>
      <c r="P949" s="32">
        <f>650*7+622*3+9.5*10</f>
        <v>6511</v>
      </c>
      <c r="Q949" s="32"/>
      <c r="R949" s="32"/>
      <c r="S949" s="32">
        <f t="shared" ref="S949:S986" si="220">SUM(P949:Q949)</f>
        <v>6511</v>
      </c>
      <c r="T949" s="12"/>
      <c r="U949" s="12">
        <v>15</v>
      </c>
      <c r="V949" s="12"/>
      <c r="W949" s="12">
        <f t="shared" ref="W949:W989" si="221">SUM(S949:V949)</f>
        <v>6526</v>
      </c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3</v>
      </c>
      <c r="B950" s="30" t="s">
        <v>105</v>
      </c>
      <c r="C950" s="82">
        <f t="shared" ref="C950:C951" si="222">C949+1</f>
        <v>10680</v>
      </c>
      <c r="D950" s="33">
        <f>650*37</f>
        <v>24050</v>
      </c>
      <c r="E950" s="33"/>
      <c r="F950" s="33"/>
      <c r="G950" s="33">
        <f t="shared" si="218"/>
        <v>24050</v>
      </c>
      <c r="H950" s="34"/>
      <c r="I950" s="34"/>
      <c r="J950" s="34"/>
      <c r="K950" s="34">
        <f t="shared" si="219"/>
        <v>24050</v>
      </c>
      <c r="M950" s="10">
        <v>3</v>
      </c>
      <c r="N950" s="30" t="s">
        <v>105</v>
      </c>
      <c r="O950" s="31">
        <f t="shared" ref="O950:O955" si="223">O949+1</f>
        <v>10591</v>
      </c>
      <c r="P950" s="32">
        <f>650*70+670*3+622*15+229*4+650</f>
        <v>58406</v>
      </c>
      <c r="Q950" s="32"/>
      <c r="R950" s="32"/>
      <c r="S950" s="32">
        <f t="shared" si="220"/>
        <v>58406</v>
      </c>
      <c r="T950" s="12"/>
      <c r="U950" s="12"/>
      <c r="V950" s="12">
        <v>-1554</v>
      </c>
      <c r="W950" s="12">
        <f t="shared" si="221"/>
        <v>56852</v>
      </c>
      <c r="Y950" s="62"/>
      <c r="Z950" s="66"/>
      <c r="AA950" s="87"/>
      <c r="AB950" s="60"/>
      <c r="AC950" s="60"/>
      <c r="AD950" s="60"/>
      <c r="AE950" s="60"/>
      <c r="AF950" s="61"/>
      <c r="AG950" s="61"/>
      <c r="AH950" s="62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4</v>
      </c>
      <c r="B951" s="30" t="s">
        <v>105</v>
      </c>
      <c r="C951" s="82">
        <f t="shared" si="222"/>
        <v>10681</v>
      </c>
      <c r="D951" s="32">
        <f>650*14</f>
        <v>9100</v>
      </c>
      <c r="E951" s="32"/>
      <c r="F951" s="32"/>
      <c r="G951" s="32">
        <f t="shared" si="218"/>
        <v>9100</v>
      </c>
      <c r="H951" s="12"/>
      <c r="I951" s="12"/>
      <c r="J951" s="12">
        <f>-111*10+-42*3</f>
        <v>-1236</v>
      </c>
      <c r="K951" s="12">
        <f t="shared" si="219"/>
        <v>7864</v>
      </c>
      <c r="M951" s="10">
        <v>4</v>
      </c>
      <c r="N951" s="30" t="s">
        <v>105</v>
      </c>
      <c r="O951" s="31">
        <f t="shared" si="223"/>
        <v>10592</v>
      </c>
      <c r="P951" s="32">
        <f>650*108+229*5</f>
        <v>71345</v>
      </c>
      <c r="Q951" s="32">
        <f>-108*6</f>
        <v>-648</v>
      </c>
      <c r="R951" s="32"/>
      <c r="S951" s="32">
        <f t="shared" si="220"/>
        <v>70697</v>
      </c>
      <c r="T951" s="12"/>
      <c r="U951" s="12">
        <v>234</v>
      </c>
      <c r="V951" s="12">
        <f>-42*7</f>
        <v>-294</v>
      </c>
      <c r="W951" s="12">
        <f t="shared" si="221"/>
        <v>70637</v>
      </c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5</v>
      </c>
      <c r="B952" s="30"/>
      <c r="C952" s="11" t="s">
        <v>27</v>
      </c>
      <c r="D952" s="32"/>
      <c r="E952" s="32"/>
      <c r="F952" s="32"/>
      <c r="G952" s="32">
        <f t="shared" si="218"/>
        <v>0</v>
      </c>
      <c r="H952" s="12"/>
      <c r="I952" s="12"/>
      <c r="J952" s="12"/>
      <c r="K952" s="12">
        <f t="shared" si="219"/>
        <v>0</v>
      </c>
      <c r="M952" s="10">
        <v>5</v>
      </c>
      <c r="N952" s="30" t="s">
        <v>105</v>
      </c>
      <c r="O952" s="31">
        <f t="shared" si="223"/>
        <v>10593</v>
      </c>
      <c r="P952" s="32">
        <f>650*70+229</f>
        <v>45729</v>
      </c>
      <c r="Q952" s="32">
        <f>-70*6</f>
        <v>-420</v>
      </c>
      <c r="R952" s="32"/>
      <c r="S952" s="32">
        <f t="shared" si="220"/>
        <v>45309</v>
      </c>
      <c r="T952" s="12"/>
      <c r="U952" s="12">
        <v>36</v>
      </c>
      <c r="V952" s="12"/>
      <c r="W952" s="12">
        <f t="shared" si="221"/>
        <v>45345</v>
      </c>
      <c r="Y952" s="62"/>
      <c r="Z952" s="66"/>
      <c r="AA952" s="65"/>
      <c r="AB952" s="60"/>
      <c r="AC952" s="60"/>
      <c r="AD952" s="62"/>
      <c r="AE952" s="60"/>
      <c r="AF952" s="61"/>
      <c r="AG952" s="61"/>
      <c r="AH952" s="61"/>
      <c r="AI952" s="61"/>
      <c r="AJ952" s="62"/>
      <c r="AK952" s="62"/>
      <c r="AL952" s="66"/>
      <c r="AM952" s="85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6</v>
      </c>
      <c r="B953" s="30"/>
      <c r="C953" s="82"/>
      <c r="D953" s="32"/>
      <c r="E953" s="32"/>
      <c r="F953" s="32"/>
      <c r="G953" s="32">
        <f t="shared" si="218"/>
        <v>0</v>
      </c>
      <c r="H953" s="12"/>
      <c r="I953" s="12"/>
      <c r="J953" s="12"/>
      <c r="K953" s="12">
        <f t="shared" si="219"/>
        <v>0</v>
      </c>
      <c r="M953" s="10">
        <v>6</v>
      </c>
      <c r="N953" s="30" t="s">
        <v>105</v>
      </c>
      <c r="O953" s="31">
        <f t="shared" si="223"/>
        <v>10594</v>
      </c>
      <c r="P953" s="32">
        <f>650*15+9.5*10+650</f>
        <v>10495</v>
      </c>
      <c r="Q953" s="32"/>
      <c r="R953" s="32"/>
      <c r="S953" s="32">
        <f t="shared" si="220"/>
        <v>10495</v>
      </c>
      <c r="T953" s="12"/>
      <c r="U953" s="12">
        <v>54</v>
      </c>
      <c r="V953" s="10"/>
      <c r="W953" s="12">
        <f t="shared" si="221"/>
        <v>10549</v>
      </c>
      <c r="Y953" s="62"/>
      <c r="Z953" s="66"/>
      <c r="AA953" s="87"/>
      <c r="AB953" s="60"/>
      <c r="AC953" s="60"/>
      <c r="AD953" s="60"/>
      <c r="AE953" s="60"/>
      <c r="AF953" s="61"/>
      <c r="AG953" s="62"/>
      <c r="AH953" s="61"/>
      <c r="AI953" s="61"/>
      <c r="AJ953" s="62"/>
      <c r="AK953" s="62"/>
      <c r="AL953" s="66"/>
      <c r="AM953" s="85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7</v>
      </c>
      <c r="B954" s="30"/>
      <c r="C954" s="82"/>
      <c r="D954" s="32"/>
      <c r="E954" s="32"/>
      <c r="F954" s="32"/>
      <c r="G954" s="32">
        <f t="shared" si="218"/>
        <v>0</v>
      </c>
      <c r="H954" s="12"/>
      <c r="I954" s="12"/>
      <c r="J954" s="12"/>
      <c r="K954" s="12">
        <f t="shared" si="219"/>
        <v>0</v>
      </c>
      <c r="M954" s="10">
        <v>7</v>
      </c>
      <c r="N954" s="30" t="s">
        <v>105</v>
      </c>
      <c r="O954" s="31">
        <f t="shared" si="223"/>
        <v>10595</v>
      </c>
      <c r="P954" s="32">
        <f>650*4+9.5*4</f>
        <v>2638</v>
      </c>
      <c r="Q954" s="32"/>
      <c r="R954" s="32"/>
      <c r="S954" s="32">
        <f t="shared" si="220"/>
        <v>2638</v>
      </c>
      <c r="T954" s="12"/>
      <c r="U954" s="12"/>
      <c r="V954" s="12"/>
      <c r="W954" s="12">
        <f t="shared" si="221"/>
        <v>2638</v>
      </c>
      <c r="Y954" s="62"/>
      <c r="Z954" s="66"/>
      <c r="AA954" s="87"/>
      <c r="AB954" s="60"/>
      <c r="AC954" s="60"/>
      <c r="AD954" s="60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8</v>
      </c>
      <c r="B955" s="30"/>
      <c r="C955" s="82"/>
      <c r="D955" s="32"/>
      <c r="E955" s="32"/>
      <c r="F955" s="32"/>
      <c r="G955" s="32">
        <f t="shared" si="218"/>
        <v>0</v>
      </c>
      <c r="H955" s="12"/>
      <c r="I955" s="12"/>
      <c r="J955" s="12"/>
      <c r="K955" s="12">
        <f t="shared" si="219"/>
        <v>0</v>
      </c>
      <c r="M955" s="10">
        <v>8</v>
      </c>
      <c r="N955" s="30" t="s">
        <v>105</v>
      </c>
      <c r="O955" s="31">
        <f t="shared" si="223"/>
        <v>10596</v>
      </c>
      <c r="P955" s="32">
        <f>650*5</f>
        <v>3250</v>
      </c>
      <c r="Q955" s="32"/>
      <c r="R955" s="32"/>
      <c r="S955" s="32">
        <f t="shared" si="220"/>
        <v>3250</v>
      </c>
      <c r="T955" s="12"/>
      <c r="U955" s="12"/>
      <c r="V955" s="12"/>
      <c r="W955" s="12">
        <f t="shared" si="221"/>
        <v>3250</v>
      </c>
      <c r="Y955" s="62"/>
      <c r="Z955" s="66"/>
      <c r="AA955" s="87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5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9</v>
      </c>
      <c r="B956" s="30"/>
      <c r="C956" s="82"/>
      <c r="D956" s="32"/>
      <c r="E956" s="32"/>
      <c r="F956" s="32"/>
      <c r="G956" s="32">
        <f t="shared" si="218"/>
        <v>0</v>
      </c>
      <c r="H956" s="12"/>
      <c r="I956" s="12"/>
      <c r="J956" s="12"/>
      <c r="K956" s="12">
        <f t="shared" si="219"/>
        <v>0</v>
      </c>
      <c r="M956" s="10">
        <v>9</v>
      </c>
      <c r="N956" s="30"/>
      <c r="O956" s="11" t="s">
        <v>27</v>
      </c>
      <c r="P956" s="32"/>
      <c r="Q956" s="32"/>
      <c r="R956" s="32"/>
      <c r="S956" s="32">
        <f t="shared" si="220"/>
        <v>0</v>
      </c>
      <c r="T956" s="12"/>
      <c r="U956" s="12"/>
      <c r="V956" s="12"/>
      <c r="W956" s="12">
        <f t="shared" si="221"/>
        <v>0</v>
      </c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5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10</v>
      </c>
      <c r="B957" s="30"/>
      <c r="C957" s="82"/>
      <c r="D957" s="32"/>
      <c r="E957" s="32"/>
      <c r="F957" s="32"/>
      <c r="G957" s="32">
        <f t="shared" si="218"/>
        <v>0</v>
      </c>
      <c r="H957" s="12"/>
      <c r="I957" s="12"/>
      <c r="J957" s="12"/>
      <c r="K957" s="12">
        <f t="shared" si="219"/>
        <v>0</v>
      </c>
      <c r="M957" s="10">
        <v>10</v>
      </c>
      <c r="N957" s="30"/>
      <c r="O957" s="31"/>
      <c r="P957" s="32"/>
      <c r="Q957" s="32"/>
      <c r="R957" s="32"/>
      <c r="S957" s="32">
        <f t="shared" si="220"/>
        <v>0</v>
      </c>
      <c r="T957" s="12"/>
      <c r="U957" s="12"/>
      <c r="V957" s="12"/>
      <c r="W957" s="12">
        <f t="shared" si="221"/>
        <v>0</v>
      </c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11</v>
      </c>
      <c r="B958" s="30"/>
      <c r="C958" s="82"/>
      <c r="D958" s="32"/>
      <c r="E958" s="32"/>
      <c r="F958" s="32"/>
      <c r="G958" s="32">
        <f t="shared" si="218"/>
        <v>0</v>
      </c>
      <c r="H958" s="12"/>
      <c r="I958" s="12"/>
      <c r="J958" s="12"/>
      <c r="K958" s="12">
        <f t="shared" si="219"/>
        <v>0</v>
      </c>
      <c r="M958" s="10">
        <v>11</v>
      </c>
      <c r="N958" s="30"/>
      <c r="O958" s="31"/>
      <c r="P958" s="32"/>
      <c r="Q958" s="32"/>
      <c r="R958" s="32"/>
      <c r="S958" s="32">
        <f t="shared" si="220"/>
        <v>0</v>
      </c>
      <c r="T958" s="12"/>
      <c r="U958" s="12"/>
      <c r="V958" s="12"/>
      <c r="W958" s="12">
        <f t="shared" si="221"/>
        <v>0</v>
      </c>
      <c r="Y958" s="62"/>
      <c r="Z958" s="66"/>
      <c r="AA958" s="87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12</v>
      </c>
      <c r="B959" s="30"/>
      <c r="C959" s="82"/>
      <c r="D959" s="32"/>
      <c r="E959" s="32"/>
      <c r="F959" s="32"/>
      <c r="G959" s="32">
        <f t="shared" si="218"/>
        <v>0</v>
      </c>
      <c r="H959" s="12"/>
      <c r="I959" s="12"/>
      <c r="J959" s="10"/>
      <c r="K959" s="12">
        <f t="shared" si="219"/>
        <v>0</v>
      </c>
      <c r="M959" s="10">
        <v>12</v>
      </c>
      <c r="N959" s="30"/>
      <c r="O959" s="31"/>
      <c r="P959" s="32"/>
      <c r="Q959" s="32"/>
      <c r="R959" s="32"/>
      <c r="S959" s="32">
        <f t="shared" si="220"/>
        <v>0</v>
      </c>
      <c r="T959" s="12"/>
      <c r="U959" s="12"/>
      <c r="V959" s="12"/>
      <c r="W959" s="12">
        <f t="shared" si="221"/>
        <v>0</v>
      </c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13</v>
      </c>
      <c r="B960" s="30"/>
      <c r="C960" s="82"/>
      <c r="D960" s="32"/>
      <c r="E960" s="32"/>
      <c r="F960" s="32"/>
      <c r="G960" s="32">
        <f t="shared" si="218"/>
        <v>0</v>
      </c>
      <c r="H960" s="12"/>
      <c r="I960" s="12"/>
      <c r="J960" s="12"/>
      <c r="K960" s="12">
        <f t="shared" si="219"/>
        <v>0</v>
      </c>
      <c r="M960" s="10">
        <v>13</v>
      </c>
      <c r="N960" s="30"/>
      <c r="O960" s="11"/>
      <c r="P960" s="32"/>
      <c r="Q960" s="32"/>
      <c r="R960" s="32"/>
      <c r="S960" s="32">
        <f t="shared" si="220"/>
        <v>0</v>
      </c>
      <c r="T960" s="12"/>
      <c r="U960" s="12"/>
      <c r="V960" s="12"/>
      <c r="W960" s="12">
        <f t="shared" si="221"/>
        <v>0</v>
      </c>
      <c r="Y960" s="62"/>
      <c r="Z960" s="62"/>
      <c r="AA960" s="62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14</v>
      </c>
      <c r="B961" s="30"/>
      <c r="C961" s="82"/>
      <c r="D961" s="32"/>
      <c r="E961" s="32"/>
      <c r="F961" s="32"/>
      <c r="G961" s="32">
        <f t="shared" si="218"/>
        <v>0</v>
      </c>
      <c r="H961" s="12"/>
      <c r="I961" s="12"/>
      <c r="J961" s="12"/>
      <c r="K961" s="12">
        <f t="shared" si="219"/>
        <v>0</v>
      </c>
      <c r="M961" s="10">
        <v>14</v>
      </c>
      <c r="N961" s="30"/>
      <c r="P961" s="32"/>
      <c r="Q961" s="32"/>
      <c r="R961" s="32"/>
      <c r="S961" s="32">
        <f t="shared" si="220"/>
        <v>0</v>
      </c>
      <c r="T961" s="12"/>
      <c r="U961" s="12"/>
      <c r="V961" s="12"/>
      <c r="W961" s="12">
        <f t="shared" si="221"/>
        <v>0</v>
      </c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15</v>
      </c>
      <c r="B962" s="30"/>
      <c r="C962" s="11"/>
      <c r="D962" s="32"/>
      <c r="E962" s="32"/>
      <c r="F962" s="32"/>
      <c r="G962" s="32"/>
      <c r="H962" s="12"/>
      <c r="I962" s="12"/>
      <c r="J962" s="12"/>
      <c r="K962" s="12">
        <f t="shared" si="219"/>
        <v>0</v>
      </c>
      <c r="M962" s="10">
        <v>15</v>
      </c>
      <c r="N962" s="30"/>
      <c r="O962" s="31"/>
      <c r="P962" s="32"/>
      <c r="Q962" s="32"/>
      <c r="R962" s="32"/>
      <c r="S962" s="32">
        <f t="shared" si="220"/>
        <v>0</v>
      </c>
      <c r="T962" s="12"/>
      <c r="U962" s="12"/>
      <c r="V962" s="12"/>
      <c r="W962" s="12">
        <f t="shared" si="221"/>
        <v>0</v>
      </c>
      <c r="Y962" s="62"/>
      <c r="Z962" s="66"/>
      <c r="AA962" s="87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16</v>
      </c>
      <c r="B963" s="30"/>
      <c r="C963" s="82"/>
      <c r="D963" s="32"/>
      <c r="E963" s="32"/>
      <c r="F963" s="32"/>
      <c r="G963" s="32"/>
      <c r="H963" s="12"/>
      <c r="I963" s="12"/>
      <c r="J963" s="12"/>
      <c r="K963" s="12">
        <f t="shared" si="219"/>
        <v>0</v>
      </c>
      <c r="M963" s="10">
        <v>16</v>
      </c>
      <c r="N963" s="30"/>
      <c r="O963" s="31"/>
      <c r="P963" s="32"/>
      <c r="Q963" s="32"/>
      <c r="R963" s="32"/>
      <c r="S963" s="32">
        <f t="shared" si="220"/>
        <v>0</v>
      </c>
      <c r="T963" s="12"/>
      <c r="U963" s="12"/>
      <c r="V963" s="12"/>
      <c r="W963" s="12">
        <f t="shared" si="221"/>
        <v>0</v>
      </c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17</v>
      </c>
      <c r="B964" s="30"/>
      <c r="C964" s="82"/>
      <c r="D964" s="32"/>
      <c r="E964" s="32"/>
      <c r="F964" s="32"/>
      <c r="G964" s="32"/>
      <c r="H964" s="12"/>
      <c r="I964" s="12"/>
      <c r="J964" s="12"/>
      <c r="K964" s="12">
        <f t="shared" si="219"/>
        <v>0</v>
      </c>
      <c r="M964" s="10">
        <v>17</v>
      </c>
      <c r="N964" s="30"/>
      <c r="P964" s="35"/>
      <c r="Q964" s="32"/>
      <c r="R964" s="32"/>
      <c r="S964" s="32">
        <f t="shared" si="220"/>
        <v>0</v>
      </c>
      <c r="T964" s="12"/>
      <c r="U964" s="12"/>
      <c r="V964" s="12"/>
      <c r="W964" s="12">
        <f t="shared" si="221"/>
        <v>0</v>
      </c>
      <c r="Y964" s="62"/>
      <c r="Z964" s="66"/>
      <c r="AA964" s="62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18</v>
      </c>
      <c r="B965" s="30"/>
      <c r="C965" s="82"/>
      <c r="D965" s="32"/>
      <c r="E965" s="32"/>
      <c r="F965" s="32"/>
      <c r="G965" s="32"/>
      <c r="H965" s="12"/>
      <c r="I965" s="12"/>
      <c r="J965" s="12"/>
      <c r="K965" s="12">
        <f t="shared" si="219"/>
        <v>0</v>
      </c>
      <c r="M965" s="10">
        <v>18</v>
      </c>
      <c r="N965" s="30"/>
      <c r="O965" s="11"/>
      <c r="P965" s="32"/>
      <c r="Q965" s="32"/>
      <c r="R965" s="32"/>
      <c r="S965" s="32">
        <f t="shared" si="220"/>
        <v>0</v>
      </c>
      <c r="T965" s="12"/>
      <c r="U965" s="12"/>
      <c r="V965" s="12"/>
      <c r="W965" s="12">
        <f t="shared" si="221"/>
        <v>0</v>
      </c>
      <c r="Y965" s="62"/>
      <c r="Z965" s="66"/>
      <c r="AA965" s="87"/>
      <c r="AB965" s="67"/>
      <c r="AC965" s="87"/>
      <c r="AD965" s="87"/>
      <c r="AE965" s="60"/>
      <c r="AF965" s="62"/>
      <c r="AG965" s="62"/>
      <c r="AH965" s="62"/>
      <c r="AI965" s="61"/>
      <c r="AJ965" s="62"/>
      <c r="AK965" s="62"/>
      <c r="AL965" s="66"/>
      <c r="AM965" s="85"/>
      <c r="AN965" s="67"/>
      <c r="AO965" s="85"/>
      <c r="AP965" s="85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19</v>
      </c>
      <c r="B966" s="30"/>
      <c r="C966" s="82"/>
      <c r="D966" s="32"/>
      <c r="E966" s="32"/>
      <c r="F966" s="32"/>
      <c r="G966" s="32"/>
      <c r="H966" s="12"/>
      <c r="I966" s="12"/>
      <c r="J966" s="12"/>
      <c r="K966" s="12">
        <f t="shared" si="219"/>
        <v>0</v>
      </c>
      <c r="M966" s="10">
        <v>19</v>
      </c>
      <c r="N966" s="30"/>
      <c r="O966" s="31"/>
      <c r="P966" s="32"/>
      <c r="Q966" s="32"/>
      <c r="R966" s="32"/>
      <c r="S966" s="32">
        <f t="shared" si="220"/>
        <v>0</v>
      </c>
      <c r="T966" s="12"/>
      <c r="U966" s="12"/>
      <c r="V966" s="12"/>
      <c r="W966" s="12">
        <f t="shared" si="221"/>
        <v>0</v>
      </c>
      <c r="Y966" s="62"/>
      <c r="Z966" s="66"/>
      <c r="AA966" s="87"/>
      <c r="AB966" s="68"/>
      <c r="AC966" s="87"/>
      <c r="AD966" s="87"/>
      <c r="AE966" s="60"/>
      <c r="AF966" s="62"/>
      <c r="AG966" s="62"/>
      <c r="AH966" s="62"/>
      <c r="AI966" s="61"/>
      <c r="AJ966" s="62"/>
      <c r="AK966" s="62"/>
      <c r="AL966" s="66"/>
      <c r="AM966" s="85"/>
      <c r="AN966" s="68"/>
      <c r="AO966" s="85"/>
      <c r="AP966" s="85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20</v>
      </c>
      <c r="B967" s="30"/>
      <c r="C967" s="82"/>
      <c r="D967" s="32"/>
      <c r="E967" s="32"/>
      <c r="F967" s="32"/>
      <c r="G967" s="32"/>
      <c r="H967" s="12"/>
      <c r="I967" s="12"/>
      <c r="J967" s="12"/>
      <c r="K967" s="12">
        <f t="shared" si="219"/>
        <v>0</v>
      </c>
      <c r="M967" s="10">
        <v>20</v>
      </c>
      <c r="N967" s="30"/>
      <c r="P967" s="32"/>
      <c r="Q967" s="32"/>
      <c r="R967" s="32"/>
      <c r="S967" s="32">
        <f t="shared" si="220"/>
        <v>0</v>
      </c>
      <c r="T967" s="12"/>
      <c r="U967" s="12"/>
      <c r="V967" s="12"/>
      <c r="W967" s="12">
        <f t="shared" si="221"/>
        <v>0</v>
      </c>
      <c r="Y967" s="62"/>
      <c r="Z967" s="66"/>
      <c r="AA967" s="87"/>
      <c r="AB967" s="69"/>
      <c r="AC967" s="87"/>
      <c r="AD967" s="62"/>
      <c r="AE967" s="60"/>
      <c r="AF967" s="62"/>
      <c r="AG967" s="62"/>
      <c r="AH967" s="62"/>
      <c r="AI967" s="61"/>
      <c r="AJ967" s="62"/>
      <c r="AK967" s="62"/>
      <c r="AL967" s="66"/>
      <c r="AM967" s="85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21</v>
      </c>
      <c r="B968" s="30"/>
      <c r="C968" s="11"/>
      <c r="D968" s="32"/>
      <c r="E968" s="32"/>
      <c r="F968" s="32"/>
      <c r="G968" s="32"/>
      <c r="H968" s="10"/>
      <c r="I968" s="10"/>
      <c r="J968" s="10"/>
      <c r="K968" s="12">
        <f t="shared" si="219"/>
        <v>0</v>
      </c>
      <c r="M968" s="10">
        <v>21</v>
      </c>
      <c r="N968" s="30"/>
      <c r="O968" s="31"/>
      <c r="P968" s="46"/>
      <c r="Q968" s="31"/>
      <c r="R968" s="31"/>
      <c r="S968" s="32">
        <f t="shared" si="220"/>
        <v>0</v>
      </c>
      <c r="T968" s="10"/>
      <c r="U968" s="10"/>
      <c r="V968" s="10"/>
      <c r="W968" s="12">
        <f t="shared" si="221"/>
        <v>0</v>
      </c>
      <c r="Y968" s="62"/>
      <c r="Z968" s="66"/>
      <c r="AA968" s="87"/>
      <c r="AB968" s="69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5"/>
      <c r="AN968" s="69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22</v>
      </c>
      <c r="B969" s="30"/>
      <c r="C969" s="11"/>
      <c r="D969" s="32"/>
      <c r="E969" s="32"/>
      <c r="F969" s="32"/>
      <c r="G969" s="32">
        <f t="shared" ref="G969:G981" si="224">SUM(D969:E969)</f>
        <v>0</v>
      </c>
      <c r="H969" s="10"/>
      <c r="I969" s="10"/>
      <c r="J969" s="10"/>
      <c r="K969" s="12">
        <f t="shared" si="219"/>
        <v>0</v>
      </c>
      <c r="M969" s="10">
        <v>22</v>
      </c>
      <c r="N969" s="30"/>
      <c r="O969" s="31"/>
      <c r="P969" s="45"/>
      <c r="Q969" s="31"/>
      <c r="R969" s="31"/>
      <c r="S969" s="32">
        <f t="shared" si="220"/>
        <v>0</v>
      </c>
      <c r="T969" s="10"/>
      <c r="U969" s="10"/>
      <c r="V969" s="10"/>
      <c r="W969" s="12">
        <f t="shared" si="221"/>
        <v>0</v>
      </c>
      <c r="Y969" s="62"/>
      <c r="Z969" s="66"/>
      <c r="AA969" s="87"/>
      <c r="AB969" s="69"/>
      <c r="AC969" s="87"/>
      <c r="AD969" s="87"/>
      <c r="AE969" s="60"/>
      <c r="AF969" s="62"/>
      <c r="AG969" s="62"/>
      <c r="AH969" s="62"/>
      <c r="AI969" s="61"/>
      <c r="AJ969" s="62"/>
      <c r="AK969" s="62"/>
      <c r="AL969" s="66"/>
      <c r="AM969" s="85"/>
      <c r="AN969" s="69"/>
      <c r="AO969" s="85"/>
      <c r="AP969" s="85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23</v>
      </c>
      <c r="B970" s="30"/>
      <c r="C970" s="82"/>
      <c r="D970" s="32"/>
      <c r="E970" s="32"/>
      <c r="F970" s="32"/>
      <c r="G970" s="32">
        <f t="shared" si="224"/>
        <v>0</v>
      </c>
      <c r="H970" s="10"/>
      <c r="I970" s="10"/>
      <c r="J970" s="12"/>
      <c r="K970" s="12">
        <f t="shared" si="219"/>
        <v>0</v>
      </c>
      <c r="M970" s="10">
        <v>23</v>
      </c>
      <c r="N970" s="30"/>
      <c r="O970" s="31"/>
      <c r="P970" s="47"/>
      <c r="Q970" s="45"/>
      <c r="S970" s="32">
        <f t="shared" si="220"/>
        <v>0</v>
      </c>
      <c r="T970" s="10"/>
      <c r="U970" s="10"/>
      <c r="V970" s="10"/>
      <c r="W970" s="12">
        <f t="shared" si="221"/>
        <v>0</v>
      </c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24</v>
      </c>
      <c r="B971" s="30"/>
      <c r="C971" s="82"/>
      <c r="D971" s="32"/>
      <c r="E971" s="32"/>
      <c r="F971" s="32"/>
      <c r="G971" s="32">
        <f t="shared" si="224"/>
        <v>0</v>
      </c>
      <c r="H971" s="10"/>
      <c r="I971" s="10"/>
      <c r="J971" s="10"/>
      <c r="K971" s="12">
        <f t="shared" si="219"/>
        <v>0</v>
      </c>
      <c r="M971" s="10">
        <v>24</v>
      </c>
      <c r="N971" s="30"/>
      <c r="O971" s="31"/>
      <c r="P971" s="47"/>
      <c r="Q971" s="31"/>
      <c r="R971" s="31"/>
      <c r="S971" s="32">
        <f t="shared" si="220"/>
        <v>0</v>
      </c>
      <c r="T971" s="10"/>
      <c r="U971" s="10"/>
      <c r="V971" s="10"/>
      <c r="W971" s="12">
        <f t="shared" si="221"/>
        <v>0</v>
      </c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25</v>
      </c>
      <c r="B972" s="30"/>
      <c r="C972" s="57"/>
      <c r="D972" s="32"/>
      <c r="E972" s="32"/>
      <c r="F972" s="32"/>
      <c r="G972" s="32">
        <f t="shared" si="224"/>
        <v>0</v>
      </c>
      <c r="H972" s="10"/>
      <c r="I972" s="10"/>
      <c r="J972" s="10"/>
      <c r="K972" s="12">
        <f t="shared" si="219"/>
        <v>0</v>
      </c>
      <c r="M972" s="10">
        <v>25</v>
      </c>
      <c r="N972" s="30"/>
      <c r="O972" s="31"/>
      <c r="P972" s="47"/>
      <c r="Q972" s="31"/>
      <c r="R972" s="31"/>
      <c r="S972" s="32">
        <f t="shared" si="220"/>
        <v>0</v>
      </c>
      <c r="T972" s="10"/>
      <c r="U972" s="10"/>
      <c r="V972" s="10"/>
      <c r="W972" s="12">
        <f t="shared" si="221"/>
        <v>0</v>
      </c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26</v>
      </c>
      <c r="B973" s="30"/>
      <c r="C973" s="82"/>
      <c r="D973" s="32"/>
      <c r="E973" s="32"/>
      <c r="F973" s="32"/>
      <c r="G973" s="32">
        <f t="shared" si="224"/>
        <v>0</v>
      </c>
      <c r="H973" s="10"/>
      <c r="I973" s="10"/>
      <c r="J973" s="10"/>
      <c r="K973" s="12">
        <f t="shared" si="219"/>
        <v>0</v>
      </c>
      <c r="M973" s="10">
        <v>26</v>
      </c>
      <c r="N973" s="30"/>
      <c r="O973" s="31"/>
      <c r="P973" s="47"/>
      <c r="Q973" s="31"/>
      <c r="R973" s="31"/>
      <c r="S973" s="32">
        <f t="shared" si="220"/>
        <v>0</v>
      </c>
      <c r="T973" s="10"/>
      <c r="U973" s="10"/>
      <c r="V973" s="10"/>
      <c r="W973" s="12">
        <f t="shared" si="221"/>
        <v>0</v>
      </c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27</v>
      </c>
      <c r="B974" s="30"/>
      <c r="C974" s="82"/>
      <c r="D974" s="32"/>
      <c r="E974" s="32"/>
      <c r="F974" s="32"/>
      <c r="G974" s="32">
        <f t="shared" si="224"/>
        <v>0</v>
      </c>
      <c r="H974" s="10"/>
      <c r="I974" s="10"/>
      <c r="J974" s="10"/>
      <c r="K974" s="12">
        <f t="shared" si="219"/>
        <v>0</v>
      </c>
      <c r="M974" s="10">
        <v>27</v>
      </c>
      <c r="N974" s="30"/>
      <c r="O974" s="31"/>
      <c r="P974" s="47"/>
      <c r="Q974" s="31"/>
      <c r="R974" s="31"/>
      <c r="S974" s="32">
        <f t="shared" si="220"/>
        <v>0</v>
      </c>
      <c r="T974" s="10"/>
      <c r="U974" s="10"/>
      <c r="V974" s="10"/>
      <c r="W974" s="12">
        <f t="shared" si="221"/>
        <v>0</v>
      </c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28</v>
      </c>
      <c r="B975" s="30"/>
      <c r="C975" s="82"/>
      <c r="D975" s="32"/>
      <c r="E975" s="32"/>
      <c r="F975" s="32"/>
      <c r="G975" s="32">
        <f t="shared" si="224"/>
        <v>0</v>
      </c>
      <c r="H975" s="10"/>
      <c r="I975" s="10"/>
      <c r="J975" s="10"/>
      <c r="K975" s="12">
        <f t="shared" si="219"/>
        <v>0</v>
      </c>
      <c r="M975" s="10">
        <v>28</v>
      </c>
      <c r="N975" s="30"/>
      <c r="O975" s="31"/>
      <c r="P975" s="47"/>
      <c r="Q975" s="31"/>
      <c r="R975" s="31"/>
      <c r="S975" s="32">
        <f t="shared" si="220"/>
        <v>0</v>
      </c>
      <c r="T975" s="10"/>
      <c r="U975" s="10"/>
      <c r="V975" s="10"/>
      <c r="W975" s="12">
        <f t="shared" si="221"/>
        <v>0</v>
      </c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29</v>
      </c>
      <c r="B976" s="30"/>
      <c r="C976" s="82"/>
      <c r="D976" s="32"/>
      <c r="E976" s="32"/>
      <c r="F976" s="32"/>
      <c r="G976" s="32">
        <f t="shared" si="224"/>
        <v>0</v>
      </c>
      <c r="H976" s="10"/>
      <c r="I976" s="10"/>
      <c r="J976" s="10"/>
      <c r="K976" s="12">
        <f t="shared" si="219"/>
        <v>0</v>
      </c>
      <c r="M976" s="10">
        <v>29</v>
      </c>
      <c r="N976" s="30"/>
      <c r="O976" s="31"/>
      <c r="P976" s="47"/>
      <c r="Q976" s="31"/>
      <c r="R976" s="31"/>
      <c r="S976" s="32">
        <f t="shared" si="220"/>
        <v>0</v>
      </c>
      <c r="T976" s="10"/>
      <c r="U976" s="10"/>
      <c r="V976" s="10"/>
      <c r="W976" s="12">
        <f t="shared" si="221"/>
        <v>0</v>
      </c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30</v>
      </c>
      <c r="B977" s="30"/>
      <c r="C977" s="82"/>
      <c r="D977" s="32"/>
      <c r="E977" s="32"/>
      <c r="F977" s="32"/>
      <c r="G977" s="32">
        <f t="shared" si="224"/>
        <v>0</v>
      </c>
      <c r="H977" s="10"/>
      <c r="I977" s="10"/>
      <c r="J977" s="10"/>
      <c r="K977" s="12">
        <f t="shared" si="219"/>
        <v>0</v>
      </c>
      <c r="M977" s="10">
        <v>30</v>
      </c>
      <c r="N977" s="30"/>
      <c r="O977" s="31"/>
      <c r="P977" s="47"/>
      <c r="Q977" s="31"/>
      <c r="R977" s="31"/>
      <c r="S977" s="32">
        <f t="shared" si="220"/>
        <v>0</v>
      </c>
      <c r="T977" s="10"/>
      <c r="U977" s="10"/>
      <c r="V977" s="10"/>
      <c r="W977" s="12">
        <f t="shared" si="221"/>
        <v>0</v>
      </c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5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31</v>
      </c>
      <c r="B978" s="30"/>
      <c r="C978" s="82"/>
      <c r="D978" s="32"/>
      <c r="E978" s="32"/>
      <c r="F978" s="32"/>
      <c r="G978" s="32">
        <f t="shared" si="224"/>
        <v>0</v>
      </c>
      <c r="H978" s="10"/>
      <c r="I978" s="10"/>
      <c r="J978" s="10"/>
      <c r="K978" s="12">
        <f t="shared" si="219"/>
        <v>0</v>
      </c>
      <c r="M978" s="10">
        <v>31</v>
      </c>
      <c r="N978" s="30"/>
      <c r="O978" s="31"/>
      <c r="P978" s="47"/>
      <c r="Q978" s="31"/>
      <c r="R978" s="31"/>
      <c r="S978" s="32">
        <f t="shared" si="220"/>
        <v>0</v>
      </c>
      <c r="T978" s="10"/>
      <c r="U978" s="10"/>
      <c r="V978" s="10"/>
      <c r="W978" s="12">
        <f t="shared" si="221"/>
        <v>0</v>
      </c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32</v>
      </c>
      <c r="B979" s="30"/>
      <c r="C979" s="82"/>
      <c r="D979" s="32"/>
      <c r="E979" s="32"/>
      <c r="F979" s="32"/>
      <c r="G979" s="32">
        <f t="shared" si="224"/>
        <v>0</v>
      </c>
      <c r="H979" s="10"/>
      <c r="I979" s="10"/>
      <c r="J979" s="10"/>
      <c r="K979" s="12">
        <f t="shared" si="219"/>
        <v>0</v>
      </c>
      <c r="M979" s="10">
        <v>32</v>
      </c>
      <c r="N979" s="30"/>
      <c r="O979" s="31"/>
      <c r="P979" s="47"/>
      <c r="Q979" s="31"/>
      <c r="R979" s="31"/>
      <c r="S979" s="32">
        <f t="shared" si="220"/>
        <v>0</v>
      </c>
      <c r="T979" s="10"/>
      <c r="U979" s="10"/>
      <c r="V979" s="10"/>
      <c r="W979" s="12">
        <f t="shared" si="221"/>
        <v>0</v>
      </c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>
        <v>33</v>
      </c>
      <c r="B980" s="30"/>
      <c r="C980" s="82"/>
      <c r="D980" s="32"/>
      <c r="E980" s="32"/>
      <c r="F980" s="32"/>
      <c r="G980" s="32">
        <f t="shared" si="224"/>
        <v>0</v>
      </c>
      <c r="H980" s="10"/>
      <c r="I980" s="10"/>
      <c r="J980" s="10"/>
      <c r="K980" s="12">
        <f t="shared" si="219"/>
        <v>0</v>
      </c>
      <c r="M980" s="10">
        <v>33</v>
      </c>
      <c r="N980" s="30"/>
      <c r="O980" s="31"/>
      <c r="P980" s="47"/>
      <c r="Q980" s="31"/>
      <c r="R980" s="31"/>
      <c r="S980" s="32">
        <f t="shared" si="220"/>
        <v>0</v>
      </c>
      <c r="T980" s="10"/>
      <c r="U980" s="10"/>
      <c r="V980" s="10"/>
      <c r="W980" s="12">
        <f t="shared" si="221"/>
        <v>0</v>
      </c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5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>
        <f t="shared" si="224"/>
        <v>0</v>
      </c>
      <c r="H981" s="10"/>
      <c r="I981" s="10"/>
      <c r="J981" s="10"/>
      <c r="K981" s="12">
        <f t="shared" si="219"/>
        <v>0</v>
      </c>
      <c r="M981" s="10">
        <v>34</v>
      </c>
      <c r="N981" s="30"/>
      <c r="O981" s="31"/>
      <c r="P981" s="47"/>
      <c r="Q981" s="31"/>
      <c r="R981" s="31"/>
      <c r="S981" s="32">
        <f t="shared" si="220"/>
        <v>0</v>
      </c>
      <c r="T981" s="10"/>
      <c r="U981" s="10"/>
      <c r="V981" s="10"/>
      <c r="W981" s="12">
        <f t="shared" si="221"/>
        <v>0</v>
      </c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35</v>
      </c>
      <c r="N982" s="30"/>
      <c r="O982" s="31"/>
      <c r="P982" s="47"/>
      <c r="Q982" s="31"/>
      <c r="R982" s="31"/>
      <c r="S982" s="32">
        <f t="shared" si="220"/>
        <v>0</v>
      </c>
      <c r="T982" s="10"/>
      <c r="U982" s="10"/>
      <c r="V982" s="10"/>
      <c r="W982" s="12">
        <f t="shared" si="221"/>
        <v>0</v>
      </c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82"/>
      <c r="D983" s="32"/>
      <c r="E983" s="32"/>
      <c r="F983" s="32"/>
      <c r="G983" s="32"/>
      <c r="H983" s="10"/>
      <c r="I983" s="10"/>
      <c r="J983" s="10"/>
      <c r="K983" s="12"/>
      <c r="M983" s="10">
        <v>36</v>
      </c>
      <c r="N983" s="30"/>
      <c r="O983" s="31"/>
      <c r="P983" s="47"/>
      <c r="Q983" s="31"/>
      <c r="R983" s="31"/>
      <c r="S983" s="32">
        <f t="shared" si="220"/>
        <v>0</v>
      </c>
      <c r="T983" s="10"/>
      <c r="U983" s="10"/>
      <c r="V983" s="10"/>
      <c r="W983" s="12">
        <f t="shared" si="221"/>
        <v>0</v>
      </c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37</v>
      </c>
      <c r="N984" s="30"/>
      <c r="P984" s="47"/>
      <c r="Q984" s="31"/>
      <c r="R984" s="31"/>
      <c r="S984" s="32">
        <f t="shared" si="220"/>
        <v>0</v>
      </c>
      <c r="T984" s="10"/>
      <c r="U984" s="10"/>
      <c r="V984" s="10"/>
      <c r="W984" s="12">
        <f t="shared" si="221"/>
        <v>0</v>
      </c>
      <c r="Y984" s="62"/>
      <c r="Z984" s="66"/>
      <c r="AA984" s="62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38</v>
      </c>
      <c r="N985" s="30"/>
      <c r="O985" s="31"/>
      <c r="P985" s="47"/>
      <c r="Q985" s="31"/>
      <c r="R985" s="31"/>
      <c r="S985" s="32">
        <f t="shared" si="220"/>
        <v>0</v>
      </c>
      <c r="T985" s="10"/>
      <c r="U985" s="10"/>
      <c r="V985" s="10"/>
      <c r="W985" s="12">
        <f t="shared" si="221"/>
        <v>0</v>
      </c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>
        <v>39</v>
      </c>
      <c r="N986" s="30"/>
      <c r="O986" s="31"/>
      <c r="P986" s="47"/>
      <c r="Q986" s="31"/>
      <c r="R986" s="31"/>
      <c r="S986" s="32">
        <f t="shared" si="220"/>
        <v>0</v>
      </c>
      <c r="T986" s="10"/>
      <c r="U986" s="10"/>
      <c r="V986" s="10"/>
      <c r="W986" s="12">
        <f t="shared" si="221"/>
        <v>0</v>
      </c>
      <c r="Y986" s="62"/>
      <c r="Z986" s="87"/>
      <c r="AA986" s="87"/>
      <c r="AB986" s="87"/>
      <c r="AC986" s="87"/>
      <c r="AD986" s="87"/>
      <c r="AE986" s="87"/>
      <c r="AF986" s="62"/>
      <c r="AG986" s="62"/>
      <c r="AH986" s="62"/>
      <c r="AI986" s="61"/>
      <c r="AJ986" s="62"/>
      <c r="AK986" s="62"/>
      <c r="AL986" s="85"/>
      <c r="AM986" s="85"/>
      <c r="AN986" s="85"/>
      <c r="AO986" s="85"/>
      <c r="AP986" s="85"/>
      <c r="AQ986" s="85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/>
      <c r="H987" s="10"/>
      <c r="I987" s="10"/>
      <c r="J987" s="10"/>
      <c r="K987" s="12"/>
      <c r="M987" s="10"/>
      <c r="N987" s="30"/>
      <c r="P987" s="47"/>
      <c r="Q987" s="31"/>
      <c r="R987" s="31"/>
      <c r="S987" s="32"/>
      <c r="T987" s="10"/>
      <c r="U987" s="10"/>
      <c r="V987" s="10"/>
      <c r="W987" s="12">
        <f t="shared" si="221"/>
        <v>0</v>
      </c>
      <c r="Y987" s="62"/>
      <c r="Z987" s="87"/>
      <c r="AA987" s="87"/>
      <c r="AB987" s="87"/>
      <c r="AC987" s="87"/>
      <c r="AD987" s="87"/>
      <c r="AE987" s="87"/>
      <c r="AF987" s="62"/>
      <c r="AG987" s="62"/>
      <c r="AH987" s="62"/>
      <c r="AI987" s="62"/>
      <c r="AJ987" s="62"/>
      <c r="AK987" s="62"/>
      <c r="AL987" s="85"/>
      <c r="AM987" s="85"/>
      <c r="AN987" s="85"/>
      <c r="AO987" s="85"/>
      <c r="AP987" s="85"/>
      <c r="AQ987" s="85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1"/>
      <c r="D988" s="32"/>
      <c r="E988" s="32"/>
      <c r="F988" s="32"/>
      <c r="G988" s="32">
        <f t="shared" ref="G988" si="225">SUM(D988:E988)</f>
        <v>0</v>
      </c>
      <c r="H988" s="10"/>
      <c r="I988" s="10"/>
      <c r="J988" s="10"/>
      <c r="K988" s="12">
        <f t="shared" ref="K988" si="226">SUM(G988:J988)</f>
        <v>0</v>
      </c>
      <c r="M988" s="10"/>
      <c r="N988" s="30"/>
      <c r="O988" s="31"/>
      <c r="P988" s="47"/>
      <c r="Q988" s="31"/>
      <c r="R988" s="31"/>
      <c r="S988" s="32">
        <f t="shared" ref="S988" si="227">SUM(P988:Q988)</f>
        <v>0</v>
      </c>
      <c r="T988" s="10"/>
      <c r="U988" s="10"/>
      <c r="V988" s="10"/>
      <c r="W988" s="12">
        <f t="shared" si="221"/>
        <v>0</v>
      </c>
      <c r="Y988" s="62"/>
      <c r="Z988" s="87"/>
      <c r="AA988" s="87"/>
      <c r="AB988" s="70"/>
      <c r="AC988" s="70"/>
      <c r="AD988" s="70"/>
      <c r="AE988" s="70"/>
      <c r="AF988" s="63"/>
      <c r="AG988" s="71"/>
      <c r="AH988" s="71"/>
      <c r="AI988" s="71"/>
      <c r="AJ988" s="62"/>
      <c r="AK988" s="62"/>
      <c r="AL988" s="85"/>
      <c r="AM988" s="85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10"/>
      <c r="B989" s="30"/>
      <c r="C989" s="30"/>
      <c r="D989" s="32"/>
      <c r="E989" s="32"/>
      <c r="F989" s="32"/>
      <c r="G989" s="32"/>
      <c r="H989" s="10"/>
      <c r="I989" s="10"/>
      <c r="J989" s="10"/>
      <c r="K989" s="12"/>
      <c r="M989" s="10"/>
      <c r="N989" s="31"/>
      <c r="O989" s="31"/>
      <c r="P989" s="31"/>
      <c r="Q989" s="31"/>
      <c r="R989" s="31"/>
      <c r="S989" s="31"/>
      <c r="T989" s="10"/>
      <c r="U989" s="10"/>
      <c r="V989" s="10"/>
      <c r="W989" s="12">
        <f t="shared" si="221"/>
        <v>0</v>
      </c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6"/>
      <c r="E990" s="36"/>
      <c r="F990" s="36"/>
      <c r="G990" s="36"/>
      <c r="H990" s="37"/>
      <c r="I990" s="37"/>
      <c r="J990" s="37"/>
      <c r="K990" s="37"/>
      <c r="N990" s="57"/>
      <c r="O990" s="57"/>
      <c r="P990" s="36"/>
      <c r="Q990" s="36"/>
      <c r="R990" s="36"/>
      <c r="S990" s="36"/>
      <c r="T990" s="37"/>
      <c r="U990" s="37"/>
      <c r="V990" s="37"/>
      <c r="W990" s="37"/>
      <c r="Y990" s="62"/>
      <c r="Z990" s="85"/>
      <c r="AA990" s="85"/>
      <c r="AB990" s="85"/>
      <c r="AC990" s="85"/>
      <c r="AD990" s="85"/>
      <c r="AE990" s="85"/>
      <c r="AF990" s="62"/>
      <c r="AG990" s="62"/>
      <c r="AH990" s="62"/>
      <c r="AI990" s="62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B991" s="57"/>
      <c r="C991" s="57"/>
      <c r="D991" s="38">
        <f>SUM(D948:D990)</f>
        <v>293335</v>
      </c>
      <c r="E991" s="38">
        <f t="shared" ref="E991:F991" si="228">SUM(E948:E988)</f>
        <v>-2268</v>
      </c>
      <c r="F991" s="38">
        <f t="shared" si="228"/>
        <v>0</v>
      </c>
      <c r="G991" s="38">
        <f>SUM(G948:G990)</f>
        <v>291067</v>
      </c>
      <c r="H991" s="4"/>
      <c r="I991" s="39">
        <f>SUM(I948:I990)</f>
        <v>360</v>
      </c>
      <c r="J991" s="39">
        <f>SUM(J948:J990)</f>
        <v>-1236</v>
      </c>
      <c r="K991" s="40">
        <f>SUM(K948:K990)</f>
        <v>290191</v>
      </c>
      <c r="N991" s="57"/>
      <c r="O991" s="57"/>
      <c r="P991" s="38">
        <f>SUM(P948:P990)</f>
        <v>217454</v>
      </c>
      <c r="Q991" s="38">
        <f>SUM(Q948:Q972)</f>
        <v>-1068</v>
      </c>
      <c r="R991" s="38">
        <f>SUM(R948:R972)</f>
        <v>0</v>
      </c>
      <c r="S991" s="38">
        <f>SUM(S948:S990)</f>
        <v>216386</v>
      </c>
      <c r="T991" s="4"/>
      <c r="U991" s="41">
        <f>SUM(U948:U990)</f>
        <v>339</v>
      </c>
      <c r="V991" s="41">
        <f>SUM(V948:V972)</f>
        <v>-1848</v>
      </c>
      <c r="W991" s="42">
        <f>SUM(W948:W990)</f>
        <v>214877</v>
      </c>
      <c r="Y991" s="62"/>
      <c r="Z991" s="85"/>
      <c r="AA991" s="85"/>
      <c r="AB991" s="85"/>
      <c r="AC991" s="85"/>
      <c r="AD991" s="85"/>
      <c r="AE991" s="85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0</v>
      </c>
      <c r="B993" s="57"/>
      <c r="C993" s="57"/>
      <c r="D993" s="57"/>
      <c r="E993" s="57"/>
      <c r="G993" s="57"/>
      <c r="M993" t="s">
        <v>0</v>
      </c>
      <c r="N993" s="57"/>
      <c r="O993" s="57"/>
      <c r="P993" s="57"/>
      <c r="Q993" s="57"/>
      <c r="R993" s="57"/>
      <c r="S993" s="57"/>
      <c r="Y993" t="s">
        <v>0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t="s">
        <v>28</v>
      </c>
      <c r="B994" s="57"/>
      <c r="C994" s="57"/>
      <c r="D994" s="57"/>
      <c r="E994" s="57"/>
      <c r="G994" s="57"/>
      <c r="M994" t="s">
        <v>28</v>
      </c>
      <c r="N994" s="57"/>
      <c r="O994" s="57"/>
      <c r="P994" s="57"/>
      <c r="Q994" s="57"/>
      <c r="R994" s="57"/>
      <c r="S994" s="57"/>
      <c r="Y994" t="s">
        <v>28</v>
      </c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B995" s="57"/>
      <c r="C995" s="57"/>
      <c r="D995" s="57"/>
      <c r="E995" s="57"/>
      <c r="G995" s="57"/>
      <c r="N995" s="57"/>
      <c r="O995" s="57"/>
      <c r="P995" s="57"/>
      <c r="Q995" s="57"/>
      <c r="R995" s="57"/>
      <c r="S995" s="57"/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4" t="s">
        <v>14</v>
      </c>
      <c r="B996" s="57"/>
      <c r="C996" s="57"/>
      <c r="D996" s="57"/>
      <c r="E996" s="57"/>
      <c r="G996" s="57"/>
      <c r="M996" s="4" t="s">
        <v>14</v>
      </c>
      <c r="N996" s="57"/>
      <c r="O996" s="57"/>
      <c r="P996" s="57"/>
      <c r="Q996" s="57"/>
      <c r="R996" s="57"/>
      <c r="S996" s="57"/>
      <c r="Y996" s="4" t="s">
        <v>14</v>
      </c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B997" s="57"/>
      <c r="C997" s="57"/>
      <c r="D997" s="57"/>
      <c r="E997" s="57"/>
      <c r="G997" s="57"/>
      <c r="N997" s="57"/>
      <c r="O997" s="57"/>
      <c r="P997" s="57"/>
      <c r="Q997" s="57"/>
      <c r="R997" s="57"/>
      <c r="S997" s="57"/>
      <c r="Z997" s="57"/>
      <c r="AA997" s="57"/>
      <c r="AB997" s="57"/>
      <c r="AC997" s="57"/>
      <c r="AD997" s="57"/>
      <c r="AE997" s="57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ht="15.75" x14ac:dyDescent="0.25">
      <c r="A998" t="s">
        <v>42</v>
      </c>
      <c r="B998" s="57"/>
      <c r="C998" s="57"/>
      <c r="D998" s="57"/>
      <c r="E998" s="57"/>
      <c r="G998" s="57"/>
      <c r="I998" s="57" t="s">
        <v>15</v>
      </c>
      <c r="J998" s="19">
        <v>1</v>
      </c>
      <c r="M998" t="s">
        <v>42</v>
      </c>
      <c r="N998" s="57"/>
      <c r="O998" s="57"/>
      <c r="P998" s="57"/>
      <c r="Q998" s="57"/>
      <c r="R998" s="57"/>
      <c r="S998" s="57"/>
      <c r="U998" s="57" t="s">
        <v>15</v>
      </c>
      <c r="V998" s="19">
        <v>2</v>
      </c>
      <c r="Y998" t="s">
        <v>42</v>
      </c>
      <c r="Z998" s="57"/>
      <c r="AA998" s="57"/>
      <c r="AB998" s="57"/>
      <c r="AC998" s="57"/>
      <c r="AD998" s="57"/>
      <c r="AE998" s="57"/>
      <c r="AG998" s="57" t="s">
        <v>15</v>
      </c>
      <c r="AH998" s="20">
        <v>3</v>
      </c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21" t="s">
        <v>107</v>
      </c>
      <c r="B999" s="20"/>
      <c r="C999" s="57"/>
      <c r="D999" s="57"/>
      <c r="E999" s="57"/>
      <c r="G999" s="57"/>
      <c r="I999" s="22" t="s">
        <v>16</v>
      </c>
      <c r="J999" s="23" t="s">
        <v>31</v>
      </c>
      <c r="K999" s="24"/>
      <c r="M999" s="21" t="s">
        <v>107</v>
      </c>
      <c r="N999" s="20"/>
      <c r="O999" s="57"/>
      <c r="P999" s="57"/>
      <c r="Q999" s="57"/>
      <c r="R999" s="57"/>
      <c r="S999" s="57"/>
      <c r="U999" s="22" t="s">
        <v>16</v>
      </c>
      <c r="V999" s="23" t="s">
        <v>33</v>
      </c>
      <c r="W999" s="24"/>
      <c r="Y999" s="21" t="s">
        <v>107</v>
      </c>
      <c r="Z999" s="20"/>
      <c r="AA999" s="57"/>
      <c r="AB999" s="57"/>
      <c r="AC999" s="57"/>
      <c r="AD999" s="57"/>
      <c r="AE999" s="57"/>
      <c r="AG999" s="22" t="s">
        <v>16</v>
      </c>
      <c r="AH999" s="23" t="s">
        <v>34</v>
      </c>
      <c r="AI999" s="24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57"/>
      <c r="C1000" s="57"/>
      <c r="D1000" s="57"/>
      <c r="E1000" s="57"/>
      <c r="G1000" s="57"/>
      <c r="N1000" s="57"/>
      <c r="O1000" s="57"/>
      <c r="P1000" s="57"/>
      <c r="Q1000" s="57"/>
      <c r="R1000" s="57"/>
      <c r="S1000" s="57"/>
      <c r="Z1000" s="57"/>
      <c r="AA1000" s="57"/>
      <c r="AB1000" s="57"/>
      <c r="AC1000" s="57"/>
      <c r="AD1000" s="57"/>
      <c r="AE1000" s="57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B1001" s="25"/>
      <c r="C1001" s="26"/>
      <c r="D1001" s="126" t="s">
        <v>17</v>
      </c>
      <c r="E1001" s="126"/>
      <c r="F1001" s="109"/>
      <c r="G1001" s="27"/>
      <c r="I1001" s="120" t="s">
        <v>18</v>
      </c>
      <c r="J1001" s="121"/>
      <c r="K1001" s="122" t="s">
        <v>19</v>
      </c>
      <c r="N1001" s="25"/>
      <c r="O1001" s="26"/>
      <c r="P1001" s="126" t="s">
        <v>17</v>
      </c>
      <c r="Q1001" s="126"/>
      <c r="R1001" s="109"/>
      <c r="S1001" s="27"/>
      <c r="U1001" s="120" t="s">
        <v>18</v>
      </c>
      <c r="V1001" s="121"/>
      <c r="W1001" s="122" t="s">
        <v>19</v>
      </c>
      <c r="Z1001" s="25"/>
      <c r="AA1001" s="26"/>
      <c r="AB1001" s="126" t="s">
        <v>17</v>
      </c>
      <c r="AC1001" s="126"/>
      <c r="AD1001" s="110"/>
      <c r="AE1001" s="27"/>
      <c r="AG1001" s="120" t="s">
        <v>18</v>
      </c>
      <c r="AH1001" s="121"/>
      <c r="AI1001" s="122" t="s">
        <v>19</v>
      </c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ht="30" x14ac:dyDescent="0.25">
      <c r="B1002" s="28" t="s">
        <v>20</v>
      </c>
      <c r="C1002" s="28" t="s">
        <v>21</v>
      </c>
      <c r="D1002" s="77" t="s">
        <v>22</v>
      </c>
      <c r="E1002" s="76" t="s">
        <v>23</v>
      </c>
      <c r="F1002" s="78" t="s">
        <v>32</v>
      </c>
      <c r="G1002" s="78" t="s">
        <v>24</v>
      </c>
      <c r="I1002" s="29" t="s">
        <v>25</v>
      </c>
      <c r="J1002" s="29" t="s">
        <v>26</v>
      </c>
      <c r="K1002" s="123"/>
      <c r="N1002" s="28" t="s">
        <v>20</v>
      </c>
      <c r="O1002" s="28" t="s">
        <v>21</v>
      </c>
      <c r="P1002" s="77" t="s">
        <v>22</v>
      </c>
      <c r="Q1002" s="78" t="s">
        <v>23</v>
      </c>
      <c r="R1002" s="78" t="s">
        <v>32</v>
      </c>
      <c r="S1002" s="78" t="s">
        <v>24</v>
      </c>
      <c r="U1002" s="29" t="s">
        <v>25</v>
      </c>
      <c r="V1002" s="29" t="s">
        <v>26</v>
      </c>
      <c r="W1002" s="123"/>
      <c r="Z1002" s="28" t="s">
        <v>20</v>
      </c>
      <c r="AA1002" s="28" t="s">
        <v>21</v>
      </c>
      <c r="AB1002" s="77" t="s">
        <v>22</v>
      </c>
      <c r="AC1002" s="78" t="s">
        <v>23</v>
      </c>
      <c r="AD1002" s="78" t="s">
        <v>32</v>
      </c>
      <c r="AE1002" s="78" t="s">
        <v>24</v>
      </c>
      <c r="AG1002" s="29" t="s">
        <v>25</v>
      </c>
      <c r="AH1002" s="29" t="s">
        <v>26</v>
      </c>
      <c r="AI1002" s="123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1</v>
      </c>
      <c r="B1003" s="30" t="s">
        <v>108</v>
      </c>
      <c r="C1003" s="82">
        <v>10682</v>
      </c>
      <c r="D1003" s="32">
        <f>650*324+912*20+872+229*5</f>
        <v>230857</v>
      </c>
      <c r="E1003" s="32">
        <f>-345*6</f>
        <v>-2070</v>
      </c>
      <c r="F1003" s="32"/>
      <c r="G1003" s="32">
        <f t="shared" ref="G1003:G1016" si="229">SUM(D1003:E1003)</f>
        <v>228787</v>
      </c>
      <c r="H1003" s="12"/>
      <c r="I1003" s="12">
        <f>120*15</f>
        <v>1800</v>
      </c>
      <c r="J1003" s="12">
        <f>-37980</f>
        <v>-37980</v>
      </c>
      <c r="K1003" s="12">
        <f t="shared" ref="K1003:K1036" si="230">SUM(G1003:J1003)</f>
        <v>192607</v>
      </c>
      <c r="M1003" s="10">
        <v>1</v>
      </c>
      <c r="N1003" s="30" t="s">
        <v>108</v>
      </c>
      <c r="O1003" s="31">
        <v>10597</v>
      </c>
      <c r="P1003" s="32">
        <f>650+670+9.5</f>
        <v>1329.5</v>
      </c>
      <c r="Q1003" s="32"/>
      <c r="R1003" s="32"/>
      <c r="S1003" s="32">
        <f>SUM(P1003:Q1003)</f>
        <v>1329.5</v>
      </c>
      <c r="T1003" s="12"/>
      <c r="U1003" s="12"/>
      <c r="V1003" s="12"/>
      <c r="W1003" s="12">
        <f>SUM(S1003:V1003)</f>
        <v>1329.5</v>
      </c>
      <c r="Y1003" s="10">
        <v>1</v>
      </c>
      <c r="Z1003" s="30" t="s">
        <v>108</v>
      </c>
      <c r="AA1003" s="31">
        <v>10640</v>
      </c>
      <c r="AB1003" s="32">
        <f>650*50+229*2</f>
        <v>32958</v>
      </c>
      <c r="AC1003" s="32">
        <f>-50*6</f>
        <v>-300</v>
      </c>
      <c r="AD1003" s="32"/>
      <c r="AE1003" s="32">
        <f>SUM(AB1003:AC1003)</f>
        <v>32658</v>
      </c>
      <c r="AF1003" s="12"/>
      <c r="AG1003" s="12"/>
      <c r="AH1003" s="12">
        <f>-111*50</f>
        <v>-5550</v>
      </c>
      <c r="AI1003" s="12">
        <f>SUM(AE1003:AH1003)</f>
        <v>27108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2</v>
      </c>
      <c r="B1004" s="30" t="s">
        <v>108</v>
      </c>
      <c r="C1004" s="82">
        <f>C1003+1</f>
        <v>10683</v>
      </c>
      <c r="D1004" s="32">
        <f>650*40+670*2+622*3+650*2</f>
        <v>30506</v>
      </c>
      <c r="E1004" s="32"/>
      <c r="F1004" s="32"/>
      <c r="G1004" s="32">
        <f t="shared" si="229"/>
        <v>30506</v>
      </c>
      <c r="H1004" s="12"/>
      <c r="I1004" s="12"/>
      <c r="J1004" s="12">
        <f>-9102+-84</f>
        <v>-9186</v>
      </c>
      <c r="K1004" s="12">
        <f t="shared" si="230"/>
        <v>21320</v>
      </c>
      <c r="M1004" s="10">
        <v>2</v>
      </c>
      <c r="N1004" s="30" t="s">
        <v>108</v>
      </c>
      <c r="O1004" s="31">
        <f>O1003+1</f>
        <v>10598</v>
      </c>
      <c r="P1004" s="32">
        <f>650*14+9.5*14</f>
        <v>9233</v>
      </c>
      <c r="Q1004" s="32"/>
      <c r="R1004" s="32"/>
      <c r="S1004" s="32">
        <f t="shared" ref="S1004:S1041" si="231">SUM(P1004:Q1004)</f>
        <v>9233</v>
      </c>
      <c r="T1004" s="12"/>
      <c r="U1004" s="12">
        <f>4.5*16</f>
        <v>72</v>
      </c>
      <c r="V1004" s="12"/>
      <c r="W1004" s="12">
        <f t="shared" ref="W1004:W1044" si="232">SUM(S1004:V1004)</f>
        <v>9305</v>
      </c>
      <c r="Y1004" s="10">
        <v>2</v>
      </c>
      <c r="Z1004" s="30" t="s">
        <v>108</v>
      </c>
      <c r="AA1004" s="31">
        <f>AA1003+1</f>
        <v>10641</v>
      </c>
      <c r="AB1004" s="32">
        <f>650*108+229*4</f>
        <v>71116</v>
      </c>
      <c r="AC1004" s="32">
        <f>-108*6</f>
        <v>-648</v>
      </c>
      <c r="AD1004" s="32"/>
      <c r="AE1004" s="32">
        <f t="shared" ref="AE1004:AE1041" si="233">SUM(AB1004:AC1004)</f>
        <v>70468</v>
      </c>
      <c r="AF1004" s="12"/>
      <c r="AG1004" s="12"/>
      <c r="AH1004" s="12"/>
      <c r="AI1004" s="12">
        <f t="shared" ref="AI1004:AI1044" si="234">SUM(AE1004:AH1004)</f>
        <v>70468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3</v>
      </c>
      <c r="B1005" s="30"/>
      <c r="C1005" s="11" t="s">
        <v>27</v>
      </c>
      <c r="D1005" s="33"/>
      <c r="E1005" s="33"/>
      <c r="F1005" s="33"/>
      <c r="G1005" s="33">
        <f t="shared" si="229"/>
        <v>0</v>
      </c>
      <c r="H1005" s="34"/>
      <c r="I1005" s="34"/>
      <c r="J1005" s="34"/>
      <c r="K1005" s="34">
        <f t="shared" si="230"/>
        <v>0</v>
      </c>
      <c r="M1005" s="10">
        <v>3</v>
      </c>
      <c r="N1005" s="30" t="s">
        <v>108</v>
      </c>
      <c r="O1005" s="31">
        <f t="shared" ref="O1005:O1010" si="235">O1004+1</f>
        <v>10599</v>
      </c>
      <c r="P1005" s="32">
        <f>650*9+622*3+9.5*12</f>
        <v>7830</v>
      </c>
      <c r="Q1005" s="32"/>
      <c r="R1005" s="32"/>
      <c r="S1005" s="32">
        <f t="shared" si="231"/>
        <v>7830</v>
      </c>
      <c r="T1005" s="12"/>
      <c r="U1005" s="12"/>
      <c r="V1005" s="12">
        <f>-666+-2.25*14</f>
        <v>-697.5</v>
      </c>
      <c r="W1005" s="12">
        <f t="shared" si="232"/>
        <v>7132.5</v>
      </c>
      <c r="Y1005" s="10">
        <v>3</v>
      </c>
      <c r="Z1005" s="30" t="s">
        <v>108</v>
      </c>
      <c r="AA1005" s="31">
        <f t="shared" ref="AA1005:AA1008" si="236">AA1004+1</f>
        <v>10642</v>
      </c>
      <c r="AB1005" s="32">
        <f>650*324+670*20+1050*5+872*8+229*8</f>
        <v>238058</v>
      </c>
      <c r="AC1005" s="32"/>
      <c r="AD1005" s="32"/>
      <c r="AE1005" s="32">
        <f t="shared" si="233"/>
        <v>238058</v>
      </c>
      <c r="AF1005" s="12"/>
      <c r="AG1005" s="12">
        <f>120*8+78*6</f>
        <v>1428</v>
      </c>
      <c r="AH1005" s="12">
        <f>-111*9+-84*2+-84*7+-42*2</f>
        <v>-1839</v>
      </c>
      <c r="AI1005" s="12">
        <f t="shared" si="234"/>
        <v>237647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4</v>
      </c>
      <c r="B1006" s="30"/>
      <c r="C1006" s="82"/>
      <c r="D1006" s="32"/>
      <c r="E1006" s="32"/>
      <c r="F1006" s="32"/>
      <c r="G1006" s="32">
        <f t="shared" si="229"/>
        <v>0</v>
      </c>
      <c r="H1006" s="12"/>
      <c r="I1006" s="12"/>
      <c r="J1006" s="12"/>
      <c r="K1006" s="12">
        <f t="shared" si="230"/>
        <v>0</v>
      </c>
      <c r="M1006" s="10">
        <v>4</v>
      </c>
      <c r="N1006" s="30" t="s">
        <v>108</v>
      </c>
      <c r="O1006" s="31">
        <f t="shared" si="235"/>
        <v>10600</v>
      </c>
      <c r="P1006" s="32">
        <f>650*13+622*3+872*2+9.5*16</f>
        <v>12212</v>
      </c>
      <c r="Q1006" s="32"/>
      <c r="R1006" s="32"/>
      <c r="S1006" s="32">
        <f t="shared" si="231"/>
        <v>12212</v>
      </c>
      <c r="T1006" s="12"/>
      <c r="U1006" s="12"/>
      <c r="V1006" s="12">
        <f>-888+-4.5*50</f>
        <v>-1113</v>
      </c>
      <c r="W1006" s="12">
        <f t="shared" si="232"/>
        <v>11099</v>
      </c>
      <c r="Y1006" s="10">
        <v>4</v>
      </c>
      <c r="Z1006" s="30" t="s">
        <v>108</v>
      </c>
      <c r="AA1006" s="31">
        <f t="shared" si="236"/>
        <v>10643</v>
      </c>
      <c r="AB1006" s="32">
        <f>650*21+622</f>
        <v>14272</v>
      </c>
      <c r="AC1006" s="32"/>
      <c r="AD1006" s="32"/>
      <c r="AE1006" s="32">
        <f t="shared" si="233"/>
        <v>14272</v>
      </c>
      <c r="AF1006" s="12"/>
      <c r="AG1006" s="12"/>
      <c r="AH1006" s="12">
        <v>-666</v>
      </c>
      <c r="AI1006" s="12">
        <f t="shared" si="234"/>
        <v>13606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5</v>
      </c>
      <c r="B1007" s="30"/>
      <c r="C1007" s="82"/>
      <c r="D1007" s="32"/>
      <c r="E1007" s="32"/>
      <c r="F1007" s="32"/>
      <c r="G1007" s="32">
        <f t="shared" si="229"/>
        <v>0</v>
      </c>
      <c r="H1007" s="12"/>
      <c r="I1007" s="12"/>
      <c r="J1007" s="12"/>
      <c r="K1007" s="12">
        <f t="shared" si="230"/>
        <v>0</v>
      </c>
      <c r="M1007" s="10">
        <v>5</v>
      </c>
      <c r="N1007" s="30" t="s">
        <v>108</v>
      </c>
      <c r="O1007" s="31">
        <v>10751</v>
      </c>
      <c r="P1007" s="32">
        <f>650*4+622*4+9.5*8</f>
        <v>5164</v>
      </c>
      <c r="Q1007" s="32"/>
      <c r="R1007" s="32"/>
      <c r="S1007" s="32">
        <f t="shared" si="231"/>
        <v>5164</v>
      </c>
      <c r="T1007" s="12"/>
      <c r="U1007" s="12"/>
      <c r="V1007" s="12"/>
      <c r="W1007" s="12">
        <f t="shared" si="232"/>
        <v>5164</v>
      </c>
      <c r="Y1007" s="10">
        <v>5</v>
      </c>
      <c r="Z1007" s="30" t="s">
        <v>108</v>
      </c>
      <c r="AA1007" s="31">
        <f t="shared" si="236"/>
        <v>10644</v>
      </c>
      <c r="AB1007" s="32">
        <f>650*51</f>
        <v>33150</v>
      </c>
      <c r="AC1007" s="32"/>
      <c r="AD1007" s="32"/>
      <c r="AE1007" s="32">
        <f t="shared" si="233"/>
        <v>33150</v>
      </c>
      <c r="AF1007" s="12"/>
      <c r="AG1007" s="12"/>
      <c r="AH1007" s="12"/>
      <c r="AI1007" s="12">
        <f t="shared" si="234"/>
        <v>33150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6</v>
      </c>
      <c r="B1008" s="30"/>
      <c r="C1008" s="82"/>
      <c r="D1008" s="32"/>
      <c r="E1008" s="32"/>
      <c r="F1008" s="32"/>
      <c r="G1008" s="32">
        <f t="shared" si="229"/>
        <v>0</v>
      </c>
      <c r="H1008" s="12"/>
      <c r="I1008" s="12"/>
      <c r="J1008" s="12"/>
      <c r="K1008" s="12">
        <f t="shared" si="230"/>
        <v>0</v>
      </c>
      <c r="M1008" s="10">
        <v>6</v>
      </c>
      <c r="N1008" s="30" t="s">
        <v>108</v>
      </c>
      <c r="O1008" s="31">
        <f t="shared" si="235"/>
        <v>10752</v>
      </c>
      <c r="P1008" s="32">
        <f>650*11+622*2+13*9.5</f>
        <v>8517.5</v>
      </c>
      <c r="Q1008" s="32"/>
      <c r="R1008" s="32"/>
      <c r="S1008" s="32">
        <f t="shared" si="231"/>
        <v>8517.5</v>
      </c>
      <c r="T1008" s="12"/>
      <c r="U1008" s="12"/>
      <c r="V1008" s="10">
        <f>-120*6+-78*6</f>
        <v>-1188</v>
      </c>
      <c r="W1008" s="12">
        <f t="shared" si="232"/>
        <v>7329.5</v>
      </c>
      <c r="Y1008" s="10">
        <v>6</v>
      </c>
      <c r="Z1008" s="30" t="s">
        <v>108</v>
      </c>
      <c r="AA1008" s="31">
        <f t="shared" si="236"/>
        <v>10645</v>
      </c>
      <c r="AB1008" s="32">
        <f>650*109+229*5</f>
        <v>71995</v>
      </c>
      <c r="AC1008" s="32">
        <f>-109*6</f>
        <v>-654</v>
      </c>
      <c r="AD1008" s="32"/>
      <c r="AE1008" s="32">
        <f t="shared" si="233"/>
        <v>71341</v>
      </c>
      <c r="AF1008" s="12"/>
      <c r="AG1008" s="12">
        <v>108</v>
      </c>
      <c r="AH1008" s="10"/>
      <c r="AI1008" s="12">
        <f t="shared" si="234"/>
        <v>71449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7</v>
      </c>
      <c r="B1009" s="30"/>
      <c r="C1009" s="82"/>
      <c r="D1009" s="32"/>
      <c r="E1009" s="32"/>
      <c r="F1009" s="32"/>
      <c r="G1009" s="32">
        <f t="shared" si="229"/>
        <v>0</v>
      </c>
      <c r="H1009" s="12"/>
      <c r="I1009" s="12"/>
      <c r="J1009" s="12"/>
      <c r="K1009" s="12">
        <f t="shared" si="230"/>
        <v>0</v>
      </c>
      <c r="M1009" s="10">
        <v>7</v>
      </c>
      <c r="N1009" s="30" t="s">
        <v>108</v>
      </c>
      <c r="O1009" s="31">
        <f t="shared" si="235"/>
        <v>10753</v>
      </c>
      <c r="P1009" s="32">
        <f>650*216+670*10+229*8</f>
        <v>148932</v>
      </c>
      <c r="Q1009" s="32">
        <f>-226*6</f>
        <v>-1356</v>
      </c>
      <c r="R1009" s="32"/>
      <c r="S1009" s="32">
        <f t="shared" si="231"/>
        <v>147576</v>
      </c>
      <c r="T1009" s="12"/>
      <c r="U1009" s="12">
        <f>6993+390</f>
        <v>7383</v>
      </c>
      <c r="V1009" s="12">
        <f>-240+-714</f>
        <v>-954</v>
      </c>
      <c r="W1009" s="12">
        <f t="shared" si="232"/>
        <v>154005</v>
      </c>
      <c r="Y1009" s="10">
        <v>7</v>
      </c>
      <c r="Z1009" s="30"/>
      <c r="AA1009" s="11" t="s">
        <v>27</v>
      </c>
      <c r="AB1009" s="32"/>
      <c r="AC1009" s="32"/>
      <c r="AD1009" s="32"/>
      <c r="AE1009" s="32">
        <f t="shared" si="233"/>
        <v>0</v>
      </c>
      <c r="AF1009" s="12"/>
      <c r="AG1009" s="12"/>
      <c r="AH1009" s="12"/>
      <c r="AI1009" s="12">
        <f t="shared" si="234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8</v>
      </c>
      <c r="B1010" s="30"/>
      <c r="C1010" s="82"/>
      <c r="D1010" s="32"/>
      <c r="E1010" s="32"/>
      <c r="F1010" s="32"/>
      <c r="G1010" s="32">
        <f t="shared" si="229"/>
        <v>0</v>
      </c>
      <c r="H1010" s="12"/>
      <c r="I1010" s="12"/>
      <c r="J1010" s="12"/>
      <c r="K1010" s="12">
        <f t="shared" si="230"/>
        <v>0</v>
      </c>
      <c r="M1010" s="10">
        <v>8</v>
      </c>
      <c r="N1010" s="30" t="s">
        <v>108</v>
      </c>
      <c r="O1010" s="31">
        <f t="shared" si="235"/>
        <v>10754</v>
      </c>
      <c r="P1010" s="32">
        <f>650*6</f>
        <v>3900</v>
      </c>
      <c r="Q1010" s="32"/>
      <c r="R1010" s="32"/>
      <c r="S1010" s="32">
        <f t="shared" si="231"/>
        <v>3900</v>
      </c>
      <c r="T1010" s="12"/>
      <c r="U1010" s="12"/>
      <c r="V1010" s="12"/>
      <c r="W1010" s="12">
        <f t="shared" si="232"/>
        <v>3900</v>
      </c>
      <c r="Y1010" s="10">
        <v>8</v>
      </c>
      <c r="Z1010" s="30"/>
      <c r="AA1010" s="31"/>
      <c r="AB1010" s="32"/>
      <c r="AC1010" s="32"/>
      <c r="AD1010" s="32"/>
      <c r="AE1010" s="32">
        <f t="shared" si="233"/>
        <v>0</v>
      </c>
      <c r="AF1010" s="12"/>
      <c r="AG1010" s="12"/>
      <c r="AH1010" s="12"/>
      <c r="AI1010" s="12">
        <f t="shared" si="234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9</v>
      </c>
      <c r="B1011" s="30"/>
      <c r="C1011" s="82"/>
      <c r="D1011" s="32"/>
      <c r="E1011" s="32"/>
      <c r="F1011" s="32"/>
      <c r="G1011" s="32">
        <f t="shared" si="229"/>
        <v>0</v>
      </c>
      <c r="H1011" s="12"/>
      <c r="I1011" s="12"/>
      <c r="J1011" s="12"/>
      <c r="K1011" s="12">
        <f t="shared" si="230"/>
        <v>0</v>
      </c>
      <c r="M1011" s="10">
        <v>9</v>
      </c>
      <c r="N1011" s="30"/>
      <c r="O1011" s="11" t="s">
        <v>27</v>
      </c>
      <c r="P1011" s="32"/>
      <c r="Q1011" s="32"/>
      <c r="R1011" s="32"/>
      <c r="S1011" s="32">
        <f t="shared" si="231"/>
        <v>0</v>
      </c>
      <c r="T1011" s="12"/>
      <c r="U1011" s="12"/>
      <c r="V1011" s="12"/>
      <c r="W1011" s="12">
        <f t="shared" si="232"/>
        <v>0</v>
      </c>
      <c r="Y1011" s="10">
        <v>9</v>
      </c>
      <c r="Z1011" s="30"/>
      <c r="AA1011" s="31"/>
      <c r="AB1011" s="32"/>
      <c r="AC1011" s="32"/>
      <c r="AD1011" s="32"/>
      <c r="AE1011" s="32">
        <f t="shared" si="233"/>
        <v>0</v>
      </c>
      <c r="AF1011" s="12"/>
      <c r="AG1011" s="12"/>
      <c r="AH1011" s="12"/>
      <c r="AI1011" s="12">
        <f t="shared" si="234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10</v>
      </c>
      <c r="B1012" s="30"/>
      <c r="C1012" s="82"/>
      <c r="D1012" s="32"/>
      <c r="E1012" s="32"/>
      <c r="F1012" s="32"/>
      <c r="G1012" s="32">
        <f t="shared" si="229"/>
        <v>0</v>
      </c>
      <c r="H1012" s="12"/>
      <c r="I1012" s="12"/>
      <c r="J1012" s="12"/>
      <c r="K1012" s="12">
        <f t="shared" si="230"/>
        <v>0</v>
      </c>
      <c r="M1012" s="10">
        <v>10</v>
      </c>
      <c r="N1012" s="30"/>
      <c r="O1012" s="31"/>
      <c r="P1012" s="32"/>
      <c r="Q1012" s="32"/>
      <c r="R1012" s="32"/>
      <c r="S1012" s="32">
        <f t="shared" si="231"/>
        <v>0</v>
      </c>
      <c r="T1012" s="12"/>
      <c r="U1012" s="12"/>
      <c r="V1012" s="12"/>
      <c r="W1012" s="12">
        <f t="shared" si="232"/>
        <v>0</v>
      </c>
      <c r="Y1012" s="10">
        <v>10</v>
      </c>
      <c r="Z1012" s="30"/>
      <c r="AA1012" s="31"/>
      <c r="AB1012" s="32"/>
      <c r="AC1012" s="32"/>
      <c r="AD1012" s="32"/>
      <c r="AE1012" s="32">
        <f t="shared" si="233"/>
        <v>0</v>
      </c>
      <c r="AF1012" s="12"/>
      <c r="AG1012" s="12"/>
      <c r="AH1012" s="12"/>
      <c r="AI1012" s="12">
        <f t="shared" si="234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11</v>
      </c>
      <c r="B1013" s="30"/>
      <c r="C1013" s="82"/>
      <c r="D1013" s="32"/>
      <c r="E1013" s="32"/>
      <c r="F1013" s="32"/>
      <c r="G1013" s="32">
        <f t="shared" si="229"/>
        <v>0</v>
      </c>
      <c r="H1013" s="12"/>
      <c r="I1013" s="12"/>
      <c r="J1013" s="12"/>
      <c r="K1013" s="12">
        <f t="shared" si="230"/>
        <v>0</v>
      </c>
      <c r="M1013" s="10">
        <v>11</v>
      </c>
      <c r="N1013" s="30"/>
      <c r="O1013" s="31"/>
      <c r="P1013" s="32"/>
      <c r="Q1013" s="32"/>
      <c r="R1013" s="32"/>
      <c r="S1013" s="32">
        <f t="shared" si="231"/>
        <v>0</v>
      </c>
      <c r="T1013" s="12"/>
      <c r="U1013" s="12"/>
      <c r="V1013" s="12"/>
      <c r="W1013" s="12">
        <f t="shared" si="232"/>
        <v>0</v>
      </c>
      <c r="Y1013" s="10">
        <v>11</v>
      </c>
      <c r="Z1013" s="30"/>
      <c r="AB1013" s="32"/>
      <c r="AC1013" s="32"/>
      <c r="AD1013" s="32"/>
      <c r="AE1013" s="32">
        <f t="shared" si="233"/>
        <v>0</v>
      </c>
      <c r="AF1013" s="12"/>
      <c r="AG1013" s="12"/>
      <c r="AH1013" s="12"/>
      <c r="AI1013" s="12">
        <f t="shared" si="234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12</v>
      </c>
      <c r="B1014" s="30"/>
      <c r="C1014" s="82"/>
      <c r="D1014" s="32"/>
      <c r="E1014" s="32"/>
      <c r="F1014" s="32"/>
      <c r="G1014" s="32">
        <f t="shared" si="229"/>
        <v>0</v>
      </c>
      <c r="H1014" s="12"/>
      <c r="I1014" s="12"/>
      <c r="J1014" s="10"/>
      <c r="K1014" s="12">
        <f t="shared" si="230"/>
        <v>0</v>
      </c>
      <c r="M1014" s="10">
        <v>12</v>
      </c>
      <c r="N1014" s="30"/>
      <c r="O1014" s="31"/>
      <c r="P1014" s="32"/>
      <c r="Q1014" s="32"/>
      <c r="R1014" s="32"/>
      <c r="S1014" s="32">
        <f t="shared" si="231"/>
        <v>0</v>
      </c>
      <c r="T1014" s="12"/>
      <c r="U1014" s="12"/>
      <c r="V1014" s="12"/>
      <c r="W1014" s="12">
        <f t="shared" si="232"/>
        <v>0</v>
      </c>
      <c r="Y1014" s="10">
        <v>12</v>
      </c>
      <c r="Z1014" s="30"/>
      <c r="AA1014" s="31"/>
      <c r="AB1014" s="32"/>
      <c r="AC1014" s="32"/>
      <c r="AD1014" s="32"/>
      <c r="AE1014" s="32">
        <f t="shared" si="233"/>
        <v>0</v>
      </c>
      <c r="AF1014" s="12"/>
      <c r="AG1014" s="12"/>
      <c r="AH1014" s="12"/>
      <c r="AI1014" s="12">
        <f t="shared" si="234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13</v>
      </c>
      <c r="B1015" s="30"/>
      <c r="C1015" s="82"/>
      <c r="D1015" s="32"/>
      <c r="E1015" s="32"/>
      <c r="F1015" s="32"/>
      <c r="G1015" s="32">
        <f t="shared" si="229"/>
        <v>0</v>
      </c>
      <c r="H1015" s="12"/>
      <c r="I1015" s="12"/>
      <c r="J1015" s="12"/>
      <c r="K1015" s="12">
        <f t="shared" si="230"/>
        <v>0</v>
      </c>
      <c r="M1015" s="10">
        <v>13</v>
      </c>
      <c r="N1015" s="30"/>
      <c r="O1015" s="11"/>
      <c r="P1015" s="32"/>
      <c r="Q1015" s="32"/>
      <c r="R1015" s="32"/>
      <c r="S1015" s="32">
        <f t="shared" si="231"/>
        <v>0</v>
      </c>
      <c r="T1015" s="12"/>
      <c r="U1015" s="12"/>
      <c r="V1015" s="12"/>
      <c r="W1015" s="12">
        <f t="shared" si="232"/>
        <v>0</v>
      </c>
      <c r="Y1015" s="10">
        <v>13</v>
      </c>
      <c r="Z1015" s="30"/>
      <c r="AA1015" s="11"/>
      <c r="AB1015" s="32"/>
      <c r="AC1015" s="32"/>
      <c r="AD1015" s="32"/>
      <c r="AE1015" s="32">
        <f t="shared" si="233"/>
        <v>0</v>
      </c>
      <c r="AF1015" s="12"/>
      <c r="AG1015" s="12"/>
      <c r="AH1015" s="12"/>
      <c r="AI1015" s="12">
        <f t="shared" si="234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14</v>
      </c>
      <c r="B1016" s="30"/>
      <c r="C1016" s="82"/>
      <c r="D1016" s="32"/>
      <c r="E1016" s="32"/>
      <c r="F1016" s="32"/>
      <c r="G1016" s="32">
        <f t="shared" si="229"/>
        <v>0</v>
      </c>
      <c r="H1016" s="12"/>
      <c r="I1016" s="12"/>
      <c r="J1016" s="12"/>
      <c r="K1016" s="12">
        <f t="shared" si="230"/>
        <v>0</v>
      </c>
      <c r="M1016" s="10">
        <v>14</v>
      </c>
      <c r="N1016" s="30"/>
      <c r="P1016" s="32"/>
      <c r="Q1016" s="32"/>
      <c r="R1016" s="32"/>
      <c r="S1016" s="32">
        <f t="shared" si="231"/>
        <v>0</v>
      </c>
      <c r="T1016" s="12"/>
      <c r="U1016" s="12"/>
      <c r="V1016" s="12"/>
      <c r="W1016" s="12">
        <f t="shared" si="232"/>
        <v>0</v>
      </c>
      <c r="Y1016" s="10">
        <v>14</v>
      </c>
      <c r="Z1016" s="30"/>
      <c r="AB1016" s="32"/>
      <c r="AC1016" s="32"/>
      <c r="AD1016" s="32"/>
      <c r="AE1016" s="32">
        <f t="shared" si="233"/>
        <v>0</v>
      </c>
      <c r="AF1016" s="12"/>
      <c r="AG1016" s="12"/>
      <c r="AH1016" s="12"/>
      <c r="AI1016" s="12">
        <f t="shared" si="234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15</v>
      </c>
      <c r="B1017" s="30"/>
      <c r="C1017" s="82"/>
      <c r="D1017" s="32"/>
      <c r="E1017" s="32"/>
      <c r="F1017" s="32"/>
      <c r="G1017" s="32"/>
      <c r="H1017" s="12"/>
      <c r="I1017" s="12"/>
      <c r="J1017" s="12"/>
      <c r="K1017" s="12">
        <f t="shared" si="230"/>
        <v>0</v>
      </c>
      <c r="M1017" s="10">
        <v>15</v>
      </c>
      <c r="N1017" s="30"/>
      <c r="O1017" s="31"/>
      <c r="P1017" s="32"/>
      <c r="Q1017" s="32"/>
      <c r="R1017" s="32"/>
      <c r="S1017" s="32">
        <f t="shared" si="231"/>
        <v>0</v>
      </c>
      <c r="T1017" s="12"/>
      <c r="U1017" s="12"/>
      <c r="V1017" s="12"/>
      <c r="W1017" s="12">
        <f t="shared" si="232"/>
        <v>0</v>
      </c>
      <c r="Y1017" s="10">
        <v>15</v>
      </c>
      <c r="Z1017" s="30"/>
      <c r="AA1017" s="31"/>
      <c r="AB1017" s="32"/>
      <c r="AC1017" s="32"/>
      <c r="AD1017" s="32"/>
      <c r="AE1017" s="32">
        <f t="shared" si="233"/>
        <v>0</v>
      </c>
      <c r="AF1017" s="12"/>
      <c r="AG1017" s="12"/>
      <c r="AH1017" s="12"/>
      <c r="AI1017" s="12">
        <f t="shared" si="234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16</v>
      </c>
      <c r="B1018" s="30"/>
      <c r="C1018" s="82"/>
      <c r="D1018" s="32"/>
      <c r="E1018" s="32"/>
      <c r="F1018" s="32"/>
      <c r="G1018" s="32"/>
      <c r="H1018" s="12"/>
      <c r="I1018" s="12"/>
      <c r="J1018" s="12"/>
      <c r="K1018" s="12">
        <f t="shared" si="230"/>
        <v>0</v>
      </c>
      <c r="M1018" s="10">
        <v>16</v>
      </c>
      <c r="N1018" s="30"/>
      <c r="O1018" s="11"/>
      <c r="P1018" s="32"/>
      <c r="Q1018" s="32"/>
      <c r="R1018" s="32"/>
      <c r="S1018" s="32">
        <f t="shared" si="231"/>
        <v>0</v>
      </c>
      <c r="T1018" s="12"/>
      <c r="U1018" s="12"/>
      <c r="V1018" s="12"/>
      <c r="W1018" s="12">
        <f t="shared" si="232"/>
        <v>0</v>
      </c>
      <c r="Y1018" s="10">
        <v>16</v>
      </c>
      <c r="Z1018" s="30"/>
      <c r="AA1018" s="31"/>
      <c r="AB1018" s="32"/>
      <c r="AC1018" s="32"/>
      <c r="AD1018" s="32"/>
      <c r="AE1018" s="32">
        <f t="shared" si="233"/>
        <v>0</v>
      </c>
      <c r="AF1018" s="12"/>
      <c r="AG1018" s="12"/>
      <c r="AH1018" s="12"/>
      <c r="AI1018" s="12">
        <f t="shared" si="234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17</v>
      </c>
      <c r="B1019" s="30"/>
      <c r="C1019" s="82"/>
      <c r="D1019" s="32"/>
      <c r="E1019" s="32"/>
      <c r="F1019" s="32"/>
      <c r="G1019" s="32"/>
      <c r="H1019" s="12"/>
      <c r="I1019" s="12"/>
      <c r="J1019" s="12"/>
      <c r="K1019" s="12">
        <f t="shared" si="230"/>
        <v>0</v>
      </c>
      <c r="M1019" s="10">
        <v>17</v>
      </c>
      <c r="N1019" s="30"/>
      <c r="P1019" s="35"/>
      <c r="Q1019" s="32"/>
      <c r="R1019" s="32"/>
      <c r="S1019" s="32">
        <f t="shared" si="231"/>
        <v>0</v>
      </c>
      <c r="T1019" s="12"/>
      <c r="U1019" s="12"/>
      <c r="V1019" s="12"/>
      <c r="W1019" s="12">
        <f t="shared" si="232"/>
        <v>0</v>
      </c>
      <c r="Y1019" s="10">
        <v>17</v>
      </c>
      <c r="Z1019" s="30"/>
      <c r="AB1019" s="35"/>
      <c r="AC1019" s="32"/>
      <c r="AD1019" s="32"/>
      <c r="AE1019" s="32">
        <f t="shared" si="233"/>
        <v>0</v>
      </c>
      <c r="AF1019" s="12"/>
      <c r="AG1019" s="12"/>
      <c r="AH1019" s="12"/>
      <c r="AI1019" s="12">
        <f t="shared" si="234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18</v>
      </c>
      <c r="B1020" s="30"/>
      <c r="C1020" s="82"/>
      <c r="D1020" s="32"/>
      <c r="E1020" s="32"/>
      <c r="F1020" s="32"/>
      <c r="G1020" s="32"/>
      <c r="H1020" s="12"/>
      <c r="I1020" s="12"/>
      <c r="J1020" s="12"/>
      <c r="K1020" s="12">
        <f t="shared" si="230"/>
        <v>0</v>
      </c>
      <c r="M1020" s="10">
        <v>18</v>
      </c>
      <c r="N1020" s="30"/>
      <c r="O1020" s="11"/>
      <c r="P1020" s="32"/>
      <c r="Q1020" s="32"/>
      <c r="R1020" s="32"/>
      <c r="S1020" s="32">
        <f t="shared" si="231"/>
        <v>0</v>
      </c>
      <c r="T1020" s="12"/>
      <c r="U1020" s="12"/>
      <c r="V1020" s="12"/>
      <c r="W1020" s="12">
        <f t="shared" si="232"/>
        <v>0</v>
      </c>
      <c r="Y1020" s="10">
        <v>18</v>
      </c>
      <c r="Z1020" s="30"/>
      <c r="AA1020" s="11"/>
      <c r="AB1020" s="32"/>
      <c r="AC1020" s="32"/>
      <c r="AD1020" s="32"/>
      <c r="AE1020" s="32">
        <f t="shared" si="233"/>
        <v>0</v>
      </c>
      <c r="AF1020" s="12"/>
      <c r="AG1020" s="12"/>
      <c r="AH1020" s="12"/>
      <c r="AI1020" s="12">
        <f t="shared" si="234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19</v>
      </c>
      <c r="B1021" s="30"/>
      <c r="C1021" s="82"/>
      <c r="D1021" s="32"/>
      <c r="E1021" s="32"/>
      <c r="F1021" s="32"/>
      <c r="G1021" s="32"/>
      <c r="H1021" s="12"/>
      <c r="I1021" s="12"/>
      <c r="J1021" s="12"/>
      <c r="K1021" s="12">
        <f t="shared" si="230"/>
        <v>0</v>
      </c>
      <c r="M1021" s="10">
        <v>19</v>
      </c>
      <c r="N1021" s="30"/>
      <c r="O1021" s="31"/>
      <c r="P1021" s="32"/>
      <c r="Q1021" s="32"/>
      <c r="R1021" s="32"/>
      <c r="S1021" s="32">
        <f t="shared" si="231"/>
        <v>0</v>
      </c>
      <c r="T1021" s="12"/>
      <c r="U1021" s="12"/>
      <c r="V1021" s="12"/>
      <c r="W1021" s="12">
        <f t="shared" si="232"/>
        <v>0</v>
      </c>
      <c r="Y1021" s="10">
        <v>19</v>
      </c>
      <c r="Z1021" s="30"/>
      <c r="AA1021" s="31"/>
      <c r="AB1021" s="32"/>
      <c r="AC1021" s="32"/>
      <c r="AD1021" s="32"/>
      <c r="AE1021" s="32">
        <f t="shared" si="233"/>
        <v>0</v>
      </c>
      <c r="AF1021" s="12"/>
      <c r="AG1021" s="12"/>
      <c r="AH1021" s="12"/>
      <c r="AI1021" s="12">
        <f t="shared" si="234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20</v>
      </c>
      <c r="B1022" s="30"/>
      <c r="C1022" s="82"/>
      <c r="D1022" s="32"/>
      <c r="E1022" s="32"/>
      <c r="F1022" s="32"/>
      <c r="G1022" s="32"/>
      <c r="H1022" s="12"/>
      <c r="I1022" s="12"/>
      <c r="J1022" s="12"/>
      <c r="K1022" s="12">
        <f t="shared" si="230"/>
        <v>0</v>
      </c>
      <c r="M1022" s="10">
        <v>20</v>
      </c>
      <c r="N1022" s="30"/>
      <c r="P1022" s="32"/>
      <c r="Q1022" s="32"/>
      <c r="R1022" s="32"/>
      <c r="S1022" s="32">
        <f t="shared" si="231"/>
        <v>0</v>
      </c>
      <c r="T1022" s="12"/>
      <c r="U1022" s="12"/>
      <c r="V1022" s="12"/>
      <c r="W1022" s="12">
        <f t="shared" si="232"/>
        <v>0</v>
      </c>
      <c r="Y1022" s="10">
        <v>20</v>
      </c>
      <c r="Z1022" s="30"/>
      <c r="AB1022" s="32"/>
      <c r="AC1022" s="32"/>
      <c r="AD1022" s="32"/>
      <c r="AE1022" s="32">
        <f t="shared" si="233"/>
        <v>0</v>
      </c>
      <c r="AF1022" s="12"/>
      <c r="AG1022" s="12"/>
      <c r="AH1022" s="12"/>
      <c r="AI1022" s="12">
        <f t="shared" si="234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21</v>
      </c>
      <c r="B1023" s="30"/>
      <c r="C1023" s="11"/>
      <c r="D1023" s="32"/>
      <c r="E1023" s="32"/>
      <c r="F1023" s="32"/>
      <c r="G1023" s="32"/>
      <c r="H1023" s="10"/>
      <c r="I1023" s="10"/>
      <c r="J1023" s="10"/>
      <c r="K1023" s="12">
        <f t="shared" si="230"/>
        <v>0</v>
      </c>
      <c r="M1023" s="10">
        <v>21</v>
      </c>
      <c r="N1023" s="30"/>
      <c r="O1023" s="31"/>
      <c r="P1023" s="46"/>
      <c r="Q1023" s="31"/>
      <c r="R1023" s="31"/>
      <c r="S1023" s="32">
        <f t="shared" si="231"/>
        <v>0</v>
      </c>
      <c r="T1023" s="10"/>
      <c r="U1023" s="10"/>
      <c r="V1023" s="10"/>
      <c r="W1023" s="12">
        <f t="shared" si="232"/>
        <v>0</v>
      </c>
      <c r="Y1023" s="10">
        <v>21</v>
      </c>
      <c r="Z1023" s="30"/>
      <c r="AA1023" s="31"/>
      <c r="AB1023" s="46"/>
      <c r="AC1023" s="31"/>
      <c r="AD1023" s="31"/>
      <c r="AE1023" s="32">
        <f t="shared" si="233"/>
        <v>0</v>
      </c>
      <c r="AF1023" s="10"/>
      <c r="AG1023" s="10"/>
      <c r="AH1023" s="10"/>
      <c r="AI1023" s="12">
        <f t="shared" si="234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22</v>
      </c>
      <c r="B1024" s="30"/>
      <c r="C1024" s="11"/>
      <c r="D1024" s="32"/>
      <c r="E1024" s="32"/>
      <c r="F1024" s="32"/>
      <c r="G1024" s="32">
        <f t="shared" ref="G1024:G1036" si="237">SUM(D1024:E1024)</f>
        <v>0</v>
      </c>
      <c r="H1024" s="10"/>
      <c r="I1024" s="10"/>
      <c r="J1024" s="10"/>
      <c r="K1024" s="12">
        <f t="shared" si="230"/>
        <v>0</v>
      </c>
      <c r="M1024" s="10">
        <v>22</v>
      </c>
      <c r="N1024" s="30"/>
      <c r="O1024" s="31"/>
      <c r="P1024" s="45"/>
      <c r="Q1024" s="31"/>
      <c r="R1024" s="31"/>
      <c r="S1024" s="32">
        <f t="shared" si="231"/>
        <v>0</v>
      </c>
      <c r="T1024" s="10"/>
      <c r="U1024" s="10"/>
      <c r="V1024" s="10"/>
      <c r="W1024" s="12">
        <f t="shared" si="232"/>
        <v>0</v>
      </c>
      <c r="Y1024" s="10">
        <v>22</v>
      </c>
      <c r="Z1024" s="30"/>
      <c r="AA1024" s="31"/>
      <c r="AB1024" s="45"/>
      <c r="AC1024" s="31"/>
      <c r="AD1024" s="31"/>
      <c r="AE1024" s="32">
        <f t="shared" si="233"/>
        <v>0</v>
      </c>
      <c r="AF1024" s="10"/>
      <c r="AG1024" s="10"/>
      <c r="AH1024" s="10"/>
      <c r="AI1024" s="12">
        <f t="shared" si="234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23</v>
      </c>
      <c r="B1025" s="30"/>
      <c r="C1025" s="82"/>
      <c r="D1025" s="32"/>
      <c r="E1025" s="32"/>
      <c r="F1025" s="32"/>
      <c r="G1025" s="32">
        <f t="shared" si="237"/>
        <v>0</v>
      </c>
      <c r="H1025" s="10"/>
      <c r="I1025" s="10"/>
      <c r="J1025" s="12"/>
      <c r="K1025" s="12">
        <f t="shared" si="230"/>
        <v>0</v>
      </c>
      <c r="M1025" s="10">
        <v>23</v>
      </c>
      <c r="N1025" s="30"/>
      <c r="O1025" s="31"/>
      <c r="P1025" s="47"/>
      <c r="Q1025" s="45"/>
      <c r="S1025" s="32">
        <f t="shared" si="231"/>
        <v>0</v>
      </c>
      <c r="T1025" s="10"/>
      <c r="U1025" s="10"/>
      <c r="V1025" s="10"/>
      <c r="W1025" s="12">
        <f t="shared" si="232"/>
        <v>0</v>
      </c>
      <c r="Y1025" s="10">
        <v>23</v>
      </c>
      <c r="Z1025" s="30"/>
      <c r="AA1025" s="31"/>
      <c r="AB1025" s="47"/>
      <c r="AC1025" s="45"/>
      <c r="AE1025" s="32">
        <f t="shared" si="233"/>
        <v>0</v>
      </c>
      <c r="AF1025" s="10"/>
      <c r="AG1025" s="10"/>
      <c r="AH1025" s="10"/>
      <c r="AI1025" s="12">
        <f t="shared" si="234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24</v>
      </c>
      <c r="B1026" s="30"/>
      <c r="C1026" s="82"/>
      <c r="D1026" s="32"/>
      <c r="E1026" s="32"/>
      <c r="F1026" s="32"/>
      <c r="G1026" s="32">
        <f t="shared" si="237"/>
        <v>0</v>
      </c>
      <c r="H1026" s="10"/>
      <c r="I1026" s="10"/>
      <c r="J1026" s="10"/>
      <c r="K1026" s="12">
        <f t="shared" si="230"/>
        <v>0</v>
      </c>
      <c r="M1026" s="10">
        <v>24</v>
      </c>
      <c r="N1026" s="30"/>
      <c r="O1026" s="31"/>
      <c r="P1026" s="47"/>
      <c r="Q1026" s="31"/>
      <c r="R1026" s="31"/>
      <c r="S1026" s="32">
        <f t="shared" si="231"/>
        <v>0</v>
      </c>
      <c r="T1026" s="10"/>
      <c r="U1026" s="10"/>
      <c r="V1026" s="10"/>
      <c r="W1026" s="12">
        <f t="shared" si="232"/>
        <v>0</v>
      </c>
      <c r="Y1026" s="10">
        <v>24</v>
      </c>
      <c r="Z1026" s="30"/>
      <c r="AA1026" s="31"/>
      <c r="AB1026" s="47"/>
      <c r="AC1026" s="31"/>
      <c r="AD1026" s="31"/>
      <c r="AE1026" s="32">
        <f t="shared" si="233"/>
        <v>0</v>
      </c>
      <c r="AF1026" s="10"/>
      <c r="AG1026" s="10"/>
      <c r="AH1026" s="10"/>
      <c r="AI1026" s="12">
        <f t="shared" si="234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25</v>
      </c>
      <c r="B1027" s="30"/>
      <c r="C1027" s="57"/>
      <c r="D1027" s="32"/>
      <c r="E1027" s="32"/>
      <c r="F1027" s="32"/>
      <c r="G1027" s="32">
        <f t="shared" si="237"/>
        <v>0</v>
      </c>
      <c r="H1027" s="10"/>
      <c r="I1027" s="10"/>
      <c r="J1027" s="10"/>
      <c r="K1027" s="12">
        <f t="shared" si="230"/>
        <v>0</v>
      </c>
      <c r="M1027" s="10">
        <v>25</v>
      </c>
      <c r="N1027" s="30"/>
      <c r="O1027" s="31"/>
      <c r="P1027" s="47"/>
      <c r="Q1027" s="31"/>
      <c r="R1027" s="31"/>
      <c r="S1027" s="32">
        <f t="shared" si="231"/>
        <v>0</v>
      </c>
      <c r="T1027" s="10"/>
      <c r="U1027" s="10"/>
      <c r="V1027" s="10"/>
      <c r="W1027" s="12">
        <f t="shared" si="232"/>
        <v>0</v>
      </c>
      <c r="Y1027" s="10">
        <v>25</v>
      </c>
      <c r="Z1027" s="30"/>
      <c r="AA1027" s="31"/>
      <c r="AB1027" s="47"/>
      <c r="AC1027" s="31"/>
      <c r="AD1027" s="31"/>
      <c r="AE1027" s="32">
        <f t="shared" si="233"/>
        <v>0</v>
      </c>
      <c r="AF1027" s="10"/>
      <c r="AG1027" s="10"/>
      <c r="AH1027" s="10"/>
      <c r="AI1027" s="12">
        <f t="shared" si="234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26</v>
      </c>
      <c r="B1028" s="30"/>
      <c r="C1028" s="82"/>
      <c r="D1028" s="32"/>
      <c r="E1028" s="32"/>
      <c r="F1028" s="32"/>
      <c r="G1028" s="32">
        <f t="shared" si="237"/>
        <v>0</v>
      </c>
      <c r="H1028" s="10"/>
      <c r="I1028" s="10"/>
      <c r="J1028" s="10"/>
      <c r="K1028" s="12">
        <f t="shared" si="230"/>
        <v>0</v>
      </c>
      <c r="M1028" s="10">
        <v>26</v>
      </c>
      <c r="N1028" s="30"/>
      <c r="O1028" s="31"/>
      <c r="P1028" s="47"/>
      <c r="Q1028" s="31"/>
      <c r="R1028" s="31"/>
      <c r="S1028" s="32">
        <f t="shared" si="231"/>
        <v>0</v>
      </c>
      <c r="T1028" s="10"/>
      <c r="U1028" s="10"/>
      <c r="V1028" s="10"/>
      <c r="W1028" s="12">
        <f t="shared" si="232"/>
        <v>0</v>
      </c>
      <c r="Y1028" s="10">
        <v>26</v>
      </c>
      <c r="Z1028" s="30"/>
      <c r="AA1028" s="31"/>
      <c r="AB1028" s="47"/>
      <c r="AC1028" s="31"/>
      <c r="AD1028" s="31"/>
      <c r="AE1028" s="32">
        <f t="shared" si="233"/>
        <v>0</v>
      </c>
      <c r="AF1028" s="10"/>
      <c r="AG1028" s="10"/>
      <c r="AH1028" s="10"/>
      <c r="AI1028" s="12">
        <f t="shared" si="234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27</v>
      </c>
      <c r="B1029" s="30"/>
      <c r="C1029" s="82"/>
      <c r="D1029" s="32"/>
      <c r="E1029" s="32"/>
      <c r="F1029" s="32"/>
      <c r="G1029" s="32">
        <f t="shared" si="237"/>
        <v>0</v>
      </c>
      <c r="H1029" s="10"/>
      <c r="I1029" s="10"/>
      <c r="J1029" s="10"/>
      <c r="K1029" s="12">
        <f t="shared" si="230"/>
        <v>0</v>
      </c>
      <c r="M1029" s="10">
        <v>27</v>
      </c>
      <c r="N1029" s="30"/>
      <c r="O1029" s="31"/>
      <c r="P1029" s="47"/>
      <c r="Q1029" s="31"/>
      <c r="R1029" s="31"/>
      <c r="S1029" s="32">
        <f t="shared" si="231"/>
        <v>0</v>
      </c>
      <c r="T1029" s="10"/>
      <c r="U1029" s="10"/>
      <c r="V1029" s="10"/>
      <c r="W1029" s="12">
        <f t="shared" si="232"/>
        <v>0</v>
      </c>
      <c r="Y1029" s="10">
        <v>27</v>
      </c>
      <c r="Z1029" s="30"/>
      <c r="AA1029" s="31"/>
      <c r="AB1029" s="47"/>
      <c r="AC1029" s="31"/>
      <c r="AD1029" s="31"/>
      <c r="AE1029" s="32">
        <f t="shared" si="233"/>
        <v>0</v>
      </c>
      <c r="AF1029" s="10"/>
      <c r="AG1029" s="10"/>
      <c r="AH1029" s="10"/>
      <c r="AI1029" s="12">
        <f t="shared" si="234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28</v>
      </c>
      <c r="B1030" s="30"/>
      <c r="C1030" s="82"/>
      <c r="D1030" s="32"/>
      <c r="E1030" s="32"/>
      <c r="F1030" s="32"/>
      <c r="G1030" s="32">
        <f t="shared" si="237"/>
        <v>0</v>
      </c>
      <c r="H1030" s="10"/>
      <c r="I1030" s="10"/>
      <c r="J1030" s="10"/>
      <c r="K1030" s="12">
        <f t="shared" si="230"/>
        <v>0</v>
      </c>
      <c r="M1030" s="10">
        <v>28</v>
      </c>
      <c r="N1030" s="30"/>
      <c r="O1030" s="31"/>
      <c r="P1030" s="47"/>
      <c r="Q1030" s="31"/>
      <c r="R1030" s="31"/>
      <c r="S1030" s="32">
        <f t="shared" si="231"/>
        <v>0</v>
      </c>
      <c r="T1030" s="10"/>
      <c r="U1030" s="10"/>
      <c r="V1030" s="10"/>
      <c r="W1030" s="12">
        <f t="shared" si="232"/>
        <v>0</v>
      </c>
      <c r="Y1030" s="10">
        <v>28</v>
      </c>
      <c r="Z1030" s="30"/>
      <c r="AA1030" s="31"/>
      <c r="AB1030" s="47"/>
      <c r="AC1030" s="31"/>
      <c r="AD1030" s="31"/>
      <c r="AE1030" s="32">
        <f t="shared" si="233"/>
        <v>0</v>
      </c>
      <c r="AF1030" s="10"/>
      <c r="AG1030" s="10"/>
      <c r="AH1030" s="10"/>
      <c r="AI1030" s="12">
        <f t="shared" si="234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29</v>
      </c>
      <c r="B1031" s="30"/>
      <c r="C1031" s="82"/>
      <c r="D1031" s="32"/>
      <c r="E1031" s="32"/>
      <c r="F1031" s="32"/>
      <c r="G1031" s="32">
        <f t="shared" si="237"/>
        <v>0</v>
      </c>
      <c r="H1031" s="10"/>
      <c r="I1031" s="10"/>
      <c r="J1031" s="10"/>
      <c r="K1031" s="12">
        <f t="shared" si="230"/>
        <v>0</v>
      </c>
      <c r="M1031" s="10">
        <v>29</v>
      </c>
      <c r="N1031" s="30"/>
      <c r="O1031" s="31"/>
      <c r="P1031" s="47"/>
      <c r="Q1031" s="31"/>
      <c r="R1031" s="31"/>
      <c r="S1031" s="32">
        <f t="shared" si="231"/>
        <v>0</v>
      </c>
      <c r="T1031" s="10"/>
      <c r="U1031" s="10"/>
      <c r="V1031" s="10"/>
      <c r="W1031" s="12">
        <f t="shared" si="232"/>
        <v>0</v>
      </c>
      <c r="Y1031" s="10">
        <v>29</v>
      </c>
      <c r="Z1031" s="30"/>
      <c r="AA1031" s="31"/>
      <c r="AB1031" s="47"/>
      <c r="AC1031" s="31"/>
      <c r="AD1031" s="31"/>
      <c r="AE1031" s="32">
        <f t="shared" si="233"/>
        <v>0</v>
      </c>
      <c r="AF1031" s="10"/>
      <c r="AG1031" s="10"/>
      <c r="AH1031" s="10"/>
      <c r="AI1031" s="12">
        <f t="shared" si="234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30</v>
      </c>
      <c r="B1032" s="30"/>
      <c r="C1032" s="82"/>
      <c r="D1032" s="32"/>
      <c r="E1032" s="32"/>
      <c r="F1032" s="32"/>
      <c r="G1032" s="32">
        <f t="shared" si="237"/>
        <v>0</v>
      </c>
      <c r="H1032" s="10"/>
      <c r="I1032" s="10"/>
      <c r="J1032" s="10"/>
      <c r="K1032" s="12">
        <f t="shared" si="230"/>
        <v>0</v>
      </c>
      <c r="M1032" s="10">
        <v>30</v>
      </c>
      <c r="N1032" s="30"/>
      <c r="O1032" s="31"/>
      <c r="P1032" s="47"/>
      <c r="Q1032" s="31"/>
      <c r="R1032" s="31"/>
      <c r="S1032" s="32">
        <f t="shared" si="231"/>
        <v>0</v>
      </c>
      <c r="T1032" s="10"/>
      <c r="U1032" s="10"/>
      <c r="V1032" s="10"/>
      <c r="W1032" s="12">
        <f t="shared" si="232"/>
        <v>0</v>
      </c>
      <c r="Y1032" s="10">
        <v>30</v>
      </c>
      <c r="Z1032" s="30"/>
      <c r="AA1032" s="31"/>
      <c r="AB1032" s="47"/>
      <c r="AC1032" s="31"/>
      <c r="AD1032" s="31"/>
      <c r="AE1032" s="32">
        <f t="shared" si="233"/>
        <v>0</v>
      </c>
      <c r="AF1032" s="10"/>
      <c r="AG1032" s="10"/>
      <c r="AH1032" s="10"/>
      <c r="AI1032" s="12">
        <f t="shared" si="234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31</v>
      </c>
      <c r="B1033" s="30"/>
      <c r="C1033" s="82"/>
      <c r="D1033" s="32"/>
      <c r="E1033" s="32"/>
      <c r="F1033" s="32"/>
      <c r="G1033" s="32">
        <f t="shared" si="237"/>
        <v>0</v>
      </c>
      <c r="H1033" s="10"/>
      <c r="I1033" s="10"/>
      <c r="J1033" s="10"/>
      <c r="K1033" s="12">
        <f t="shared" si="230"/>
        <v>0</v>
      </c>
      <c r="M1033" s="10">
        <v>31</v>
      </c>
      <c r="N1033" s="30"/>
      <c r="O1033" s="31"/>
      <c r="P1033" s="47"/>
      <c r="Q1033" s="31"/>
      <c r="R1033" s="31"/>
      <c r="S1033" s="32">
        <f t="shared" si="231"/>
        <v>0</v>
      </c>
      <c r="T1033" s="10"/>
      <c r="U1033" s="10"/>
      <c r="V1033" s="10"/>
      <c r="W1033" s="12">
        <f t="shared" si="232"/>
        <v>0</v>
      </c>
      <c r="Y1033" s="10">
        <v>31</v>
      </c>
      <c r="Z1033" s="30"/>
      <c r="AA1033" s="31"/>
      <c r="AB1033" s="47"/>
      <c r="AC1033" s="31"/>
      <c r="AD1033" s="31"/>
      <c r="AE1033" s="32">
        <f t="shared" si="233"/>
        <v>0</v>
      </c>
      <c r="AF1033" s="10"/>
      <c r="AG1033" s="10"/>
      <c r="AH1033" s="10"/>
      <c r="AI1033" s="12">
        <f t="shared" si="234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32</v>
      </c>
      <c r="B1034" s="30"/>
      <c r="C1034" s="82"/>
      <c r="D1034" s="32"/>
      <c r="E1034" s="32"/>
      <c r="F1034" s="32"/>
      <c r="G1034" s="32">
        <f t="shared" si="237"/>
        <v>0</v>
      </c>
      <c r="H1034" s="10"/>
      <c r="I1034" s="10"/>
      <c r="J1034" s="10"/>
      <c r="K1034" s="12">
        <f t="shared" si="230"/>
        <v>0</v>
      </c>
      <c r="M1034" s="10">
        <v>32</v>
      </c>
      <c r="N1034" s="30"/>
      <c r="O1034" s="31"/>
      <c r="P1034" s="47"/>
      <c r="Q1034" s="31"/>
      <c r="R1034" s="31"/>
      <c r="S1034" s="32">
        <f t="shared" si="231"/>
        <v>0</v>
      </c>
      <c r="T1034" s="10"/>
      <c r="U1034" s="10"/>
      <c r="V1034" s="10"/>
      <c r="W1034" s="12">
        <f t="shared" si="232"/>
        <v>0</v>
      </c>
      <c r="Y1034" s="10">
        <v>32</v>
      </c>
      <c r="Z1034" s="30"/>
      <c r="AA1034" s="31"/>
      <c r="AB1034" s="47"/>
      <c r="AC1034" s="31"/>
      <c r="AD1034" s="31"/>
      <c r="AE1034" s="32">
        <f t="shared" si="233"/>
        <v>0</v>
      </c>
      <c r="AF1034" s="10"/>
      <c r="AG1034" s="10"/>
      <c r="AH1034" s="10"/>
      <c r="AI1034" s="12">
        <f t="shared" si="234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>
        <v>33</v>
      </c>
      <c r="B1035" s="30"/>
      <c r="C1035" s="82"/>
      <c r="D1035" s="32"/>
      <c r="E1035" s="32"/>
      <c r="F1035" s="32"/>
      <c r="G1035" s="32">
        <f t="shared" si="237"/>
        <v>0</v>
      </c>
      <c r="H1035" s="10"/>
      <c r="I1035" s="10"/>
      <c r="J1035" s="10"/>
      <c r="K1035" s="12">
        <f t="shared" si="230"/>
        <v>0</v>
      </c>
      <c r="M1035" s="10">
        <v>33</v>
      </c>
      <c r="N1035" s="30"/>
      <c r="O1035" s="31"/>
      <c r="P1035" s="47"/>
      <c r="Q1035" s="31"/>
      <c r="R1035" s="31"/>
      <c r="S1035" s="32">
        <f t="shared" si="231"/>
        <v>0</v>
      </c>
      <c r="T1035" s="10"/>
      <c r="U1035" s="10"/>
      <c r="V1035" s="10"/>
      <c r="W1035" s="12">
        <f t="shared" si="232"/>
        <v>0</v>
      </c>
      <c r="Y1035" s="10">
        <v>33</v>
      </c>
      <c r="Z1035" s="30"/>
      <c r="AA1035" s="31"/>
      <c r="AB1035" s="47"/>
      <c r="AC1035" s="31"/>
      <c r="AD1035" s="31"/>
      <c r="AE1035" s="32">
        <f t="shared" si="233"/>
        <v>0</v>
      </c>
      <c r="AF1035" s="10"/>
      <c r="AG1035" s="10"/>
      <c r="AH1035" s="10"/>
      <c r="AI1035" s="12">
        <f t="shared" si="234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2"/>
      <c r="D1036" s="32"/>
      <c r="E1036" s="32"/>
      <c r="F1036" s="32"/>
      <c r="G1036" s="32">
        <f t="shared" si="237"/>
        <v>0</v>
      </c>
      <c r="H1036" s="10"/>
      <c r="I1036" s="10"/>
      <c r="J1036" s="10"/>
      <c r="K1036" s="12">
        <f t="shared" si="230"/>
        <v>0</v>
      </c>
      <c r="M1036" s="10">
        <v>34</v>
      </c>
      <c r="N1036" s="30"/>
      <c r="O1036" s="31"/>
      <c r="P1036" s="47"/>
      <c r="Q1036" s="31"/>
      <c r="R1036" s="31"/>
      <c r="S1036" s="32">
        <f t="shared" si="231"/>
        <v>0</v>
      </c>
      <c r="T1036" s="10"/>
      <c r="U1036" s="10"/>
      <c r="V1036" s="10"/>
      <c r="W1036" s="12">
        <f t="shared" si="232"/>
        <v>0</v>
      </c>
      <c r="Y1036" s="10">
        <v>34</v>
      </c>
      <c r="Z1036" s="30"/>
      <c r="AA1036" s="31"/>
      <c r="AB1036" s="47"/>
      <c r="AC1036" s="31"/>
      <c r="AD1036" s="31"/>
      <c r="AE1036" s="32">
        <f t="shared" si="233"/>
        <v>0</v>
      </c>
      <c r="AF1036" s="10"/>
      <c r="AG1036" s="10"/>
      <c r="AH1036" s="10"/>
      <c r="AI1036" s="12">
        <f t="shared" si="234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2"/>
      <c r="D1037" s="32"/>
      <c r="E1037" s="32"/>
      <c r="F1037" s="32"/>
      <c r="G1037" s="32"/>
      <c r="H1037" s="10"/>
      <c r="I1037" s="10"/>
      <c r="J1037" s="10"/>
      <c r="K1037" s="12"/>
      <c r="M1037" s="10">
        <v>35</v>
      </c>
      <c r="N1037" s="30"/>
      <c r="O1037" s="31"/>
      <c r="P1037" s="47"/>
      <c r="Q1037" s="31"/>
      <c r="R1037" s="31"/>
      <c r="S1037" s="32">
        <f t="shared" si="231"/>
        <v>0</v>
      </c>
      <c r="T1037" s="10"/>
      <c r="U1037" s="10"/>
      <c r="V1037" s="10"/>
      <c r="W1037" s="12">
        <f t="shared" si="232"/>
        <v>0</v>
      </c>
      <c r="Y1037" s="10">
        <v>35</v>
      </c>
      <c r="Z1037" s="30"/>
      <c r="AA1037" s="31"/>
      <c r="AB1037" s="47"/>
      <c r="AC1037" s="31"/>
      <c r="AD1037" s="31"/>
      <c r="AE1037" s="32">
        <f t="shared" si="233"/>
        <v>0</v>
      </c>
      <c r="AF1037" s="10"/>
      <c r="AG1037" s="10"/>
      <c r="AH1037" s="10"/>
      <c r="AI1037" s="12">
        <f t="shared" si="234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82"/>
      <c r="D1038" s="32"/>
      <c r="E1038" s="32"/>
      <c r="F1038" s="32"/>
      <c r="G1038" s="32"/>
      <c r="H1038" s="10"/>
      <c r="I1038" s="10"/>
      <c r="J1038" s="10"/>
      <c r="K1038" s="12"/>
      <c r="M1038" s="10">
        <v>36</v>
      </c>
      <c r="N1038" s="30"/>
      <c r="O1038" s="31"/>
      <c r="P1038" s="47"/>
      <c r="Q1038" s="31"/>
      <c r="R1038" s="31"/>
      <c r="S1038" s="32">
        <f t="shared" si="231"/>
        <v>0</v>
      </c>
      <c r="T1038" s="10"/>
      <c r="U1038" s="10"/>
      <c r="V1038" s="10"/>
      <c r="W1038" s="12">
        <f t="shared" si="232"/>
        <v>0</v>
      </c>
      <c r="Y1038" s="10">
        <v>36</v>
      </c>
      <c r="Z1038" s="30"/>
      <c r="AA1038" s="31"/>
      <c r="AB1038" s="47"/>
      <c r="AC1038" s="31"/>
      <c r="AD1038" s="31"/>
      <c r="AE1038" s="32">
        <f t="shared" si="233"/>
        <v>0</v>
      </c>
      <c r="AF1038" s="10"/>
      <c r="AG1038" s="10"/>
      <c r="AH1038" s="10"/>
      <c r="AI1038" s="12">
        <f t="shared" si="234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37</v>
      </c>
      <c r="N1039" s="30"/>
      <c r="P1039" s="47"/>
      <c r="Q1039" s="31"/>
      <c r="R1039" s="31"/>
      <c r="S1039" s="32">
        <f t="shared" si="231"/>
        <v>0</v>
      </c>
      <c r="T1039" s="10"/>
      <c r="U1039" s="10"/>
      <c r="V1039" s="10"/>
      <c r="W1039" s="12">
        <f t="shared" si="232"/>
        <v>0</v>
      </c>
      <c r="Y1039" s="10">
        <v>37</v>
      </c>
      <c r="Z1039" s="30"/>
      <c r="AB1039" s="47"/>
      <c r="AC1039" s="31"/>
      <c r="AD1039" s="31"/>
      <c r="AE1039" s="32">
        <f t="shared" si="233"/>
        <v>0</v>
      </c>
      <c r="AF1039" s="10"/>
      <c r="AG1039" s="10"/>
      <c r="AH1039" s="10"/>
      <c r="AI1039" s="12">
        <f t="shared" si="234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38</v>
      </c>
      <c r="N1040" s="30"/>
      <c r="O1040" s="31"/>
      <c r="P1040" s="47"/>
      <c r="Q1040" s="31"/>
      <c r="R1040" s="31"/>
      <c r="S1040" s="32">
        <f t="shared" si="231"/>
        <v>0</v>
      </c>
      <c r="T1040" s="10"/>
      <c r="U1040" s="10"/>
      <c r="V1040" s="10"/>
      <c r="W1040" s="12">
        <f t="shared" si="232"/>
        <v>0</v>
      </c>
      <c r="Y1040" s="10">
        <v>38</v>
      </c>
      <c r="Z1040" s="30"/>
      <c r="AA1040" s="31"/>
      <c r="AB1040" s="47"/>
      <c r="AC1040" s="31"/>
      <c r="AD1040" s="31"/>
      <c r="AE1040" s="32">
        <f t="shared" si="233"/>
        <v>0</v>
      </c>
      <c r="AF1040" s="10"/>
      <c r="AG1040" s="10"/>
      <c r="AH1040" s="10"/>
      <c r="AI1040" s="12">
        <f t="shared" si="234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>
        <v>39</v>
      </c>
      <c r="N1041" s="30"/>
      <c r="O1041" s="31"/>
      <c r="P1041" s="47"/>
      <c r="Q1041" s="31"/>
      <c r="R1041" s="31"/>
      <c r="S1041" s="32">
        <f t="shared" si="231"/>
        <v>0</v>
      </c>
      <c r="T1041" s="10"/>
      <c r="U1041" s="10"/>
      <c r="V1041" s="10"/>
      <c r="W1041" s="12">
        <f t="shared" si="232"/>
        <v>0</v>
      </c>
      <c r="Y1041" s="10">
        <v>39</v>
      </c>
      <c r="Z1041" s="30"/>
      <c r="AA1041" s="31"/>
      <c r="AB1041" s="47"/>
      <c r="AC1041" s="31"/>
      <c r="AD1041" s="31"/>
      <c r="AE1041" s="32">
        <f t="shared" si="233"/>
        <v>0</v>
      </c>
      <c r="AF1041" s="10"/>
      <c r="AG1041" s="10"/>
      <c r="AH1041" s="10"/>
      <c r="AI1041" s="12">
        <f t="shared" si="234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/>
      <c r="H1042" s="10"/>
      <c r="I1042" s="10"/>
      <c r="J1042" s="10"/>
      <c r="K1042" s="12"/>
      <c r="M1042" s="10"/>
      <c r="N1042" s="30"/>
      <c r="P1042" s="47"/>
      <c r="Q1042" s="31"/>
      <c r="R1042" s="31"/>
      <c r="S1042" s="32"/>
      <c r="T1042" s="10"/>
      <c r="U1042" s="10"/>
      <c r="V1042" s="10"/>
      <c r="W1042" s="12">
        <f t="shared" si="232"/>
        <v>0</v>
      </c>
      <c r="Y1042" s="10"/>
      <c r="Z1042" s="30"/>
      <c r="AB1042" s="47"/>
      <c r="AC1042" s="31"/>
      <c r="AD1042" s="31"/>
      <c r="AE1042" s="32"/>
      <c r="AF1042" s="10"/>
      <c r="AG1042" s="10"/>
      <c r="AH1042" s="10"/>
      <c r="AI1042" s="12">
        <f t="shared" si="234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1"/>
      <c r="D1043" s="32"/>
      <c r="E1043" s="32"/>
      <c r="F1043" s="32"/>
      <c r="G1043" s="32">
        <f t="shared" ref="G1043" si="238">SUM(D1043:E1043)</f>
        <v>0</v>
      </c>
      <c r="H1043" s="10"/>
      <c r="I1043" s="10"/>
      <c r="J1043" s="10"/>
      <c r="K1043" s="12">
        <f t="shared" ref="K1043" si="239">SUM(G1043:J1043)</f>
        <v>0</v>
      </c>
      <c r="M1043" s="10"/>
      <c r="N1043" s="30"/>
      <c r="O1043" s="31"/>
      <c r="P1043" s="47"/>
      <c r="Q1043" s="31"/>
      <c r="R1043" s="31"/>
      <c r="S1043" s="32">
        <f t="shared" ref="S1043" si="240">SUM(P1043:Q1043)</f>
        <v>0</v>
      </c>
      <c r="T1043" s="10"/>
      <c r="U1043" s="10"/>
      <c r="V1043" s="10"/>
      <c r="W1043" s="12">
        <f t="shared" si="232"/>
        <v>0</v>
      </c>
      <c r="Y1043" s="10"/>
      <c r="Z1043" s="30"/>
      <c r="AA1043" s="31"/>
      <c r="AB1043" s="47"/>
      <c r="AC1043" s="31"/>
      <c r="AD1043" s="31"/>
      <c r="AE1043" s="32">
        <f t="shared" ref="AE1043" si="241">SUM(AB1043:AC1043)</f>
        <v>0</v>
      </c>
      <c r="AF1043" s="10"/>
      <c r="AG1043" s="10"/>
      <c r="AH1043" s="10"/>
      <c r="AI1043" s="12">
        <f t="shared" si="234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10"/>
      <c r="B1044" s="30"/>
      <c r="C1044" s="30"/>
      <c r="D1044" s="32"/>
      <c r="E1044" s="32"/>
      <c r="F1044" s="32"/>
      <c r="G1044" s="32"/>
      <c r="H1044" s="10"/>
      <c r="I1044" s="10"/>
      <c r="J1044" s="10"/>
      <c r="K1044" s="12"/>
      <c r="M1044" s="10"/>
      <c r="N1044" s="31"/>
      <c r="O1044" s="31"/>
      <c r="P1044" s="31"/>
      <c r="Q1044" s="31"/>
      <c r="R1044" s="31"/>
      <c r="S1044" s="31"/>
      <c r="T1044" s="10"/>
      <c r="U1044" s="10"/>
      <c r="V1044" s="10"/>
      <c r="W1044" s="12">
        <f t="shared" si="232"/>
        <v>0</v>
      </c>
      <c r="Y1044" s="10"/>
      <c r="Z1044" s="31"/>
      <c r="AA1044" s="31"/>
      <c r="AB1044" s="31"/>
      <c r="AC1044" s="31"/>
      <c r="AD1044" s="31"/>
      <c r="AE1044" s="31"/>
      <c r="AF1044" s="10"/>
      <c r="AG1044" s="10"/>
      <c r="AH1044" s="10"/>
      <c r="AI1044" s="12">
        <f t="shared" si="234"/>
        <v>0</v>
      </c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6"/>
      <c r="E1045" s="36"/>
      <c r="F1045" s="36"/>
      <c r="G1045" s="36"/>
      <c r="H1045" s="37"/>
      <c r="I1045" s="37"/>
      <c r="J1045" s="37"/>
      <c r="K1045" s="37"/>
      <c r="N1045" s="57"/>
      <c r="O1045" s="57"/>
      <c r="P1045" s="36"/>
      <c r="Q1045" s="36"/>
      <c r="R1045" s="36"/>
      <c r="S1045" s="36"/>
      <c r="T1045" s="37"/>
      <c r="U1045" s="37"/>
      <c r="V1045" s="37"/>
      <c r="W1045" s="37"/>
      <c r="Z1045" s="57"/>
      <c r="AA1045" s="57"/>
      <c r="AB1045" s="36"/>
      <c r="AC1045" s="36"/>
      <c r="AD1045" s="36"/>
      <c r="AE1045" s="36"/>
      <c r="AF1045" s="37"/>
      <c r="AG1045" s="37"/>
      <c r="AH1045" s="37"/>
      <c r="AI1045" s="37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B1046" s="57"/>
      <c r="C1046" s="57"/>
      <c r="D1046" s="38">
        <f>SUM(D1003:D1045)</f>
        <v>261363</v>
      </c>
      <c r="E1046" s="38">
        <f t="shared" ref="E1046:F1046" si="242">SUM(E1003:E1043)</f>
        <v>-2070</v>
      </c>
      <c r="F1046" s="38">
        <f t="shared" si="242"/>
        <v>0</v>
      </c>
      <c r="G1046" s="38">
        <f>SUM(G1003:G1045)</f>
        <v>259293</v>
      </c>
      <c r="H1046" s="4"/>
      <c r="I1046" s="39">
        <f>SUM(I1003:I1045)</f>
        <v>1800</v>
      </c>
      <c r="J1046" s="39">
        <f>SUM(J1003:J1045)</f>
        <v>-47166</v>
      </c>
      <c r="K1046" s="40">
        <f>SUM(K1003:K1045)</f>
        <v>213927</v>
      </c>
      <c r="N1046" s="57"/>
      <c r="O1046" s="57"/>
      <c r="P1046" s="38">
        <f>SUM(P1003:P1045)</f>
        <v>197118</v>
      </c>
      <c r="Q1046" s="38">
        <f>SUM(Q1003:Q1027)</f>
        <v>-1356</v>
      </c>
      <c r="R1046" s="38">
        <f>SUM(R1003:R1027)</f>
        <v>0</v>
      </c>
      <c r="S1046" s="38">
        <f>SUM(S1003:S1045)</f>
        <v>195762</v>
      </c>
      <c r="T1046" s="4"/>
      <c r="U1046" s="41">
        <f>SUM(U1003:U1045)</f>
        <v>7455</v>
      </c>
      <c r="V1046" s="41">
        <f>SUM(V1003:V1027)</f>
        <v>-3952.5</v>
      </c>
      <c r="W1046" s="42">
        <f>SUM(W1003:W1045)</f>
        <v>199264.5</v>
      </c>
      <c r="Z1046" s="57"/>
      <c r="AA1046" s="57"/>
      <c r="AB1046" s="38">
        <f>SUM(AB1003:AB1045)</f>
        <v>461549</v>
      </c>
      <c r="AC1046" s="38">
        <f>SUM(AC1003:AC1027)</f>
        <v>-1602</v>
      </c>
      <c r="AD1046" s="38">
        <f>SUM(AD1003:AD1027)</f>
        <v>0</v>
      </c>
      <c r="AE1046" s="38">
        <f>SUM(AE1003:AE1045)</f>
        <v>459947</v>
      </c>
      <c r="AF1046" s="4"/>
      <c r="AG1046" s="41">
        <f>SUM(AG1003:AG1045)</f>
        <v>1536</v>
      </c>
      <c r="AH1046" s="41">
        <f>SUM(AH1003:AH1027)</f>
        <v>-8055</v>
      </c>
      <c r="AI1046" s="42">
        <f>SUM(AI1003:AI1045)</f>
        <v>453428</v>
      </c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13"/>
      <c r="M1047" s="18"/>
      <c r="N1047" s="18"/>
      <c r="O1047" s="18"/>
      <c r="P1047" s="18"/>
      <c r="Q1047" s="18"/>
      <c r="R1047" s="18"/>
      <c r="S1047" s="18"/>
      <c r="T1047" s="18"/>
      <c r="U1047" s="18"/>
      <c r="V1047" s="18"/>
      <c r="W1047" s="18"/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0</v>
      </c>
      <c r="B1048" s="57"/>
      <c r="C1048" s="57"/>
      <c r="D1048" s="57"/>
      <c r="E1048" s="57"/>
      <c r="G1048" s="57"/>
      <c r="M1048" t="s">
        <v>0</v>
      </c>
      <c r="N1048" s="57"/>
      <c r="O1048" s="57"/>
      <c r="P1048" s="57"/>
      <c r="Q1048" s="57"/>
      <c r="R1048" s="57"/>
      <c r="S1048" s="57"/>
      <c r="Y1048" t="s">
        <v>0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t="s">
        <v>28</v>
      </c>
      <c r="B1049" s="57"/>
      <c r="C1049" s="57"/>
      <c r="D1049" s="57"/>
      <c r="E1049" s="57"/>
      <c r="G1049" s="57"/>
      <c r="M1049" t="s">
        <v>28</v>
      </c>
      <c r="N1049" s="57"/>
      <c r="O1049" s="57"/>
      <c r="P1049" s="57"/>
      <c r="Q1049" s="57"/>
      <c r="R1049" s="57"/>
      <c r="S1049" s="57"/>
      <c r="Y1049" t="s">
        <v>28</v>
      </c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B1050" s="57"/>
      <c r="C1050" s="57"/>
      <c r="D1050" s="57"/>
      <c r="E1050" s="57"/>
      <c r="G1050" s="57"/>
      <c r="N1050" s="57"/>
      <c r="O1050" s="57"/>
      <c r="P1050" s="57"/>
      <c r="Q1050" s="57"/>
      <c r="R1050" s="57"/>
      <c r="S1050" s="57"/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4" t="s">
        <v>14</v>
      </c>
      <c r="B1051" s="57"/>
      <c r="C1051" s="57"/>
      <c r="D1051" s="57"/>
      <c r="E1051" s="57"/>
      <c r="G1051" s="57"/>
      <c r="M1051" s="4" t="s">
        <v>14</v>
      </c>
      <c r="N1051" s="57"/>
      <c r="O1051" s="57"/>
      <c r="P1051" s="57"/>
      <c r="Q1051" s="57"/>
      <c r="R1051" s="57"/>
      <c r="S1051" s="57"/>
      <c r="Y1051" s="4" t="s">
        <v>14</v>
      </c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B1052" s="57"/>
      <c r="C1052" s="57"/>
      <c r="D1052" s="57"/>
      <c r="E1052" s="57"/>
      <c r="G1052" s="57"/>
      <c r="N1052" s="57"/>
      <c r="O1052" s="57"/>
      <c r="P1052" s="57"/>
      <c r="Q1052" s="57"/>
      <c r="R1052" s="57"/>
      <c r="S1052" s="57"/>
      <c r="Z1052" s="57"/>
      <c r="AA1052" s="57"/>
      <c r="AB1052" s="57"/>
      <c r="AC1052" s="57"/>
      <c r="AD1052" s="57"/>
      <c r="AE1052" s="57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ht="15.75" x14ac:dyDescent="0.25">
      <c r="A1053" t="s">
        <v>45</v>
      </c>
      <c r="B1053" s="57"/>
      <c r="C1053" s="57"/>
      <c r="D1053" s="57"/>
      <c r="E1053" s="57"/>
      <c r="G1053" s="57"/>
      <c r="I1053" s="57" t="s">
        <v>15</v>
      </c>
      <c r="J1053" s="19">
        <v>1</v>
      </c>
      <c r="M1053" t="s">
        <v>45</v>
      </c>
      <c r="N1053" s="57"/>
      <c r="O1053" s="57"/>
      <c r="P1053" s="57"/>
      <c r="Q1053" s="57"/>
      <c r="R1053" s="57"/>
      <c r="S1053" s="57"/>
      <c r="U1053" s="57" t="s">
        <v>15</v>
      </c>
      <c r="V1053" s="19">
        <v>2</v>
      </c>
      <c r="Y1053" t="s">
        <v>45</v>
      </c>
      <c r="Z1053" s="57"/>
      <c r="AA1053" s="57"/>
      <c r="AB1053" s="57"/>
      <c r="AC1053" s="57"/>
      <c r="AD1053" s="57"/>
      <c r="AE1053" s="57"/>
      <c r="AG1053" s="57" t="s">
        <v>15</v>
      </c>
      <c r="AH1053" s="20">
        <v>3</v>
      </c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21" t="s">
        <v>122</v>
      </c>
      <c r="B1054" s="20"/>
      <c r="C1054" s="57"/>
      <c r="D1054" s="57"/>
      <c r="E1054" s="57"/>
      <c r="G1054" s="57"/>
      <c r="I1054" s="22" t="s">
        <v>16</v>
      </c>
      <c r="J1054" s="23" t="s">
        <v>31</v>
      </c>
      <c r="K1054" s="24"/>
      <c r="M1054" s="21" t="s">
        <v>122</v>
      </c>
      <c r="N1054" s="20"/>
      <c r="O1054" s="57"/>
      <c r="P1054" s="57"/>
      <c r="Q1054" s="57"/>
      <c r="R1054" s="57"/>
      <c r="S1054" s="57"/>
      <c r="U1054" s="22" t="s">
        <v>16</v>
      </c>
      <c r="V1054" s="23" t="s">
        <v>33</v>
      </c>
      <c r="W1054" s="24"/>
      <c r="Y1054" s="21" t="s">
        <v>122</v>
      </c>
      <c r="Z1054" s="20"/>
      <c r="AA1054" s="57"/>
      <c r="AB1054" s="57"/>
      <c r="AC1054" s="57"/>
      <c r="AD1054" s="57"/>
      <c r="AE1054" s="57"/>
      <c r="AG1054" s="22" t="s">
        <v>16</v>
      </c>
      <c r="AH1054" s="23" t="s">
        <v>34</v>
      </c>
      <c r="AI1054" s="24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57"/>
      <c r="C1055" s="57"/>
      <c r="D1055" s="57"/>
      <c r="E1055" s="57"/>
      <c r="G1055" s="57"/>
      <c r="N1055" s="57"/>
      <c r="O1055" s="57"/>
      <c r="P1055" s="57"/>
      <c r="Q1055" s="57"/>
      <c r="R1055" s="57"/>
      <c r="S1055" s="57"/>
      <c r="Z1055" s="57"/>
      <c r="AA1055" s="57"/>
      <c r="AB1055" s="57"/>
      <c r="AC1055" s="57"/>
      <c r="AD1055" s="57"/>
      <c r="AE1055" s="57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B1056" s="25"/>
      <c r="C1056" s="26"/>
      <c r="D1056" s="126" t="s">
        <v>17</v>
      </c>
      <c r="E1056" s="126"/>
      <c r="F1056" s="111"/>
      <c r="G1056" s="27"/>
      <c r="I1056" s="120" t="s">
        <v>18</v>
      </c>
      <c r="J1056" s="121"/>
      <c r="K1056" s="122" t="s">
        <v>19</v>
      </c>
      <c r="N1056" s="25"/>
      <c r="O1056" s="26"/>
      <c r="P1056" s="126" t="s">
        <v>17</v>
      </c>
      <c r="Q1056" s="126"/>
      <c r="R1056" s="111"/>
      <c r="S1056" s="27"/>
      <c r="U1056" s="120" t="s">
        <v>18</v>
      </c>
      <c r="V1056" s="121"/>
      <c r="W1056" s="122" t="s">
        <v>19</v>
      </c>
      <c r="Z1056" s="25"/>
      <c r="AA1056" s="26"/>
      <c r="AB1056" s="126" t="s">
        <v>17</v>
      </c>
      <c r="AC1056" s="126"/>
      <c r="AD1056" s="111"/>
      <c r="AE1056" s="27"/>
      <c r="AG1056" s="120" t="s">
        <v>18</v>
      </c>
      <c r="AH1056" s="121"/>
      <c r="AI1056" s="122" t="s">
        <v>19</v>
      </c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ht="30" x14ac:dyDescent="0.25">
      <c r="B1057" s="28" t="s">
        <v>20</v>
      </c>
      <c r="C1057" s="28" t="s">
        <v>21</v>
      </c>
      <c r="D1057" s="77" t="s">
        <v>22</v>
      </c>
      <c r="E1057" s="76" t="s">
        <v>23</v>
      </c>
      <c r="F1057" s="78" t="s">
        <v>32</v>
      </c>
      <c r="G1057" s="78" t="s">
        <v>24</v>
      </c>
      <c r="I1057" s="29" t="s">
        <v>25</v>
      </c>
      <c r="J1057" s="29" t="s">
        <v>26</v>
      </c>
      <c r="K1057" s="123"/>
      <c r="N1057" s="28" t="s">
        <v>20</v>
      </c>
      <c r="O1057" s="28" t="s">
        <v>21</v>
      </c>
      <c r="P1057" s="77" t="s">
        <v>22</v>
      </c>
      <c r="Q1057" s="78" t="s">
        <v>23</v>
      </c>
      <c r="R1057" s="78" t="s">
        <v>32</v>
      </c>
      <c r="S1057" s="78" t="s">
        <v>24</v>
      </c>
      <c r="U1057" s="29" t="s">
        <v>25</v>
      </c>
      <c r="V1057" s="29" t="s">
        <v>26</v>
      </c>
      <c r="W1057" s="123"/>
      <c r="Z1057" s="28" t="s">
        <v>20</v>
      </c>
      <c r="AA1057" s="28" t="s">
        <v>21</v>
      </c>
      <c r="AB1057" s="77" t="s">
        <v>22</v>
      </c>
      <c r="AC1057" s="78" t="s">
        <v>23</v>
      </c>
      <c r="AD1057" s="78" t="s">
        <v>32</v>
      </c>
      <c r="AE1057" s="78" t="s">
        <v>24</v>
      </c>
      <c r="AG1057" s="29" t="s">
        <v>25</v>
      </c>
      <c r="AH1057" s="29" t="s">
        <v>26</v>
      </c>
      <c r="AI1057" s="123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1</v>
      </c>
      <c r="B1058" s="30" t="s">
        <v>110</v>
      </c>
      <c r="C1058" s="82">
        <v>10684</v>
      </c>
      <c r="D1058" s="32">
        <f>650*3+9.5*3</f>
        <v>1978.5</v>
      </c>
      <c r="E1058" s="32"/>
      <c r="F1058" s="32"/>
      <c r="G1058" s="32">
        <f t="shared" ref="G1058:G1071" si="243">SUM(D1058:E1058)</f>
        <v>1978.5</v>
      </c>
      <c r="H1058" s="12"/>
      <c r="I1058" s="12"/>
      <c r="J1058" s="12"/>
      <c r="K1058" s="12">
        <f t="shared" ref="K1058:K1091" si="244">SUM(G1058:J1058)</f>
        <v>1978.5</v>
      </c>
      <c r="M1058" s="10">
        <v>1</v>
      </c>
      <c r="N1058" s="30" t="s">
        <v>110</v>
      </c>
      <c r="O1058" s="31">
        <v>10756</v>
      </c>
      <c r="P1058" s="32">
        <f>650*14+622*3+9.5*17</f>
        <v>11127.5</v>
      </c>
      <c r="Q1058" s="32"/>
      <c r="R1058" s="32"/>
      <c r="S1058" s="32">
        <f>SUM(P1058:Q1058)</f>
        <v>11127.5</v>
      </c>
      <c r="T1058" s="12"/>
      <c r="U1058" s="12"/>
      <c r="V1058" s="12">
        <f>-111*5</f>
        <v>-555</v>
      </c>
      <c r="W1058" s="12">
        <f>SUM(S1058:V1058)</f>
        <v>10572.5</v>
      </c>
      <c r="Y1058" s="10">
        <v>1</v>
      </c>
      <c r="Z1058" s="30" t="s">
        <v>110</v>
      </c>
      <c r="AA1058" s="31">
        <v>10646</v>
      </c>
      <c r="AB1058" s="32">
        <f>650*158+622*58+229*10</f>
        <v>141066</v>
      </c>
      <c r="AC1058" s="32"/>
      <c r="AD1058" s="32"/>
      <c r="AE1058" s="32">
        <f>SUM(AB1058:AC1058)</f>
        <v>141066</v>
      </c>
      <c r="AF1058" s="12"/>
      <c r="AG1058" s="12">
        <f>111*216+78*10</f>
        <v>24756</v>
      </c>
      <c r="AH1058" s="12"/>
      <c r="AI1058" s="12">
        <f>SUM(AE1058:AH1058)</f>
        <v>165822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2</v>
      </c>
      <c r="B1059" s="30" t="s">
        <v>110</v>
      </c>
      <c r="C1059" s="82">
        <f>C1058+1</f>
        <v>10685</v>
      </c>
      <c r="D1059" s="32">
        <f>650+650+9.5+9.5</f>
        <v>1319</v>
      </c>
      <c r="E1059" s="32"/>
      <c r="F1059" s="32"/>
      <c r="G1059" s="32">
        <f t="shared" si="243"/>
        <v>1319</v>
      </c>
      <c r="H1059" s="12"/>
      <c r="I1059" s="12"/>
      <c r="J1059" s="12"/>
      <c r="K1059" s="12">
        <f t="shared" si="244"/>
        <v>1319</v>
      </c>
      <c r="M1059" s="10">
        <v>2</v>
      </c>
      <c r="N1059" s="30" t="s">
        <v>110</v>
      </c>
      <c r="O1059" s="31">
        <f>O1058+1</f>
        <v>10757</v>
      </c>
      <c r="P1059" s="32">
        <f>650*108+622*108+229*10+650</f>
        <v>140316</v>
      </c>
      <c r="Q1059" s="32">
        <f>-216*6</f>
        <v>-1296</v>
      </c>
      <c r="R1059" s="32"/>
      <c r="S1059" s="32">
        <f t="shared" ref="S1059:S1096" si="245">SUM(P1059:Q1059)</f>
        <v>139020</v>
      </c>
      <c r="T1059" s="12"/>
      <c r="U1059" s="12">
        <f>78*3</f>
        <v>234</v>
      </c>
      <c r="V1059" s="12"/>
      <c r="W1059" s="12">
        <f t="shared" ref="W1059:W1099" si="246">SUM(S1059:V1059)</f>
        <v>139254</v>
      </c>
      <c r="Y1059" s="10">
        <v>2</v>
      </c>
      <c r="Z1059" s="30" t="s">
        <v>111</v>
      </c>
      <c r="AA1059" s="31">
        <f>AA1058+1</f>
        <v>10647</v>
      </c>
      <c r="AB1059" s="32">
        <f>650*206+670*12+622*22+229*5</f>
        <v>156769</v>
      </c>
      <c r="AC1059" s="32">
        <f>-240*6</f>
        <v>-1440</v>
      </c>
      <c r="AD1059" s="32"/>
      <c r="AE1059" s="32">
        <f t="shared" ref="AE1059:AE1096" si="247">SUM(AB1059:AC1059)</f>
        <v>155329</v>
      </c>
      <c r="AF1059" s="12"/>
      <c r="AG1059" s="12">
        <f>4.5*24</f>
        <v>108</v>
      </c>
      <c r="AH1059" s="12"/>
      <c r="AI1059" s="12">
        <f t="shared" ref="AI1059:AI1099" si="248">SUM(AE1059:AH1059)</f>
        <v>155437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3</v>
      </c>
      <c r="B1060" s="30" t="s">
        <v>111</v>
      </c>
      <c r="C1060" s="82">
        <f t="shared" ref="C1060:C1070" si="249">C1059+1</f>
        <v>10686</v>
      </c>
      <c r="D1060" s="33">
        <f>650*9+670+9.5*9</f>
        <v>6605.5</v>
      </c>
      <c r="E1060" s="33"/>
      <c r="F1060" s="33"/>
      <c r="G1060" s="33">
        <f t="shared" si="243"/>
        <v>6605.5</v>
      </c>
      <c r="H1060" s="34"/>
      <c r="I1060" s="34">
        <f>4.5*12</f>
        <v>54</v>
      </c>
      <c r="J1060" s="34"/>
      <c r="K1060" s="34">
        <f t="shared" si="244"/>
        <v>6659.5</v>
      </c>
      <c r="M1060" s="10">
        <v>3</v>
      </c>
      <c r="N1060" s="30" t="s">
        <v>111</v>
      </c>
      <c r="O1060" s="31">
        <f t="shared" ref="O1060:O1061" si="250">O1059+1</f>
        <v>10758</v>
      </c>
      <c r="P1060" s="32">
        <f>650*108+622*23</f>
        <v>84506</v>
      </c>
      <c r="Q1060" s="32">
        <f>-131*6</f>
        <v>-786</v>
      </c>
      <c r="R1060" s="32"/>
      <c r="S1060" s="32">
        <f t="shared" si="245"/>
        <v>83720</v>
      </c>
      <c r="T1060" s="12"/>
      <c r="U1060" s="12"/>
      <c r="V1060" s="12"/>
      <c r="W1060" s="12">
        <f t="shared" si="246"/>
        <v>83720</v>
      </c>
      <c r="Y1060" s="10">
        <v>3</v>
      </c>
      <c r="Z1060" s="30" t="s">
        <v>112</v>
      </c>
      <c r="AA1060" s="31">
        <f t="shared" ref="AA1060:AA1062" si="251">AA1059+1</f>
        <v>10648</v>
      </c>
      <c r="AB1060" s="32">
        <f>650*31+622*10</f>
        <v>26370</v>
      </c>
      <c r="AC1060" s="32"/>
      <c r="AD1060" s="32"/>
      <c r="AE1060" s="32">
        <f t="shared" si="247"/>
        <v>26370</v>
      </c>
      <c r="AF1060" s="12"/>
      <c r="AG1060" s="12">
        <f>4.5*5</f>
        <v>22.5</v>
      </c>
      <c r="AH1060" s="12"/>
      <c r="AI1060" s="12">
        <f t="shared" si="248"/>
        <v>26392.5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4</v>
      </c>
      <c r="B1061" s="30" t="s">
        <v>112</v>
      </c>
      <c r="C1061" s="82">
        <f t="shared" si="249"/>
        <v>10687</v>
      </c>
      <c r="D1061" s="32">
        <f>650*4+9.5*4</f>
        <v>2638</v>
      </c>
      <c r="E1061" s="32"/>
      <c r="F1061" s="32"/>
      <c r="G1061" s="32">
        <f t="shared" si="243"/>
        <v>2638</v>
      </c>
      <c r="H1061" s="12"/>
      <c r="I1061" s="12">
        <f>4.5*5+1.5*4</f>
        <v>28.5</v>
      </c>
      <c r="J1061" s="12"/>
      <c r="K1061" s="12">
        <f t="shared" si="244"/>
        <v>2666.5</v>
      </c>
      <c r="M1061" s="10">
        <v>4</v>
      </c>
      <c r="N1061" s="30" t="s">
        <v>112</v>
      </c>
      <c r="O1061" s="31">
        <f t="shared" si="250"/>
        <v>10759</v>
      </c>
      <c r="P1061" s="32">
        <v>650</v>
      </c>
      <c r="Q1061" s="32"/>
      <c r="R1061" s="32"/>
      <c r="S1061" s="32">
        <f t="shared" si="245"/>
        <v>650</v>
      </c>
      <c r="T1061" s="12"/>
      <c r="U1061" s="12"/>
      <c r="V1061" s="12"/>
      <c r="W1061" s="12">
        <f t="shared" si="246"/>
        <v>650</v>
      </c>
      <c r="Y1061" s="10">
        <v>4</v>
      </c>
      <c r="Z1061" s="30" t="s">
        <v>113</v>
      </c>
      <c r="AA1061" s="31">
        <f t="shared" si="251"/>
        <v>10649</v>
      </c>
      <c r="AB1061" s="32">
        <f>650*40+670*2+622*10</f>
        <v>33560</v>
      </c>
      <c r="AC1061" s="32">
        <f>-50*6</f>
        <v>-300</v>
      </c>
      <c r="AD1061" s="32"/>
      <c r="AE1061" s="32">
        <f t="shared" si="247"/>
        <v>33260</v>
      </c>
      <c r="AF1061" s="12"/>
      <c r="AG1061" s="12"/>
      <c r="AH1061" s="12">
        <f>-111*22</f>
        <v>-2442</v>
      </c>
      <c r="AI1061" s="12">
        <f t="shared" si="248"/>
        <v>30818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5</v>
      </c>
      <c r="B1062" s="30" t="s">
        <v>113</v>
      </c>
      <c r="C1062" s="82">
        <f t="shared" si="249"/>
        <v>10688</v>
      </c>
      <c r="D1062" s="32">
        <f>650*8+670*3+622*10</f>
        <v>13430</v>
      </c>
      <c r="E1062" s="32"/>
      <c r="F1062" s="32"/>
      <c r="G1062" s="32">
        <f t="shared" si="243"/>
        <v>13430</v>
      </c>
      <c r="H1062" s="12"/>
      <c r="I1062" s="12">
        <f>4.5*126</f>
        <v>567</v>
      </c>
      <c r="J1062" s="12"/>
      <c r="K1062" s="12">
        <f t="shared" si="244"/>
        <v>13997</v>
      </c>
      <c r="M1062" s="10">
        <v>5</v>
      </c>
      <c r="N1062" s="30"/>
      <c r="O1062" s="11" t="s">
        <v>27</v>
      </c>
      <c r="P1062" s="32"/>
      <c r="Q1062" s="32"/>
      <c r="R1062" s="32"/>
      <c r="S1062" s="32">
        <f t="shared" si="245"/>
        <v>0</v>
      </c>
      <c r="T1062" s="12"/>
      <c r="U1062" s="12"/>
      <c r="V1062" s="12"/>
      <c r="W1062" s="12">
        <f t="shared" si="246"/>
        <v>0</v>
      </c>
      <c r="Y1062" s="10">
        <v>5</v>
      </c>
      <c r="Z1062" s="30" t="s">
        <v>114</v>
      </c>
      <c r="AA1062" s="31">
        <f t="shared" si="251"/>
        <v>10650</v>
      </c>
      <c r="AB1062" s="32">
        <f>650*13</f>
        <v>8450</v>
      </c>
      <c r="AC1062" s="32"/>
      <c r="AD1062" s="32"/>
      <c r="AE1062" s="32">
        <f t="shared" si="247"/>
        <v>8450</v>
      </c>
      <c r="AF1062" s="12"/>
      <c r="AG1062" s="12"/>
      <c r="AH1062" s="12"/>
      <c r="AI1062" s="12">
        <f t="shared" si="248"/>
        <v>8450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6</v>
      </c>
      <c r="B1063" s="30" t="s">
        <v>114</v>
      </c>
      <c r="C1063" s="82">
        <f t="shared" si="249"/>
        <v>10689</v>
      </c>
      <c r="D1063" s="32">
        <f>650*6+670+622*2+9.5*8</f>
        <v>5890</v>
      </c>
      <c r="E1063" s="32"/>
      <c r="F1063" s="32"/>
      <c r="G1063" s="32">
        <f t="shared" si="243"/>
        <v>5890</v>
      </c>
      <c r="H1063" s="12"/>
      <c r="I1063" s="12"/>
      <c r="J1063" s="12"/>
      <c r="K1063" s="12">
        <f t="shared" si="244"/>
        <v>5890</v>
      </c>
      <c r="M1063" s="10">
        <v>6</v>
      </c>
      <c r="N1063" s="30"/>
      <c r="O1063" s="31"/>
      <c r="P1063" s="32"/>
      <c r="Q1063" s="32"/>
      <c r="R1063" s="32"/>
      <c r="S1063" s="32">
        <f t="shared" si="245"/>
        <v>0</v>
      </c>
      <c r="T1063" s="12"/>
      <c r="U1063" s="12"/>
      <c r="V1063" s="10"/>
      <c r="W1063" s="12">
        <f t="shared" si="246"/>
        <v>0</v>
      </c>
      <c r="Y1063" s="10">
        <v>6</v>
      </c>
      <c r="Z1063" s="30"/>
      <c r="AA1063" s="11" t="s">
        <v>27</v>
      </c>
      <c r="AB1063" s="32"/>
      <c r="AC1063" s="32"/>
      <c r="AD1063" s="32"/>
      <c r="AE1063" s="32">
        <f t="shared" si="247"/>
        <v>0</v>
      </c>
      <c r="AF1063" s="12"/>
      <c r="AG1063" s="12"/>
      <c r="AH1063" s="10"/>
      <c r="AI1063" s="12">
        <f t="shared" si="248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7</v>
      </c>
      <c r="B1064" s="30" t="s">
        <v>115</v>
      </c>
      <c r="C1064" s="82">
        <f t="shared" si="249"/>
        <v>10690</v>
      </c>
      <c r="D1064" s="32">
        <f>650*5+670*3+622*2</f>
        <v>6504</v>
      </c>
      <c r="E1064" s="32"/>
      <c r="F1064" s="32"/>
      <c r="G1064" s="32">
        <f t="shared" si="243"/>
        <v>6504</v>
      </c>
      <c r="H1064" s="12"/>
      <c r="I1064" s="12">
        <f>4.5*2</f>
        <v>9</v>
      </c>
      <c r="J1064" s="12"/>
      <c r="K1064" s="12">
        <f t="shared" si="244"/>
        <v>6513</v>
      </c>
      <c r="M1064" s="10">
        <v>7</v>
      </c>
      <c r="N1064" s="30"/>
      <c r="O1064" s="31"/>
      <c r="P1064" s="32"/>
      <c r="Q1064" s="32"/>
      <c r="R1064" s="32"/>
      <c r="S1064" s="32">
        <f t="shared" si="245"/>
        <v>0</v>
      </c>
      <c r="T1064" s="12"/>
      <c r="U1064" s="12"/>
      <c r="V1064" s="12"/>
      <c r="W1064" s="12">
        <f t="shared" si="246"/>
        <v>0</v>
      </c>
      <c r="Y1064" s="10">
        <v>7</v>
      </c>
      <c r="Z1064" s="30"/>
      <c r="AB1064" s="32"/>
      <c r="AC1064" s="32"/>
      <c r="AD1064" s="32"/>
      <c r="AE1064" s="32">
        <f t="shared" si="247"/>
        <v>0</v>
      </c>
      <c r="AF1064" s="12"/>
      <c r="AG1064" s="12"/>
      <c r="AH1064" s="12"/>
      <c r="AI1064" s="12">
        <f t="shared" si="248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8</v>
      </c>
      <c r="B1065" s="30" t="s">
        <v>116</v>
      </c>
      <c r="C1065" s="82">
        <f t="shared" si="249"/>
        <v>10691</v>
      </c>
      <c r="D1065" s="32">
        <f>650*8+670+622*6+9.5*14</f>
        <v>9735</v>
      </c>
      <c r="E1065" s="32"/>
      <c r="F1065" s="32"/>
      <c r="G1065" s="32">
        <f t="shared" si="243"/>
        <v>9735</v>
      </c>
      <c r="H1065" s="12"/>
      <c r="I1065" s="12"/>
      <c r="J1065" s="12"/>
      <c r="K1065" s="12">
        <f t="shared" si="244"/>
        <v>9735</v>
      </c>
      <c r="M1065" s="10">
        <v>8</v>
      </c>
      <c r="N1065" s="30"/>
      <c r="O1065" s="31"/>
      <c r="P1065" s="32"/>
      <c r="Q1065" s="32"/>
      <c r="R1065" s="32"/>
      <c r="S1065" s="32">
        <f t="shared" si="245"/>
        <v>0</v>
      </c>
      <c r="T1065" s="12"/>
      <c r="U1065" s="12"/>
      <c r="V1065" s="12"/>
      <c r="W1065" s="12">
        <f t="shared" si="246"/>
        <v>0</v>
      </c>
      <c r="Y1065" s="10">
        <v>8</v>
      </c>
      <c r="Z1065" s="30"/>
      <c r="AA1065" s="31"/>
      <c r="AB1065" s="32"/>
      <c r="AC1065" s="32"/>
      <c r="AD1065" s="32"/>
      <c r="AE1065" s="32">
        <f t="shared" si="247"/>
        <v>0</v>
      </c>
      <c r="AF1065" s="12"/>
      <c r="AG1065" s="12"/>
      <c r="AH1065" s="12"/>
      <c r="AI1065" s="12">
        <f t="shared" si="248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9</v>
      </c>
      <c r="B1066" s="30" t="s">
        <v>117</v>
      </c>
      <c r="C1066" s="82">
        <f t="shared" si="249"/>
        <v>10692</v>
      </c>
      <c r="D1066" s="32">
        <f>650+670+9.5</f>
        <v>1329.5</v>
      </c>
      <c r="E1066" s="32"/>
      <c r="F1066" s="32"/>
      <c r="G1066" s="32">
        <f t="shared" si="243"/>
        <v>1329.5</v>
      </c>
      <c r="H1066" s="12"/>
      <c r="I1066" s="12"/>
      <c r="J1066" s="12"/>
      <c r="K1066" s="12">
        <f t="shared" si="244"/>
        <v>1329.5</v>
      </c>
      <c r="M1066" s="10">
        <v>9</v>
      </c>
      <c r="N1066" s="30"/>
      <c r="O1066" s="32"/>
      <c r="Q1066" s="32"/>
      <c r="R1066" s="32"/>
      <c r="S1066" s="32">
        <f t="shared" si="245"/>
        <v>0</v>
      </c>
      <c r="T1066" s="12"/>
      <c r="U1066" s="12"/>
      <c r="V1066" s="12"/>
      <c r="W1066" s="12">
        <f t="shared" si="246"/>
        <v>0</v>
      </c>
      <c r="Y1066" s="10">
        <v>9</v>
      </c>
      <c r="Z1066" s="30"/>
      <c r="AA1066" s="31"/>
      <c r="AB1066" s="32"/>
      <c r="AC1066" s="32"/>
      <c r="AD1066" s="32"/>
      <c r="AE1066" s="32">
        <f t="shared" si="247"/>
        <v>0</v>
      </c>
      <c r="AF1066" s="12"/>
      <c r="AG1066" s="12"/>
      <c r="AH1066" s="12"/>
      <c r="AI1066" s="12">
        <f t="shared" si="248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10</v>
      </c>
      <c r="B1067" s="30" t="s">
        <v>118</v>
      </c>
      <c r="C1067" s="82">
        <f t="shared" si="249"/>
        <v>10693</v>
      </c>
      <c r="D1067" s="32">
        <f>650*7+9.5*7</f>
        <v>4616.5</v>
      </c>
      <c r="E1067" s="32"/>
      <c r="F1067" s="32"/>
      <c r="G1067" s="32">
        <f t="shared" si="243"/>
        <v>4616.5</v>
      </c>
      <c r="H1067" s="12"/>
      <c r="I1067" s="12"/>
      <c r="J1067" s="12"/>
      <c r="K1067" s="12">
        <f t="shared" si="244"/>
        <v>4616.5</v>
      </c>
      <c r="M1067" s="10">
        <v>10</v>
      </c>
      <c r="N1067" s="30"/>
      <c r="O1067" s="31"/>
      <c r="P1067" s="32"/>
      <c r="Q1067" s="32"/>
      <c r="R1067" s="32"/>
      <c r="S1067" s="32">
        <f t="shared" si="245"/>
        <v>0</v>
      </c>
      <c r="T1067" s="12"/>
      <c r="U1067" s="12"/>
      <c r="V1067" s="12"/>
      <c r="W1067" s="12">
        <f t="shared" si="246"/>
        <v>0</v>
      </c>
      <c r="Y1067" s="10">
        <v>10</v>
      </c>
      <c r="Z1067" s="30"/>
      <c r="AA1067" s="31"/>
      <c r="AB1067" s="32"/>
      <c r="AC1067" s="32"/>
      <c r="AD1067" s="32"/>
      <c r="AE1067" s="32">
        <f t="shared" si="247"/>
        <v>0</v>
      </c>
      <c r="AF1067" s="12"/>
      <c r="AG1067" s="12"/>
      <c r="AH1067" s="12"/>
      <c r="AI1067" s="12">
        <f t="shared" si="248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11</v>
      </c>
      <c r="B1068" s="30" t="s">
        <v>119</v>
      </c>
      <c r="C1068" s="82">
        <f t="shared" si="249"/>
        <v>10694</v>
      </c>
      <c r="D1068" s="32">
        <f>650*4+670+9.5*4</f>
        <v>3308</v>
      </c>
      <c r="E1068" s="32"/>
      <c r="F1068" s="32"/>
      <c r="G1068" s="32">
        <f t="shared" si="243"/>
        <v>3308</v>
      </c>
      <c r="H1068" s="12"/>
      <c r="I1068" s="12"/>
      <c r="J1068" s="12"/>
      <c r="K1068" s="12">
        <f t="shared" si="244"/>
        <v>3308</v>
      </c>
      <c r="M1068" s="10">
        <v>11</v>
      </c>
      <c r="N1068" s="30"/>
      <c r="P1068" s="32"/>
      <c r="Q1068" s="32"/>
      <c r="R1068" s="32"/>
      <c r="S1068" s="32">
        <f t="shared" si="245"/>
        <v>0</v>
      </c>
      <c r="T1068" s="12"/>
      <c r="U1068" s="12"/>
      <c r="V1068" s="12"/>
      <c r="W1068" s="12">
        <f t="shared" si="246"/>
        <v>0</v>
      </c>
      <c r="Y1068" s="10">
        <v>11</v>
      </c>
      <c r="Z1068" s="30"/>
      <c r="AB1068" s="32"/>
      <c r="AC1068" s="32"/>
      <c r="AD1068" s="32"/>
      <c r="AE1068" s="32">
        <f t="shared" si="247"/>
        <v>0</v>
      </c>
      <c r="AF1068" s="12"/>
      <c r="AG1068" s="12"/>
      <c r="AH1068" s="12"/>
      <c r="AI1068" s="12">
        <f t="shared" si="248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12</v>
      </c>
      <c r="B1069" s="30" t="s">
        <v>120</v>
      </c>
      <c r="C1069" s="82">
        <f t="shared" si="249"/>
        <v>10695</v>
      </c>
      <c r="D1069" s="32">
        <f>650*8</f>
        <v>5200</v>
      </c>
      <c r="E1069" s="32"/>
      <c r="F1069" s="32"/>
      <c r="G1069" s="32">
        <f t="shared" si="243"/>
        <v>5200</v>
      </c>
      <c r="H1069" s="12"/>
      <c r="I1069" s="12"/>
      <c r="J1069" s="10"/>
      <c r="K1069" s="12">
        <f t="shared" si="244"/>
        <v>5200</v>
      </c>
      <c r="M1069" s="10">
        <v>12</v>
      </c>
      <c r="N1069" s="30"/>
      <c r="O1069" s="31"/>
      <c r="P1069" s="32"/>
      <c r="Q1069" s="32"/>
      <c r="R1069" s="32"/>
      <c r="S1069" s="32">
        <f t="shared" si="245"/>
        <v>0</v>
      </c>
      <c r="T1069" s="12"/>
      <c r="U1069" s="12"/>
      <c r="V1069" s="12"/>
      <c r="W1069" s="12">
        <f t="shared" si="246"/>
        <v>0</v>
      </c>
      <c r="Y1069" s="10">
        <v>12</v>
      </c>
      <c r="Z1069" s="30"/>
      <c r="AA1069" s="31"/>
      <c r="AB1069" s="32"/>
      <c r="AC1069" s="32"/>
      <c r="AD1069" s="32"/>
      <c r="AE1069" s="32">
        <f t="shared" si="247"/>
        <v>0</v>
      </c>
      <c r="AF1069" s="12"/>
      <c r="AG1069" s="12"/>
      <c r="AH1069" s="12"/>
      <c r="AI1069" s="12">
        <f t="shared" si="248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13</v>
      </c>
      <c r="B1070" s="30" t="s">
        <v>121</v>
      </c>
      <c r="C1070" s="82">
        <f t="shared" si="249"/>
        <v>10696</v>
      </c>
      <c r="D1070" s="32">
        <f>650*19+622*2</f>
        <v>13594</v>
      </c>
      <c r="E1070" s="32"/>
      <c r="F1070" s="32"/>
      <c r="G1070" s="32">
        <f t="shared" si="243"/>
        <v>13594</v>
      </c>
      <c r="H1070" s="12"/>
      <c r="I1070" s="12"/>
      <c r="J1070" s="12"/>
      <c r="K1070" s="12">
        <f t="shared" si="244"/>
        <v>13594</v>
      </c>
      <c r="M1070" s="10">
        <v>13</v>
      </c>
      <c r="N1070" s="30"/>
      <c r="O1070" s="11"/>
      <c r="P1070" s="32"/>
      <c r="Q1070" s="32"/>
      <c r="R1070" s="32"/>
      <c r="S1070" s="32">
        <f t="shared" si="245"/>
        <v>0</v>
      </c>
      <c r="T1070" s="12"/>
      <c r="U1070" s="12"/>
      <c r="V1070" s="12"/>
      <c r="W1070" s="12">
        <f t="shared" si="246"/>
        <v>0</v>
      </c>
      <c r="Y1070" s="10">
        <v>13</v>
      </c>
      <c r="Z1070" s="30"/>
      <c r="AA1070" s="11"/>
      <c r="AB1070" s="32"/>
      <c r="AC1070" s="32"/>
      <c r="AD1070" s="32"/>
      <c r="AE1070" s="32">
        <f t="shared" si="247"/>
        <v>0</v>
      </c>
      <c r="AF1070" s="12"/>
      <c r="AG1070" s="12"/>
      <c r="AH1070" s="12"/>
      <c r="AI1070" s="12">
        <f t="shared" si="248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14</v>
      </c>
      <c r="B1071" s="30"/>
      <c r="C1071" s="11" t="s">
        <v>27</v>
      </c>
      <c r="D1071" s="32"/>
      <c r="E1071" s="32"/>
      <c r="F1071" s="32"/>
      <c r="G1071" s="32">
        <f t="shared" si="243"/>
        <v>0</v>
      </c>
      <c r="H1071" s="12"/>
      <c r="I1071" s="12"/>
      <c r="J1071" s="12"/>
      <c r="K1071" s="12">
        <f t="shared" si="244"/>
        <v>0</v>
      </c>
      <c r="M1071" s="10">
        <v>14</v>
      </c>
      <c r="N1071" s="30"/>
      <c r="P1071" s="32"/>
      <c r="Q1071" s="32"/>
      <c r="R1071" s="32"/>
      <c r="S1071" s="32">
        <f t="shared" si="245"/>
        <v>0</v>
      </c>
      <c r="T1071" s="12"/>
      <c r="U1071" s="12"/>
      <c r="V1071" s="12"/>
      <c r="W1071" s="12">
        <f t="shared" si="246"/>
        <v>0</v>
      </c>
      <c r="Y1071" s="10">
        <v>14</v>
      </c>
      <c r="Z1071" s="30"/>
      <c r="AB1071" s="32"/>
      <c r="AC1071" s="32"/>
      <c r="AD1071" s="32"/>
      <c r="AE1071" s="32">
        <f t="shared" si="247"/>
        <v>0</v>
      </c>
      <c r="AF1071" s="12"/>
      <c r="AG1071" s="12"/>
      <c r="AH1071" s="12"/>
      <c r="AI1071" s="12">
        <f t="shared" si="248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15</v>
      </c>
      <c r="B1072" s="30"/>
      <c r="C1072" s="82"/>
      <c r="D1072" s="32"/>
      <c r="E1072" s="32"/>
      <c r="F1072" s="32"/>
      <c r="G1072" s="32"/>
      <c r="H1072" s="12"/>
      <c r="I1072" s="12"/>
      <c r="J1072" s="12"/>
      <c r="K1072" s="12">
        <f t="shared" si="244"/>
        <v>0</v>
      </c>
      <c r="M1072" s="10">
        <v>15</v>
      </c>
      <c r="N1072" s="30"/>
      <c r="O1072" s="31"/>
      <c r="P1072" s="32"/>
      <c r="Q1072" s="32"/>
      <c r="R1072" s="32"/>
      <c r="S1072" s="32">
        <f t="shared" si="245"/>
        <v>0</v>
      </c>
      <c r="T1072" s="12"/>
      <c r="U1072" s="12"/>
      <c r="V1072" s="12"/>
      <c r="W1072" s="12">
        <f t="shared" si="246"/>
        <v>0</v>
      </c>
      <c r="Y1072" s="10">
        <v>15</v>
      </c>
      <c r="Z1072" s="30"/>
      <c r="AA1072" s="31"/>
      <c r="AB1072" s="32"/>
      <c r="AC1072" s="32"/>
      <c r="AD1072" s="32"/>
      <c r="AE1072" s="32">
        <f t="shared" si="247"/>
        <v>0</v>
      </c>
      <c r="AF1072" s="12"/>
      <c r="AG1072" s="12"/>
      <c r="AH1072" s="12"/>
      <c r="AI1072" s="12">
        <f t="shared" si="248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16</v>
      </c>
      <c r="B1073" s="30"/>
      <c r="C1073" s="82"/>
      <c r="D1073" s="32"/>
      <c r="E1073" s="32"/>
      <c r="F1073" s="32"/>
      <c r="G1073" s="32"/>
      <c r="H1073" s="12"/>
      <c r="I1073" s="12"/>
      <c r="J1073" s="12"/>
      <c r="K1073" s="12">
        <f t="shared" si="244"/>
        <v>0</v>
      </c>
      <c r="M1073" s="10">
        <v>16</v>
      </c>
      <c r="N1073" s="30"/>
      <c r="O1073" s="11"/>
      <c r="P1073" s="32"/>
      <c r="Q1073" s="32"/>
      <c r="R1073" s="32"/>
      <c r="S1073" s="32">
        <f t="shared" si="245"/>
        <v>0</v>
      </c>
      <c r="T1073" s="12"/>
      <c r="U1073" s="12"/>
      <c r="V1073" s="12"/>
      <c r="W1073" s="12">
        <f t="shared" si="246"/>
        <v>0</v>
      </c>
      <c r="Y1073" s="10">
        <v>16</v>
      </c>
      <c r="Z1073" s="30"/>
      <c r="AA1073" s="31"/>
      <c r="AB1073" s="32"/>
      <c r="AC1073" s="32"/>
      <c r="AD1073" s="32"/>
      <c r="AE1073" s="32">
        <f t="shared" si="247"/>
        <v>0</v>
      </c>
      <c r="AF1073" s="12"/>
      <c r="AG1073" s="12"/>
      <c r="AH1073" s="12"/>
      <c r="AI1073" s="12">
        <f t="shared" si="248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17</v>
      </c>
      <c r="B1074" s="30"/>
      <c r="C1074" s="82"/>
      <c r="D1074" s="32"/>
      <c r="E1074" s="32"/>
      <c r="F1074" s="32"/>
      <c r="G1074" s="32"/>
      <c r="H1074" s="12"/>
      <c r="I1074" s="12"/>
      <c r="J1074" s="12"/>
      <c r="K1074" s="12">
        <f t="shared" si="244"/>
        <v>0</v>
      </c>
      <c r="M1074" s="10">
        <v>17</v>
      </c>
      <c r="N1074" s="30"/>
      <c r="P1074" s="35"/>
      <c r="Q1074" s="32"/>
      <c r="R1074" s="32"/>
      <c r="S1074" s="32">
        <f t="shared" si="245"/>
        <v>0</v>
      </c>
      <c r="T1074" s="12"/>
      <c r="U1074" s="12"/>
      <c r="V1074" s="12"/>
      <c r="W1074" s="12">
        <f t="shared" si="246"/>
        <v>0</v>
      </c>
      <c r="Y1074" s="10">
        <v>17</v>
      </c>
      <c r="Z1074" s="30"/>
      <c r="AB1074" s="35"/>
      <c r="AC1074" s="32"/>
      <c r="AD1074" s="32"/>
      <c r="AE1074" s="32">
        <f t="shared" si="247"/>
        <v>0</v>
      </c>
      <c r="AF1074" s="12"/>
      <c r="AG1074" s="12"/>
      <c r="AH1074" s="12"/>
      <c r="AI1074" s="12">
        <f t="shared" si="248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18</v>
      </c>
      <c r="B1075" s="30"/>
      <c r="C1075" s="82"/>
      <c r="D1075" s="32"/>
      <c r="E1075" s="32"/>
      <c r="F1075" s="32"/>
      <c r="G1075" s="32"/>
      <c r="H1075" s="12"/>
      <c r="I1075" s="12"/>
      <c r="J1075" s="12"/>
      <c r="K1075" s="12">
        <f t="shared" si="244"/>
        <v>0</v>
      </c>
      <c r="M1075" s="10">
        <v>18</v>
      </c>
      <c r="N1075" s="30"/>
      <c r="O1075" s="11"/>
      <c r="P1075" s="32"/>
      <c r="Q1075" s="32"/>
      <c r="R1075" s="32"/>
      <c r="S1075" s="32">
        <f t="shared" si="245"/>
        <v>0</v>
      </c>
      <c r="T1075" s="12"/>
      <c r="U1075" s="12"/>
      <c r="V1075" s="12"/>
      <c r="W1075" s="12">
        <f t="shared" si="246"/>
        <v>0</v>
      </c>
      <c r="Y1075" s="10">
        <v>18</v>
      </c>
      <c r="Z1075" s="30"/>
      <c r="AA1075" s="11"/>
      <c r="AB1075" s="32"/>
      <c r="AC1075" s="32"/>
      <c r="AD1075" s="32"/>
      <c r="AE1075" s="32">
        <f t="shared" si="247"/>
        <v>0</v>
      </c>
      <c r="AF1075" s="12"/>
      <c r="AG1075" s="12"/>
      <c r="AH1075" s="12"/>
      <c r="AI1075" s="12">
        <f t="shared" si="248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19</v>
      </c>
      <c r="B1076" s="30"/>
      <c r="C1076" s="82"/>
      <c r="D1076" s="32"/>
      <c r="E1076" s="32"/>
      <c r="F1076" s="32"/>
      <c r="G1076" s="32"/>
      <c r="H1076" s="12"/>
      <c r="I1076" s="12"/>
      <c r="J1076" s="12"/>
      <c r="K1076" s="12">
        <f t="shared" si="244"/>
        <v>0</v>
      </c>
      <c r="M1076" s="10">
        <v>19</v>
      </c>
      <c r="N1076" s="30"/>
      <c r="O1076" s="31"/>
      <c r="P1076" s="32"/>
      <c r="Q1076" s="32"/>
      <c r="R1076" s="32"/>
      <c r="S1076" s="32">
        <f t="shared" si="245"/>
        <v>0</v>
      </c>
      <c r="T1076" s="12"/>
      <c r="U1076" s="12"/>
      <c r="V1076" s="12"/>
      <c r="W1076" s="12">
        <f t="shared" si="246"/>
        <v>0</v>
      </c>
      <c r="Y1076" s="10">
        <v>19</v>
      </c>
      <c r="Z1076" s="30"/>
      <c r="AA1076" s="31"/>
      <c r="AB1076" s="32"/>
      <c r="AC1076" s="32"/>
      <c r="AD1076" s="32"/>
      <c r="AE1076" s="32">
        <f t="shared" si="247"/>
        <v>0</v>
      </c>
      <c r="AF1076" s="12"/>
      <c r="AG1076" s="12"/>
      <c r="AH1076" s="12"/>
      <c r="AI1076" s="12">
        <f t="shared" si="248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20</v>
      </c>
      <c r="B1077" s="30"/>
      <c r="C1077" s="82"/>
      <c r="D1077" s="32"/>
      <c r="E1077" s="32"/>
      <c r="F1077" s="32"/>
      <c r="G1077" s="32"/>
      <c r="H1077" s="12"/>
      <c r="I1077" s="12"/>
      <c r="J1077" s="12"/>
      <c r="K1077" s="12">
        <f t="shared" si="244"/>
        <v>0</v>
      </c>
      <c r="M1077" s="10">
        <v>20</v>
      </c>
      <c r="N1077" s="30"/>
      <c r="P1077" s="32"/>
      <c r="Q1077" s="32"/>
      <c r="R1077" s="32"/>
      <c r="S1077" s="32">
        <f t="shared" si="245"/>
        <v>0</v>
      </c>
      <c r="T1077" s="12"/>
      <c r="U1077" s="12"/>
      <c r="V1077" s="12"/>
      <c r="W1077" s="12">
        <f t="shared" si="246"/>
        <v>0</v>
      </c>
      <c r="Y1077" s="10">
        <v>20</v>
      </c>
      <c r="Z1077" s="30"/>
      <c r="AB1077" s="32"/>
      <c r="AC1077" s="32"/>
      <c r="AD1077" s="32"/>
      <c r="AE1077" s="32">
        <f t="shared" si="247"/>
        <v>0</v>
      </c>
      <c r="AF1077" s="12"/>
      <c r="AG1077" s="12"/>
      <c r="AH1077" s="12"/>
      <c r="AI1077" s="12">
        <f t="shared" si="248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21</v>
      </c>
      <c r="B1078" s="30"/>
      <c r="C1078" s="11"/>
      <c r="D1078" s="32"/>
      <c r="E1078" s="32"/>
      <c r="F1078" s="32"/>
      <c r="G1078" s="32"/>
      <c r="H1078" s="10"/>
      <c r="I1078" s="10"/>
      <c r="J1078" s="10"/>
      <c r="K1078" s="12">
        <f t="shared" si="244"/>
        <v>0</v>
      </c>
      <c r="M1078" s="10">
        <v>21</v>
      </c>
      <c r="N1078" s="30"/>
      <c r="O1078" s="31"/>
      <c r="P1078" s="46"/>
      <c r="Q1078" s="31"/>
      <c r="R1078" s="31"/>
      <c r="S1078" s="32">
        <f t="shared" si="245"/>
        <v>0</v>
      </c>
      <c r="T1078" s="10"/>
      <c r="U1078" s="10"/>
      <c r="V1078" s="10"/>
      <c r="W1078" s="12">
        <f t="shared" si="246"/>
        <v>0</v>
      </c>
      <c r="Y1078" s="10">
        <v>21</v>
      </c>
      <c r="Z1078" s="30"/>
      <c r="AA1078" s="31"/>
      <c r="AB1078" s="46"/>
      <c r="AC1078" s="31"/>
      <c r="AD1078" s="31"/>
      <c r="AE1078" s="32">
        <f t="shared" si="247"/>
        <v>0</v>
      </c>
      <c r="AF1078" s="10"/>
      <c r="AG1078" s="10"/>
      <c r="AH1078" s="10"/>
      <c r="AI1078" s="12">
        <f t="shared" si="248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22</v>
      </c>
      <c r="B1079" s="30"/>
      <c r="C1079" s="11"/>
      <c r="D1079" s="32"/>
      <c r="E1079" s="32"/>
      <c r="F1079" s="32"/>
      <c r="G1079" s="32">
        <f t="shared" ref="G1079:G1091" si="252">SUM(D1079:E1079)</f>
        <v>0</v>
      </c>
      <c r="H1079" s="10"/>
      <c r="I1079" s="10"/>
      <c r="J1079" s="10"/>
      <c r="K1079" s="12">
        <f t="shared" si="244"/>
        <v>0</v>
      </c>
      <c r="M1079" s="10">
        <v>22</v>
      </c>
      <c r="N1079" s="30"/>
      <c r="O1079" s="31"/>
      <c r="P1079" s="45"/>
      <c r="Q1079" s="31"/>
      <c r="R1079" s="31"/>
      <c r="S1079" s="32">
        <f t="shared" si="245"/>
        <v>0</v>
      </c>
      <c r="T1079" s="10"/>
      <c r="U1079" s="10"/>
      <c r="V1079" s="10"/>
      <c r="W1079" s="12">
        <f t="shared" si="246"/>
        <v>0</v>
      </c>
      <c r="Y1079" s="10">
        <v>22</v>
      </c>
      <c r="Z1079" s="30"/>
      <c r="AA1079" s="31"/>
      <c r="AB1079" s="45"/>
      <c r="AC1079" s="31"/>
      <c r="AD1079" s="31"/>
      <c r="AE1079" s="32">
        <f t="shared" si="247"/>
        <v>0</v>
      </c>
      <c r="AF1079" s="10"/>
      <c r="AG1079" s="10"/>
      <c r="AH1079" s="10"/>
      <c r="AI1079" s="12">
        <f t="shared" si="248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23</v>
      </c>
      <c r="B1080" s="30"/>
      <c r="C1080" s="82"/>
      <c r="D1080" s="32"/>
      <c r="E1080" s="32"/>
      <c r="F1080" s="32"/>
      <c r="G1080" s="32">
        <f t="shared" si="252"/>
        <v>0</v>
      </c>
      <c r="H1080" s="10"/>
      <c r="I1080" s="10"/>
      <c r="J1080" s="12"/>
      <c r="K1080" s="12">
        <f t="shared" si="244"/>
        <v>0</v>
      </c>
      <c r="M1080" s="10">
        <v>23</v>
      </c>
      <c r="N1080" s="30"/>
      <c r="O1080" s="31"/>
      <c r="P1080" s="47"/>
      <c r="Q1080" s="45"/>
      <c r="S1080" s="32">
        <f t="shared" si="245"/>
        <v>0</v>
      </c>
      <c r="T1080" s="10"/>
      <c r="U1080" s="10"/>
      <c r="V1080" s="10"/>
      <c r="W1080" s="12">
        <f t="shared" si="246"/>
        <v>0</v>
      </c>
      <c r="Y1080" s="10">
        <v>23</v>
      </c>
      <c r="Z1080" s="30"/>
      <c r="AA1080" s="31"/>
      <c r="AB1080" s="47"/>
      <c r="AC1080" s="45"/>
      <c r="AE1080" s="32">
        <f t="shared" si="247"/>
        <v>0</v>
      </c>
      <c r="AF1080" s="10"/>
      <c r="AG1080" s="10"/>
      <c r="AH1080" s="10"/>
      <c r="AI1080" s="12">
        <f t="shared" si="248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24</v>
      </c>
      <c r="B1081" s="30"/>
      <c r="C1081" s="82"/>
      <c r="D1081" s="32"/>
      <c r="E1081" s="32"/>
      <c r="F1081" s="32"/>
      <c r="G1081" s="32">
        <f t="shared" si="252"/>
        <v>0</v>
      </c>
      <c r="H1081" s="10"/>
      <c r="I1081" s="10"/>
      <c r="J1081" s="10"/>
      <c r="K1081" s="12">
        <f t="shared" si="244"/>
        <v>0</v>
      </c>
      <c r="M1081" s="10">
        <v>24</v>
      </c>
      <c r="N1081" s="30"/>
      <c r="O1081" s="31"/>
      <c r="P1081" s="47"/>
      <c r="Q1081" s="31"/>
      <c r="R1081" s="31"/>
      <c r="S1081" s="32">
        <f t="shared" si="245"/>
        <v>0</v>
      </c>
      <c r="T1081" s="10"/>
      <c r="U1081" s="10"/>
      <c r="V1081" s="10"/>
      <c r="W1081" s="12">
        <f t="shared" si="246"/>
        <v>0</v>
      </c>
      <c r="Y1081" s="10">
        <v>24</v>
      </c>
      <c r="Z1081" s="30"/>
      <c r="AA1081" s="31"/>
      <c r="AB1081" s="47"/>
      <c r="AC1081" s="31"/>
      <c r="AD1081" s="31"/>
      <c r="AE1081" s="32">
        <f t="shared" si="247"/>
        <v>0</v>
      </c>
      <c r="AF1081" s="10"/>
      <c r="AG1081" s="10"/>
      <c r="AH1081" s="10"/>
      <c r="AI1081" s="12">
        <f t="shared" si="248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25</v>
      </c>
      <c r="B1082" s="30"/>
      <c r="C1082" s="57"/>
      <c r="D1082" s="32"/>
      <c r="E1082" s="32"/>
      <c r="F1082" s="32"/>
      <c r="G1082" s="32">
        <f t="shared" si="252"/>
        <v>0</v>
      </c>
      <c r="H1082" s="10"/>
      <c r="I1082" s="10"/>
      <c r="J1082" s="10"/>
      <c r="K1082" s="12">
        <f t="shared" si="244"/>
        <v>0</v>
      </c>
      <c r="M1082" s="10">
        <v>25</v>
      </c>
      <c r="N1082" s="30"/>
      <c r="O1082" s="31"/>
      <c r="P1082" s="47"/>
      <c r="Q1082" s="31"/>
      <c r="R1082" s="31"/>
      <c r="S1082" s="32">
        <f t="shared" si="245"/>
        <v>0</v>
      </c>
      <c r="T1082" s="10"/>
      <c r="U1082" s="10"/>
      <c r="V1082" s="10"/>
      <c r="W1082" s="12">
        <f t="shared" si="246"/>
        <v>0</v>
      </c>
      <c r="Y1082" s="10">
        <v>25</v>
      </c>
      <c r="Z1082" s="30"/>
      <c r="AA1082" s="31"/>
      <c r="AB1082" s="47"/>
      <c r="AC1082" s="31"/>
      <c r="AD1082" s="31"/>
      <c r="AE1082" s="32">
        <f t="shared" si="247"/>
        <v>0</v>
      </c>
      <c r="AF1082" s="10"/>
      <c r="AG1082" s="10"/>
      <c r="AH1082" s="10"/>
      <c r="AI1082" s="12">
        <f t="shared" si="248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26</v>
      </c>
      <c r="B1083" s="30"/>
      <c r="C1083" s="82"/>
      <c r="D1083" s="32"/>
      <c r="E1083" s="32"/>
      <c r="F1083" s="32"/>
      <c r="G1083" s="32">
        <f t="shared" si="252"/>
        <v>0</v>
      </c>
      <c r="H1083" s="10"/>
      <c r="I1083" s="10"/>
      <c r="J1083" s="10"/>
      <c r="K1083" s="12">
        <f t="shared" si="244"/>
        <v>0</v>
      </c>
      <c r="M1083" s="10">
        <v>26</v>
      </c>
      <c r="N1083" s="30"/>
      <c r="O1083" s="31"/>
      <c r="P1083" s="47"/>
      <c r="Q1083" s="31"/>
      <c r="R1083" s="31"/>
      <c r="S1083" s="32">
        <f t="shared" si="245"/>
        <v>0</v>
      </c>
      <c r="T1083" s="10"/>
      <c r="U1083" s="10"/>
      <c r="V1083" s="10"/>
      <c r="W1083" s="12">
        <f t="shared" si="246"/>
        <v>0</v>
      </c>
      <c r="Y1083" s="10">
        <v>26</v>
      </c>
      <c r="Z1083" s="30"/>
      <c r="AA1083" s="31"/>
      <c r="AB1083" s="47"/>
      <c r="AC1083" s="31"/>
      <c r="AD1083" s="31"/>
      <c r="AE1083" s="32">
        <f t="shared" si="247"/>
        <v>0</v>
      </c>
      <c r="AF1083" s="10"/>
      <c r="AG1083" s="10"/>
      <c r="AH1083" s="10"/>
      <c r="AI1083" s="12">
        <f t="shared" si="248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27</v>
      </c>
      <c r="B1084" s="30"/>
      <c r="C1084" s="82"/>
      <c r="D1084" s="32"/>
      <c r="E1084" s="32"/>
      <c r="F1084" s="32"/>
      <c r="G1084" s="32">
        <f t="shared" si="252"/>
        <v>0</v>
      </c>
      <c r="H1084" s="10"/>
      <c r="I1084" s="10"/>
      <c r="J1084" s="10"/>
      <c r="K1084" s="12">
        <f t="shared" si="244"/>
        <v>0</v>
      </c>
      <c r="M1084" s="10">
        <v>27</v>
      </c>
      <c r="N1084" s="30"/>
      <c r="O1084" s="31"/>
      <c r="P1084" s="47"/>
      <c r="Q1084" s="31"/>
      <c r="R1084" s="31"/>
      <c r="S1084" s="32">
        <f t="shared" si="245"/>
        <v>0</v>
      </c>
      <c r="T1084" s="10"/>
      <c r="U1084" s="10"/>
      <c r="V1084" s="10"/>
      <c r="W1084" s="12">
        <f t="shared" si="246"/>
        <v>0</v>
      </c>
      <c r="Y1084" s="10">
        <v>27</v>
      </c>
      <c r="Z1084" s="30"/>
      <c r="AA1084" s="31"/>
      <c r="AB1084" s="47"/>
      <c r="AC1084" s="31"/>
      <c r="AD1084" s="31"/>
      <c r="AE1084" s="32">
        <f t="shared" si="247"/>
        <v>0</v>
      </c>
      <c r="AF1084" s="10"/>
      <c r="AG1084" s="10"/>
      <c r="AH1084" s="10"/>
      <c r="AI1084" s="12">
        <f t="shared" si="248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28</v>
      </c>
      <c r="B1085" s="30"/>
      <c r="C1085" s="82"/>
      <c r="D1085" s="32"/>
      <c r="E1085" s="32"/>
      <c r="F1085" s="32"/>
      <c r="G1085" s="32">
        <f t="shared" si="252"/>
        <v>0</v>
      </c>
      <c r="H1085" s="10"/>
      <c r="I1085" s="10"/>
      <c r="J1085" s="10"/>
      <c r="K1085" s="12">
        <f t="shared" si="244"/>
        <v>0</v>
      </c>
      <c r="M1085" s="10">
        <v>28</v>
      </c>
      <c r="N1085" s="30"/>
      <c r="O1085" s="31"/>
      <c r="P1085" s="47"/>
      <c r="Q1085" s="31"/>
      <c r="R1085" s="31"/>
      <c r="S1085" s="32">
        <f t="shared" si="245"/>
        <v>0</v>
      </c>
      <c r="T1085" s="10"/>
      <c r="U1085" s="10"/>
      <c r="V1085" s="10"/>
      <c r="W1085" s="12">
        <f t="shared" si="246"/>
        <v>0</v>
      </c>
      <c r="Y1085" s="10">
        <v>28</v>
      </c>
      <c r="Z1085" s="30"/>
      <c r="AA1085" s="31"/>
      <c r="AB1085" s="47"/>
      <c r="AC1085" s="31"/>
      <c r="AD1085" s="31"/>
      <c r="AE1085" s="32">
        <f t="shared" si="247"/>
        <v>0</v>
      </c>
      <c r="AF1085" s="10"/>
      <c r="AG1085" s="10"/>
      <c r="AH1085" s="10"/>
      <c r="AI1085" s="12">
        <f t="shared" si="248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29</v>
      </c>
      <c r="B1086" s="30"/>
      <c r="C1086" s="82"/>
      <c r="D1086" s="32"/>
      <c r="E1086" s="32"/>
      <c r="F1086" s="32"/>
      <c r="G1086" s="32">
        <f t="shared" si="252"/>
        <v>0</v>
      </c>
      <c r="H1086" s="10"/>
      <c r="I1086" s="10"/>
      <c r="J1086" s="10"/>
      <c r="K1086" s="12">
        <f t="shared" si="244"/>
        <v>0</v>
      </c>
      <c r="M1086" s="10">
        <v>29</v>
      </c>
      <c r="N1086" s="30"/>
      <c r="O1086" s="31"/>
      <c r="P1086" s="47"/>
      <c r="Q1086" s="31"/>
      <c r="R1086" s="31"/>
      <c r="S1086" s="32">
        <f t="shared" si="245"/>
        <v>0</v>
      </c>
      <c r="T1086" s="10"/>
      <c r="U1086" s="10"/>
      <c r="V1086" s="10"/>
      <c r="W1086" s="12">
        <f t="shared" si="246"/>
        <v>0</v>
      </c>
      <c r="Y1086" s="10">
        <v>29</v>
      </c>
      <c r="Z1086" s="30"/>
      <c r="AA1086" s="31"/>
      <c r="AB1086" s="47"/>
      <c r="AC1086" s="31"/>
      <c r="AD1086" s="31"/>
      <c r="AE1086" s="32">
        <f t="shared" si="247"/>
        <v>0</v>
      </c>
      <c r="AF1086" s="10"/>
      <c r="AG1086" s="10"/>
      <c r="AH1086" s="10"/>
      <c r="AI1086" s="12">
        <f t="shared" si="248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30</v>
      </c>
      <c r="B1087" s="30"/>
      <c r="C1087" s="82"/>
      <c r="D1087" s="32"/>
      <c r="E1087" s="32"/>
      <c r="F1087" s="32"/>
      <c r="G1087" s="32">
        <f t="shared" si="252"/>
        <v>0</v>
      </c>
      <c r="H1087" s="10"/>
      <c r="I1087" s="10"/>
      <c r="J1087" s="10"/>
      <c r="K1087" s="12">
        <f t="shared" si="244"/>
        <v>0</v>
      </c>
      <c r="M1087" s="10">
        <v>30</v>
      </c>
      <c r="N1087" s="30"/>
      <c r="O1087" s="31"/>
      <c r="P1087" s="47"/>
      <c r="Q1087" s="31"/>
      <c r="R1087" s="31"/>
      <c r="S1087" s="32">
        <f t="shared" si="245"/>
        <v>0</v>
      </c>
      <c r="T1087" s="10"/>
      <c r="U1087" s="10"/>
      <c r="V1087" s="10"/>
      <c r="W1087" s="12">
        <f t="shared" si="246"/>
        <v>0</v>
      </c>
      <c r="Y1087" s="10">
        <v>30</v>
      </c>
      <c r="Z1087" s="30"/>
      <c r="AA1087" s="31"/>
      <c r="AB1087" s="47"/>
      <c r="AC1087" s="31"/>
      <c r="AD1087" s="31"/>
      <c r="AE1087" s="32">
        <f t="shared" si="247"/>
        <v>0</v>
      </c>
      <c r="AF1087" s="10"/>
      <c r="AG1087" s="10"/>
      <c r="AH1087" s="10"/>
      <c r="AI1087" s="12">
        <f t="shared" si="248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31</v>
      </c>
      <c r="B1088" s="30"/>
      <c r="C1088" s="82"/>
      <c r="D1088" s="32"/>
      <c r="E1088" s="32"/>
      <c r="F1088" s="32"/>
      <c r="G1088" s="32">
        <f t="shared" si="252"/>
        <v>0</v>
      </c>
      <c r="H1088" s="10"/>
      <c r="I1088" s="10"/>
      <c r="J1088" s="10"/>
      <c r="K1088" s="12">
        <f t="shared" si="244"/>
        <v>0</v>
      </c>
      <c r="M1088" s="10">
        <v>31</v>
      </c>
      <c r="N1088" s="30"/>
      <c r="O1088" s="31"/>
      <c r="P1088" s="47"/>
      <c r="Q1088" s="31"/>
      <c r="R1088" s="31"/>
      <c r="S1088" s="32">
        <f t="shared" si="245"/>
        <v>0</v>
      </c>
      <c r="T1088" s="10"/>
      <c r="U1088" s="10"/>
      <c r="V1088" s="10"/>
      <c r="W1088" s="12">
        <f t="shared" si="246"/>
        <v>0</v>
      </c>
      <c r="Y1088" s="10">
        <v>31</v>
      </c>
      <c r="Z1088" s="30"/>
      <c r="AA1088" s="31"/>
      <c r="AB1088" s="47"/>
      <c r="AC1088" s="31"/>
      <c r="AD1088" s="31"/>
      <c r="AE1088" s="32">
        <f t="shared" si="247"/>
        <v>0</v>
      </c>
      <c r="AF1088" s="10"/>
      <c r="AG1088" s="10"/>
      <c r="AH1088" s="10"/>
      <c r="AI1088" s="12">
        <f t="shared" si="248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32</v>
      </c>
      <c r="B1089" s="30"/>
      <c r="C1089" s="82"/>
      <c r="D1089" s="32"/>
      <c r="E1089" s="32"/>
      <c r="F1089" s="32"/>
      <c r="G1089" s="32">
        <f t="shared" si="252"/>
        <v>0</v>
      </c>
      <c r="H1089" s="10"/>
      <c r="I1089" s="10"/>
      <c r="J1089" s="10"/>
      <c r="K1089" s="12">
        <f t="shared" si="244"/>
        <v>0</v>
      </c>
      <c r="M1089" s="10">
        <v>32</v>
      </c>
      <c r="N1089" s="30"/>
      <c r="O1089" s="31"/>
      <c r="P1089" s="47"/>
      <c r="Q1089" s="31"/>
      <c r="R1089" s="31"/>
      <c r="S1089" s="32">
        <f t="shared" si="245"/>
        <v>0</v>
      </c>
      <c r="T1089" s="10"/>
      <c r="U1089" s="10"/>
      <c r="V1089" s="10"/>
      <c r="W1089" s="12">
        <f t="shared" si="246"/>
        <v>0</v>
      </c>
      <c r="Y1089" s="10">
        <v>32</v>
      </c>
      <c r="Z1089" s="30"/>
      <c r="AA1089" s="31"/>
      <c r="AB1089" s="47"/>
      <c r="AC1089" s="31"/>
      <c r="AD1089" s="31"/>
      <c r="AE1089" s="32">
        <f t="shared" si="247"/>
        <v>0</v>
      </c>
      <c r="AF1089" s="10"/>
      <c r="AG1089" s="10"/>
      <c r="AH1089" s="10"/>
      <c r="AI1089" s="12">
        <f t="shared" si="248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>
        <v>33</v>
      </c>
      <c r="B1090" s="30"/>
      <c r="C1090" s="82"/>
      <c r="D1090" s="32"/>
      <c r="E1090" s="32"/>
      <c r="F1090" s="32"/>
      <c r="G1090" s="32">
        <f t="shared" si="252"/>
        <v>0</v>
      </c>
      <c r="H1090" s="10"/>
      <c r="I1090" s="10"/>
      <c r="J1090" s="10"/>
      <c r="K1090" s="12">
        <f t="shared" si="244"/>
        <v>0</v>
      </c>
      <c r="M1090" s="10">
        <v>33</v>
      </c>
      <c r="N1090" s="30"/>
      <c r="O1090" s="31"/>
      <c r="P1090" s="47"/>
      <c r="Q1090" s="31"/>
      <c r="R1090" s="31"/>
      <c r="S1090" s="32">
        <f t="shared" si="245"/>
        <v>0</v>
      </c>
      <c r="T1090" s="10"/>
      <c r="U1090" s="10"/>
      <c r="V1090" s="10"/>
      <c r="W1090" s="12">
        <f t="shared" si="246"/>
        <v>0</v>
      </c>
      <c r="Y1090" s="10">
        <v>33</v>
      </c>
      <c r="Z1090" s="30"/>
      <c r="AA1090" s="31"/>
      <c r="AB1090" s="47"/>
      <c r="AC1090" s="31"/>
      <c r="AD1090" s="31"/>
      <c r="AE1090" s="32">
        <f t="shared" si="247"/>
        <v>0</v>
      </c>
      <c r="AF1090" s="10"/>
      <c r="AG1090" s="10"/>
      <c r="AH1090" s="10"/>
      <c r="AI1090" s="12">
        <f t="shared" si="248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>
        <f t="shared" si="252"/>
        <v>0</v>
      </c>
      <c r="H1091" s="10"/>
      <c r="I1091" s="10"/>
      <c r="J1091" s="10"/>
      <c r="K1091" s="12">
        <f t="shared" si="244"/>
        <v>0</v>
      </c>
      <c r="M1091" s="10">
        <v>34</v>
      </c>
      <c r="N1091" s="30"/>
      <c r="O1091" s="31"/>
      <c r="P1091" s="47"/>
      <c r="Q1091" s="31"/>
      <c r="R1091" s="31"/>
      <c r="S1091" s="32">
        <f t="shared" si="245"/>
        <v>0</v>
      </c>
      <c r="T1091" s="10"/>
      <c r="U1091" s="10"/>
      <c r="V1091" s="10"/>
      <c r="W1091" s="12">
        <f t="shared" si="246"/>
        <v>0</v>
      </c>
      <c r="Y1091" s="10">
        <v>34</v>
      </c>
      <c r="Z1091" s="30"/>
      <c r="AA1091" s="31"/>
      <c r="AB1091" s="47"/>
      <c r="AC1091" s="31"/>
      <c r="AD1091" s="31"/>
      <c r="AE1091" s="32">
        <f t="shared" si="247"/>
        <v>0</v>
      </c>
      <c r="AF1091" s="10"/>
      <c r="AG1091" s="10"/>
      <c r="AH1091" s="10"/>
      <c r="AI1091" s="12">
        <f t="shared" si="248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35</v>
      </c>
      <c r="N1092" s="30"/>
      <c r="O1092" s="31"/>
      <c r="P1092" s="47"/>
      <c r="Q1092" s="31"/>
      <c r="R1092" s="31"/>
      <c r="S1092" s="32">
        <f t="shared" si="245"/>
        <v>0</v>
      </c>
      <c r="T1092" s="10"/>
      <c r="U1092" s="10"/>
      <c r="V1092" s="10"/>
      <c r="W1092" s="12">
        <f t="shared" si="246"/>
        <v>0</v>
      </c>
      <c r="Y1092" s="10">
        <v>35</v>
      </c>
      <c r="Z1092" s="30"/>
      <c r="AA1092" s="31"/>
      <c r="AB1092" s="47"/>
      <c r="AC1092" s="31"/>
      <c r="AD1092" s="31"/>
      <c r="AE1092" s="32">
        <f t="shared" si="247"/>
        <v>0</v>
      </c>
      <c r="AF1092" s="10"/>
      <c r="AG1092" s="10"/>
      <c r="AH1092" s="10"/>
      <c r="AI1092" s="12">
        <f t="shared" si="248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82"/>
      <c r="D1093" s="32"/>
      <c r="E1093" s="32"/>
      <c r="F1093" s="32"/>
      <c r="G1093" s="32"/>
      <c r="H1093" s="10"/>
      <c r="I1093" s="10"/>
      <c r="J1093" s="10"/>
      <c r="K1093" s="12"/>
      <c r="M1093" s="10">
        <v>36</v>
      </c>
      <c r="N1093" s="30"/>
      <c r="O1093" s="31"/>
      <c r="P1093" s="47"/>
      <c r="Q1093" s="31"/>
      <c r="R1093" s="31"/>
      <c r="S1093" s="32">
        <f t="shared" si="245"/>
        <v>0</v>
      </c>
      <c r="T1093" s="10"/>
      <c r="U1093" s="10"/>
      <c r="V1093" s="10"/>
      <c r="W1093" s="12">
        <f t="shared" si="246"/>
        <v>0</v>
      </c>
      <c r="Y1093" s="10">
        <v>36</v>
      </c>
      <c r="Z1093" s="30"/>
      <c r="AA1093" s="31"/>
      <c r="AB1093" s="47"/>
      <c r="AC1093" s="31"/>
      <c r="AD1093" s="31"/>
      <c r="AE1093" s="32">
        <f t="shared" si="247"/>
        <v>0</v>
      </c>
      <c r="AF1093" s="10"/>
      <c r="AG1093" s="10"/>
      <c r="AH1093" s="10"/>
      <c r="AI1093" s="12">
        <f t="shared" si="248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37</v>
      </c>
      <c r="N1094" s="30"/>
      <c r="P1094" s="47"/>
      <c r="Q1094" s="31"/>
      <c r="R1094" s="31"/>
      <c r="S1094" s="32">
        <f t="shared" si="245"/>
        <v>0</v>
      </c>
      <c r="T1094" s="10"/>
      <c r="U1094" s="10"/>
      <c r="V1094" s="10"/>
      <c r="W1094" s="12">
        <f t="shared" si="246"/>
        <v>0</v>
      </c>
      <c r="Y1094" s="10">
        <v>37</v>
      </c>
      <c r="Z1094" s="30"/>
      <c r="AB1094" s="47"/>
      <c r="AC1094" s="31"/>
      <c r="AD1094" s="31"/>
      <c r="AE1094" s="32">
        <f t="shared" si="247"/>
        <v>0</v>
      </c>
      <c r="AF1094" s="10"/>
      <c r="AG1094" s="10"/>
      <c r="AH1094" s="10"/>
      <c r="AI1094" s="12">
        <f t="shared" si="248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38</v>
      </c>
      <c r="N1095" s="30"/>
      <c r="O1095" s="31"/>
      <c r="P1095" s="47"/>
      <c r="Q1095" s="31"/>
      <c r="R1095" s="31"/>
      <c r="S1095" s="32">
        <f t="shared" si="245"/>
        <v>0</v>
      </c>
      <c r="T1095" s="10"/>
      <c r="U1095" s="10"/>
      <c r="V1095" s="10"/>
      <c r="W1095" s="12">
        <f t="shared" si="246"/>
        <v>0</v>
      </c>
      <c r="Y1095" s="10">
        <v>38</v>
      </c>
      <c r="Z1095" s="30"/>
      <c r="AA1095" s="31"/>
      <c r="AB1095" s="47"/>
      <c r="AC1095" s="31"/>
      <c r="AD1095" s="31"/>
      <c r="AE1095" s="32">
        <f t="shared" si="247"/>
        <v>0</v>
      </c>
      <c r="AF1095" s="10"/>
      <c r="AG1095" s="10"/>
      <c r="AH1095" s="10"/>
      <c r="AI1095" s="12">
        <f t="shared" si="248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>
        <v>39</v>
      </c>
      <c r="N1096" s="30"/>
      <c r="O1096" s="31"/>
      <c r="P1096" s="47"/>
      <c r="Q1096" s="31"/>
      <c r="R1096" s="31"/>
      <c r="S1096" s="32">
        <f t="shared" si="245"/>
        <v>0</v>
      </c>
      <c r="T1096" s="10"/>
      <c r="U1096" s="10"/>
      <c r="V1096" s="10"/>
      <c r="W1096" s="12">
        <f t="shared" si="246"/>
        <v>0</v>
      </c>
      <c r="Y1096" s="10">
        <v>39</v>
      </c>
      <c r="Z1096" s="30"/>
      <c r="AA1096" s="31"/>
      <c r="AB1096" s="47"/>
      <c r="AC1096" s="31"/>
      <c r="AD1096" s="31"/>
      <c r="AE1096" s="32">
        <f t="shared" si="247"/>
        <v>0</v>
      </c>
      <c r="AF1096" s="10"/>
      <c r="AG1096" s="10"/>
      <c r="AH1096" s="10"/>
      <c r="AI1096" s="12">
        <f t="shared" si="248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/>
      <c r="H1097" s="10"/>
      <c r="I1097" s="10"/>
      <c r="J1097" s="10"/>
      <c r="K1097" s="12"/>
      <c r="M1097" s="10"/>
      <c r="N1097" s="30"/>
      <c r="P1097" s="47"/>
      <c r="Q1097" s="31"/>
      <c r="R1097" s="31"/>
      <c r="S1097" s="32"/>
      <c r="T1097" s="10"/>
      <c r="U1097" s="10"/>
      <c r="V1097" s="10"/>
      <c r="W1097" s="12">
        <f t="shared" si="246"/>
        <v>0</v>
      </c>
      <c r="Y1097" s="10"/>
      <c r="Z1097" s="30"/>
      <c r="AB1097" s="47"/>
      <c r="AC1097" s="31"/>
      <c r="AD1097" s="31"/>
      <c r="AE1097" s="32"/>
      <c r="AF1097" s="10"/>
      <c r="AG1097" s="10"/>
      <c r="AH1097" s="10"/>
      <c r="AI1097" s="12">
        <f t="shared" si="248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1"/>
      <c r="D1098" s="32"/>
      <c r="E1098" s="32"/>
      <c r="F1098" s="32"/>
      <c r="G1098" s="32">
        <f t="shared" ref="G1098" si="253">SUM(D1098:E1098)</f>
        <v>0</v>
      </c>
      <c r="H1098" s="10"/>
      <c r="I1098" s="10"/>
      <c r="J1098" s="10"/>
      <c r="K1098" s="12">
        <f t="shared" ref="K1098" si="254">SUM(G1098:J1098)</f>
        <v>0</v>
      </c>
      <c r="M1098" s="10"/>
      <c r="N1098" s="30"/>
      <c r="O1098" s="31"/>
      <c r="P1098" s="47"/>
      <c r="Q1098" s="31"/>
      <c r="R1098" s="31"/>
      <c r="S1098" s="32">
        <f t="shared" ref="S1098" si="255">SUM(P1098:Q1098)</f>
        <v>0</v>
      </c>
      <c r="T1098" s="10"/>
      <c r="U1098" s="10"/>
      <c r="V1098" s="10"/>
      <c r="W1098" s="12">
        <f t="shared" si="246"/>
        <v>0</v>
      </c>
      <c r="Y1098" s="10"/>
      <c r="Z1098" s="30"/>
      <c r="AA1098" s="31"/>
      <c r="AB1098" s="47"/>
      <c r="AC1098" s="31"/>
      <c r="AD1098" s="31"/>
      <c r="AE1098" s="32">
        <f t="shared" ref="AE1098" si="256">SUM(AB1098:AC1098)</f>
        <v>0</v>
      </c>
      <c r="AF1098" s="10"/>
      <c r="AG1098" s="10"/>
      <c r="AH1098" s="10"/>
      <c r="AI1098" s="12">
        <f t="shared" si="248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10"/>
      <c r="B1099" s="30"/>
      <c r="C1099" s="30"/>
      <c r="D1099" s="32"/>
      <c r="E1099" s="32"/>
      <c r="F1099" s="32"/>
      <c r="G1099" s="32"/>
      <c r="H1099" s="10"/>
      <c r="I1099" s="10"/>
      <c r="J1099" s="10"/>
      <c r="K1099" s="12"/>
      <c r="M1099" s="10"/>
      <c r="N1099" s="31"/>
      <c r="O1099" s="31"/>
      <c r="P1099" s="31"/>
      <c r="Q1099" s="31"/>
      <c r="R1099" s="31"/>
      <c r="S1099" s="31"/>
      <c r="T1099" s="10"/>
      <c r="U1099" s="10"/>
      <c r="V1099" s="10"/>
      <c r="W1099" s="12">
        <f t="shared" si="246"/>
        <v>0</v>
      </c>
      <c r="Y1099" s="10"/>
      <c r="Z1099" s="31"/>
      <c r="AA1099" s="31"/>
      <c r="AB1099" s="31"/>
      <c r="AC1099" s="31"/>
      <c r="AD1099" s="31"/>
      <c r="AE1099" s="31"/>
      <c r="AF1099" s="10"/>
      <c r="AG1099" s="10"/>
      <c r="AH1099" s="10"/>
      <c r="AI1099" s="12">
        <f t="shared" si="248"/>
        <v>0</v>
      </c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6"/>
      <c r="E1100" s="36"/>
      <c r="F1100" s="36"/>
      <c r="G1100" s="36"/>
      <c r="H1100" s="37"/>
      <c r="I1100" s="37"/>
      <c r="J1100" s="37"/>
      <c r="K1100" s="37"/>
      <c r="N1100" s="57"/>
      <c r="O1100" s="57"/>
      <c r="P1100" s="36"/>
      <c r="Q1100" s="36"/>
      <c r="R1100" s="36"/>
      <c r="S1100" s="36"/>
      <c r="T1100" s="37"/>
      <c r="U1100" s="37"/>
      <c r="V1100" s="37"/>
      <c r="W1100" s="37"/>
      <c r="Z1100" s="57"/>
      <c r="AA1100" s="57"/>
      <c r="AB1100" s="36"/>
      <c r="AC1100" s="36"/>
      <c r="AD1100" s="36"/>
      <c r="AE1100" s="36"/>
      <c r="AF1100" s="37"/>
      <c r="AG1100" s="37"/>
      <c r="AH1100" s="37"/>
      <c r="AI1100" s="37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B1101" s="57"/>
      <c r="C1101" s="57"/>
      <c r="D1101" s="38">
        <f>SUM(D1058:D1100)</f>
        <v>76148</v>
      </c>
      <c r="E1101" s="38">
        <f t="shared" ref="E1101:F1101" si="257">SUM(E1058:E1098)</f>
        <v>0</v>
      </c>
      <c r="F1101" s="38">
        <f t="shared" si="257"/>
        <v>0</v>
      </c>
      <c r="G1101" s="38">
        <f>SUM(G1058:G1100)</f>
        <v>76148</v>
      </c>
      <c r="H1101" s="4"/>
      <c r="I1101" s="39">
        <f>SUM(I1058:I1100)</f>
        <v>658.5</v>
      </c>
      <c r="J1101" s="39">
        <f>SUM(J1058:J1100)</f>
        <v>0</v>
      </c>
      <c r="K1101" s="40">
        <f>SUM(K1058:K1100)</f>
        <v>76806.5</v>
      </c>
      <c r="N1101" s="57"/>
      <c r="O1101" s="57"/>
      <c r="P1101" s="38">
        <f>SUM(P1058:P1100)</f>
        <v>236599.5</v>
      </c>
      <c r="Q1101" s="38">
        <f>SUM(Q1058:Q1082)</f>
        <v>-2082</v>
      </c>
      <c r="R1101" s="38">
        <f>SUM(R1058:R1082)</f>
        <v>0</v>
      </c>
      <c r="S1101" s="38">
        <f>SUM(S1058:S1100)</f>
        <v>234517.5</v>
      </c>
      <c r="T1101" s="4"/>
      <c r="U1101" s="41">
        <f>SUM(U1058:U1100)</f>
        <v>234</v>
      </c>
      <c r="V1101" s="41">
        <f>SUM(V1058:V1082)</f>
        <v>-555</v>
      </c>
      <c r="W1101" s="42">
        <f>SUM(W1058:W1100)</f>
        <v>234196.5</v>
      </c>
      <c r="Z1101" s="57"/>
      <c r="AA1101" s="57"/>
      <c r="AB1101" s="38">
        <f>SUM(AB1058:AB1100)</f>
        <v>366215</v>
      </c>
      <c r="AC1101" s="38">
        <f>SUM(AC1058:AC1082)</f>
        <v>-1740</v>
      </c>
      <c r="AD1101" s="38">
        <f>SUM(AD1058:AD1082)</f>
        <v>0</v>
      </c>
      <c r="AE1101" s="38">
        <f>SUM(AE1058:AE1100)</f>
        <v>364475</v>
      </c>
      <c r="AF1101" s="4"/>
      <c r="AG1101" s="41">
        <f>SUM(AG1058:AG1100)</f>
        <v>24886.5</v>
      </c>
      <c r="AH1101" s="41">
        <f>SUM(AH1058:AH1082)</f>
        <v>-2442</v>
      </c>
      <c r="AI1101" s="42">
        <f>SUM(AI1058:AI1100)</f>
        <v>386919.5</v>
      </c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  <c r="M1102" s="18"/>
      <c r="N1102" s="18"/>
      <c r="O1102" s="18"/>
      <c r="P1102" s="18"/>
      <c r="Q1102" s="18"/>
      <c r="R1102" s="18"/>
      <c r="S1102" s="18"/>
      <c r="T1102" s="18"/>
      <c r="U1102" s="18"/>
      <c r="V1102" s="18"/>
      <c r="W1102" s="18"/>
      <c r="Y1102" s="18"/>
      <c r="Z1102" s="18"/>
      <c r="AA1102" s="18"/>
      <c r="AB1102" s="18"/>
      <c r="AC1102" s="18"/>
      <c r="AD1102" s="18"/>
      <c r="AE1102" s="18"/>
      <c r="AF1102" s="18"/>
      <c r="AG1102" s="18"/>
      <c r="AH1102" s="18"/>
      <c r="AI1102" s="18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0</v>
      </c>
      <c r="B1103" s="57"/>
      <c r="C1103" s="57"/>
      <c r="D1103" s="57"/>
      <c r="E1103" s="57"/>
      <c r="G1103" s="57"/>
      <c r="M1103" t="s">
        <v>0</v>
      </c>
      <c r="N1103" s="57"/>
      <c r="O1103" s="57"/>
      <c r="P1103" s="57"/>
      <c r="Q1103" s="57"/>
      <c r="R1103" s="57"/>
      <c r="S1103" s="57"/>
      <c r="Y1103" t="s">
        <v>0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t="s">
        <v>28</v>
      </c>
      <c r="B1104" s="57"/>
      <c r="C1104" s="57"/>
      <c r="D1104" s="57"/>
      <c r="E1104" s="57"/>
      <c r="G1104" s="57"/>
      <c r="M1104" t="s">
        <v>28</v>
      </c>
      <c r="N1104" s="57"/>
      <c r="O1104" s="57"/>
      <c r="P1104" s="57"/>
      <c r="Q1104" s="57"/>
      <c r="R1104" s="57"/>
      <c r="S1104" s="57"/>
      <c r="Y1104" t="s">
        <v>28</v>
      </c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B1105" s="57"/>
      <c r="C1105" s="57"/>
      <c r="D1105" s="57"/>
      <c r="E1105" s="57"/>
      <c r="G1105" s="57"/>
      <c r="N1105" s="57"/>
      <c r="O1105" s="57"/>
      <c r="P1105" s="57"/>
      <c r="Q1105" s="57"/>
      <c r="R1105" s="57"/>
      <c r="S1105" s="57"/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4" t="s">
        <v>14</v>
      </c>
      <c r="B1106" s="57"/>
      <c r="C1106" s="57"/>
      <c r="D1106" s="57"/>
      <c r="E1106" s="57"/>
      <c r="G1106" s="57"/>
      <c r="M1106" s="4" t="s">
        <v>14</v>
      </c>
      <c r="N1106" s="57"/>
      <c r="O1106" s="57"/>
      <c r="P1106" s="57"/>
      <c r="Q1106" s="57"/>
      <c r="R1106" s="57"/>
      <c r="S1106" s="57"/>
      <c r="Y1106" s="4" t="s">
        <v>14</v>
      </c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B1107" s="57"/>
      <c r="C1107" s="57"/>
      <c r="D1107" s="57"/>
      <c r="E1107" s="57"/>
      <c r="G1107" s="57"/>
      <c r="N1107" s="57"/>
      <c r="O1107" s="57"/>
      <c r="P1107" s="57"/>
      <c r="Q1107" s="57"/>
      <c r="R1107" s="57"/>
      <c r="S1107" s="57"/>
      <c r="Z1107" s="57"/>
      <c r="AA1107" s="57"/>
      <c r="AB1107" s="57"/>
      <c r="AC1107" s="57"/>
      <c r="AD1107" s="57"/>
      <c r="AE1107" s="57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ht="15.75" x14ac:dyDescent="0.25">
      <c r="A1108" t="s">
        <v>48</v>
      </c>
      <c r="B1108" s="57"/>
      <c r="C1108" s="57"/>
      <c r="D1108" s="57"/>
      <c r="E1108" s="57"/>
      <c r="G1108" s="57"/>
      <c r="I1108" s="57" t="s">
        <v>15</v>
      </c>
      <c r="J1108" s="19">
        <v>1</v>
      </c>
      <c r="M1108" t="s">
        <v>48</v>
      </c>
      <c r="N1108" s="57"/>
      <c r="O1108" s="57"/>
      <c r="P1108" s="57"/>
      <c r="Q1108" s="57"/>
      <c r="R1108" s="57"/>
      <c r="S1108" s="57"/>
      <c r="U1108" s="57" t="s">
        <v>15</v>
      </c>
      <c r="V1108" s="19">
        <v>2</v>
      </c>
      <c r="Y1108" t="s">
        <v>48</v>
      </c>
      <c r="Z1108" s="57"/>
      <c r="AA1108" s="57"/>
      <c r="AB1108" s="57"/>
      <c r="AC1108" s="57"/>
      <c r="AD1108" s="57"/>
      <c r="AE1108" s="57"/>
      <c r="AG1108" s="57" t="s">
        <v>15</v>
      </c>
      <c r="AH1108" s="20">
        <v>3</v>
      </c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21" t="s">
        <v>124</v>
      </c>
      <c r="B1109" s="20"/>
      <c r="C1109" s="57"/>
      <c r="D1109" s="57"/>
      <c r="E1109" s="57"/>
      <c r="G1109" s="57"/>
      <c r="I1109" s="22" t="s">
        <v>16</v>
      </c>
      <c r="J1109" s="23" t="s">
        <v>138</v>
      </c>
      <c r="K1109" s="24"/>
      <c r="M1109" s="21" t="s">
        <v>124</v>
      </c>
      <c r="N1109" s="20"/>
      <c r="O1109" s="57"/>
      <c r="P1109" s="57"/>
      <c r="Q1109" s="57"/>
      <c r="R1109" s="57"/>
      <c r="S1109" s="57"/>
      <c r="U1109" s="22" t="s">
        <v>16</v>
      </c>
      <c r="V1109" s="23" t="s">
        <v>33</v>
      </c>
      <c r="W1109" s="24"/>
      <c r="Y1109" s="21" t="s">
        <v>124</v>
      </c>
      <c r="Z1109" s="20"/>
      <c r="AA1109" s="57"/>
      <c r="AB1109" s="57"/>
      <c r="AC1109" s="57"/>
      <c r="AD1109" s="57"/>
      <c r="AE1109" s="57"/>
      <c r="AG1109" s="22" t="s">
        <v>16</v>
      </c>
      <c r="AH1109" s="23" t="s">
        <v>34</v>
      </c>
      <c r="AI1109" s="24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57"/>
      <c r="C1110" s="57"/>
      <c r="D1110" s="57"/>
      <c r="E1110" s="57"/>
      <c r="G1110" s="57"/>
      <c r="N1110" s="57"/>
      <c r="O1110" s="57"/>
      <c r="P1110" s="57"/>
      <c r="Q1110" s="57"/>
      <c r="R1110" s="57"/>
      <c r="S1110" s="57"/>
      <c r="Z1110" s="57"/>
      <c r="AA1110" s="57"/>
      <c r="AB1110" s="57"/>
      <c r="AC1110" s="57"/>
      <c r="AD1110" s="57"/>
      <c r="AE1110" s="57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B1111" s="25"/>
      <c r="C1111" s="26"/>
      <c r="D1111" s="126" t="s">
        <v>17</v>
      </c>
      <c r="E1111" s="126"/>
      <c r="F1111" s="112"/>
      <c r="G1111" s="27"/>
      <c r="I1111" s="120" t="s">
        <v>18</v>
      </c>
      <c r="J1111" s="121"/>
      <c r="K1111" s="122" t="s">
        <v>19</v>
      </c>
      <c r="N1111" s="25"/>
      <c r="O1111" s="26"/>
      <c r="P1111" s="126" t="s">
        <v>17</v>
      </c>
      <c r="Q1111" s="126"/>
      <c r="R1111" s="112"/>
      <c r="S1111" s="27"/>
      <c r="U1111" s="120" t="s">
        <v>18</v>
      </c>
      <c r="V1111" s="121"/>
      <c r="W1111" s="122" t="s">
        <v>19</v>
      </c>
      <c r="Z1111" s="25"/>
      <c r="AA1111" s="26"/>
      <c r="AB1111" s="126" t="s">
        <v>17</v>
      </c>
      <c r="AC1111" s="126"/>
      <c r="AD1111" s="112"/>
      <c r="AE1111" s="27"/>
      <c r="AG1111" s="120" t="s">
        <v>18</v>
      </c>
      <c r="AH1111" s="121"/>
      <c r="AI1111" s="122" t="s">
        <v>19</v>
      </c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ht="30" x14ac:dyDescent="0.25">
      <c r="B1112" s="28" t="s">
        <v>20</v>
      </c>
      <c r="C1112" s="28" t="s">
        <v>21</v>
      </c>
      <c r="D1112" s="77" t="s">
        <v>22</v>
      </c>
      <c r="E1112" s="76" t="s">
        <v>23</v>
      </c>
      <c r="F1112" s="78" t="s">
        <v>32</v>
      </c>
      <c r="G1112" s="78" t="s">
        <v>24</v>
      </c>
      <c r="I1112" s="29" t="s">
        <v>25</v>
      </c>
      <c r="J1112" s="29" t="s">
        <v>26</v>
      </c>
      <c r="K1112" s="123"/>
      <c r="N1112" s="28" t="s">
        <v>20</v>
      </c>
      <c r="O1112" s="28" t="s">
        <v>21</v>
      </c>
      <c r="P1112" s="77" t="s">
        <v>22</v>
      </c>
      <c r="Q1112" s="78" t="s">
        <v>23</v>
      </c>
      <c r="R1112" s="78" t="s">
        <v>32</v>
      </c>
      <c r="S1112" s="78" t="s">
        <v>24</v>
      </c>
      <c r="U1112" s="29" t="s">
        <v>25</v>
      </c>
      <c r="V1112" s="29" t="s">
        <v>26</v>
      </c>
      <c r="W1112" s="123"/>
      <c r="Z1112" s="28" t="s">
        <v>20</v>
      </c>
      <c r="AA1112" s="28" t="s">
        <v>21</v>
      </c>
      <c r="AB1112" s="77" t="s">
        <v>22</v>
      </c>
      <c r="AC1112" s="78" t="s">
        <v>23</v>
      </c>
      <c r="AD1112" s="78" t="s">
        <v>32</v>
      </c>
      <c r="AE1112" s="78" t="s">
        <v>24</v>
      </c>
      <c r="AG1112" s="29" t="s">
        <v>25</v>
      </c>
      <c r="AH1112" s="29" t="s">
        <v>26</v>
      </c>
      <c r="AI1112" s="123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1</v>
      </c>
      <c r="B1113" s="30" t="s">
        <v>125</v>
      </c>
      <c r="C1113" s="82">
        <v>10697</v>
      </c>
      <c r="D1113" s="32">
        <f>650*6+670*2+622*2+650</f>
        <v>7134</v>
      </c>
      <c r="E1113" s="32"/>
      <c r="F1113" s="32"/>
      <c r="G1113" s="32">
        <f t="shared" ref="G1113:G1126" si="258">SUM(D1113:E1113)</f>
        <v>7134</v>
      </c>
      <c r="H1113" s="12"/>
      <c r="I1113" s="12">
        <f>2.25*3</f>
        <v>6.75</v>
      </c>
      <c r="J1113" s="12"/>
      <c r="K1113" s="12">
        <f t="shared" ref="K1113:K1146" si="259">SUM(G1113:J1113)</f>
        <v>7140.75</v>
      </c>
      <c r="M1113" s="10">
        <v>1</v>
      </c>
      <c r="N1113" s="30" t="s">
        <v>125</v>
      </c>
      <c r="O1113" s="31">
        <v>10760</v>
      </c>
      <c r="P1113" s="32">
        <f>650*170+670*5+622*10+229*6+650*2</f>
        <v>122744</v>
      </c>
      <c r="Q1113" s="32">
        <f>-185*6</f>
        <v>-1110</v>
      </c>
      <c r="R1113" s="32"/>
      <c r="S1113" s="32">
        <f>SUM(P1113:Q1113)</f>
        <v>121634</v>
      </c>
      <c r="T1113" s="12"/>
      <c r="U1113" s="12">
        <f>111*49+78*5</f>
        <v>5829</v>
      </c>
      <c r="V1113" s="12">
        <f>-120+-84*7+-42*4</f>
        <v>-876</v>
      </c>
      <c r="W1113" s="12">
        <f>SUM(S1113:V1113)</f>
        <v>126587</v>
      </c>
      <c r="Y1113" s="10">
        <v>1</v>
      </c>
      <c r="Z1113" s="30" t="s">
        <v>125</v>
      </c>
      <c r="AA1113" s="31">
        <v>10701</v>
      </c>
      <c r="AB1113" s="32">
        <f>650*15</f>
        <v>9750</v>
      </c>
      <c r="AC1113" s="32"/>
      <c r="AD1113" s="32"/>
      <c r="AE1113" s="32">
        <f>SUM(AB1113:AC1113)</f>
        <v>9750</v>
      </c>
      <c r="AF1113" s="12"/>
      <c r="AG1113" s="12"/>
      <c r="AH1113" s="12"/>
      <c r="AI1113" s="12">
        <f>SUM(AE1113:AH1113)</f>
        <v>9750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2</v>
      </c>
      <c r="B1114" s="30" t="s">
        <v>126</v>
      </c>
      <c r="C1114" s="82">
        <f>C1113+1</f>
        <v>10698</v>
      </c>
      <c r="D1114" s="32">
        <f>670*2+622*4+9.5*4</f>
        <v>3866</v>
      </c>
      <c r="E1114" s="32"/>
      <c r="F1114" s="32"/>
      <c r="G1114" s="32">
        <f t="shared" si="258"/>
        <v>3866</v>
      </c>
      <c r="H1114" s="12"/>
      <c r="I1114" s="12"/>
      <c r="J1114" s="12"/>
      <c r="K1114" s="12">
        <f t="shared" si="259"/>
        <v>3866</v>
      </c>
      <c r="M1114" s="10">
        <v>2</v>
      </c>
      <c r="N1114" s="30" t="s">
        <v>126</v>
      </c>
      <c r="O1114" s="31">
        <f>O1113+1</f>
        <v>10761</v>
      </c>
      <c r="P1114" s="32">
        <f>650*6+670*2</f>
        <v>5240</v>
      </c>
      <c r="Q1114" s="32"/>
      <c r="R1114" s="32"/>
      <c r="S1114" s="32">
        <f t="shared" ref="S1114:S1151" si="260">SUM(P1114:Q1114)</f>
        <v>5240</v>
      </c>
      <c r="T1114" s="12"/>
      <c r="U1114" s="12"/>
      <c r="V1114" s="12"/>
      <c r="W1114" s="12">
        <f t="shared" ref="W1114:W1154" si="261">SUM(S1114:V1114)</f>
        <v>5240</v>
      </c>
      <c r="Y1114" s="10">
        <v>2</v>
      </c>
      <c r="Z1114" s="30" t="s">
        <v>126</v>
      </c>
      <c r="AA1114" s="31">
        <f>AA1113+1</f>
        <v>10702</v>
      </c>
      <c r="AB1114" s="32">
        <f>650*8+670*2+229</f>
        <v>6769</v>
      </c>
      <c r="AC1114" s="32"/>
      <c r="AD1114" s="32"/>
      <c r="AE1114" s="32">
        <f t="shared" ref="AE1114:AE1151" si="262">SUM(AB1114:AC1114)</f>
        <v>6769</v>
      </c>
      <c r="AF1114" s="12"/>
      <c r="AG1114" s="12"/>
      <c r="AH1114" s="12"/>
      <c r="AI1114" s="12">
        <f t="shared" ref="AI1114:AI1154" si="263">SUM(AE1114:AH1114)</f>
        <v>6769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3</v>
      </c>
      <c r="B1115" s="30" t="s">
        <v>127</v>
      </c>
      <c r="C1115" s="82">
        <f t="shared" ref="C1115:C1125" si="264">C1114+1</f>
        <v>10699</v>
      </c>
      <c r="D1115" s="33">
        <f>650*60+622*6+229</f>
        <v>42961</v>
      </c>
      <c r="E1115" s="33"/>
      <c r="F1115" s="33"/>
      <c r="G1115" s="33">
        <f t="shared" si="258"/>
        <v>42961</v>
      </c>
      <c r="H1115" s="34"/>
      <c r="I1115" s="34"/>
      <c r="J1115" s="34"/>
      <c r="K1115" s="34">
        <f t="shared" si="259"/>
        <v>42961</v>
      </c>
      <c r="M1115" s="10">
        <v>3</v>
      </c>
      <c r="N1115" s="30" t="s">
        <v>127</v>
      </c>
      <c r="O1115" s="31">
        <f t="shared" ref="O1115:O1125" si="265">O1114+1</f>
        <v>10762</v>
      </c>
      <c r="P1115" s="32">
        <f>650*8+9.5*8</f>
        <v>5276</v>
      </c>
      <c r="Q1115" s="32"/>
      <c r="R1115" s="32"/>
      <c r="S1115" s="32">
        <f t="shared" si="260"/>
        <v>5276</v>
      </c>
      <c r="T1115" s="12"/>
      <c r="U1115" s="12"/>
      <c r="V1115" s="12"/>
      <c r="W1115" s="12">
        <f t="shared" si="261"/>
        <v>5276</v>
      </c>
      <c r="Y1115" s="10">
        <v>3</v>
      </c>
      <c r="Z1115" s="30" t="s">
        <v>127</v>
      </c>
      <c r="AA1115" s="31">
        <f t="shared" ref="AA1115:AA1120" si="266">AA1114+1</f>
        <v>10703</v>
      </c>
      <c r="AB1115" s="32">
        <f>650*334+229*12</f>
        <v>219848</v>
      </c>
      <c r="AC1115" s="32">
        <f>-334*6</f>
        <v>-2004</v>
      </c>
      <c r="AD1115" s="32"/>
      <c r="AE1115" s="32">
        <f t="shared" si="262"/>
        <v>217844</v>
      </c>
      <c r="AF1115" s="12"/>
      <c r="AG1115" s="12"/>
      <c r="AH1115" s="12"/>
      <c r="AI1115" s="12">
        <f t="shared" si="263"/>
        <v>217844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4</v>
      </c>
      <c r="B1116" s="30" t="s">
        <v>128</v>
      </c>
      <c r="C1116" s="82">
        <f t="shared" si="264"/>
        <v>10700</v>
      </c>
      <c r="D1116" s="32">
        <f>650*44+229</f>
        <v>28829</v>
      </c>
      <c r="E1116" s="32"/>
      <c r="F1116" s="32"/>
      <c r="G1116" s="32">
        <f t="shared" si="258"/>
        <v>28829</v>
      </c>
      <c r="H1116" s="12"/>
      <c r="I1116" s="12">
        <f>4.5*10</f>
        <v>45</v>
      </c>
      <c r="J1116" s="12"/>
      <c r="K1116" s="12">
        <f t="shared" si="259"/>
        <v>28874</v>
      </c>
      <c r="M1116" s="10">
        <v>4</v>
      </c>
      <c r="N1116" s="30" t="s">
        <v>128</v>
      </c>
      <c r="O1116" s="31">
        <f t="shared" si="265"/>
        <v>10763</v>
      </c>
      <c r="P1116" s="32">
        <f>650*10+670+622+9.5*5</f>
        <v>7839.5</v>
      </c>
      <c r="Q1116" s="32"/>
      <c r="R1116" s="32"/>
      <c r="S1116" s="32">
        <f t="shared" si="260"/>
        <v>7839.5</v>
      </c>
      <c r="T1116" s="12"/>
      <c r="U1116" s="12"/>
      <c r="V1116" s="12">
        <v>-111</v>
      </c>
      <c r="W1116" s="12">
        <f t="shared" si="261"/>
        <v>7728.5</v>
      </c>
      <c r="Y1116" s="10">
        <v>4</v>
      </c>
      <c r="Z1116" s="30" t="s">
        <v>128</v>
      </c>
      <c r="AA1116" s="31">
        <f t="shared" si="266"/>
        <v>10704</v>
      </c>
      <c r="AB1116" s="32">
        <f>650*55+670*2+622</f>
        <v>37712</v>
      </c>
      <c r="AC1116" s="32">
        <f>-58*6</f>
        <v>-348</v>
      </c>
      <c r="AD1116" s="32"/>
      <c r="AE1116" s="32">
        <f t="shared" si="262"/>
        <v>37364</v>
      </c>
      <c r="AF1116" s="12"/>
      <c r="AG1116" s="12"/>
      <c r="AH1116" s="12"/>
      <c r="AI1116" s="12">
        <f t="shared" si="263"/>
        <v>37364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5</v>
      </c>
      <c r="B1117" s="30" t="s">
        <v>129</v>
      </c>
      <c r="C1117" s="82">
        <v>10801</v>
      </c>
      <c r="D1117" s="32">
        <f>650*10+670+9.5*10+650</f>
        <v>7915</v>
      </c>
      <c r="E1117" s="32"/>
      <c r="F1117" s="32"/>
      <c r="G1117" s="32">
        <f t="shared" si="258"/>
        <v>7915</v>
      </c>
      <c r="H1117" s="12"/>
      <c r="I1117" s="12"/>
      <c r="J1117" s="12"/>
      <c r="K1117" s="12">
        <f t="shared" si="259"/>
        <v>7915</v>
      </c>
      <c r="M1117" s="10">
        <v>5</v>
      </c>
      <c r="N1117" s="30" t="s">
        <v>129</v>
      </c>
      <c r="O1117" s="31">
        <f t="shared" si="265"/>
        <v>10764</v>
      </c>
      <c r="P1117" s="32">
        <f>650*3+622+9.5*4</f>
        <v>2610</v>
      </c>
      <c r="Q1117" s="32"/>
      <c r="R1117" s="32"/>
      <c r="S1117" s="32">
        <f t="shared" si="260"/>
        <v>2610</v>
      </c>
      <c r="T1117" s="12"/>
      <c r="U1117" s="12"/>
      <c r="V1117" s="12"/>
      <c r="W1117" s="12">
        <f t="shared" si="261"/>
        <v>2610</v>
      </c>
      <c r="Y1117" s="10">
        <v>5</v>
      </c>
      <c r="Z1117" s="30" t="s">
        <v>129</v>
      </c>
      <c r="AA1117" s="31">
        <f t="shared" si="266"/>
        <v>10705</v>
      </c>
      <c r="AB1117" s="32">
        <f>650*50+670*10+622*10+650*4</f>
        <v>48020</v>
      </c>
      <c r="AC1117" s="32"/>
      <c r="AD1117" s="32"/>
      <c r="AE1117" s="32">
        <f t="shared" si="262"/>
        <v>48020</v>
      </c>
      <c r="AF1117" s="12"/>
      <c r="AG1117" s="12"/>
      <c r="AH1117" s="12"/>
      <c r="AI1117" s="12">
        <f t="shared" si="263"/>
        <v>48020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6</v>
      </c>
      <c r="B1118" s="30" t="s">
        <v>130</v>
      </c>
      <c r="C1118" s="82">
        <f t="shared" si="264"/>
        <v>10802</v>
      </c>
      <c r="D1118" s="32">
        <f>650*4</f>
        <v>2600</v>
      </c>
      <c r="E1118" s="32"/>
      <c r="F1118" s="32"/>
      <c r="G1118" s="32">
        <f t="shared" si="258"/>
        <v>2600</v>
      </c>
      <c r="H1118" s="12"/>
      <c r="I1118" s="12">
        <v>84</v>
      </c>
      <c r="J1118" s="12"/>
      <c r="K1118" s="12">
        <f t="shared" si="259"/>
        <v>2684</v>
      </c>
      <c r="M1118" s="10">
        <v>6</v>
      </c>
      <c r="N1118" s="30" t="s">
        <v>130</v>
      </c>
      <c r="O1118" s="31">
        <f t="shared" si="265"/>
        <v>10765</v>
      </c>
      <c r="P1118" s="32">
        <f>650*5+9.5*5</f>
        <v>3297.5</v>
      </c>
      <c r="Q1118" s="32"/>
      <c r="R1118" s="32"/>
      <c r="S1118" s="32">
        <f t="shared" si="260"/>
        <v>3297.5</v>
      </c>
      <c r="T1118" s="12"/>
      <c r="U1118" s="12"/>
      <c r="V1118" s="10"/>
      <c r="W1118" s="12">
        <f t="shared" si="261"/>
        <v>3297.5</v>
      </c>
      <c r="Y1118" s="10">
        <v>6</v>
      </c>
      <c r="Z1118" s="30" t="s">
        <v>130</v>
      </c>
      <c r="AA1118" s="31">
        <f t="shared" si="266"/>
        <v>10706</v>
      </c>
      <c r="AB1118" s="32">
        <f>650*9</f>
        <v>5850</v>
      </c>
      <c r="AC1118" s="32"/>
      <c r="AD1118" s="32"/>
      <c r="AE1118" s="32">
        <f t="shared" si="262"/>
        <v>5850</v>
      </c>
      <c r="AF1118" s="12"/>
      <c r="AG1118" s="12"/>
      <c r="AH1118" s="10"/>
      <c r="AI1118" s="12">
        <f t="shared" si="263"/>
        <v>5850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7</v>
      </c>
      <c r="B1119" s="30" t="s">
        <v>131</v>
      </c>
      <c r="C1119" s="82">
        <f t="shared" si="264"/>
        <v>10803</v>
      </c>
      <c r="D1119" s="32">
        <f>650*80+622*15</f>
        <v>61330</v>
      </c>
      <c r="E1119" s="32"/>
      <c r="F1119" s="32"/>
      <c r="G1119" s="32">
        <f t="shared" si="258"/>
        <v>61330</v>
      </c>
      <c r="H1119" s="12"/>
      <c r="I1119" s="12"/>
      <c r="J1119" s="12"/>
      <c r="K1119" s="12">
        <f t="shared" si="259"/>
        <v>61330</v>
      </c>
      <c r="M1119" s="10">
        <v>7</v>
      </c>
      <c r="N1119" s="30" t="s">
        <v>131</v>
      </c>
      <c r="O1119" s="31">
        <f t="shared" si="265"/>
        <v>10766</v>
      </c>
      <c r="P1119" s="32">
        <f>650*5+622</f>
        <v>3872</v>
      </c>
      <c r="Q1119" s="32"/>
      <c r="R1119" s="32"/>
      <c r="S1119" s="32">
        <f t="shared" si="260"/>
        <v>3872</v>
      </c>
      <c r="T1119" s="12"/>
      <c r="U1119" s="12"/>
      <c r="V1119" s="12"/>
      <c r="W1119" s="12">
        <f t="shared" si="261"/>
        <v>3872</v>
      </c>
      <c r="Y1119" s="10">
        <v>7</v>
      </c>
      <c r="Z1119" s="30" t="s">
        <v>131</v>
      </c>
      <c r="AA1119" s="31">
        <f t="shared" si="266"/>
        <v>10707</v>
      </c>
      <c r="AB1119" s="32">
        <f>650*8+670+622*2+9.5*10</f>
        <v>7209</v>
      </c>
      <c r="AC1119" s="32"/>
      <c r="AD1119" s="32"/>
      <c r="AE1119" s="32">
        <f t="shared" si="262"/>
        <v>7209</v>
      </c>
      <c r="AF1119" s="12"/>
      <c r="AG1119" s="12"/>
      <c r="AH1119" s="12"/>
      <c r="AI1119" s="12">
        <f t="shared" si="263"/>
        <v>7209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8</v>
      </c>
      <c r="B1120" s="30" t="s">
        <v>132</v>
      </c>
      <c r="C1120" s="82">
        <f t="shared" si="264"/>
        <v>10804</v>
      </c>
      <c r="D1120" s="32">
        <f>650*9</f>
        <v>5850</v>
      </c>
      <c r="E1120" s="32"/>
      <c r="F1120" s="32"/>
      <c r="G1120" s="32">
        <f t="shared" si="258"/>
        <v>5850</v>
      </c>
      <c r="H1120" s="12"/>
      <c r="I1120" s="12"/>
      <c r="J1120" s="12"/>
      <c r="K1120" s="12">
        <f t="shared" si="259"/>
        <v>5850</v>
      </c>
      <c r="M1120" s="10">
        <v>8</v>
      </c>
      <c r="N1120" s="30" t="s">
        <v>132</v>
      </c>
      <c r="O1120" s="31">
        <f t="shared" si="265"/>
        <v>10767</v>
      </c>
      <c r="P1120" s="32">
        <f>650*15+622+229</f>
        <v>10601</v>
      </c>
      <c r="Q1120" s="32"/>
      <c r="R1120" s="32"/>
      <c r="S1120" s="32">
        <f t="shared" si="260"/>
        <v>10601</v>
      </c>
      <c r="T1120" s="12"/>
      <c r="U1120" s="12"/>
      <c r="V1120" s="12"/>
      <c r="W1120" s="12">
        <f t="shared" si="261"/>
        <v>10601</v>
      </c>
      <c r="Y1120" s="10">
        <v>8</v>
      </c>
      <c r="Z1120" s="30" t="s">
        <v>132</v>
      </c>
      <c r="AA1120" s="31">
        <f t="shared" si="266"/>
        <v>10708</v>
      </c>
      <c r="AB1120" s="32">
        <f>650*25+670+622*5+229</f>
        <v>20259</v>
      </c>
      <c r="AC1120" s="32"/>
      <c r="AD1120" s="32"/>
      <c r="AE1120" s="32">
        <f t="shared" si="262"/>
        <v>20259</v>
      </c>
      <c r="AF1120" s="12"/>
      <c r="AG1120" s="12">
        <f>4.5*8+1.5*7</f>
        <v>46.5</v>
      </c>
      <c r="AH1120" s="12"/>
      <c r="AI1120" s="12">
        <f t="shared" si="263"/>
        <v>20305.5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9</v>
      </c>
      <c r="B1121" s="30" t="s">
        <v>133</v>
      </c>
      <c r="C1121" s="82">
        <f t="shared" si="264"/>
        <v>10805</v>
      </c>
      <c r="D1121" s="32">
        <f>650*10</f>
        <v>6500</v>
      </c>
      <c r="E1121" s="32"/>
      <c r="F1121" s="32"/>
      <c r="G1121" s="32">
        <f t="shared" si="258"/>
        <v>6500</v>
      </c>
      <c r="H1121" s="12"/>
      <c r="I1121" s="12"/>
      <c r="J1121" s="12"/>
      <c r="K1121" s="12">
        <f t="shared" si="259"/>
        <v>6500</v>
      </c>
      <c r="M1121" s="10">
        <v>9</v>
      </c>
      <c r="N1121" s="30" t="s">
        <v>133</v>
      </c>
      <c r="O1121" s="31">
        <f t="shared" si="265"/>
        <v>10768</v>
      </c>
      <c r="P1121">
        <f>650*2+9.5*2</f>
        <v>1319</v>
      </c>
      <c r="Q1121" s="32"/>
      <c r="R1121" s="32"/>
      <c r="S1121" s="32">
        <f t="shared" si="260"/>
        <v>1319</v>
      </c>
      <c r="T1121" s="12"/>
      <c r="U1121" s="12"/>
      <c r="V1121" s="12"/>
      <c r="W1121" s="12">
        <f t="shared" si="261"/>
        <v>1319</v>
      </c>
      <c r="Y1121" s="10">
        <v>9</v>
      </c>
      <c r="Z1121" s="30"/>
      <c r="AA1121" s="11" t="s">
        <v>27</v>
      </c>
      <c r="AB1121" s="32"/>
      <c r="AC1121" s="32"/>
      <c r="AD1121" s="32"/>
      <c r="AE1121" s="32">
        <f t="shared" si="262"/>
        <v>0</v>
      </c>
      <c r="AF1121" s="12"/>
      <c r="AG1121" s="12"/>
      <c r="AH1121" s="12"/>
      <c r="AI1121" s="12">
        <f t="shared" si="263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10</v>
      </c>
      <c r="B1122" s="30" t="s">
        <v>134</v>
      </c>
      <c r="C1122" s="82">
        <f t="shared" si="264"/>
        <v>10806</v>
      </c>
      <c r="D1122" s="32">
        <f>650*15+229*3</f>
        <v>10437</v>
      </c>
      <c r="E1122" s="32"/>
      <c r="F1122" s="32"/>
      <c r="G1122" s="32">
        <f t="shared" si="258"/>
        <v>10437</v>
      </c>
      <c r="H1122" s="12"/>
      <c r="I1122" s="12"/>
      <c r="J1122" s="12"/>
      <c r="K1122" s="12">
        <f t="shared" si="259"/>
        <v>10437</v>
      </c>
      <c r="M1122" s="10">
        <v>10</v>
      </c>
      <c r="N1122" s="30" t="s">
        <v>134</v>
      </c>
      <c r="O1122" s="31">
        <f t="shared" si="265"/>
        <v>10769</v>
      </c>
      <c r="P1122" s="32">
        <f>650*15+622*5</f>
        <v>12860</v>
      </c>
      <c r="Q1122" s="32"/>
      <c r="R1122" s="32"/>
      <c r="S1122" s="32">
        <f t="shared" si="260"/>
        <v>12860</v>
      </c>
      <c r="T1122" s="12"/>
      <c r="U1122" s="12">
        <f>4.5*15</f>
        <v>67.5</v>
      </c>
      <c r="V1122" s="12"/>
      <c r="W1122" s="12">
        <f t="shared" si="261"/>
        <v>12927.5</v>
      </c>
      <c r="Y1122" s="10">
        <v>10</v>
      </c>
      <c r="Z1122" s="30"/>
      <c r="AA1122" s="31"/>
      <c r="AB1122" s="32"/>
      <c r="AC1122" s="32"/>
      <c r="AD1122" s="32"/>
      <c r="AE1122" s="32">
        <f t="shared" si="262"/>
        <v>0</v>
      </c>
      <c r="AF1122" s="12"/>
      <c r="AG1122" s="12"/>
      <c r="AH1122" s="12"/>
      <c r="AI1122" s="12">
        <f t="shared" si="263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11</v>
      </c>
      <c r="B1123" s="30" t="s">
        <v>135</v>
      </c>
      <c r="C1123" s="82">
        <f t="shared" si="264"/>
        <v>10807</v>
      </c>
      <c r="D1123" s="32">
        <f>650*2</f>
        <v>1300</v>
      </c>
      <c r="E1123" s="32"/>
      <c r="F1123" s="32"/>
      <c r="G1123" s="32">
        <f t="shared" si="258"/>
        <v>1300</v>
      </c>
      <c r="H1123" s="12"/>
      <c r="I1123" s="12"/>
      <c r="J1123" s="12">
        <f>-111*5</f>
        <v>-555</v>
      </c>
      <c r="K1123" s="12">
        <f t="shared" si="259"/>
        <v>745</v>
      </c>
      <c r="M1123" s="10">
        <v>11</v>
      </c>
      <c r="N1123" s="30" t="s">
        <v>135</v>
      </c>
      <c r="O1123" s="31">
        <f t="shared" si="265"/>
        <v>10770</v>
      </c>
      <c r="P1123" s="32">
        <f>650*26+229</f>
        <v>17129</v>
      </c>
      <c r="Q1123" s="32"/>
      <c r="R1123" s="32"/>
      <c r="S1123" s="32">
        <f t="shared" si="260"/>
        <v>17129</v>
      </c>
      <c r="T1123" s="12"/>
      <c r="U1123" s="12"/>
      <c r="V1123" s="12">
        <f>-111*10</f>
        <v>-1110</v>
      </c>
      <c r="W1123" s="12">
        <f t="shared" si="261"/>
        <v>16019</v>
      </c>
      <c r="Y1123" s="10">
        <v>11</v>
      </c>
      <c r="Z1123" s="30"/>
      <c r="AA1123" s="31"/>
      <c r="AB1123" s="32"/>
      <c r="AC1123" s="32"/>
      <c r="AD1123" s="32"/>
      <c r="AE1123" s="32">
        <f t="shared" si="262"/>
        <v>0</v>
      </c>
      <c r="AF1123" s="12"/>
      <c r="AG1123" s="12"/>
      <c r="AH1123" s="12"/>
      <c r="AI1123" s="12">
        <f t="shared" si="263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12</v>
      </c>
      <c r="B1124" s="30" t="s">
        <v>136</v>
      </c>
      <c r="C1124" s="82">
        <f t="shared" si="264"/>
        <v>10808</v>
      </c>
      <c r="D1124" s="32">
        <f>650*5</f>
        <v>3250</v>
      </c>
      <c r="E1124" s="32"/>
      <c r="F1124" s="32"/>
      <c r="G1124" s="32">
        <f t="shared" si="258"/>
        <v>3250</v>
      </c>
      <c r="H1124" s="12"/>
      <c r="I1124" s="12"/>
      <c r="J1124" s="10"/>
      <c r="K1124" s="12">
        <f t="shared" si="259"/>
        <v>3250</v>
      </c>
      <c r="M1124" s="10">
        <v>12</v>
      </c>
      <c r="N1124" s="30" t="s">
        <v>136</v>
      </c>
      <c r="O1124" s="31">
        <f t="shared" si="265"/>
        <v>10771</v>
      </c>
      <c r="P1124" s="32">
        <f>650*7+622+229</f>
        <v>5401</v>
      </c>
      <c r="Q1124" s="32"/>
      <c r="R1124" s="32"/>
      <c r="S1124" s="32">
        <f t="shared" si="260"/>
        <v>5401</v>
      </c>
      <c r="T1124" s="12"/>
      <c r="U1124" s="12"/>
      <c r="V1124" s="12"/>
      <c r="W1124" s="12">
        <f t="shared" si="261"/>
        <v>5401</v>
      </c>
      <c r="Y1124" s="10">
        <v>12</v>
      </c>
      <c r="Z1124" s="30"/>
      <c r="AA1124" s="31"/>
      <c r="AB1124" s="32"/>
      <c r="AC1124" s="32"/>
      <c r="AD1124" s="32"/>
      <c r="AE1124" s="32">
        <f t="shared" si="262"/>
        <v>0</v>
      </c>
      <c r="AF1124" s="12"/>
      <c r="AG1124" s="12"/>
      <c r="AH1124" s="12"/>
      <c r="AI1124" s="12">
        <f t="shared" si="263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13</v>
      </c>
      <c r="B1125" s="30" t="s">
        <v>137</v>
      </c>
      <c r="C1125" s="82">
        <f t="shared" si="264"/>
        <v>10809</v>
      </c>
      <c r="D1125" s="32">
        <f>650*5</f>
        <v>3250</v>
      </c>
      <c r="E1125" s="32"/>
      <c r="F1125" s="32"/>
      <c r="G1125" s="32">
        <f t="shared" si="258"/>
        <v>3250</v>
      </c>
      <c r="H1125" s="12"/>
      <c r="I1125" s="12"/>
      <c r="J1125" s="12"/>
      <c r="K1125" s="12">
        <f t="shared" si="259"/>
        <v>3250</v>
      </c>
      <c r="M1125" s="10">
        <v>13</v>
      </c>
      <c r="N1125" s="30" t="s">
        <v>137</v>
      </c>
      <c r="O1125" s="31">
        <f t="shared" si="265"/>
        <v>10772</v>
      </c>
      <c r="P1125" s="32">
        <f>650*6+9.5</f>
        <v>3909.5</v>
      </c>
      <c r="Q1125" s="32"/>
      <c r="R1125" s="32"/>
      <c r="S1125" s="32">
        <f t="shared" si="260"/>
        <v>3909.5</v>
      </c>
      <c r="T1125" s="12"/>
      <c r="U1125" s="12"/>
      <c r="V1125" s="12"/>
      <c r="W1125" s="12">
        <f t="shared" si="261"/>
        <v>3909.5</v>
      </c>
      <c r="Y1125" s="10">
        <v>13</v>
      </c>
      <c r="Z1125" s="30"/>
      <c r="AA1125" s="31"/>
      <c r="AB1125" s="32"/>
      <c r="AC1125" s="32"/>
      <c r="AD1125" s="32"/>
      <c r="AE1125" s="32">
        <f t="shared" si="262"/>
        <v>0</v>
      </c>
      <c r="AF1125" s="12"/>
      <c r="AG1125" s="12"/>
      <c r="AH1125" s="12"/>
      <c r="AI1125" s="12">
        <f t="shared" si="263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14</v>
      </c>
      <c r="B1126" s="30"/>
      <c r="C1126" s="11" t="s">
        <v>27</v>
      </c>
      <c r="D1126" s="32"/>
      <c r="E1126" s="32"/>
      <c r="F1126" s="32"/>
      <c r="G1126" s="32">
        <f t="shared" si="258"/>
        <v>0</v>
      </c>
      <c r="H1126" s="12"/>
      <c r="I1126" s="12"/>
      <c r="J1126" s="12"/>
      <c r="K1126" s="12">
        <f t="shared" si="259"/>
        <v>0</v>
      </c>
      <c r="M1126" s="10">
        <v>14</v>
      </c>
      <c r="N1126" s="30"/>
      <c r="O1126" s="11" t="s">
        <v>27</v>
      </c>
      <c r="P1126" s="32"/>
      <c r="Q1126" s="32"/>
      <c r="R1126" s="32"/>
      <c r="S1126" s="32">
        <f t="shared" si="260"/>
        <v>0</v>
      </c>
      <c r="T1126" s="12"/>
      <c r="U1126" s="12"/>
      <c r="V1126" s="12"/>
      <c r="W1126" s="12">
        <f t="shared" si="261"/>
        <v>0</v>
      </c>
      <c r="Y1126" s="10">
        <v>14</v>
      </c>
      <c r="Z1126" s="30"/>
      <c r="AB1126" s="32"/>
      <c r="AC1126" s="32"/>
      <c r="AD1126" s="32"/>
      <c r="AE1126" s="32">
        <f t="shared" si="262"/>
        <v>0</v>
      </c>
      <c r="AF1126" s="12"/>
      <c r="AG1126" s="12"/>
      <c r="AH1126" s="12"/>
      <c r="AI1126" s="12">
        <f t="shared" si="263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15</v>
      </c>
      <c r="B1127" s="30"/>
      <c r="C1127" s="82"/>
      <c r="D1127" s="32"/>
      <c r="E1127" s="32"/>
      <c r="F1127" s="32"/>
      <c r="G1127" s="32"/>
      <c r="H1127" s="12"/>
      <c r="I1127" s="12"/>
      <c r="J1127" s="12"/>
      <c r="K1127" s="12">
        <f t="shared" si="259"/>
        <v>0</v>
      </c>
      <c r="M1127" s="10">
        <v>15</v>
      </c>
      <c r="N1127" s="30"/>
      <c r="P1127" s="32"/>
      <c r="Q1127" s="32"/>
      <c r="R1127" s="32"/>
      <c r="S1127" s="32">
        <f t="shared" si="260"/>
        <v>0</v>
      </c>
      <c r="T1127" s="12"/>
      <c r="U1127" s="12"/>
      <c r="V1127" s="12"/>
      <c r="W1127" s="12">
        <f t="shared" si="261"/>
        <v>0</v>
      </c>
      <c r="Y1127" s="10">
        <v>15</v>
      </c>
      <c r="Z1127" s="30"/>
      <c r="AA1127" s="31"/>
      <c r="AB1127" s="32"/>
      <c r="AC1127" s="32"/>
      <c r="AD1127" s="32"/>
      <c r="AE1127" s="32">
        <f t="shared" si="262"/>
        <v>0</v>
      </c>
      <c r="AF1127" s="12"/>
      <c r="AG1127" s="12"/>
      <c r="AH1127" s="12"/>
      <c r="AI1127" s="12">
        <f t="shared" si="263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16</v>
      </c>
      <c r="B1128" s="30"/>
      <c r="C1128" s="82"/>
      <c r="D1128" s="32"/>
      <c r="E1128" s="32"/>
      <c r="F1128" s="32"/>
      <c r="G1128" s="32"/>
      <c r="H1128" s="12"/>
      <c r="I1128" s="12"/>
      <c r="J1128" s="12"/>
      <c r="K1128" s="12">
        <f t="shared" si="259"/>
        <v>0</v>
      </c>
      <c r="M1128" s="10">
        <v>16</v>
      </c>
      <c r="N1128" s="30"/>
      <c r="O1128" s="11"/>
      <c r="P1128" s="32"/>
      <c r="Q1128" s="32"/>
      <c r="R1128" s="32"/>
      <c r="S1128" s="32">
        <f t="shared" si="260"/>
        <v>0</v>
      </c>
      <c r="T1128" s="12"/>
      <c r="U1128" s="12"/>
      <c r="V1128" s="12"/>
      <c r="W1128" s="12">
        <f t="shared" si="261"/>
        <v>0</v>
      </c>
      <c r="Y1128" s="10">
        <v>16</v>
      </c>
      <c r="Z1128" s="30"/>
      <c r="AA1128" s="31"/>
      <c r="AB1128" s="32"/>
      <c r="AC1128" s="32"/>
      <c r="AD1128" s="32"/>
      <c r="AE1128" s="32">
        <f t="shared" si="262"/>
        <v>0</v>
      </c>
      <c r="AF1128" s="12"/>
      <c r="AG1128" s="12"/>
      <c r="AH1128" s="12"/>
      <c r="AI1128" s="12">
        <f t="shared" si="263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17</v>
      </c>
      <c r="B1129" s="30"/>
      <c r="C1129" s="82"/>
      <c r="D1129" s="32"/>
      <c r="E1129" s="32"/>
      <c r="F1129" s="32"/>
      <c r="G1129" s="32"/>
      <c r="H1129" s="12"/>
      <c r="I1129" s="12"/>
      <c r="J1129" s="12"/>
      <c r="K1129" s="12">
        <f t="shared" si="259"/>
        <v>0</v>
      </c>
      <c r="M1129" s="10">
        <v>17</v>
      </c>
      <c r="N1129" s="30"/>
      <c r="P1129" s="35"/>
      <c r="Q1129" s="32"/>
      <c r="R1129" s="32"/>
      <c r="S1129" s="32">
        <f t="shared" si="260"/>
        <v>0</v>
      </c>
      <c r="T1129" s="12"/>
      <c r="U1129" s="12"/>
      <c r="V1129" s="12"/>
      <c r="W1129" s="12">
        <f t="shared" si="261"/>
        <v>0</v>
      </c>
      <c r="Y1129" s="10">
        <v>17</v>
      </c>
      <c r="Z1129" s="30"/>
      <c r="AB1129" s="35"/>
      <c r="AC1129" s="32"/>
      <c r="AD1129" s="32"/>
      <c r="AE1129" s="32">
        <f t="shared" si="262"/>
        <v>0</v>
      </c>
      <c r="AF1129" s="12"/>
      <c r="AG1129" s="12"/>
      <c r="AH1129" s="12"/>
      <c r="AI1129" s="12">
        <f t="shared" si="263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18</v>
      </c>
      <c r="B1130" s="30"/>
      <c r="C1130" s="82"/>
      <c r="D1130" s="32"/>
      <c r="E1130" s="32"/>
      <c r="F1130" s="32"/>
      <c r="G1130" s="32"/>
      <c r="H1130" s="12"/>
      <c r="I1130" s="12"/>
      <c r="J1130" s="12"/>
      <c r="K1130" s="12">
        <f t="shared" si="259"/>
        <v>0</v>
      </c>
      <c r="M1130" s="10">
        <v>18</v>
      </c>
      <c r="N1130" s="30"/>
      <c r="O1130" s="11"/>
      <c r="P1130" s="32"/>
      <c r="Q1130" s="32"/>
      <c r="R1130" s="32"/>
      <c r="S1130" s="32">
        <f t="shared" si="260"/>
        <v>0</v>
      </c>
      <c r="T1130" s="12"/>
      <c r="U1130" s="12"/>
      <c r="V1130" s="12"/>
      <c r="W1130" s="12">
        <f t="shared" si="261"/>
        <v>0</v>
      </c>
      <c r="Y1130" s="10">
        <v>18</v>
      </c>
      <c r="Z1130" s="30"/>
      <c r="AA1130" s="11"/>
      <c r="AB1130" s="32"/>
      <c r="AC1130" s="32"/>
      <c r="AD1130" s="32"/>
      <c r="AE1130" s="32">
        <f t="shared" si="262"/>
        <v>0</v>
      </c>
      <c r="AF1130" s="12"/>
      <c r="AG1130" s="12"/>
      <c r="AH1130" s="12"/>
      <c r="AI1130" s="12">
        <f t="shared" si="263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19</v>
      </c>
      <c r="B1131" s="30"/>
      <c r="C1131" s="82"/>
      <c r="D1131" s="32"/>
      <c r="E1131" s="32"/>
      <c r="F1131" s="32"/>
      <c r="G1131" s="32"/>
      <c r="H1131" s="12"/>
      <c r="I1131" s="12"/>
      <c r="J1131" s="12"/>
      <c r="K1131" s="12">
        <f t="shared" si="259"/>
        <v>0</v>
      </c>
      <c r="M1131" s="10">
        <v>19</v>
      </c>
      <c r="N1131" s="30"/>
      <c r="O1131" s="31"/>
      <c r="P1131" s="32"/>
      <c r="Q1131" s="32"/>
      <c r="R1131" s="32"/>
      <c r="S1131" s="32">
        <f t="shared" si="260"/>
        <v>0</v>
      </c>
      <c r="T1131" s="12"/>
      <c r="U1131" s="12"/>
      <c r="V1131" s="12"/>
      <c r="W1131" s="12">
        <f t="shared" si="261"/>
        <v>0</v>
      </c>
      <c r="Y1131" s="10">
        <v>19</v>
      </c>
      <c r="Z1131" s="30"/>
      <c r="AA1131" s="31"/>
      <c r="AB1131" s="32"/>
      <c r="AC1131" s="32"/>
      <c r="AD1131" s="32"/>
      <c r="AE1131" s="32">
        <f t="shared" si="262"/>
        <v>0</v>
      </c>
      <c r="AF1131" s="12"/>
      <c r="AG1131" s="12"/>
      <c r="AH1131" s="12"/>
      <c r="AI1131" s="12">
        <f t="shared" si="263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20</v>
      </c>
      <c r="B1132" s="30"/>
      <c r="C1132" s="82"/>
      <c r="D1132" s="32"/>
      <c r="E1132" s="32"/>
      <c r="F1132" s="32"/>
      <c r="G1132" s="32"/>
      <c r="H1132" s="12"/>
      <c r="I1132" s="12"/>
      <c r="J1132" s="12"/>
      <c r="K1132" s="12">
        <f t="shared" si="259"/>
        <v>0</v>
      </c>
      <c r="M1132" s="10">
        <v>20</v>
      </c>
      <c r="N1132" s="30"/>
      <c r="P1132" s="32"/>
      <c r="Q1132" s="32"/>
      <c r="R1132" s="32"/>
      <c r="S1132" s="32">
        <f t="shared" si="260"/>
        <v>0</v>
      </c>
      <c r="T1132" s="12"/>
      <c r="U1132" s="12"/>
      <c r="V1132" s="12"/>
      <c r="W1132" s="12">
        <f t="shared" si="261"/>
        <v>0</v>
      </c>
      <c r="Y1132" s="10">
        <v>20</v>
      </c>
      <c r="Z1132" s="30"/>
      <c r="AB1132" s="32"/>
      <c r="AC1132" s="32"/>
      <c r="AD1132" s="32"/>
      <c r="AE1132" s="32">
        <f t="shared" si="262"/>
        <v>0</v>
      </c>
      <c r="AF1132" s="12"/>
      <c r="AG1132" s="12"/>
      <c r="AH1132" s="12"/>
      <c r="AI1132" s="12">
        <f t="shared" si="263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21</v>
      </c>
      <c r="B1133" s="30"/>
      <c r="C1133" s="11"/>
      <c r="D1133" s="32"/>
      <c r="E1133" s="32"/>
      <c r="F1133" s="32"/>
      <c r="G1133" s="32"/>
      <c r="H1133" s="10"/>
      <c r="I1133" s="10"/>
      <c r="J1133" s="10"/>
      <c r="K1133" s="12">
        <f t="shared" si="259"/>
        <v>0</v>
      </c>
      <c r="M1133" s="10">
        <v>21</v>
      </c>
      <c r="N1133" s="30"/>
      <c r="O1133" s="31"/>
      <c r="P1133" s="46"/>
      <c r="Q1133" s="31"/>
      <c r="R1133" s="31"/>
      <c r="S1133" s="32">
        <f t="shared" si="260"/>
        <v>0</v>
      </c>
      <c r="T1133" s="10"/>
      <c r="U1133" s="10"/>
      <c r="V1133" s="10"/>
      <c r="W1133" s="12">
        <f t="shared" si="261"/>
        <v>0</v>
      </c>
      <c r="Y1133" s="10">
        <v>21</v>
      </c>
      <c r="Z1133" s="30"/>
      <c r="AA1133" s="31"/>
      <c r="AB1133" s="46"/>
      <c r="AC1133" s="31"/>
      <c r="AD1133" s="31"/>
      <c r="AE1133" s="32">
        <f t="shared" si="262"/>
        <v>0</v>
      </c>
      <c r="AF1133" s="10"/>
      <c r="AG1133" s="10"/>
      <c r="AH1133" s="10"/>
      <c r="AI1133" s="12">
        <f t="shared" si="263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22</v>
      </c>
      <c r="B1134" s="30"/>
      <c r="C1134" s="11"/>
      <c r="D1134" s="32"/>
      <c r="E1134" s="32"/>
      <c r="F1134" s="32"/>
      <c r="G1134" s="32">
        <f t="shared" ref="G1134:G1146" si="267">SUM(D1134:E1134)</f>
        <v>0</v>
      </c>
      <c r="H1134" s="10"/>
      <c r="I1134" s="10"/>
      <c r="J1134" s="10"/>
      <c r="K1134" s="12">
        <f t="shared" si="259"/>
        <v>0</v>
      </c>
      <c r="M1134" s="10">
        <v>22</v>
      </c>
      <c r="N1134" s="30"/>
      <c r="O1134" s="31"/>
      <c r="P1134" s="45"/>
      <c r="Q1134" s="31"/>
      <c r="R1134" s="31"/>
      <c r="S1134" s="32">
        <f t="shared" si="260"/>
        <v>0</v>
      </c>
      <c r="T1134" s="10"/>
      <c r="U1134" s="10"/>
      <c r="V1134" s="10"/>
      <c r="W1134" s="12">
        <f t="shared" si="261"/>
        <v>0</v>
      </c>
      <c r="Y1134" s="10">
        <v>22</v>
      </c>
      <c r="Z1134" s="30"/>
      <c r="AA1134" s="31"/>
      <c r="AB1134" s="45"/>
      <c r="AC1134" s="31"/>
      <c r="AD1134" s="31"/>
      <c r="AE1134" s="32">
        <f t="shared" si="262"/>
        <v>0</v>
      </c>
      <c r="AF1134" s="10"/>
      <c r="AG1134" s="10"/>
      <c r="AH1134" s="10"/>
      <c r="AI1134" s="12">
        <f t="shared" si="263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23</v>
      </c>
      <c r="B1135" s="30"/>
      <c r="C1135" s="82"/>
      <c r="D1135" s="32"/>
      <c r="E1135" s="32"/>
      <c r="F1135" s="32"/>
      <c r="G1135" s="32">
        <f t="shared" si="267"/>
        <v>0</v>
      </c>
      <c r="H1135" s="10"/>
      <c r="I1135" s="10"/>
      <c r="J1135" s="12"/>
      <c r="K1135" s="12">
        <f t="shared" si="259"/>
        <v>0</v>
      </c>
      <c r="M1135" s="10">
        <v>23</v>
      </c>
      <c r="N1135" s="30"/>
      <c r="O1135" s="31"/>
      <c r="P1135" s="47"/>
      <c r="Q1135" s="45"/>
      <c r="S1135" s="32">
        <f t="shared" si="260"/>
        <v>0</v>
      </c>
      <c r="T1135" s="10"/>
      <c r="U1135" s="10"/>
      <c r="V1135" s="10"/>
      <c r="W1135" s="12">
        <f t="shared" si="261"/>
        <v>0</v>
      </c>
      <c r="Y1135" s="10">
        <v>23</v>
      </c>
      <c r="Z1135" s="30"/>
      <c r="AA1135" s="31"/>
      <c r="AB1135" s="47"/>
      <c r="AC1135" s="45"/>
      <c r="AE1135" s="32">
        <f t="shared" si="262"/>
        <v>0</v>
      </c>
      <c r="AF1135" s="10"/>
      <c r="AG1135" s="10"/>
      <c r="AH1135" s="10"/>
      <c r="AI1135" s="12">
        <f t="shared" si="263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24</v>
      </c>
      <c r="B1136" s="30"/>
      <c r="C1136" s="82"/>
      <c r="D1136" s="32"/>
      <c r="E1136" s="32"/>
      <c r="F1136" s="32"/>
      <c r="G1136" s="32">
        <f t="shared" si="267"/>
        <v>0</v>
      </c>
      <c r="H1136" s="10"/>
      <c r="I1136" s="10"/>
      <c r="J1136" s="10"/>
      <c r="K1136" s="12">
        <f t="shared" si="259"/>
        <v>0</v>
      </c>
      <c r="M1136" s="10">
        <v>24</v>
      </c>
      <c r="N1136" s="30"/>
      <c r="O1136" s="31"/>
      <c r="P1136" s="47"/>
      <c r="Q1136" s="31"/>
      <c r="R1136" s="31"/>
      <c r="S1136" s="32">
        <f t="shared" si="260"/>
        <v>0</v>
      </c>
      <c r="T1136" s="10"/>
      <c r="U1136" s="10"/>
      <c r="V1136" s="10"/>
      <c r="W1136" s="12">
        <f t="shared" si="261"/>
        <v>0</v>
      </c>
      <c r="Y1136" s="10">
        <v>24</v>
      </c>
      <c r="Z1136" s="30"/>
      <c r="AA1136" s="31"/>
      <c r="AB1136" s="47"/>
      <c r="AC1136" s="31"/>
      <c r="AD1136" s="31"/>
      <c r="AE1136" s="32">
        <f t="shared" si="262"/>
        <v>0</v>
      </c>
      <c r="AF1136" s="10"/>
      <c r="AG1136" s="10"/>
      <c r="AH1136" s="10"/>
      <c r="AI1136" s="12">
        <f t="shared" si="263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25</v>
      </c>
      <c r="B1137" s="30"/>
      <c r="C1137" s="57"/>
      <c r="D1137" s="32"/>
      <c r="E1137" s="32"/>
      <c r="F1137" s="32"/>
      <c r="G1137" s="32">
        <f t="shared" si="267"/>
        <v>0</v>
      </c>
      <c r="H1137" s="10"/>
      <c r="I1137" s="10"/>
      <c r="J1137" s="10"/>
      <c r="K1137" s="12">
        <f t="shared" si="259"/>
        <v>0</v>
      </c>
      <c r="M1137" s="10">
        <v>25</v>
      </c>
      <c r="N1137" s="30"/>
      <c r="O1137" s="31"/>
      <c r="P1137" s="47"/>
      <c r="Q1137" s="31"/>
      <c r="R1137" s="31"/>
      <c r="S1137" s="32">
        <f t="shared" si="260"/>
        <v>0</v>
      </c>
      <c r="T1137" s="10"/>
      <c r="U1137" s="10"/>
      <c r="V1137" s="10"/>
      <c r="W1137" s="12">
        <f t="shared" si="261"/>
        <v>0</v>
      </c>
      <c r="Y1137" s="10">
        <v>25</v>
      </c>
      <c r="Z1137" s="30"/>
      <c r="AA1137" s="31"/>
      <c r="AB1137" s="47"/>
      <c r="AC1137" s="31"/>
      <c r="AD1137" s="31"/>
      <c r="AE1137" s="32">
        <f t="shared" si="262"/>
        <v>0</v>
      </c>
      <c r="AF1137" s="10"/>
      <c r="AG1137" s="10"/>
      <c r="AH1137" s="10"/>
      <c r="AI1137" s="12">
        <f t="shared" si="263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26</v>
      </c>
      <c r="B1138" s="30"/>
      <c r="C1138" s="82"/>
      <c r="D1138" s="32"/>
      <c r="E1138" s="32"/>
      <c r="F1138" s="32"/>
      <c r="G1138" s="32">
        <f t="shared" si="267"/>
        <v>0</v>
      </c>
      <c r="H1138" s="10"/>
      <c r="I1138" s="10"/>
      <c r="J1138" s="10"/>
      <c r="K1138" s="12">
        <f t="shared" si="259"/>
        <v>0</v>
      </c>
      <c r="M1138" s="10">
        <v>26</v>
      </c>
      <c r="N1138" s="30"/>
      <c r="O1138" s="31"/>
      <c r="P1138" s="47"/>
      <c r="Q1138" s="31"/>
      <c r="R1138" s="31"/>
      <c r="S1138" s="32">
        <f t="shared" si="260"/>
        <v>0</v>
      </c>
      <c r="T1138" s="10"/>
      <c r="U1138" s="10"/>
      <c r="V1138" s="10"/>
      <c r="W1138" s="12">
        <f t="shared" si="261"/>
        <v>0</v>
      </c>
      <c r="Y1138" s="10">
        <v>26</v>
      </c>
      <c r="Z1138" s="30"/>
      <c r="AA1138" s="31"/>
      <c r="AB1138" s="47"/>
      <c r="AC1138" s="31"/>
      <c r="AD1138" s="31"/>
      <c r="AE1138" s="32">
        <f t="shared" si="262"/>
        <v>0</v>
      </c>
      <c r="AF1138" s="10"/>
      <c r="AG1138" s="10"/>
      <c r="AH1138" s="10"/>
      <c r="AI1138" s="12">
        <f t="shared" si="263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27</v>
      </c>
      <c r="B1139" s="30"/>
      <c r="C1139" s="82"/>
      <c r="D1139" s="32"/>
      <c r="E1139" s="32"/>
      <c r="F1139" s="32"/>
      <c r="G1139" s="32">
        <f t="shared" si="267"/>
        <v>0</v>
      </c>
      <c r="H1139" s="10"/>
      <c r="I1139" s="10"/>
      <c r="J1139" s="10"/>
      <c r="K1139" s="12">
        <f t="shared" si="259"/>
        <v>0</v>
      </c>
      <c r="M1139" s="10">
        <v>27</v>
      </c>
      <c r="N1139" s="30"/>
      <c r="O1139" s="31"/>
      <c r="P1139" s="47"/>
      <c r="Q1139" s="31"/>
      <c r="R1139" s="31"/>
      <c r="S1139" s="32">
        <f t="shared" si="260"/>
        <v>0</v>
      </c>
      <c r="T1139" s="10"/>
      <c r="U1139" s="10"/>
      <c r="V1139" s="10"/>
      <c r="W1139" s="12">
        <f t="shared" si="261"/>
        <v>0</v>
      </c>
      <c r="Y1139" s="10">
        <v>27</v>
      </c>
      <c r="Z1139" s="30"/>
      <c r="AA1139" s="31"/>
      <c r="AB1139" s="47"/>
      <c r="AC1139" s="31"/>
      <c r="AD1139" s="31"/>
      <c r="AE1139" s="32">
        <f t="shared" si="262"/>
        <v>0</v>
      </c>
      <c r="AF1139" s="10"/>
      <c r="AG1139" s="10"/>
      <c r="AH1139" s="10"/>
      <c r="AI1139" s="12">
        <f t="shared" si="263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28</v>
      </c>
      <c r="B1140" s="30"/>
      <c r="C1140" s="82"/>
      <c r="D1140" s="32"/>
      <c r="E1140" s="32"/>
      <c r="F1140" s="32"/>
      <c r="G1140" s="32">
        <f t="shared" si="267"/>
        <v>0</v>
      </c>
      <c r="H1140" s="10"/>
      <c r="I1140" s="10"/>
      <c r="J1140" s="10"/>
      <c r="K1140" s="12">
        <f t="shared" si="259"/>
        <v>0</v>
      </c>
      <c r="M1140" s="10">
        <v>28</v>
      </c>
      <c r="N1140" s="30"/>
      <c r="O1140" s="31"/>
      <c r="P1140" s="47"/>
      <c r="Q1140" s="31"/>
      <c r="R1140" s="31"/>
      <c r="S1140" s="32">
        <f t="shared" si="260"/>
        <v>0</v>
      </c>
      <c r="T1140" s="10"/>
      <c r="U1140" s="10"/>
      <c r="V1140" s="10"/>
      <c r="W1140" s="12">
        <f t="shared" si="261"/>
        <v>0</v>
      </c>
      <c r="Y1140" s="10">
        <v>28</v>
      </c>
      <c r="Z1140" s="30"/>
      <c r="AA1140" s="31"/>
      <c r="AB1140" s="47"/>
      <c r="AC1140" s="31"/>
      <c r="AD1140" s="31"/>
      <c r="AE1140" s="32">
        <f t="shared" si="262"/>
        <v>0</v>
      </c>
      <c r="AF1140" s="10"/>
      <c r="AG1140" s="10"/>
      <c r="AH1140" s="10"/>
      <c r="AI1140" s="12">
        <f t="shared" si="263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29</v>
      </c>
      <c r="B1141" s="30"/>
      <c r="C1141" s="82"/>
      <c r="D1141" s="32"/>
      <c r="E1141" s="32"/>
      <c r="F1141" s="32"/>
      <c r="G1141" s="32">
        <f t="shared" si="267"/>
        <v>0</v>
      </c>
      <c r="H1141" s="10"/>
      <c r="I1141" s="10"/>
      <c r="J1141" s="10"/>
      <c r="K1141" s="12">
        <f t="shared" si="259"/>
        <v>0</v>
      </c>
      <c r="M1141" s="10">
        <v>29</v>
      </c>
      <c r="N1141" s="30"/>
      <c r="O1141" s="31"/>
      <c r="P1141" s="47"/>
      <c r="Q1141" s="31"/>
      <c r="R1141" s="31"/>
      <c r="S1141" s="32">
        <f t="shared" si="260"/>
        <v>0</v>
      </c>
      <c r="T1141" s="10"/>
      <c r="U1141" s="10"/>
      <c r="V1141" s="10"/>
      <c r="W1141" s="12">
        <f t="shared" si="261"/>
        <v>0</v>
      </c>
      <c r="Y1141" s="10">
        <v>29</v>
      </c>
      <c r="Z1141" s="30"/>
      <c r="AA1141" s="31"/>
      <c r="AB1141" s="47"/>
      <c r="AC1141" s="31"/>
      <c r="AD1141" s="31"/>
      <c r="AE1141" s="32">
        <f t="shared" si="262"/>
        <v>0</v>
      </c>
      <c r="AF1141" s="10"/>
      <c r="AG1141" s="10"/>
      <c r="AH1141" s="10"/>
      <c r="AI1141" s="12">
        <f t="shared" si="263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30</v>
      </c>
      <c r="B1142" s="30"/>
      <c r="C1142" s="82"/>
      <c r="D1142" s="32"/>
      <c r="E1142" s="32"/>
      <c r="F1142" s="32"/>
      <c r="G1142" s="32">
        <f t="shared" si="267"/>
        <v>0</v>
      </c>
      <c r="H1142" s="10"/>
      <c r="I1142" s="10"/>
      <c r="J1142" s="10"/>
      <c r="K1142" s="12">
        <f t="shared" si="259"/>
        <v>0</v>
      </c>
      <c r="M1142" s="10">
        <v>30</v>
      </c>
      <c r="N1142" s="30"/>
      <c r="O1142" s="31"/>
      <c r="P1142" s="47"/>
      <c r="Q1142" s="31"/>
      <c r="R1142" s="31"/>
      <c r="S1142" s="32">
        <f t="shared" si="260"/>
        <v>0</v>
      </c>
      <c r="T1142" s="10"/>
      <c r="U1142" s="10"/>
      <c r="V1142" s="10"/>
      <c r="W1142" s="12">
        <f t="shared" si="261"/>
        <v>0</v>
      </c>
      <c r="Y1142" s="10">
        <v>30</v>
      </c>
      <c r="Z1142" s="30"/>
      <c r="AA1142" s="31"/>
      <c r="AB1142" s="47"/>
      <c r="AC1142" s="31"/>
      <c r="AD1142" s="31"/>
      <c r="AE1142" s="32">
        <f t="shared" si="262"/>
        <v>0</v>
      </c>
      <c r="AF1142" s="10"/>
      <c r="AG1142" s="10"/>
      <c r="AH1142" s="10"/>
      <c r="AI1142" s="12">
        <f t="shared" si="263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31</v>
      </c>
      <c r="B1143" s="30"/>
      <c r="C1143" s="82"/>
      <c r="D1143" s="32"/>
      <c r="E1143" s="32"/>
      <c r="F1143" s="32"/>
      <c r="G1143" s="32">
        <f t="shared" si="267"/>
        <v>0</v>
      </c>
      <c r="H1143" s="10"/>
      <c r="I1143" s="10"/>
      <c r="J1143" s="10"/>
      <c r="K1143" s="12">
        <f t="shared" si="259"/>
        <v>0</v>
      </c>
      <c r="M1143" s="10">
        <v>31</v>
      </c>
      <c r="N1143" s="30"/>
      <c r="O1143" s="31"/>
      <c r="P1143" s="47"/>
      <c r="Q1143" s="31"/>
      <c r="R1143" s="31"/>
      <c r="S1143" s="32">
        <f t="shared" si="260"/>
        <v>0</v>
      </c>
      <c r="T1143" s="10"/>
      <c r="U1143" s="10"/>
      <c r="V1143" s="10"/>
      <c r="W1143" s="12">
        <f t="shared" si="261"/>
        <v>0</v>
      </c>
      <c r="Y1143" s="10">
        <v>31</v>
      </c>
      <c r="Z1143" s="30"/>
      <c r="AA1143" s="31"/>
      <c r="AB1143" s="47"/>
      <c r="AC1143" s="31"/>
      <c r="AD1143" s="31"/>
      <c r="AE1143" s="32">
        <f t="shared" si="262"/>
        <v>0</v>
      </c>
      <c r="AF1143" s="10"/>
      <c r="AG1143" s="10"/>
      <c r="AH1143" s="10"/>
      <c r="AI1143" s="12">
        <f t="shared" si="263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32</v>
      </c>
      <c r="B1144" s="30"/>
      <c r="C1144" s="82"/>
      <c r="D1144" s="32"/>
      <c r="E1144" s="32"/>
      <c r="F1144" s="32"/>
      <c r="G1144" s="32">
        <f t="shared" si="267"/>
        <v>0</v>
      </c>
      <c r="H1144" s="10"/>
      <c r="I1144" s="10"/>
      <c r="J1144" s="10"/>
      <c r="K1144" s="12">
        <f t="shared" si="259"/>
        <v>0</v>
      </c>
      <c r="M1144" s="10">
        <v>32</v>
      </c>
      <c r="N1144" s="30"/>
      <c r="O1144" s="31"/>
      <c r="P1144" s="47"/>
      <c r="Q1144" s="31"/>
      <c r="R1144" s="31"/>
      <c r="S1144" s="32">
        <f t="shared" si="260"/>
        <v>0</v>
      </c>
      <c r="T1144" s="10"/>
      <c r="U1144" s="10"/>
      <c r="V1144" s="10"/>
      <c r="W1144" s="12">
        <f t="shared" si="261"/>
        <v>0</v>
      </c>
      <c r="Y1144" s="10">
        <v>32</v>
      </c>
      <c r="Z1144" s="30"/>
      <c r="AA1144" s="31"/>
      <c r="AB1144" s="47"/>
      <c r="AC1144" s="31"/>
      <c r="AD1144" s="31"/>
      <c r="AE1144" s="32">
        <f t="shared" si="262"/>
        <v>0</v>
      </c>
      <c r="AF1144" s="10"/>
      <c r="AG1144" s="10"/>
      <c r="AH1144" s="10"/>
      <c r="AI1144" s="12">
        <f t="shared" si="263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>
        <v>33</v>
      </c>
      <c r="B1145" s="30"/>
      <c r="C1145" s="82"/>
      <c r="D1145" s="32"/>
      <c r="E1145" s="32"/>
      <c r="F1145" s="32"/>
      <c r="G1145" s="32">
        <f t="shared" si="267"/>
        <v>0</v>
      </c>
      <c r="H1145" s="10"/>
      <c r="I1145" s="10"/>
      <c r="J1145" s="10"/>
      <c r="K1145" s="12">
        <f t="shared" si="259"/>
        <v>0</v>
      </c>
      <c r="M1145" s="10">
        <v>33</v>
      </c>
      <c r="N1145" s="30"/>
      <c r="O1145" s="31"/>
      <c r="P1145" s="47"/>
      <c r="Q1145" s="31"/>
      <c r="R1145" s="31"/>
      <c r="S1145" s="32">
        <f t="shared" si="260"/>
        <v>0</v>
      </c>
      <c r="T1145" s="10"/>
      <c r="U1145" s="10"/>
      <c r="V1145" s="10"/>
      <c r="W1145" s="12">
        <f t="shared" si="261"/>
        <v>0</v>
      </c>
      <c r="Y1145" s="10">
        <v>33</v>
      </c>
      <c r="Z1145" s="30"/>
      <c r="AA1145" s="31"/>
      <c r="AB1145" s="47"/>
      <c r="AC1145" s="31"/>
      <c r="AD1145" s="31"/>
      <c r="AE1145" s="32">
        <f t="shared" si="262"/>
        <v>0</v>
      </c>
      <c r="AF1145" s="10"/>
      <c r="AG1145" s="10"/>
      <c r="AH1145" s="10"/>
      <c r="AI1145" s="12">
        <f t="shared" si="263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>
        <f t="shared" si="267"/>
        <v>0</v>
      </c>
      <c r="H1146" s="10"/>
      <c r="I1146" s="10"/>
      <c r="J1146" s="10"/>
      <c r="K1146" s="12">
        <f t="shared" si="259"/>
        <v>0</v>
      </c>
      <c r="M1146" s="10">
        <v>34</v>
      </c>
      <c r="N1146" s="30"/>
      <c r="O1146" s="31"/>
      <c r="P1146" s="47"/>
      <c r="Q1146" s="31"/>
      <c r="R1146" s="31"/>
      <c r="S1146" s="32">
        <f t="shared" si="260"/>
        <v>0</v>
      </c>
      <c r="T1146" s="10"/>
      <c r="U1146" s="10"/>
      <c r="V1146" s="10"/>
      <c r="W1146" s="12">
        <f t="shared" si="261"/>
        <v>0</v>
      </c>
      <c r="Y1146" s="10">
        <v>34</v>
      </c>
      <c r="Z1146" s="30"/>
      <c r="AA1146" s="31"/>
      <c r="AB1146" s="47"/>
      <c r="AC1146" s="31"/>
      <c r="AD1146" s="31"/>
      <c r="AE1146" s="32">
        <f t="shared" si="262"/>
        <v>0</v>
      </c>
      <c r="AF1146" s="10"/>
      <c r="AG1146" s="10"/>
      <c r="AH1146" s="10"/>
      <c r="AI1146" s="12">
        <f t="shared" si="263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35</v>
      </c>
      <c r="N1147" s="30"/>
      <c r="O1147" s="31"/>
      <c r="P1147" s="47"/>
      <c r="Q1147" s="31"/>
      <c r="R1147" s="31"/>
      <c r="S1147" s="32">
        <f t="shared" si="260"/>
        <v>0</v>
      </c>
      <c r="T1147" s="10"/>
      <c r="U1147" s="10"/>
      <c r="V1147" s="10"/>
      <c r="W1147" s="12">
        <f t="shared" si="261"/>
        <v>0</v>
      </c>
      <c r="Y1147" s="10">
        <v>35</v>
      </c>
      <c r="Z1147" s="30"/>
      <c r="AA1147" s="31"/>
      <c r="AB1147" s="47"/>
      <c r="AC1147" s="31"/>
      <c r="AD1147" s="31"/>
      <c r="AE1147" s="32">
        <f t="shared" si="262"/>
        <v>0</v>
      </c>
      <c r="AF1147" s="10"/>
      <c r="AG1147" s="10"/>
      <c r="AH1147" s="10"/>
      <c r="AI1147" s="12">
        <f t="shared" si="263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82"/>
      <c r="D1148" s="32"/>
      <c r="E1148" s="32"/>
      <c r="F1148" s="32"/>
      <c r="G1148" s="32"/>
      <c r="H1148" s="10"/>
      <c r="I1148" s="10"/>
      <c r="J1148" s="10"/>
      <c r="K1148" s="12"/>
      <c r="M1148" s="10">
        <v>36</v>
      </c>
      <c r="N1148" s="30"/>
      <c r="O1148" s="31"/>
      <c r="P1148" s="47"/>
      <c r="Q1148" s="31"/>
      <c r="R1148" s="31"/>
      <c r="S1148" s="32">
        <f t="shared" si="260"/>
        <v>0</v>
      </c>
      <c r="T1148" s="10"/>
      <c r="U1148" s="10"/>
      <c r="V1148" s="10"/>
      <c r="W1148" s="12">
        <f t="shared" si="261"/>
        <v>0</v>
      </c>
      <c r="Y1148" s="10">
        <v>36</v>
      </c>
      <c r="Z1148" s="30"/>
      <c r="AA1148" s="31"/>
      <c r="AB1148" s="47"/>
      <c r="AC1148" s="31"/>
      <c r="AD1148" s="31"/>
      <c r="AE1148" s="32">
        <f t="shared" si="262"/>
        <v>0</v>
      </c>
      <c r="AF1148" s="10"/>
      <c r="AG1148" s="10"/>
      <c r="AH1148" s="10"/>
      <c r="AI1148" s="12">
        <f t="shared" si="263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37</v>
      </c>
      <c r="N1149" s="30"/>
      <c r="P1149" s="47"/>
      <c r="Q1149" s="31"/>
      <c r="R1149" s="31"/>
      <c r="S1149" s="32">
        <f t="shared" si="260"/>
        <v>0</v>
      </c>
      <c r="T1149" s="10"/>
      <c r="U1149" s="10"/>
      <c r="V1149" s="10"/>
      <c r="W1149" s="12">
        <f t="shared" si="261"/>
        <v>0</v>
      </c>
      <c r="Y1149" s="10">
        <v>37</v>
      </c>
      <c r="Z1149" s="30"/>
      <c r="AB1149" s="47"/>
      <c r="AC1149" s="31"/>
      <c r="AD1149" s="31"/>
      <c r="AE1149" s="32">
        <f t="shared" si="262"/>
        <v>0</v>
      </c>
      <c r="AF1149" s="10"/>
      <c r="AG1149" s="10"/>
      <c r="AH1149" s="10"/>
      <c r="AI1149" s="12">
        <f t="shared" si="263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38</v>
      </c>
      <c r="N1150" s="30"/>
      <c r="O1150" s="31"/>
      <c r="P1150" s="47"/>
      <c r="Q1150" s="31"/>
      <c r="R1150" s="31"/>
      <c r="S1150" s="32">
        <f t="shared" si="260"/>
        <v>0</v>
      </c>
      <c r="T1150" s="10"/>
      <c r="U1150" s="10"/>
      <c r="V1150" s="10"/>
      <c r="W1150" s="12">
        <f t="shared" si="261"/>
        <v>0</v>
      </c>
      <c r="Y1150" s="10">
        <v>38</v>
      </c>
      <c r="Z1150" s="30"/>
      <c r="AA1150" s="31"/>
      <c r="AB1150" s="47"/>
      <c r="AC1150" s="31"/>
      <c r="AD1150" s="31"/>
      <c r="AE1150" s="32">
        <f t="shared" si="262"/>
        <v>0</v>
      </c>
      <c r="AF1150" s="10"/>
      <c r="AG1150" s="10"/>
      <c r="AH1150" s="10"/>
      <c r="AI1150" s="12">
        <f t="shared" si="263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>
        <v>39</v>
      </c>
      <c r="N1151" s="30"/>
      <c r="O1151" s="31"/>
      <c r="P1151" s="47"/>
      <c r="Q1151" s="31"/>
      <c r="R1151" s="31"/>
      <c r="S1151" s="32">
        <f t="shared" si="260"/>
        <v>0</v>
      </c>
      <c r="T1151" s="10"/>
      <c r="U1151" s="10"/>
      <c r="V1151" s="10"/>
      <c r="W1151" s="12">
        <f t="shared" si="261"/>
        <v>0</v>
      </c>
      <c r="Y1151" s="10">
        <v>39</v>
      </c>
      <c r="Z1151" s="30"/>
      <c r="AA1151" s="31"/>
      <c r="AB1151" s="47"/>
      <c r="AC1151" s="31"/>
      <c r="AD1151" s="31"/>
      <c r="AE1151" s="32">
        <f t="shared" si="262"/>
        <v>0</v>
      </c>
      <c r="AF1151" s="10"/>
      <c r="AG1151" s="10"/>
      <c r="AH1151" s="10"/>
      <c r="AI1151" s="12">
        <f t="shared" si="263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/>
      <c r="H1152" s="10"/>
      <c r="I1152" s="10"/>
      <c r="J1152" s="10"/>
      <c r="K1152" s="12"/>
      <c r="M1152" s="10"/>
      <c r="N1152" s="30"/>
      <c r="P1152" s="47"/>
      <c r="Q1152" s="31"/>
      <c r="R1152" s="31"/>
      <c r="S1152" s="32"/>
      <c r="T1152" s="10"/>
      <c r="U1152" s="10"/>
      <c r="V1152" s="10"/>
      <c r="W1152" s="12">
        <f t="shared" si="261"/>
        <v>0</v>
      </c>
      <c r="Y1152" s="10"/>
      <c r="Z1152" s="30"/>
      <c r="AB1152" s="47"/>
      <c r="AC1152" s="31"/>
      <c r="AD1152" s="31"/>
      <c r="AE1152" s="32"/>
      <c r="AF1152" s="10"/>
      <c r="AG1152" s="10"/>
      <c r="AH1152" s="10"/>
      <c r="AI1152" s="12">
        <f t="shared" si="263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1"/>
      <c r="D1153" s="32"/>
      <c r="E1153" s="32"/>
      <c r="F1153" s="32"/>
      <c r="G1153" s="32">
        <f t="shared" ref="G1153" si="268">SUM(D1153:E1153)</f>
        <v>0</v>
      </c>
      <c r="H1153" s="10"/>
      <c r="I1153" s="10"/>
      <c r="J1153" s="10"/>
      <c r="K1153" s="12">
        <f t="shared" ref="K1153" si="269">SUM(G1153:J1153)</f>
        <v>0</v>
      </c>
      <c r="M1153" s="10"/>
      <c r="N1153" s="30"/>
      <c r="O1153" s="31"/>
      <c r="P1153" s="47"/>
      <c r="Q1153" s="31"/>
      <c r="R1153" s="31"/>
      <c r="S1153" s="32">
        <f t="shared" ref="S1153" si="270">SUM(P1153:Q1153)</f>
        <v>0</v>
      </c>
      <c r="T1153" s="10"/>
      <c r="U1153" s="10"/>
      <c r="V1153" s="10"/>
      <c r="W1153" s="12">
        <f t="shared" si="261"/>
        <v>0</v>
      </c>
      <c r="Y1153" s="10"/>
      <c r="Z1153" s="30"/>
      <c r="AA1153" s="31"/>
      <c r="AB1153" s="47"/>
      <c r="AC1153" s="31"/>
      <c r="AD1153" s="31"/>
      <c r="AE1153" s="32">
        <f t="shared" ref="AE1153" si="271">SUM(AB1153:AC1153)</f>
        <v>0</v>
      </c>
      <c r="AF1153" s="10"/>
      <c r="AG1153" s="10"/>
      <c r="AH1153" s="10"/>
      <c r="AI1153" s="12">
        <f t="shared" si="263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10"/>
      <c r="B1154" s="30"/>
      <c r="C1154" s="30"/>
      <c r="D1154" s="32"/>
      <c r="E1154" s="32"/>
      <c r="F1154" s="32"/>
      <c r="G1154" s="32"/>
      <c r="H1154" s="10"/>
      <c r="I1154" s="10"/>
      <c r="J1154" s="10"/>
      <c r="K1154" s="12"/>
      <c r="M1154" s="10"/>
      <c r="N1154" s="31"/>
      <c r="O1154" s="31"/>
      <c r="P1154" s="31"/>
      <c r="Q1154" s="31"/>
      <c r="R1154" s="31"/>
      <c r="S1154" s="31"/>
      <c r="T1154" s="10"/>
      <c r="U1154" s="10"/>
      <c r="V1154" s="10"/>
      <c r="W1154" s="12">
        <f t="shared" si="261"/>
        <v>0</v>
      </c>
      <c r="Y1154" s="10"/>
      <c r="Z1154" s="31"/>
      <c r="AA1154" s="31"/>
      <c r="AB1154" s="31"/>
      <c r="AC1154" s="31"/>
      <c r="AD1154" s="31"/>
      <c r="AE1154" s="31"/>
      <c r="AF1154" s="10"/>
      <c r="AG1154" s="10"/>
      <c r="AH1154" s="10"/>
      <c r="AI1154" s="12">
        <f t="shared" si="263"/>
        <v>0</v>
      </c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6"/>
      <c r="E1155" s="36"/>
      <c r="F1155" s="36"/>
      <c r="G1155" s="36"/>
      <c r="H1155" s="37"/>
      <c r="I1155" s="37"/>
      <c r="J1155" s="37"/>
      <c r="K1155" s="37"/>
      <c r="N1155" s="57"/>
      <c r="O1155" s="57"/>
      <c r="P1155" s="36"/>
      <c r="Q1155" s="36"/>
      <c r="R1155" s="36"/>
      <c r="S1155" s="36"/>
      <c r="T1155" s="37"/>
      <c r="U1155" s="37"/>
      <c r="V1155" s="37"/>
      <c r="W1155" s="37"/>
      <c r="Z1155" s="57"/>
      <c r="AA1155" s="57"/>
      <c r="AB1155" s="36"/>
      <c r="AC1155" s="36"/>
      <c r="AD1155" s="36"/>
      <c r="AE1155" s="36"/>
      <c r="AF1155" s="37"/>
      <c r="AG1155" s="37"/>
      <c r="AH1155" s="37"/>
      <c r="AI1155" s="37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B1156" s="57"/>
      <c r="C1156" s="57"/>
      <c r="D1156" s="38">
        <f>SUM(D1113:D1155)</f>
        <v>185222</v>
      </c>
      <c r="E1156" s="38">
        <f t="shared" ref="E1156:F1156" si="272">SUM(E1113:E1153)</f>
        <v>0</v>
      </c>
      <c r="F1156" s="38">
        <f t="shared" si="272"/>
        <v>0</v>
      </c>
      <c r="G1156" s="38">
        <f>SUM(G1113:G1155)</f>
        <v>185222</v>
      </c>
      <c r="H1156" s="4"/>
      <c r="I1156" s="39">
        <f>SUM(I1113:I1155)</f>
        <v>135.75</v>
      </c>
      <c r="J1156" s="39">
        <f>SUM(J1113:J1155)</f>
        <v>-555</v>
      </c>
      <c r="K1156" s="40">
        <f>SUM(K1113:K1155)</f>
        <v>184802.75</v>
      </c>
      <c r="N1156" s="57"/>
      <c r="O1156" s="57"/>
      <c r="P1156" s="38">
        <f>SUM(P1113:P1155)</f>
        <v>202098.5</v>
      </c>
      <c r="Q1156" s="38">
        <f>SUM(Q1113:Q1137)</f>
        <v>-1110</v>
      </c>
      <c r="R1156" s="38">
        <f>SUM(R1113:R1137)</f>
        <v>0</v>
      </c>
      <c r="S1156" s="38">
        <f>SUM(S1113:S1155)</f>
        <v>200988.5</v>
      </c>
      <c r="T1156" s="4"/>
      <c r="U1156" s="41">
        <f>SUM(U1113:U1155)</f>
        <v>5896.5</v>
      </c>
      <c r="V1156" s="41">
        <f>SUM(V1113:V1137)</f>
        <v>-2097</v>
      </c>
      <c r="W1156" s="42">
        <f>SUM(W1113:W1155)</f>
        <v>204788</v>
      </c>
      <c r="Z1156" s="57"/>
      <c r="AA1156" s="57"/>
      <c r="AB1156" s="38">
        <f>SUM(AB1113:AB1155)</f>
        <v>355417</v>
      </c>
      <c r="AC1156" s="38">
        <f>SUM(AC1113:AC1137)</f>
        <v>-2352</v>
      </c>
      <c r="AD1156" s="38">
        <f>SUM(AD1113:AD1137)</f>
        <v>0</v>
      </c>
      <c r="AE1156" s="38">
        <f>SUM(AE1113:AE1155)</f>
        <v>353065</v>
      </c>
      <c r="AF1156" s="4"/>
      <c r="AG1156" s="41">
        <f>SUM(AG1113:AG1155)</f>
        <v>46.5</v>
      </c>
      <c r="AH1156" s="41">
        <f>SUM(AH1113:AH1137)</f>
        <v>0</v>
      </c>
      <c r="AI1156" s="42">
        <f>SUM(AI1113:AI1155)</f>
        <v>353111.5</v>
      </c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  <c r="M1157" s="18"/>
      <c r="N1157" s="18"/>
      <c r="O1157" s="18"/>
      <c r="P1157" s="18"/>
      <c r="Q1157" s="18"/>
      <c r="R1157" s="18"/>
      <c r="S1157" s="18"/>
      <c r="T1157" s="18"/>
      <c r="U1157" s="18"/>
      <c r="V1157" s="18"/>
      <c r="W1157" s="18"/>
      <c r="Y1157" s="18"/>
      <c r="Z1157" s="18"/>
      <c r="AA1157" s="18"/>
      <c r="AB1157" s="18"/>
      <c r="AC1157" s="18"/>
      <c r="AD1157" s="18"/>
      <c r="AE1157" s="18"/>
      <c r="AF1157" s="18"/>
      <c r="AG1157" s="18"/>
      <c r="AH1157" s="18"/>
      <c r="AI1157" s="18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0</v>
      </c>
      <c r="B1158" s="57"/>
      <c r="C1158" s="57"/>
      <c r="D1158" s="57"/>
      <c r="E1158" s="57"/>
      <c r="G1158" s="57"/>
      <c r="M1158" t="s">
        <v>0</v>
      </c>
      <c r="N1158" s="57"/>
      <c r="O1158" s="57"/>
      <c r="P1158" s="57"/>
      <c r="Q1158" s="57"/>
      <c r="R1158" s="57"/>
      <c r="S1158" s="57"/>
      <c r="Y1158" t="s">
        <v>0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t="s">
        <v>28</v>
      </c>
      <c r="B1159" s="57"/>
      <c r="C1159" s="57"/>
      <c r="D1159" s="57"/>
      <c r="E1159" s="57"/>
      <c r="G1159" s="57"/>
      <c r="M1159" t="s">
        <v>28</v>
      </c>
      <c r="N1159" s="57"/>
      <c r="O1159" s="57"/>
      <c r="P1159" s="57"/>
      <c r="Q1159" s="57"/>
      <c r="R1159" s="57"/>
      <c r="S1159" s="57"/>
      <c r="Y1159" t="s">
        <v>28</v>
      </c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B1160" s="57"/>
      <c r="C1160" s="57"/>
      <c r="D1160" s="57"/>
      <c r="E1160" s="57"/>
      <c r="G1160" s="57"/>
      <c r="N1160" s="57"/>
      <c r="O1160" s="57"/>
      <c r="P1160" s="57"/>
      <c r="Q1160" s="57"/>
      <c r="R1160" s="57"/>
      <c r="S1160" s="57"/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4" t="s">
        <v>14</v>
      </c>
      <c r="B1161" s="57"/>
      <c r="C1161" s="57"/>
      <c r="D1161" s="57"/>
      <c r="E1161" s="57"/>
      <c r="G1161" s="57"/>
      <c r="M1161" s="4" t="s">
        <v>14</v>
      </c>
      <c r="N1161" s="57"/>
      <c r="O1161" s="57"/>
      <c r="P1161" s="57"/>
      <c r="Q1161" s="57"/>
      <c r="R1161" s="57"/>
      <c r="S1161" s="57"/>
      <c r="Y1161" s="4" t="s">
        <v>14</v>
      </c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B1162" s="57"/>
      <c r="C1162" s="57"/>
      <c r="D1162" s="57"/>
      <c r="E1162" s="57"/>
      <c r="G1162" s="57"/>
      <c r="N1162" s="57"/>
      <c r="O1162" s="57"/>
      <c r="P1162" s="57"/>
      <c r="Q1162" s="57"/>
      <c r="R1162" s="57"/>
      <c r="S1162" s="57"/>
      <c r="Z1162" s="57"/>
      <c r="AA1162" s="57"/>
      <c r="AB1162" s="57"/>
      <c r="AC1162" s="57"/>
      <c r="AD1162" s="57"/>
      <c r="AE1162" s="57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ht="15.75" x14ac:dyDescent="0.25">
      <c r="A1163" t="s">
        <v>51</v>
      </c>
      <c r="B1163" s="57"/>
      <c r="C1163" s="57"/>
      <c r="D1163" s="57"/>
      <c r="E1163" s="57"/>
      <c r="G1163" s="57"/>
      <c r="I1163" s="57" t="s">
        <v>15</v>
      </c>
      <c r="J1163" s="19">
        <v>1</v>
      </c>
      <c r="M1163" t="s">
        <v>51</v>
      </c>
      <c r="N1163" s="57"/>
      <c r="O1163" s="57"/>
      <c r="P1163" s="57"/>
      <c r="Q1163" s="57"/>
      <c r="R1163" s="57"/>
      <c r="S1163" s="57"/>
      <c r="U1163" s="57" t="s">
        <v>15</v>
      </c>
      <c r="V1163" s="19">
        <v>2</v>
      </c>
      <c r="Y1163" t="s">
        <v>51</v>
      </c>
      <c r="Z1163" s="57"/>
      <c r="AA1163" s="57"/>
      <c r="AB1163" s="57"/>
      <c r="AC1163" s="57"/>
      <c r="AD1163" s="57"/>
      <c r="AE1163" s="57"/>
      <c r="AG1163" s="57" t="s">
        <v>15</v>
      </c>
      <c r="AH1163" s="20">
        <v>3</v>
      </c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21" t="s">
        <v>140</v>
      </c>
      <c r="B1164" s="20"/>
      <c r="C1164" s="57"/>
      <c r="D1164" s="57"/>
      <c r="E1164" s="57"/>
      <c r="G1164" s="57"/>
      <c r="I1164" s="22" t="s">
        <v>16</v>
      </c>
      <c r="J1164" s="23" t="s">
        <v>141</v>
      </c>
      <c r="K1164" s="24"/>
      <c r="M1164" s="21" t="s">
        <v>140</v>
      </c>
      <c r="N1164" s="20"/>
      <c r="O1164" s="57"/>
      <c r="P1164" s="57"/>
      <c r="Q1164" s="57"/>
      <c r="R1164" s="57"/>
      <c r="S1164" s="57"/>
      <c r="U1164" s="22" t="s">
        <v>16</v>
      </c>
      <c r="V1164" s="23" t="s">
        <v>33</v>
      </c>
      <c r="W1164" s="24"/>
      <c r="Y1164" s="21" t="s">
        <v>140</v>
      </c>
      <c r="Z1164" s="20"/>
      <c r="AA1164" s="57"/>
      <c r="AB1164" s="57"/>
      <c r="AC1164" s="57"/>
      <c r="AD1164" s="57"/>
      <c r="AE1164" s="57"/>
      <c r="AG1164" s="22" t="s">
        <v>16</v>
      </c>
      <c r="AH1164" s="23" t="s">
        <v>34</v>
      </c>
      <c r="AI1164" s="24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57"/>
      <c r="C1165" s="57"/>
      <c r="D1165" s="57"/>
      <c r="E1165" s="57"/>
      <c r="G1165" s="57"/>
      <c r="N1165" s="57"/>
      <c r="O1165" s="57"/>
      <c r="P1165" s="57"/>
      <c r="Q1165" s="57"/>
      <c r="R1165" s="57"/>
      <c r="S1165" s="57"/>
      <c r="Z1165" s="57"/>
      <c r="AA1165" s="57"/>
      <c r="AB1165" s="57"/>
      <c r="AC1165" s="57"/>
      <c r="AD1165" s="57"/>
      <c r="AE1165" s="57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B1166" s="25"/>
      <c r="C1166" s="26"/>
      <c r="D1166" s="126" t="s">
        <v>17</v>
      </c>
      <c r="E1166" s="126"/>
      <c r="F1166" s="114"/>
      <c r="G1166" s="27"/>
      <c r="I1166" s="120" t="s">
        <v>18</v>
      </c>
      <c r="J1166" s="121"/>
      <c r="K1166" s="122" t="s">
        <v>19</v>
      </c>
      <c r="N1166" s="25"/>
      <c r="O1166" s="26"/>
      <c r="P1166" s="126" t="s">
        <v>17</v>
      </c>
      <c r="Q1166" s="126"/>
      <c r="R1166" s="114"/>
      <c r="S1166" s="27"/>
      <c r="U1166" s="120" t="s">
        <v>18</v>
      </c>
      <c r="V1166" s="121"/>
      <c r="W1166" s="122" t="s">
        <v>19</v>
      </c>
      <c r="Z1166" s="25"/>
      <c r="AA1166" s="26"/>
      <c r="AB1166" s="126" t="s">
        <v>17</v>
      </c>
      <c r="AC1166" s="126"/>
      <c r="AD1166" s="114"/>
      <c r="AE1166" s="27"/>
      <c r="AG1166" s="120" t="s">
        <v>18</v>
      </c>
      <c r="AH1166" s="121"/>
      <c r="AI1166" s="122" t="s">
        <v>19</v>
      </c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ht="30" x14ac:dyDescent="0.25">
      <c r="B1167" s="28" t="s">
        <v>20</v>
      </c>
      <c r="C1167" s="28" t="s">
        <v>21</v>
      </c>
      <c r="D1167" s="77" t="s">
        <v>22</v>
      </c>
      <c r="E1167" s="76" t="s">
        <v>23</v>
      </c>
      <c r="F1167" s="78" t="s">
        <v>32</v>
      </c>
      <c r="G1167" s="78" t="s">
        <v>24</v>
      </c>
      <c r="I1167" s="29" t="s">
        <v>25</v>
      </c>
      <c r="J1167" s="29" t="s">
        <v>26</v>
      </c>
      <c r="K1167" s="123"/>
      <c r="N1167" s="28" t="s">
        <v>20</v>
      </c>
      <c r="O1167" s="28" t="s">
        <v>21</v>
      </c>
      <c r="P1167" s="77" t="s">
        <v>22</v>
      </c>
      <c r="Q1167" s="78" t="s">
        <v>23</v>
      </c>
      <c r="R1167" s="78" t="s">
        <v>32</v>
      </c>
      <c r="S1167" s="78" t="s">
        <v>24</v>
      </c>
      <c r="U1167" s="29" t="s">
        <v>25</v>
      </c>
      <c r="V1167" s="29" t="s">
        <v>26</v>
      </c>
      <c r="W1167" s="123"/>
      <c r="Z1167" s="28" t="s">
        <v>20</v>
      </c>
      <c r="AA1167" s="28" t="s">
        <v>21</v>
      </c>
      <c r="AB1167" s="77" t="s">
        <v>22</v>
      </c>
      <c r="AC1167" s="78" t="s">
        <v>23</v>
      </c>
      <c r="AD1167" s="78" t="s">
        <v>32</v>
      </c>
      <c r="AE1167" s="78" t="s">
        <v>24</v>
      </c>
      <c r="AG1167" s="29" t="s">
        <v>25</v>
      </c>
      <c r="AH1167" s="29" t="s">
        <v>26</v>
      </c>
      <c r="AI1167" s="123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1</v>
      </c>
      <c r="B1168" s="30" t="s">
        <v>142</v>
      </c>
      <c r="C1168" s="82">
        <v>10810</v>
      </c>
      <c r="D1168" s="32">
        <f>650*324+622*20+229*9</f>
        <v>225101</v>
      </c>
      <c r="E1168" s="32">
        <f>-344*6</f>
        <v>-2064</v>
      </c>
      <c r="F1168" s="32"/>
      <c r="G1168" s="32">
        <f t="shared" ref="G1168:G1181" si="273">SUM(D1168:E1168)</f>
        <v>223037</v>
      </c>
      <c r="H1168" s="12"/>
      <c r="I1168" s="12">
        <f>111*71+1.5*192</f>
        <v>8169</v>
      </c>
      <c r="J1168" s="12"/>
      <c r="K1168" s="12">
        <f t="shared" ref="K1168:K1201" si="274">SUM(G1168:J1168)</f>
        <v>231206</v>
      </c>
      <c r="M1168" s="10">
        <v>1</v>
      </c>
      <c r="N1168" s="30" t="s">
        <v>142</v>
      </c>
      <c r="O1168" s="31">
        <v>10773</v>
      </c>
      <c r="P1168" s="32">
        <f>650*25+622*2+1102+650</f>
        <v>19246</v>
      </c>
      <c r="Q1168" s="32"/>
      <c r="R1168" s="32"/>
      <c r="S1168" s="32">
        <f>SUM(P1168:Q1168)</f>
        <v>19246</v>
      </c>
      <c r="T1168" s="12"/>
      <c r="U1168" s="12"/>
      <c r="V1168" s="12"/>
      <c r="W1168" s="12">
        <f>SUM(S1168:V1168)</f>
        <v>19246</v>
      </c>
      <c r="Y1168" s="10">
        <v>1</v>
      </c>
      <c r="Z1168" s="30" t="s">
        <v>142</v>
      </c>
      <c r="AA1168" s="31">
        <v>10709</v>
      </c>
      <c r="AB1168" s="32">
        <f>650*100+670*5+229*4+650</f>
        <v>69916</v>
      </c>
      <c r="AC1168" s="32">
        <f>-105*6</f>
        <v>-630</v>
      </c>
      <c r="AD1168" s="32"/>
      <c r="AE1168" s="32">
        <f>SUM(AB1168:AC1168)</f>
        <v>69286</v>
      </c>
      <c r="AF1168" s="12"/>
      <c r="AG1168" s="12">
        <v>78</v>
      </c>
      <c r="AH1168" s="12"/>
      <c r="AI1168" s="12">
        <f>SUM(AE1168:AH1168)</f>
        <v>69364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2</v>
      </c>
      <c r="B1169" s="30" t="s">
        <v>143</v>
      </c>
      <c r="C1169" s="82">
        <f>C1168+1</f>
        <v>10811</v>
      </c>
      <c r="D1169" s="32">
        <f>622*5</f>
        <v>3110</v>
      </c>
      <c r="E1169" s="32"/>
      <c r="F1169" s="32"/>
      <c r="G1169" s="32">
        <f t="shared" si="273"/>
        <v>3110</v>
      </c>
      <c r="H1169" s="12"/>
      <c r="I1169" s="12"/>
      <c r="J1169" s="12">
        <f>-111*14</f>
        <v>-1554</v>
      </c>
      <c r="K1169" s="12">
        <f t="shared" si="274"/>
        <v>1556</v>
      </c>
      <c r="M1169" s="10">
        <v>2</v>
      </c>
      <c r="N1169" s="30" t="s">
        <v>143</v>
      </c>
      <c r="O1169" s="31">
        <f>O1168+1</f>
        <v>10774</v>
      </c>
      <c r="P1169" s="32">
        <f>650*3+9.5*3</f>
        <v>1978.5</v>
      </c>
      <c r="Q1169" s="32"/>
      <c r="R1169" s="32"/>
      <c r="S1169" s="32">
        <f t="shared" ref="S1169:S1206" si="275">SUM(P1169:Q1169)</f>
        <v>1978.5</v>
      </c>
      <c r="T1169" s="12"/>
      <c r="U1169" s="12"/>
      <c r="V1169" s="12"/>
      <c r="W1169" s="12">
        <f t="shared" ref="W1169:W1209" si="276">SUM(S1169:V1169)</f>
        <v>1978.5</v>
      </c>
      <c r="Y1169" s="10">
        <v>2</v>
      </c>
      <c r="Z1169" s="30" t="s">
        <v>143</v>
      </c>
      <c r="AA1169" s="31">
        <f>AA1168+1</f>
        <v>10710</v>
      </c>
      <c r="AB1169" s="32">
        <f>650*17+622*3+229</f>
        <v>13145</v>
      </c>
      <c r="AC1169" s="32"/>
      <c r="AD1169" s="32"/>
      <c r="AE1169" s="32">
        <f t="shared" ref="AE1169:AE1206" si="277">SUM(AB1169:AC1169)</f>
        <v>13145</v>
      </c>
      <c r="AF1169" s="12"/>
      <c r="AG1169" s="12">
        <f>111*3+4.5*18</f>
        <v>414</v>
      </c>
      <c r="AH1169" s="12"/>
      <c r="AI1169" s="12">
        <f t="shared" ref="AI1169:AI1209" si="278">SUM(AE1169:AH1169)</f>
        <v>13559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3</v>
      </c>
      <c r="B1170" s="30"/>
      <c r="C1170" s="11" t="s">
        <v>27</v>
      </c>
      <c r="D1170" s="33"/>
      <c r="E1170" s="33"/>
      <c r="F1170" s="33"/>
      <c r="G1170" s="33">
        <f t="shared" si="273"/>
        <v>0</v>
      </c>
      <c r="H1170" s="34"/>
      <c r="I1170" s="34"/>
      <c r="J1170" s="34"/>
      <c r="K1170" s="34">
        <f t="shared" si="274"/>
        <v>0</v>
      </c>
      <c r="M1170" s="10">
        <v>3</v>
      </c>
      <c r="N1170" s="30" t="s">
        <v>144</v>
      </c>
      <c r="O1170" s="31">
        <f t="shared" ref="O1170:O1173" si="279">O1169+1</f>
        <v>10775</v>
      </c>
      <c r="P1170" s="32">
        <f>650*102+670*8+622*18+229*2</f>
        <v>83314</v>
      </c>
      <c r="Q1170" s="32">
        <f>-128*6</f>
        <v>-768</v>
      </c>
      <c r="R1170" s="32"/>
      <c r="S1170" s="32">
        <f t="shared" si="275"/>
        <v>82546</v>
      </c>
      <c r="T1170" s="12"/>
      <c r="U1170" s="12">
        <f>1.5*31</f>
        <v>46.5</v>
      </c>
      <c r="V1170" s="12"/>
      <c r="W1170" s="12">
        <f t="shared" si="276"/>
        <v>82592.5</v>
      </c>
      <c r="Y1170" s="10">
        <v>3</v>
      </c>
      <c r="Z1170" s="30" t="s">
        <v>144</v>
      </c>
      <c r="AA1170" s="31">
        <f t="shared" ref="AA1170:AA1177" si="280">AA1169+1</f>
        <v>10711</v>
      </c>
      <c r="AB1170" s="32">
        <f>650*24+622*6+229</f>
        <v>19561</v>
      </c>
      <c r="AC1170" s="32"/>
      <c r="AD1170" s="32"/>
      <c r="AE1170" s="32">
        <f t="shared" si="277"/>
        <v>19561</v>
      </c>
      <c r="AF1170" s="12"/>
      <c r="AG1170" s="12">
        <f>111*10</f>
        <v>1110</v>
      </c>
      <c r="AH1170" s="12"/>
      <c r="AI1170" s="12">
        <f t="shared" si="278"/>
        <v>20671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4</v>
      </c>
      <c r="B1171" s="30"/>
      <c r="C1171" s="82"/>
      <c r="D1171" s="32"/>
      <c r="E1171" s="32"/>
      <c r="F1171" s="32"/>
      <c r="G1171" s="32">
        <f t="shared" si="273"/>
        <v>0</v>
      </c>
      <c r="H1171" s="12"/>
      <c r="I1171" s="12"/>
      <c r="J1171" s="12"/>
      <c r="K1171" s="12">
        <f t="shared" si="274"/>
        <v>0</v>
      </c>
      <c r="M1171" s="10">
        <v>4</v>
      </c>
      <c r="N1171" s="30" t="s">
        <v>145</v>
      </c>
      <c r="O1171" s="31">
        <f t="shared" si="279"/>
        <v>10776</v>
      </c>
      <c r="P1171" s="32">
        <f>650*9+9.5*9</f>
        <v>5935.5</v>
      </c>
      <c r="Q1171" s="32"/>
      <c r="R1171" s="32"/>
      <c r="S1171" s="32">
        <f t="shared" si="275"/>
        <v>5935.5</v>
      </c>
      <c r="T1171" s="12"/>
      <c r="U1171" s="12"/>
      <c r="V1171" s="12"/>
      <c r="W1171" s="12">
        <f t="shared" si="276"/>
        <v>5935.5</v>
      </c>
      <c r="Y1171" s="10">
        <v>4</v>
      </c>
      <c r="Z1171" s="30" t="s">
        <v>145</v>
      </c>
      <c r="AA1171" s="31">
        <f t="shared" si="280"/>
        <v>10712</v>
      </c>
      <c r="AB1171" s="32">
        <f>650*35+973+622*6</f>
        <v>27455</v>
      </c>
      <c r="AC1171" s="32"/>
      <c r="AD1171" s="32"/>
      <c r="AE1171" s="32">
        <f t="shared" si="277"/>
        <v>27455</v>
      </c>
      <c r="AF1171" s="12"/>
      <c r="AG1171" s="12">
        <f>111*2</f>
        <v>222</v>
      </c>
      <c r="AH1171" s="12"/>
      <c r="AI1171" s="12">
        <f t="shared" si="278"/>
        <v>27677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5</v>
      </c>
      <c r="B1172" s="30"/>
      <c r="C1172" s="82"/>
      <c r="D1172" s="32"/>
      <c r="E1172" s="32"/>
      <c r="F1172" s="32"/>
      <c r="G1172" s="32">
        <f t="shared" si="273"/>
        <v>0</v>
      </c>
      <c r="H1172" s="12"/>
      <c r="I1172" s="12"/>
      <c r="J1172" s="12"/>
      <c r="K1172" s="12">
        <f t="shared" si="274"/>
        <v>0</v>
      </c>
      <c r="M1172" s="10">
        <v>5</v>
      </c>
      <c r="N1172" s="30" t="s">
        <v>146</v>
      </c>
      <c r="O1172" s="31">
        <f t="shared" si="279"/>
        <v>10777</v>
      </c>
      <c r="P1172" s="32">
        <f>650*7+9.5*7</f>
        <v>4616.5</v>
      </c>
      <c r="Q1172" s="32"/>
      <c r="R1172" s="32"/>
      <c r="S1172" s="32">
        <f t="shared" si="275"/>
        <v>4616.5</v>
      </c>
      <c r="T1172" s="12"/>
      <c r="U1172" s="12"/>
      <c r="V1172" s="12"/>
      <c r="W1172" s="12">
        <f t="shared" si="276"/>
        <v>4616.5</v>
      </c>
      <c r="Y1172" s="10">
        <v>5</v>
      </c>
      <c r="Z1172" s="30" t="s">
        <v>146</v>
      </c>
      <c r="AA1172" s="31">
        <f t="shared" si="280"/>
        <v>10713</v>
      </c>
      <c r="AB1172" s="32">
        <f>650*55+622*5+229</f>
        <v>39089</v>
      </c>
      <c r="AC1172" s="32"/>
      <c r="AD1172" s="32"/>
      <c r="AE1172" s="32">
        <f t="shared" si="277"/>
        <v>39089</v>
      </c>
      <c r="AF1172" s="12"/>
      <c r="AG1172" s="12">
        <f>4.5*16</f>
        <v>72</v>
      </c>
      <c r="AH1172" s="12"/>
      <c r="AI1172" s="12">
        <f t="shared" si="278"/>
        <v>39161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6</v>
      </c>
      <c r="B1173" s="30"/>
      <c r="C1173" s="82"/>
      <c r="D1173" s="32"/>
      <c r="E1173" s="32"/>
      <c r="F1173" s="32"/>
      <c r="G1173" s="32">
        <f t="shared" si="273"/>
        <v>0</v>
      </c>
      <c r="H1173" s="12"/>
      <c r="I1173" s="12"/>
      <c r="J1173" s="12"/>
      <c r="K1173" s="12">
        <f t="shared" si="274"/>
        <v>0</v>
      </c>
      <c r="M1173" s="10">
        <v>6</v>
      </c>
      <c r="N1173" s="30" t="s">
        <v>147</v>
      </c>
      <c r="O1173" s="31">
        <f t="shared" si="279"/>
        <v>10778</v>
      </c>
      <c r="P1173" s="32">
        <f>650*3+9.5*3</f>
        <v>1978.5</v>
      </c>
      <c r="Q1173" s="32"/>
      <c r="R1173" s="32"/>
      <c r="S1173" s="32">
        <f t="shared" si="275"/>
        <v>1978.5</v>
      </c>
      <c r="T1173" s="12"/>
      <c r="U1173" s="12"/>
      <c r="V1173" s="10"/>
      <c r="W1173" s="12">
        <f t="shared" si="276"/>
        <v>1978.5</v>
      </c>
      <c r="Y1173" s="10">
        <v>6</v>
      </c>
      <c r="Z1173" s="30" t="s">
        <v>147</v>
      </c>
      <c r="AA1173" s="31">
        <f t="shared" si="280"/>
        <v>10714</v>
      </c>
      <c r="AB1173" s="32">
        <f>650*4</f>
        <v>2600</v>
      </c>
      <c r="AC1173" s="32"/>
      <c r="AD1173" s="32"/>
      <c r="AE1173" s="32">
        <f t="shared" si="277"/>
        <v>2600</v>
      </c>
      <c r="AF1173" s="12"/>
      <c r="AG1173" s="12">
        <f>4.5*12</f>
        <v>54</v>
      </c>
      <c r="AH1173" s="10"/>
      <c r="AI1173" s="12">
        <f t="shared" si="278"/>
        <v>2654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7</v>
      </c>
      <c r="B1174" s="30"/>
      <c r="C1174" s="82"/>
      <c r="D1174" s="32"/>
      <c r="E1174" s="32"/>
      <c r="F1174" s="32"/>
      <c r="G1174" s="32">
        <f t="shared" si="273"/>
        <v>0</v>
      </c>
      <c r="H1174" s="12"/>
      <c r="I1174" s="12"/>
      <c r="J1174" s="12"/>
      <c r="K1174" s="12">
        <f t="shared" si="274"/>
        <v>0</v>
      </c>
      <c r="M1174" s="10">
        <v>7</v>
      </c>
      <c r="N1174" s="30"/>
      <c r="O1174" s="11" t="s">
        <v>27</v>
      </c>
      <c r="P1174" s="32"/>
      <c r="Q1174" s="32"/>
      <c r="R1174" s="32"/>
      <c r="S1174" s="32">
        <f t="shared" si="275"/>
        <v>0</v>
      </c>
      <c r="T1174" s="12"/>
      <c r="U1174" s="12"/>
      <c r="V1174" s="12"/>
      <c r="W1174" s="12">
        <f t="shared" si="276"/>
        <v>0</v>
      </c>
      <c r="Y1174" s="10">
        <v>7</v>
      </c>
      <c r="Z1174" s="30" t="s">
        <v>148</v>
      </c>
      <c r="AA1174" s="31">
        <f t="shared" si="280"/>
        <v>10715</v>
      </c>
      <c r="AB1174" s="32">
        <f>650*20+117*3</f>
        <v>13351</v>
      </c>
      <c r="AC1174" s="32"/>
      <c r="AD1174" s="32"/>
      <c r="AE1174" s="32">
        <f t="shared" si="277"/>
        <v>13351</v>
      </c>
      <c r="AF1174" s="12"/>
      <c r="AG1174" s="12"/>
      <c r="AH1174" s="12"/>
      <c r="AI1174" s="12">
        <f t="shared" si="278"/>
        <v>13351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8</v>
      </c>
      <c r="B1175" s="30"/>
      <c r="C1175" s="82"/>
      <c r="D1175" s="32"/>
      <c r="E1175" s="32"/>
      <c r="F1175" s="32"/>
      <c r="G1175" s="32">
        <f t="shared" si="273"/>
        <v>0</v>
      </c>
      <c r="H1175" s="12"/>
      <c r="I1175" s="12"/>
      <c r="J1175" s="12"/>
      <c r="K1175" s="12">
        <f t="shared" si="274"/>
        <v>0</v>
      </c>
      <c r="M1175" s="10">
        <v>8</v>
      </c>
      <c r="N1175" s="30"/>
      <c r="O1175" s="31"/>
      <c r="P1175" s="32"/>
      <c r="Q1175" s="32"/>
      <c r="R1175" s="32"/>
      <c r="S1175" s="32">
        <f t="shared" si="275"/>
        <v>0</v>
      </c>
      <c r="T1175" s="12"/>
      <c r="U1175" s="12"/>
      <c r="V1175" s="12"/>
      <c r="W1175" s="12">
        <f t="shared" si="276"/>
        <v>0</v>
      </c>
      <c r="Y1175" s="10">
        <v>8</v>
      </c>
      <c r="Z1175" s="30" t="s">
        <v>149</v>
      </c>
      <c r="AA1175" s="31">
        <f t="shared" si="280"/>
        <v>10716</v>
      </c>
      <c r="AB1175" s="32">
        <f>650*20+670+622*2</f>
        <v>14914</v>
      </c>
      <c r="AC1175" s="32"/>
      <c r="AD1175" s="32"/>
      <c r="AE1175" s="32">
        <f t="shared" si="277"/>
        <v>14914</v>
      </c>
      <c r="AF1175" s="12"/>
      <c r="AG1175" s="12"/>
      <c r="AH1175" s="12"/>
      <c r="AI1175" s="12">
        <f t="shared" si="278"/>
        <v>14914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9</v>
      </c>
      <c r="B1176" s="30"/>
      <c r="C1176" s="82"/>
      <c r="D1176" s="32"/>
      <c r="E1176" s="32"/>
      <c r="F1176" s="32"/>
      <c r="G1176" s="32">
        <f t="shared" si="273"/>
        <v>0</v>
      </c>
      <c r="H1176" s="12"/>
      <c r="I1176" s="12"/>
      <c r="J1176" s="12"/>
      <c r="K1176" s="12">
        <f t="shared" si="274"/>
        <v>0</v>
      </c>
      <c r="M1176" s="10">
        <v>9</v>
      </c>
      <c r="N1176" s="30"/>
      <c r="O1176" s="31"/>
      <c r="Q1176" s="32"/>
      <c r="R1176" s="32"/>
      <c r="S1176" s="32">
        <f t="shared" si="275"/>
        <v>0</v>
      </c>
      <c r="T1176" s="12"/>
      <c r="U1176" s="12"/>
      <c r="V1176" s="12"/>
      <c r="W1176" s="12">
        <f t="shared" si="276"/>
        <v>0</v>
      </c>
      <c r="Y1176" s="10">
        <v>9</v>
      </c>
      <c r="Z1176" s="30" t="s">
        <v>150</v>
      </c>
      <c r="AA1176" s="31">
        <f t="shared" si="280"/>
        <v>10717</v>
      </c>
      <c r="AB1176" s="32">
        <f>650*10</f>
        <v>6500</v>
      </c>
      <c r="AC1176" s="32"/>
      <c r="AD1176" s="32"/>
      <c r="AE1176" s="32">
        <f t="shared" si="277"/>
        <v>6500</v>
      </c>
      <c r="AF1176" s="12"/>
      <c r="AG1176" s="12"/>
      <c r="AH1176" s="12"/>
      <c r="AI1176" s="12">
        <f t="shared" si="278"/>
        <v>6500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10</v>
      </c>
      <c r="B1177" s="30"/>
      <c r="C1177" s="82"/>
      <c r="D1177" s="32"/>
      <c r="E1177" s="32"/>
      <c r="F1177" s="32"/>
      <c r="G1177" s="32">
        <f t="shared" si="273"/>
        <v>0</v>
      </c>
      <c r="H1177" s="12"/>
      <c r="I1177" s="12"/>
      <c r="J1177" s="12"/>
      <c r="K1177" s="12">
        <f t="shared" si="274"/>
        <v>0</v>
      </c>
      <c r="M1177" s="10">
        <v>10</v>
      </c>
      <c r="N1177" s="30"/>
      <c r="O1177" s="31"/>
      <c r="P1177" s="32"/>
      <c r="Q1177" s="32"/>
      <c r="R1177" s="32"/>
      <c r="S1177" s="32">
        <f t="shared" si="275"/>
        <v>0</v>
      </c>
      <c r="T1177" s="12"/>
      <c r="U1177" s="12"/>
      <c r="V1177" s="12"/>
      <c r="W1177" s="12">
        <f t="shared" si="276"/>
        <v>0</v>
      </c>
      <c r="Y1177" s="10">
        <v>10</v>
      </c>
      <c r="Z1177" s="30" t="s">
        <v>151</v>
      </c>
      <c r="AA1177" s="31">
        <f t="shared" si="280"/>
        <v>10718</v>
      </c>
      <c r="AB1177" s="32">
        <f>650*13</f>
        <v>8450</v>
      </c>
      <c r="AC1177" s="32"/>
      <c r="AD1177" s="32"/>
      <c r="AE1177" s="32">
        <f t="shared" si="277"/>
        <v>8450</v>
      </c>
      <c r="AF1177" s="12"/>
      <c r="AG1177" s="12">
        <f>4.5*14</f>
        <v>63</v>
      </c>
      <c r="AH1177" s="12"/>
      <c r="AI1177" s="12">
        <f t="shared" si="278"/>
        <v>8513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11</v>
      </c>
      <c r="B1178" s="30"/>
      <c r="C1178" s="82"/>
      <c r="D1178" s="32"/>
      <c r="E1178" s="32"/>
      <c r="F1178" s="32"/>
      <c r="G1178" s="32">
        <f t="shared" si="273"/>
        <v>0</v>
      </c>
      <c r="H1178" s="12"/>
      <c r="I1178" s="12"/>
      <c r="J1178" s="12"/>
      <c r="K1178" s="12">
        <f t="shared" si="274"/>
        <v>0</v>
      </c>
      <c r="M1178" s="10">
        <v>11</v>
      </c>
      <c r="N1178" s="30"/>
      <c r="O1178" s="31"/>
      <c r="P1178" s="32"/>
      <c r="Q1178" s="32"/>
      <c r="R1178" s="32"/>
      <c r="S1178" s="32">
        <f t="shared" si="275"/>
        <v>0</v>
      </c>
      <c r="T1178" s="12"/>
      <c r="U1178" s="12"/>
      <c r="V1178" s="12"/>
      <c r="W1178" s="12">
        <f t="shared" si="276"/>
        <v>0</v>
      </c>
      <c r="Y1178" s="10">
        <v>11</v>
      </c>
      <c r="Z1178" s="30"/>
      <c r="AA1178" s="11" t="s">
        <v>27</v>
      </c>
      <c r="AB1178" s="32"/>
      <c r="AC1178" s="32"/>
      <c r="AD1178" s="32"/>
      <c r="AE1178" s="32">
        <f t="shared" si="277"/>
        <v>0</v>
      </c>
      <c r="AF1178" s="12"/>
      <c r="AG1178" s="12"/>
      <c r="AH1178" s="12"/>
      <c r="AI1178" s="12">
        <f t="shared" si="278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12</v>
      </c>
      <c r="B1179" s="30"/>
      <c r="C1179" s="82"/>
      <c r="D1179" s="32"/>
      <c r="E1179" s="32"/>
      <c r="F1179" s="32"/>
      <c r="G1179" s="32">
        <f t="shared" si="273"/>
        <v>0</v>
      </c>
      <c r="H1179" s="12"/>
      <c r="I1179" s="12"/>
      <c r="J1179" s="10"/>
      <c r="K1179" s="12">
        <f t="shared" si="274"/>
        <v>0</v>
      </c>
      <c r="M1179" s="10">
        <v>12</v>
      </c>
      <c r="N1179" s="30"/>
      <c r="O1179" s="31"/>
      <c r="P1179" s="32"/>
      <c r="Q1179" s="32"/>
      <c r="R1179" s="32"/>
      <c r="S1179" s="32">
        <f t="shared" si="275"/>
        <v>0</v>
      </c>
      <c r="T1179" s="12"/>
      <c r="U1179" s="12"/>
      <c r="V1179" s="12"/>
      <c r="W1179" s="12">
        <f t="shared" si="276"/>
        <v>0</v>
      </c>
      <c r="Y1179" s="10">
        <v>12</v>
      </c>
      <c r="Z1179" s="30"/>
      <c r="AA1179" s="31"/>
      <c r="AB1179" s="32"/>
      <c r="AC1179" s="32"/>
      <c r="AD1179" s="32"/>
      <c r="AE1179" s="32">
        <f t="shared" si="277"/>
        <v>0</v>
      </c>
      <c r="AF1179" s="12"/>
      <c r="AG1179" s="12"/>
      <c r="AH1179" s="12"/>
      <c r="AI1179" s="12">
        <f t="shared" si="278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13</v>
      </c>
      <c r="B1180" s="30"/>
      <c r="C1180" s="82"/>
      <c r="D1180" s="32"/>
      <c r="E1180" s="32"/>
      <c r="F1180" s="32"/>
      <c r="G1180" s="32">
        <f t="shared" si="273"/>
        <v>0</v>
      </c>
      <c r="H1180" s="12"/>
      <c r="I1180" s="12"/>
      <c r="J1180" s="12"/>
      <c r="K1180" s="12">
        <f t="shared" si="274"/>
        <v>0</v>
      </c>
      <c r="M1180" s="10">
        <v>13</v>
      </c>
      <c r="N1180" s="30"/>
      <c r="O1180" s="31"/>
      <c r="P1180" s="32"/>
      <c r="Q1180" s="32"/>
      <c r="R1180" s="32"/>
      <c r="S1180" s="32">
        <f t="shared" si="275"/>
        <v>0</v>
      </c>
      <c r="T1180" s="12"/>
      <c r="U1180" s="12"/>
      <c r="V1180" s="12"/>
      <c r="W1180" s="12">
        <f t="shared" si="276"/>
        <v>0</v>
      </c>
      <c r="Y1180" s="10">
        <v>13</v>
      </c>
      <c r="Z1180" s="30"/>
      <c r="AA1180" s="31"/>
      <c r="AB1180" s="32"/>
      <c r="AC1180" s="32"/>
      <c r="AD1180" s="32"/>
      <c r="AE1180" s="32">
        <f t="shared" si="277"/>
        <v>0</v>
      </c>
      <c r="AF1180" s="12"/>
      <c r="AG1180" s="12"/>
      <c r="AH1180" s="12"/>
      <c r="AI1180" s="12">
        <f t="shared" si="278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14</v>
      </c>
      <c r="B1181" s="30"/>
      <c r="D1181" s="32"/>
      <c r="E1181" s="32"/>
      <c r="F1181" s="32"/>
      <c r="G1181" s="32">
        <f t="shared" si="273"/>
        <v>0</v>
      </c>
      <c r="H1181" s="12"/>
      <c r="I1181" s="12"/>
      <c r="J1181" s="12"/>
      <c r="K1181" s="12">
        <f t="shared" si="274"/>
        <v>0</v>
      </c>
      <c r="M1181" s="10">
        <v>14</v>
      </c>
      <c r="N1181" s="30"/>
      <c r="P1181" s="32"/>
      <c r="Q1181" s="32"/>
      <c r="R1181" s="32"/>
      <c r="S1181" s="32">
        <f t="shared" si="275"/>
        <v>0</v>
      </c>
      <c r="T1181" s="12"/>
      <c r="U1181" s="12"/>
      <c r="V1181" s="12"/>
      <c r="W1181" s="12">
        <f t="shared" si="276"/>
        <v>0</v>
      </c>
      <c r="Y1181" s="10">
        <v>14</v>
      </c>
      <c r="Z1181" s="30"/>
      <c r="AB1181" s="32"/>
      <c r="AC1181" s="32"/>
      <c r="AD1181" s="32"/>
      <c r="AE1181" s="32">
        <f t="shared" si="277"/>
        <v>0</v>
      </c>
      <c r="AF1181" s="12"/>
      <c r="AG1181" s="12"/>
      <c r="AH1181" s="12"/>
      <c r="AI1181" s="12">
        <f t="shared" si="278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15</v>
      </c>
      <c r="B1182" s="30"/>
      <c r="C1182" s="82"/>
      <c r="D1182" s="32"/>
      <c r="E1182" s="32"/>
      <c r="F1182" s="32"/>
      <c r="G1182" s="32"/>
      <c r="H1182" s="12"/>
      <c r="I1182" s="12"/>
      <c r="J1182" s="12"/>
      <c r="K1182" s="12">
        <f t="shared" si="274"/>
        <v>0</v>
      </c>
      <c r="M1182" s="10">
        <v>15</v>
      </c>
      <c r="N1182" s="30"/>
      <c r="P1182" s="32"/>
      <c r="Q1182" s="32"/>
      <c r="R1182" s="32"/>
      <c r="S1182" s="32">
        <f t="shared" si="275"/>
        <v>0</v>
      </c>
      <c r="T1182" s="12"/>
      <c r="U1182" s="12"/>
      <c r="V1182" s="12"/>
      <c r="W1182" s="12">
        <f t="shared" si="276"/>
        <v>0</v>
      </c>
      <c r="Y1182" s="10">
        <v>15</v>
      </c>
      <c r="Z1182" s="30"/>
      <c r="AA1182" s="31"/>
      <c r="AB1182" s="32"/>
      <c r="AC1182" s="32"/>
      <c r="AD1182" s="32"/>
      <c r="AE1182" s="32">
        <f t="shared" si="277"/>
        <v>0</v>
      </c>
      <c r="AF1182" s="12"/>
      <c r="AG1182" s="12"/>
      <c r="AH1182" s="12"/>
      <c r="AI1182" s="12">
        <f t="shared" si="278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16</v>
      </c>
      <c r="B1183" s="30"/>
      <c r="C1183" s="82"/>
      <c r="D1183" s="32"/>
      <c r="E1183" s="32"/>
      <c r="F1183" s="32"/>
      <c r="G1183" s="32"/>
      <c r="H1183" s="12"/>
      <c r="I1183" s="12"/>
      <c r="J1183" s="12"/>
      <c r="K1183" s="12">
        <f t="shared" si="274"/>
        <v>0</v>
      </c>
      <c r="M1183" s="10">
        <v>16</v>
      </c>
      <c r="N1183" s="30"/>
      <c r="O1183" s="11"/>
      <c r="P1183" s="32"/>
      <c r="Q1183" s="32"/>
      <c r="R1183" s="32"/>
      <c r="S1183" s="32">
        <f t="shared" si="275"/>
        <v>0</v>
      </c>
      <c r="T1183" s="12"/>
      <c r="U1183" s="12"/>
      <c r="V1183" s="12"/>
      <c r="W1183" s="12">
        <f t="shared" si="276"/>
        <v>0</v>
      </c>
      <c r="Y1183" s="10">
        <v>16</v>
      </c>
      <c r="Z1183" s="30"/>
      <c r="AA1183" s="31"/>
      <c r="AB1183" s="32"/>
      <c r="AC1183" s="32"/>
      <c r="AD1183" s="32"/>
      <c r="AE1183" s="32">
        <f t="shared" si="277"/>
        <v>0</v>
      </c>
      <c r="AF1183" s="12"/>
      <c r="AG1183" s="12"/>
      <c r="AH1183" s="12"/>
      <c r="AI1183" s="12">
        <f t="shared" si="278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17</v>
      </c>
      <c r="B1184" s="30"/>
      <c r="C1184" s="82"/>
      <c r="D1184" s="32"/>
      <c r="E1184" s="32"/>
      <c r="F1184" s="32"/>
      <c r="G1184" s="32"/>
      <c r="H1184" s="12"/>
      <c r="I1184" s="12"/>
      <c r="J1184" s="12"/>
      <c r="K1184" s="12">
        <f t="shared" si="274"/>
        <v>0</v>
      </c>
      <c r="M1184" s="10">
        <v>17</v>
      </c>
      <c r="N1184" s="30"/>
      <c r="P1184" s="35"/>
      <c r="Q1184" s="32"/>
      <c r="R1184" s="32"/>
      <c r="S1184" s="32">
        <f t="shared" si="275"/>
        <v>0</v>
      </c>
      <c r="T1184" s="12"/>
      <c r="U1184" s="12"/>
      <c r="V1184" s="12"/>
      <c r="W1184" s="12">
        <f t="shared" si="276"/>
        <v>0</v>
      </c>
      <c r="Y1184" s="10">
        <v>17</v>
      </c>
      <c r="Z1184" s="30"/>
      <c r="AB1184" s="35"/>
      <c r="AC1184" s="32"/>
      <c r="AD1184" s="32"/>
      <c r="AE1184" s="32">
        <f t="shared" si="277"/>
        <v>0</v>
      </c>
      <c r="AF1184" s="12"/>
      <c r="AG1184" s="12"/>
      <c r="AH1184" s="12"/>
      <c r="AI1184" s="12">
        <f t="shared" si="278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18</v>
      </c>
      <c r="B1185" s="30"/>
      <c r="C1185" s="82"/>
      <c r="D1185" s="32"/>
      <c r="E1185" s="32"/>
      <c r="F1185" s="32"/>
      <c r="G1185" s="32"/>
      <c r="H1185" s="12"/>
      <c r="I1185" s="12"/>
      <c r="J1185" s="12"/>
      <c r="K1185" s="12">
        <f t="shared" si="274"/>
        <v>0</v>
      </c>
      <c r="M1185" s="10">
        <v>18</v>
      </c>
      <c r="N1185" s="30"/>
      <c r="O1185" s="11"/>
      <c r="P1185" s="32"/>
      <c r="Q1185" s="32"/>
      <c r="R1185" s="32"/>
      <c r="S1185" s="32">
        <f t="shared" si="275"/>
        <v>0</v>
      </c>
      <c r="T1185" s="12"/>
      <c r="U1185" s="12"/>
      <c r="V1185" s="12"/>
      <c r="W1185" s="12">
        <f t="shared" si="276"/>
        <v>0</v>
      </c>
      <c r="Y1185" s="10">
        <v>18</v>
      </c>
      <c r="Z1185" s="30"/>
      <c r="AA1185" s="11"/>
      <c r="AB1185" s="32"/>
      <c r="AC1185" s="32"/>
      <c r="AD1185" s="32"/>
      <c r="AE1185" s="32">
        <f t="shared" si="277"/>
        <v>0</v>
      </c>
      <c r="AF1185" s="12"/>
      <c r="AG1185" s="12"/>
      <c r="AH1185" s="12"/>
      <c r="AI1185" s="12">
        <f t="shared" si="278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19</v>
      </c>
      <c r="B1186" s="30"/>
      <c r="C1186" s="82"/>
      <c r="D1186" s="32"/>
      <c r="E1186" s="32"/>
      <c r="F1186" s="32"/>
      <c r="G1186" s="32"/>
      <c r="H1186" s="12"/>
      <c r="I1186" s="12"/>
      <c r="J1186" s="12"/>
      <c r="K1186" s="12">
        <f t="shared" si="274"/>
        <v>0</v>
      </c>
      <c r="M1186" s="10">
        <v>19</v>
      </c>
      <c r="N1186" s="30"/>
      <c r="O1186" s="31"/>
      <c r="P1186" s="32"/>
      <c r="Q1186" s="32"/>
      <c r="R1186" s="32"/>
      <c r="S1186" s="32">
        <f t="shared" si="275"/>
        <v>0</v>
      </c>
      <c r="T1186" s="12"/>
      <c r="U1186" s="12"/>
      <c r="V1186" s="12"/>
      <c r="W1186" s="12">
        <f t="shared" si="276"/>
        <v>0</v>
      </c>
      <c r="Y1186" s="10">
        <v>19</v>
      </c>
      <c r="Z1186" s="30"/>
      <c r="AA1186" s="31"/>
      <c r="AB1186" s="32"/>
      <c r="AC1186" s="32"/>
      <c r="AD1186" s="32"/>
      <c r="AE1186" s="32">
        <f t="shared" si="277"/>
        <v>0</v>
      </c>
      <c r="AF1186" s="12"/>
      <c r="AG1186" s="12"/>
      <c r="AH1186" s="12"/>
      <c r="AI1186" s="12">
        <f t="shared" si="278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20</v>
      </c>
      <c r="B1187" s="30"/>
      <c r="C1187" s="82"/>
      <c r="D1187" s="32"/>
      <c r="E1187" s="32"/>
      <c r="F1187" s="32"/>
      <c r="G1187" s="32"/>
      <c r="H1187" s="12"/>
      <c r="I1187" s="12"/>
      <c r="J1187" s="12"/>
      <c r="K1187" s="12">
        <f t="shared" si="274"/>
        <v>0</v>
      </c>
      <c r="M1187" s="10">
        <v>20</v>
      </c>
      <c r="N1187" s="30"/>
      <c r="P1187" s="32"/>
      <c r="Q1187" s="32"/>
      <c r="R1187" s="32"/>
      <c r="S1187" s="32">
        <f t="shared" si="275"/>
        <v>0</v>
      </c>
      <c r="T1187" s="12"/>
      <c r="U1187" s="12"/>
      <c r="V1187" s="12"/>
      <c r="W1187" s="12">
        <f t="shared" si="276"/>
        <v>0</v>
      </c>
      <c r="Y1187" s="10">
        <v>20</v>
      </c>
      <c r="Z1187" s="30"/>
      <c r="AB1187" s="32"/>
      <c r="AC1187" s="32"/>
      <c r="AD1187" s="32"/>
      <c r="AE1187" s="32">
        <f t="shared" si="277"/>
        <v>0</v>
      </c>
      <c r="AF1187" s="12"/>
      <c r="AG1187" s="12"/>
      <c r="AH1187" s="12"/>
      <c r="AI1187" s="12">
        <f t="shared" si="278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21</v>
      </c>
      <c r="B1188" s="30"/>
      <c r="C1188" s="11"/>
      <c r="D1188" s="32"/>
      <c r="E1188" s="32"/>
      <c r="F1188" s="32"/>
      <c r="G1188" s="32"/>
      <c r="H1188" s="10"/>
      <c r="I1188" s="10"/>
      <c r="J1188" s="10"/>
      <c r="K1188" s="12">
        <f t="shared" si="274"/>
        <v>0</v>
      </c>
      <c r="M1188" s="10">
        <v>21</v>
      </c>
      <c r="N1188" s="30"/>
      <c r="O1188" s="31"/>
      <c r="P1188" s="46"/>
      <c r="Q1188" s="31"/>
      <c r="R1188" s="31"/>
      <c r="S1188" s="32">
        <f t="shared" si="275"/>
        <v>0</v>
      </c>
      <c r="T1188" s="10"/>
      <c r="U1188" s="10"/>
      <c r="V1188" s="10"/>
      <c r="W1188" s="12">
        <f t="shared" si="276"/>
        <v>0</v>
      </c>
      <c r="Y1188" s="10">
        <v>21</v>
      </c>
      <c r="Z1188" s="30"/>
      <c r="AA1188" s="31"/>
      <c r="AB1188" s="46"/>
      <c r="AC1188" s="31"/>
      <c r="AD1188" s="31"/>
      <c r="AE1188" s="32">
        <f t="shared" si="277"/>
        <v>0</v>
      </c>
      <c r="AF1188" s="10"/>
      <c r="AG1188" s="10"/>
      <c r="AH1188" s="10"/>
      <c r="AI1188" s="12">
        <f t="shared" si="278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22</v>
      </c>
      <c r="B1189" s="30"/>
      <c r="C1189" s="11"/>
      <c r="D1189" s="32"/>
      <c r="E1189" s="32"/>
      <c r="F1189" s="32"/>
      <c r="G1189" s="32">
        <f t="shared" ref="G1189:G1201" si="281">SUM(D1189:E1189)</f>
        <v>0</v>
      </c>
      <c r="H1189" s="10"/>
      <c r="I1189" s="10"/>
      <c r="J1189" s="10"/>
      <c r="K1189" s="12">
        <f t="shared" si="274"/>
        <v>0</v>
      </c>
      <c r="M1189" s="10">
        <v>22</v>
      </c>
      <c r="N1189" s="30"/>
      <c r="O1189" s="31"/>
      <c r="P1189" s="45"/>
      <c r="Q1189" s="31"/>
      <c r="R1189" s="31"/>
      <c r="S1189" s="32">
        <f t="shared" si="275"/>
        <v>0</v>
      </c>
      <c r="T1189" s="10"/>
      <c r="U1189" s="10"/>
      <c r="V1189" s="10"/>
      <c r="W1189" s="12">
        <f t="shared" si="276"/>
        <v>0</v>
      </c>
      <c r="Y1189" s="10">
        <v>22</v>
      </c>
      <c r="Z1189" s="30"/>
      <c r="AA1189" s="31"/>
      <c r="AB1189" s="45"/>
      <c r="AC1189" s="31"/>
      <c r="AD1189" s="31"/>
      <c r="AE1189" s="32">
        <f t="shared" si="277"/>
        <v>0</v>
      </c>
      <c r="AF1189" s="10"/>
      <c r="AG1189" s="10"/>
      <c r="AH1189" s="10"/>
      <c r="AI1189" s="12">
        <f t="shared" si="278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23</v>
      </c>
      <c r="B1190" s="30"/>
      <c r="C1190" s="82"/>
      <c r="D1190" s="32"/>
      <c r="E1190" s="32"/>
      <c r="F1190" s="32"/>
      <c r="G1190" s="32">
        <f t="shared" si="281"/>
        <v>0</v>
      </c>
      <c r="H1190" s="10"/>
      <c r="I1190" s="10"/>
      <c r="J1190" s="12"/>
      <c r="K1190" s="12">
        <f t="shared" si="274"/>
        <v>0</v>
      </c>
      <c r="M1190" s="10">
        <v>23</v>
      </c>
      <c r="N1190" s="30"/>
      <c r="O1190" s="31"/>
      <c r="P1190" s="47"/>
      <c r="Q1190" s="45"/>
      <c r="S1190" s="32">
        <f t="shared" si="275"/>
        <v>0</v>
      </c>
      <c r="T1190" s="10"/>
      <c r="U1190" s="10"/>
      <c r="V1190" s="10"/>
      <c r="W1190" s="12">
        <f t="shared" si="276"/>
        <v>0</v>
      </c>
      <c r="Y1190" s="10">
        <v>23</v>
      </c>
      <c r="Z1190" s="30"/>
      <c r="AA1190" s="31"/>
      <c r="AB1190" s="47"/>
      <c r="AC1190" s="45"/>
      <c r="AE1190" s="32">
        <f t="shared" si="277"/>
        <v>0</v>
      </c>
      <c r="AF1190" s="10"/>
      <c r="AG1190" s="10"/>
      <c r="AH1190" s="10"/>
      <c r="AI1190" s="12">
        <f t="shared" si="278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24</v>
      </c>
      <c r="B1191" s="30"/>
      <c r="C1191" s="82"/>
      <c r="D1191" s="32"/>
      <c r="E1191" s="32"/>
      <c r="F1191" s="32"/>
      <c r="G1191" s="32">
        <f t="shared" si="281"/>
        <v>0</v>
      </c>
      <c r="H1191" s="10"/>
      <c r="I1191" s="10"/>
      <c r="J1191" s="10"/>
      <c r="K1191" s="12">
        <f t="shared" si="274"/>
        <v>0</v>
      </c>
      <c r="M1191" s="10">
        <v>24</v>
      </c>
      <c r="N1191" s="30"/>
      <c r="O1191" s="31"/>
      <c r="P1191" s="47"/>
      <c r="Q1191" s="31"/>
      <c r="R1191" s="31"/>
      <c r="S1191" s="32">
        <f t="shared" si="275"/>
        <v>0</v>
      </c>
      <c r="T1191" s="10"/>
      <c r="U1191" s="10"/>
      <c r="V1191" s="10"/>
      <c r="W1191" s="12">
        <f t="shared" si="276"/>
        <v>0</v>
      </c>
      <c r="Y1191" s="10">
        <v>24</v>
      </c>
      <c r="Z1191" s="30"/>
      <c r="AA1191" s="31"/>
      <c r="AB1191" s="47"/>
      <c r="AC1191" s="31"/>
      <c r="AD1191" s="31"/>
      <c r="AE1191" s="32">
        <f t="shared" si="277"/>
        <v>0</v>
      </c>
      <c r="AF1191" s="10"/>
      <c r="AG1191" s="10"/>
      <c r="AH1191" s="10"/>
      <c r="AI1191" s="12">
        <f t="shared" si="278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25</v>
      </c>
      <c r="B1192" s="30"/>
      <c r="C1192" s="57"/>
      <c r="D1192" s="32"/>
      <c r="E1192" s="32"/>
      <c r="F1192" s="32"/>
      <c r="G1192" s="32">
        <f t="shared" si="281"/>
        <v>0</v>
      </c>
      <c r="H1192" s="10"/>
      <c r="I1192" s="10"/>
      <c r="J1192" s="10"/>
      <c r="K1192" s="12">
        <f t="shared" si="274"/>
        <v>0</v>
      </c>
      <c r="M1192" s="10">
        <v>25</v>
      </c>
      <c r="N1192" s="30"/>
      <c r="O1192" s="31"/>
      <c r="P1192" s="47"/>
      <c r="Q1192" s="31"/>
      <c r="R1192" s="31"/>
      <c r="S1192" s="32">
        <f t="shared" si="275"/>
        <v>0</v>
      </c>
      <c r="T1192" s="10"/>
      <c r="U1192" s="10"/>
      <c r="V1192" s="10"/>
      <c r="W1192" s="12">
        <f t="shared" si="276"/>
        <v>0</v>
      </c>
      <c r="Y1192" s="10">
        <v>25</v>
      </c>
      <c r="Z1192" s="30"/>
      <c r="AA1192" s="31"/>
      <c r="AB1192" s="47"/>
      <c r="AC1192" s="31"/>
      <c r="AD1192" s="31"/>
      <c r="AE1192" s="32">
        <f t="shared" si="277"/>
        <v>0</v>
      </c>
      <c r="AF1192" s="10"/>
      <c r="AG1192" s="10"/>
      <c r="AH1192" s="10"/>
      <c r="AI1192" s="12">
        <f t="shared" si="278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26</v>
      </c>
      <c r="B1193" s="30"/>
      <c r="C1193" s="82"/>
      <c r="D1193" s="32"/>
      <c r="E1193" s="32"/>
      <c r="F1193" s="32"/>
      <c r="G1193" s="32">
        <f t="shared" si="281"/>
        <v>0</v>
      </c>
      <c r="H1193" s="10"/>
      <c r="I1193" s="10"/>
      <c r="J1193" s="10"/>
      <c r="K1193" s="12">
        <f t="shared" si="274"/>
        <v>0</v>
      </c>
      <c r="M1193" s="10">
        <v>26</v>
      </c>
      <c r="N1193" s="30"/>
      <c r="O1193" s="31"/>
      <c r="P1193" s="47"/>
      <c r="Q1193" s="31"/>
      <c r="R1193" s="31"/>
      <c r="S1193" s="32">
        <f t="shared" si="275"/>
        <v>0</v>
      </c>
      <c r="T1193" s="10"/>
      <c r="U1193" s="10"/>
      <c r="V1193" s="10"/>
      <c r="W1193" s="12">
        <f t="shared" si="276"/>
        <v>0</v>
      </c>
      <c r="Y1193" s="10">
        <v>26</v>
      </c>
      <c r="Z1193" s="30"/>
      <c r="AA1193" s="31"/>
      <c r="AB1193" s="47"/>
      <c r="AC1193" s="31"/>
      <c r="AD1193" s="31"/>
      <c r="AE1193" s="32">
        <f t="shared" si="277"/>
        <v>0</v>
      </c>
      <c r="AF1193" s="10"/>
      <c r="AG1193" s="10"/>
      <c r="AH1193" s="10"/>
      <c r="AI1193" s="12">
        <f t="shared" si="278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27</v>
      </c>
      <c r="B1194" s="30"/>
      <c r="C1194" s="82"/>
      <c r="D1194" s="32"/>
      <c r="E1194" s="32"/>
      <c r="F1194" s="32"/>
      <c r="G1194" s="32">
        <f t="shared" si="281"/>
        <v>0</v>
      </c>
      <c r="H1194" s="10"/>
      <c r="I1194" s="10"/>
      <c r="J1194" s="10"/>
      <c r="K1194" s="12">
        <f t="shared" si="274"/>
        <v>0</v>
      </c>
      <c r="M1194" s="10">
        <v>27</v>
      </c>
      <c r="N1194" s="30"/>
      <c r="O1194" s="31"/>
      <c r="P1194" s="47"/>
      <c r="Q1194" s="31"/>
      <c r="R1194" s="31"/>
      <c r="S1194" s="32">
        <f t="shared" si="275"/>
        <v>0</v>
      </c>
      <c r="T1194" s="10"/>
      <c r="U1194" s="10"/>
      <c r="V1194" s="10"/>
      <c r="W1194" s="12">
        <f t="shared" si="276"/>
        <v>0</v>
      </c>
      <c r="Y1194" s="10">
        <v>27</v>
      </c>
      <c r="Z1194" s="30"/>
      <c r="AA1194" s="31"/>
      <c r="AB1194" s="47"/>
      <c r="AC1194" s="31"/>
      <c r="AD1194" s="31"/>
      <c r="AE1194" s="32">
        <f t="shared" si="277"/>
        <v>0</v>
      </c>
      <c r="AF1194" s="10"/>
      <c r="AG1194" s="10"/>
      <c r="AH1194" s="10"/>
      <c r="AI1194" s="12">
        <f t="shared" si="278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28</v>
      </c>
      <c r="B1195" s="30"/>
      <c r="C1195" s="82"/>
      <c r="D1195" s="32"/>
      <c r="E1195" s="32"/>
      <c r="F1195" s="32"/>
      <c r="G1195" s="32">
        <f t="shared" si="281"/>
        <v>0</v>
      </c>
      <c r="H1195" s="10"/>
      <c r="I1195" s="10"/>
      <c r="J1195" s="10"/>
      <c r="K1195" s="12">
        <f t="shared" si="274"/>
        <v>0</v>
      </c>
      <c r="M1195" s="10">
        <v>28</v>
      </c>
      <c r="N1195" s="30"/>
      <c r="O1195" s="31"/>
      <c r="P1195" s="47"/>
      <c r="Q1195" s="31"/>
      <c r="R1195" s="31"/>
      <c r="S1195" s="32">
        <f t="shared" si="275"/>
        <v>0</v>
      </c>
      <c r="T1195" s="10"/>
      <c r="U1195" s="10"/>
      <c r="V1195" s="10"/>
      <c r="W1195" s="12">
        <f t="shared" si="276"/>
        <v>0</v>
      </c>
      <c r="Y1195" s="10">
        <v>28</v>
      </c>
      <c r="Z1195" s="30"/>
      <c r="AA1195" s="31"/>
      <c r="AB1195" s="47"/>
      <c r="AC1195" s="31"/>
      <c r="AD1195" s="31"/>
      <c r="AE1195" s="32">
        <f t="shared" si="277"/>
        <v>0</v>
      </c>
      <c r="AF1195" s="10"/>
      <c r="AG1195" s="10"/>
      <c r="AH1195" s="10"/>
      <c r="AI1195" s="12">
        <f t="shared" si="278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29</v>
      </c>
      <c r="B1196" s="30"/>
      <c r="C1196" s="82"/>
      <c r="D1196" s="32"/>
      <c r="E1196" s="32"/>
      <c r="F1196" s="32"/>
      <c r="G1196" s="32">
        <f t="shared" si="281"/>
        <v>0</v>
      </c>
      <c r="H1196" s="10"/>
      <c r="I1196" s="10"/>
      <c r="J1196" s="10"/>
      <c r="K1196" s="12">
        <f t="shared" si="274"/>
        <v>0</v>
      </c>
      <c r="M1196" s="10">
        <v>29</v>
      </c>
      <c r="N1196" s="30"/>
      <c r="O1196" s="31"/>
      <c r="P1196" s="47"/>
      <c r="Q1196" s="31"/>
      <c r="R1196" s="31"/>
      <c r="S1196" s="32">
        <f t="shared" si="275"/>
        <v>0</v>
      </c>
      <c r="T1196" s="10"/>
      <c r="U1196" s="10"/>
      <c r="V1196" s="10"/>
      <c r="W1196" s="12">
        <f t="shared" si="276"/>
        <v>0</v>
      </c>
      <c r="Y1196" s="10">
        <v>29</v>
      </c>
      <c r="Z1196" s="30"/>
      <c r="AA1196" s="31"/>
      <c r="AB1196" s="47"/>
      <c r="AC1196" s="31"/>
      <c r="AD1196" s="31"/>
      <c r="AE1196" s="32">
        <f t="shared" si="277"/>
        <v>0</v>
      </c>
      <c r="AF1196" s="10"/>
      <c r="AG1196" s="10"/>
      <c r="AH1196" s="10"/>
      <c r="AI1196" s="12">
        <f t="shared" si="278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30</v>
      </c>
      <c r="B1197" s="30"/>
      <c r="C1197" s="82"/>
      <c r="D1197" s="32"/>
      <c r="E1197" s="32"/>
      <c r="F1197" s="32"/>
      <c r="G1197" s="32">
        <f t="shared" si="281"/>
        <v>0</v>
      </c>
      <c r="H1197" s="10"/>
      <c r="I1197" s="10"/>
      <c r="J1197" s="10"/>
      <c r="K1197" s="12">
        <f t="shared" si="274"/>
        <v>0</v>
      </c>
      <c r="M1197" s="10">
        <v>30</v>
      </c>
      <c r="N1197" s="30"/>
      <c r="O1197" s="31"/>
      <c r="P1197" s="47"/>
      <c r="Q1197" s="31"/>
      <c r="R1197" s="31"/>
      <c r="S1197" s="32">
        <f t="shared" si="275"/>
        <v>0</v>
      </c>
      <c r="T1197" s="10"/>
      <c r="U1197" s="10"/>
      <c r="V1197" s="10"/>
      <c r="W1197" s="12">
        <f t="shared" si="276"/>
        <v>0</v>
      </c>
      <c r="Y1197" s="10">
        <v>30</v>
      </c>
      <c r="Z1197" s="30"/>
      <c r="AA1197" s="31"/>
      <c r="AB1197" s="47"/>
      <c r="AC1197" s="31"/>
      <c r="AD1197" s="31"/>
      <c r="AE1197" s="32">
        <f t="shared" si="277"/>
        <v>0</v>
      </c>
      <c r="AF1197" s="10"/>
      <c r="AG1197" s="10"/>
      <c r="AH1197" s="10"/>
      <c r="AI1197" s="12">
        <f t="shared" si="278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31</v>
      </c>
      <c r="B1198" s="30"/>
      <c r="C1198" s="82"/>
      <c r="D1198" s="32"/>
      <c r="E1198" s="32"/>
      <c r="F1198" s="32"/>
      <c r="G1198" s="32">
        <f t="shared" si="281"/>
        <v>0</v>
      </c>
      <c r="H1198" s="10"/>
      <c r="I1198" s="10"/>
      <c r="J1198" s="10"/>
      <c r="K1198" s="12">
        <f t="shared" si="274"/>
        <v>0</v>
      </c>
      <c r="M1198" s="10">
        <v>31</v>
      </c>
      <c r="N1198" s="30"/>
      <c r="O1198" s="31"/>
      <c r="P1198" s="47"/>
      <c r="Q1198" s="31"/>
      <c r="R1198" s="31"/>
      <c r="S1198" s="32">
        <f t="shared" si="275"/>
        <v>0</v>
      </c>
      <c r="T1198" s="10"/>
      <c r="U1198" s="10"/>
      <c r="V1198" s="10"/>
      <c r="W1198" s="12">
        <f t="shared" si="276"/>
        <v>0</v>
      </c>
      <c r="Y1198" s="10">
        <v>31</v>
      </c>
      <c r="Z1198" s="30"/>
      <c r="AA1198" s="31"/>
      <c r="AB1198" s="47"/>
      <c r="AC1198" s="31"/>
      <c r="AD1198" s="31"/>
      <c r="AE1198" s="32">
        <f t="shared" si="277"/>
        <v>0</v>
      </c>
      <c r="AF1198" s="10"/>
      <c r="AG1198" s="10"/>
      <c r="AH1198" s="10"/>
      <c r="AI1198" s="12">
        <f t="shared" si="278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32</v>
      </c>
      <c r="B1199" s="30"/>
      <c r="C1199" s="82"/>
      <c r="D1199" s="32"/>
      <c r="E1199" s="32"/>
      <c r="F1199" s="32"/>
      <c r="G1199" s="32">
        <f t="shared" si="281"/>
        <v>0</v>
      </c>
      <c r="H1199" s="10"/>
      <c r="I1199" s="10"/>
      <c r="J1199" s="10"/>
      <c r="K1199" s="12">
        <f t="shared" si="274"/>
        <v>0</v>
      </c>
      <c r="M1199" s="10">
        <v>32</v>
      </c>
      <c r="N1199" s="30"/>
      <c r="O1199" s="31"/>
      <c r="P1199" s="47"/>
      <c r="Q1199" s="31"/>
      <c r="R1199" s="31"/>
      <c r="S1199" s="32">
        <f t="shared" si="275"/>
        <v>0</v>
      </c>
      <c r="T1199" s="10"/>
      <c r="U1199" s="10"/>
      <c r="V1199" s="10"/>
      <c r="W1199" s="12">
        <f t="shared" si="276"/>
        <v>0</v>
      </c>
      <c r="Y1199" s="10">
        <v>32</v>
      </c>
      <c r="Z1199" s="30"/>
      <c r="AA1199" s="31"/>
      <c r="AB1199" s="47"/>
      <c r="AC1199" s="31"/>
      <c r="AD1199" s="31"/>
      <c r="AE1199" s="32">
        <f t="shared" si="277"/>
        <v>0</v>
      </c>
      <c r="AF1199" s="10"/>
      <c r="AG1199" s="10"/>
      <c r="AH1199" s="10"/>
      <c r="AI1199" s="12">
        <f t="shared" si="278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>
        <v>33</v>
      </c>
      <c r="B1200" s="30"/>
      <c r="C1200" s="82"/>
      <c r="D1200" s="32"/>
      <c r="E1200" s="32"/>
      <c r="F1200" s="32"/>
      <c r="G1200" s="32">
        <f t="shared" si="281"/>
        <v>0</v>
      </c>
      <c r="H1200" s="10"/>
      <c r="I1200" s="10"/>
      <c r="J1200" s="10"/>
      <c r="K1200" s="12">
        <f t="shared" si="274"/>
        <v>0</v>
      </c>
      <c r="M1200" s="10">
        <v>33</v>
      </c>
      <c r="N1200" s="30"/>
      <c r="O1200" s="31"/>
      <c r="P1200" s="47"/>
      <c r="Q1200" s="31"/>
      <c r="R1200" s="31"/>
      <c r="S1200" s="32">
        <f t="shared" si="275"/>
        <v>0</v>
      </c>
      <c r="T1200" s="10"/>
      <c r="U1200" s="10"/>
      <c r="V1200" s="10"/>
      <c r="W1200" s="12">
        <f t="shared" si="276"/>
        <v>0</v>
      </c>
      <c r="Y1200" s="10">
        <v>33</v>
      </c>
      <c r="Z1200" s="30"/>
      <c r="AA1200" s="31"/>
      <c r="AB1200" s="47"/>
      <c r="AC1200" s="31"/>
      <c r="AD1200" s="31"/>
      <c r="AE1200" s="32">
        <f t="shared" si="277"/>
        <v>0</v>
      </c>
      <c r="AF1200" s="10"/>
      <c r="AG1200" s="10"/>
      <c r="AH1200" s="10"/>
      <c r="AI1200" s="12">
        <f t="shared" si="278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>
        <f t="shared" si="281"/>
        <v>0</v>
      </c>
      <c r="H1201" s="10"/>
      <c r="I1201" s="10"/>
      <c r="J1201" s="10"/>
      <c r="K1201" s="12">
        <f t="shared" si="274"/>
        <v>0</v>
      </c>
      <c r="M1201" s="10">
        <v>34</v>
      </c>
      <c r="N1201" s="30"/>
      <c r="O1201" s="31"/>
      <c r="P1201" s="47"/>
      <c r="Q1201" s="31"/>
      <c r="R1201" s="31"/>
      <c r="S1201" s="32">
        <f t="shared" si="275"/>
        <v>0</v>
      </c>
      <c r="T1201" s="10"/>
      <c r="U1201" s="10"/>
      <c r="V1201" s="10"/>
      <c r="W1201" s="12">
        <f t="shared" si="276"/>
        <v>0</v>
      </c>
      <c r="Y1201" s="10">
        <v>34</v>
      </c>
      <c r="Z1201" s="30"/>
      <c r="AA1201" s="31"/>
      <c r="AB1201" s="47"/>
      <c r="AC1201" s="31"/>
      <c r="AD1201" s="31"/>
      <c r="AE1201" s="32">
        <f t="shared" si="277"/>
        <v>0</v>
      </c>
      <c r="AF1201" s="10"/>
      <c r="AG1201" s="10"/>
      <c r="AH1201" s="10"/>
      <c r="AI1201" s="12">
        <f t="shared" si="278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35</v>
      </c>
      <c r="N1202" s="30"/>
      <c r="O1202" s="31"/>
      <c r="P1202" s="47"/>
      <c r="Q1202" s="31"/>
      <c r="R1202" s="31"/>
      <c r="S1202" s="32">
        <f t="shared" si="275"/>
        <v>0</v>
      </c>
      <c r="T1202" s="10"/>
      <c r="U1202" s="10"/>
      <c r="V1202" s="10"/>
      <c r="W1202" s="12">
        <f t="shared" si="276"/>
        <v>0</v>
      </c>
      <c r="Y1202" s="10">
        <v>35</v>
      </c>
      <c r="Z1202" s="30"/>
      <c r="AA1202" s="31"/>
      <c r="AB1202" s="47"/>
      <c r="AC1202" s="31"/>
      <c r="AD1202" s="31"/>
      <c r="AE1202" s="32">
        <f t="shared" si="277"/>
        <v>0</v>
      </c>
      <c r="AF1202" s="10"/>
      <c r="AG1202" s="10"/>
      <c r="AH1202" s="10"/>
      <c r="AI1202" s="12">
        <f t="shared" si="278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82"/>
      <c r="D1203" s="32"/>
      <c r="E1203" s="32"/>
      <c r="F1203" s="32"/>
      <c r="G1203" s="32"/>
      <c r="H1203" s="10"/>
      <c r="I1203" s="10"/>
      <c r="J1203" s="10"/>
      <c r="K1203" s="12"/>
      <c r="M1203" s="10">
        <v>36</v>
      </c>
      <c r="N1203" s="30"/>
      <c r="O1203" s="31"/>
      <c r="P1203" s="47"/>
      <c r="Q1203" s="31"/>
      <c r="R1203" s="31"/>
      <c r="S1203" s="32">
        <f t="shared" si="275"/>
        <v>0</v>
      </c>
      <c r="T1203" s="10"/>
      <c r="U1203" s="10"/>
      <c r="V1203" s="10"/>
      <c r="W1203" s="12">
        <f t="shared" si="276"/>
        <v>0</v>
      </c>
      <c r="Y1203" s="10">
        <v>36</v>
      </c>
      <c r="Z1203" s="30"/>
      <c r="AA1203" s="31"/>
      <c r="AB1203" s="47"/>
      <c r="AC1203" s="31"/>
      <c r="AD1203" s="31"/>
      <c r="AE1203" s="32">
        <f t="shared" si="277"/>
        <v>0</v>
      </c>
      <c r="AF1203" s="10"/>
      <c r="AG1203" s="10"/>
      <c r="AH1203" s="10"/>
      <c r="AI1203" s="12">
        <f t="shared" si="278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37</v>
      </c>
      <c r="N1204" s="30"/>
      <c r="P1204" s="47"/>
      <c r="Q1204" s="31"/>
      <c r="R1204" s="31"/>
      <c r="S1204" s="32">
        <f t="shared" si="275"/>
        <v>0</v>
      </c>
      <c r="T1204" s="10"/>
      <c r="U1204" s="10"/>
      <c r="V1204" s="10"/>
      <c r="W1204" s="12">
        <f t="shared" si="276"/>
        <v>0</v>
      </c>
      <c r="Y1204" s="10">
        <v>37</v>
      </c>
      <c r="Z1204" s="30"/>
      <c r="AB1204" s="47"/>
      <c r="AC1204" s="31"/>
      <c r="AD1204" s="31"/>
      <c r="AE1204" s="32">
        <f t="shared" si="277"/>
        <v>0</v>
      </c>
      <c r="AF1204" s="10"/>
      <c r="AG1204" s="10"/>
      <c r="AH1204" s="10"/>
      <c r="AI1204" s="12">
        <f t="shared" si="278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38</v>
      </c>
      <c r="N1205" s="30"/>
      <c r="O1205" s="31"/>
      <c r="P1205" s="47"/>
      <c r="Q1205" s="31"/>
      <c r="R1205" s="31"/>
      <c r="S1205" s="32">
        <f t="shared" si="275"/>
        <v>0</v>
      </c>
      <c r="T1205" s="10"/>
      <c r="U1205" s="10"/>
      <c r="V1205" s="10"/>
      <c r="W1205" s="12">
        <f t="shared" si="276"/>
        <v>0</v>
      </c>
      <c r="Y1205" s="10">
        <v>38</v>
      </c>
      <c r="Z1205" s="30"/>
      <c r="AA1205" s="31"/>
      <c r="AB1205" s="47"/>
      <c r="AC1205" s="31"/>
      <c r="AD1205" s="31"/>
      <c r="AE1205" s="32">
        <f t="shared" si="277"/>
        <v>0</v>
      </c>
      <c r="AF1205" s="10"/>
      <c r="AG1205" s="10"/>
      <c r="AH1205" s="10"/>
      <c r="AI1205" s="12">
        <f t="shared" si="278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>
        <v>39</v>
      </c>
      <c r="N1206" s="30"/>
      <c r="O1206" s="31"/>
      <c r="P1206" s="47"/>
      <c r="Q1206" s="31"/>
      <c r="R1206" s="31"/>
      <c r="S1206" s="32">
        <f t="shared" si="275"/>
        <v>0</v>
      </c>
      <c r="T1206" s="10"/>
      <c r="U1206" s="10"/>
      <c r="V1206" s="10"/>
      <c r="W1206" s="12">
        <f t="shared" si="276"/>
        <v>0</v>
      </c>
      <c r="Y1206" s="10">
        <v>39</v>
      </c>
      <c r="Z1206" s="30"/>
      <c r="AA1206" s="31"/>
      <c r="AB1206" s="47"/>
      <c r="AC1206" s="31"/>
      <c r="AD1206" s="31"/>
      <c r="AE1206" s="32">
        <f t="shared" si="277"/>
        <v>0</v>
      </c>
      <c r="AF1206" s="10"/>
      <c r="AG1206" s="10"/>
      <c r="AH1206" s="10"/>
      <c r="AI1206" s="12">
        <f t="shared" si="278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/>
      <c r="H1207" s="10"/>
      <c r="I1207" s="10"/>
      <c r="J1207" s="10"/>
      <c r="K1207" s="12"/>
      <c r="M1207" s="10"/>
      <c r="N1207" s="30"/>
      <c r="P1207" s="47"/>
      <c r="Q1207" s="31"/>
      <c r="R1207" s="31"/>
      <c r="S1207" s="32"/>
      <c r="T1207" s="10"/>
      <c r="U1207" s="10"/>
      <c r="V1207" s="10"/>
      <c r="W1207" s="12">
        <f t="shared" si="276"/>
        <v>0</v>
      </c>
      <c r="Y1207" s="10"/>
      <c r="Z1207" s="30"/>
      <c r="AB1207" s="47"/>
      <c r="AC1207" s="31"/>
      <c r="AD1207" s="31"/>
      <c r="AE1207" s="32"/>
      <c r="AF1207" s="10"/>
      <c r="AG1207" s="10"/>
      <c r="AH1207" s="10"/>
      <c r="AI1207" s="12">
        <f t="shared" si="278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1"/>
      <c r="D1208" s="32"/>
      <c r="E1208" s="32"/>
      <c r="F1208" s="32"/>
      <c r="G1208" s="32">
        <f t="shared" ref="G1208" si="282">SUM(D1208:E1208)</f>
        <v>0</v>
      </c>
      <c r="H1208" s="10"/>
      <c r="I1208" s="10"/>
      <c r="J1208" s="10"/>
      <c r="K1208" s="12">
        <f t="shared" ref="K1208" si="283">SUM(G1208:J1208)</f>
        <v>0</v>
      </c>
      <c r="M1208" s="10"/>
      <c r="N1208" s="30"/>
      <c r="O1208" s="31"/>
      <c r="P1208" s="47"/>
      <c r="Q1208" s="31"/>
      <c r="R1208" s="31"/>
      <c r="S1208" s="32">
        <f t="shared" ref="S1208" si="284">SUM(P1208:Q1208)</f>
        <v>0</v>
      </c>
      <c r="T1208" s="10"/>
      <c r="U1208" s="10"/>
      <c r="V1208" s="10"/>
      <c r="W1208" s="12">
        <f t="shared" si="276"/>
        <v>0</v>
      </c>
      <c r="Y1208" s="10"/>
      <c r="Z1208" s="30"/>
      <c r="AA1208" s="31"/>
      <c r="AB1208" s="47"/>
      <c r="AC1208" s="31"/>
      <c r="AD1208" s="31"/>
      <c r="AE1208" s="32">
        <f t="shared" ref="AE1208" si="285">SUM(AB1208:AC1208)</f>
        <v>0</v>
      </c>
      <c r="AF1208" s="10"/>
      <c r="AG1208" s="10"/>
      <c r="AH1208" s="10"/>
      <c r="AI1208" s="12">
        <f t="shared" si="278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10"/>
      <c r="B1209" s="30"/>
      <c r="C1209" s="30"/>
      <c r="D1209" s="32"/>
      <c r="E1209" s="32"/>
      <c r="F1209" s="32"/>
      <c r="G1209" s="32"/>
      <c r="H1209" s="10"/>
      <c r="I1209" s="10"/>
      <c r="J1209" s="10"/>
      <c r="K1209" s="12"/>
      <c r="M1209" s="10"/>
      <c r="N1209" s="31"/>
      <c r="O1209" s="31"/>
      <c r="P1209" s="31"/>
      <c r="Q1209" s="31"/>
      <c r="R1209" s="31"/>
      <c r="S1209" s="31"/>
      <c r="T1209" s="10"/>
      <c r="U1209" s="10"/>
      <c r="V1209" s="10"/>
      <c r="W1209" s="12">
        <f t="shared" si="276"/>
        <v>0</v>
      </c>
      <c r="Y1209" s="10"/>
      <c r="Z1209" s="31"/>
      <c r="AA1209" s="31"/>
      <c r="AB1209" s="31"/>
      <c r="AC1209" s="31"/>
      <c r="AD1209" s="31"/>
      <c r="AE1209" s="31"/>
      <c r="AF1209" s="10"/>
      <c r="AG1209" s="10"/>
      <c r="AH1209" s="10"/>
      <c r="AI1209" s="12">
        <f t="shared" si="278"/>
        <v>0</v>
      </c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6"/>
      <c r="E1210" s="36"/>
      <c r="F1210" s="36"/>
      <c r="G1210" s="36"/>
      <c r="H1210" s="37"/>
      <c r="I1210" s="37"/>
      <c r="J1210" s="37"/>
      <c r="K1210" s="37"/>
      <c r="N1210" s="57"/>
      <c r="O1210" s="57"/>
      <c r="P1210" s="36"/>
      <c r="Q1210" s="36"/>
      <c r="R1210" s="36"/>
      <c r="S1210" s="36"/>
      <c r="T1210" s="37"/>
      <c r="U1210" s="37"/>
      <c r="V1210" s="37"/>
      <c r="W1210" s="37"/>
      <c r="Z1210" s="57"/>
      <c r="AA1210" s="57"/>
      <c r="AB1210" s="36"/>
      <c r="AC1210" s="36"/>
      <c r="AD1210" s="36"/>
      <c r="AE1210" s="36"/>
      <c r="AF1210" s="37"/>
      <c r="AG1210" s="37"/>
      <c r="AH1210" s="37"/>
      <c r="AI1210" s="37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B1211" s="57"/>
      <c r="C1211" s="57"/>
      <c r="D1211" s="38">
        <f>SUM(D1168:D1210)</f>
        <v>228211</v>
      </c>
      <c r="E1211" s="38">
        <f t="shared" ref="E1211:F1211" si="286">SUM(E1168:E1208)</f>
        <v>-2064</v>
      </c>
      <c r="F1211" s="38">
        <f t="shared" si="286"/>
        <v>0</v>
      </c>
      <c r="G1211" s="38">
        <f>SUM(G1168:G1210)</f>
        <v>226147</v>
      </c>
      <c r="H1211" s="4"/>
      <c r="I1211" s="39">
        <f>SUM(I1168:I1210)</f>
        <v>8169</v>
      </c>
      <c r="J1211" s="39">
        <f>SUM(J1168:J1210)</f>
        <v>-1554</v>
      </c>
      <c r="K1211" s="40">
        <f>SUM(K1168:K1210)</f>
        <v>232762</v>
      </c>
      <c r="N1211" s="57"/>
      <c r="O1211" s="57"/>
      <c r="P1211" s="38">
        <f>SUM(P1168:P1210)</f>
        <v>117069</v>
      </c>
      <c r="Q1211" s="38">
        <f>SUM(Q1168:Q1192)</f>
        <v>-768</v>
      </c>
      <c r="R1211" s="38">
        <f>SUM(R1168:R1192)</f>
        <v>0</v>
      </c>
      <c r="S1211" s="38">
        <f>SUM(S1168:S1210)</f>
        <v>116301</v>
      </c>
      <c r="T1211" s="4"/>
      <c r="U1211" s="41">
        <f>SUM(U1168:U1210)</f>
        <v>46.5</v>
      </c>
      <c r="V1211" s="41">
        <f>SUM(V1168:V1192)</f>
        <v>0</v>
      </c>
      <c r="W1211" s="42">
        <f>SUM(W1168:W1210)</f>
        <v>116347.5</v>
      </c>
      <c r="Z1211" s="57"/>
      <c r="AA1211" s="57"/>
      <c r="AB1211" s="38">
        <f>SUM(AB1168:AB1210)</f>
        <v>214981</v>
      </c>
      <c r="AC1211" s="38">
        <f>SUM(AC1168:AC1192)</f>
        <v>-630</v>
      </c>
      <c r="AD1211" s="38">
        <f>SUM(AD1168:AD1192)</f>
        <v>0</v>
      </c>
      <c r="AE1211" s="38">
        <f>SUM(AE1168:AE1210)</f>
        <v>214351</v>
      </c>
      <c r="AF1211" s="4"/>
      <c r="AG1211" s="41">
        <f>SUM(AG1168:AG1210)</f>
        <v>2013</v>
      </c>
      <c r="AH1211" s="41">
        <f>SUM(AH1168:AH1192)</f>
        <v>0</v>
      </c>
      <c r="AI1211" s="42">
        <f>SUM(AI1168:AI1210)</f>
        <v>216364</v>
      </c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  <c r="M1212" s="18"/>
      <c r="N1212" s="18"/>
      <c r="O1212" s="18"/>
      <c r="P1212" s="18"/>
      <c r="Q1212" s="18"/>
      <c r="R1212" s="18"/>
      <c r="S1212" s="18"/>
      <c r="T1212" s="18"/>
      <c r="U1212" s="18"/>
      <c r="V1212" s="18"/>
      <c r="W1212" s="18"/>
      <c r="Y1212" s="18"/>
      <c r="Z1212" s="18"/>
      <c r="AA1212" s="18"/>
      <c r="AB1212" s="18"/>
      <c r="AC1212" s="18"/>
      <c r="AD1212" s="18"/>
      <c r="AE1212" s="18"/>
      <c r="AF1212" s="18"/>
      <c r="AG1212" s="18"/>
      <c r="AH1212" s="18"/>
      <c r="AI1212" s="18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0</v>
      </c>
      <c r="B1213" s="57"/>
      <c r="C1213" s="57"/>
      <c r="D1213" s="57"/>
      <c r="E1213" s="57"/>
      <c r="G1213" s="57"/>
      <c r="M1213" t="s">
        <v>0</v>
      </c>
      <c r="N1213" s="57"/>
      <c r="O1213" s="57"/>
      <c r="P1213" s="57"/>
      <c r="Q1213" s="57"/>
      <c r="R1213" s="57"/>
      <c r="S1213" s="57"/>
      <c r="Y1213" t="s">
        <v>0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t="s">
        <v>28</v>
      </c>
      <c r="B1214" s="57"/>
      <c r="C1214" s="57"/>
      <c r="D1214" s="57"/>
      <c r="E1214" s="57"/>
      <c r="G1214" s="57"/>
      <c r="M1214" t="s">
        <v>28</v>
      </c>
      <c r="N1214" s="57"/>
      <c r="O1214" s="57"/>
      <c r="P1214" s="57"/>
      <c r="Q1214" s="57"/>
      <c r="R1214" s="57"/>
      <c r="S1214" s="57"/>
      <c r="Y1214" t="s">
        <v>28</v>
      </c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B1215" s="57"/>
      <c r="C1215" s="57"/>
      <c r="D1215" s="57"/>
      <c r="E1215" s="57"/>
      <c r="G1215" s="57"/>
      <c r="N1215" s="57"/>
      <c r="O1215" s="57"/>
      <c r="P1215" s="57"/>
      <c r="Q1215" s="57"/>
      <c r="R1215" s="57"/>
      <c r="S1215" s="57"/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4" t="s">
        <v>14</v>
      </c>
      <c r="B1216" s="57"/>
      <c r="C1216" s="57"/>
      <c r="D1216" s="57"/>
      <c r="E1216" s="57"/>
      <c r="G1216" s="57"/>
      <c r="M1216" s="4" t="s">
        <v>14</v>
      </c>
      <c r="N1216" s="57"/>
      <c r="O1216" s="57"/>
      <c r="P1216" s="57"/>
      <c r="Q1216" s="57"/>
      <c r="R1216" s="57"/>
      <c r="S1216" s="57"/>
      <c r="Y1216" s="4" t="s">
        <v>14</v>
      </c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B1217" s="57"/>
      <c r="C1217" s="57"/>
      <c r="D1217" s="57"/>
      <c r="E1217" s="57"/>
      <c r="G1217" s="57"/>
      <c r="N1217" s="57"/>
      <c r="O1217" s="57"/>
      <c r="P1217" s="57"/>
      <c r="Q1217" s="57"/>
      <c r="R1217" s="57"/>
      <c r="S1217" s="57"/>
      <c r="Z1217" s="57"/>
      <c r="AA1217" s="57"/>
      <c r="AB1217" s="57"/>
      <c r="AC1217" s="57"/>
      <c r="AD1217" s="57"/>
      <c r="AE1217" s="57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t="s">
        <v>54</v>
      </c>
      <c r="B1218" s="57"/>
      <c r="C1218" s="57"/>
      <c r="D1218" s="57"/>
      <c r="E1218" s="57"/>
      <c r="G1218" s="57"/>
      <c r="I1218" s="57" t="s">
        <v>15</v>
      </c>
      <c r="J1218" s="19">
        <v>1</v>
      </c>
      <c r="M1218" t="s">
        <v>54</v>
      </c>
      <c r="N1218" s="57"/>
      <c r="O1218" s="57"/>
      <c r="P1218" s="57"/>
      <c r="Q1218" s="57"/>
      <c r="R1218" s="57"/>
      <c r="S1218" s="57"/>
      <c r="U1218" s="57" t="s">
        <v>15</v>
      </c>
      <c r="V1218" s="19">
        <v>2</v>
      </c>
      <c r="Y1218" t="s">
        <v>54</v>
      </c>
      <c r="Z1218" s="57"/>
      <c r="AA1218" s="57"/>
      <c r="AB1218" s="57"/>
      <c r="AC1218" s="57"/>
      <c r="AD1218" s="57"/>
      <c r="AE1218" s="57"/>
      <c r="AG1218" s="57" t="s">
        <v>15</v>
      </c>
      <c r="AH1218" s="20">
        <v>3</v>
      </c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21" t="s">
        <v>153</v>
      </c>
      <c r="B1219" s="20"/>
      <c r="C1219" s="57"/>
      <c r="D1219" s="57"/>
      <c r="E1219" s="57"/>
      <c r="G1219" s="57"/>
      <c r="I1219" s="22" t="s">
        <v>16</v>
      </c>
      <c r="J1219" s="23" t="s">
        <v>141</v>
      </c>
      <c r="K1219" s="24"/>
      <c r="M1219" s="21" t="s">
        <v>153</v>
      </c>
      <c r="N1219" s="20"/>
      <c r="O1219" s="57"/>
      <c r="P1219" s="57"/>
      <c r="Q1219" s="57"/>
      <c r="R1219" s="57"/>
      <c r="S1219" s="57"/>
      <c r="U1219" s="22" t="s">
        <v>16</v>
      </c>
      <c r="V1219" s="23" t="s">
        <v>33</v>
      </c>
      <c r="W1219" s="24"/>
      <c r="Y1219" s="21" t="s">
        <v>153</v>
      </c>
      <c r="Z1219" s="20"/>
      <c r="AA1219" s="57"/>
      <c r="AB1219" s="57"/>
      <c r="AC1219" s="57"/>
      <c r="AD1219" s="57"/>
      <c r="AE1219" s="57"/>
      <c r="AG1219" s="22" t="s">
        <v>16</v>
      </c>
      <c r="AH1219" s="23" t="s">
        <v>34</v>
      </c>
      <c r="AI1219" s="24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57"/>
      <c r="C1220" s="57"/>
      <c r="D1220" s="57"/>
      <c r="E1220" s="57"/>
      <c r="G1220" s="57"/>
      <c r="N1220" s="57"/>
      <c r="O1220" s="57"/>
      <c r="P1220" s="57"/>
      <c r="Q1220" s="57"/>
      <c r="R1220" s="57"/>
      <c r="S1220" s="57"/>
      <c r="Z1220" s="57"/>
      <c r="AA1220" s="57"/>
      <c r="AB1220" s="57"/>
      <c r="AC1220" s="57"/>
      <c r="AD1220" s="57"/>
      <c r="AE1220" s="57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B1221" s="25"/>
      <c r="C1221" s="26"/>
      <c r="D1221" s="126" t="s">
        <v>17</v>
      </c>
      <c r="E1221" s="126"/>
      <c r="F1221" s="115"/>
      <c r="G1221" s="27"/>
      <c r="I1221" s="120" t="s">
        <v>18</v>
      </c>
      <c r="J1221" s="121"/>
      <c r="K1221" s="122" t="s">
        <v>19</v>
      </c>
      <c r="N1221" s="25"/>
      <c r="O1221" s="26"/>
      <c r="P1221" s="126" t="s">
        <v>17</v>
      </c>
      <c r="Q1221" s="126"/>
      <c r="R1221" s="115"/>
      <c r="S1221" s="27"/>
      <c r="U1221" s="120" t="s">
        <v>18</v>
      </c>
      <c r="V1221" s="121"/>
      <c r="W1221" s="122" t="s">
        <v>19</v>
      </c>
      <c r="Z1221" s="25"/>
      <c r="AA1221" s="26"/>
      <c r="AB1221" s="126" t="s">
        <v>17</v>
      </c>
      <c r="AC1221" s="126"/>
      <c r="AD1221" s="115"/>
      <c r="AE1221" s="27"/>
      <c r="AG1221" s="120" t="s">
        <v>18</v>
      </c>
      <c r="AH1221" s="121"/>
      <c r="AI1221" s="122" t="s">
        <v>19</v>
      </c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ht="30" x14ac:dyDescent="0.25">
      <c r="B1222" s="28" t="s">
        <v>20</v>
      </c>
      <c r="C1222" s="28" t="s">
        <v>21</v>
      </c>
      <c r="D1222" s="77" t="s">
        <v>22</v>
      </c>
      <c r="E1222" s="76" t="s">
        <v>23</v>
      </c>
      <c r="F1222" s="78" t="s">
        <v>32</v>
      </c>
      <c r="G1222" s="78" t="s">
        <v>24</v>
      </c>
      <c r="I1222" s="29" t="s">
        <v>25</v>
      </c>
      <c r="J1222" s="29" t="s">
        <v>26</v>
      </c>
      <c r="K1222" s="123"/>
      <c r="N1222" s="28" t="s">
        <v>20</v>
      </c>
      <c r="O1222" s="28" t="s">
        <v>21</v>
      </c>
      <c r="P1222" s="77" t="s">
        <v>22</v>
      </c>
      <c r="Q1222" s="78" t="s">
        <v>23</v>
      </c>
      <c r="R1222" s="78" t="s">
        <v>32</v>
      </c>
      <c r="S1222" s="78" t="s">
        <v>24</v>
      </c>
      <c r="U1222" s="29" t="s">
        <v>25</v>
      </c>
      <c r="V1222" s="29" t="s">
        <v>26</v>
      </c>
      <c r="W1222" s="123"/>
      <c r="Z1222" s="28" t="s">
        <v>20</v>
      </c>
      <c r="AA1222" s="28" t="s">
        <v>21</v>
      </c>
      <c r="AB1222" s="77" t="s">
        <v>22</v>
      </c>
      <c r="AC1222" s="76" t="s">
        <v>23</v>
      </c>
      <c r="AD1222" s="78" t="s">
        <v>32</v>
      </c>
      <c r="AE1222" s="78" t="s">
        <v>24</v>
      </c>
      <c r="AG1222" s="29" t="s">
        <v>25</v>
      </c>
      <c r="AH1222" s="29" t="s">
        <v>26</v>
      </c>
      <c r="AI1222" s="123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1</v>
      </c>
      <c r="B1223" s="30" t="s">
        <v>154</v>
      </c>
      <c r="C1223" s="82">
        <v>10812</v>
      </c>
      <c r="D1223" s="32">
        <f>650*5+9.5*5</f>
        <v>3297.5</v>
      </c>
      <c r="E1223" s="32"/>
      <c r="F1223" s="32"/>
      <c r="G1223" s="32">
        <f t="shared" ref="G1223:G1236" si="287">SUM(D1223:E1223)</f>
        <v>3297.5</v>
      </c>
      <c r="H1223" s="12"/>
      <c r="I1223" s="12"/>
      <c r="J1223" s="12"/>
      <c r="K1223" s="12">
        <f t="shared" ref="K1223:K1256" si="288">SUM(G1223:J1223)</f>
        <v>3297.5</v>
      </c>
      <c r="M1223" s="10">
        <v>1</v>
      </c>
      <c r="N1223" s="30" t="s">
        <v>154</v>
      </c>
      <c r="O1223" s="31">
        <v>10779</v>
      </c>
      <c r="P1223" s="32">
        <f>650*85+622*20+229*3</f>
        <v>68377</v>
      </c>
      <c r="Q1223" s="32"/>
      <c r="R1223" s="32"/>
      <c r="S1223" s="32">
        <f>SUM(P1223:Q1223)</f>
        <v>68377</v>
      </c>
      <c r="T1223" s="12"/>
      <c r="U1223" s="12">
        <f>4.5*16+1.5*72</f>
        <v>180</v>
      </c>
      <c r="V1223" s="12"/>
      <c r="W1223" s="12">
        <f>SUM(S1223:V1223)</f>
        <v>68557</v>
      </c>
      <c r="Y1223" s="10">
        <v>1</v>
      </c>
      <c r="Z1223" s="30" t="s">
        <v>154</v>
      </c>
      <c r="AA1223" s="82">
        <v>10719</v>
      </c>
      <c r="AB1223" s="32">
        <f>650*50+229*2+650*4</f>
        <v>35558</v>
      </c>
      <c r="AC1223" s="32">
        <f>-50*6</f>
        <v>-300</v>
      </c>
      <c r="AD1223" s="32"/>
      <c r="AE1223" s="32">
        <f t="shared" ref="AE1223:AE1236" si="289">SUM(AB1223:AC1223)</f>
        <v>35258</v>
      </c>
      <c r="AF1223" s="12"/>
      <c r="AG1223" s="12"/>
      <c r="AH1223" s="12">
        <f>-120*2+-111*50+-111*9</f>
        <v>-6789</v>
      </c>
      <c r="AI1223" s="12">
        <f t="shared" ref="AI1223:AI1256" si="290">SUM(AE1223:AH1223)</f>
        <v>28469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2</v>
      </c>
      <c r="B1224" s="30" t="s">
        <v>155</v>
      </c>
      <c r="C1224" s="82">
        <f>C1223+1</f>
        <v>10813</v>
      </c>
      <c r="D1224" s="32">
        <f>650*108+670*5+622*10</f>
        <v>79770</v>
      </c>
      <c r="E1224" s="32"/>
      <c r="F1224" s="32"/>
      <c r="G1224" s="32">
        <f t="shared" si="287"/>
        <v>79770</v>
      </c>
      <c r="H1224" s="12"/>
      <c r="I1224" s="12"/>
      <c r="J1224" s="12">
        <f>-4.5*50+-2.25*47</f>
        <v>-330.75</v>
      </c>
      <c r="K1224" s="12">
        <f t="shared" si="288"/>
        <v>79439.25</v>
      </c>
      <c r="M1224" s="10">
        <v>2</v>
      </c>
      <c r="N1224" s="30" t="s">
        <v>155</v>
      </c>
      <c r="O1224" s="31">
        <f>O1223+1</f>
        <v>10780</v>
      </c>
      <c r="P1224" s="32">
        <f>650*216+229*10</f>
        <v>142690</v>
      </c>
      <c r="Q1224" s="32">
        <f>-216*6</f>
        <v>-1296</v>
      </c>
      <c r="R1224" s="32"/>
      <c r="S1224" s="32">
        <f t="shared" ref="S1224:S1261" si="291">SUM(P1224:Q1224)</f>
        <v>141394</v>
      </c>
      <c r="T1224" s="12"/>
      <c r="U1224" s="12">
        <f>78*5</f>
        <v>390</v>
      </c>
      <c r="V1224" s="12">
        <f>-42*5</f>
        <v>-210</v>
      </c>
      <c r="W1224" s="12">
        <f t="shared" ref="W1224:W1264" si="292">SUM(S1224:V1224)</f>
        <v>141574</v>
      </c>
      <c r="Y1224" s="10">
        <v>2</v>
      </c>
      <c r="Z1224" s="30" t="s">
        <v>155</v>
      </c>
      <c r="AA1224" s="82">
        <f>AA1223+1</f>
        <v>10720</v>
      </c>
      <c r="AB1224" s="32">
        <f>650*108+229*4</f>
        <v>71116</v>
      </c>
      <c r="AC1224" s="32">
        <f>-108*6</f>
        <v>-648</v>
      </c>
      <c r="AD1224" s="32"/>
      <c r="AE1224" s="32">
        <f t="shared" si="289"/>
        <v>70468</v>
      </c>
      <c r="AF1224" s="12"/>
      <c r="AG1224" s="12"/>
      <c r="AH1224" s="12"/>
      <c r="AI1224" s="12">
        <f t="shared" si="290"/>
        <v>70468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3</v>
      </c>
      <c r="B1225" s="30" t="s">
        <v>156</v>
      </c>
      <c r="C1225" s="82">
        <f t="shared" ref="C1225:C1232" si="293">C1224+1</f>
        <v>10814</v>
      </c>
      <c r="D1225" s="33">
        <f>650*10+9.5*10</f>
        <v>6595</v>
      </c>
      <c r="E1225" s="33"/>
      <c r="F1225" s="33"/>
      <c r="G1225" s="33">
        <f t="shared" si="287"/>
        <v>6595</v>
      </c>
      <c r="H1225" s="34"/>
      <c r="I1225" s="34"/>
      <c r="J1225" s="34"/>
      <c r="K1225" s="34">
        <f t="shared" si="288"/>
        <v>6595</v>
      </c>
      <c r="M1225" s="10">
        <v>3</v>
      </c>
      <c r="N1225" s="30" t="s">
        <v>156</v>
      </c>
      <c r="O1225" s="31">
        <f t="shared" ref="O1225:O1227" si="294">O1224+1</f>
        <v>10781</v>
      </c>
      <c r="P1225" s="32">
        <f>650+622*2+9.5*4</f>
        <v>1932</v>
      </c>
      <c r="Q1225" s="32"/>
      <c r="R1225" s="32"/>
      <c r="S1225" s="32">
        <f t="shared" si="291"/>
        <v>1932</v>
      </c>
      <c r="T1225" s="12"/>
      <c r="U1225" s="12"/>
      <c r="V1225" s="12"/>
      <c r="W1225" s="12">
        <f t="shared" si="292"/>
        <v>1932</v>
      </c>
      <c r="Y1225" s="10">
        <v>3</v>
      </c>
      <c r="Z1225" s="30" t="s">
        <v>156</v>
      </c>
      <c r="AA1225" s="82">
        <f t="shared" ref="AA1225:AA1233" si="295">AA1224+1</f>
        <v>10721</v>
      </c>
      <c r="AB1225" s="33">
        <f>650*25+973+622*5+912+1050*2+229+500</f>
        <v>24074</v>
      </c>
      <c r="AC1225" s="33"/>
      <c r="AD1225" s="33"/>
      <c r="AE1225" s="33">
        <f t="shared" si="289"/>
        <v>24074</v>
      </c>
      <c r="AF1225" s="34"/>
      <c r="AG1225" s="34"/>
      <c r="AH1225" s="34"/>
      <c r="AI1225" s="34">
        <f t="shared" si="290"/>
        <v>24074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4</v>
      </c>
      <c r="B1226" s="30" t="s">
        <v>157</v>
      </c>
      <c r="C1226" s="82">
        <f t="shared" si="293"/>
        <v>10815</v>
      </c>
      <c r="D1226" s="32">
        <f>650*8</f>
        <v>5200</v>
      </c>
      <c r="E1226" s="32"/>
      <c r="F1226" s="32"/>
      <c r="G1226" s="32">
        <f t="shared" si="287"/>
        <v>5200</v>
      </c>
      <c r="H1226" s="12"/>
      <c r="I1226" s="12"/>
      <c r="J1226" s="12"/>
      <c r="K1226" s="12">
        <f t="shared" si="288"/>
        <v>5200</v>
      </c>
      <c r="M1226" s="10">
        <v>4</v>
      </c>
      <c r="N1226" s="30" t="s">
        <v>157</v>
      </c>
      <c r="O1226" s="31">
        <f t="shared" si="294"/>
        <v>10782</v>
      </c>
      <c r="P1226" s="32">
        <f>650*23+973+622*2</f>
        <v>17167</v>
      </c>
      <c r="Q1226" s="32"/>
      <c r="R1226" s="32"/>
      <c r="S1226" s="32">
        <f t="shared" si="291"/>
        <v>17167</v>
      </c>
      <c r="T1226" s="12"/>
      <c r="U1226" s="12"/>
      <c r="V1226" s="12">
        <f>-111*3</f>
        <v>-333</v>
      </c>
      <c r="W1226" s="12">
        <f t="shared" si="292"/>
        <v>16834</v>
      </c>
      <c r="Y1226" s="10">
        <v>4</v>
      </c>
      <c r="Z1226" s="30" t="s">
        <v>157</v>
      </c>
      <c r="AA1226" s="82">
        <f t="shared" si="295"/>
        <v>10722</v>
      </c>
      <c r="AB1226" s="32">
        <f>650*7+670</f>
        <v>5220</v>
      </c>
      <c r="AC1226" s="32"/>
      <c r="AD1226" s="32"/>
      <c r="AE1226" s="32">
        <f t="shared" si="289"/>
        <v>5220</v>
      </c>
      <c r="AF1226" s="12"/>
      <c r="AG1226" s="12"/>
      <c r="AH1226" s="12"/>
      <c r="AI1226" s="12">
        <f t="shared" si="290"/>
        <v>5220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5</v>
      </c>
      <c r="B1227" s="30" t="s">
        <v>158</v>
      </c>
      <c r="C1227" s="82">
        <f t="shared" si="293"/>
        <v>10816</v>
      </c>
      <c r="D1227" s="32">
        <f>650*20</f>
        <v>13000</v>
      </c>
      <c r="E1227" s="32"/>
      <c r="F1227" s="32"/>
      <c r="G1227" s="32">
        <f t="shared" si="287"/>
        <v>13000</v>
      </c>
      <c r="H1227" s="12"/>
      <c r="I1227" s="12"/>
      <c r="J1227" s="12"/>
      <c r="K1227" s="12">
        <f t="shared" si="288"/>
        <v>13000</v>
      </c>
      <c r="M1227" s="10">
        <v>5</v>
      </c>
      <c r="N1227" s="30" t="s">
        <v>158</v>
      </c>
      <c r="O1227" s="31">
        <f t="shared" si="294"/>
        <v>10783</v>
      </c>
      <c r="P1227" s="32">
        <v>1667</v>
      </c>
      <c r="Q1227" s="32"/>
      <c r="R1227" s="32"/>
      <c r="S1227" s="32">
        <f t="shared" si="291"/>
        <v>1667</v>
      </c>
      <c r="T1227" s="12"/>
      <c r="U1227" s="12"/>
      <c r="V1227" s="12"/>
      <c r="W1227" s="12">
        <f t="shared" si="292"/>
        <v>1667</v>
      </c>
      <c r="Y1227" s="10">
        <v>5</v>
      </c>
      <c r="Z1227" s="30" t="s">
        <v>158</v>
      </c>
      <c r="AA1227" s="82">
        <f t="shared" si="295"/>
        <v>10723</v>
      </c>
      <c r="AB1227" s="32">
        <f>650*15+670*4+912+229*2</f>
        <v>13800</v>
      </c>
      <c r="AC1227" s="32"/>
      <c r="AD1227" s="32"/>
      <c r="AE1227" s="32">
        <f t="shared" si="289"/>
        <v>13800</v>
      </c>
      <c r="AF1227" s="12"/>
      <c r="AG1227" s="12">
        <f>111*5+4.5*5</f>
        <v>577.5</v>
      </c>
      <c r="AH1227" s="12"/>
      <c r="AI1227" s="12">
        <f t="shared" si="290"/>
        <v>14377.5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6</v>
      </c>
      <c r="B1228" s="30" t="s">
        <v>159</v>
      </c>
      <c r="C1228" s="82">
        <f t="shared" si="293"/>
        <v>10817</v>
      </c>
      <c r="D1228" s="32">
        <f>650*107+622*3+229*3</f>
        <v>72103</v>
      </c>
      <c r="E1228" s="32"/>
      <c r="F1228" s="32"/>
      <c r="G1228" s="32">
        <f t="shared" si="287"/>
        <v>72103</v>
      </c>
      <c r="H1228" s="12"/>
      <c r="I1228" s="12"/>
      <c r="J1228" s="12"/>
      <c r="K1228" s="12">
        <f t="shared" si="288"/>
        <v>72103</v>
      </c>
      <c r="M1228" s="10">
        <v>6</v>
      </c>
      <c r="N1228" s="30"/>
      <c r="O1228" s="11" t="s">
        <v>27</v>
      </c>
      <c r="P1228" s="32"/>
      <c r="Q1228" s="32"/>
      <c r="R1228" s="32"/>
      <c r="S1228" s="32">
        <f t="shared" si="291"/>
        <v>0</v>
      </c>
      <c r="T1228" s="12"/>
      <c r="U1228" s="12"/>
      <c r="V1228" s="10"/>
      <c r="W1228" s="12">
        <f t="shared" si="292"/>
        <v>0</v>
      </c>
      <c r="Y1228" s="10">
        <v>6</v>
      </c>
      <c r="Z1228" s="30" t="s">
        <v>159</v>
      </c>
      <c r="AA1228" s="82">
        <f t="shared" si="295"/>
        <v>10724</v>
      </c>
      <c r="AB1228" s="32">
        <f>650*10+622*5</f>
        <v>9610</v>
      </c>
      <c r="AC1228" s="32"/>
      <c r="AD1228" s="32"/>
      <c r="AE1228" s="32">
        <f t="shared" si="289"/>
        <v>9610</v>
      </c>
      <c r="AF1228" s="12"/>
      <c r="AG1228" s="12"/>
      <c r="AH1228" s="12"/>
      <c r="AI1228" s="12">
        <f t="shared" si="290"/>
        <v>9610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7</v>
      </c>
      <c r="B1229" s="30" t="s">
        <v>160</v>
      </c>
      <c r="C1229" s="82">
        <f t="shared" si="293"/>
        <v>10818</v>
      </c>
      <c r="D1229" s="32">
        <f>650*4+9.5*4</f>
        <v>2638</v>
      </c>
      <c r="E1229" s="32"/>
      <c r="F1229" s="32"/>
      <c r="G1229" s="32">
        <f t="shared" si="287"/>
        <v>2638</v>
      </c>
      <c r="H1229" s="12"/>
      <c r="I1229" s="12"/>
      <c r="J1229" s="12"/>
      <c r="K1229" s="12">
        <f t="shared" si="288"/>
        <v>2638</v>
      </c>
      <c r="M1229" s="10">
        <v>7</v>
      </c>
      <c r="N1229" s="30"/>
      <c r="P1229" s="32"/>
      <c r="Q1229" s="32"/>
      <c r="R1229" s="32"/>
      <c r="S1229" s="32">
        <f t="shared" si="291"/>
        <v>0</v>
      </c>
      <c r="T1229" s="12"/>
      <c r="U1229" s="12"/>
      <c r="V1229" s="12"/>
      <c r="W1229" s="12">
        <f t="shared" si="292"/>
        <v>0</v>
      </c>
      <c r="Y1229" s="10">
        <v>7</v>
      </c>
      <c r="Z1229" s="30" t="s">
        <v>160</v>
      </c>
      <c r="AA1229" s="82">
        <f t="shared" si="295"/>
        <v>10725</v>
      </c>
      <c r="AB1229" s="32">
        <f>650*15</f>
        <v>9750</v>
      </c>
      <c r="AC1229" s="32"/>
      <c r="AD1229" s="32"/>
      <c r="AE1229" s="32">
        <f t="shared" si="289"/>
        <v>9750</v>
      </c>
      <c r="AF1229" s="12"/>
      <c r="AG1229" s="12"/>
      <c r="AH1229" s="12"/>
      <c r="AI1229" s="12">
        <f t="shared" si="290"/>
        <v>9750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8</v>
      </c>
      <c r="B1230" s="30" t="s">
        <v>161</v>
      </c>
      <c r="C1230" s="82">
        <f t="shared" si="293"/>
        <v>10819</v>
      </c>
      <c r="D1230" s="32">
        <f>973*68+872*3</f>
        <v>68780</v>
      </c>
      <c r="E1230" s="32"/>
      <c r="F1230" s="32"/>
      <c r="G1230" s="32">
        <f t="shared" si="287"/>
        <v>68780</v>
      </c>
      <c r="H1230" s="12"/>
      <c r="I1230" s="12"/>
      <c r="J1230" s="12"/>
      <c r="K1230" s="12">
        <f t="shared" si="288"/>
        <v>68780</v>
      </c>
      <c r="M1230" s="10">
        <v>8</v>
      </c>
      <c r="N1230" s="30"/>
      <c r="O1230" s="31"/>
      <c r="P1230" s="32"/>
      <c r="Q1230" s="32"/>
      <c r="R1230" s="32"/>
      <c r="S1230" s="32">
        <f t="shared" si="291"/>
        <v>0</v>
      </c>
      <c r="T1230" s="12"/>
      <c r="U1230" s="12"/>
      <c r="V1230" s="12"/>
      <c r="W1230" s="12">
        <f t="shared" si="292"/>
        <v>0</v>
      </c>
      <c r="Y1230" s="10">
        <v>8</v>
      </c>
      <c r="Z1230" s="30" t="s">
        <v>161</v>
      </c>
      <c r="AA1230" s="82">
        <f t="shared" si="295"/>
        <v>10726</v>
      </c>
      <c r="AB1230" s="32">
        <f>650*15+670+622*2</f>
        <v>11664</v>
      </c>
      <c r="AC1230" s="32"/>
      <c r="AD1230" s="32"/>
      <c r="AE1230" s="32">
        <f t="shared" si="289"/>
        <v>11664</v>
      </c>
      <c r="AF1230" s="12"/>
      <c r="AG1230" s="12"/>
      <c r="AH1230" s="12">
        <f>-111*12</f>
        <v>-1332</v>
      </c>
      <c r="AI1230" s="12">
        <f t="shared" si="290"/>
        <v>10332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9</v>
      </c>
      <c r="B1231" s="30" t="s">
        <v>162</v>
      </c>
      <c r="C1231" s="82">
        <f t="shared" si="293"/>
        <v>10820</v>
      </c>
      <c r="D1231" s="32">
        <f>650*3+622*2</f>
        <v>3194</v>
      </c>
      <c r="E1231" s="32">
        <f>-5*6</f>
        <v>-30</v>
      </c>
      <c r="F1231" s="32"/>
      <c r="G1231" s="32">
        <f t="shared" si="287"/>
        <v>3164</v>
      </c>
      <c r="H1231" s="12"/>
      <c r="I1231" s="12"/>
      <c r="J1231" s="12"/>
      <c r="K1231" s="12">
        <f t="shared" si="288"/>
        <v>3164</v>
      </c>
      <c r="M1231" s="10">
        <v>9</v>
      </c>
      <c r="N1231" s="30"/>
      <c r="O1231" s="31"/>
      <c r="Q1231" s="32"/>
      <c r="R1231" s="32"/>
      <c r="S1231" s="32">
        <f t="shared" si="291"/>
        <v>0</v>
      </c>
      <c r="T1231" s="12"/>
      <c r="U1231" s="12"/>
      <c r="V1231" s="12"/>
      <c r="W1231" s="12">
        <f t="shared" si="292"/>
        <v>0</v>
      </c>
      <c r="Y1231" s="10">
        <v>9</v>
      </c>
      <c r="Z1231" s="30" t="s">
        <v>162</v>
      </c>
      <c r="AA1231" s="82">
        <f t="shared" si="295"/>
        <v>10727</v>
      </c>
      <c r="AB1231" s="32">
        <f>650*4+622*7</f>
        <v>6954</v>
      </c>
      <c r="AC1231" s="32"/>
      <c r="AD1231" s="32"/>
      <c r="AE1231" s="32">
        <f t="shared" si="289"/>
        <v>6954</v>
      </c>
      <c r="AF1231" s="12"/>
      <c r="AG1231" s="12"/>
      <c r="AH1231" s="12"/>
      <c r="AI1231" s="12">
        <f t="shared" si="290"/>
        <v>6954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10</v>
      </c>
      <c r="B1232" s="30" t="s">
        <v>163</v>
      </c>
      <c r="C1232" s="82">
        <f t="shared" si="293"/>
        <v>10821</v>
      </c>
      <c r="D1232" s="32">
        <f>650*26</f>
        <v>16900</v>
      </c>
      <c r="E1232" s="32"/>
      <c r="F1232" s="32"/>
      <c r="G1232" s="32">
        <f t="shared" si="287"/>
        <v>16900</v>
      </c>
      <c r="H1232" s="12"/>
      <c r="I1232" s="12"/>
      <c r="J1232" s="12">
        <f>-111*3</f>
        <v>-333</v>
      </c>
      <c r="K1232" s="12">
        <f t="shared" si="288"/>
        <v>16567</v>
      </c>
      <c r="M1232" s="10">
        <v>10</v>
      </c>
      <c r="N1232" s="30"/>
      <c r="O1232" s="31"/>
      <c r="P1232" s="32"/>
      <c r="Q1232" s="32"/>
      <c r="R1232" s="32"/>
      <c r="S1232" s="32">
        <f t="shared" si="291"/>
        <v>0</v>
      </c>
      <c r="T1232" s="12"/>
      <c r="U1232" s="12"/>
      <c r="V1232" s="12"/>
      <c r="W1232" s="12">
        <f t="shared" si="292"/>
        <v>0</v>
      </c>
      <c r="Y1232" s="10">
        <v>10</v>
      </c>
      <c r="Z1232" s="30" t="s">
        <v>163</v>
      </c>
      <c r="AA1232" s="82">
        <f t="shared" si="295"/>
        <v>10728</v>
      </c>
      <c r="AB1232" s="32">
        <f>650*5+622*5</f>
        <v>6360</v>
      </c>
      <c r="AC1232" s="32"/>
      <c r="AD1232" s="32"/>
      <c r="AE1232" s="32">
        <f t="shared" si="289"/>
        <v>6360</v>
      </c>
      <c r="AF1232" s="12"/>
      <c r="AG1232" s="12"/>
      <c r="AH1232" s="12"/>
      <c r="AI1232" s="12">
        <f t="shared" si="290"/>
        <v>6360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11</v>
      </c>
      <c r="B1233" s="30"/>
      <c r="C1233" s="11" t="s">
        <v>27</v>
      </c>
      <c r="D1233" s="32"/>
      <c r="E1233" s="32"/>
      <c r="F1233" s="32"/>
      <c r="G1233" s="32">
        <f t="shared" si="287"/>
        <v>0</v>
      </c>
      <c r="H1233" s="12"/>
      <c r="I1233" s="12"/>
      <c r="J1233" s="12"/>
      <c r="K1233" s="12">
        <f t="shared" si="288"/>
        <v>0</v>
      </c>
      <c r="M1233" s="10">
        <v>11</v>
      </c>
      <c r="N1233" s="30"/>
      <c r="O1233" s="31"/>
      <c r="P1233" s="32"/>
      <c r="Q1233" s="32"/>
      <c r="R1233" s="32"/>
      <c r="S1233" s="32">
        <f t="shared" si="291"/>
        <v>0</v>
      </c>
      <c r="T1233" s="12"/>
      <c r="U1233" s="12"/>
      <c r="V1233" s="12"/>
      <c r="W1233" s="12">
        <f t="shared" si="292"/>
        <v>0</v>
      </c>
      <c r="Y1233" s="10">
        <v>11</v>
      </c>
      <c r="Z1233" s="30" t="s">
        <v>164</v>
      </c>
      <c r="AA1233" s="82">
        <f t="shared" si="295"/>
        <v>10729</v>
      </c>
      <c r="AB1233" s="32">
        <f>650*10+622*2</f>
        <v>7744</v>
      </c>
      <c r="AC1233" s="32"/>
      <c r="AD1233" s="32"/>
      <c r="AE1233" s="32">
        <f t="shared" si="289"/>
        <v>7744</v>
      </c>
      <c r="AF1233" s="12"/>
      <c r="AG1233" s="12"/>
      <c r="AH1233" s="12"/>
      <c r="AI1233" s="12">
        <f t="shared" si="290"/>
        <v>7744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12</v>
      </c>
      <c r="B1234" s="30"/>
      <c r="D1234" s="32"/>
      <c r="E1234" s="32"/>
      <c r="F1234" s="32"/>
      <c r="G1234" s="32">
        <f t="shared" si="287"/>
        <v>0</v>
      </c>
      <c r="H1234" s="12"/>
      <c r="I1234" s="12"/>
      <c r="J1234" s="10"/>
      <c r="K1234" s="12">
        <f t="shared" si="288"/>
        <v>0</v>
      </c>
      <c r="M1234" s="10">
        <v>12</v>
      </c>
      <c r="N1234" s="30"/>
      <c r="O1234" s="31"/>
      <c r="P1234" s="32"/>
      <c r="Q1234" s="32"/>
      <c r="R1234" s="32"/>
      <c r="S1234" s="32">
        <f t="shared" si="291"/>
        <v>0</v>
      </c>
      <c r="T1234" s="12"/>
      <c r="U1234" s="12"/>
      <c r="V1234" s="12"/>
      <c r="W1234" s="12">
        <f t="shared" si="292"/>
        <v>0</v>
      </c>
      <c r="Y1234" s="10">
        <v>12</v>
      </c>
      <c r="Z1234" s="30"/>
      <c r="AA1234" s="11" t="s">
        <v>27</v>
      </c>
      <c r="AB1234" s="32"/>
      <c r="AC1234" s="32"/>
      <c r="AD1234" s="32"/>
      <c r="AE1234" s="32">
        <f t="shared" si="289"/>
        <v>0</v>
      </c>
      <c r="AF1234" s="12"/>
      <c r="AG1234" s="12"/>
      <c r="AH1234" s="10"/>
      <c r="AI1234" s="12">
        <f t="shared" si="290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13</v>
      </c>
      <c r="B1235" s="30"/>
      <c r="C1235" s="82"/>
      <c r="D1235" s="32"/>
      <c r="E1235" s="32"/>
      <c r="F1235" s="32"/>
      <c r="G1235" s="32">
        <f t="shared" si="287"/>
        <v>0</v>
      </c>
      <c r="H1235" s="12"/>
      <c r="I1235" s="12"/>
      <c r="J1235" s="12"/>
      <c r="K1235" s="12">
        <f t="shared" si="288"/>
        <v>0</v>
      </c>
      <c r="M1235" s="10">
        <v>13</v>
      </c>
      <c r="N1235" s="30"/>
      <c r="O1235" s="31"/>
      <c r="P1235" s="32"/>
      <c r="Q1235" s="32"/>
      <c r="R1235" s="32"/>
      <c r="S1235" s="32">
        <f t="shared" si="291"/>
        <v>0</v>
      </c>
      <c r="T1235" s="12"/>
      <c r="U1235" s="12"/>
      <c r="V1235" s="12"/>
      <c r="W1235" s="12">
        <f t="shared" si="292"/>
        <v>0</v>
      </c>
      <c r="Y1235" s="10">
        <v>13</v>
      </c>
      <c r="Z1235" s="30"/>
      <c r="AA1235" s="82"/>
      <c r="AB1235" s="32"/>
      <c r="AC1235" s="32"/>
      <c r="AD1235" s="32"/>
      <c r="AE1235" s="32">
        <f t="shared" si="289"/>
        <v>0</v>
      </c>
      <c r="AF1235" s="12"/>
      <c r="AG1235" s="12"/>
      <c r="AH1235" s="12"/>
      <c r="AI1235" s="12">
        <f t="shared" si="290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14</v>
      </c>
      <c r="B1236" s="30"/>
      <c r="D1236" s="32"/>
      <c r="E1236" s="32"/>
      <c r="F1236" s="32"/>
      <c r="G1236" s="32">
        <f t="shared" si="287"/>
        <v>0</v>
      </c>
      <c r="H1236" s="12"/>
      <c r="I1236" s="12"/>
      <c r="J1236" s="12"/>
      <c r="K1236" s="12">
        <f t="shared" si="288"/>
        <v>0</v>
      </c>
      <c r="M1236" s="10">
        <v>14</v>
      </c>
      <c r="N1236" s="30"/>
      <c r="P1236" s="32"/>
      <c r="Q1236" s="32"/>
      <c r="R1236" s="32"/>
      <c r="S1236" s="32">
        <f t="shared" si="291"/>
        <v>0</v>
      </c>
      <c r="T1236" s="12"/>
      <c r="U1236" s="12"/>
      <c r="V1236" s="12"/>
      <c r="W1236" s="12">
        <f t="shared" si="292"/>
        <v>0</v>
      </c>
      <c r="Y1236" s="10">
        <v>14</v>
      </c>
      <c r="Z1236" s="30"/>
      <c r="AA1236" s="57"/>
      <c r="AB1236" s="32"/>
      <c r="AC1236" s="32"/>
      <c r="AD1236" s="32"/>
      <c r="AE1236" s="32">
        <f t="shared" si="289"/>
        <v>0</v>
      </c>
      <c r="AF1236" s="12"/>
      <c r="AG1236" s="12"/>
      <c r="AH1236" s="12"/>
      <c r="AI1236" s="12">
        <f t="shared" si="290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15</v>
      </c>
      <c r="B1237" s="30"/>
      <c r="C1237" s="82"/>
      <c r="D1237" s="32"/>
      <c r="E1237" s="32"/>
      <c r="F1237" s="32"/>
      <c r="G1237" s="32"/>
      <c r="H1237" s="12"/>
      <c r="I1237" s="12"/>
      <c r="J1237" s="12"/>
      <c r="K1237" s="12">
        <f t="shared" si="288"/>
        <v>0</v>
      </c>
      <c r="M1237" s="10">
        <v>15</v>
      </c>
      <c r="N1237" s="30"/>
      <c r="P1237" s="32"/>
      <c r="Q1237" s="32"/>
      <c r="R1237" s="32"/>
      <c r="S1237" s="32">
        <f t="shared" si="291"/>
        <v>0</v>
      </c>
      <c r="T1237" s="12"/>
      <c r="U1237" s="12"/>
      <c r="V1237" s="12"/>
      <c r="W1237" s="12">
        <f t="shared" si="292"/>
        <v>0</v>
      </c>
      <c r="Y1237" s="10">
        <v>15</v>
      </c>
      <c r="Z1237" s="30"/>
      <c r="AA1237" s="82"/>
      <c r="AB1237" s="32"/>
      <c r="AC1237" s="32"/>
      <c r="AD1237" s="32"/>
      <c r="AE1237" s="32"/>
      <c r="AF1237" s="12"/>
      <c r="AG1237" s="12"/>
      <c r="AH1237" s="12"/>
      <c r="AI1237" s="12">
        <f t="shared" si="290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16</v>
      </c>
      <c r="B1238" s="30"/>
      <c r="C1238" s="82"/>
      <c r="D1238" s="32"/>
      <c r="E1238" s="32"/>
      <c r="F1238" s="32"/>
      <c r="G1238" s="32"/>
      <c r="H1238" s="12"/>
      <c r="I1238" s="12"/>
      <c r="J1238" s="12"/>
      <c r="K1238" s="12">
        <f t="shared" si="288"/>
        <v>0</v>
      </c>
      <c r="M1238" s="10">
        <v>16</v>
      </c>
      <c r="N1238" s="30"/>
      <c r="O1238" s="11"/>
      <c r="P1238" s="32"/>
      <c r="Q1238" s="32"/>
      <c r="R1238" s="32"/>
      <c r="S1238" s="32">
        <f t="shared" si="291"/>
        <v>0</v>
      </c>
      <c r="T1238" s="12"/>
      <c r="U1238" s="12"/>
      <c r="V1238" s="12"/>
      <c r="W1238" s="12">
        <f t="shared" si="292"/>
        <v>0</v>
      </c>
      <c r="Y1238" s="10">
        <v>16</v>
      </c>
      <c r="Z1238" s="30"/>
      <c r="AA1238" s="82"/>
      <c r="AB1238" s="32"/>
      <c r="AC1238" s="32"/>
      <c r="AD1238" s="32"/>
      <c r="AE1238" s="32"/>
      <c r="AF1238" s="12"/>
      <c r="AG1238" s="12"/>
      <c r="AH1238" s="12"/>
      <c r="AI1238" s="12">
        <f t="shared" si="290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17</v>
      </c>
      <c r="B1239" s="30"/>
      <c r="C1239" s="82"/>
      <c r="D1239" s="32"/>
      <c r="E1239" s="32"/>
      <c r="F1239" s="32"/>
      <c r="G1239" s="32"/>
      <c r="H1239" s="12"/>
      <c r="I1239" s="12"/>
      <c r="J1239" s="12"/>
      <c r="K1239" s="12">
        <f t="shared" si="288"/>
        <v>0</v>
      </c>
      <c r="M1239" s="10">
        <v>17</v>
      </c>
      <c r="N1239" s="30"/>
      <c r="P1239" s="35"/>
      <c r="Q1239" s="32"/>
      <c r="R1239" s="32"/>
      <c r="S1239" s="32">
        <f t="shared" si="291"/>
        <v>0</v>
      </c>
      <c r="T1239" s="12"/>
      <c r="U1239" s="12"/>
      <c r="V1239" s="12"/>
      <c r="W1239" s="12">
        <f t="shared" si="292"/>
        <v>0</v>
      </c>
      <c r="Y1239" s="10">
        <v>17</v>
      </c>
      <c r="Z1239" s="30"/>
      <c r="AA1239" s="82"/>
      <c r="AB1239" s="32"/>
      <c r="AC1239" s="32"/>
      <c r="AD1239" s="32"/>
      <c r="AE1239" s="32"/>
      <c r="AF1239" s="12"/>
      <c r="AG1239" s="12"/>
      <c r="AH1239" s="12"/>
      <c r="AI1239" s="12">
        <f t="shared" si="290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18</v>
      </c>
      <c r="B1240" s="30"/>
      <c r="C1240" s="82"/>
      <c r="D1240" s="32"/>
      <c r="E1240" s="32"/>
      <c r="F1240" s="32"/>
      <c r="G1240" s="32"/>
      <c r="H1240" s="12"/>
      <c r="I1240" s="12"/>
      <c r="J1240" s="12"/>
      <c r="K1240" s="12">
        <f t="shared" si="288"/>
        <v>0</v>
      </c>
      <c r="M1240" s="10">
        <v>18</v>
      </c>
      <c r="N1240" s="30"/>
      <c r="O1240" s="11"/>
      <c r="P1240" s="32"/>
      <c r="Q1240" s="32"/>
      <c r="R1240" s="32"/>
      <c r="S1240" s="32">
        <f t="shared" si="291"/>
        <v>0</v>
      </c>
      <c r="T1240" s="12"/>
      <c r="U1240" s="12"/>
      <c r="V1240" s="12"/>
      <c r="W1240" s="12">
        <f t="shared" si="292"/>
        <v>0</v>
      </c>
      <c r="Y1240" s="10">
        <v>18</v>
      </c>
      <c r="Z1240" s="30"/>
      <c r="AA1240" s="82"/>
      <c r="AB1240" s="32"/>
      <c r="AC1240" s="32"/>
      <c r="AD1240" s="32"/>
      <c r="AE1240" s="32"/>
      <c r="AF1240" s="12"/>
      <c r="AG1240" s="12"/>
      <c r="AH1240" s="12"/>
      <c r="AI1240" s="12">
        <f t="shared" si="290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19</v>
      </c>
      <c r="B1241" s="30"/>
      <c r="C1241" s="82"/>
      <c r="D1241" s="32"/>
      <c r="E1241" s="32"/>
      <c r="F1241" s="32"/>
      <c r="G1241" s="32"/>
      <c r="H1241" s="12"/>
      <c r="I1241" s="12"/>
      <c r="J1241" s="12"/>
      <c r="K1241" s="12">
        <f t="shared" si="288"/>
        <v>0</v>
      </c>
      <c r="M1241" s="10">
        <v>19</v>
      </c>
      <c r="N1241" s="30"/>
      <c r="O1241" s="31"/>
      <c r="P1241" s="32"/>
      <c r="Q1241" s="32"/>
      <c r="R1241" s="32"/>
      <c r="S1241" s="32">
        <f t="shared" si="291"/>
        <v>0</v>
      </c>
      <c r="T1241" s="12"/>
      <c r="U1241" s="12"/>
      <c r="V1241" s="12"/>
      <c r="W1241" s="12">
        <f t="shared" si="292"/>
        <v>0</v>
      </c>
      <c r="Y1241" s="10">
        <v>19</v>
      </c>
      <c r="Z1241" s="30"/>
      <c r="AA1241" s="82"/>
      <c r="AB1241" s="32"/>
      <c r="AC1241" s="32"/>
      <c r="AD1241" s="32"/>
      <c r="AE1241" s="32"/>
      <c r="AF1241" s="12"/>
      <c r="AG1241" s="12"/>
      <c r="AH1241" s="12"/>
      <c r="AI1241" s="12">
        <f t="shared" si="290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20</v>
      </c>
      <c r="B1242" s="30"/>
      <c r="C1242" s="82"/>
      <c r="D1242" s="32"/>
      <c r="E1242" s="32"/>
      <c r="F1242" s="32"/>
      <c r="G1242" s="32"/>
      <c r="H1242" s="12"/>
      <c r="I1242" s="12"/>
      <c r="J1242" s="12"/>
      <c r="K1242" s="12">
        <f t="shared" si="288"/>
        <v>0</v>
      </c>
      <c r="M1242" s="10">
        <v>20</v>
      </c>
      <c r="N1242" s="30"/>
      <c r="P1242" s="32"/>
      <c r="Q1242" s="32"/>
      <c r="R1242" s="32"/>
      <c r="S1242" s="32">
        <f t="shared" si="291"/>
        <v>0</v>
      </c>
      <c r="T1242" s="12"/>
      <c r="U1242" s="12"/>
      <c r="V1242" s="12"/>
      <c r="W1242" s="12">
        <f t="shared" si="292"/>
        <v>0</v>
      </c>
      <c r="Y1242" s="10">
        <v>20</v>
      </c>
      <c r="Z1242" s="30"/>
      <c r="AA1242" s="82"/>
      <c r="AB1242" s="32"/>
      <c r="AC1242" s="32"/>
      <c r="AD1242" s="32"/>
      <c r="AE1242" s="32"/>
      <c r="AF1242" s="12"/>
      <c r="AG1242" s="12"/>
      <c r="AH1242" s="12"/>
      <c r="AI1242" s="12">
        <f t="shared" si="290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21</v>
      </c>
      <c r="B1243" s="30"/>
      <c r="C1243" s="11"/>
      <c r="D1243" s="32"/>
      <c r="E1243" s="32"/>
      <c r="F1243" s="32"/>
      <c r="G1243" s="32"/>
      <c r="H1243" s="10"/>
      <c r="I1243" s="10"/>
      <c r="J1243" s="10"/>
      <c r="K1243" s="12">
        <f t="shared" si="288"/>
        <v>0</v>
      </c>
      <c r="M1243" s="10">
        <v>21</v>
      </c>
      <c r="N1243" s="30"/>
      <c r="O1243" s="31"/>
      <c r="P1243" s="46"/>
      <c r="Q1243" s="31"/>
      <c r="R1243" s="31"/>
      <c r="S1243" s="32">
        <f t="shared" si="291"/>
        <v>0</v>
      </c>
      <c r="T1243" s="10"/>
      <c r="U1243" s="10"/>
      <c r="V1243" s="10"/>
      <c r="W1243" s="12">
        <f t="shared" si="292"/>
        <v>0</v>
      </c>
      <c r="Y1243" s="10">
        <v>21</v>
      </c>
      <c r="Z1243" s="30"/>
      <c r="AA1243" s="11"/>
      <c r="AB1243" s="32"/>
      <c r="AC1243" s="32"/>
      <c r="AD1243" s="32"/>
      <c r="AE1243" s="32"/>
      <c r="AF1243" s="10"/>
      <c r="AG1243" s="10"/>
      <c r="AH1243" s="10"/>
      <c r="AI1243" s="12">
        <f t="shared" si="290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22</v>
      </c>
      <c r="B1244" s="30"/>
      <c r="C1244" s="11"/>
      <c r="D1244" s="32"/>
      <c r="E1244" s="32"/>
      <c r="F1244" s="32"/>
      <c r="G1244" s="32">
        <f t="shared" ref="G1244:G1256" si="296">SUM(D1244:E1244)</f>
        <v>0</v>
      </c>
      <c r="H1244" s="10"/>
      <c r="I1244" s="10"/>
      <c r="J1244" s="10"/>
      <c r="K1244" s="12">
        <f t="shared" si="288"/>
        <v>0</v>
      </c>
      <c r="M1244" s="10">
        <v>22</v>
      </c>
      <c r="N1244" s="30"/>
      <c r="O1244" s="31"/>
      <c r="P1244" s="45"/>
      <c r="Q1244" s="31"/>
      <c r="R1244" s="31"/>
      <c r="S1244" s="32">
        <f t="shared" si="291"/>
        <v>0</v>
      </c>
      <c r="T1244" s="10"/>
      <c r="U1244" s="10"/>
      <c r="V1244" s="10"/>
      <c r="W1244" s="12">
        <f t="shared" si="292"/>
        <v>0</v>
      </c>
      <c r="Y1244" s="10">
        <v>22</v>
      </c>
      <c r="Z1244" s="30"/>
      <c r="AA1244" s="11"/>
      <c r="AB1244" s="32"/>
      <c r="AC1244" s="32"/>
      <c r="AD1244" s="32"/>
      <c r="AE1244" s="32">
        <f t="shared" ref="AE1244:AE1256" si="297">SUM(AB1244:AC1244)</f>
        <v>0</v>
      </c>
      <c r="AF1244" s="10"/>
      <c r="AG1244" s="10"/>
      <c r="AH1244" s="10"/>
      <c r="AI1244" s="12">
        <f t="shared" si="290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23</v>
      </c>
      <c r="B1245" s="30"/>
      <c r="C1245" s="82"/>
      <c r="D1245" s="32"/>
      <c r="E1245" s="32"/>
      <c r="F1245" s="32"/>
      <c r="G1245" s="32">
        <f t="shared" si="296"/>
        <v>0</v>
      </c>
      <c r="H1245" s="10"/>
      <c r="I1245" s="10"/>
      <c r="J1245" s="12"/>
      <c r="K1245" s="12">
        <f t="shared" si="288"/>
        <v>0</v>
      </c>
      <c r="M1245" s="10">
        <v>23</v>
      </c>
      <c r="N1245" s="30"/>
      <c r="O1245" s="31"/>
      <c r="P1245" s="47"/>
      <c r="Q1245" s="45"/>
      <c r="S1245" s="32">
        <f t="shared" si="291"/>
        <v>0</v>
      </c>
      <c r="T1245" s="10"/>
      <c r="U1245" s="10"/>
      <c r="V1245" s="10"/>
      <c r="W1245" s="12">
        <f t="shared" si="292"/>
        <v>0</v>
      </c>
      <c r="Y1245" s="10">
        <v>23</v>
      </c>
      <c r="Z1245" s="30"/>
      <c r="AA1245" s="82"/>
      <c r="AB1245" s="32"/>
      <c r="AC1245" s="32"/>
      <c r="AD1245" s="32"/>
      <c r="AE1245" s="32">
        <f t="shared" si="297"/>
        <v>0</v>
      </c>
      <c r="AF1245" s="10"/>
      <c r="AG1245" s="10"/>
      <c r="AH1245" s="12"/>
      <c r="AI1245" s="12">
        <f t="shared" si="290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24</v>
      </c>
      <c r="B1246" s="30"/>
      <c r="C1246" s="82"/>
      <c r="D1246" s="32"/>
      <c r="E1246" s="32"/>
      <c r="F1246" s="32"/>
      <c r="G1246" s="32">
        <f t="shared" si="296"/>
        <v>0</v>
      </c>
      <c r="H1246" s="10"/>
      <c r="I1246" s="10"/>
      <c r="J1246" s="10"/>
      <c r="K1246" s="12">
        <f t="shared" si="288"/>
        <v>0</v>
      </c>
      <c r="M1246" s="10">
        <v>24</v>
      </c>
      <c r="N1246" s="30"/>
      <c r="O1246" s="31"/>
      <c r="P1246" s="47"/>
      <c r="Q1246" s="31"/>
      <c r="R1246" s="31"/>
      <c r="S1246" s="32">
        <f t="shared" si="291"/>
        <v>0</v>
      </c>
      <c r="T1246" s="10"/>
      <c r="U1246" s="10"/>
      <c r="V1246" s="10"/>
      <c r="W1246" s="12">
        <f t="shared" si="292"/>
        <v>0</v>
      </c>
      <c r="Y1246" s="10">
        <v>24</v>
      </c>
      <c r="Z1246" s="30"/>
      <c r="AA1246" s="82"/>
      <c r="AB1246" s="32"/>
      <c r="AC1246" s="32"/>
      <c r="AD1246" s="32"/>
      <c r="AE1246" s="32">
        <f t="shared" si="297"/>
        <v>0</v>
      </c>
      <c r="AF1246" s="10"/>
      <c r="AG1246" s="10"/>
      <c r="AH1246" s="10"/>
      <c r="AI1246" s="12">
        <f t="shared" si="290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25</v>
      </c>
      <c r="B1247" s="30"/>
      <c r="C1247" s="57"/>
      <c r="D1247" s="32"/>
      <c r="E1247" s="32"/>
      <c r="F1247" s="32"/>
      <c r="G1247" s="32">
        <f t="shared" si="296"/>
        <v>0</v>
      </c>
      <c r="H1247" s="10"/>
      <c r="I1247" s="10"/>
      <c r="J1247" s="10"/>
      <c r="K1247" s="12">
        <f t="shared" si="288"/>
        <v>0</v>
      </c>
      <c r="M1247" s="10">
        <v>25</v>
      </c>
      <c r="N1247" s="30"/>
      <c r="O1247" s="31"/>
      <c r="P1247" s="47"/>
      <c r="Q1247" s="31"/>
      <c r="R1247" s="31"/>
      <c r="S1247" s="32">
        <f t="shared" si="291"/>
        <v>0</v>
      </c>
      <c r="T1247" s="10"/>
      <c r="U1247" s="10"/>
      <c r="V1247" s="10"/>
      <c r="W1247" s="12">
        <f t="shared" si="292"/>
        <v>0</v>
      </c>
      <c r="Y1247" s="10">
        <v>25</v>
      </c>
      <c r="Z1247" s="30"/>
      <c r="AA1247" s="57"/>
      <c r="AB1247" s="32"/>
      <c r="AC1247" s="32"/>
      <c r="AD1247" s="32"/>
      <c r="AE1247" s="32">
        <f t="shared" si="297"/>
        <v>0</v>
      </c>
      <c r="AF1247" s="10"/>
      <c r="AG1247" s="10"/>
      <c r="AH1247" s="10"/>
      <c r="AI1247" s="12">
        <f t="shared" si="290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26</v>
      </c>
      <c r="B1248" s="30"/>
      <c r="C1248" s="82"/>
      <c r="D1248" s="32"/>
      <c r="E1248" s="32"/>
      <c r="F1248" s="32"/>
      <c r="G1248" s="32">
        <f t="shared" si="296"/>
        <v>0</v>
      </c>
      <c r="H1248" s="10"/>
      <c r="I1248" s="10"/>
      <c r="J1248" s="10"/>
      <c r="K1248" s="12">
        <f t="shared" si="288"/>
        <v>0</v>
      </c>
      <c r="M1248" s="10">
        <v>26</v>
      </c>
      <c r="N1248" s="30"/>
      <c r="O1248" s="31"/>
      <c r="P1248" s="47"/>
      <c r="Q1248" s="31"/>
      <c r="R1248" s="31"/>
      <c r="S1248" s="32">
        <f t="shared" si="291"/>
        <v>0</v>
      </c>
      <c r="T1248" s="10"/>
      <c r="U1248" s="10"/>
      <c r="V1248" s="10"/>
      <c r="W1248" s="12">
        <f t="shared" si="292"/>
        <v>0</v>
      </c>
      <c r="Y1248" s="10">
        <v>26</v>
      </c>
      <c r="Z1248" s="30"/>
      <c r="AA1248" s="82"/>
      <c r="AB1248" s="32"/>
      <c r="AC1248" s="32"/>
      <c r="AD1248" s="32"/>
      <c r="AE1248" s="32">
        <f t="shared" si="297"/>
        <v>0</v>
      </c>
      <c r="AF1248" s="10"/>
      <c r="AG1248" s="10"/>
      <c r="AH1248" s="10"/>
      <c r="AI1248" s="12">
        <f t="shared" si="290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27</v>
      </c>
      <c r="B1249" s="30"/>
      <c r="C1249" s="82"/>
      <c r="D1249" s="32"/>
      <c r="E1249" s="32"/>
      <c r="F1249" s="32"/>
      <c r="G1249" s="32">
        <f t="shared" si="296"/>
        <v>0</v>
      </c>
      <c r="H1249" s="10"/>
      <c r="I1249" s="10"/>
      <c r="J1249" s="10"/>
      <c r="K1249" s="12">
        <f t="shared" si="288"/>
        <v>0</v>
      </c>
      <c r="M1249" s="10">
        <v>27</v>
      </c>
      <c r="N1249" s="30"/>
      <c r="O1249" s="31"/>
      <c r="P1249" s="47"/>
      <c r="Q1249" s="31"/>
      <c r="R1249" s="31"/>
      <c r="S1249" s="32">
        <f t="shared" si="291"/>
        <v>0</v>
      </c>
      <c r="T1249" s="10"/>
      <c r="U1249" s="10"/>
      <c r="V1249" s="10"/>
      <c r="W1249" s="12">
        <f t="shared" si="292"/>
        <v>0</v>
      </c>
      <c r="Y1249" s="10">
        <v>27</v>
      </c>
      <c r="Z1249" s="30"/>
      <c r="AA1249" s="82"/>
      <c r="AB1249" s="32"/>
      <c r="AC1249" s="32"/>
      <c r="AD1249" s="32"/>
      <c r="AE1249" s="32">
        <f t="shared" si="297"/>
        <v>0</v>
      </c>
      <c r="AF1249" s="10"/>
      <c r="AG1249" s="10"/>
      <c r="AH1249" s="10"/>
      <c r="AI1249" s="12">
        <f t="shared" si="290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28</v>
      </c>
      <c r="B1250" s="30"/>
      <c r="C1250" s="82"/>
      <c r="D1250" s="32"/>
      <c r="E1250" s="32"/>
      <c r="F1250" s="32"/>
      <c r="G1250" s="32">
        <f t="shared" si="296"/>
        <v>0</v>
      </c>
      <c r="H1250" s="10"/>
      <c r="I1250" s="10"/>
      <c r="J1250" s="10"/>
      <c r="K1250" s="12">
        <f t="shared" si="288"/>
        <v>0</v>
      </c>
      <c r="M1250" s="10">
        <v>28</v>
      </c>
      <c r="N1250" s="30"/>
      <c r="O1250" s="31"/>
      <c r="P1250" s="47"/>
      <c r="Q1250" s="31"/>
      <c r="R1250" s="31"/>
      <c r="S1250" s="32">
        <f t="shared" si="291"/>
        <v>0</v>
      </c>
      <c r="T1250" s="10"/>
      <c r="U1250" s="10"/>
      <c r="V1250" s="10"/>
      <c r="W1250" s="12">
        <f t="shared" si="292"/>
        <v>0</v>
      </c>
      <c r="Y1250" s="10">
        <v>28</v>
      </c>
      <c r="Z1250" s="30"/>
      <c r="AA1250" s="82"/>
      <c r="AB1250" s="32"/>
      <c r="AC1250" s="32"/>
      <c r="AD1250" s="32"/>
      <c r="AE1250" s="32">
        <f t="shared" si="297"/>
        <v>0</v>
      </c>
      <c r="AF1250" s="10"/>
      <c r="AG1250" s="10"/>
      <c r="AH1250" s="10"/>
      <c r="AI1250" s="12">
        <f t="shared" si="290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29</v>
      </c>
      <c r="B1251" s="30"/>
      <c r="C1251" s="82"/>
      <c r="D1251" s="32"/>
      <c r="E1251" s="32"/>
      <c r="F1251" s="32"/>
      <c r="G1251" s="32">
        <f t="shared" si="296"/>
        <v>0</v>
      </c>
      <c r="H1251" s="10"/>
      <c r="I1251" s="10"/>
      <c r="J1251" s="10"/>
      <c r="K1251" s="12">
        <f t="shared" si="288"/>
        <v>0</v>
      </c>
      <c r="M1251" s="10">
        <v>29</v>
      </c>
      <c r="N1251" s="30"/>
      <c r="O1251" s="31"/>
      <c r="P1251" s="47"/>
      <c r="Q1251" s="31"/>
      <c r="R1251" s="31"/>
      <c r="S1251" s="32">
        <f t="shared" si="291"/>
        <v>0</v>
      </c>
      <c r="T1251" s="10"/>
      <c r="U1251" s="10"/>
      <c r="V1251" s="10"/>
      <c r="W1251" s="12">
        <f t="shared" si="292"/>
        <v>0</v>
      </c>
      <c r="Y1251" s="10">
        <v>29</v>
      </c>
      <c r="Z1251" s="30"/>
      <c r="AA1251" s="82"/>
      <c r="AB1251" s="32"/>
      <c r="AC1251" s="32"/>
      <c r="AD1251" s="32"/>
      <c r="AE1251" s="32">
        <f t="shared" si="297"/>
        <v>0</v>
      </c>
      <c r="AF1251" s="10"/>
      <c r="AG1251" s="10"/>
      <c r="AH1251" s="10"/>
      <c r="AI1251" s="12">
        <f t="shared" si="290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30</v>
      </c>
      <c r="B1252" s="30"/>
      <c r="C1252" s="82"/>
      <c r="D1252" s="32"/>
      <c r="E1252" s="32"/>
      <c r="F1252" s="32"/>
      <c r="G1252" s="32">
        <f t="shared" si="296"/>
        <v>0</v>
      </c>
      <c r="H1252" s="10"/>
      <c r="I1252" s="10"/>
      <c r="J1252" s="10"/>
      <c r="K1252" s="12">
        <f t="shared" si="288"/>
        <v>0</v>
      </c>
      <c r="M1252" s="10">
        <v>30</v>
      </c>
      <c r="N1252" s="30"/>
      <c r="O1252" s="31"/>
      <c r="P1252" s="47"/>
      <c r="Q1252" s="31"/>
      <c r="R1252" s="31"/>
      <c r="S1252" s="32">
        <f t="shared" si="291"/>
        <v>0</v>
      </c>
      <c r="T1252" s="10"/>
      <c r="U1252" s="10"/>
      <c r="V1252" s="10"/>
      <c r="W1252" s="12">
        <f t="shared" si="292"/>
        <v>0</v>
      </c>
      <c r="Y1252" s="10">
        <v>30</v>
      </c>
      <c r="Z1252" s="30"/>
      <c r="AA1252" s="82"/>
      <c r="AB1252" s="32"/>
      <c r="AC1252" s="32"/>
      <c r="AD1252" s="32"/>
      <c r="AE1252" s="32">
        <f t="shared" si="297"/>
        <v>0</v>
      </c>
      <c r="AF1252" s="10"/>
      <c r="AG1252" s="10"/>
      <c r="AH1252" s="10"/>
      <c r="AI1252" s="12">
        <f t="shared" si="290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31</v>
      </c>
      <c r="B1253" s="30"/>
      <c r="C1253" s="82"/>
      <c r="D1253" s="32"/>
      <c r="E1253" s="32"/>
      <c r="F1253" s="32"/>
      <c r="G1253" s="32">
        <f t="shared" si="296"/>
        <v>0</v>
      </c>
      <c r="H1253" s="10"/>
      <c r="I1253" s="10"/>
      <c r="J1253" s="10"/>
      <c r="K1253" s="12">
        <f t="shared" si="288"/>
        <v>0</v>
      </c>
      <c r="M1253" s="10">
        <v>31</v>
      </c>
      <c r="N1253" s="30"/>
      <c r="O1253" s="31"/>
      <c r="P1253" s="47"/>
      <c r="Q1253" s="31"/>
      <c r="R1253" s="31"/>
      <c r="S1253" s="32">
        <f t="shared" si="291"/>
        <v>0</v>
      </c>
      <c r="T1253" s="10"/>
      <c r="U1253" s="10"/>
      <c r="V1253" s="10"/>
      <c r="W1253" s="12">
        <f t="shared" si="292"/>
        <v>0</v>
      </c>
      <c r="Y1253" s="10">
        <v>31</v>
      </c>
      <c r="Z1253" s="30"/>
      <c r="AA1253" s="82"/>
      <c r="AB1253" s="32"/>
      <c r="AC1253" s="32"/>
      <c r="AD1253" s="32"/>
      <c r="AE1253" s="32">
        <f t="shared" si="297"/>
        <v>0</v>
      </c>
      <c r="AF1253" s="10"/>
      <c r="AG1253" s="10"/>
      <c r="AH1253" s="10"/>
      <c r="AI1253" s="12">
        <f t="shared" si="290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32</v>
      </c>
      <c r="B1254" s="30"/>
      <c r="C1254" s="82"/>
      <c r="D1254" s="32"/>
      <c r="E1254" s="32"/>
      <c r="F1254" s="32"/>
      <c r="G1254" s="32">
        <f t="shared" si="296"/>
        <v>0</v>
      </c>
      <c r="H1254" s="10"/>
      <c r="I1254" s="10"/>
      <c r="J1254" s="10"/>
      <c r="K1254" s="12">
        <f t="shared" si="288"/>
        <v>0</v>
      </c>
      <c r="M1254" s="10">
        <v>32</v>
      </c>
      <c r="N1254" s="30"/>
      <c r="O1254" s="31"/>
      <c r="P1254" s="47"/>
      <c r="Q1254" s="31"/>
      <c r="R1254" s="31"/>
      <c r="S1254" s="32">
        <f t="shared" si="291"/>
        <v>0</v>
      </c>
      <c r="T1254" s="10"/>
      <c r="U1254" s="10"/>
      <c r="V1254" s="10"/>
      <c r="W1254" s="12">
        <f t="shared" si="292"/>
        <v>0</v>
      </c>
      <c r="Y1254" s="10">
        <v>32</v>
      </c>
      <c r="Z1254" s="30"/>
      <c r="AA1254" s="82"/>
      <c r="AB1254" s="32"/>
      <c r="AC1254" s="32"/>
      <c r="AD1254" s="32"/>
      <c r="AE1254" s="32">
        <f t="shared" si="297"/>
        <v>0</v>
      </c>
      <c r="AF1254" s="10"/>
      <c r="AG1254" s="10"/>
      <c r="AH1254" s="10"/>
      <c r="AI1254" s="12">
        <f t="shared" si="290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>
        <v>33</v>
      </c>
      <c r="B1255" s="30"/>
      <c r="C1255" s="82"/>
      <c r="D1255" s="32"/>
      <c r="E1255" s="32"/>
      <c r="F1255" s="32"/>
      <c r="G1255" s="32">
        <f t="shared" si="296"/>
        <v>0</v>
      </c>
      <c r="H1255" s="10"/>
      <c r="I1255" s="10"/>
      <c r="J1255" s="10"/>
      <c r="K1255" s="12">
        <f t="shared" si="288"/>
        <v>0</v>
      </c>
      <c r="M1255" s="10">
        <v>33</v>
      </c>
      <c r="N1255" s="30"/>
      <c r="O1255" s="31"/>
      <c r="P1255" s="47"/>
      <c r="Q1255" s="31"/>
      <c r="R1255" s="31"/>
      <c r="S1255" s="32">
        <f t="shared" si="291"/>
        <v>0</v>
      </c>
      <c r="T1255" s="10"/>
      <c r="U1255" s="10"/>
      <c r="V1255" s="10"/>
      <c r="W1255" s="12">
        <f t="shared" si="292"/>
        <v>0</v>
      </c>
      <c r="Y1255" s="10">
        <v>33</v>
      </c>
      <c r="Z1255" s="30"/>
      <c r="AA1255" s="82"/>
      <c r="AB1255" s="32"/>
      <c r="AC1255" s="32"/>
      <c r="AD1255" s="32"/>
      <c r="AE1255" s="32">
        <f t="shared" si="297"/>
        <v>0</v>
      </c>
      <c r="AF1255" s="10"/>
      <c r="AG1255" s="10"/>
      <c r="AH1255" s="10"/>
      <c r="AI1255" s="12">
        <f t="shared" si="290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2"/>
      <c r="D1256" s="32"/>
      <c r="E1256" s="32"/>
      <c r="F1256" s="32"/>
      <c r="G1256" s="32">
        <f t="shared" si="296"/>
        <v>0</v>
      </c>
      <c r="H1256" s="10"/>
      <c r="I1256" s="10"/>
      <c r="J1256" s="10"/>
      <c r="K1256" s="12">
        <f t="shared" si="288"/>
        <v>0</v>
      </c>
      <c r="M1256" s="10">
        <v>34</v>
      </c>
      <c r="N1256" s="30"/>
      <c r="O1256" s="31"/>
      <c r="P1256" s="47"/>
      <c r="Q1256" s="31"/>
      <c r="R1256" s="31"/>
      <c r="S1256" s="32">
        <f t="shared" si="291"/>
        <v>0</v>
      </c>
      <c r="T1256" s="10"/>
      <c r="U1256" s="10"/>
      <c r="V1256" s="10"/>
      <c r="W1256" s="12">
        <f t="shared" si="292"/>
        <v>0</v>
      </c>
      <c r="Y1256" s="10"/>
      <c r="Z1256" s="30"/>
      <c r="AA1256" s="82"/>
      <c r="AB1256" s="32"/>
      <c r="AC1256" s="32"/>
      <c r="AD1256" s="32"/>
      <c r="AE1256" s="32">
        <f t="shared" si="297"/>
        <v>0</v>
      </c>
      <c r="AF1256" s="10"/>
      <c r="AG1256" s="10"/>
      <c r="AH1256" s="10"/>
      <c r="AI1256" s="12">
        <f t="shared" si="290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2"/>
      <c r="D1257" s="32"/>
      <c r="E1257" s="32"/>
      <c r="F1257" s="32"/>
      <c r="G1257" s="32"/>
      <c r="H1257" s="10"/>
      <c r="I1257" s="10"/>
      <c r="J1257" s="10"/>
      <c r="K1257" s="12"/>
      <c r="M1257" s="10">
        <v>35</v>
      </c>
      <c r="N1257" s="30"/>
      <c r="O1257" s="31"/>
      <c r="P1257" s="47"/>
      <c r="Q1257" s="31"/>
      <c r="R1257" s="31"/>
      <c r="S1257" s="32">
        <f t="shared" si="291"/>
        <v>0</v>
      </c>
      <c r="T1257" s="10"/>
      <c r="U1257" s="10"/>
      <c r="V1257" s="10"/>
      <c r="W1257" s="12">
        <f t="shared" si="292"/>
        <v>0</v>
      </c>
      <c r="Y1257" s="10"/>
      <c r="Z1257" s="30"/>
      <c r="AA1257" s="82"/>
      <c r="AB1257" s="32"/>
      <c r="AC1257" s="32"/>
      <c r="AD1257" s="32"/>
      <c r="AE1257" s="32"/>
      <c r="AF1257" s="10"/>
      <c r="AG1257" s="10"/>
      <c r="AH1257" s="10"/>
      <c r="AI1257" s="1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82"/>
      <c r="D1258" s="32"/>
      <c r="E1258" s="32"/>
      <c r="F1258" s="32"/>
      <c r="G1258" s="32"/>
      <c r="H1258" s="10"/>
      <c r="I1258" s="10"/>
      <c r="J1258" s="10"/>
      <c r="K1258" s="12"/>
      <c r="M1258" s="10">
        <v>36</v>
      </c>
      <c r="N1258" s="30"/>
      <c r="O1258" s="31"/>
      <c r="P1258" s="47"/>
      <c r="Q1258" s="31"/>
      <c r="R1258" s="31"/>
      <c r="S1258" s="32">
        <f t="shared" si="291"/>
        <v>0</v>
      </c>
      <c r="T1258" s="10"/>
      <c r="U1258" s="10"/>
      <c r="V1258" s="10"/>
      <c r="W1258" s="12">
        <f t="shared" si="292"/>
        <v>0</v>
      </c>
      <c r="Y1258" s="10"/>
      <c r="Z1258" s="30"/>
      <c r="AA1258" s="82"/>
      <c r="AB1258" s="32"/>
      <c r="AC1258" s="32"/>
      <c r="AD1258" s="32"/>
      <c r="AE1258" s="32"/>
      <c r="AF1258" s="10"/>
      <c r="AG1258" s="10"/>
      <c r="AH1258" s="10"/>
      <c r="AI1258" s="1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37</v>
      </c>
      <c r="N1259" s="30"/>
      <c r="P1259" s="47"/>
      <c r="Q1259" s="31"/>
      <c r="R1259" s="31"/>
      <c r="S1259" s="32">
        <f t="shared" si="291"/>
        <v>0</v>
      </c>
      <c r="T1259" s="10"/>
      <c r="U1259" s="10"/>
      <c r="V1259" s="10"/>
      <c r="W1259" s="12">
        <f t="shared" si="292"/>
        <v>0</v>
      </c>
      <c r="Y1259" s="10"/>
      <c r="Z1259" s="30"/>
      <c r="AA1259" s="31"/>
      <c r="AB1259" s="32"/>
      <c r="AC1259" s="32"/>
      <c r="AD1259" s="32"/>
      <c r="AE1259" s="32"/>
      <c r="AF1259" s="10"/>
      <c r="AG1259" s="10"/>
      <c r="AH1259" s="10"/>
      <c r="AI1259" s="1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38</v>
      </c>
      <c r="N1260" s="30"/>
      <c r="O1260" s="31"/>
      <c r="P1260" s="47"/>
      <c r="Q1260" s="31"/>
      <c r="R1260" s="31"/>
      <c r="S1260" s="32">
        <f t="shared" si="291"/>
        <v>0</v>
      </c>
      <c r="T1260" s="10"/>
      <c r="U1260" s="10"/>
      <c r="V1260" s="10"/>
      <c r="W1260" s="12">
        <f t="shared" si="292"/>
        <v>0</v>
      </c>
      <c r="Y1260" s="10"/>
      <c r="Z1260" s="30"/>
      <c r="AA1260" s="31"/>
      <c r="AB1260" s="32"/>
      <c r="AC1260" s="32"/>
      <c r="AD1260" s="32"/>
      <c r="AE1260" s="32"/>
      <c r="AF1260" s="10"/>
      <c r="AG1260" s="10"/>
      <c r="AH1260" s="10"/>
      <c r="AI1260" s="1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>
        <v>39</v>
      </c>
      <c r="N1261" s="30"/>
      <c r="O1261" s="31"/>
      <c r="P1261" s="47"/>
      <c r="Q1261" s="31"/>
      <c r="R1261" s="31"/>
      <c r="S1261" s="32">
        <f t="shared" si="291"/>
        <v>0</v>
      </c>
      <c r="T1261" s="10"/>
      <c r="U1261" s="10"/>
      <c r="V1261" s="10"/>
      <c r="W1261" s="12">
        <f t="shared" si="292"/>
        <v>0</v>
      </c>
      <c r="Y1261" s="10"/>
      <c r="Z1261" s="30"/>
      <c r="AA1261" s="31"/>
      <c r="AB1261" s="32"/>
      <c r="AC1261" s="32"/>
      <c r="AD1261" s="32"/>
      <c r="AE1261" s="32"/>
      <c r="AF1261" s="10"/>
      <c r="AG1261" s="10"/>
      <c r="AH1261" s="10"/>
      <c r="AI1261" s="1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/>
      <c r="H1262" s="10"/>
      <c r="I1262" s="10"/>
      <c r="J1262" s="10"/>
      <c r="K1262" s="12"/>
      <c r="M1262" s="10"/>
      <c r="N1262" s="30"/>
      <c r="P1262" s="47"/>
      <c r="Q1262" s="31"/>
      <c r="R1262" s="31"/>
      <c r="S1262" s="32"/>
      <c r="T1262" s="10"/>
      <c r="U1262" s="10"/>
      <c r="V1262" s="10"/>
      <c r="W1262" s="12">
        <f t="shared" si="292"/>
        <v>0</v>
      </c>
      <c r="Y1262" s="10"/>
      <c r="Z1262" s="30"/>
      <c r="AA1262" s="31"/>
      <c r="AB1262" s="32"/>
      <c r="AC1262" s="32"/>
      <c r="AD1262" s="32"/>
      <c r="AE1262" s="32"/>
      <c r="AF1262" s="10"/>
      <c r="AG1262" s="10"/>
      <c r="AH1262" s="10"/>
      <c r="AI1262" s="1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1"/>
      <c r="D1263" s="32"/>
      <c r="E1263" s="32"/>
      <c r="F1263" s="32"/>
      <c r="G1263" s="32">
        <f t="shared" ref="G1263" si="298">SUM(D1263:E1263)</f>
        <v>0</v>
      </c>
      <c r="H1263" s="10"/>
      <c r="I1263" s="10"/>
      <c r="J1263" s="10"/>
      <c r="K1263" s="12">
        <f t="shared" ref="K1263" si="299">SUM(G1263:J1263)</f>
        <v>0</v>
      </c>
      <c r="M1263" s="10"/>
      <c r="N1263" s="30"/>
      <c r="O1263" s="31"/>
      <c r="P1263" s="47"/>
      <c r="Q1263" s="31"/>
      <c r="R1263" s="31"/>
      <c r="S1263" s="32">
        <f t="shared" ref="S1263" si="300">SUM(P1263:Q1263)</f>
        <v>0</v>
      </c>
      <c r="T1263" s="10"/>
      <c r="U1263" s="10"/>
      <c r="V1263" s="10"/>
      <c r="W1263" s="12">
        <f t="shared" si="292"/>
        <v>0</v>
      </c>
      <c r="Y1263" s="10"/>
      <c r="Z1263" s="30"/>
      <c r="AA1263" s="31"/>
      <c r="AB1263" s="32"/>
      <c r="AC1263" s="32"/>
      <c r="AD1263" s="32"/>
      <c r="AE1263" s="32">
        <f t="shared" ref="AE1263" si="301">SUM(AB1263:AC1263)</f>
        <v>0</v>
      </c>
      <c r="AF1263" s="10"/>
      <c r="AG1263" s="10"/>
      <c r="AH1263" s="10"/>
      <c r="AI1263" s="12">
        <f t="shared" ref="AI1263" si="302">SUM(AE1263:AH1263)</f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10"/>
      <c r="B1264" s="30"/>
      <c r="C1264" s="30"/>
      <c r="D1264" s="32"/>
      <c r="E1264" s="32"/>
      <c r="F1264" s="32"/>
      <c r="G1264" s="32"/>
      <c r="H1264" s="10"/>
      <c r="I1264" s="10"/>
      <c r="J1264" s="10"/>
      <c r="K1264" s="12"/>
      <c r="M1264" s="10"/>
      <c r="N1264" s="31"/>
      <c r="O1264" s="31"/>
      <c r="P1264" s="31"/>
      <c r="Q1264" s="31"/>
      <c r="R1264" s="31"/>
      <c r="S1264" s="31"/>
      <c r="T1264" s="10"/>
      <c r="U1264" s="10"/>
      <c r="V1264" s="10"/>
      <c r="W1264" s="12">
        <f t="shared" si="292"/>
        <v>0</v>
      </c>
      <c r="Y1264" s="10"/>
      <c r="Z1264" s="30"/>
      <c r="AA1264" s="30"/>
      <c r="AB1264" s="32"/>
      <c r="AC1264" s="32"/>
      <c r="AD1264" s="32"/>
      <c r="AE1264" s="32"/>
      <c r="AF1264" s="10"/>
      <c r="AG1264" s="10"/>
      <c r="AH1264" s="10"/>
      <c r="AI1264" s="1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6"/>
      <c r="E1265" s="36"/>
      <c r="F1265" s="36"/>
      <c r="G1265" s="36"/>
      <c r="H1265" s="37"/>
      <c r="I1265" s="37"/>
      <c r="J1265" s="37"/>
      <c r="K1265" s="37"/>
      <c r="N1265" s="57"/>
      <c r="O1265" s="57"/>
      <c r="P1265" s="36"/>
      <c r="Q1265" s="36"/>
      <c r="R1265" s="36"/>
      <c r="S1265" s="36"/>
      <c r="T1265" s="37"/>
      <c r="U1265" s="37"/>
      <c r="V1265" s="37"/>
      <c r="W1265" s="37"/>
      <c r="Z1265" s="57"/>
      <c r="AA1265" s="57"/>
      <c r="AB1265" s="36"/>
      <c r="AC1265" s="36"/>
      <c r="AD1265" s="36"/>
      <c r="AE1265" s="36"/>
      <c r="AF1265" s="37"/>
      <c r="AG1265" s="37"/>
      <c r="AH1265" s="37"/>
      <c r="AI1265" s="37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B1266" s="57"/>
      <c r="C1266" s="57"/>
      <c r="D1266" s="38">
        <f>SUM(D1223:D1265)</f>
        <v>271477.5</v>
      </c>
      <c r="E1266" s="38">
        <f t="shared" ref="E1266:F1266" si="303">SUM(E1223:E1263)</f>
        <v>-30</v>
      </c>
      <c r="F1266" s="38">
        <f t="shared" si="303"/>
        <v>0</v>
      </c>
      <c r="G1266" s="38">
        <f>SUM(G1223:G1265)</f>
        <v>271447.5</v>
      </c>
      <c r="H1266" s="4"/>
      <c r="I1266" s="39">
        <f>SUM(I1223:I1265)</f>
        <v>0</v>
      </c>
      <c r="J1266" s="39">
        <f>SUM(J1223:J1265)</f>
        <v>-663.75</v>
      </c>
      <c r="K1266" s="40">
        <f>SUM(K1223:K1265)</f>
        <v>270783.75</v>
      </c>
      <c r="N1266" s="57"/>
      <c r="O1266" s="57"/>
      <c r="P1266" s="38">
        <f>SUM(P1223:P1265)</f>
        <v>231833</v>
      </c>
      <c r="Q1266" s="38">
        <f>SUM(Q1223:Q1247)</f>
        <v>-1296</v>
      </c>
      <c r="R1266" s="38">
        <f>SUM(R1223:R1247)</f>
        <v>0</v>
      </c>
      <c r="S1266" s="38">
        <f>SUM(S1223:S1265)</f>
        <v>230537</v>
      </c>
      <c r="T1266" s="4"/>
      <c r="U1266" s="41">
        <f>SUM(U1223:U1265)</f>
        <v>570</v>
      </c>
      <c r="V1266" s="41">
        <f>SUM(V1223:V1247)</f>
        <v>-543</v>
      </c>
      <c r="W1266" s="42">
        <f>SUM(W1223:W1265)</f>
        <v>230564</v>
      </c>
      <c r="Z1266" s="57"/>
      <c r="AA1266" s="57"/>
      <c r="AB1266" s="38">
        <f>SUM(AB1223:AB1265)</f>
        <v>201850</v>
      </c>
      <c r="AC1266" s="38">
        <f t="shared" ref="AC1266:AD1266" si="304">SUM(AC1223:AC1263)</f>
        <v>-948</v>
      </c>
      <c r="AD1266" s="38">
        <f t="shared" si="304"/>
        <v>0</v>
      </c>
      <c r="AE1266" s="38">
        <f>SUM(AE1223:AE1265)</f>
        <v>200902</v>
      </c>
      <c r="AF1266" s="4"/>
      <c r="AG1266" s="39">
        <f>SUM(AG1223:AG1265)</f>
        <v>577.5</v>
      </c>
      <c r="AH1266" s="39">
        <f>SUM(AH1223:AH1265)</f>
        <v>-8121</v>
      </c>
      <c r="AI1266" s="40">
        <f>SUM(AI1223:AI1265)</f>
        <v>193358.5</v>
      </c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18"/>
      <c r="B1267" s="18"/>
      <c r="C1267" s="18"/>
      <c r="D1267" s="18"/>
      <c r="E1267" s="18"/>
      <c r="F1267" s="18"/>
      <c r="G1267" s="18"/>
      <c r="H1267" s="18"/>
      <c r="I1267" s="18"/>
      <c r="J1267" s="18"/>
      <c r="K1267" s="18"/>
      <c r="M1267" s="18"/>
      <c r="N1267" s="18"/>
      <c r="O1267" s="18"/>
      <c r="P1267" s="18"/>
      <c r="Q1267" s="18"/>
      <c r="R1267" s="18"/>
      <c r="S1267" s="18"/>
      <c r="T1267" s="18"/>
      <c r="U1267" s="18"/>
      <c r="V1267" s="18"/>
      <c r="W1267" s="18"/>
      <c r="Y1267" s="18"/>
      <c r="Z1267" s="18"/>
      <c r="AA1267" s="18"/>
      <c r="AB1267" s="18"/>
      <c r="AC1267" s="18"/>
      <c r="AD1267" s="18"/>
      <c r="AE1267" s="18"/>
      <c r="AF1267" s="18"/>
      <c r="AG1267" s="18"/>
      <c r="AH1267" s="18"/>
      <c r="AI1267" s="18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5"/>
      <c r="O1270" s="85"/>
      <c r="P1270" s="85"/>
      <c r="Q1270" s="85"/>
      <c r="R1270" s="85"/>
      <c r="S1270" s="85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5"/>
      <c r="C1271" s="85"/>
      <c r="D1271" s="85"/>
      <c r="E1271" s="85"/>
      <c r="F1271" s="85"/>
      <c r="G1271" s="85"/>
      <c r="H1271" s="62"/>
      <c r="I1271" s="62"/>
      <c r="J1271" s="62"/>
      <c r="K1271" s="62"/>
      <c r="L1271" s="62"/>
      <c r="M1271" s="62"/>
      <c r="N1271" s="85"/>
      <c r="O1271" s="85"/>
      <c r="P1271" s="85"/>
      <c r="Q1271" s="85"/>
      <c r="R1271" s="85"/>
      <c r="S1271" s="85"/>
      <c r="T1271" s="62"/>
      <c r="U1271" s="62"/>
      <c r="V1271" s="62"/>
      <c r="W1271" s="62"/>
      <c r="X1271" s="62"/>
      <c r="Y1271" s="62"/>
      <c r="Z1271" s="85"/>
      <c r="AA1271" s="85"/>
      <c r="AB1271" s="85"/>
      <c r="AC1271" s="85"/>
      <c r="AD1271" s="85"/>
      <c r="AE1271" s="85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5"/>
      <c r="C1272" s="85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5"/>
      <c r="O1272" s="85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5"/>
      <c r="AA1272" s="85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85"/>
      <c r="E1274" s="85"/>
      <c r="F1274" s="85"/>
      <c r="G1274" s="85"/>
      <c r="H1274" s="62"/>
      <c r="I1274" s="62"/>
      <c r="J1274" s="62"/>
      <c r="K1274" s="62"/>
      <c r="L1274" s="62"/>
      <c r="M1274" s="62"/>
      <c r="N1274" s="85"/>
      <c r="O1274" s="85"/>
      <c r="P1274" s="85"/>
      <c r="Q1274" s="85"/>
      <c r="R1274" s="85"/>
      <c r="S1274" s="85"/>
      <c r="T1274" s="62"/>
      <c r="U1274" s="62"/>
      <c r="V1274" s="62"/>
      <c r="W1274" s="62"/>
      <c r="X1274" s="62"/>
      <c r="Y1274" s="62"/>
      <c r="Z1274" s="85"/>
      <c r="AA1274" s="85"/>
      <c r="AB1274" s="85"/>
      <c r="AC1274" s="85"/>
      <c r="AD1274" s="85"/>
      <c r="AE1274" s="85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5"/>
      <c r="C1275" s="85"/>
      <c r="D1275" s="85"/>
      <c r="E1275" s="85"/>
      <c r="F1275" s="85"/>
      <c r="G1275" s="85"/>
      <c r="H1275" s="62"/>
      <c r="I1275" s="62"/>
      <c r="J1275" s="62"/>
      <c r="K1275" s="62"/>
      <c r="L1275" s="62"/>
      <c r="M1275" s="62"/>
      <c r="N1275" s="85"/>
      <c r="O1275" s="85"/>
      <c r="P1275" s="85"/>
      <c r="Q1275" s="85"/>
      <c r="R1275" s="85"/>
      <c r="S1275" s="85"/>
      <c r="T1275" s="62"/>
      <c r="U1275" s="62"/>
      <c r="V1275" s="62"/>
      <c r="W1275" s="62"/>
      <c r="X1275" s="62"/>
      <c r="Y1275" s="62"/>
      <c r="Z1275" s="85"/>
      <c r="AA1275" s="85"/>
      <c r="AB1275" s="85"/>
      <c r="AC1275" s="85"/>
      <c r="AD1275" s="85"/>
      <c r="AE1275" s="85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3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3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5"/>
      <c r="C1278" s="85"/>
      <c r="D1278" s="85"/>
      <c r="E1278" s="85"/>
      <c r="F1278" s="85"/>
      <c r="G1278" s="85"/>
      <c r="H1278" s="62"/>
      <c r="I1278" s="85"/>
      <c r="J1278" s="73"/>
      <c r="K1278" s="62"/>
      <c r="L1278" s="62"/>
      <c r="M1278" s="62"/>
      <c r="N1278" s="85"/>
      <c r="O1278" s="85"/>
      <c r="P1278" s="85"/>
      <c r="Q1278" s="85"/>
      <c r="R1278" s="85"/>
      <c r="S1278" s="85"/>
      <c r="T1278" s="62"/>
      <c r="U1278" s="85"/>
      <c r="V1278" s="73"/>
      <c r="W1278" s="62"/>
      <c r="X1278" s="62"/>
      <c r="Y1278" s="62"/>
      <c r="Z1278" s="85"/>
      <c r="AA1278" s="85"/>
      <c r="AB1278" s="85"/>
      <c r="AC1278" s="85"/>
      <c r="AD1278" s="85"/>
      <c r="AE1278" s="85"/>
      <c r="AF1278" s="62"/>
      <c r="AG1278" s="85"/>
      <c r="AH1278" s="8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5"/>
      <c r="C1279" s="85"/>
      <c r="D1279" s="85"/>
      <c r="E1279" s="85"/>
      <c r="F1279" s="85"/>
      <c r="G1279" s="85"/>
      <c r="H1279" s="62"/>
      <c r="I1279" s="65"/>
      <c r="J1279" s="65"/>
      <c r="K1279" s="62"/>
      <c r="L1279" s="62"/>
      <c r="M1279" s="64"/>
      <c r="N1279" s="85"/>
      <c r="O1279" s="85"/>
      <c r="P1279" s="85"/>
      <c r="Q1279" s="85"/>
      <c r="R1279" s="85"/>
      <c r="S1279" s="85"/>
      <c r="T1279" s="62"/>
      <c r="U1279" s="65"/>
      <c r="V1279" s="65"/>
      <c r="W1279" s="62"/>
      <c r="X1279" s="62"/>
      <c r="Y1279" s="64"/>
      <c r="Z1279" s="85"/>
      <c r="AA1279" s="85"/>
      <c r="AB1279" s="85"/>
      <c r="AC1279" s="85"/>
      <c r="AD1279" s="85"/>
      <c r="AE1279" s="85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5"/>
      <c r="C1280" s="85"/>
      <c r="D1280" s="85"/>
      <c r="E1280" s="85"/>
      <c r="F1280" s="85"/>
      <c r="G1280" s="85"/>
      <c r="H1280" s="62"/>
      <c r="I1280" s="62"/>
      <c r="J1280" s="62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62"/>
      <c r="V1280" s="62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5"/>
      <c r="D1281" s="125"/>
      <c r="E1281" s="125"/>
      <c r="F1281" s="85"/>
      <c r="G1281" s="85"/>
      <c r="H1281" s="62"/>
      <c r="I1281" s="125"/>
      <c r="J1281" s="125"/>
      <c r="K1281" s="124"/>
      <c r="L1281" s="62"/>
      <c r="M1281" s="62"/>
      <c r="N1281" s="65"/>
      <c r="O1281" s="85"/>
      <c r="P1281" s="125"/>
      <c r="Q1281" s="125"/>
      <c r="R1281" s="85"/>
      <c r="S1281" s="85"/>
      <c r="T1281" s="62"/>
      <c r="U1281" s="125"/>
      <c r="V1281" s="125"/>
      <c r="W1281" s="124"/>
      <c r="X1281" s="62"/>
      <c r="Y1281" s="62"/>
      <c r="Z1281" s="65"/>
      <c r="AA1281" s="85"/>
      <c r="AB1281" s="125"/>
      <c r="AC1281" s="125"/>
      <c r="AD1281" s="85"/>
      <c r="AE1281" s="85"/>
      <c r="AF1281" s="62"/>
      <c r="AG1281" s="125"/>
      <c r="AH1281" s="125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4"/>
      <c r="F1282" s="84"/>
      <c r="G1282" s="84"/>
      <c r="H1282" s="62"/>
      <c r="I1282" s="84"/>
      <c r="J1282" s="84"/>
      <c r="K1282" s="124"/>
      <c r="L1282" s="62"/>
      <c r="M1282" s="62"/>
      <c r="N1282" s="85"/>
      <c r="O1282" s="85"/>
      <c r="P1282" s="85"/>
      <c r="Q1282" s="84"/>
      <c r="R1282" s="84"/>
      <c r="S1282" s="84"/>
      <c r="T1282" s="62"/>
      <c r="U1282" s="84"/>
      <c r="V1282" s="84"/>
      <c r="W1282" s="124"/>
      <c r="X1282" s="62"/>
      <c r="Y1282" s="62"/>
      <c r="Z1282" s="85"/>
      <c r="AA1282" s="85"/>
      <c r="AB1282" s="85"/>
      <c r="AC1282" s="84"/>
      <c r="AD1282" s="84"/>
      <c r="AE1282" s="84"/>
      <c r="AF1282" s="62"/>
      <c r="AG1282" s="84"/>
      <c r="AH1282" s="84"/>
      <c r="AI1282" s="124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5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5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5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5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5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5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5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5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85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85"/>
      <c r="F1296" s="85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85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5"/>
      <c r="P1303" s="67"/>
      <c r="Q1303" s="85"/>
      <c r="R1303" s="85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5"/>
      <c r="AD1303" s="85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5"/>
      <c r="P1304" s="68"/>
      <c r="Q1304" s="85"/>
      <c r="R1304" s="85"/>
      <c r="S1304" s="60"/>
      <c r="T1304" s="62"/>
      <c r="U1304" s="62"/>
      <c r="V1304" s="62"/>
      <c r="W1304" s="61"/>
      <c r="X1304" s="62"/>
      <c r="Y1304" s="62"/>
      <c r="Z1304" s="66"/>
      <c r="AA1304" s="85"/>
      <c r="AB1304" s="68"/>
      <c r="AC1304" s="85"/>
      <c r="AD1304" s="85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5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9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9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5"/>
      <c r="P1307" s="69"/>
      <c r="Q1307" s="85"/>
      <c r="R1307" s="85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85"/>
      <c r="AD1307" s="85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85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5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5"/>
      <c r="O1324" s="85"/>
      <c r="P1324" s="85"/>
      <c r="Q1324" s="85"/>
      <c r="R1324" s="85"/>
      <c r="S1324" s="85"/>
      <c r="T1324" s="62"/>
      <c r="U1324" s="62"/>
      <c r="V1324" s="62"/>
      <c r="W1324" s="61"/>
      <c r="X1324" s="62"/>
      <c r="Y1324" s="62"/>
      <c r="Z1324" s="85"/>
      <c r="AA1324" s="85"/>
      <c r="AB1324" s="85"/>
      <c r="AC1324" s="85"/>
      <c r="AD1324" s="85"/>
      <c r="AE1324" s="85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5"/>
      <c r="C1325" s="85"/>
      <c r="D1325" s="85"/>
      <c r="E1325" s="85"/>
      <c r="F1325" s="85"/>
      <c r="G1325" s="85"/>
      <c r="H1325" s="62"/>
      <c r="I1325" s="62"/>
      <c r="J1325" s="62"/>
      <c r="K1325" s="62"/>
      <c r="L1325" s="62"/>
      <c r="M1325" s="62"/>
      <c r="N1325" s="85"/>
      <c r="O1325" s="85"/>
      <c r="P1325" s="85"/>
      <c r="Q1325" s="85"/>
      <c r="R1325" s="85"/>
      <c r="S1325" s="85"/>
      <c r="T1325" s="62"/>
      <c r="U1325" s="62"/>
      <c r="V1325" s="62"/>
      <c r="W1325" s="62"/>
      <c r="X1325" s="62"/>
      <c r="Y1325" s="62"/>
      <c r="Z1325" s="85"/>
      <c r="AA1325" s="85"/>
      <c r="AB1325" s="85"/>
      <c r="AC1325" s="85"/>
      <c r="AD1325" s="85"/>
      <c r="AE1325" s="85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5"/>
      <c r="C1326" s="85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5"/>
      <c r="O1326" s="85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5"/>
      <c r="AA1326" s="85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85"/>
      <c r="E1328" s="85"/>
      <c r="F1328" s="85"/>
      <c r="G1328" s="85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5"/>
      <c r="C1329" s="85"/>
      <c r="D1329" s="85"/>
      <c r="E1329" s="85"/>
      <c r="F1329" s="85"/>
      <c r="G1329" s="85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2">
    <mergeCell ref="AB1221:AC1221"/>
    <mergeCell ref="AG1221:AH1221"/>
    <mergeCell ref="AI1221:AI1222"/>
    <mergeCell ref="I450:J450"/>
    <mergeCell ref="D395:E395"/>
    <mergeCell ref="W340:W341"/>
    <mergeCell ref="I340:J340"/>
    <mergeCell ref="D340:E340"/>
    <mergeCell ref="D781:E781"/>
    <mergeCell ref="I781:J781"/>
    <mergeCell ref="D1056:E1056"/>
    <mergeCell ref="I1056:J1056"/>
    <mergeCell ref="K1056:K1057"/>
    <mergeCell ref="P1056:Q1056"/>
    <mergeCell ref="U1056:V1056"/>
    <mergeCell ref="W1056:W1057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D65:E65"/>
    <mergeCell ref="W65:W66"/>
    <mergeCell ref="U65:V65"/>
    <mergeCell ref="I65:J65"/>
    <mergeCell ref="P395:Q395"/>
    <mergeCell ref="P505:Q505"/>
    <mergeCell ref="U450:V450"/>
    <mergeCell ref="P450:Q450"/>
    <mergeCell ref="I175:J175"/>
    <mergeCell ref="D175:E175"/>
    <mergeCell ref="P285:Q285"/>
    <mergeCell ref="I285:J285"/>
    <mergeCell ref="D120:E120"/>
    <mergeCell ref="K450:K451"/>
    <mergeCell ref="K505:K506"/>
    <mergeCell ref="AI175:AI176"/>
    <mergeCell ref="AG175:AH175"/>
    <mergeCell ref="AB175:AC175"/>
    <mergeCell ref="W175:W176"/>
    <mergeCell ref="U175:V175"/>
    <mergeCell ref="P175:Q175"/>
    <mergeCell ref="K175:K176"/>
    <mergeCell ref="AI65:AI66"/>
    <mergeCell ref="AG65:AH65"/>
    <mergeCell ref="AB65:AC65"/>
    <mergeCell ref="P65:Q65"/>
    <mergeCell ref="K65:K66"/>
    <mergeCell ref="AB120:AC120"/>
    <mergeCell ref="P120:Q120"/>
    <mergeCell ref="K120:K121"/>
    <mergeCell ref="I120:J120"/>
    <mergeCell ref="U120:V120"/>
    <mergeCell ref="D450:E450"/>
    <mergeCell ref="D505:E505"/>
    <mergeCell ref="K340:K341"/>
    <mergeCell ref="W120:W121"/>
    <mergeCell ref="U340:V340"/>
    <mergeCell ref="D285:E285"/>
    <mergeCell ref="W230:W231"/>
    <mergeCell ref="K230:K231"/>
    <mergeCell ref="I230:J230"/>
    <mergeCell ref="D230:E230"/>
    <mergeCell ref="D670:E670"/>
    <mergeCell ref="W670:W671"/>
    <mergeCell ref="U670:V670"/>
    <mergeCell ref="AI1281:AI1282"/>
    <mergeCell ref="AG1281:AH1281"/>
    <mergeCell ref="AB1281:AC1281"/>
    <mergeCell ref="K781:K782"/>
    <mergeCell ref="P781:Q781"/>
    <mergeCell ref="U781:V781"/>
    <mergeCell ref="W781:W782"/>
    <mergeCell ref="W1281:W1282"/>
    <mergeCell ref="U1281:V1281"/>
    <mergeCell ref="P1281:Q1281"/>
    <mergeCell ref="P1111:Q1111"/>
    <mergeCell ref="U1111:V1111"/>
    <mergeCell ref="W1111:W1112"/>
    <mergeCell ref="P1166:Q1166"/>
    <mergeCell ref="U1166:V1166"/>
    <mergeCell ref="W1166:W1167"/>
    <mergeCell ref="P1221:Q1221"/>
    <mergeCell ref="U1221:V1221"/>
    <mergeCell ref="W1221:W1222"/>
    <mergeCell ref="K946:K947"/>
    <mergeCell ref="I946:J946"/>
    <mergeCell ref="D560:E560"/>
    <mergeCell ref="I836:J836"/>
    <mergeCell ref="I615:J615"/>
    <mergeCell ref="D615:E615"/>
    <mergeCell ref="D725:E725"/>
    <mergeCell ref="I505:J505"/>
    <mergeCell ref="K1281:K1282"/>
    <mergeCell ref="I1281:J1281"/>
    <mergeCell ref="D1281:E1281"/>
    <mergeCell ref="D1111:E1111"/>
    <mergeCell ref="I1111:J1111"/>
    <mergeCell ref="K1111:K1112"/>
    <mergeCell ref="D1166:E1166"/>
    <mergeCell ref="I1166:J1166"/>
    <mergeCell ref="K1166:K1167"/>
    <mergeCell ref="D1221:E1221"/>
    <mergeCell ref="I1221:J1221"/>
    <mergeCell ref="K1221:K1222"/>
    <mergeCell ref="D836:E836"/>
    <mergeCell ref="K1001:K1002"/>
    <mergeCell ref="I1001:J1001"/>
    <mergeCell ref="D1001:E1001"/>
    <mergeCell ref="D891:E891"/>
    <mergeCell ref="I891:J89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20:AI121"/>
    <mergeCell ref="AG120:AH120"/>
    <mergeCell ref="AI505:AI506"/>
    <mergeCell ref="W615:W616"/>
    <mergeCell ref="U615:V615"/>
    <mergeCell ref="AI560:AI561"/>
    <mergeCell ref="W450:W451"/>
    <mergeCell ref="W505:W506"/>
    <mergeCell ref="W560:W561"/>
    <mergeCell ref="U560:V560"/>
    <mergeCell ref="P560:Q560"/>
    <mergeCell ref="U505:V505"/>
    <mergeCell ref="AG615:AH615"/>
    <mergeCell ref="AB615:AC615"/>
    <mergeCell ref="AG560:AH560"/>
    <mergeCell ref="AB560:AC560"/>
    <mergeCell ref="P615:Q615"/>
    <mergeCell ref="AI450:AI451"/>
    <mergeCell ref="AG450:AH450"/>
    <mergeCell ref="AB450:AC450"/>
    <mergeCell ref="AI615:AI616"/>
    <mergeCell ref="AI781:AI782"/>
    <mergeCell ref="AB781:AC781"/>
    <mergeCell ref="AG781:AH781"/>
    <mergeCell ref="AI891:AI892"/>
    <mergeCell ref="AG891:AH891"/>
    <mergeCell ref="AB891:AC891"/>
    <mergeCell ref="I560:J560"/>
    <mergeCell ref="AI670:AI671"/>
    <mergeCell ref="W725:W726"/>
    <mergeCell ref="U725:V725"/>
    <mergeCell ref="P725:Q725"/>
    <mergeCell ref="AB725:AC725"/>
    <mergeCell ref="AG725:AH725"/>
    <mergeCell ref="AI725:AI726"/>
    <mergeCell ref="P670:Q670"/>
    <mergeCell ref="I670:J670"/>
    <mergeCell ref="K725:K726"/>
    <mergeCell ref="I725:J725"/>
    <mergeCell ref="AG670:AH670"/>
    <mergeCell ref="AB670:AC670"/>
    <mergeCell ref="K670:K671"/>
    <mergeCell ref="K615:K616"/>
    <mergeCell ref="K560:K561"/>
    <mergeCell ref="P946:Q946"/>
    <mergeCell ref="K836:K837"/>
    <mergeCell ref="P836:Q836"/>
    <mergeCell ref="U836:V836"/>
    <mergeCell ref="W836:W837"/>
    <mergeCell ref="K891:K892"/>
    <mergeCell ref="W891:W892"/>
    <mergeCell ref="U891:V891"/>
    <mergeCell ref="P891:Q891"/>
    <mergeCell ref="AG1166:AH1166"/>
    <mergeCell ref="AI1166:AI1167"/>
    <mergeCell ref="AU943:AU944"/>
    <mergeCell ref="AS943:AT943"/>
    <mergeCell ref="AN943:AO943"/>
    <mergeCell ref="D946:E946"/>
    <mergeCell ref="AB1001:AC1001"/>
    <mergeCell ref="AG1001:AH1001"/>
    <mergeCell ref="AI1001:AI1002"/>
    <mergeCell ref="AG1111:AH1111"/>
    <mergeCell ref="AI1111:AI1112"/>
    <mergeCell ref="AB1111:AC1111"/>
    <mergeCell ref="AB1166:AC1166"/>
    <mergeCell ref="AB1056:AC1056"/>
    <mergeCell ref="AG1056:AH1056"/>
    <mergeCell ref="AI1056:AI1057"/>
    <mergeCell ref="AI943:AI944"/>
    <mergeCell ref="AG943:AH943"/>
    <mergeCell ref="AB943:AC943"/>
    <mergeCell ref="W1001:W1002"/>
    <mergeCell ref="U1001:V1001"/>
    <mergeCell ref="P1001:Q1001"/>
    <mergeCell ref="W946:W947"/>
    <mergeCell ref="U946:V946"/>
  </mergeCells>
  <phoneticPr fontId="11" type="noConversion"/>
  <pageMargins left="0.7" right="0.7" top="0.75" bottom="0.75" header="0.3" footer="0.3"/>
  <pageSetup paperSize="9" scale="19" orientation="portrait" horizontalDpi="0" verticalDpi="0" r:id="rId1"/>
  <colBreaks count="1" manualBreakCount="1">
    <brk id="41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2026-05-21T00:48:26Z</cp:lastPrinted>
  <dcterms:created xsi:type="dcterms:W3CDTF">2024-09-23T07:17:57Z</dcterms:created>
  <dcterms:modified xsi:type="dcterms:W3CDTF">2026-05-29T08:29:12Z</dcterms:modified>
</cp:coreProperties>
</file>