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87F7AEEC-6EB0-4B56-B875-576C1DF9E6BF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1008" i="2" l="1"/>
  <c r="AB1008" i="2"/>
  <c r="AB1007" i="2"/>
  <c r="AE1007" i="2"/>
  <c r="AI1007" i="2" s="1"/>
  <c r="AB1006" i="2"/>
  <c r="AH1005" i="2"/>
  <c r="AG1005" i="2"/>
  <c r="AG1046" i="2" s="1"/>
  <c r="AB1005" i="2"/>
  <c r="AE1005" i="2" s="1"/>
  <c r="AC1004" i="2"/>
  <c r="AB1004" i="2"/>
  <c r="AH1003" i="2"/>
  <c r="AH1046" i="2" s="1"/>
  <c r="AC1003" i="2"/>
  <c r="AB1003" i="2"/>
  <c r="AD1046" i="2"/>
  <c r="AI1044" i="2"/>
  <c r="AI1043" i="2"/>
  <c r="AE1043" i="2"/>
  <c r="AI1042" i="2"/>
  <c r="AE1041" i="2"/>
  <c r="AI1041" i="2" s="1"/>
  <c r="AI1040" i="2"/>
  <c r="AE1040" i="2"/>
  <c r="AI1039" i="2"/>
  <c r="AE1039" i="2"/>
  <c r="AE1038" i="2"/>
  <c r="AI1038" i="2" s="1"/>
  <c r="AI1037" i="2"/>
  <c r="AE1037" i="2"/>
  <c r="AI1036" i="2"/>
  <c r="AE1036" i="2"/>
  <c r="AE1035" i="2"/>
  <c r="AI1035" i="2" s="1"/>
  <c r="AE1034" i="2"/>
  <c r="AI1034" i="2" s="1"/>
  <c r="AE1033" i="2"/>
  <c r="AI1033" i="2" s="1"/>
  <c r="AE1032" i="2"/>
  <c r="AI1032" i="2" s="1"/>
  <c r="AE1031" i="2"/>
  <c r="AI1031" i="2" s="1"/>
  <c r="AE1030" i="2"/>
  <c r="AI1030" i="2" s="1"/>
  <c r="AI1029" i="2"/>
  <c r="AE1029" i="2"/>
  <c r="AI1028" i="2"/>
  <c r="AE1028" i="2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I1021" i="2"/>
  <c r="AE1021" i="2"/>
  <c r="AI1020" i="2"/>
  <c r="AE1020" i="2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I1013" i="2"/>
  <c r="AE1013" i="2"/>
  <c r="AE1012" i="2"/>
  <c r="AI1012" i="2" s="1"/>
  <c r="AE1011" i="2"/>
  <c r="AI1011" i="2" s="1"/>
  <c r="AE1010" i="2"/>
  <c r="AI1010" i="2" s="1"/>
  <c r="AE1009" i="2"/>
  <c r="AI1009" i="2" s="1"/>
  <c r="AE1006" i="2"/>
  <c r="AI1006" i="2" s="1"/>
  <c r="AE1004" i="2"/>
  <c r="AI1004" i="2" s="1"/>
  <c r="AA1004" i="2"/>
  <c r="AA1005" i="2" s="1"/>
  <c r="AA1006" i="2" s="1"/>
  <c r="AA1007" i="2" s="1"/>
  <c r="AA1008" i="2" s="1"/>
  <c r="AC1046" i="2" l="1"/>
  <c r="AE1008" i="2"/>
  <c r="AI1008" i="2" s="1"/>
  <c r="AI1005" i="2"/>
  <c r="AE1003" i="2"/>
  <c r="AE1046" i="2" s="1"/>
  <c r="AI1003" i="2"/>
  <c r="AI1046" i="2" s="1"/>
  <c r="AB1046" i="2"/>
  <c r="P1010" i="2"/>
  <c r="V1009" i="2"/>
  <c r="U1009" i="2"/>
  <c r="Q1009" i="2"/>
  <c r="P1009" i="2"/>
  <c r="V1008" i="2"/>
  <c r="P1008" i="2"/>
  <c r="S1008" i="2" s="1"/>
  <c r="P1007" i="2"/>
  <c r="S1007" i="2" s="1"/>
  <c r="W1007" i="2" s="1"/>
  <c r="V1006" i="2"/>
  <c r="W1006" i="2" s="1"/>
  <c r="P1006" i="2"/>
  <c r="V1005" i="2"/>
  <c r="P1005" i="2"/>
  <c r="S1005" i="2" s="1"/>
  <c r="W1005" i="2" s="1"/>
  <c r="U1004" i="2"/>
  <c r="P1004" i="2"/>
  <c r="P1003" i="2"/>
  <c r="S1003" i="2"/>
  <c r="O1004" i="2"/>
  <c r="O1005" i="2" s="1"/>
  <c r="O1006" i="2" s="1"/>
  <c r="O1008" i="2" s="1"/>
  <c r="O1009" i="2" s="1"/>
  <c r="O1010" i="2" s="1"/>
  <c r="S1004" i="2"/>
  <c r="Q1046" i="2"/>
  <c r="S1006" i="2"/>
  <c r="S1009" i="2"/>
  <c r="W1009" i="2" s="1"/>
  <c r="S1010" i="2"/>
  <c r="W1010" i="2" s="1"/>
  <c r="S1011" i="2"/>
  <c r="W1011" i="2"/>
  <c r="S1012" i="2"/>
  <c r="W1012" i="2"/>
  <c r="S1013" i="2"/>
  <c r="W1013" i="2" s="1"/>
  <c r="S1014" i="2"/>
  <c r="W1014" i="2" s="1"/>
  <c r="S1015" i="2"/>
  <c r="W1015" i="2" s="1"/>
  <c r="S1016" i="2"/>
  <c r="W1016" i="2"/>
  <c r="S1017" i="2"/>
  <c r="W1017" i="2"/>
  <c r="S1018" i="2"/>
  <c r="W1018" i="2" s="1"/>
  <c r="S1019" i="2"/>
  <c r="W1019" i="2"/>
  <c r="S1020" i="2"/>
  <c r="W1020" i="2"/>
  <c r="S1021" i="2"/>
  <c r="W1021" i="2" s="1"/>
  <c r="S1022" i="2"/>
  <c r="W1022" i="2" s="1"/>
  <c r="S1023" i="2"/>
  <c r="W1023" i="2"/>
  <c r="S1024" i="2"/>
  <c r="W1024" i="2"/>
  <c r="S1025" i="2"/>
  <c r="W1025" i="2"/>
  <c r="S1026" i="2"/>
  <c r="W1026" i="2" s="1"/>
  <c r="S1027" i="2"/>
  <c r="W1027" i="2"/>
  <c r="S1028" i="2"/>
  <c r="W1028" i="2"/>
  <c r="S1029" i="2"/>
  <c r="W1029" i="2" s="1"/>
  <c r="S1030" i="2"/>
  <c r="W1030" i="2" s="1"/>
  <c r="S1031" i="2"/>
  <c r="W1031" i="2"/>
  <c r="S1032" i="2"/>
  <c r="W1032" i="2"/>
  <c r="S1033" i="2"/>
  <c r="W1033" i="2"/>
  <c r="S1034" i="2"/>
  <c r="W1034" i="2" s="1"/>
  <c r="S1035" i="2"/>
  <c r="W1035" i="2"/>
  <c r="S1036" i="2"/>
  <c r="W1036" i="2"/>
  <c r="S1037" i="2"/>
  <c r="W1037" i="2" s="1"/>
  <c r="S1038" i="2"/>
  <c r="W1038" i="2" s="1"/>
  <c r="S1039" i="2"/>
  <c r="W1039" i="2"/>
  <c r="S1040" i="2"/>
  <c r="W1040" i="2"/>
  <c r="S1041" i="2"/>
  <c r="W1041" i="2"/>
  <c r="W1042" i="2"/>
  <c r="S1043" i="2"/>
  <c r="W1043" i="2" s="1"/>
  <c r="W1044" i="2"/>
  <c r="R1046" i="2"/>
  <c r="J1004" i="2"/>
  <c r="D1004" i="2"/>
  <c r="D1046" i="2" s="1"/>
  <c r="J1003" i="2"/>
  <c r="J1046" i="2"/>
  <c r="E1003" i="2"/>
  <c r="D1003" i="2"/>
  <c r="E1046" i="2"/>
  <c r="I1046" i="2"/>
  <c r="C1004" i="2"/>
  <c r="G1005" i="2"/>
  <c r="K1005" i="2" s="1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 s="1"/>
  <c r="G1012" i="2"/>
  <c r="K1012" i="2"/>
  <c r="G1013" i="2"/>
  <c r="K1013" i="2"/>
  <c r="G1014" i="2"/>
  <c r="K1014" i="2"/>
  <c r="G1015" i="2"/>
  <c r="K1015" i="2"/>
  <c r="G1016" i="2"/>
  <c r="K1016" i="2"/>
  <c r="K1017" i="2"/>
  <c r="K1018" i="2"/>
  <c r="K1019" i="2"/>
  <c r="K1020" i="2"/>
  <c r="K1021" i="2"/>
  <c r="K1022" i="2"/>
  <c r="K1023" i="2"/>
  <c r="G1024" i="2"/>
  <c r="K1024" i="2" s="1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 s="1"/>
  <c r="G1033" i="2"/>
  <c r="K1033" i="2"/>
  <c r="G1034" i="2"/>
  <c r="K1034" i="2"/>
  <c r="G1035" i="2"/>
  <c r="K1035" i="2"/>
  <c r="G1036" i="2"/>
  <c r="K1036" i="2"/>
  <c r="G1043" i="2"/>
  <c r="K1043" i="2"/>
  <c r="F1046" i="2"/>
  <c r="U1046" i="2" l="1"/>
  <c r="W1008" i="2"/>
  <c r="V1046" i="2"/>
  <c r="W1004" i="2"/>
  <c r="W1003" i="2"/>
  <c r="S1046" i="2"/>
  <c r="P1046" i="2"/>
  <c r="G1004" i="2"/>
  <c r="K1004" i="2" s="1"/>
  <c r="G1003" i="2"/>
  <c r="K1003" i="2" s="1"/>
  <c r="K1046" i="2" s="1"/>
  <c r="P955" i="2"/>
  <c r="S955" i="2" s="1"/>
  <c r="W955" i="2" s="1"/>
  <c r="P954" i="2"/>
  <c r="S954" i="2" s="1"/>
  <c r="W954" i="2" s="1"/>
  <c r="P953" i="2"/>
  <c r="S953" i="2" s="1"/>
  <c r="W953" i="2" s="1"/>
  <c r="Q952" i="2"/>
  <c r="P952" i="2"/>
  <c r="S952" i="2" s="1"/>
  <c r="W952" i="2" s="1"/>
  <c r="V951" i="2"/>
  <c r="V991" i="2" s="1"/>
  <c r="Q951" i="2"/>
  <c r="Q991" i="2" s="1"/>
  <c r="P951" i="2"/>
  <c r="P950" i="2"/>
  <c r="P949" i="2"/>
  <c r="P948" i="2"/>
  <c r="S948" i="2"/>
  <c r="O949" i="2"/>
  <c r="S949" i="2"/>
  <c r="W949" i="2" s="1"/>
  <c r="O950" i="2"/>
  <c r="O951" i="2" s="1"/>
  <c r="O952" i="2" s="1"/>
  <c r="O953" i="2" s="1"/>
  <c r="O954" i="2" s="1"/>
  <c r="O955" i="2" s="1"/>
  <c r="U991" i="2"/>
  <c r="S956" i="2"/>
  <c r="W956" i="2"/>
  <c r="S957" i="2"/>
  <c r="W957" i="2" s="1"/>
  <c r="S958" i="2"/>
  <c r="W958" i="2"/>
  <c r="S959" i="2"/>
  <c r="W959" i="2"/>
  <c r="S960" i="2"/>
  <c r="W960" i="2"/>
  <c r="S961" i="2"/>
  <c r="W961" i="2"/>
  <c r="S962" i="2"/>
  <c r="W962" i="2" s="1"/>
  <c r="S963" i="2"/>
  <c r="W963" i="2"/>
  <c r="S964" i="2"/>
  <c r="W964" i="2"/>
  <c r="S965" i="2"/>
  <c r="W965" i="2" s="1"/>
  <c r="S966" i="2"/>
  <c r="W966" i="2"/>
  <c r="S967" i="2"/>
  <c r="W967" i="2"/>
  <c r="S968" i="2"/>
  <c r="W968" i="2"/>
  <c r="S969" i="2"/>
  <c r="W969" i="2"/>
  <c r="S970" i="2"/>
  <c r="W970" i="2" s="1"/>
  <c r="S971" i="2"/>
  <c r="W971" i="2"/>
  <c r="S972" i="2"/>
  <c r="W972" i="2"/>
  <c r="S973" i="2"/>
  <c r="W973" i="2" s="1"/>
  <c r="S974" i="2"/>
  <c r="W974" i="2"/>
  <c r="S975" i="2"/>
  <c r="W975" i="2"/>
  <c r="S976" i="2"/>
  <c r="W976" i="2"/>
  <c r="S977" i="2"/>
  <c r="W977" i="2"/>
  <c r="S978" i="2"/>
  <c r="W978" i="2" s="1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S986" i="2"/>
  <c r="W986" i="2" s="1"/>
  <c r="W987" i="2"/>
  <c r="S988" i="2"/>
  <c r="W988" i="2" s="1"/>
  <c r="W989" i="2"/>
  <c r="R991" i="2"/>
  <c r="J951" i="2"/>
  <c r="D951" i="2"/>
  <c r="D950" i="2"/>
  <c r="G950" i="2"/>
  <c r="K950" i="2" s="1"/>
  <c r="D949" i="2"/>
  <c r="G949" i="2" s="1"/>
  <c r="K949" i="2" s="1"/>
  <c r="I948" i="2"/>
  <c r="I991" i="2" s="1"/>
  <c r="E948" i="2"/>
  <c r="D948" i="2"/>
  <c r="C949" i="2"/>
  <c r="C950" i="2"/>
  <c r="C951" i="2" s="1"/>
  <c r="G952" i="2"/>
  <c r="K952" i="2"/>
  <c r="G953" i="2"/>
  <c r="K953" i="2"/>
  <c r="G954" i="2"/>
  <c r="K954" i="2"/>
  <c r="G955" i="2"/>
  <c r="K955" i="2" s="1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K962" i="2"/>
  <c r="K963" i="2"/>
  <c r="K964" i="2"/>
  <c r="K965" i="2"/>
  <c r="K966" i="2"/>
  <c r="K967" i="2"/>
  <c r="K968" i="2"/>
  <c r="G969" i="2"/>
  <c r="K969" i="2"/>
  <c r="G970" i="2"/>
  <c r="K970" i="2"/>
  <c r="G971" i="2"/>
  <c r="K971" i="2" s="1"/>
  <c r="G972" i="2"/>
  <c r="K972" i="2"/>
  <c r="G973" i="2"/>
  <c r="K973" i="2"/>
  <c r="G974" i="2"/>
  <c r="K974" i="2"/>
  <c r="G975" i="2"/>
  <c r="K975" i="2"/>
  <c r="G976" i="2"/>
  <c r="K976" i="2" s="1"/>
  <c r="G977" i="2"/>
  <c r="K977" i="2"/>
  <c r="G978" i="2"/>
  <c r="K978" i="2"/>
  <c r="G979" i="2"/>
  <c r="K979" i="2" s="1"/>
  <c r="G980" i="2"/>
  <c r="K980" i="2"/>
  <c r="G981" i="2"/>
  <c r="K981" i="2"/>
  <c r="G988" i="2"/>
  <c r="K988" i="2"/>
  <c r="E991" i="2"/>
  <c r="F991" i="2"/>
  <c r="J991" i="2"/>
  <c r="J32" i="1"/>
  <c r="D32" i="1" s="1"/>
  <c r="W1046" i="2" l="1"/>
  <c r="G1046" i="2"/>
  <c r="S951" i="2"/>
  <c r="W951" i="2" s="1"/>
  <c r="P991" i="2"/>
  <c r="S950" i="2"/>
  <c r="W950" i="2" s="1"/>
  <c r="W948" i="2"/>
  <c r="D991" i="2"/>
  <c r="G948" i="2"/>
  <c r="K948" i="2" s="1"/>
  <c r="G951" i="2"/>
  <c r="K951" i="2" s="1"/>
  <c r="AA901" i="2"/>
  <c r="AA902" i="2" s="1"/>
  <c r="AH902" i="2"/>
  <c r="AH936" i="2" s="1"/>
  <c r="AC902" i="2"/>
  <c r="AE902" i="2" s="1"/>
  <c r="AB902" i="2"/>
  <c r="AB901" i="2"/>
  <c r="AB900" i="2"/>
  <c r="AB899" i="2"/>
  <c r="AE899" i="2" s="1"/>
  <c r="AI899" i="2" s="1"/>
  <c r="AG898" i="2"/>
  <c r="AG936" i="2" s="1"/>
  <c r="AB898" i="2"/>
  <c r="AB897" i="2"/>
  <c r="AE897" i="2" s="1"/>
  <c r="AI897" i="2" s="1"/>
  <c r="AB896" i="2"/>
  <c r="AE896" i="2" s="1"/>
  <c r="AI896" i="2" s="1"/>
  <c r="AB895" i="2"/>
  <c r="AB894" i="2"/>
  <c r="AC894" i="2"/>
  <c r="AC893" i="2"/>
  <c r="AB893" i="2"/>
  <c r="AE893" i="2"/>
  <c r="AA894" i="2"/>
  <c r="AA895" i="2"/>
  <c r="AE895" i="2"/>
  <c r="AI895" i="2" s="1"/>
  <c r="AA896" i="2"/>
  <c r="AA897" i="2" s="1"/>
  <c r="AA898" i="2" s="1"/>
  <c r="AA899" i="2" s="1"/>
  <c r="AA900" i="2" s="1"/>
  <c r="AE898" i="2"/>
  <c r="AE900" i="2"/>
  <c r="AI900" i="2" s="1"/>
  <c r="AE901" i="2"/>
  <c r="AI901" i="2" s="1"/>
  <c r="AE903" i="2"/>
  <c r="AI903" i="2"/>
  <c r="AE904" i="2"/>
  <c r="AI904" i="2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E931" i="2"/>
  <c r="AI931" i="2"/>
  <c r="AI932" i="2"/>
  <c r="AE933" i="2"/>
  <c r="AI933" i="2" s="1"/>
  <c r="AI934" i="2"/>
  <c r="AD936" i="2"/>
  <c r="P900" i="2"/>
  <c r="P936" i="2" s="1"/>
  <c r="V899" i="2"/>
  <c r="U899" i="2"/>
  <c r="P899" i="2"/>
  <c r="P898" i="2"/>
  <c r="P897" i="2"/>
  <c r="P896" i="2"/>
  <c r="U895" i="2"/>
  <c r="U936" i="2" s="1"/>
  <c r="P895" i="2"/>
  <c r="U894" i="2"/>
  <c r="P894" i="2"/>
  <c r="P893" i="2"/>
  <c r="S893" i="2"/>
  <c r="W893" i="2" s="1"/>
  <c r="O894" i="2"/>
  <c r="O895" i="2" s="1"/>
  <c r="O896" i="2" s="1"/>
  <c r="O897" i="2" s="1"/>
  <c r="O898" i="2" s="1"/>
  <c r="O899" i="2" s="1"/>
  <c r="O900" i="2" s="1"/>
  <c r="S894" i="2"/>
  <c r="S895" i="2"/>
  <c r="S896" i="2"/>
  <c r="W896" i="2"/>
  <c r="S897" i="2"/>
  <c r="W897" i="2" s="1"/>
  <c r="S898" i="2"/>
  <c r="W898" i="2" s="1"/>
  <c r="V936" i="2"/>
  <c r="S899" i="2"/>
  <c r="W899" i="2" s="1"/>
  <c r="S900" i="2"/>
  <c r="W900" i="2" s="1"/>
  <c r="S901" i="2"/>
  <c r="W901" i="2" s="1"/>
  <c r="S902" i="2"/>
  <c r="W902" i="2" s="1"/>
  <c r="S903" i="2"/>
  <c r="W903" i="2" s="1"/>
  <c r="S904" i="2"/>
  <c r="W904" i="2" s="1"/>
  <c r="S905" i="2"/>
  <c r="W905" i="2" s="1"/>
  <c r="S906" i="2"/>
  <c r="W906" i="2"/>
  <c r="S907" i="2"/>
  <c r="W907" i="2"/>
  <c r="S908" i="2"/>
  <c r="W908" i="2"/>
  <c r="S909" i="2"/>
  <c r="W909" i="2"/>
  <c r="S910" i="2"/>
  <c r="W910" i="2"/>
  <c r="S911" i="2"/>
  <c r="W911" i="2"/>
  <c r="S912" i="2"/>
  <c r="W912" i="2" s="1"/>
  <c r="S913" i="2"/>
  <c r="W913" i="2" s="1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 s="1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 s="1"/>
  <c r="S929" i="2"/>
  <c r="W929" i="2"/>
  <c r="S930" i="2"/>
  <c r="W930" i="2"/>
  <c r="S931" i="2"/>
  <c r="W931" i="2"/>
  <c r="W932" i="2"/>
  <c r="S933" i="2"/>
  <c r="W933" i="2" s="1"/>
  <c r="W934" i="2"/>
  <c r="Q936" i="2"/>
  <c r="R936" i="2"/>
  <c r="D906" i="2"/>
  <c r="G906" i="2" s="1"/>
  <c r="K906" i="2" s="1"/>
  <c r="D905" i="2"/>
  <c r="G905" i="2" s="1"/>
  <c r="K905" i="2" s="1"/>
  <c r="D904" i="2"/>
  <c r="D903" i="2"/>
  <c r="D902" i="2"/>
  <c r="G902" i="2" s="1"/>
  <c r="K902" i="2" s="1"/>
  <c r="D901" i="2"/>
  <c r="G901" i="2" s="1"/>
  <c r="K901" i="2" s="1"/>
  <c r="D900" i="2"/>
  <c r="G900" i="2" s="1"/>
  <c r="K900" i="2" s="1"/>
  <c r="D899" i="2"/>
  <c r="G899" i="2" s="1"/>
  <c r="K899" i="2" s="1"/>
  <c r="D898" i="2"/>
  <c r="G898" i="2" s="1"/>
  <c r="K898" i="2" s="1"/>
  <c r="I897" i="2"/>
  <c r="D897" i="2"/>
  <c r="D896" i="2"/>
  <c r="I895" i="2"/>
  <c r="D895" i="2"/>
  <c r="G895" i="2" s="1"/>
  <c r="K895" i="2" s="1"/>
  <c r="I894" i="2"/>
  <c r="D894" i="2"/>
  <c r="G894" i="2" s="1"/>
  <c r="D893" i="2"/>
  <c r="G893" i="2" s="1"/>
  <c r="J936" i="2"/>
  <c r="F936" i="2"/>
  <c r="E936" i="2"/>
  <c r="G933" i="2"/>
  <c r="K933" i="2" s="1"/>
  <c r="G926" i="2"/>
  <c r="K926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K913" i="2"/>
  <c r="K912" i="2"/>
  <c r="K911" i="2"/>
  <c r="K910" i="2"/>
  <c r="K909" i="2"/>
  <c r="K908" i="2"/>
  <c r="K907" i="2"/>
  <c r="G904" i="2"/>
  <c r="K904" i="2" s="1"/>
  <c r="G903" i="2"/>
  <c r="K903" i="2" s="1"/>
  <c r="G897" i="2"/>
  <c r="G896" i="2"/>
  <c r="K896" i="2" s="1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W991" i="2" l="1"/>
  <c r="S991" i="2"/>
  <c r="K991" i="2"/>
  <c r="G991" i="2"/>
  <c r="AI902" i="2"/>
  <c r="AC936" i="2"/>
  <c r="AI898" i="2"/>
  <c r="AE894" i="2"/>
  <c r="AI894" i="2" s="1"/>
  <c r="AI893" i="2"/>
  <c r="AB936" i="2"/>
  <c r="W895" i="2"/>
  <c r="S936" i="2"/>
  <c r="W894" i="2"/>
  <c r="K897" i="2"/>
  <c r="I936" i="2"/>
  <c r="K894" i="2"/>
  <c r="G936" i="2"/>
  <c r="K893" i="2"/>
  <c r="K936" i="2" s="1"/>
  <c r="D936" i="2"/>
  <c r="AE936" i="2" l="1"/>
  <c r="AI936" i="2"/>
  <c r="W936" i="2"/>
  <c r="AG838" i="2"/>
  <c r="AH838" i="2"/>
  <c r="AB845" i="2"/>
  <c r="AB844" i="2"/>
  <c r="AE844" i="2" s="1"/>
  <c r="AI844" i="2" s="1"/>
  <c r="AH843" i="2"/>
  <c r="AH881" i="2" s="1"/>
  <c r="AB843" i="2"/>
  <c r="AB842" i="2"/>
  <c r="AG841" i="2"/>
  <c r="AG881" i="2" s="1"/>
  <c r="AB841" i="2"/>
  <c r="AC840" i="2"/>
  <c r="AB840" i="2"/>
  <c r="AB881" i="2" s="1"/>
  <c r="AB839" i="2"/>
  <c r="AE839" i="2" s="1"/>
  <c r="AI839" i="2" s="1"/>
  <c r="AB838" i="2"/>
  <c r="AC838" i="2"/>
  <c r="AE838" i="2" s="1"/>
  <c r="AI879" i="2"/>
  <c r="AE878" i="2"/>
  <c r="AI878" i="2" s="1"/>
  <c r="AI877" i="2"/>
  <c r="AE876" i="2"/>
  <c r="AI876" i="2" s="1"/>
  <c r="AI875" i="2"/>
  <c r="AE875" i="2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I867" i="2"/>
  <c r="AE867" i="2"/>
  <c r="AE866" i="2"/>
  <c r="AI866" i="2" s="1"/>
  <c r="AE865" i="2"/>
  <c r="AI865" i="2" s="1"/>
  <c r="AE864" i="2"/>
  <c r="AI864" i="2" s="1"/>
  <c r="AE863" i="2"/>
  <c r="AI863" i="2" s="1"/>
  <c r="AI862" i="2"/>
  <c r="AE862" i="2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I854" i="2"/>
  <c r="AE854" i="2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I846" i="2"/>
  <c r="AE846" i="2"/>
  <c r="AE845" i="2"/>
  <c r="AI845" i="2" s="1"/>
  <c r="AE843" i="2"/>
  <c r="AE842" i="2"/>
  <c r="AI842" i="2" s="1"/>
  <c r="AC881" i="2"/>
  <c r="AE840" i="2"/>
  <c r="AI840" i="2" s="1"/>
  <c r="AA839" i="2"/>
  <c r="AA840" i="2" s="1"/>
  <c r="AA841" i="2" s="1"/>
  <c r="AA842" i="2" s="1"/>
  <c r="AA843" i="2" s="1"/>
  <c r="AA844" i="2" s="1"/>
  <c r="AA845" i="2" s="1"/>
  <c r="AI880" i="2"/>
  <c r="AD881" i="2"/>
  <c r="U840" i="2"/>
  <c r="P849" i="2"/>
  <c r="P847" i="2"/>
  <c r="S847" i="2" s="1"/>
  <c r="W847" i="2" s="1"/>
  <c r="U846" i="2"/>
  <c r="P846" i="2"/>
  <c r="S846" i="2" s="1"/>
  <c r="W846" i="2" s="1"/>
  <c r="V845" i="2"/>
  <c r="V881" i="2"/>
  <c r="U845" i="2"/>
  <c r="Q845" i="2"/>
  <c r="Q881" i="2" s="1"/>
  <c r="P845" i="2"/>
  <c r="D838" i="2"/>
  <c r="G838" i="2"/>
  <c r="J838" i="2"/>
  <c r="K838" i="2"/>
  <c r="P838" i="2"/>
  <c r="S838" i="2"/>
  <c r="W838" i="2" s="1"/>
  <c r="C839" i="2"/>
  <c r="D839" i="2"/>
  <c r="G839" i="2" s="1"/>
  <c r="I839" i="2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P839" i="2"/>
  <c r="C840" i="2"/>
  <c r="D840" i="2"/>
  <c r="G840" i="2" s="1"/>
  <c r="K840" i="2" s="1"/>
  <c r="P840" i="2"/>
  <c r="S840" i="2"/>
  <c r="W840" i="2" s="1"/>
  <c r="D841" i="2"/>
  <c r="G841" i="2"/>
  <c r="K841" i="2"/>
  <c r="P841" i="2"/>
  <c r="S841" i="2" s="1"/>
  <c r="W841" i="2" s="1"/>
  <c r="D842" i="2"/>
  <c r="G842" i="2" s="1"/>
  <c r="J842" i="2"/>
  <c r="P842" i="2"/>
  <c r="S842" i="2"/>
  <c r="W842" i="2" s="1"/>
  <c r="G843" i="2"/>
  <c r="K843" i="2" s="1"/>
  <c r="P843" i="2"/>
  <c r="S843" i="2" s="1"/>
  <c r="W843" i="2" s="1"/>
  <c r="V843" i="2"/>
  <c r="G844" i="2"/>
  <c r="K844" i="2"/>
  <c r="P844" i="2"/>
  <c r="S844" i="2"/>
  <c r="W844" i="2" s="1"/>
  <c r="G845" i="2"/>
  <c r="K845" i="2"/>
  <c r="G846" i="2"/>
  <c r="K846" i="2"/>
  <c r="G847" i="2"/>
  <c r="K847" i="2" s="1"/>
  <c r="G848" i="2"/>
  <c r="K848" i="2" s="1"/>
  <c r="S848" i="2"/>
  <c r="W848" i="2" s="1"/>
  <c r="G849" i="2"/>
  <c r="K849" i="2" s="1"/>
  <c r="S849" i="2"/>
  <c r="W849" i="2" s="1"/>
  <c r="G850" i="2"/>
  <c r="K850" i="2" s="1"/>
  <c r="S850" i="2"/>
  <c r="W850" i="2"/>
  <c r="G851" i="2"/>
  <c r="K851" i="2" s="1"/>
  <c r="S851" i="2"/>
  <c r="W851" i="2" s="1"/>
  <c r="G852" i="2"/>
  <c r="K852" i="2"/>
  <c r="S852" i="2"/>
  <c r="W852" i="2"/>
  <c r="G853" i="2"/>
  <c r="K853" i="2" s="1"/>
  <c r="S853" i="2"/>
  <c r="W853" i="2" s="1"/>
  <c r="G854" i="2"/>
  <c r="K854" i="2" s="1"/>
  <c r="S854" i="2"/>
  <c r="W854" i="2"/>
  <c r="G855" i="2"/>
  <c r="K855" i="2"/>
  <c r="S855" i="2"/>
  <c r="W855" i="2" s="1"/>
  <c r="G856" i="2"/>
  <c r="K856" i="2" s="1"/>
  <c r="S856" i="2"/>
  <c r="W856" i="2" s="1"/>
  <c r="G857" i="2"/>
  <c r="K857" i="2" s="1"/>
  <c r="S857" i="2"/>
  <c r="W857" i="2"/>
  <c r="G858" i="2"/>
  <c r="K858" i="2"/>
  <c r="S858" i="2"/>
  <c r="W858" i="2" s="1"/>
  <c r="G859" i="2"/>
  <c r="K859" i="2" s="1"/>
  <c r="S859" i="2"/>
  <c r="W859" i="2" s="1"/>
  <c r="G860" i="2"/>
  <c r="K860" i="2"/>
  <c r="S860" i="2"/>
  <c r="W860" i="2"/>
  <c r="G861" i="2"/>
  <c r="K861" i="2" s="1"/>
  <c r="S861" i="2"/>
  <c r="W861" i="2" s="1"/>
  <c r="G862" i="2"/>
  <c r="K862" i="2"/>
  <c r="S862" i="2"/>
  <c r="W862" i="2"/>
  <c r="G863" i="2"/>
  <c r="K863" i="2" s="1"/>
  <c r="S863" i="2"/>
  <c r="W863" i="2" s="1"/>
  <c r="G864" i="2"/>
  <c r="K864" i="2" s="1"/>
  <c r="S864" i="2"/>
  <c r="W864" i="2"/>
  <c r="G865" i="2"/>
  <c r="K865" i="2" s="1"/>
  <c r="S865" i="2"/>
  <c r="W865" i="2" s="1"/>
  <c r="G866" i="2"/>
  <c r="K866" i="2" s="1"/>
  <c r="S866" i="2"/>
  <c r="W866" i="2" s="1"/>
  <c r="G867" i="2"/>
  <c r="K867" i="2"/>
  <c r="S867" i="2"/>
  <c r="W867" i="2" s="1"/>
  <c r="G868" i="2"/>
  <c r="K868" i="2"/>
  <c r="S868" i="2"/>
  <c r="W868" i="2"/>
  <c r="G869" i="2"/>
  <c r="K869" i="2" s="1"/>
  <c r="S869" i="2"/>
  <c r="W869" i="2" s="1"/>
  <c r="G870" i="2"/>
  <c r="K870" i="2" s="1"/>
  <c r="S870" i="2"/>
  <c r="W870" i="2"/>
  <c r="G871" i="2"/>
  <c r="K871" i="2"/>
  <c r="S871" i="2"/>
  <c r="W871" i="2" s="1"/>
  <c r="S872" i="2"/>
  <c r="W872" i="2" s="1"/>
  <c r="S873" i="2"/>
  <c r="W873" i="2"/>
  <c r="S874" i="2"/>
  <c r="W874" i="2" s="1"/>
  <c r="S875" i="2"/>
  <c r="W875" i="2"/>
  <c r="S876" i="2"/>
  <c r="W876" i="2" s="1"/>
  <c r="W877" i="2"/>
  <c r="G878" i="2"/>
  <c r="K878" i="2" s="1"/>
  <c r="S878" i="2"/>
  <c r="W878" i="2" s="1"/>
  <c r="W879" i="2"/>
  <c r="E881" i="2"/>
  <c r="F881" i="2"/>
  <c r="J881" i="2"/>
  <c r="R881" i="2"/>
  <c r="K839" i="2" l="1"/>
  <c r="AI843" i="2"/>
  <c r="AI838" i="2"/>
  <c r="AI881" i="2" s="1"/>
  <c r="AE841" i="2"/>
  <c r="AI841" i="2" s="1"/>
  <c r="U881" i="2"/>
  <c r="S845" i="2"/>
  <c r="W845" i="2" s="1"/>
  <c r="P881" i="2"/>
  <c r="I881" i="2"/>
  <c r="K842" i="2"/>
  <c r="K881" i="2" s="1"/>
  <c r="G881" i="2"/>
  <c r="S839" i="2"/>
  <c r="D881" i="2"/>
  <c r="AC786" i="2"/>
  <c r="AB786" i="2"/>
  <c r="AH786" i="2"/>
  <c r="AB785" i="2"/>
  <c r="AE785" i="2" s="1"/>
  <c r="AI785" i="2" s="1"/>
  <c r="AC784" i="2"/>
  <c r="AB784" i="2"/>
  <c r="AH783" i="2"/>
  <c r="AB783" i="2"/>
  <c r="AC783" i="2"/>
  <c r="AG783" i="2"/>
  <c r="AG826" i="2" s="1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A784" i="2"/>
  <c r="AA785" i="2" s="1"/>
  <c r="AA786" i="2" s="1"/>
  <c r="P789" i="2"/>
  <c r="S789" i="2" s="1"/>
  <c r="W789" i="2" s="1"/>
  <c r="U788" i="2"/>
  <c r="Q788" i="2"/>
  <c r="P788" i="2"/>
  <c r="U787" i="2"/>
  <c r="Q787" i="2"/>
  <c r="P787" i="2"/>
  <c r="S787" i="2" s="1"/>
  <c r="V786" i="2"/>
  <c r="P786" i="2"/>
  <c r="S786" i="2" s="1"/>
  <c r="P785" i="2"/>
  <c r="V784" i="2"/>
  <c r="P784" i="2"/>
  <c r="S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S819" i="2"/>
  <c r="W819" i="2" s="1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S797" i="2"/>
  <c r="W797" i="2" s="1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J786" i="2"/>
  <c r="J826" i="2" s="1"/>
  <c r="I786" i="2"/>
  <c r="E786" i="2"/>
  <c r="E826" i="2" s="1"/>
  <c r="D786" i="2"/>
  <c r="G786" i="2" s="1"/>
  <c r="I785" i="2"/>
  <c r="D785" i="2"/>
  <c r="G785" i="2" s="1"/>
  <c r="C785" i="2"/>
  <c r="I784" i="2"/>
  <c r="D784" i="2"/>
  <c r="G784" i="2" s="1"/>
  <c r="I783" i="2"/>
  <c r="D783" i="2"/>
  <c r="G783" i="2" s="1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G805" i="2"/>
  <c r="K805" i="2" s="1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AE786" i="2" l="1"/>
  <c r="AE881" i="2"/>
  <c r="S881" i="2"/>
  <c r="W839" i="2"/>
  <c r="W881" i="2" s="1"/>
  <c r="AH826" i="2"/>
  <c r="AC826" i="2"/>
  <c r="AE783" i="2"/>
  <c r="AI783" i="2" s="1"/>
  <c r="W784" i="2"/>
  <c r="S788" i="2"/>
  <c r="W788" i="2" s="1"/>
  <c r="AI786" i="2"/>
  <c r="AB826" i="2"/>
  <c r="V826" i="2"/>
  <c r="W786" i="2"/>
  <c r="K783" i="2"/>
  <c r="K786" i="2"/>
  <c r="Q826" i="2"/>
  <c r="AE784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H730" i="2"/>
  <c r="AH770" i="2" s="1"/>
  <c r="AB730" i="2"/>
  <c r="AE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E747" i="2"/>
  <c r="AI747" i="2" s="1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U729" i="2"/>
  <c r="Q729" i="2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 s="1"/>
  <c r="S732" i="2"/>
  <c r="W732" i="2" s="1"/>
  <c r="S733" i="2"/>
  <c r="W733" i="2" s="1"/>
  <c r="S734" i="2"/>
  <c r="W734" i="2" s="1"/>
  <c r="S735" i="2"/>
  <c r="W735" i="2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 s="1"/>
  <c r="S743" i="2"/>
  <c r="W743" i="2" s="1"/>
  <c r="S744" i="2"/>
  <c r="W744" i="2" s="1"/>
  <c r="S745" i="2"/>
  <c r="W745" i="2" s="1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AI730" i="2" l="1"/>
  <c r="AI731" i="2"/>
  <c r="S729" i="2"/>
  <c r="W729" i="2" s="1"/>
  <c r="V770" i="2"/>
  <c r="K826" i="2"/>
  <c r="Q770" i="2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S728" i="2"/>
  <c r="W728" i="2" s="1"/>
  <c r="W727" i="2"/>
  <c r="P770" i="2"/>
  <c r="V674" i="2"/>
  <c r="V715" i="2" s="1"/>
  <c r="U674" i="2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 s="1"/>
  <c r="S696" i="2"/>
  <c r="W696" i="2"/>
  <c r="S697" i="2"/>
  <c r="W697" i="2" s="1"/>
  <c r="S698" i="2"/>
  <c r="W698" i="2" s="1"/>
  <c r="S699" i="2"/>
  <c r="W699" i="2"/>
  <c r="S700" i="2"/>
  <c r="W700" i="2" s="1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W770" i="2" l="1"/>
  <c r="U715" i="2"/>
  <c r="S770" i="2"/>
  <c r="AI770" i="2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E621" i="2" s="1"/>
  <c r="AI621" i="2" s="1"/>
  <c r="AB620" i="2"/>
  <c r="AE620" i="2" s="1"/>
  <c r="AI620" i="2" s="1"/>
  <c r="AH619" i="2"/>
  <c r="AG619" i="2"/>
  <c r="AC619" i="2"/>
  <c r="AB619" i="2"/>
  <c r="AC618" i="2"/>
  <c r="AB618" i="2"/>
  <c r="AE618" i="2" s="1"/>
  <c r="AI618" i="2" s="1"/>
  <c r="AC617" i="2"/>
  <c r="AC660" i="2" s="1"/>
  <c r="AB617" i="2"/>
  <c r="AG617" i="2"/>
  <c r="AA618" i="2"/>
  <c r="AA619" i="2" s="1"/>
  <c r="AA620" i="2" s="1"/>
  <c r="AA621" i="2" s="1"/>
  <c r="AA622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/>
  <c r="AE655" i="2"/>
  <c r="AI655" i="2" s="1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P619" i="2"/>
  <c r="S619" i="2" s="1"/>
  <c r="P618" i="2"/>
  <c r="S618" i="2" s="1"/>
  <c r="W618" i="2" s="1"/>
  <c r="P617" i="2"/>
  <c r="S617" i="2" s="1"/>
  <c r="W617" i="2" s="1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S629" i="2"/>
  <c r="W629" i="2" s="1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C619" i="2"/>
  <c r="I619" i="2"/>
  <c r="D619" i="2"/>
  <c r="I618" i="2"/>
  <c r="J618" i="2"/>
  <c r="J660" i="2" s="1"/>
  <c r="D618" i="2"/>
  <c r="G618" i="2" s="1"/>
  <c r="I617" i="2"/>
  <c r="E617" i="2"/>
  <c r="E660" i="2" s="1"/>
  <c r="D617" i="2"/>
  <c r="C618" i="2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/>
  <c r="G633" i="2"/>
  <c r="K633" i="2" s="1"/>
  <c r="G634" i="2"/>
  <c r="K634" i="2" s="1"/>
  <c r="G635" i="2"/>
  <c r="K635" i="2" s="1"/>
  <c r="G636" i="2"/>
  <c r="K636" i="2"/>
  <c r="G637" i="2"/>
  <c r="K637" i="2" s="1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K618" i="2" l="1"/>
  <c r="U660" i="2"/>
  <c r="I660" i="2"/>
  <c r="S622" i="2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W660" i="2" s="1"/>
  <c r="P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9" i="2"/>
  <c r="AA570" i="2" s="1"/>
  <c r="AA571" i="2" s="1"/>
  <c r="AA563" i="2"/>
  <c r="AA564" i="2" s="1"/>
  <c r="AA565" i="2" s="1"/>
  <c r="AA566" i="2" s="1"/>
  <c r="AA567" i="2" s="1"/>
  <c r="AE564" i="2"/>
  <c r="AI564" i="2" s="1"/>
  <c r="AG563" i="2"/>
  <c r="AB563" i="2"/>
  <c r="AG562" i="2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G564" i="2" s="1"/>
  <c r="K564" i="2" s="1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 s="1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 s="1"/>
  <c r="G585" i="2"/>
  <c r="K585" i="2" s="1"/>
  <c r="G586" i="2"/>
  <c r="K586" i="2" s="1"/>
  <c r="G587" i="2"/>
  <c r="K587" i="2" s="1"/>
  <c r="G588" i="2"/>
  <c r="K588" i="2" s="1"/>
  <c r="G589" i="2"/>
  <c r="K589" i="2" s="1"/>
  <c r="G590" i="2"/>
  <c r="K590" i="2" s="1"/>
  <c r="G591" i="2"/>
  <c r="K591" i="2" s="1"/>
  <c r="G592" i="2"/>
  <c r="K592" i="2" s="1"/>
  <c r="G593" i="2"/>
  <c r="K593" i="2" s="1"/>
  <c r="G594" i="2"/>
  <c r="K594" i="2"/>
  <c r="G595" i="2"/>
  <c r="K595" i="2" s="1"/>
  <c r="G602" i="2"/>
  <c r="K602" i="2" s="1"/>
  <c r="F605" i="2"/>
  <c r="AG605" i="2" l="1"/>
  <c r="AE660" i="2"/>
  <c r="K660" i="2"/>
  <c r="AI660" i="2"/>
  <c r="G660" i="2"/>
  <c r="AB605" i="2"/>
  <c r="AI562" i="2"/>
  <c r="AE563" i="2"/>
  <c r="AI563" i="2" s="1"/>
  <c r="J605" i="2"/>
  <c r="K565" i="2"/>
  <c r="G562" i="2"/>
  <c r="G605" i="2" s="1"/>
  <c r="D605" i="2"/>
  <c r="U509" i="2"/>
  <c r="V509" i="2"/>
  <c r="P509" i="2"/>
  <c r="S509" i="2" s="1"/>
  <c r="V508" i="2"/>
  <c r="U508" i="2"/>
  <c r="Q508" i="2"/>
  <c r="Q550" i="2" s="1"/>
  <c r="P508" i="2"/>
  <c r="U507" i="2"/>
  <c r="P507" i="2"/>
  <c r="S507" i="2" s="1"/>
  <c r="W507" i="2" s="1"/>
  <c r="O508" i="2"/>
  <c r="O509" i="2" s="1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 s="1"/>
  <c r="S516" i="2"/>
  <c r="W516" i="2" s="1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 s="1"/>
  <c r="S523" i="2"/>
  <c r="W523" i="2" s="1"/>
  <c r="S524" i="2"/>
  <c r="W524" i="2" s="1"/>
  <c r="S525" i="2"/>
  <c r="W525" i="2" s="1"/>
  <c r="S526" i="2"/>
  <c r="W526" i="2" s="1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 s="1"/>
  <c r="S535" i="2"/>
  <c r="W535" i="2" s="1"/>
  <c r="S536" i="2"/>
  <c r="W536" i="2" s="1"/>
  <c r="S537" i="2"/>
  <c r="W537" i="2" s="1"/>
  <c r="S538" i="2"/>
  <c r="W538" i="2" s="1"/>
  <c r="S539" i="2"/>
  <c r="W539" i="2" s="1"/>
  <c r="S540" i="2"/>
  <c r="W540" i="2" s="1"/>
  <c r="S541" i="2"/>
  <c r="W541" i="2" s="1"/>
  <c r="S542" i="2"/>
  <c r="W542" i="2" s="1"/>
  <c r="S543" i="2"/>
  <c r="W543" i="2" s="1"/>
  <c r="S544" i="2"/>
  <c r="W544" i="2" s="1"/>
  <c r="S545" i="2"/>
  <c r="W545" i="2" s="1"/>
  <c r="W546" i="2"/>
  <c r="S547" i="2"/>
  <c r="W547" i="2" s="1"/>
  <c r="W548" i="2"/>
  <c r="R550" i="2"/>
  <c r="D519" i="2"/>
  <c r="G519" i="2" s="1"/>
  <c r="K519" i="2" s="1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I507" i="2"/>
  <c r="D507" i="2"/>
  <c r="G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E550" i="2"/>
  <c r="G527" i="2"/>
  <c r="K527" i="2" s="1"/>
  <c r="G528" i="2"/>
  <c r="K528" i="2" s="1"/>
  <c r="G529" i="2"/>
  <c r="K529" i="2"/>
  <c r="G530" i="2"/>
  <c r="K530" i="2" s="1"/>
  <c r="G531" i="2"/>
  <c r="K531" i="2" s="1"/>
  <c r="G532" i="2"/>
  <c r="K532" i="2" s="1"/>
  <c r="G533" i="2"/>
  <c r="K533" i="2" s="1"/>
  <c r="G534" i="2"/>
  <c r="K534" i="2" s="1"/>
  <c r="G535" i="2"/>
  <c r="K535" i="2" s="1"/>
  <c r="G536" i="2"/>
  <c r="K536" i="2" s="1"/>
  <c r="G537" i="2"/>
  <c r="K537" i="2" s="1"/>
  <c r="G538" i="2"/>
  <c r="K538" i="2" s="1"/>
  <c r="G539" i="2"/>
  <c r="K539" i="2" s="1"/>
  <c r="G540" i="2"/>
  <c r="K540" i="2" s="1"/>
  <c r="G547" i="2"/>
  <c r="K547" i="2" s="1"/>
  <c r="F550" i="2"/>
  <c r="J550" i="2"/>
  <c r="V550" i="2" l="1"/>
  <c r="K562" i="2"/>
  <c r="K605" i="2" s="1"/>
  <c r="K507" i="2"/>
  <c r="K515" i="2"/>
  <c r="U550" i="2"/>
  <c r="S508" i="2"/>
  <c r="W508" i="2" s="1"/>
  <c r="W509" i="2"/>
  <c r="I550" i="2"/>
  <c r="AI605" i="2"/>
  <c r="AE605" i="2"/>
  <c r="P550" i="2"/>
  <c r="K520" i="2"/>
  <c r="K517" i="2"/>
  <c r="D550" i="2"/>
  <c r="G550" i="2"/>
  <c r="E456" i="2"/>
  <c r="E495" i="2" s="1"/>
  <c r="D456" i="2"/>
  <c r="Q457" i="2"/>
  <c r="Q495" i="2" s="1"/>
  <c r="P457" i="2"/>
  <c r="AC453" i="2"/>
  <c r="AB453" i="2"/>
  <c r="AC452" i="2"/>
  <c r="AB452" i="2"/>
  <c r="AB455" i="2"/>
  <c r="AH454" i="2"/>
  <c r="AB454" i="2"/>
  <c r="AC454" i="2"/>
  <c r="AG453" i="2"/>
  <c r="AH452" i="2"/>
  <c r="AA453" i="2"/>
  <c r="AA454" i="2" s="1"/>
  <c r="AA455" i="2" s="1"/>
  <c r="AE454" i="2"/>
  <c r="AE455" i="2"/>
  <c r="AI455" i="2" s="1"/>
  <c r="AE456" i="2"/>
  <c r="AI456" i="2" s="1"/>
  <c r="AE457" i="2"/>
  <c r="AI457" i="2" s="1"/>
  <c r="AE458" i="2"/>
  <c r="AI458" i="2" s="1"/>
  <c r="AE459" i="2"/>
  <c r="AI459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 s="1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V455" i="2"/>
  <c r="P455" i="2"/>
  <c r="S455" i="2" s="1"/>
  <c r="U454" i="2"/>
  <c r="P454" i="2"/>
  <c r="S454" i="2" s="1"/>
  <c r="U453" i="2"/>
  <c r="P453" i="2"/>
  <c r="S453" i="2" s="1"/>
  <c r="P452" i="2"/>
  <c r="S452" i="2" s="1"/>
  <c r="O453" i="2"/>
  <c r="O454" i="2" s="1"/>
  <c r="O455" i="2" s="1"/>
  <c r="O456" i="2" s="1"/>
  <c r="O457" i="2" s="1"/>
  <c r="O458" i="2" s="1"/>
  <c r="S459" i="2"/>
  <c r="W459" i="2" s="1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 s="1"/>
  <c r="S468" i="2"/>
  <c r="W468" i="2" s="1"/>
  <c r="S469" i="2"/>
  <c r="W469" i="2" s="1"/>
  <c r="S470" i="2"/>
  <c r="W470" i="2" s="1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 s="1"/>
  <c r="S477" i="2"/>
  <c r="W477" i="2" s="1"/>
  <c r="S478" i="2"/>
  <c r="W478" i="2" s="1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 s="1"/>
  <c r="S485" i="2"/>
  <c r="W485" i="2" s="1"/>
  <c r="S486" i="2"/>
  <c r="W486" i="2" s="1"/>
  <c r="S487" i="2"/>
  <c r="W487" i="2" s="1"/>
  <c r="S488" i="2"/>
  <c r="W488" i="2" s="1"/>
  <c r="S489" i="2"/>
  <c r="W489" i="2" s="1"/>
  <c r="S490" i="2"/>
  <c r="W490" i="2" s="1"/>
  <c r="W491" i="2"/>
  <c r="S492" i="2"/>
  <c r="W492" i="2" s="1"/>
  <c r="W493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G452" i="2" s="1"/>
  <c r="K452" i="2" s="1"/>
  <c r="C453" i="2"/>
  <c r="C454" i="2" s="1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 s="1"/>
  <c r="G465" i="2"/>
  <c r="K465" i="2"/>
  <c r="G466" i="2"/>
  <c r="K466" i="2" s="1"/>
  <c r="G467" i="2"/>
  <c r="K467" i="2" s="1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 s="1"/>
  <c r="G474" i="2"/>
  <c r="K474" i="2" s="1"/>
  <c r="G475" i="2"/>
  <c r="K475" i="2" s="1"/>
  <c r="G476" i="2"/>
  <c r="K476" i="2" s="1"/>
  <c r="G477" i="2"/>
  <c r="K477" i="2" s="1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 s="1"/>
  <c r="G484" i="2"/>
  <c r="K484" i="2" s="1"/>
  <c r="G485" i="2"/>
  <c r="K485" i="2" s="1"/>
  <c r="G492" i="2"/>
  <c r="K492" i="2" s="1"/>
  <c r="F495" i="2"/>
  <c r="W550" i="2" l="1"/>
  <c r="V495" i="2"/>
  <c r="S550" i="2"/>
  <c r="K550" i="2"/>
  <c r="W453" i="2"/>
  <c r="AB495" i="2"/>
  <c r="W455" i="2"/>
  <c r="G456" i="2"/>
  <c r="K456" i="2" s="1"/>
  <c r="K495" i="2" s="1"/>
  <c r="AH495" i="2"/>
  <c r="S457" i="2"/>
  <c r="S495" i="2" s="1"/>
  <c r="U495" i="2"/>
  <c r="W454" i="2"/>
  <c r="W456" i="2"/>
  <c r="AC495" i="2"/>
  <c r="AE453" i="2"/>
  <c r="AI453" i="2" s="1"/>
  <c r="AI454" i="2"/>
  <c r="AG495" i="2"/>
  <c r="AE452" i="2"/>
  <c r="AI452" i="2" s="1"/>
  <c r="W452" i="2"/>
  <c r="P495" i="2"/>
  <c r="D495" i="2"/>
  <c r="AB403" i="2"/>
  <c r="AE403" i="2" s="1"/>
  <c r="AI403" i="2" s="1"/>
  <c r="AC402" i="2"/>
  <c r="AB402" i="2"/>
  <c r="AB401" i="2"/>
  <c r="AE401" i="2" s="1"/>
  <c r="AI401" i="2" s="1"/>
  <c r="AG400" i="2"/>
  <c r="AC400" i="2"/>
  <c r="AB400" i="2"/>
  <c r="AG399" i="2"/>
  <c r="AC399" i="2"/>
  <c r="AB399" i="2"/>
  <c r="AG398" i="2"/>
  <c r="AB398" i="2"/>
  <c r="AE398" i="2" s="1"/>
  <c r="AH397" i="2"/>
  <c r="AH440" i="2" s="1"/>
  <c r="AC397" i="2"/>
  <c r="AB397" i="2"/>
  <c r="AA398" i="2"/>
  <c r="AA399" i="2" s="1"/>
  <c r="AA400" i="2" s="1"/>
  <c r="AA401" i="2" s="1"/>
  <c r="AA402" i="2" s="1"/>
  <c r="AA403" i="2" s="1"/>
  <c r="AE404" i="2"/>
  <c r="AI404" i="2" s="1"/>
  <c r="AE405" i="2"/>
  <c r="AI405" i="2" s="1"/>
  <c r="AE406" i="2"/>
  <c r="AI406" i="2" s="1"/>
  <c r="AE407" i="2"/>
  <c r="AI407" i="2" s="1"/>
  <c r="AE408" i="2"/>
  <c r="AI408" i="2" s="1"/>
  <c r="AE409" i="2"/>
  <c r="AI409" i="2" s="1"/>
  <c r="AE410" i="2"/>
  <c r="AI410" i="2" s="1"/>
  <c r="AE411" i="2"/>
  <c r="AI411" i="2"/>
  <c r="AE412" i="2"/>
  <c r="AI412" i="2" s="1"/>
  <c r="AE413" i="2"/>
  <c r="AI413" i="2" s="1"/>
  <c r="AE414" i="2"/>
  <c r="AI414" i="2" s="1"/>
  <c r="AE415" i="2"/>
  <c r="AI415" i="2" s="1"/>
  <c r="AE416" i="2"/>
  <c r="AI416" i="2" s="1"/>
  <c r="AE417" i="2"/>
  <c r="AI417" i="2" s="1"/>
  <c r="AE418" i="2"/>
  <c r="AI418" i="2" s="1"/>
  <c r="AE419" i="2"/>
  <c r="AI419" i="2" s="1"/>
  <c r="AE420" i="2"/>
  <c r="AI420" i="2" s="1"/>
  <c r="AE421" i="2"/>
  <c r="AI421" i="2" s="1"/>
  <c r="AE422" i="2"/>
  <c r="AI422" i="2" s="1"/>
  <c r="AE423" i="2"/>
  <c r="AI423" i="2" s="1"/>
  <c r="AE424" i="2"/>
  <c r="AI424" i="2" s="1"/>
  <c r="AE425" i="2"/>
  <c r="AI425" i="2" s="1"/>
  <c r="AE426" i="2"/>
  <c r="AI426" i="2" s="1"/>
  <c r="AE427" i="2"/>
  <c r="AI427" i="2" s="1"/>
  <c r="AE428" i="2"/>
  <c r="AI428" i="2" s="1"/>
  <c r="AE429" i="2"/>
  <c r="AI429" i="2" s="1"/>
  <c r="AE430" i="2"/>
  <c r="AI430" i="2" s="1"/>
  <c r="AE431" i="2"/>
  <c r="AI431" i="2" s="1"/>
  <c r="AE432" i="2"/>
  <c r="AI432" i="2" s="1"/>
  <c r="AE433" i="2"/>
  <c r="AI433" i="2" s="1"/>
  <c r="AE434" i="2"/>
  <c r="AI434" i="2" s="1"/>
  <c r="AE435" i="2"/>
  <c r="AI435" i="2" s="1"/>
  <c r="AI436" i="2"/>
  <c r="AE437" i="2"/>
  <c r="AI437" i="2" s="1"/>
  <c r="AI438" i="2"/>
  <c r="AD440" i="2"/>
  <c r="P400" i="2"/>
  <c r="S400" i="2" s="1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/>
  <c r="S409" i="2"/>
  <c r="W409" i="2" s="1"/>
  <c r="S410" i="2"/>
  <c r="W410" i="2" s="1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 s="1"/>
  <c r="S417" i="2"/>
  <c r="W417" i="2" s="1"/>
  <c r="S418" i="2"/>
  <c r="W418" i="2" s="1"/>
  <c r="S419" i="2"/>
  <c r="W419" i="2" s="1"/>
  <c r="S420" i="2"/>
  <c r="W420" i="2" s="1"/>
  <c r="S421" i="2"/>
  <c r="W421" i="2" s="1"/>
  <c r="S422" i="2"/>
  <c r="W422" i="2" s="1"/>
  <c r="S423" i="2"/>
  <c r="W423" i="2" s="1"/>
  <c r="S424" i="2"/>
  <c r="W424" i="2" s="1"/>
  <c r="S425" i="2"/>
  <c r="W425" i="2" s="1"/>
  <c r="S426" i="2"/>
  <c r="W426" i="2" s="1"/>
  <c r="S427" i="2"/>
  <c r="W427" i="2" s="1"/>
  <c r="S428" i="2"/>
  <c r="W428" i="2" s="1"/>
  <c r="S429" i="2"/>
  <c r="W429" i="2" s="1"/>
  <c r="S430" i="2"/>
  <c r="W430" i="2" s="1"/>
  <c r="S431" i="2"/>
  <c r="W431" i="2" s="1"/>
  <c r="S432" i="2"/>
  <c r="W432" i="2" s="1"/>
  <c r="S433" i="2"/>
  <c r="W433" i="2" s="1"/>
  <c r="S434" i="2"/>
  <c r="W434" i="2" s="1"/>
  <c r="S435" i="2"/>
  <c r="W435" i="2" s="1"/>
  <c r="W436" i="2"/>
  <c r="S437" i="2"/>
  <c r="W437" i="2" s="1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E440" i="2"/>
  <c r="K403" i="2" l="1"/>
  <c r="AE402" i="2"/>
  <c r="AI402" i="2" s="1"/>
  <c r="AE397" i="2"/>
  <c r="W457" i="2"/>
  <c r="W495" i="2" s="1"/>
  <c r="G495" i="2"/>
  <c r="AI398" i="2"/>
  <c r="AC440" i="2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E348" i="2" s="1"/>
  <c r="AI348" i="2" s="1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 s="1"/>
  <c r="AE359" i="2"/>
  <c r="AI359" i="2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/>
  <c r="AE380" i="2"/>
  <c r="AI380" i="2"/>
  <c r="AI381" i="2"/>
  <c r="AE382" i="2"/>
  <c r="AI382" i="2" s="1"/>
  <c r="AI383" i="2"/>
  <c r="AD385" i="2"/>
  <c r="AH385" i="2"/>
  <c r="P351" i="2"/>
  <c r="S351" i="2" s="1"/>
  <c r="W351" i="2" s="1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 s="1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/>
  <c r="S375" i="2"/>
  <c r="W375" i="2" s="1"/>
  <c r="S376" i="2"/>
  <c r="W376" i="2" s="1"/>
  <c r="S377" i="2"/>
  <c r="W377" i="2" s="1"/>
  <c r="S378" i="2"/>
  <c r="W378" i="2" s="1"/>
  <c r="S379" i="2"/>
  <c r="W379" i="2" s="1"/>
  <c r="S380" i="2"/>
  <c r="W380" i="2" s="1"/>
  <c r="W381" i="2"/>
  <c r="S382" i="2"/>
  <c r="W382" i="2" s="1"/>
  <c r="W383" i="2"/>
  <c r="R385" i="2"/>
  <c r="AE343" i="2" l="1"/>
  <c r="AE345" i="2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G330" i="2" s="1"/>
  <c r="AB292" i="2"/>
  <c r="AE292" i="2" s="1"/>
  <c r="AB291" i="2"/>
  <c r="AE291" i="2" s="1"/>
  <c r="AI291" i="2" s="1"/>
  <c r="AC290" i="2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 s="1"/>
  <c r="AE311" i="2"/>
  <c r="AI311" i="2" s="1"/>
  <c r="AE312" i="2"/>
  <c r="AI312" i="2" s="1"/>
  <c r="AE313" i="2"/>
  <c r="AI313" i="2" s="1"/>
  <c r="AE314" i="2"/>
  <c r="AI314" i="2" s="1"/>
  <c r="AE315" i="2"/>
  <c r="AI315" i="2" s="1"/>
  <c r="AE316" i="2"/>
  <c r="AI316" i="2" s="1"/>
  <c r="AE317" i="2"/>
  <c r="AI317" i="2" s="1"/>
  <c r="AE318" i="2"/>
  <c r="AI318" i="2" s="1"/>
  <c r="AE319" i="2"/>
  <c r="AI319" i="2" s="1"/>
  <c r="AE320" i="2"/>
  <c r="AI320" i="2" s="1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/>
  <c r="S310" i="2"/>
  <c r="W310" i="2" s="1"/>
  <c r="S311" i="2"/>
  <c r="W311" i="2" s="1"/>
  <c r="S312" i="2"/>
  <c r="W312" i="2"/>
  <c r="S313" i="2"/>
  <c r="W313" i="2" s="1"/>
  <c r="S314" i="2"/>
  <c r="W314" i="2"/>
  <c r="S315" i="2"/>
  <c r="W315" i="2" s="1"/>
  <c r="S316" i="2"/>
  <c r="W316" i="2" s="1"/>
  <c r="S317" i="2"/>
  <c r="W317" i="2" s="1"/>
  <c r="S318" i="2"/>
  <c r="W318" i="2" s="1"/>
  <c r="S319" i="2"/>
  <c r="W319" i="2" s="1"/>
  <c r="S320" i="2"/>
  <c r="W320" i="2" s="1"/>
  <c r="S321" i="2"/>
  <c r="W321" i="2" s="1"/>
  <c r="S322" i="2"/>
  <c r="W322" i="2" s="1"/>
  <c r="S323" i="2"/>
  <c r="W323" i="2" s="1"/>
  <c r="S324" i="2"/>
  <c r="W324" i="2" s="1"/>
  <c r="S325" i="2"/>
  <c r="W325" i="2" s="1"/>
  <c r="W326" i="2"/>
  <c r="S327" i="2"/>
  <c r="W327" i="2"/>
  <c r="W328" i="2"/>
  <c r="Q330" i="2"/>
  <c r="R330" i="2"/>
  <c r="V330" i="2"/>
  <c r="J291" i="2"/>
  <c r="E291" i="2"/>
  <c r="E330" i="2" s="1"/>
  <c r="D291" i="2"/>
  <c r="D290" i="2"/>
  <c r="G290" i="2" s="1"/>
  <c r="K290" i="2" s="1"/>
  <c r="D289" i="2"/>
  <c r="J288" i="2"/>
  <c r="D288" i="2"/>
  <c r="G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 s="1"/>
  <c r="G300" i="2"/>
  <c r="K300" i="2" s="1"/>
  <c r="G301" i="2"/>
  <c r="K301" i="2" s="1"/>
  <c r="G302" i="2"/>
  <c r="K302" i="2" s="1"/>
  <c r="G303" i="2"/>
  <c r="K303" i="2" s="1"/>
  <c r="G304" i="2"/>
  <c r="K304" i="2" s="1"/>
  <c r="G305" i="2"/>
  <c r="K305" i="2" s="1"/>
  <c r="G306" i="2"/>
  <c r="K306" i="2" s="1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 s="1"/>
  <c r="G313" i="2"/>
  <c r="K313" i="2" s="1"/>
  <c r="G314" i="2"/>
  <c r="K314" i="2" s="1"/>
  <c r="G315" i="2"/>
  <c r="K315" i="2" s="1"/>
  <c r="G316" i="2"/>
  <c r="K316" i="2" s="1"/>
  <c r="G317" i="2"/>
  <c r="K317" i="2" s="1"/>
  <c r="G318" i="2"/>
  <c r="K318" i="2"/>
  <c r="G319" i="2"/>
  <c r="K319" i="2" s="1"/>
  <c r="G320" i="2"/>
  <c r="K320" i="2" s="1"/>
  <c r="G327" i="2"/>
  <c r="K327" i="2" s="1"/>
  <c r="F330" i="2"/>
  <c r="I330" i="2"/>
  <c r="K288" i="2" l="1"/>
  <c r="G291" i="2"/>
  <c r="AE290" i="2"/>
  <c r="AI290" i="2" s="1"/>
  <c r="J330" i="2"/>
  <c r="AE289" i="2"/>
  <c r="AI289" i="2" s="1"/>
  <c r="AI292" i="2"/>
  <c r="AI385" i="2"/>
  <c r="S385" i="2"/>
  <c r="AB330" i="2"/>
  <c r="AE288" i="2"/>
  <c r="W295" i="2"/>
  <c r="U330" i="2"/>
  <c r="W291" i="2"/>
  <c r="P330" i="2"/>
  <c r="S330" i="2"/>
  <c r="K291" i="2"/>
  <c r="K287" i="2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E235" i="2" s="1"/>
  <c r="AI235" i="2" s="1"/>
  <c r="AC234" i="2"/>
  <c r="AB234" i="2"/>
  <c r="AC233" i="2"/>
  <c r="AC275" i="2" s="1"/>
  <c r="AB233" i="2"/>
  <c r="AB232" i="2"/>
  <c r="AE232" i="2"/>
  <c r="AA233" i="2"/>
  <c r="AA234" i="2" s="1"/>
  <c r="AA235" i="2" s="1"/>
  <c r="AA236" i="2" s="1"/>
  <c r="AA237" i="2" s="1"/>
  <c r="AE234" i="2"/>
  <c r="AI234" i="2" s="1"/>
  <c r="AE238" i="2"/>
  <c r="AI238" i="2" s="1"/>
  <c r="AE239" i="2"/>
  <c r="AI239" i="2" s="1"/>
  <c r="AE240" i="2"/>
  <c r="AI240" i="2" s="1"/>
  <c r="AE241" i="2"/>
  <c r="AI241" i="2" s="1"/>
  <c r="AE242" i="2"/>
  <c r="AI242" i="2" s="1"/>
  <c r="AE243" i="2"/>
  <c r="AI243" i="2" s="1"/>
  <c r="AE244" i="2"/>
  <c r="AI244" i="2" s="1"/>
  <c r="AE245" i="2"/>
  <c r="AI245" i="2"/>
  <c r="AE246" i="2"/>
  <c r="AI246" i="2" s="1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 s="1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 s="1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P233" i="2"/>
  <c r="S233" i="2" s="1"/>
  <c r="P232" i="2"/>
  <c r="O233" i="2"/>
  <c r="O234" i="2" s="1"/>
  <c r="O235" i="2" s="1"/>
  <c r="O236" i="2" s="1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 s="1"/>
  <c r="S243" i="2"/>
  <c r="W243" i="2" s="1"/>
  <c r="S244" i="2"/>
  <c r="W244" i="2" s="1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 s="1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 s="1"/>
  <c r="S269" i="2"/>
  <c r="W269" i="2" s="1"/>
  <c r="S270" i="2"/>
  <c r="W270" i="2" s="1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 s="1"/>
  <c r="G244" i="2"/>
  <c r="K244" i="2" s="1"/>
  <c r="G245" i="2"/>
  <c r="K245" i="2" s="1"/>
  <c r="G246" i="2"/>
  <c r="K246" i="2" s="1"/>
  <c r="G247" i="2"/>
  <c r="K247" i="2" s="1"/>
  <c r="G248" i="2"/>
  <c r="K248" i="2" s="1"/>
  <c r="G249" i="2"/>
  <c r="K249" i="2" s="1"/>
  <c r="G250" i="2"/>
  <c r="K250" i="2" s="1"/>
  <c r="G251" i="2"/>
  <c r="K251" i="2" s="1"/>
  <c r="G252" i="2"/>
  <c r="K252" i="2" s="1"/>
  <c r="G253" i="2"/>
  <c r="K253" i="2" s="1"/>
  <c r="G254" i="2"/>
  <c r="K254" i="2" s="1"/>
  <c r="G255" i="2"/>
  <c r="K255" i="2" s="1"/>
  <c r="G256" i="2"/>
  <c r="K256" i="2" s="1"/>
  <c r="G257" i="2"/>
  <c r="K257" i="2" s="1"/>
  <c r="G258" i="2"/>
  <c r="K258" i="2" s="1"/>
  <c r="G259" i="2"/>
  <c r="K259" i="2" s="1"/>
  <c r="G260" i="2"/>
  <c r="K260" i="2"/>
  <c r="G261" i="2"/>
  <c r="K261" i="2" s="1"/>
  <c r="G262" i="2"/>
  <c r="K262" i="2" s="1"/>
  <c r="G263" i="2"/>
  <c r="K263" i="2" s="1"/>
  <c r="G264" i="2"/>
  <c r="K264" i="2" s="1"/>
  <c r="G265" i="2"/>
  <c r="K265" i="2" s="1"/>
  <c r="G272" i="2"/>
  <c r="K272" i="2" s="1"/>
  <c r="E275" i="2"/>
  <c r="F275" i="2"/>
  <c r="I275" i="2"/>
  <c r="J275" i="2"/>
  <c r="W330" i="2" l="1"/>
  <c r="AE233" i="2"/>
  <c r="AI233" i="2" s="1"/>
  <c r="S234" i="2"/>
  <c r="W234" i="2" s="1"/>
  <c r="K330" i="2"/>
  <c r="AE330" i="2"/>
  <c r="AI288" i="2"/>
  <c r="AI330" i="2" s="1"/>
  <c r="AI232" i="2"/>
  <c r="AI275" i="2" s="1"/>
  <c r="AE275" i="2"/>
  <c r="AB275" i="2"/>
  <c r="P275" i="2"/>
  <c r="S232" i="2"/>
  <c r="W232" i="2" s="1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 s="1"/>
  <c r="AE190" i="2"/>
  <c r="AI190" i="2" s="1"/>
  <c r="AE191" i="2"/>
  <c r="AI191" i="2" s="1"/>
  <c r="AE192" i="2"/>
  <c r="AI192" i="2" s="1"/>
  <c r="AE193" i="2"/>
  <c r="AI193" i="2" s="1"/>
  <c r="AE194" i="2"/>
  <c r="AI194" i="2" s="1"/>
  <c r="AE195" i="2"/>
  <c r="AI195" i="2" s="1"/>
  <c r="AE196" i="2"/>
  <c r="AI196" i="2" s="1"/>
  <c r="AE197" i="2"/>
  <c r="AI197" i="2" s="1"/>
  <c r="AE198" i="2"/>
  <c r="AI198" i="2" s="1"/>
  <c r="AE199" i="2"/>
  <c r="AI199" i="2" s="1"/>
  <c r="AE200" i="2"/>
  <c r="AI200" i="2" s="1"/>
  <c r="AE201" i="2"/>
  <c r="AI201" i="2" s="1"/>
  <c r="AE202" i="2"/>
  <c r="AI202" i="2" s="1"/>
  <c r="AE203" i="2"/>
  <c r="AI203" i="2" s="1"/>
  <c r="AE204" i="2"/>
  <c r="AI204" i="2" s="1"/>
  <c r="AE205" i="2"/>
  <c r="AI205" i="2" s="1"/>
  <c r="AE206" i="2"/>
  <c r="AI206" i="2" s="1"/>
  <c r="AE207" i="2"/>
  <c r="AI207" i="2" s="1"/>
  <c r="AE208" i="2"/>
  <c r="AI208" i="2" s="1"/>
  <c r="AE209" i="2"/>
  <c r="AI209" i="2" s="1"/>
  <c r="AE210" i="2"/>
  <c r="AI210" i="2" s="1"/>
  <c r="AE211" i="2"/>
  <c r="AI211" i="2" s="1"/>
  <c r="AE212" i="2"/>
  <c r="AI212" i="2" s="1"/>
  <c r="AE213" i="2"/>
  <c r="AI213" i="2" s="1"/>
  <c r="AE214" i="2"/>
  <c r="AI214" i="2" s="1"/>
  <c r="AE215" i="2"/>
  <c r="AI215" i="2" s="1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 s="1"/>
  <c r="S184" i="2"/>
  <c r="W184" i="2" s="1"/>
  <c r="S185" i="2"/>
  <c r="W185" i="2" s="1"/>
  <c r="S186" i="2"/>
  <c r="W186" i="2" s="1"/>
  <c r="S187" i="2"/>
  <c r="W187" i="2" s="1"/>
  <c r="S188" i="2"/>
  <c r="W188" i="2" s="1"/>
  <c r="S189" i="2"/>
  <c r="W189" i="2" s="1"/>
  <c r="S190" i="2"/>
  <c r="W190" i="2" s="1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 s="1"/>
  <c r="S198" i="2"/>
  <c r="W198" i="2" s="1"/>
  <c r="S199" i="2"/>
  <c r="W199" i="2" s="1"/>
  <c r="S200" i="2"/>
  <c r="W200" i="2" s="1"/>
  <c r="S201" i="2"/>
  <c r="W201" i="2" s="1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 s="1"/>
  <c r="S208" i="2"/>
  <c r="W208" i="2" s="1"/>
  <c r="S209" i="2"/>
  <c r="W209" i="2" s="1"/>
  <c r="S210" i="2"/>
  <c r="W210" i="2" s="1"/>
  <c r="S211" i="2"/>
  <c r="W211" i="2" s="1"/>
  <c r="S212" i="2"/>
  <c r="W212" i="2" s="1"/>
  <c r="S213" i="2"/>
  <c r="W213" i="2" s="1"/>
  <c r="S214" i="2"/>
  <c r="W214" i="2" s="1"/>
  <c r="S215" i="2"/>
  <c r="W215" i="2" s="1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I220" i="2" s="1"/>
  <c r="E178" i="2"/>
  <c r="D178" i="2"/>
  <c r="D177" i="2"/>
  <c r="G177" i="2" s="1"/>
  <c r="C178" i="2"/>
  <c r="C179" i="2" s="1"/>
  <c r="G180" i="2"/>
  <c r="K180" i="2" s="1"/>
  <c r="G181" i="2"/>
  <c r="K181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 s="1"/>
  <c r="G189" i="2"/>
  <c r="K189" i="2" s="1"/>
  <c r="G190" i="2"/>
  <c r="K190" i="2" s="1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 s="1"/>
  <c r="G197" i="2"/>
  <c r="K197" i="2" s="1"/>
  <c r="G198" i="2"/>
  <c r="K198" i="2" s="1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 s="1"/>
  <c r="G205" i="2"/>
  <c r="K205" i="2" s="1"/>
  <c r="G206" i="2"/>
  <c r="K206" i="2" s="1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S275" i="2" l="1"/>
  <c r="G178" i="2"/>
  <c r="K178" i="2" s="1"/>
  <c r="E220" i="2"/>
  <c r="AC220" i="2"/>
  <c r="S178" i="2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7" i="2"/>
  <c r="D220" i="2"/>
  <c r="AB131" i="2"/>
  <c r="AE131" i="2" s="1"/>
  <c r="AI131" i="2" s="1"/>
  <c r="AG130" i="2"/>
  <c r="AB130" i="2"/>
  <c r="AE130" i="2" s="1"/>
  <c r="AB129" i="2"/>
  <c r="AE129" i="2" s="1"/>
  <c r="AI129" i="2" s="1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3" i="2"/>
  <c r="AA124" i="2" s="1"/>
  <c r="AA125" i="2" s="1"/>
  <c r="AA126" i="2" s="1"/>
  <c r="AA128" i="2" s="1"/>
  <c r="AA129" i="2" s="1"/>
  <c r="AA130" i="2" s="1"/>
  <c r="AA131" i="2" s="1"/>
  <c r="AE132" i="2"/>
  <c r="AI132" i="2" s="1"/>
  <c r="AE133" i="2"/>
  <c r="AI133" i="2"/>
  <c r="AE134" i="2"/>
  <c r="AI134" i="2" s="1"/>
  <c r="AE135" i="2"/>
  <c r="AI135" i="2"/>
  <c r="AE136" i="2"/>
  <c r="AI136" i="2" s="1"/>
  <c r="AE137" i="2"/>
  <c r="AI137" i="2" s="1"/>
  <c r="AE138" i="2"/>
  <c r="AI138" i="2" s="1"/>
  <c r="AE139" i="2"/>
  <c r="AI139" i="2" s="1"/>
  <c r="AE140" i="2"/>
  <c r="AI140" i="2" s="1"/>
  <c r="AE141" i="2"/>
  <c r="AI141" i="2" s="1"/>
  <c r="AE142" i="2"/>
  <c r="AI142" i="2" s="1"/>
  <c r="AE143" i="2"/>
  <c r="AI143" i="2" s="1"/>
  <c r="AE144" i="2"/>
  <c r="AI144" i="2" s="1"/>
  <c r="AE145" i="2"/>
  <c r="AI145" i="2" s="1"/>
  <c r="AE146" i="2"/>
  <c r="AI146" i="2" s="1"/>
  <c r="AE147" i="2"/>
  <c r="AI147" i="2"/>
  <c r="AE148" i="2"/>
  <c r="AI148" i="2" s="1"/>
  <c r="AE149" i="2"/>
  <c r="AI149" i="2" s="1"/>
  <c r="AE150" i="2"/>
  <c r="AI150" i="2" s="1"/>
  <c r="AE151" i="2"/>
  <c r="AI151" i="2"/>
  <c r="AE152" i="2"/>
  <c r="AI152" i="2" s="1"/>
  <c r="AE153" i="2"/>
  <c r="AI153" i="2" s="1"/>
  <c r="AE154" i="2"/>
  <c r="AI154" i="2" s="1"/>
  <c r="AE155" i="2"/>
  <c r="AI155" i="2" s="1"/>
  <c r="AE156" i="2"/>
  <c r="AI156" i="2" s="1"/>
  <c r="AE157" i="2"/>
  <c r="AI157" i="2" s="1"/>
  <c r="AE158" i="2"/>
  <c r="AI158" i="2" s="1"/>
  <c r="AE159" i="2"/>
  <c r="AI159" i="2" s="1"/>
  <c r="AE160" i="2"/>
  <c r="AI160" i="2" s="1"/>
  <c r="AI161" i="2"/>
  <c r="AE162" i="2"/>
  <c r="AI162" i="2" s="1"/>
  <c r="AI163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V125" i="2"/>
  <c r="V165" i="2" s="1"/>
  <c r="P125" i="2"/>
  <c r="S125" i="2" s="1"/>
  <c r="P124" i="2"/>
  <c r="S124" i="2" s="1"/>
  <c r="W124" i="2" s="1"/>
  <c r="P123" i="2"/>
  <c r="Q122" i="2"/>
  <c r="Q165" i="2" s="1"/>
  <c r="P122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S134" i="2"/>
  <c r="W134" i="2" s="1"/>
  <c r="S133" i="2"/>
  <c r="W133" i="2" s="1"/>
  <c r="S132" i="2"/>
  <c r="W132" i="2" s="1"/>
  <c r="S131" i="2"/>
  <c r="W131" i="2" s="1"/>
  <c r="S130" i="2"/>
  <c r="W130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D130" i="2"/>
  <c r="G130" i="2" s="1"/>
  <c r="D129" i="2"/>
  <c r="G129" i="2" s="1"/>
  <c r="K129" i="2" s="1"/>
  <c r="D128" i="2"/>
  <c r="G128" i="2" s="1"/>
  <c r="K128" i="2" s="1"/>
  <c r="D127" i="2"/>
  <c r="G127" i="2" s="1"/>
  <c r="K127" i="2" s="1"/>
  <c r="I126" i="2"/>
  <c r="D126" i="2"/>
  <c r="G126" i="2" s="1"/>
  <c r="D125" i="2"/>
  <c r="D124" i="2"/>
  <c r="G124" i="2" s="1"/>
  <c r="K124" i="2" s="1"/>
  <c r="J123" i="2"/>
  <c r="J165" i="2" s="1"/>
  <c r="D123" i="2"/>
  <c r="D12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E165" i="2"/>
  <c r="C123" i="2"/>
  <c r="C124" i="2" s="1"/>
  <c r="C125" i="2" s="1"/>
  <c r="C126" i="2" s="1"/>
  <c r="C127" i="2" s="1"/>
  <c r="C128" i="2" s="1"/>
  <c r="C129" i="2" s="1"/>
  <c r="C130" i="2" s="1"/>
  <c r="C131" i="2" s="1"/>
  <c r="C132" i="2" s="1"/>
  <c r="K126" i="2" l="1"/>
  <c r="G220" i="2"/>
  <c r="S122" i="2"/>
  <c r="W122" i="2" s="1"/>
  <c r="W125" i="2"/>
  <c r="I165" i="2"/>
  <c r="AG165" i="2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/>
  <c r="AE82" i="2"/>
  <c r="AI82" i="2" s="1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 s="1"/>
  <c r="AE91" i="2"/>
  <c r="AI91" i="2" s="1"/>
  <c r="AE92" i="2"/>
  <c r="AI92" i="2" s="1"/>
  <c r="AE93" i="2"/>
  <c r="AI93" i="2" s="1"/>
  <c r="AE94" i="2"/>
  <c r="AI94" i="2" s="1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 s="1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J36" i="1"/>
  <c r="D35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  <comment ref="C838" authorId="0" shapeId="0" xr:uid="{8B3D6375-D53E-4C7D-BC21-3DD0846CA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838" authorId="0" shapeId="0" xr:uid="{DCBC67D7-410B-41F7-9973-B7F390183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MOÑUZ 
DATU TANGKILAN</t>
        </r>
      </text>
    </comment>
    <comment ref="AA838" authorId="0" shapeId="0" xr:uid="{DD9FD5AD-172F-4B3C-88B4-53128D81E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 SALUG
</t>
        </r>
      </text>
    </comment>
    <comment ref="C839" authorId="0" shapeId="0" xr:uid="{D619A8F3-FB34-42F1-84BC-967BD66A0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CENAS,JONATHAN
POB.SIAYAN
</t>
        </r>
      </text>
    </comment>
    <comment ref="O839" authorId="0" shapeId="0" xr:uid="{C8BAEB12-C033-4BBE-B030-7A1400AA4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AA839" authorId="0" shapeId="0" xr:uid="{56E5BF68-CAD8-48E9-83A5-D61D14006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GV CON. STORE
SALUG</t>
        </r>
      </text>
    </comment>
    <comment ref="C840" authorId="0" shapeId="0" xr:uid="{20E31D09-8F98-45E2-87B5-09D9C1C33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O840" authorId="0" shapeId="0" xr:uid="{0D6FD461-9EB0-4D15-BAEE-1A6C93591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
</t>
        </r>
      </text>
    </comment>
    <comment ref="AA840" authorId="0" shapeId="0" xr:uid="{F3F91342-A163-4E87-9C62-29AAB4526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
POB. SALUG</t>
        </r>
      </text>
    </comment>
    <comment ref="C841" authorId="0" shapeId="0" xr:uid="{C6AD0C3B-19F3-4F63-A903-30283A9CF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DIZON ALEJANDRO
POB.SIAYAN</t>
        </r>
      </text>
    </comment>
    <comment ref="O841" authorId="0" shapeId="0" xr:uid="{6B5E37D4-0B2A-4909-B260-515A981A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
</t>
        </r>
      </text>
    </comment>
    <comment ref="AA841" authorId="0" shapeId="0" xr:uid="{C6A31048-D197-4C41-8D92-6FCDC7984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
POB SALUG</t>
        </r>
      </text>
    </comment>
    <comment ref="C842" authorId="0" shapeId="0" xr:uid="{E2833099-7DCD-454F-BF7C-663784FCF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
</t>
        </r>
      </text>
    </comment>
    <comment ref="O842" authorId="0" shapeId="0" xr:uid="{779A7A47-4511-496A-947B-F68864F67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842" authorId="0" shapeId="0" xr:uid="{00253B88-CC5C-4A2A-BD30-B86642579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</t>
        </r>
      </text>
    </comment>
    <comment ref="O843" authorId="0" shapeId="0" xr:uid="{B3286BDF-27FA-4F5B-8832-18C35CCA53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 SINDANGAN</t>
        </r>
      </text>
    </comment>
    <comment ref="AA843" authorId="0" shapeId="0" xr:uid="{AEAB572B-7924-45AD-840A-DF6A9244D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</t>
        </r>
      </text>
    </comment>
    <comment ref="O844" authorId="0" shapeId="0" xr:uid="{E9D3CD8C-DAD8-434F-B756-8B7AD2CFCA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 SINDANGAN</t>
        </r>
      </text>
    </comment>
    <comment ref="AA844" authorId="0" shapeId="0" xr:uid="{971A7541-6DF1-4F0D-9433-1A16BAF5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O845" authorId="0" shapeId="0" xr:uid="{A5933CFF-44CA-420E-9A6D-1B7EBFE2A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45" authorId="0" shapeId="0" xr:uid="{F51AA56A-8AF9-4430-B3BA-A80D74994B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LILOY</t>
        </r>
      </text>
    </comment>
    <comment ref="O846" authorId="0" shapeId="0" xr:uid="{6C1980A1-A0E9-417D-BDF6-83A3188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O847" authorId="0" shapeId="0" xr:uid="{40E1EA0A-3053-4846-9AB4-4CE8DC3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O848" authorId="0" shapeId="0" xr:uid="{73312AD1-5E5F-41E9-9343-5BFF3278B9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O849" authorId="0" shapeId="0" xr:uid="{43D36A7C-BFFE-4389-A69F-8C2C495158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</t>
        </r>
      </text>
    </comment>
    <comment ref="C893" authorId="0" shapeId="0" xr:uid="{E513BB7B-213C-4807-B0AD-9A79249E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893" authorId="0" shapeId="0" xr:uid="{A6BC86FC-C56B-4DF4-A508-7C16A89B3D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893" authorId="0" shapeId="0" xr:uid="{D1238384-B69D-4658-9C7F-411F216641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94" authorId="0" shapeId="0" xr:uid="{D9AC87C7-E493-4357-B708-B94177F74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LABAKID, SINDANGAN</t>
        </r>
      </text>
    </comment>
    <comment ref="O894" authorId="0" shapeId="0" xr:uid="{98313A3B-A8B4-4488-AFCB-5387C72A6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894" authorId="0" shapeId="0" xr:uid="{F4B47EB2-05E7-4EF2-B8F1-B330884F4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895" authorId="0" shapeId="0" xr:uid="{15AE5B7F-BA37-4488-AA1E-DC14A93BB6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95" authorId="0" shapeId="0" xr:uid="{2E765BDD-4360-4FCC-99E3-61EBD4A0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SINDANGAN</t>
        </r>
      </text>
    </comment>
    <comment ref="AA895" authorId="0" shapeId="0" xr:uid="{01BB7BE8-8537-4F7F-A765-24704FB15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96" authorId="0" shapeId="0" xr:uid="{19FED7D7-4438-4B3A-BB70-D2A4765C3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96" authorId="0" shapeId="0" xr:uid="{14E018F7-AC82-4526-8014-EBB8783DF7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 STORE
TALINGA, BACUNGAN</t>
        </r>
      </text>
    </comment>
    <comment ref="AA896" authorId="0" shapeId="0" xr:uid="{5FFB230B-97B1-4650-83E6-08357C731C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97" authorId="0" shapeId="0" xr:uid="{10097534-810F-44B8-BEF7-9BEAEEAE6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7" authorId="0" shapeId="0" xr:uid="{3EC9635C-AAD8-49B5-A0FC-B511322C3E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 SOLO MAYOR
MARAS, SINDANGAN</t>
        </r>
      </text>
    </comment>
    <comment ref="AA897" authorId="0" shapeId="0" xr:uid="{FDC795F7-15BA-41AD-8ED5-F0426C214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C898" authorId="0" shapeId="0" xr:uid="{29C01743-E0E7-4B83-9210-F6954705B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SINDNAGAN</t>
        </r>
      </text>
    </comment>
    <comment ref="O898" authorId="0" shapeId="0" xr:uid="{28D96DAC-60EF-4258-A097-F6D59C8BD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898" authorId="0" shapeId="0" xr:uid="{5E25654D-B217-405A-9669-A061D5FB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 STORE
BAYBAY, LILOY</t>
        </r>
      </text>
    </comment>
    <comment ref="C899" authorId="0" shapeId="0" xr:uid="{D608CC25-19AB-4420-A24F-D253619FC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SEA FOODS
DISUD, SINDANGAN</t>
        </r>
      </text>
    </comment>
    <comment ref="O899" authorId="0" shapeId="0" xr:uid="{E92BFCBC-4513-4E67-9A21-62E4EB8DC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99" authorId="0" shapeId="0" xr:uid="{B7740C76-30EF-46B5-8BDA-BF5F62000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900" authorId="0" shapeId="0" xr:uid="{A55270B2-B191-4F00-979B-4878539B5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900" authorId="0" shapeId="0" xr:uid="{A4DD0D72-3B20-47BE-AFE3-5286D5BB7F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900" authorId="0" shapeId="0" xr:uid="{5963C736-EBA0-4DDD-8015-0CF1B254C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SUICIDAL, LILOY</t>
        </r>
      </text>
    </comment>
    <comment ref="C901" authorId="0" shapeId="0" xr:uid="{A33BB483-A7A6-458C-967C-AB3825993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LOMOCSO, ROBIN
DISUD, SINDANGAN</t>
        </r>
      </text>
    </comment>
    <comment ref="AA901" authorId="0" shapeId="0" xr:uid="{D619B7FF-F687-4375-9C6D-D8C9A915B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
VILLA SUICIDAL, LILOY</t>
        </r>
      </text>
    </comment>
    <comment ref="C902" authorId="0" shapeId="0" xr:uid="{6DC516C1-D8B5-4FAB-AACF-0C5C6C77E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AA902" authorId="0" shapeId="0" xr:uid="{48637AB9-9055-4BC4-881C-64059E0F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03" authorId="0" shapeId="0" xr:uid="{818023E5-BC87-4881-A1DD-CDD6C195A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C904" authorId="0" shapeId="0" xr:uid="{7833424E-262E-4554-89C5-486D309FE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C905" authorId="0" shapeId="0" xr:uid="{95E6D542-90CC-4959-A6DD-598E00DD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06" authorId="0" shapeId="0" xr:uid="{E0BB5618-811F-4A7A-8F5D-7EB772709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
POB, SINDANGAN</t>
        </r>
      </text>
    </comment>
    <comment ref="C948" authorId="0" shapeId="0" xr:uid="{E2920374-F1F7-4CFA-B63C-C322BFBA7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8" authorId="0" shapeId="0" xr:uid="{91E4E218-F206-43F9-9CD4-096A85600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949" authorId="0" shapeId="0" xr:uid="{BB8B53DD-64D2-4ED9-9862-68D689BFD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949" authorId="0" shapeId="0" xr:uid="{D45BCFB9-E40C-453E-B46D-BCD7DA0D76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C950" authorId="0" shapeId="0" xr:uid="{438CBC20-5AFF-440E-982C-7AF3BF1F4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O950" authorId="0" shapeId="0" xr:uid="{8D61BC3F-ED8D-47DF-AA51-E8CEBBCB7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951" authorId="0" shapeId="0" xr:uid="{0D1CD42E-7E88-4169-B5BF-A96611A75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951" authorId="0" shapeId="0" xr:uid="{32927E67-2A05-426D-A6AA-6F34985DD8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O952" authorId="0" shapeId="0" xr:uid="{B1211F84-E2D0-408E-A31D-F6EFD0F53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953" authorId="0" shapeId="0" xr:uid="{3DB62AB4-E5F4-413E-AD51-69D1B4BA4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954" authorId="0" shapeId="0" xr:uid="{2D636D4C-63F3-4A60-A819-BB10E2616B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55" authorId="0" shapeId="0" xr:uid="{34F31A0F-D688-4576-BD0A-111660580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1003" authorId="0" shapeId="0" xr:uid="{6B9D5835-C3C6-4F2A-A5CE-EAB527EBC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003" authorId="0" shapeId="0" xr:uid="{9D99CBB9-9730-44FF-8F5B-B9D1B8965F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003" authorId="0" shapeId="0" xr:uid="{112EF56B-7F0B-4ECA-A335-7E3756826B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1004" authorId="0" shapeId="0" xr:uid="{30A26F64-DD2E-43DF-84F7-8D41AE97F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 CAMASURA
POB, SINDANGAN</t>
        </r>
      </text>
    </comment>
    <comment ref="O1004" authorId="0" shapeId="0" xr:uid="{EC12844A-ADB4-4D88-BB9A-CB74579AD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004" authorId="0" shapeId="0" xr:uid="{DAB88CAE-9DAE-434D-A177-7DA7E46612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O1005" authorId="0" shapeId="0" xr:uid="{E4AC8176-4BF2-4548-8D7D-AB916AAA4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1005" authorId="0" shapeId="0" xr:uid="{2ABEF37D-997F-4840-86B3-723A1576D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006" authorId="0" shapeId="0" xr:uid="{46A76526-209B-4248-8C31-A4C642F06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006" authorId="0" shapeId="0" xr:uid="{51A9CC8F-9748-4A08-AD71-75FA1D2C05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007" authorId="0" shapeId="0" xr:uid="{4D36A015-8A2E-4EC8-971B-D2082086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SAHANES STORE
MARAS, SINDANGAN</t>
        </r>
      </text>
    </comment>
    <comment ref="AA1007" authorId="0" shapeId="0" xr:uid="{A6EE3C5C-1584-48FA-AD0E-14621C5C9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1008" authorId="0" shapeId="0" xr:uid="{94A36484-EC9F-4109-8FAA-815915173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1008" authorId="0" shapeId="0" xr:uid="{803D88C5-0937-4DEC-B02B-74BC63FC21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9" authorId="0" shapeId="0" xr:uid="{D6DE2FA1-718B-40CA-8BC7-D6F014620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010" authorId="0" shapeId="0" xr:uid="{207EB804-237D-427A-9D5D-43685BA12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</commentList>
</comments>
</file>

<file path=xl/sharedStrings.xml><?xml version="1.0" encoding="utf-8"?>
<sst xmlns="http://schemas.openxmlformats.org/spreadsheetml/2006/main" count="1207" uniqueCount="110">
  <si>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</si>
  <si>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</si>
  <si>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</si>
  <si>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</si>
  <si>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</si>
  <si>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</si>
  <si>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</si>
  <si>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</si>
  <si>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</si>
  <si>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</si>
  <si>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</si>
  <si>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</si>
  <si>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</si>
  <si>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</si>
  <si>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</si>
  <si>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</si>
  <si>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</si>
  <si>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</si>
  <si>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</si>
  <si>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</si>
  <si>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</si>
  <si>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</si>
  <si>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</si>
  <si>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</si>
  <si>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</si>
  <si>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</si>
  <si>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</si>
  <si>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</si>
  <si>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</si>
  <si>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</si>
  <si>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</si>
  <si>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</si>
  <si>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</si>
  <si>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</si>
  <si>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</si>
  <si>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</si>
  <si>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</si>
  <si>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</si>
  <si>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</si>
  <si>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</si>
  <si>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</si>
  <si>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</si>
  <si>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</si>
  <si>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</si>
  <si>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</si>
  <si>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</si>
  <si>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</si>
  <si>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</si>
  <si>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</si>
  <si>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</si>
  <si>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</si>
  <si>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</si>
  <si>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</si>
  <si>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</si>
  <si>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</si>
  <si>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</si>
  <si>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</si>
  <si>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</si>
  <si>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</si>
  <si>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</si>
  <si>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</si>
  <si>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</si>
  <si>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</si>
  <si>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</si>
  <si>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</si>
  <si>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</si>
  <si>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</si>
  <si>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</si>
  <si>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</si>
  <si>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</si>
  <si>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</si>
  <si>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</si>
  <si>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</si>
  <si>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</si>
  <si>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</si>
  <si>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</si>
  <si>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</si>
  <si>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</si>
  <si>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</si>
  <si>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</si>
  <si>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</si>
  <si>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</si>
  <si>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</si>
  <si>
    <t>MAY 20, 2026</t>
  </si>
  <si>
    <t>05/20/2026</t>
  </si>
  <si>
    <t>05/20/2027</t>
  </si>
  <si>
    <t>05/20/2028</t>
  </si>
  <si>
    <t>05/20/2029</t>
  </si>
  <si>
    <t>05/20/2030</t>
  </si>
  <si>
    <t>05/20/2031</t>
  </si>
  <si>
    <t>05/20/2032</t>
  </si>
  <si>
    <t>05/20/2033</t>
  </si>
  <si>
    <t>05/20/2034</t>
  </si>
  <si>
    <t>05/20/2035</t>
  </si>
  <si>
    <t>05/20/2036</t>
  </si>
  <si>
    <t>05/20/2037</t>
  </si>
  <si>
    <t xml:space="preserve">                       CONTENTS  DELIVERED</t>
  </si>
  <si>
    <t xml:space="preserve">                 EXTRA  CONTAINERS</t>
  </si>
  <si>
    <t>10659-10663/10569-10580/10622-10629</t>
  </si>
  <si>
    <t>05/21/2026</t>
  </si>
  <si>
    <t>MAY 21, 2026</t>
  </si>
  <si>
    <t>05/21/2027</t>
  </si>
  <si>
    <t>05/21/2028</t>
  </si>
  <si>
    <t>10664-10677/10581-10588/10630-10639</t>
  </si>
  <si>
    <t>MAY 22, 2026</t>
  </si>
  <si>
    <t>05/22/2026</t>
  </si>
  <si>
    <t>10678-10681/10589-10596/</t>
  </si>
  <si>
    <t>MAY 23, 2026</t>
  </si>
  <si>
    <t>05/23/2026</t>
  </si>
  <si>
    <t>10682-10683/10597-10600,10751-10754/10640-10645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</si>
</sst>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5" borderId="3" xfId="0" applyFill="1" applyBorder="1" applyAlignment="1">
      <alignment horizontal="center"/>
    </xf>
    <xf numFmtId="0" fontId="0" fillId="0" borderId="11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34" sqref="F3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38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 t="s">
        <v>98</v>
      </c>
      <c r="D29" s="16">
        <f t="shared" si="3"/>
        <v>727710</v>
      </c>
      <c r="F29" s="14">
        <v>335301</v>
      </c>
      <c r="G29" s="14">
        <v>249537</v>
      </c>
      <c r="H29" s="14">
        <v>142872</v>
      </c>
      <c r="I29" s="14"/>
      <c r="J29" s="17">
        <f t="shared" si="1"/>
        <v>727710</v>
      </c>
    </row>
    <row r="30" spans="1:10" x14ac:dyDescent="0.25">
      <c r="A30" s="10">
        <f t="shared" si="2"/>
        <v>21</v>
      </c>
      <c r="B30" s="11" t="s">
        <v>30</v>
      </c>
      <c r="C30" s="12" t="s">
        <v>103</v>
      </c>
      <c r="D30" s="16">
        <f t="shared" ref="D30:D31" si="4">J30</f>
        <v>739283.22</v>
      </c>
      <c r="F30" s="14">
        <v>188153.72</v>
      </c>
      <c r="G30" s="14">
        <v>202805</v>
      </c>
      <c r="H30" s="14">
        <v>348324.5</v>
      </c>
      <c r="I30" s="14"/>
      <c r="J30" s="17">
        <f t="shared" si="1"/>
        <v>739283.22</v>
      </c>
    </row>
    <row r="31" spans="1:10" x14ac:dyDescent="0.25">
      <c r="A31" s="10">
        <f t="shared" si="2"/>
        <v>22</v>
      </c>
      <c r="B31" s="43" t="s">
        <v>4</v>
      </c>
      <c r="C31" s="12" t="s">
        <v>106</v>
      </c>
      <c r="D31" s="16">
        <f t="shared" si="4"/>
        <v>507453</v>
      </c>
      <c r="E31" s="14"/>
      <c r="F31" s="14">
        <v>291067</v>
      </c>
      <c r="G31" s="14">
        <v>216386</v>
      </c>
      <c r="H31" s="14"/>
      <c r="I31" s="14"/>
      <c r="J31" s="17">
        <f t="shared" si="1"/>
        <v>507453</v>
      </c>
    </row>
    <row r="32" spans="1:10" x14ac:dyDescent="0.25">
      <c r="A32" s="10">
        <f t="shared" si="2"/>
        <v>23</v>
      </c>
      <c r="B32" s="56" t="s">
        <v>5</v>
      </c>
      <c r="C32" s="12" t="s">
        <v>109</v>
      </c>
      <c r="D32" s="16">
        <f t="shared" ref="D32" si="5">J32</f>
        <v>915002</v>
      </c>
      <c r="E32" s="15"/>
      <c r="F32" s="14">
        <v>259293</v>
      </c>
      <c r="G32" s="14">
        <v>195762</v>
      </c>
      <c r="H32" s="14">
        <v>459947</v>
      </c>
      <c r="I32" s="54"/>
      <c r="J32" s="17">
        <f t="shared" si="1"/>
        <v>915002</v>
      </c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6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6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6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6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14947431.99</v>
      </c>
      <c r="J42" s="49">
        <f>SUM(J10:J41)</f>
        <v>14947431.99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A1015" zoomScaleNormal="100" workbookViewId="0">
      <selection activeCell="AE1046" sqref="AE104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0" t="s">
        <v>17</v>
      </c>
      <c r="E10" s="120"/>
      <c r="F10" s="75"/>
      <c r="G10" s="27"/>
      <c r="I10" s="118" t="s">
        <v>18</v>
      </c>
      <c r="J10" s="119"/>
      <c r="K10" s="122" t="s">
        <v>19</v>
      </c>
      <c r="N10" s="25"/>
      <c r="O10" s="26"/>
      <c r="P10" s="120" t="s">
        <v>17</v>
      </c>
      <c r="Q10" s="120"/>
      <c r="R10" s="75"/>
      <c r="S10" s="27"/>
      <c r="U10" s="118" t="s">
        <v>18</v>
      </c>
      <c r="V10" s="119"/>
      <c r="W10" s="122" t="s">
        <v>19</v>
      </c>
      <c r="Z10" s="25"/>
      <c r="AA10" s="26"/>
      <c r="AB10" s="120" t="s">
        <v>17</v>
      </c>
      <c r="AC10" s="120"/>
      <c r="AD10" s="75"/>
      <c r="AE10" s="27"/>
      <c r="AG10" s="118" t="s">
        <v>18</v>
      </c>
      <c r="AH10" s="119"/>
      <c r="AI10" s="12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3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8"/>
      <c r="C57" s="88"/>
      <c r="D57" s="88"/>
      <c r="E57" s="88"/>
      <c r="F57" s="88"/>
      <c r="G57" s="88"/>
      <c r="H57" s="62"/>
      <c r="I57" s="62"/>
      <c r="J57" s="62"/>
      <c r="K57" s="62"/>
      <c r="L57" s="62"/>
      <c r="M57" s="62"/>
      <c r="N57" s="88"/>
      <c r="O57" s="88"/>
      <c r="P57" s="88"/>
      <c r="Q57" s="88"/>
      <c r="R57" s="88"/>
      <c r="S57" s="88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8"/>
      <c r="C58" s="88"/>
      <c r="D58" s="88"/>
      <c r="E58" s="88"/>
      <c r="F58" s="88"/>
      <c r="G58" s="88"/>
      <c r="H58" s="62"/>
      <c r="I58" s="62"/>
      <c r="J58" s="62"/>
      <c r="K58" s="62"/>
      <c r="L58" s="62"/>
      <c r="M58" s="62"/>
      <c r="N58" s="88"/>
      <c r="O58" s="88"/>
      <c r="P58" s="88"/>
      <c r="Q58" s="88"/>
      <c r="R58" s="88"/>
      <c r="S58" s="88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8"/>
      <c r="C59" s="88"/>
      <c r="D59" s="88"/>
      <c r="E59" s="88"/>
      <c r="F59" s="88"/>
      <c r="G59" s="88"/>
      <c r="H59" s="62"/>
      <c r="I59" s="62"/>
      <c r="J59" s="62"/>
      <c r="K59" s="62"/>
      <c r="L59" s="62"/>
      <c r="M59" s="62"/>
      <c r="N59" s="88"/>
      <c r="O59" s="88"/>
      <c r="P59" s="88"/>
      <c r="Q59" s="88"/>
      <c r="R59" s="88"/>
      <c r="S59" s="88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8"/>
      <c r="C60" s="88"/>
      <c r="D60" s="88"/>
      <c r="E60" s="88"/>
      <c r="F60" s="88"/>
      <c r="G60" s="88"/>
      <c r="H60" s="62"/>
      <c r="I60" s="62"/>
      <c r="J60" s="62"/>
      <c r="K60" s="62"/>
      <c r="L60" s="62"/>
      <c r="M60" s="63"/>
      <c r="N60" s="88"/>
      <c r="O60" s="88"/>
      <c r="P60" s="88"/>
      <c r="Q60" s="88"/>
      <c r="R60" s="88"/>
      <c r="S60" s="88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8"/>
      <c r="C61" s="88"/>
      <c r="D61" s="88"/>
      <c r="E61" s="88"/>
      <c r="F61" s="88"/>
      <c r="G61" s="88"/>
      <c r="H61" s="62"/>
      <c r="I61" s="62"/>
      <c r="J61" s="62"/>
      <c r="K61" s="62"/>
      <c r="L61" s="62"/>
      <c r="M61" s="62"/>
      <c r="N61" s="88"/>
      <c r="O61" s="88"/>
      <c r="P61" s="88"/>
      <c r="Q61" s="88"/>
      <c r="R61" s="88"/>
      <c r="S61" s="88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8"/>
      <c r="C62" s="88"/>
      <c r="D62" s="88"/>
      <c r="E62" s="88"/>
      <c r="F62" s="88"/>
      <c r="G62" s="88"/>
      <c r="H62" s="62"/>
      <c r="I62" s="88"/>
      <c r="J62" s="73"/>
      <c r="K62" s="62"/>
      <c r="L62" s="62"/>
      <c r="M62" s="62"/>
      <c r="N62" s="88"/>
      <c r="O62" s="88"/>
      <c r="P62" s="88"/>
      <c r="Q62" s="88"/>
      <c r="R62" s="88"/>
      <c r="S62" s="88"/>
      <c r="T62" s="62"/>
      <c r="U62" s="88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8"/>
      <c r="C63" s="88"/>
      <c r="D63" s="88"/>
      <c r="E63" s="88"/>
      <c r="F63" s="88"/>
      <c r="G63" s="88"/>
      <c r="H63" s="62"/>
      <c r="I63" s="65"/>
      <c r="J63" s="65"/>
      <c r="K63" s="62"/>
      <c r="L63" s="62"/>
      <c r="M63" s="64"/>
      <c r="N63" s="88"/>
      <c r="O63" s="88"/>
      <c r="P63" s="88"/>
      <c r="Q63" s="88"/>
      <c r="R63" s="88"/>
      <c r="S63" s="88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8"/>
      <c r="C64" s="88"/>
      <c r="D64" s="88"/>
      <c r="E64" s="88"/>
      <c r="F64" s="88"/>
      <c r="G64" s="88"/>
      <c r="H64" s="62"/>
      <c r="I64" s="62"/>
      <c r="J64" s="62"/>
      <c r="K64" s="62"/>
      <c r="L64" s="62"/>
      <c r="M64" s="62"/>
      <c r="N64" s="88"/>
      <c r="O64" s="88"/>
      <c r="P64" s="88"/>
      <c r="Q64" s="88"/>
      <c r="R64" s="88"/>
      <c r="S64" s="88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8"/>
      <c r="D65" s="121"/>
      <c r="E65" s="121"/>
      <c r="F65" s="88"/>
      <c r="G65" s="88"/>
      <c r="H65" s="62"/>
      <c r="I65" s="121"/>
      <c r="J65" s="121"/>
      <c r="K65" s="124"/>
      <c r="L65" s="62"/>
      <c r="M65" s="62"/>
      <c r="N65" s="65"/>
      <c r="O65" s="88"/>
      <c r="P65" s="121"/>
      <c r="Q65" s="121"/>
      <c r="R65" s="88"/>
      <c r="S65" s="88"/>
      <c r="T65" s="62"/>
      <c r="U65" s="121"/>
      <c r="V65" s="121"/>
      <c r="W65" s="124"/>
      <c r="Z65" s="25"/>
      <c r="AA65" s="26"/>
      <c r="AB65" s="120" t="s">
        <v>17</v>
      </c>
      <c r="AC65" s="120"/>
      <c r="AD65" s="89"/>
      <c r="AE65" s="27"/>
      <c r="AG65" s="118" t="s">
        <v>18</v>
      </c>
      <c r="AH65" s="119"/>
      <c r="AI65" s="12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8"/>
      <c r="C66" s="88"/>
      <c r="D66" s="79"/>
      <c r="E66" s="80"/>
      <c r="F66" s="81"/>
      <c r="G66" s="81"/>
      <c r="H66" s="62"/>
      <c r="I66" s="87"/>
      <c r="J66" s="87"/>
      <c r="K66" s="124"/>
      <c r="L66" s="62"/>
      <c r="M66" s="62"/>
      <c r="N66" s="88"/>
      <c r="O66" s="88"/>
      <c r="P66" s="79"/>
      <c r="Q66" s="81"/>
      <c r="R66" s="81"/>
      <c r="S66" s="81"/>
      <c r="T66" s="62"/>
      <c r="U66" s="87"/>
      <c r="V66" s="87"/>
      <c r="W66" s="124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8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21"/>
      <c r="AO67" s="121"/>
      <c r="AP67" s="86"/>
      <c r="AQ67" s="62"/>
      <c r="AR67" s="121"/>
      <c r="AS67" s="121"/>
      <c r="AT67" s="124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8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4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8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8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8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8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8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8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8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8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8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8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8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8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8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8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8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8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8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8"/>
      <c r="P87" s="67"/>
      <c r="Q87" s="88"/>
      <c r="R87" s="88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8"/>
      <c r="P88" s="68"/>
      <c r="Q88" s="88"/>
      <c r="R88" s="88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8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8"/>
      <c r="P90" s="69"/>
      <c r="Q90" s="88"/>
      <c r="R90" s="88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8"/>
      <c r="P91" s="69"/>
      <c r="Q91" s="88"/>
      <c r="R91" s="88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8"/>
      <c r="P92" s="69"/>
      <c r="Q92" s="88"/>
      <c r="R92" s="88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8"/>
      <c r="P93" s="69"/>
      <c r="Q93" s="88"/>
      <c r="R93" s="88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8"/>
      <c r="P94" s="69"/>
      <c r="Q94" s="88"/>
      <c r="R94" s="88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8"/>
      <c r="P95" s="69"/>
      <c r="Q95" s="88"/>
      <c r="R95" s="88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8"/>
      <c r="P96" s="69"/>
      <c r="Q96" s="88"/>
      <c r="R96" s="88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8"/>
      <c r="P97" s="69"/>
      <c r="Q97" s="88"/>
      <c r="R97" s="88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8"/>
      <c r="P98" s="69"/>
      <c r="Q98" s="88"/>
      <c r="R98" s="88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8"/>
      <c r="P99" s="69"/>
      <c r="Q99" s="88"/>
      <c r="R99" s="88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8"/>
      <c r="P100" s="69"/>
      <c r="Q100" s="88"/>
      <c r="R100" s="88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8"/>
      <c r="P101" s="69"/>
      <c r="Q101" s="88"/>
      <c r="R101" s="88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8"/>
      <c r="P102" s="69"/>
      <c r="Q102" s="88"/>
      <c r="R102" s="88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8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8"/>
      <c r="R103" s="88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8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8"/>
      <c r="P104" s="69"/>
      <c r="Q104" s="88"/>
      <c r="R104" s="88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8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8"/>
      <c r="P105" s="69"/>
      <c r="Q105" s="88"/>
      <c r="R105" s="88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8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8"/>
      <c r="R106" s="88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8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8"/>
      <c r="P107" s="69"/>
      <c r="Q107" s="88"/>
      <c r="R107" s="88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8"/>
      <c r="O108" s="88"/>
      <c r="P108" s="88"/>
      <c r="Q108" s="88"/>
      <c r="R108" s="88"/>
      <c r="S108" s="88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8"/>
      <c r="C109" s="88"/>
      <c r="D109" s="88"/>
      <c r="E109" s="88"/>
      <c r="F109" s="88"/>
      <c r="G109" s="88"/>
      <c r="H109" s="62"/>
      <c r="I109" s="62"/>
      <c r="J109" s="62"/>
      <c r="K109" s="62"/>
      <c r="L109" s="62"/>
      <c r="M109" s="62"/>
      <c r="N109" s="88"/>
      <c r="O109" s="88"/>
      <c r="P109" s="88"/>
      <c r="Q109" s="88"/>
      <c r="R109" s="88"/>
      <c r="S109" s="88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8"/>
      <c r="C110" s="88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8"/>
      <c r="O110" s="88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0" t="s">
        <v>17</v>
      </c>
      <c r="E120" s="120"/>
      <c r="F120" s="90"/>
      <c r="G120" s="27"/>
      <c r="I120" s="118" t="s">
        <v>18</v>
      </c>
      <c r="J120" s="119"/>
      <c r="K120" s="122" t="s">
        <v>19</v>
      </c>
      <c r="N120" s="25"/>
      <c r="O120" s="26"/>
      <c r="P120" s="120" t="s">
        <v>17</v>
      </c>
      <c r="Q120" s="120"/>
      <c r="R120" s="90"/>
      <c r="S120" s="27"/>
      <c r="U120" s="118" t="s">
        <v>18</v>
      </c>
      <c r="V120" s="119"/>
      <c r="W120" s="122" t="s">
        <v>19</v>
      </c>
      <c r="Z120" s="25"/>
      <c r="AA120" s="26"/>
      <c r="AB120" s="120" t="s">
        <v>17</v>
      </c>
      <c r="AC120" s="120"/>
      <c r="AD120" s="90"/>
      <c r="AE120" s="27"/>
      <c r="AG120" s="118" t="s">
        <v>18</v>
      </c>
      <c r="AH120" s="119"/>
      <c r="AI120" s="12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0" t="s">
        <v>17</v>
      </c>
      <c r="E175" s="120"/>
      <c r="F175" s="91"/>
      <c r="G175" s="27"/>
      <c r="I175" s="118" t="s">
        <v>18</v>
      </c>
      <c r="J175" s="119"/>
      <c r="K175" s="122" t="s">
        <v>19</v>
      </c>
      <c r="N175" s="25"/>
      <c r="O175" s="26"/>
      <c r="P175" s="120" t="s">
        <v>17</v>
      </c>
      <c r="Q175" s="120"/>
      <c r="R175" s="91"/>
      <c r="S175" s="27"/>
      <c r="U175" s="118" t="s">
        <v>18</v>
      </c>
      <c r="V175" s="119"/>
      <c r="W175" s="122" t="s">
        <v>19</v>
      </c>
      <c r="Z175" s="25"/>
      <c r="AA175" s="26"/>
      <c r="AB175" s="120" t="s">
        <v>17</v>
      </c>
      <c r="AC175" s="120"/>
      <c r="AD175" s="91"/>
      <c r="AE175" s="27"/>
      <c r="AG175" s="118" t="s">
        <v>18</v>
      </c>
      <c r="AH175" s="119"/>
      <c r="AI175" s="12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21"/>
      <c r="AO181" s="121"/>
      <c r="AP181" s="86"/>
      <c r="AQ181" s="62"/>
      <c r="AR181" s="121"/>
      <c r="AS181" s="121"/>
      <c r="AT181" s="12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0" t="s">
        <v>17</v>
      </c>
      <c r="E230" s="120"/>
      <c r="F230" s="92"/>
      <c r="G230" s="27"/>
      <c r="I230" s="118" t="s">
        <v>18</v>
      </c>
      <c r="J230" s="119"/>
      <c r="K230" s="122" t="s">
        <v>19</v>
      </c>
      <c r="N230" s="25"/>
      <c r="O230" s="26"/>
      <c r="P230" s="120" t="s">
        <v>17</v>
      </c>
      <c r="Q230" s="120"/>
      <c r="R230" s="92"/>
      <c r="S230" s="27"/>
      <c r="U230" s="118" t="s">
        <v>18</v>
      </c>
      <c r="V230" s="119"/>
      <c r="W230" s="122" t="s">
        <v>19</v>
      </c>
      <c r="Z230" s="25"/>
      <c r="AA230" s="26"/>
      <c r="AB230" s="120" t="s">
        <v>17</v>
      </c>
      <c r="AC230" s="120"/>
      <c r="AD230" s="92"/>
      <c r="AE230" s="27"/>
      <c r="AG230" s="118" t="s">
        <v>18</v>
      </c>
      <c r="AH230" s="119"/>
      <c r="AI230" s="12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23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2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0" t="s">
        <v>17</v>
      </c>
      <c r="E285" s="120"/>
      <c r="F285" s="93"/>
      <c r="G285" s="27"/>
      <c r="I285" s="118" t="s">
        <v>18</v>
      </c>
      <c r="J285" s="119"/>
      <c r="K285" s="122" t="s">
        <v>19</v>
      </c>
      <c r="N285" s="25"/>
      <c r="O285" s="26"/>
      <c r="P285" s="120" t="s">
        <v>17</v>
      </c>
      <c r="Q285" s="120"/>
      <c r="R285" s="93"/>
      <c r="S285" s="27"/>
      <c r="U285" s="118" t="s">
        <v>18</v>
      </c>
      <c r="V285" s="119"/>
      <c r="W285" s="122" t="s">
        <v>19</v>
      </c>
      <c r="Z285" s="25"/>
      <c r="AA285" s="26"/>
      <c r="AB285" s="120" t="s">
        <v>17</v>
      </c>
      <c r="AC285" s="120"/>
      <c r="AD285" s="93"/>
      <c r="AE285" s="27"/>
      <c r="AG285" s="118" t="s">
        <v>18</v>
      </c>
      <c r="AH285" s="119"/>
      <c r="AI285" s="12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8"/>
      <c r="C332" s="88"/>
      <c r="D332" s="88"/>
      <c r="E332" s="88"/>
      <c r="F332" s="88"/>
      <c r="G332" s="88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8"/>
      <c r="C333" s="88"/>
      <c r="D333" s="88"/>
      <c r="E333" s="88"/>
      <c r="F333" s="88"/>
      <c r="G333" s="88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8"/>
      <c r="C334" s="88"/>
      <c r="D334" s="88"/>
      <c r="E334" s="88"/>
      <c r="F334" s="88"/>
      <c r="G334" s="88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8"/>
      <c r="C335" s="88"/>
      <c r="D335" s="88"/>
      <c r="E335" s="88"/>
      <c r="F335" s="88"/>
      <c r="G335" s="88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8"/>
      <c r="C336" s="88"/>
      <c r="D336" s="88"/>
      <c r="E336" s="88"/>
      <c r="F336" s="88"/>
      <c r="G336" s="88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8"/>
      <c r="C337" s="88"/>
      <c r="D337" s="88"/>
      <c r="E337" s="88"/>
      <c r="F337" s="88"/>
      <c r="G337" s="88"/>
      <c r="H337" s="62"/>
      <c r="I337" s="88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8"/>
      <c r="C338" s="88"/>
      <c r="D338" s="88"/>
      <c r="E338" s="88"/>
      <c r="F338" s="88"/>
      <c r="G338" s="88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8"/>
      <c r="C339" s="88"/>
      <c r="D339" s="88"/>
      <c r="E339" s="88"/>
      <c r="F339" s="88"/>
      <c r="G339" s="88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8"/>
      <c r="D340" s="121"/>
      <c r="E340" s="121"/>
      <c r="F340" s="88"/>
      <c r="G340" s="88"/>
      <c r="H340" s="62"/>
      <c r="I340" s="121"/>
      <c r="J340" s="121"/>
      <c r="K340" s="124"/>
      <c r="N340" s="25"/>
      <c r="O340" s="26"/>
      <c r="P340" s="120" t="s">
        <v>17</v>
      </c>
      <c r="Q340" s="120"/>
      <c r="R340" s="94"/>
      <c r="S340" s="27"/>
      <c r="U340" s="118" t="s">
        <v>18</v>
      </c>
      <c r="V340" s="119"/>
      <c r="W340" s="122" t="s">
        <v>19</v>
      </c>
      <c r="Z340" s="25"/>
      <c r="AA340" s="26"/>
      <c r="AB340" s="120" t="s">
        <v>17</v>
      </c>
      <c r="AC340" s="120"/>
      <c r="AD340" s="94"/>
      <c r="AE340" s="27"/>
      <c r="AG340" s="118" t="s">
        <v>18</v>
      </c>
      <c r="AH340" s="119"/>
      <c r="AI340" s="12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8"/>
      <c r="C341" s="88"/>
      <c r="D341" s="79"/>
      <c r="E341" s="80"/>
      <c r="F341" s="81"/>
      <c r="G341" s="81"/>
      <c r="H341" s="62"/>
      <c r="I341" s="87"/>
      <c r="J341" s="87"/>
      <c r="K341" s="124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3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8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8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8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8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8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8"/>
      <c r="C384" s="88"/>
      <c r="D384" s="88"/>
      <c r="E384" s="88"/>
      <c r="F384" s="88"/>
      <c r="G384" s="88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8"/>
      <c r="C385" s="88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0" t="s">
        <v>17</v>
      </c>
      <c r="E395" s="120"/>
      <c r="F395" s="95"/>
      <c r="G395" s="27"/>
      <c r="I395" s="118" t="s">
        <v>18</v>
      </c>
      <c r="J395" s="119"/>
      <c r="K395" s="122" t="s">
        <v>19</v>
      </c>
      <c r="N395" s="25"/>
      <c r="O395" s="26"/>
      <c r="P395" s="120" t="s">
        <v>17</v>
      </c>
      <c r="Q395" s="120"/>
      <c r="R395" s="95"/>
      <c r="S395" s="27"/>
      <c r="U395" s="118" t="s">
        <v>18</v>
      </c>
      <c r="V395" s="119"/>
      <c r="W395" s="122" t="s">
        <v>19</v>
      </c>
      <c r="Z395" s="25"/>
      <c r="AA395" s="26"/>
      <c r="AB395" s="120" t="s">
        <v>17</v>
      </c>
      <c r="AC395" s="120"/>
      <c r="AD395" s="95"/>
      <c r="AE395" s="27"/>
      <c r="AG395" s="118" t="s">
        <v>18</v>
      </c>
      <c r="AH395" s="119"/>
      <c r="AI395" s="12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3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0" t="s">
        <v>17</v>
      </c>
      <c r="E450" s="120"/>
      <c r="F450" s="96"/>
      <c r="G450" s="27"/>
      <c r="I450" s="118" t="s">
        <v>18</v>
      </c>
      <c r="J450" s="119"/>
      <c r="K450" s="122" t="s">
        <v>19</v>
      </c>
      <c r="N450" s="25"/>
      <c r="O450" s="26"/>
      <c r="P450" s="120" t="s">
        <v>17</v>
      </c>
      <c r="Q450" s="120"/>
      <c r="R450" s="96"/>
      <c r="S450" s="27"/>
      <c r="U450" s="118" t="s">
        <v>18</v>
      </c>
      <c r="V450" s="119"/>
      <c r="W450" s="122" t="s">
        <v>19</v>
      </c>
      <c r="Z450" s="25"/>
      <c r="AA450" s="26"/>
      <c r="AB450" s="120" t="s">
        <v>17</v>
      </c>
      <c r="AC450" s="120"/>
      <c r="AD450" s="96"/>
      <c r="AE450" s="27"/>
      <c r="AG450" s="118" t="s">
        <v>18</v>
      </c>
      <c r="AH450" s="119"/>
      <c r="AI450" s="12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3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0" t="s">
        <v>17</v>
      </c>
      <c r="E505" s="120"/>
      <c r="F505" s="97"/>
      <c r="G505" s="27"/>
      <c r="I505" s="118" t="s">
        <v>18</v>
      </c>
      <c r="J505" s="119"/>
      <c r="K505" s="122" t="s">
        <v>19</v>
      </c>
      <c r="N505" s="25"/>
      <c r="O505" s="26"/>
      <c r="P505" s="120" t="s">
        <v>17</v>
      </c>
      <c r="Q505" s="120"/>
      <c r="R505" s="97"/>
      <c r="S505" s="27"/>
      <c r="U505" s="118" t="s">
        <v>18</v>
      </c>
      <c r="V505" s="119"/>
      <c r="W505" s="122" t="s">
        <v>19</v>
      </c>
      <c r="Y505" s="62"/>
      <c r="Z505" s="65"/>
      <c r="AA505" s="88"/>
      <c r="AB505" s="121"/>
      <c r="AC505" s="121"/>
      <c r="AD505" s="88"/>
      <c r="AE505" s="88"/>
      <c r="AF505" s="62"/>
      <c r="AG505" s="121"/>
      <c r="AH505" s="121"/>
      <c r="AI505" s="12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23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3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124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8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8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8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8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0" t="s">
        <v>17</v>
      </c>
      <c r="E560" s="120"/>
      <c r="F560" s="98"/>
      <c r="G560" s="27"/>
      <c r="I560" s="118" t="s">
        <v>18</v>
      </c>
      <c r="J560" s="119"/>
      <c r="K560" s="122" t="s">
        <v>19</v>
      </c>
      <c r="M560" s="62"/>
      <c r="N560" s="65"/>
      <c r="O560" s="88"/>
      <c r="P560" s="121"/>
      <c r="Q560" s="121"/>
      <c r="R560" s="88"/>
      <c r="S560" s="88"/>
      <c r="T560" s="62"/>
      <c r="U560" s="121"/>
      <c r="V560" s="121"/>
      <c r="W560" s="124"/>
      <c r="Z560" s="25"/>
      <c r="AA560" s="26"/>
      <c r="AB560" s="120" t="s">
        <v>17</v>
      </c>
      <c r="AC560" s="120"/>
      <c r="AD560" s="98"/>
      <c r="AE560" s="27"/>
      <c r="AG560" s="118" t="s">
        <v>18</v>
      </c>
      <c r="AH560" s="119"/>
      <c r="AI560" s="12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23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124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8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3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3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3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8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8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8"/>
      <c r="R582" s="88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8"/>
      <c r="P583" s="68"/>
      <c r="Q583" s="88"/>
      <c r="R583" s="88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8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8"/>
      <c r="P585" s="69"/>
      <c r="Q585" s="88"/>
      <c r="R585" s="88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8"/>
      <c r="P587" s="69"/>
      <c r="Q587" s="88"/>
      <c r="R587" s="88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8"/>
      <c r="P591" s="69"/>
      <c r="Q591" s="88"/>
      <c r="R591" s="88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0" t="s">
        <v>17</v>
      </c>
      <c r="E615" s="120"/>
      <c r="F615" s="99"/>
      <c r="G615" s="27"/>
      <c r="I615" s="118" t="s">
        <v>18</v>
      </c>
      <c r="J615" s="119"/>
      <c r="K615" s="122" t="s">
        <v>19</v>
      </c>
      <c r="N615" s="25"/>
      <c r="O615" s="26"/>
      <c r="P615" s="120" t="s">
        <v>17</v>
      </c>
      <c r="Q615" s="120"/>
      <c r="R615" s="99"/>
      <c r="S615" s="27"/>
      <c r="U615" s="118" t="s">
        <v>18</v>
      </c>
      <c r="V615" s="119"/>
      <c r="W615" s="122" t="s">
        <v>19</v>
      </c>
      <c r="Z615" s="25"/>
      <c r="AA615" s="26"/>
      <c r="AB615" s="120" t="s">
        <v>17</v>
      </c>
      <c r="AC615" s="120"/>
      <c r="AD615" s="99"/>
      <c r="AE615" s="27"/>
      <c r="AG615" s="118" t="s">
        <v>18</v>
      </c>
      <c r="AH615" s="119"/>
      <c r="AI615" s="12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3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23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3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3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3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3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3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3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21"/>
      <c r="E670" s="121"/>
      <c r="F670" s="88"/>
      <c r="G670" s="88"/>
      <c r="H670" s="62"/>
      <c r="I670" s="121"/>
      <c r="J670" s="121"/>
      <c r="K670" s="124"/>
      <c r="N670" s="25"/>
      <c r="O670" s="26"/>
      <c r="P670" s="120" t="s">
        <v>17</v>
      </c>
      <c r="Q670" s="120"/>
      <c r="R670" s="100"/>
      <c r="S670" s="27"/>
      <c r="U670" s="118" t="s">
        <v>18</v>
      </c>
      <c r="V670" s="119"/>
      <c r="W670" s="122" t="s">
        <v>19</v>
      </c>
      <c r="Y670" s="62"/>
      <c r="Z670" s="65"/>
      <c r="AA670" s="88"/>
      <c r="AB670" s="121"/>
      <c r="AC670" s="121"/>
      <c r="AD670" s="88"/>
      <c r="AE670" s="88"/>
      <c r="AF670" s="62"/>
      <c r="AG670" s="121"/>
      <c r="AH670" s="121"/>
      <c r="AI670" s="124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24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3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24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8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8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8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8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8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8"/>
      <c r="D725" s="121"/>
      <c r="E725" s="121"/>
      <c r="F725" s="88"/>
      <c r="G725" s="88"/>
      <c r="H725" s="62"/>
      <c r="I725" s="121"/>
      <c r="J725" s="121"/>
      <c r="K725" s="124"/>
      <c r="N725" s="25"/>
      <c r="O725" s="26"/>
      <c r="P725" s="120" t="s">
        <v>17</v>
      </c>
      <c r="Q725" s="120"/>
      <c r="R725" s="101"/>
      <c r="S725" s="27"/>
      <c r="U725" s="118" t="s">
        <v>18</v>
      </c>
      <c r="V725" s="119"/>
      <c r="W725" s="122" t="s">
        <v>19</v>
      </c>
      <c r="Z725" s="25"/>
      <c r="AA725" s="26"/>
      <c r="AB725" s="120" t="s">
        <v>17</v>
      </c>
      <c r="AC725" s="120"/>
      <c r="AD725" s="101"/>
      <c r="AE725" s="27"/>
      <c r="AG725" s="118" t="s">
        <v>18</v>
      </c>
      <c r="AH725" s="119"/>
      <c r="AI725" s="12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24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3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3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8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20" t="s">
        <v>17</v>
      </c>
      <c r="E781" s="120"/>
      <c r="F781" s="102"/>
      <c r="G781" s="27"/>
      <c r="I781" s="118" t="s">
        <v>18</v>
      </c>
      <c r="J781" s="119"/>
      <c r="K781" s="122" t="s">
        <v>19</v>
      </c>
      <c r="N781" s="25"/>
      <c r="O781" s="26"/>
      <c r="P781" s="120" t="s">
        <v>17</v>
      </c>
      <c r="Q781" s="120"/>
      <c r="R781" s="102"/>
      <c r="S781" s="27"/>
      <c r="U781" s="118" t="s">
        <v>18</v>
      </c>
      <c r="V781" s="119"/>
      <c r="W781" s="122" t="s">
        <v>19</v>
      </c>
      <c r="Z781" s="25"/>
      <c r="AA781" s="26"/>
      <c r="AB781" s="120" t="s">
        <v>17</v>
      </c>
      <c r="AC781" s="120"/>
      <c r="AD781" s="102"/>
      <c r="AE781" s="27"/>
      <c r="AG781" s="118" t="s">
        <v>18</v>
      </c>
      <c r="AH781" s="119"/>
      <c r="AI781" s="122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23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23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23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3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3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3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6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3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3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3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3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3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3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3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3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3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3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3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3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3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3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3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3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3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3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3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3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3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3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3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3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0</v>
      </c>
      <c r="B828" s="57"/>
      <c r="C828" s="57"/>
      <c r="D828" s="57"/>
      <c r="E828" s="57"/>
      <c r="G828" s="57"/>
      <c r="M828" t="s">
        <v>0</v>
      </c>
      <c r="N828" s="57"/>
      <c r="O828" s="57"/>
      <c r="P828" s="57"/>
      <c r="Q828" s="57"/>
      <c r="R828" s="57"/>
      <c r="S828" s="57"/>
      <c r="Y828" t="s">
        <v>0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t="s">
        <v>28</v>
      </c>
      <c r="B829" s="57"/>
      <c r="C829" s="57"/>
      <c r="D829" s="57"/>
      <c r="E829" s="57"/>
      <c r="G829" s="57"/>
      <c r="M829" t="s">
        <v>28</v>
      </c>
      <c r="N829" s="57"/>
      <c r="O829" s="57"/>
      <c r="P829" s="57"/>
      <c r="Q829" s="57"/>
      <c r="R829" s="57"/>
      <c r="S829" s="57"/>
      <c r="Y829" t="s">
        <v>28</v>
      </c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B830" s="57"/>
      <c r="C830" s="57"/>
      <c r="D830" s="57"/>
      <c r="E830" s="57"/>
      <c r="G830" s="57"/>
      <c r="N830" s="57"/>
      <c r="O830" s="57"/>
      <c r="P830" s="57"/>
      <c r="Q830" s="57"/>
      <c r="R830" s="57"/>
      <c r="S830" s="57"/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4" t="s">
        <v>14</v>
      </c>
      <c r="B831" s="57"/>
      <c r="C831" s="57"/>
      <c r="D831" s="57"/>
      <c r="E831" s="57"/>
      <c r="G831" s="57"/>
      <c r="M831" s="4" t="s">
        <v>14</v>
      </c>
      <c r="N831" s="57"/>
      <c r="O831" s="57"/>
      <c r="P831" s="57"/>
      <c r="Q831" s="57"/>
      <c r="R831" s="57"/>
      <c r="S831" s="57"/>
      <c r="Y831" s="4" t="s">
        <v>14</v>
      </c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B832" s="57"/>
      <c r="C832" s="57"/>
      <c r="D832" s="57"/>
      <c r="E832" s="57"/>
      <c r="G832" s="57"/>
      <c r="N832" s="57"/>
      <c r="O832" s="57"/>
      <c r="P832" s="57"/>
      <c r="Q832" s="57"/>
      <c r="R832" s="57"/>
      <c r="S832" s="57"/>
      <c r="Z832" s="57"/>
      <c r="AA832" s="57"/>
      <c r="AB832" s="57"/>
      <c r="AC832" s="57"/>
      <c r="AD832" s="57"/>
      <c r="AE832" s="57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ht="15.75" x14ac:dyDescent="0.25">
      <c r="A833" t="s">
        <v>51</v>
      </c>
      <c r="B833" s="57"/>
      <c r="C833" s="57"/>
      <c r="D833" s="57"/>
      <c r="E833" s="57"/>
      <c r="G833" s="57"/>
      <c r="I833" s="57" t="s">
        <v>15</v>
      </c>
      <c r="J833" s="19">
        <v>1</v>
      </c>
      <c r="M833" t="s">
        <v>51</v>
      </c>
      <c r="N833" s="57"/>
      <c r="O833" s="57"/>
      <c r="P833" s="57"/>
      <c r="Q833" s="57"/>
      <c r="R833" s="57"/>
      <c r="S833" s="57"/>
      <c r="U833" s="57" t="s">
        <v>15</v>
      </c>
      <c r="V833" s="19">
        <v>2</v>
      </c>
      <c r="Y833" t="s">
        <v>48</v>
      </c>
      <c r="Z833" s="57"/>
      <c r="AA833" s="57"/>
      <c r="AB833" s="57"/>
      <c r="AC833" s="57"/>
      <c r="AD833" s="57"/>
      <c r="AE833" s="57"/>
      <c r="AG833" s="57" t="s">
        <v>15</v>
      </c>
      <c r="AH833" s="20">
        <v>3</v>
      </c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21" t="s">
        <v>83</v>
      </c>
      <c r="B834" s="20"/>
      <c r="C834" s="57"/>
      <c r="D834" s="57"/>
      <c r="E834" s="57"/>
      <c r="G834" s="57"/>
      <c r="I834" s="22" t="s">
        <v>16</v>
      </c>
      <c r="J834" s="23" t="s">
        <v>31</v>
      </c>
      <c r="K834" s="24"/>
      <c r="M834" s="21" t="s">
        <v>83</v>
      </c>
      <c r="N834" s="20"/>
      <c r="O834" s="57"/>
      <c r="P834" s="57"/>
      <c r="Q834" s="57"/>
      <c r="R834" s="57"/>
      <c r="S834" s="57"/>
      <c r="U834" s="22" t="s">
        <v>16</v>
      </c>
      <c r="V834" s="23" t="s">
        <v>33</v>
      </c>
      <c r="W834" s="24"/>
      <c r="Y834" s="21" t="s">
        <v>78</v>
      </c>
      <c r="Z834" s="20"/>
      <c r="AA834" s="57"/>
      <c r="AB834" s="57"/>
      <c r="AC834" s="57"/>
      <c r="AD834" s="57"/>
      <c r="AE834" s="57"/>
      <c r="AG834" s="22" t="s">
        <v>16</v>
      </c>
      <c r="AH834" s="23" t="s">
        <v>34</v>
      </c>
      <c r="AI834" s="24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57"/>
      <c r="C835" s="57"/>
      <c r="D835" s="57"/>
      <c r="E835" s="57"/>
      <c r="G835" s="57"/>
      <c r="N835" s="57"/>
      <c r="O835" s="57"/>
      <c r="P835" s="57"/>
      <c r="Q835" s="57"/>
      <c r="R835" s="57"/>
      <c r="S835" s="57"/>
      <c r="AA835" s="57"/>
      <c r="AB835" s="57"/>
      <c r="AC835" s="57"/>
      <c r="AD835" s="57"/>
      <c r="AE835" s="57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15" customHeight="1" x14ac:dyDescent="0.25">
      <c r="B836" s="25"/>
      <c r="C836" s="26"/>
      <c r="D836" s="125" t="s">
        <v>17</v>
      </c>
      <c r="E836" s="125"/>
      <c r="F836" s="105"/>
      <c r="G836" s="27"/>
      <c r="I836" s="116" t="s">
        <v>18</v>
      </c>
      <c r="J836" s="117"/>
      <c r="K836" s="122" t="s">
        <v>19</v>
      </c>
      <c r="N836" s="25"/>
      <c r="O836" s="26"/>
      <c r="P836" s="125" t="s">
        <v>17</v>
      </c>
      <c r="Q836" s="125"/>
      <c r="R836" s="105"/>
      <c r="S836" s="27"/>
      <c r="U836" s="116" t="s">
        <v>18</v>
      </c>
      <c r="V836" s="117"/>
      <c r="W836" s="122" t="s">
        <v>19</v>
      </c>
      <c r="Z836" s="25"/>
      <c r="AA836" s="26"/>
      <c r="AB836" s="105" t="s">
        <v>96</v>
      </c>
      <c r="AC836" s="105"/>
      <c r="AD836" s="105"/>
      <c r="AE836" s="27"/>
      <c r="AG836" s="106" t="s">
        <v>97</v>
      </c>
      <c r="AH836" s="107"/>
      <c r="AI836" s="103" t="s">
        <v>19</v>
      </c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ht="30" x14ac:dyDescent="0.25">
      <c r="B837" s="28" t="s">
        <v>20</v>
      </c>
      <c r="C837" s="28" t="s">
        <v>21</v>
      </c>
      <c r="D837" s="77" t="s">
        <v>22</v>
      </c>
      <c r="E837" s="76" t="s">
        <v>23</v>
      </c>
      <c r="F837" s="78" t="s">
        <v>32</v>
      </c>
      <c r="G837" s="78" t="s">
        <v>24</v>
      </c>
      <c r="I837" s="29" t="s">
        <v>25</v>
      </c>
      <c r="J837" s="29" t="s">
        <v>26</v>
      </c>
      <c r="K837" s="126"/>
      <c r="N837" s="28" t="s">
        <v>20</v>
      </c>
      <c r="O837" s="28" t="s">
        <v>21</v>
      </c>
      <c r="P837" s="77" t="s">
        <v>22</v>
      </c>
      <c r="Q837" s="78" t="s">
        <v>23</v>
      </c>
      <c r="R837" s="78" t="s">
        <v>32</v>
      </c>
      <c r="S837" s="78" t="s">
        <v>24</v>
      </c>
      <c r="U837" s="29" t="s">
        <v>25</v>
      </c>
      <c r="V837" s="29" t="s">
        <v>26</v>
      </c>
      <c r="W837" s="126"/>
      <c r="Z837" s="28" t="s">
        <v>20</v>
      </c>
      <c r="AA837" s="28" t="s">
        <v>21</v>
      </c>
      <c r="AB837" s="77" t="s">
        <v>22</v>
      </c>
      <c r="AC837" s="78" t="s">
        <v>23</v>
      </c>
      <c r="AD837" s="78" t="s">
        <v>32</v>
      </c>
      <c r="AE837" s="78" t="s">
        <v>24</v>
      </c>
      <c r="AG837" s="29" t="s">
        <v>25</v>
      </c>
      <c r="AH837" s="29" t="s">
        <v>26</v>
      </c>
      <c r="AI837" s="104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ht="15" customHeight="1" x14ac:dyDescent="0.25">
      <c r="A838" s="10">
        <v>1</v>
      </c>
      <c r="B838" s="30" t="s">
        <v>84</v>
      </c>
      <c r="C838" s="83">
        <v>10659</v>
      </c>
      <c r="D838" s="32">
        <f>650*130+670*5+622*15+650*2+872*3+229+500*2</f>
        <v>102325</v>
      </c>
      <c r="E838" s="32"/>
      <c r="F838" s="32"/>
      <c r="G838" s="32">
        <f t="shared" ref="G838:G871" si="190">SUM(D838:E838)</f>
        <v>102325</v>
      </c>
      <c r="H838" s="12"/>
      <c r="I838" s="12"/>
      <c r="J838" s="12">
        <f>-120*2+-111*41+-78+-42</f>
        <v>-4911</v>
      </c>
      <c r="K838" s="12">
        <f t="shared" ref="K838:K871" si="191">SUM(G838:J838)</f>
        <v>97414</v>
      </c>
      <c r="M838" s="10">
        <v>1</v>
      </c>
      <c r="N838" s="30" t="s">
        <v>84</v>
      </c>
      <c r="O838" s="31">
        <v>10569</v>
      </c>
      <c r="P838" s="32">
        <f>650*3+9.5*3</f>
        <v>1978.5</v>
      </c>
      <c r="Q838" s="32"/>
      <c r="R838" s="32"/>
      <c r="S838" s="32">
        <f>SUM(P838:Q838)</f>
        <v>1978.5</v>
      </c>
      <c r="T838" s="12"/>
      <c r="U838" s="12"/>
      <c r="V838" s="12"/>
      <c r="W838" s="12">
        <f>SUM(S838:V838)</f>
        <v>1978.5</v>
      </c>
      <c r="Y838" s="10">
        <v>1</v>
      </c>
      <c r="Z838" s="30" t="s">
        <v>84</v>
      </c>
      <c r="AA838" s="31">
        <v>10622</v>
      </c>
      <c r="AB838" s="32">
        <f>650*50+670*5+622*50+1050+872*2+229*4+650</f>
        <v>71310</v>
      </c>
      <c r="AC838" s="32">
        <f>-109*6</f>
        <v>-654</v>
      </c>
      <c r="AD838" s="32"/>
      <c r="AE838" s="32">
        <f>SUM(AB838:AC838)</f>
        <v>70656</v>
      </c>
      <c r="AF838" s="12"/>
      <c r="AG838" s="12">
        <f>78*2+120*3</f>
        <v>516</v>
      </c>
      <c r="AH838" s="12">
        <f>-111*2+-84*4</f>
        <v>-558</v>
      </c>
      <c r="AI838" s="12">
        <f>SUM(AE838:AH838)</f>
        <v>70614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2</v>
      </c>
      <c r="B839" s="30" t="s">
        <v>84</v>
      </c>
      <c r="C839" s="83">
        <f>C838+1</f>
        <v>10660</v>
      </c>
      <c r="D839" s="32">
        <f>650*180+622*20+229*4</f>
        <v>130356</v>
      </c>
      <c r="E839" s="32"/>
      <c r="F839" s="32"/>
      <c r="G839" s="32">
        <f t="shared" si="190"/>
        <v>130356</v>
      </c>
      <c r="H839" s="12"/>
      <c r="I839" s="12">
        <f>111*80</f>
        <v>8880</v>
      </c>
      <c r="J839" s="12"/>
      <c r="K839" s="12">
        <f t="shared" si="191"/>
        <v>139236</v>
      </c>
      <c r="M839" s="10">
        <v>2</v>
      </c>
      <c r="N839" s="30" t="s">
        <v>85</v>
      </c>
      <c r="O839" s="31">
        <f>O838+1</f>
        <v>10570</v>
      </c>
      <c r="P839" s="32">
        <f>650*3+622*2</f>
        <v>3194</v>
      </c>
      <c r="Q839" s="32"/>
      <c r="R839" s="32"/>
      <c r="S839" s="32">
        <f t="shared" ref="S839:S876" si="192">SUM(P839:Q839)</f>
        <v>3194</v>
      </c>
      <c r="T839" s="12"/>
      <c r="U839" s="12"/>
      <c r="V839" s="12"/>
      <c r="W839" s="12">
        <f t="shared" ref="W839:W879" si="193">SUM(S839:V839)</f>
        <v>3194</v>
      </c>
      <c r="Y839" s="10">
        <v>2</v>
      </c>
      <c r="Z839" s="30" t="s">
        <v>85</v>
      </c>
      <c r="AA839" s="31">
        <f>AA838+1</f>
        <v>10623</v>
      </c>
      <c r="AB839" s="32">
        <f>650*30+622*6+229</f>
        <v>23461</v>
      </c>
      <c r="AC839" s="32"/>
      <c r="AD839" s="32"/>
      <c r="AE839" s="32">
        <f t="shared" ref="AE839:AE876" si="194">SUM(AB839:AC839)</f>
        <v>23461</v>
      </c>
      <c r="AF839" s="12"/>
      <c r="AG839" s="12"/>
      <c r="AH839" s="12"/>
      <c r="AI839" s="12">
        <f t="shared" ref="AI839:AI879" si="195">SUM(AE839:AH839)</f>
        <v>23461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3</v>
      </c>
      <c r="B840" s="30" t="s">
        <v>84</v>
      </c>
      <c r="C840" s="83">
        <f>10661</f>
        <v>10661</v>
      </c>
      <c r="D840" s="33">
        <f>650*14</f>
        <v>9100</v>
      </c>
      <c r="E840" s="33"/>
      <c r="F840" s="33"/>
      <c r="G840" s="33">
        <f t="shared" si="190"/>
        <v>9100</v>
      </c>
      <c r="H840" s="34"/>
      <c r="I840" s="34"/>
      <c r="J840" s="34"/>
      <c r="K840" s="34">
        <f t="shared" si="191"/>
        <v>9100</v>
      </c>
      <c r="M840" s="10">
        <v>3</v>
      </c>
      <c r="N840" s="30" t="s">
        <v>86</v>
      </c>
      <c r="O840" s="31">
        <f t="shared" ref="O840:O849" si="196">O839+1</f>
        <v>10571</v>
      </c>
      <c r="P840" s="32">
        <f>650+622+9.5*2</f>
        <v>1291</v>
      </c>
      <c r="Q840" s="32"/>
      <c r="R840" s="32"/>
      <c r="S840" s="32">
        <f t="shared" si="192"/>
        <v>1291</v>
      </c>
      <c r="T840" s="12"/>
      <c r="U840" s="12">
        <f>1.5*2</f>
        <v>3</v>
      </c>
      <c r="V840" s="12"/>
      <c r="W840" s="12">
        <f t="shared" si="193"/>
        <v>1294</v>
      </c>
      <c r="Y840" s="10">
        <v>3</v>
      </c>
      <c r="Z840" s="30" t="s">
        <v>86</v>
      </c>
      <c r="AA840" s="31">
        <f t="shared" ref="AA840:AA845" si="197">AA839+1</f>
        <v>10624</v>
      </c>
      <c r="AB840" s="33">
        <f>650*60+670*20+622*30+229*4</f>
        <v>71976</v>
      </c>
      <c r="AC840" s="33">
        <f>-110*6</f>
        <v>-660</v>
      </c>
      <c r="AD840" s="32"/>
      <c r="AE840" s="32">
        <f t="shared" si="194"/>
        <v>71316</v>
      </c>
      <c r="AF840" s="12"/>
      <c r="AG840" s="12"/>
      <c r="AH840" s="12"/>
      <c r="AI840" s="12">
        <f t="shared" si="195"/>
        <v>71316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4</v>
      </c>
      <c r="B841" s="30" t="s">
        <v>84</v>
      </c>
      <c r="C841" s="57">
        <v>10662</v>
      </c>
      <c r="D841" s="32">
        <f>650*108+670*10+622*10</f>
        <v>83120</v>
      </c>
      <c r="E841" s="32"/>
      <c r="F841" s="32"/>
      <c r="G841" s="32">
        <f t="shared" si="190"/>
        <v>83120</v>
      </c>
      <c r="H841" s="12"/>
      <c r="I841" s="12"/>
      <c r="J841" s="12"/>
      <c r="K841" s="12">
        <f t="shared" si="191"/>
        <v>83120</v>
      </c>
      <c r="M841" s="10">
        <v>4</v>
      </c>
      <c r="N841" s="30" t="s">
        <v>87</v>
      </c>
      <c r="O841" s="31">
        <f t="shared" si="196"/>
        <v>10572</v>
      </c>
      <c r="P841" s="32">
        <f>650*38+622*5+9.5*5</f>
        <v>27857.5</v>
      </c>
      <c r="Q841" s="32"/>
      <c r="R841" s="32"/>
      <c r="S841" s="32">
        <f t="shared" si="192"/>
        <v>27857.5</v>
      </c>
      <c r="T841" s="12"/>
      <c r="U841" s="12"/>
      <c r="V841" s="12"/>
      <c r="W841" s="12">
        <f t="shared" si="193"/>
        <v>27857.5</v>
      </c>
      <c r="Y841" s="10">
        <v>4</v>
      </c>
      <c r="Z841" s="30" t="s">
        <v>87</v>
      </c>
      <c r="AA841" s="31">
        <f t="shared" si="197"/>
        <v>10625</v>
      </c>
      <c r="AB841" s="32">
        <f>650*21+872*2+229</f>
        <v>15623</v>
      </c>
      <c r="AC841" s="32"/>
      <c r="AD841" s="32"/>
      <c r="AE841" s="32">
        <f t="shared" si="194"/>
        <v>15623</v>
      </c>
      <c r="AF841" s="12"/>
      <c r="AG841">
        <f>120*2+1.5*10+4.5*10</f>
        <v>300</v>
      </c>
      <c r="AH841" s="12"/>
      <c r="AI841" s="12">
        <f t="shared" si="195"/>
        <v>15923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5</v>
      </c>
      <c r="B842" s="30" t="s">
        <v>84</v>
      </c>
      <c r="C842" s="83">
        <v>10663</v>
      </c>
      <c r="D842" s="32">
        <f>650*16</f>
        <v>10400</v>
      </c>
      <c r="E842" s="32"/>
      <c r="F842" s="32"/>
      <c r="G842" s="32">
        <f t="shared" si="190"/>
        <v>10400</v>
      </c>
      <c r="H842" s="12"/>
      <c r="I842" s="12"/>
      <c r="J842" s="12">
        <f>-120+-111*10</f>
        <v>-1230</v>
      </c>
      <c r="K842" s="12">
        <f t="shared" si="191"/>
        <v>9170</v>
      </c>
      <c r="M842" s="10">
        <v>5</v>
      </c>
      <c r="N842" s="30" t="s">
        <v>88</v>
      </c>
      <c r="O842" s="31">
        <f t="shared" si="196"/>
        <v>10573</v>
      </c>
      <c r="P842" s="32">
        <f>650*19+9.5*5</f>
        <v>12397.5</v>
      </c>
      <c r="Q842" s="32"/>
      <c r="R842" s="32"/>
      <c r="S842" s="32">
        <f t="shared" si="192"/>
        <v>12397.5</v>
      </c>
      <c r="T842" s="12"/>
      <c r="U842" s="12"/>
      <c r="V842" s="12"/>
      <c r="W842" s="12">
        <f t="shared" si="193"/>
        <v>12397.5</v>
      </c>
      <c r="Y842" s="10">
        <v>5</v>
      </c>
      <c r="Z842" s="30" t="s">
        <v>88</v>
      </c>
      <c r="AA842" s="31">
        <f t="shared" si="197"/>
        <v>10626</v>
      </c>
      <c r="AB842" s="32">
        <f>650*30+622*7+229</f>
        <v>24083</v>
      </c>
      <c r="AC842" s="32"/>
      <c r="AD842" s="32"/>
      <c r="AE842" s="32">
        <f t="shared" si="194"/>
        <v>24083</v>
      </c>
      <c r="AF842" s="12"/>
      <c r="AG842" s="12">
        <v>78</v>
      </c>
      <c r="AH842" s="12"/>
      <c r="AI842" s="12">
        <f t="shared" si="195"/>
        <v>24161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6</v>
      </c>
      <c r="B843" s="30"/>
      <c r="C843" s="11" t="s">
        <v>27</v>
      </c>
      <c r="D843" s="32"/>
      <c r="E843" s="32"/>
      <c r="F843" s="32"/>
      <c r="G843" s="32">
        <f t="shared" si="190"/>
        <v>0</v>
      </c>
      <c r="H843" s="12"/>
      <c r="I843" s="12"/>
      <c r="J843" s="12"/>
      <c r="K843" s="12">
        <f t="shared" si="191"/>
        <v>0</v>
      </c>
      <c r="M843" s="10">
        <v>6</v>
      </c>
      <c r="N843" s="30" t="s">
        <v>89</v>
      </c>
      <c r="O843" s="31">
        <f t="shared" si="196"/>
        <v>10574</v>
      </c>
      <c r="P843" s="32">
        <f>650*18+9.5*18</f>
        <v>11871</v>
      </c>
      <c r="Q843" s="32"/>
      <c r="R843" s="32"/>
      <c r="S843" s="32">
        <f t="shared" si="192"/>
        <v>11871</v>
      </c>
      <c r="T843" s="12"/>
      <c r="U843" s="12"/>
      <c r="V843" s="10">
        <f>-111*6</f>
        <v>-666</v>
      </c>
      <c r="W843" s="12">
        <f t="shared" si="193"/>
        <v>11205</v>
      </c>
      <c r="Y843" s="10">
        <v>6</v>
      </c>
      <c r="Z843" s="30" t="s">
        <v>89</v>
      </c>
      <c r="AA843" s="31">
        <f t="shared" si="197"/>
        <v>10627</v>
      </c>
      <c r="AB843" s="32">
        <f>650*9</f>
        <v>5850</v>
      </c>
      <c r="AC843" s="32"/>
      <c r="AD843" s="32"/>
      <c r="AE843" s="32">
        <f t="shared" si="194"/>
        <v>5850</v>
      </c>
      <c r="AF843" s="12"/>
      <c r="AG843" s="12"/>
      <c r="AH843" s="10">
        <f>-111*2</f>
        <v>-222</v>
      </c>
      <c r="AI843" s="12">
        <f t="shared" si="195"/>
        <v>5628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7</v>
      </c>
      <c r="B844" s="30"/>
      <c r="C844" s="57"/>
      <c r="D844" s="32"/>
      <c r="E844" s="32"/>
      <c r="F844" s="32"/>
      <c r="G844" s="32">
        <f t="shared" si="190"/>
        <v>0</v>
      </c>
      <c r="H844" s="12"/>
      <c r="I844" s="12"/>
      <c r="J844" s="12"/>
      <c r="K844" s="12">
        <f t="shared" si="191"/>
        <v>0</v>
      </c>
      <c r="M844" s="10">
        <v>7</v>
      </c>
      <c r="N844" s="30" t="s">
        <v>90</v>
      </c>
      <c r="O844" s="31">
        <f t="shared" si="196"/>
        <v>10575</v>
      </c>
      <c r="P844" s="32">
        <f>650*4</f>
        <v>2600</v>
      </c>
      <c r="Q844" s="32"/>
      <c r="R844" s="32"/>
      <c r="S844" s="32">
        <f t="shared" si="192"/>
        <v>2600</v>
      </c>
      <c r="T844" s="12"/>
      <c r="U844" s="12"/>
      <c r="V844" s="12"/>
      <c r="W844" s="12">
        <f t="shared" si="193"/>
        <v>2600</v>
      </c>
      <c r="Y844" s="10">
        <v>7</v>
      </c>
      <c r="Z844" s="30" t="s">
        <v>90</v>
      </c>
      <c r="AA844" s="31">
        <f t="shared" si="197"/>
        <v>10628</v>
      </c>
      <c r="AB844" s="32">
        <f>650*10</f>
        <v>6500</v>
      </c>
      <c r="AC844" s="32"/>
      <c r="AD844" s="32"/>
      <c r="AE844" s="32">
        <f t="shared" si="194"/>
        <v>6500</v>
      </c>
      <c r="AF844" s="12"/>
      <c r="AG844" s="58"/>
      <c r="AH844" s="12"/>
      <c r="AI844" s="12">
        <f t="shared" si="195"/>
        <v>6500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8</v>
      </c>
      <c r="B845" s="30"/>
      <c r="C845" s="83"/>
      <c r="D845" s="32"/>
      <c r="E845" s="32"/>
      <c r="F845" s="32"/>
      <c r="G845" s="32">
        <f t="shared" si="190"/>
        <v>0</v>
      </c>
      <c r="H845" s="12"/>
      <c r="I845" s="12"/>
      <c r="J845" s="12"/>
      <c r="K845" s="12">
        <f t="shared" si="191"/>
        <v>0</v>
      </c>
      <c r="M845" s="10">
        <v>8</v>
      </c>
      <c r="N845" s="30" t="s">
        <v>91</v>
      </c>
      <c r="O845" s="31">
        <f t="shared" si="196"/>
        <v>10576</v>
      </c>
      <c r="P845" s="32">
        <f>650*216+229*10</f>
        <v>142690</v>
      </c>
      <c r="Q845" s="32">
        <f>-216*6</f>
        <v>-1296</v>
      </c>
      <c r="R845" s="32"/>
      <c r="S845" s="32">
        <f t="shared" si="192"/>
        <v>141394</v>
      </c>
      <c r="T845" s="12"/>
      <c r="U845" s="12">
        <f>78*10</f>
        <v>780</v>
      </c>
      <c r="V845" s="12">
        <f>-111*3+-42*7</f>
        <v>-627</v>
      </c>
      <c r="W845" s="12">
        <f t="shared" si="193"/>
        <v>141547</v>
      </c>
      <c r="Y845" s="10">
        <v>8</v>
      </c>
      <c r="Z845" s="30" t="s">
        <v>91</v>
      </c>
      <c r="AA845" s="31">
        <f t="shared" si="197"/>
        <v>10629</v>
      </c>
      <c r="AB845" s="32">
        <f>650*30</f>
        <v>19500</v>
      </c>
      <c r="AC845" s="32"/>
      <c r="AE845" s="32">
        <f t="shared" si="194"/>
        <v>19500</v>
      </c>
      <c r="AF845" s="12"/>
      <c r="AG845" s="12"/>
      <c r="AH845" s="12"/>
      <c r="AI845" s="12">
        <f t="shared" si="195"/>
        <v>19500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9</v>
      </c>
      <c r="B846" s="30"/>
      <c r="C846" s="83"/>
      <c r="D846" s="32"/>
      <c r="E846" s="32"/>
      <c r="F846" s="32"/>
      <c r="G846" s="32">
        <f t="shared" si="190"/>
        <v>0</v>
      </c>
      <c r="H846" s="12"/>
      <c r="I846" s="12"/>
      <c r="J846" s="12"/>
      <c r="K846" s="12">
        <f t="shared" si="191"/>
        <v>0</v>
      </c>
      <c r="M846" s="10">
        <v>9</v>
      </c>
      <c r="N846" s="30" t="s">
        <v>92</v>
      </c>
      <c r="O846" s="31">
        <f t="shared" si="196"/>
        <v>10577</v>
      </c>
      <c r="P846" s="32">
        <f>650*50+622*10+9.5*21</f>
        <v>38919.5</v>
      </c>
      <c r="Q846" s="32"/>
      <c r="R846" s="32"/>
      <c r="S846" s="32">
        <f t="shared" si="192"/>
        <v>38919.5</v>
      </c>
      <c r="T846" s="12"/>
      <c r="U846" s="12">
        <f>4.5*2+1.5*19</f>
        <v>37.5</v>
      </c>
      <c r="V846" s="12"/>
      <c r="W846" s="12">
        <f t="shared" si="193"/>
        <v>38957</v>
      </c>
      <c r="Y846" s="10">
        <v>9</v>
      </c>
      <c r="Z846" s="30"/>
      <c r="AA846" s="11" t="s">
        <v>27</v>
      </c>
      <c r="AB846" s="32"/>
      <c r="AC846" s="32"/>
      <c r="AD846" s="32"/>
      <c r="AE846" s="32">
        <f t="shared" si="194"/>
        <v>0</v>
      </c>
      <c r="AF846" s="12"/>
      <c r="AG846" s="12"/>
      <c r="AH846" s="12"/>
      <c r="AI846" s="12">
        <f t="shared" si="195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10</v>
      </c>
      <c r="B847" s="30"/>
      <c r="C847" s="57"/>
      <c r="D847" s="32"/>
      <c r="E847" s="32"/>
      <c r="F847" s="32"/>
      <c r="G847" s="32">
        <f t="shared" si="190"/>
        <v>0</v>
      </c>
      <c r="H847" s="12"/>
      <c r="I847" s="12"/>
      <c r="J847" s="12"/>
      <c r="K847" s="12">
        <f t="shared" si="191"/>
        <v>0</v>
      </c>
      <c r="M847" s="10">
        <v>10</v>
      </c>
      <c r="N847" s="30" t="s">
        <v>93</v>
      </c>
      <c r="O847" s="31">
        <f t="shared" si="196"/>
        <v>10578</v>
      </c>
      <c r="P847" s="32">
        <f>650*2+670</f>
        <v>1970</v>
      </c>
      <c r="Q847" s="32"/>
      <c r="R847" s="32"/>
      <c r="S847" s="32">
        <f t="shared" si="192"/>
        <v>1970</v>
      </c>
      <c r="T847" s="12"/>
      <c r="U847" s="12"/>
      <c r="V847" s="12"/>
      <c r="W847" s="12">
        <f t="shared" si="193"/>
        <v>1970</v>
      </c>
      <c r="Y847" s="10">
        <v>10</v>
      </c>
      <c r="Z847" s="30"/>
      <c r="AA847" s="31"/>
      <c r="AB847" s="32"/>
      <c r="AC847" s="32"/>
      <c r="AD847" s="32"/>
      <c r="AE847" s="32">
        <f t="shared" si="194"/>
        <v>0</v>
      </c>
      <c r="AF847" s="12"/>
      <c r="AG847" s="12"/>
      <c r="AH847" s="12"/>
      <c r="AI847" s="12">
        <f t="shared" si="195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11</v>
      </c>
      <c r="B848" s="30"/>
      <c r="C848" s="57"/>
      <c r="D848" s="32"/>
      <c r="E848" s="32"/>
      <c r="F848" s="32"/>
      <c r="G848" s="32">
        <f t="shared" si="190"/>
        <v>0</v>
      </c>
      <c r="H848" s="12"/>
      <c r="I848" s="12"/>
      <c r="J848" s="12"/>
      <c r="K848" s="12">
        <f t="shared" si="191"/>
        <v>0</v>
      </c>
      <c r="M848" s="10">
        <v>11</v>
      </c>
      <c r="N848" s="30" t="s">
        <v>94</v>
      </c>
      <c r="O848" s="31">
        <f t="shared" si="196"/>
        <v>10579</v>
      </c>
      <c r="P848" s="32">
        <v>670</v>
      </c>
      <c r="Q848" s="32"/>
      <c r="R848" s="32"/>
      <c r="S848" s="32">
        <f t="shared" si="192"/>
        <v>670</v>
      </c>
      <c r="T848" s="12"/>
      <c r="U848" s="12"/>
      <c r="V848" s="12"/>
      <c r="W848" s="12">
        <f t="shared" si="193"/>
        <v>670</v>
      </c>
      <c r="Y848" s="10">
        <v>11</v>
      </c>
      <c r="Z848" s="30"/>
      <c r="AB848" s="32"/>
      <c r="AC848" s="32"/>
      <c r="AD848" s="32"/>
      <c r="AE848" s="32">
        <f t="shared" si="194"/>
        <v>0</v>
      </c>
      <c r="AF848" s="12"/>
      <c r="AG848" s="12"/>
      <c r="AH848" s="12"/>
      <c r="AI848" s="12">
        <f t="shared" si="19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12</v>
      </c>
      <c r="B849" s="30"/>
      <c r="C849" s="83"/>
      <c r="D849" s="32"/>
      <c r="E849" s="32"/>
      <c r="F849" s="32"/>
      <c r="G849" s="32">
        <f t="shared" si="190"/>
        <v>0</v>
      </c>
      <c r="H849" s="12"/>
      <c r="I849" s="12"/>
      <c r="J849" s="10"/>
      <c r="K849" s="12">
        <f t="shared" si="191"/>
        <v>0</v>
      </c>
      <c r="M849" s="10">
        <v>12</v>
      </c>
      <c r="N849" s="30" t="s">
        <v>95</v>
      </c>
      <c r="O849" s="31">
        <f t="shared" si="196"/>
        <v>10580</v>
      </c>
      <c r="P849" s="32">
        <f>650*6+622+872</f>
        <v>5394</v>
      </c>
      <c r="Q849" s="32"/>
      <c r="R849" s="32"/>
      <c r="S849" s="32">
        <f t="shared" si="192"/>
        <v>5394</v>
      </c>
      <c r="T849" s="12"/>
      <c r="U849" s="12"/>
      <c r="V849" s="12"/>
      <c r="W849" s="12">
        <f t="shared" si="193"/>
        <v>5394</v>
      </c>
      <c r="Y849" s="10">
        <v>12</v>
      </c>
      <c r="Z849" s="30"/>
      <c r="AA849" s="31"/>
      <c r="AB849" s="32"/>
      <c r="AC849" s="32"/>
      <c r="AD849" s="32"/>
      <c r="AE849" s="32">
        <f t="shared" si="194"/>
        <v>0</v>
      </c>
      <c r="AF849" s="12"/>
      <c r="AG849" s="12"/>
      <c r="AH849" s="12"/>
      <c r="AI849" s="12">
        <f t="shared" si="19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13</v>
      </c>
      <c r="B850" s="30"/>
      <c r="C850" s="83"/>
      <c r="D850" s="32"/>
      <c r="E850" s="32"/>
      <c r="F850" s="32"/>
      <c r="G850" s="32">
        <f t="shared" si="190"/>
        <v>0</v>
      </c>
      <c r="H850" s="12"/>
      <c r="I850" s="12"/>
      <c r="J850" s="12"/>
      <c r="K850" s="12">
        <f t="shared" si="191"/>
        <v>0</v>
      </c>
      <c r="M850" s="10">
        <v>13</v>
      </c>
      <c r="N850" s="30"/>
      <c r="O850" s="11" t="s">
        <v>27</v>
      </c>
      <c r="P850" s="32"/>
      <c r="Q850" s="32"/>
      <c r="R850" s="32"/>
      <c r="S850" s="32">
        <f t="shared" si="192"/>
        <v>0</v>
      </c>
      <c r="T850" s="12"/>
      <c r="U850" s="12"/>
      <c r="V850" s="12"/>
      <c r="W850" s="12">
        <f t="shared" si="193"/>
        <v>0</v>
      </c>
      <c r="Y850" s="10">
        <v>13</v>
      </c>
      <c r="Z850" s="30"/>
      <c r="AA850" s="31"/>
      <c r="AB850" s="32"/>
      <c r="AC850" s="32"/>
      <c r="AD850" s="32"/>
      <c r="AE850" s="32">
        <f t="shared" si="194"/>
        <v>0</v>
      </c>
      <c r="AF850" s="12"/>
      <c r="AG850" s="12"/>
      <c r="AH850" s="12"/>
      <c r="AI850" s="12">
        <f t="shared" si="19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14</v>
      </c>
      <c r="B851" s="30"/>
      <c r="C851" s="83"/>
      <c r="D851" s="32"/>
      <c r="E851" s="32"/>
      <c r="F851" s="32"/>
      <c r="G851" s="32">
        <f t="shared" si="190"/>
        <v>0</v>
      </c>
      <c r="H851" s="12"/>
      <c r="I851" s="12"/>
      <c r="J851" s="12"/>
      <c r="K851" s="12">
        <f t="shared" si="191"/>
        <v>0</v>
      </c>
      <c r="M851" s="10">
        <v>14</v>
      </c>
      <c r="N851" s="30"/>
      <c r="P851" s="32"/>
      <c r="Q851" s="32"/>
      <c r="R851" s="32"/>
      <c r="S851" s="32">
        <f t="shared" si="192"/>
        <v>0</v>
      </c>
      <c r="T851" s="12"/>
      <c r="U851" s="12"/>
      <c r="V851" s="12"/>
      <c r="W851" s="12">
        <f t="shared" si="193"/>
        <v>0</v>
      </c>
      <c r="Y851" s="10">
        <v>14</v>
      </c>
      <c r="Z851" s="30"/>
      <c r="AA851" s="31"/>
      <c r="AB851" s="32"/>
      <c r="AC851" s="32"/>
      <c r="AD851" s="32"/>
      <c r="AE851" s="32">
        <f t="shared" si="194"/>
        <v>0</v>
      </c>
      <c r="AF851" s="12"/>
      <c r="AG851" s="12"/>
      <c r="AH851" s="12"/>
      <c r="AI851" s="12">
        <f t="shared" si="19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15</v>
      </c>
      <c r="B852" s="30"/>
      <c r="C852" s="83"/>
      <c r="D852" s="32"/>
      <c r="E852" s="32"/>
      <c r="F852" s="32"/>
      <c r="G852" s="32">
        <f t="shared" si="190"/>
        <v>0</v>
      </c>
      <c r="H852" s="12"/>
      <c r="I852" s="12"/>
      <c r="J852" s="12"/>
      <c r="K852" s="12">
        <f t="shared" si="191"/>
        <v>0</v>
      </c>
      <c r="M852" s="10">
        <v>15</v>
      </c>
      <c r="N852" s="30"/>
      <c r="O852" s="31"/>
      <c r="P852" s="32"/>
      <c r="Q852" s="32"/>
      <c r="R852" s="32"/>
      <c r="S852" s="32">
        <f t="shared" si="192"/>
        <v>0</v>
      </c>
      <c r="T852" s="12"/>
      <c r="U852" s="12"/>
      <c r="V852" s="12"/>
      <c r="W852" s="12">
        <f t="shared" si="193"/>
        <v>0</v>
      </c>
      <c r="Y852" s="10">
        <v>15</v>
      </c>
      <c r="Z852" s="30"/>
      <c r="AA852" s="31"/>
      <c r="AB852" s="32"/>
      <c r="AC852" s="32"/>
      <c r="AD852" s="32"/>
      <c r="AE852" s="32">
        <f t="shared" si="194"/>
        <v>0</v>
      </c>
      <c r="AF852" s="12"/>
      <c r="AG852" s="12"/>
      <c r="AH852" s="12"/>
      <c r="AI852" s="12">
        <f t="shared" si="19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16</v>
      </c>
      <c r="B853" s="30"/>
      <c r="C853" s="83"/>
      <c r="D853" s="32"/>
      <c r="E853" s="32"/>
      <c r="F853" s="32"/>
      <c r="G853" s="32">
        <f t="shared" si="190"/>
        <v>0</v>
      </c>
      <c r="H853" s="12"/>
      <c r="I853" s="12"/>
      <c r="J853" s="12"/>
      <c r="K853" s="12">
        <f t="shared" si="191"/>
        <v>0</v>
      </c>
      <c r="M853" s="10">
        <v>16</v>
      </c>
      <c r="N853" s="30"/>
      <c r="O853" s="31"/>
      <c r="P853" s="32"/>
      <c r="Q853" s="32"/>
      <c r="R853" s="32"/>
      <c r="S853" s="32">
        <f t="shared" si="192"/>
        <v>0</v>
      </c>
      <c r="T853" s="12"/>
      <c r="U853" s="12"/>
      <c r="V853" s="12"/>
      <c r="W853" s="12">
        <f t="shared" si="193"/>
        <v>0</v>
      </c>
      <c r="Y853" s="10">
        <v>16</v>
      </c>
      <c r="Z853" s="30"/>
      <c r="AB853" s="32"/>
      <c r="AC853" s="32"/>
      <c r="AD853" s="32"/>
      <c r="AE853" s="32">
        <f t="shared" si="194"/>
        <v>0</v>
      </c>
      <c r="AF853" s="12"/>
      <c r="AG853" s="12"/>
      <c r="AH853" s="12"/>
      <c r="AI853" s="12">
        <f t="shared" si="19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17</v>
      </c>
      <c r="B854" s="30"/>
      <c r="C854" s="83"/>
      <c r="D854" s="32"/>
      <c r="E854" s="32"/>
      <c r="F854" s="32"/>
      <c r="G854" s="32">
        <f t="shared" si="190"/>
        <v>0</v>
      </c>
      <c r="H854" s="12"/>
      <c r="I854" s="12"/>
      <c r="J854" s="12"/>
      <c r="K854" s="12">
        <f t="shared" si="191"/>
        <v>0</v>
      </c>
      <c r="M854" s="10">
        <v>17</v>
      </c>
      <c r="N854" s="30"/>
      <c r="P854" s="35"/>
      <c r="Q854" s="32"/>
      <c r="R854" s="32"/>
      <c r="S854" s="32">
        <f t="shared" si="192"/>
        <v>0</v>
      </c>
      <c r="T854" s="12"/>
      <c r="U854" s="12"/>
      <c r="V854" s="12"/>
      <c r="W854" s="12">
        <f t="shared" si="193"/>
        <v>0</v>
      </c>
      <c r="Y854" s="10">
        <v>17</v>
      </c>
      <c r="Z854" s="30"/>
      <c r="AA854" s="31"/>
      <c r="AB854" s="35"/>
      <c r="AC854" s="32"/>
      <c r="AD854" s="32"/>
      <c r="AE854" s="32">
        <f t="shared" si="194"/>
        <v>0</v>
      </c>
      <c r="AF854" s="12"/>
      <c r="AG854" s="12"/>
      <c r="AH854" s="12"/>
      <c r="AI854" s="12">
        <f t="shared" si="19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18</v>
      </c>
      <c r="B855" s="30"/>
      <c r="C855" s="83"/>
      <c r="D855" s="32"/>
      <c r="E855" s="32"/>
      <c r="F855" s="32"/>
      <c r="G855" s="32">
        <f t="shared" si="190"/>
        <v>0</v>
      </c>
      <c r="H855" s="12"/>
      <c r="I855" s="12"/>
      <c r="J855" s="12"/>
      <c r="K855" s="12">
        <f t="shared" si="191"/>
        <v>0</v>
      </c>
      <c r="M855" s="10">
        <v>18</v>
      </c>
      <c r="N855" s="30"/>
      <c r="O855" s="11"/>
      <c r="P855" s="32"/>
      <c r="Q855" s="32"/>
      <c r="R855" s="32"/>
      <c r="S855" s="32">
        <f t="shared" si="192"/>
        <v>0</v>
      </c>
      <c r="T855" s="12"/>
      <c r="U855" s="12"/>
      <c r="V855" s="12"/>
      <c r="W855" s="12">
        <f t="shared" si="193"/>
        <v>0</v>
      </c>
      <c r="Y855" s="10">
        <v>18</v>
      </c>
      <c r="Z855" s="30"/>
      <c r="AA855" s="31"/>
      <c r="AB855" s="32"/>
      <c r="AC855" s="32"/>
      <c r="AD855" s="32"/>
      <c r="AE855" s="32">
        <f t="shared" si="194"/>
        <v>0</v>
      </c>
      <c r="AF855" s="12"/>
      <c r="AG855" s="12"/>
      <c r="AH855" s="12"/>
      <c r="AI855" s="12">
        <f t="shared" si="19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19</v>
      </c>
      <c r="B856" s="30"/>
      <c r="C856" s="83"/>
      <c r="D856" s="32"/>
      <c r="E856" s="32"/>
      <c r="F856" s="32"/>
      <c r="G856" s="32">
        <f t="shared" si="190"/>
        <v>0</v>
      </c>
      <c r="H856" s="12"/>
      <c r="I856" s="12"/>
      <c r="J856" s="12"/>
      <c r="K856" s="12">
        <f t="shared" si="191"/>
        <v>0</v>
      </c>
      <c r="M856" s="10">
        <v>19</v>
      </c>
      <c r="N856" s="30"/>
      <c r="O856" s="31"/>
      <c r="P856" s="32"/>
      <c r="Q856" s="32"/>
      <c r="R856" s="32"/>
      <c r="S856" s="32">
        <f t="shared" si="192"/>
        <v>0</v>
      </c>
      <c r="T856" s="12"/>
      <c r="U856" s="12"/>
      <c r="V856" s="12"/>
      <c r="W856" s="12">
        <f t="shared" si="193"/>
        <v>0</v>
      </c>
      <c r="Y856" s="10">
        <v>19</v>
      </c>
      <c r="Z856" s="30"/>
      <c r="AA856" s="31"/>
      <c r="AB856" s="32"/>
      <c r="AC856" s="32"/>
      <c r="AD856" s="32"/>
      <c r="AE856" s="32">
        <f t="shared" si="194"/>
        <v>0</v>
      </c>
      <c r="AF856" s="12"/>
      <c r="AG856" s="12"/>
      <c r="AH856" s="12"/>
      <c r="AI856" s="12">
        <f t="shared" si="19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20</v>
      </c>
      <c r="B857" s="30"/>
      <c r="C857" s="83"/>
      <c r="D857" s="32"/>
      <c r="E857" s="32"/>
      <c r="F857" s="32"/>
      <c r="G857" s="32">
        <f t="shared" si="190"/>
        <v>0</v>
      </c>
      <c r="H857" s="12"/>
      <c r="I857" s="12"/>
      <c r="J857" s="12"/>
      <c r="K857" s="12">
        <f t="shared" si="191"/>
        <v>0</v>
      </c>
      <c r="M857" s="10">
        <v>20</v>
      </c>
      <c r="N857" s="30"/>
      <c r="P857" s="32"/>
      <c r="Q857" s="32"/>
      <c r="R857" s="32"/>
      <c r="S857" s="32">
        <f t="shared" si="192"/>
        <v>0</v>
      </c>
      <c r="T857" s="12"/>
      <c r="U857" s="12"/>
      <c r="V857" s="12"/>
      <c r="W857" s="12">
        <f t="shared" si="193"/>
        <v>0</v>
      </c>
      <c r="Y857" s="10">
        <v>20</v>
      </c>
      <c r="Z857" s="30"/>
      <c r="AB857" s="32"/>
      <c r="AC857" s="32"/>
      <c r="AD857" s="32"/>
      <c r="AE857" s="32">
        <f t="shared" si="194"/>
        <v>0</v>
      </c>
      <c r="AF857" s="12"/>
      <c r="AG857" s="12"/>
      <c r="AH857" s="12"/>
      <c r="AI857" s="12">
        <f t="shared" si="19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21</v>
      </c>
      <c r="B858" s="30"/>
      <c r="C858" s="57"/>
      <c r="D858" s="32"/>
      <c r="E858" s="32"/>
      <c r="F858" s="32"/>
      <c r="G858" s="32">
        <f t="shared" si="190"/>
        <v>0</v>
      </c>
      <c r="H858" s="10"/>
      <c r="I858" s="10"/>
      <c r="J858" s="10"/>
      <c r="K858" s="12">
        <f t="shared" si="191"/>
        <v>0</v>
      </c>
      <c r="M858" s="10">
        <v>21</v>
      </c>
      <c r="N858" s="30"/>
      <c r="O858" s="31"/>
      <c r="P858" s="46"/>
      <c r="Q858" s="31"/>
      <c r="R858" s="31"/>
      <c r="S858" s="32">
        <f t="shared" si="192"/>
        <v>0</v>
      </c>
      <c r="T858" s="10"/>
      <c r="U858" s="10"/>
      <c r="V858" s="10"/>
      <c r="W858" s="12">
        <f t="shared" si="193"/>
        <v>0</v>
      </c>
      <c r="Y858" s="10">
        <v>21</v>
      </c>
      <c r="Z858" s="30"/>
      <c r="AA858" s="31"/>
      <c r="AB858" s="46"/>
      <c r="AC858" s="31"/>
      <c r="AD858" s="31"/>
      <c r="AE858" s="32">
        <f t="shared" si="194"/>
        <v>0</v>
      </c>
      <c r="AF858" s="10"/>
      <c r="AG858" s="10"/>
      <c r="AH858" s="10"/>
      <c r="AI858" s="12">
        <f t="shared" si="19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22</v>
      </c>
      <c r="B859" s="30"/>
      <c r="C859" s="83"/>
      <c r="D859" s="32"/>
      <c r="E859" s="32"/>
      <c r="F859" s="32"/>
      <c r="G859" s="32">
        <f t="shared" si="190"/>
        <v>0</v>
      </c>
      <c r="H859" s="10"/>
      <c r="I859" s="10"/>
      <c r="J859" s="10"/>
      <c r="K859" s="12">
        <f t="shared" si="191"/>
        <v>0</v>
      </c>
      <c r="M859" s="10">
        <v>22</v>
      </c>
      <c r="N859" s="30"/>
      <c r="O859" s="31"/>
      <c r="P859" s="45"/>
      <c r="Q859" s="31"/>
      <c r="R859" s="31"/>
      <c r="S859" s="32">
        <f t="shared" si="192"/>
        <v>0</v>
      </c>
      <c r="T859" s="10"/>
      <c r="U859" s="10"/>
      <c r="V859" s="10"/>
      <c r="W859" s="12">
        <f t="shared" si="193"/>
        <v>0</v>
      </c>
      <c r="Y859" s="10">
        <v>22</v>
      </c>
      <c r="Z859" s="30"/>
      <c r="AA859" s="31"/>
      <c r="AB859" s="45"/>
      <c r="AC859" s="31"/>
      <c r="AD859" s="31"/>
      <c r="AE859" s="32">
        <f t="shared" si="194"/>
        <v>0</v>
      </c>
      <c r="AF859" s="10"/>
      <c r="AG859" s="10"/>
      <c r="AH859" s="10"/>
      <c r="AI859" s="12">
        <f t="shared" si="19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23</v>
      </c>
      <c r="B860" s="30"/>
      <c r="C860" s="83"/>
      <c r="D860" s="32"/>
      <c r="E860" s="32"/>
      <c r="F860" s="32"/>
      <c r="G860" s="32">
        <f t="shared" si="190"/>
        <v>0</v>
      </c>
      <c r="H860" s="10"/>
      <c r="I860" s="10"/>
      <c r="J860" s="12"/>
      <c r="K860" s="12">
        <f t="shared" si="191"/>
        <v>0</v>
      </c>
      <c r="M860" s="10">
        <v>23</v>
      </c>
      <c r="N860" s="30"/>
      <c r="O860" s="31"/>
      <c r="P860" s="47"/>
      <c r="Q860" s="45"/>
      <c r="S860" s="32">
        <f t="shared" si="192"/>
        <v>0</v>
      </c>
      <c r="T860" s="10"/>
      <c r="U860" s="10"/>
      <c r="V860" s="10"/>
      <c r="W860" s="12">
        <f t="shared" si="193"/>
        <v>0</v>
      </c>
      <c r="Y860" s="10">
        <v>23</v>
      </c>
      <c r="Z860" s="30"/>
      <c r="AA860" s="31"/>
      <c r="AB860" s="47"/>
      <c r="AC860" s="31"/>
      <c r="AE860" s="32">
        <f t="shared" si="194"/>
        <v>0</v>
      </c>
      <c r="AF860" s="10"/>
      <c r="AG860" s="10"/>
      <c r="AH860" s="10"/>
      <c r="AI860" s="12">
        <f t="shared" si="19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24</v>
      </c>
      <c r="B861" s="30"/>
      <c r="C861" s="83"/>
      <c r="D861" s="32"/>
      <c r="E861" s="32"/>
      <c r="F861" s="32"/>
      <c r="G861" s="32">
        <f t="shared" si="190"/>
        <v>0</v>
      </c>
      <c r="H861" s="10"/>
      <c r="I861" s="10"/>
      <c r="J861" s="10"/>
      <c r="K861" s="12">
        <f t="shared" si="191"/>
        <v>0</v>
      </c>
      <c r="M861" s="10">
        <v>24</v>
      </c>
      <c r="N861" s="30"/>
      <c r="O861" s="31"/>
      <c r="P861" s="47"/>
      <c r="Q861" s="31"/>
      <c r="R861" s="31"/>
      <c r="S861" s="32">
        <f t="shared" si="192"/>
        <v>0</v>
      </c>
      <c r="T861" s="10"/>
      <c r="U861" s="10"/>
      <c r="V861" s="10"/>
      <c r="W861" s="12">
        <f t="shared" si="193"/>
        <v>0</v>
      </c>
      <c r="Y861" s="10">
        <v>24</v>
      </c>
      <c r="Z861" s="30"/>
      <c r="AA861" s="31"/>
      <c r="AB861" s="47"/>
      <c r="AC861" s="31"/>
      <c r="AD861" s="31"/>
      <c r="AE861" s="32">
        <f t="shared" si="194"/>
        <v>0</v>
      </c>
      <c r="AF861" s="10"/>
      <c r="AG861" s="10"/>
      <c r="AH861" s="10"/>
      <c r="AI861" s="12">
        <f t="shared" si="19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25</v>
      </c>
      <c r="B862" s="30"/>
      <c r="C862" s="57"/>
      <c r="D862" s="32"/>
      <c r="E862" s="32"/>
      <c r="F862" s="32"/>
      <c r="G862" s="32">
        <f t="shared" si="190"/>
        <v>0</v>
      </c>
      <c r="H862" s="10"/>
      <c r="I862" s="10"/>
      <c r="J862" s="10"/>
      <c r="K862" s="12">
        <f t="shared" si="191"/>
        <v>0</v>
      </c>
      <c r="M862" s="10">
        <v>25</v>
      </c>
      <c r="N862" s="30"/>
      <c r="O862" s="31"/>
      <c r="P862" s="47"/>
      <c r="Q862" s="31"/>
      <c r="R862" s="31"/>
      <c r="S862" s="32">
        <f t="shared" si="192"/>
        <v>0</v>
      </c>
      <c r="T862" s="10"/>
      <c r="U862" s="10"/>
      <c r="V862" s="10"/>
      <c r="W862" s="12">
        <f t="shared" si="193"/>
        <v>0</v>
      </c>
      <c r="Y862" s="10">
        <v>25</v>
      </c>
      <c r="Z862" s="30"/>
      <c r="AA862" s="31"/>
      <c r="AB862" s="47"/>
      <c r="AC862" s="31"/>
      <c r="AD862" s="31"/>
      <c r="AE862" s="32">
        <f t="shared" si="194"/>
        <v>0</v>
      </c>
      <c r="AF862" s="10"/>
      <c r="AG862" s="10"/>
      <c r="AH862" s="10"/>
      <c r="AI862" s="12">
        <f t="shared" si="19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26</v>
      </c>
      <c r="B863" s="30"/>
      <c r="C863" s="83"/>
      <c r="D863" s="32"/>
      <c r="E863" s="32"/>
      <c r="F863" s="32"/>
      <c r="G863" s="32">
        <f t="shared" si="190"/>
        <v>0</v>
      </c>
      <c r="H863" s="10"/>
      <c r="I863" s="10"/>
      <c r="J863" s="10"/>
      <c r="K863" s="12">
        <f t="shared" si="191"/>
        <v>0</v>
      </c>
      <c r="M863" s="10">
        <v>26</v>
      </c>
      <c r="N863" s="30"/>
      <c r="O863" s="31"/>
      <c r="P863" s="47"/>
      <c r="Q863" s="31"/>
      <c r="R863" s="31"/>
      <c r="S863" s="32">
        <f t="shared" si="192"/>
        <v>0</v>
      </c>
      <c r="T863" s="10"/>
      <c r="U863" s="10"/>
      <c r="V863" s="10"/>
      <c r="W863" s="12">
        <f t="shared" si="193"/>
        <v>0</v>
      </c>
      <c r="Y863" s="10">
        <v>26</v>
      </c>
      <c r="Z863" s="30"/>
      <c r="AA863" s="31"/>
      <c r="AB863" s="47"/>
      <c r="AC863" s="31"/>
      <c r="AD863" s="31"/>
      <c r="AE863" s="32">
        <f t="shared" si="194"/>
        <v>0</v>
      </c>
      <c r="AF863" s="10"/>
      <c r="AG863" s="10"/>
      <c r="AH863" s="10"/>
      <c r="AI863" s="12">
        <f t="shared" si="19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27</v>
      </c>
      <c r="B864" s="30"/>
      <c r="C864" s="83"/>
      <c r="D864" s="32"/>
      <c r="E864" s="32"/>
      <c r="F864" s="32"/>
      <c r="G864" s="32">
        <f t="shared" si="190"/>
        <v>0</v>
      </c>
      <c r="H864" s="10"/>
      <c r="I864" s="10"/>
      <c r="J864" s="10"/>
      <c r="K864" s="12">
        <f t="shared" si="191"/>
        <v>0</v>
      </c>
      <c r="M864" s="10">
        <v>27</v>
      </c>
      <c r="N864" s="30"/>
      <c r="O864" s="31"/>
      <c r="P864" s="47"/>
      <c r="Q864" s="31"/>
      <c r="R864" s="31"/>
      <c r="S864" s="32">
        <f t="shared" si="192"/>
        <v>0</v>
      </c>
      <c r="T864" s="10"/>
      <c r="U864" s="10"/>
      <c r="V864" s="10"/>
      <c r="W864" s="12">
        <f t="shared" si="193"/>
        <v>0</v>
      </c>
      <c r="Y864" s="10">
        <v>27</v>
      </c>
      <c r="Z864" s="30"/>
      <c r="AA864" s="31"/>
      <c r="AB864" s="47"/>
      <c r="AC864" s="31"/>
      <c r="AD864" s="31"/>
      <c r="AE864" s="32">
        <f t="shared" si="194"/>
        <v>0</v>
      </c>
      <c r="AF864" s="10"/>
      <c r="AG864" s="10"/>
      <c r="AH864" s="10"/>
      <c r="AI864" s="12">
        <f t="shared" si="19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28</v>
      </c>
      <c r="B865" s="30"/>
      <c r="C865" s="83"/>
      <c r="D865" s="32"/>
      <c r="E865" s="32"/>
      <c r="F865" s="32"/>
      <c r="G865" s="32">
        <f t="shared" si="190"/>
        <v>0</v>
      </c>
      <c r="H865" s="10"/>
      <c r="I865" s="10"/>
      <c r="J865" s="10"/>
      <c r="K865" s="12">
        <f t="shared" si="191"/>
        <v>0</v>
      </c>
      <c r="M865" s="10">
        <v>28</v>
      </c>
      <c r="N865" s="30"/>
      <c r="O865" s="31"/>
      <c r="P865" s="47"/>
      <c r="Q865" s="31"/>
      <c r="R865" s="31"/>
      <c r="S865" s="32">
        <f t="shared" si="192"/>
        <v>0</v>
      </c>
      <c r="T865" s="10"/>
      <c r="U865" s="10"/>
      <c r="V865" s="10"/>
      <c r="W865" s="12">
        <f t="shared" si="193"/>
        <v>0</v>
      </c>
      <c r="Y865" s="10">
        <v>28</v>
      </c>
      <c r="Z865" s="30"/>
      <c r="AA865" s="31"/>
      <c r="AB865" s="47"/>
      <c r="AC865" s="31"/>
      <c r="AD865" s="31"/>
      <c r="AE865" s="32">
        <f t="shared" si="194"/>
        <v>0</v>
      </c>
      <c r="AF865" s="10"/>
      <c r="AG865" s="10"/>
      <c r="AH865" s="10"/>
      <c r="AI865" s="12">
        <f t="shared" si="19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29</v>
      </c>
      <c r="B866" s="30"/>
      <c r="C866" s="83"/>
      <c r="D866" s="32"/>
      <c r="E866" s="32"/>
      <c r="F866" s="32"/>
      <c r="G866" s="32">
        <f t="shared" si="190"/>
        <v>0</v>
      </c>
      <c r="H866" s="10"/>
      <c r="I866" s="10"/>
      <c r="J866" s="10"/>
      <c r="K866" s="12">
        <f t="shared" si="191"/>
        <v>0</v>
      </c>
      <c r="M866" s="10">
        <v>29</v>
      </c>
      <c r="N866" s="30"/>
      <c r="O866" s="31"/>
      <c r="P866" s="47"/>
      <c r="Q866" s="31"/>
      <c r="R866" s="31"/>
      <c r="S866" s="32">
        <f t="shared" si="192"/>
        <v>0</v>
      </c>
      <c r="T866" s="10"/>
      <c r="U866" s="10"/>
      <c r="V866" s="10"/>
      <c r="W866" s="12">
        <f t="shared" si="193"/>
        <v>0</v>
      </c>
      <c r="Y866" s="10">
        <v>29</v>
      </c>
      <c r="Z866" s="30"/>
      <c r="AA866" s="31"/>
      <c r="AB866" s="47"/>
      <c r="AC866" s="31"/>
      <c r="AD866" s="31"/>
      <c r="AE866" s="32">
        <f t="shared" si="194"/>
        <v>0</v>
      </c>
      <c r="AF866" s="10"/>
      <c r="AG866" s="10"/>
      <c r="AH866" s="10"/>
      <c r="AI866" s="12">
        <f t="shared" si="19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30</v>
      </c>
      <c r="B867" s="30"/>
      <c r="C867" s="83"/>
      <c r="D867" s="32"/>
      <c r="E867" s="32"/>
      <c r="F867" s="32"/>
      <c r="G867" s="32">
        <f t="shared" si="190"/>
        <v>0</v>
      </c>
      <c r="H867" s="10"/>
      <c r="I867" s="10"/>
      <c r="J867" s="10"/>
      <c r="K867" s="12">
        <f t="shared" si="191"/>
        <v>0</v>
      </c>
      <c r="M867" s="10">
        <v>30</v>
      </c>
      <c r="N867" s="30"/>
      <c r="O867" s="31"/>
      <c r="P867" s="47"/>
      <c r="Q867" s="31"/>
      <c r="R867" s="31"/>
      <c r="S867" s="32">
        <f t="shared" si="192"/>
        <v>0</v>
      </c>
      <c r="T867" s="10"/>
      <c r="U867" s="10"/>
      <c r="V867" s="10"/>
      <c r="W867" s="12">
        <f t="shared" si="193"/>
        <v>0</v>
      </c>
      <c r="Y867" s="10">
        <v>30</v>
      </c>
      <c r="Z867" s="30"/>
      <c r="AA867" s="31"/>
      <c r="AB867" s="47"/>
      <c r="AC867" s="31"/>
      <c r="AD867" s="31"/>
      <c r="AE867" s="32">
        <f t="shared" si="194"/>
        <v>0</v>
      </c>
      <c r="AF867" s="10"/>
      <c r="AG867" s="10"/>
      <c r="AH867" s="10"/>
      <c r="AI867" s="12">
        <f t="shared" si="19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31</v>
      </c>
      <c r="B868" s="30"/>
      <c r="C868" s="83"/>
      <c r="D868" s="32"/>
      <c r="E868" s="32"/>
      <c r="F868" s="32"/>
      <c r="G868" s="32">
        <f t="shared" si="190"/>
        <v>0</v>
      </c>
      <c r="H868" s="10"/>
      <c r="I868" s="10"/>
      <c r="J868" s="10"/>
      <c r="K868" s="12">
        <f t="shared" si="191"/>
        <v>0</v>
      </c>
      <c r="M868" s="10">
        <v>31</v>
      </c>
      <c r="N868" s="30"/>
      <c r="O868" s="31"/>
      <c r="P868" s="47"/>
      <c r="Q868" s="31"/>
      <c r="R868" s="31"/>
      <c r="S868" s="32">
        <f t="shared" si="192"/>
        <v>0</v>
      </c>
      <c r="T868" s="10"/>
      <c r="U868" s="10"/>
      <c r="V868" s="10"/>
      <c r="W868" s="12">
        <f t="shared" si="193"/>
        <v>0</v>
      </c>
      <c r="Y868" s="10">
        <v>31</v>
      </c>
      <c r="Z868" s="30"/>
      <c r="AA868" s="31"/>
      <c r="AB868" s="47"/>
      <c r="AC868" s="31"/>
      <c r="AD868" s="31"/>
      <c r="AE868" s="32">
        <f t="shared" si="194"/>
        <v>0</v>
      </c>
      <c r="AF868" s="10"/>
      <c r="AG868" s="10"/>
      <c r="AH868" s="10"/>
      <c r="AI868" s="12">
        <f t="shared" si="19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32</v>
      </c>
      <c r="B869" s="30"/>
      <c r="C869" s="83"/>
      <c r="D869" s="32"/>
      <c r="E869" s="32"/>
      <c r="F869" s="32"/>
      <c r="G869" s="32">
        <f t="shared" si="190"/>
        <v>0</v>
      </c>
      <c r="H869" s="10"/>
      <c r="I869" s="10"/>
      <c r="J869" s="10"/>
      <c r="K869" s="12">
        <f t="shared" si="191"/>
        <v>0</v>
      </c>
      <c r="M869" s="10">
        <v>32</v>
      </c>
      <c r="N869" s="30"/>
      <c r="O869" s="31"/>
      <c r="P869" s="47"/>
      <c r="Q869" s="31"/>
      <c r="R869" s="31"/>
      <c r="S869" s="32">
        <f t="shared" si="192"/>
        <v>0</v>
      </c>
      <c r="T869" s="10"/>
      <c r="U869" s="10"/>
      <c r="V869" s="10"/>
      <c r="W869" s="12">
        <f t="shared" si="193"/>
        <v>0</v>
      </c>
      <c r="Y869" s="10">
        <v>32</v>
      </c>
      <c r="Z869" s="30"/>
      <c r="AA869" s="31"/>
      <c r="AB869" s="47"/>
      <c r="AC869" s="31"/>
      <c r="AD869" s="31"/>
      <c r="AE869" s="32">
        <f t="shared" si="194"/>
        <v>0</v>
      </c>
      <c r="AF869" s="10"/>
      <c r="AG869" s="10"/>
      <c r="AH869" s="10"/>
      <c r="AI869" s="12">
        <f t="shared" si="19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>
        <v>33</v>
      </c>
      <c r="B870" s="30"/>
      <c r="C870" s="83"/>
      <c r="D870" s="32"/>
      <c r="E870" s="32"/>
      <c r="F870" s="32"/>
      <c r="G870" s="32">
        <f t="shared" si="190"/>
        <v>0</v>
      </c>
      <c r="H870" s="10"/>
      <c r="I870" s="10"/>
      <c r="J870" s="10"/>
      <c r="K870" s="12">
        <f t="shared" si="191"/>
        <v>0</v>
      </c>
      <c r="M870" s="10">
        <v>33</v>
      </c>
      <c r="N870" s="30"/>
      <c r="O870" s="31"/>
      <c r="P870" s="47"/>
      <c r="Q870" s="31"/>
      <c r="R870" s="31"/>
      <c r="S870" s="32">
        <f t="shared" si="192"/>
        <v>0</v>
      </c>
      <c r="T870" s="10"/>
      <c r="U870" s="10"/>
      <c r="V870" s="10"/>
      <c r="W870" s="12">
        <f t="shared" si="193"/>
        <v>0</v>
      </c>
      <c r="Y870" s="10">
        <v>33</v>
      </c>
      <c r="Z870" s="30"/>
      <c r="AA870" s="31"/>
      <c r="AB870" s="47"/>
      <c r="AC870" s="31"/>
      <c r="AD870" s="31"/>
      <c r="AE870" s="32">
        <f t="shared" si="194"/>
        <v>0</v>
      </c>
      <c r="AF870" s="10"/>
      <c r="AG870" s="10"/>
      <c r="AH870" s="10"/>
      <c r="AI870" s="12">
        <f t="shared" si="19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>
        <f t="shared" si="190"/>
        <v>0</v>
      </c>
      <c r="H871" s="10"/>
      <c r="I871" s="10"/>
      <c r="J871" s="10"/>
      <c r="K871" s="12">
        <f t="shared" si="191"/>
        <v>0</v>
      </c>
      <c r="M871" s="10">
        <v>34</v>
      </c>
      <c r="N871" s="30"/>
      <c r="O871" s="31"/>
      <c r="P871" s="47"/>
      <c r="Q871" s="31"/>
      <c r="R871" s="31"/>
      <c r="S871" s="32">
        <f t="shared" si="192"/>
        <v>0</v>
      </c>
      <c r="T871" s="10"/>
      <c r="U871" s="10"/>
      <c r="V871" s="10"/>
      <c r="W871" s="12">
        <f t="shared" si="193"/>
        <v>0</v>
      </c>
      <c r="Y871" s="10">
        <v>34</v>
      </c>
      <c r="Z871" s="30"/>
      <c r="AA871" s="31"/>
      <c r="AB871" s="47"/>
      <c r="AC871" s="31"/>
      <c r="AD871" s="31"/>
      <c r="AE871" s="32">
        <f t="shared" si="194"/>
        <v>0</v>
      </c>
      <c r="AF871" s="10"/>
      <c r="AG871" s="10"/>
      <c r="AH871" s="10"/>
      <c r="AI871" s="12">
        <f t="shared" si="19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35</v>
      </c>
      <c r="N872" s="30"/>
      <c r="O872" s="31"/>
      <c r="P872" s="47"/>
      <c r="Q872" s="31"/>
      <c r="R872" s="31"/>
      <c r="S872" s="32">
        <f t="shared" si="192"/>
        <v>0</v>
      </c>
      <c r="T872" s="10"/>
      <c r="U872" s="10"/>
      <c r="V872" s="10"/>
      <c r="W872" s="12">
        <f t="shared" si="193"/>
        <v>0</v>
      </c>
      <c r="Y872" s="10">
        <v>35</v>
      </c>
      <c r="Z872" s="30"/>
      <c r="AA872" s="31"/>
      <c r="AB872" s="47"/>
      <c r="AC872" s="31"/>
      <c r="AD872" s="31"/>
      <c r="AE872" s="32">
        <f t="shared" si="194"/>
        <v>0</v>
      </c>
      <c r="AF872" s="10"/>
      <c r="AG872" s="10"/>
      <c r="AH872" s="10"/>
      <c r="AI872" s="12">
        <f t="shared" si="19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83"/>
      <c r="D873" s="32"/>
      <c r="E873" s="32"/>
      <c r="F873" s="32"/>
      <c r="G873" s="32"/>
      <c r="H873" s="10"/>
      <c r="I873" s="10"/>
      <c r="J873" s="10"/>
      <c r="K873" s="12"/>
      <c r="M873" s="10">
        <v>36</v>
      </c>
      <c r="N873" s="30"/>
      <c r="O873" s="31"/>
      <c r="P873" s="47"/>
      <c r="Q873" s="31"/>
      <c r="R873" s="31"/>
      <c r="S873" s="32">
        <f t="shared" si="192"/>
        <v>0</v>
      </c>
      <c r="T873" s="10"/>
      <c r="U873" s="10"/>
      <c r="V873" s="10"/>
      <c r="W873" s="12">
        <f t="shared" si="193"/>
        <v>0</v>
      </c>
      <c r="Y873" s="10">
        <v>36</v>
      </c>
      <c r="Z873" s="30"/>
      <c r="AA873" s="31"/>
      <c r="AB873" s="47"/>
      <c r="AC873" s="31"/>
      <c r="AD873" s="31"/>
      <c r="AE873" s="32">
        <f t="shared" si="194"/>
        <v>0</v>
      </c>
      <c r="AF873" s="10"/>
      <c r="AG873" s="10"/>
      <c r="AH873" s="10"/>
      <c r="AI873" s="12">
        <f t="shared" si="19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37</v>
      </c>
      <c r="N874" s="30"/>
      <c r="P874" s="47"/>
      <c r="Q874" s="31"/>
      <c r="R874" s="31"/>
      <c r="S874" s="32">
        <f t="shared" si="192"/>
        <v>0</v>
      </c>
      <c r="T874" s="10"/>
      <c r="U874" s="10"/>
      <c r="V874" s="10"/>
      <c r="W874" s="12">
        <f t="shared" si="193"/>
        <v>0</v>
      </c>
      <c r="Y874" s="10">
        <v>37</v>
      </c>
      <c r="Z874" s="30"/>
      <c r="AA874" s="31"/>
      <c r="AB874" s="47"/>
      <c r="AC874" s="31"/>
      <c r="AD874" s="31"/>
      <c r="AE874" s="32">
        <f t="shared" si="194"/>
        <v>0</v>
      </c>
      <c r="AF874" s="10"/>
      <c r="AG874" s="10"/>
      <c r="AH874" s="10"/>
      <c r="AI874" s="12">
        <f t="shared" si="19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38</v>
      </c>
      <c r="N875" s="30"/>
      <c r="O875" s="31"/>
      <c r="P875" s="47"/>
      <c r="Q875" s="31"/>
      <c r="R875" s="31"/>
      <c r="S875" s="32">
        <f t="shared" si="192"/>
        <v>0</v>
      </c>
      <c r="T875" s="10"/>
      <c r="U875" s="10"/>
      <c r="V875" s="10"/>
      <c r="W875" s="12">
        <f t="shared" si="193"/>
        <v>0</v>
      </c>
      <c r="Y875" s="10">
        <v>38</v>
      </c>
      <c r="Z875" s="30"/>
      <c r="AA875" s="31"/>
      <c r="AB875" s="47"/>
      <c r="AC875" s="31"/>
      <c r="AD875" s="31"/>
      <c r="AE875" s="32">
        <f t="shared" si="194"/>
        <v>0</v>
      </c>
      <c r="AF875" s="10"/>
      <c r="AG875" s="10"/>
      <c r="AH875" s="10"/>
      <c r="AI875" s="12">
        <f t="shared" si="19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>
        <v>39</v>
      </c>
      <c r="N876" s="30"/>
      <c r="O876" s="31"/>
      <c r="P876" s="47"/>
      <c r="Q876" s="31"/>
      <c r="R876" s="31"/>
      <c r="S876" s="32">
        <f t="shared" si="192"/>
        <v>0</v>
      </c>
      <c r="T876" s="10"/>
      <c r="U876" s="10"/>
      <c r="V876" s="10"/>
      <c r="W876" s="12">
        <f t="shared" si="193"/>
        <v>0</v>
      </c>
      <c r="Y876" s="10">
        <v>39</v>
      </c>
      <c r="Z876" s="30"/>
      <c r="AA876" s="31"/>
      <c r="AB876" s="47"/>
      <c r="AC876" s="31"/>
      <c r="AD876" s="31"/>
      <c r="AE876" s="32">
        <f t="shared" si="194"/>
        <v>0</v>
      </c>
      <c r="AF876" s="10"/>
      <c r="AG876" s="10"/>
      <c r="AH876" s="10"/>
      <c r="AI876" s="12">
        <f t="shared" si="19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/>
      <c r="H877" s="10"/>
      <c r="I877" s="10"/>
      <c r="J877" s="10"/>
      <c r="K877" s="12"/>
      <c r="M877" s="10"/>
      <c r="N877" s="30"/>
      <c r="P877" s="47"/>
      <c r="Q877" s="31"/>
      <c r="R877" s="31"/>
      <c r="S877" s="32"/>
      <c r="T877" s="10"/>
      <c r="U877" s="10"/>
      <c r="V877" s="10"/>
      <c r="W877" s="12">
        <f t="shared" si="193"/>
        <v>0</v>
      </c>
      <c r="Y877" s="10"/>
      <c r="Z877" s="30"/>
      <c r="AB877" s="47"/>
      <c r="AC877" s="31"/>
      <c r="AD877" s="31"/>
      <c r="AE877" s="32"/>
      <c r="AF877" s="10"/>
      <c r="AG877" s="10"/>
      <c r="AH877" s="10"/>
      <c r="AI877" s="12">
        <f t="shared" si="19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1"/>
      <c r="D878" s="32"/>
      <c r="E878" s="32"/>
      <c r="F878" s="32"/>
      <c r="G878" s="32">
        <f t="shared" ref="G878" si="198">SUM(D878:E878)</f>
        <v>0</v>
      </c>
      <c r="H878" s="10"/>
      <c r="I878" s="10"/>
      <c r="J878" s="10"/>
      <c r="K878" s="12">
        <f t="shared" ref="K878" si="199">SUM(G878:J878)</f>
        <v>0</v>
      </c>
      <c r="M878" s="10"/>
      <c r="N878" s="30"/>
      <c r="O878" s="31"/>
      <c r="P878" s="47"/>
      <c r="Q878" s="31"/>
      <c r="R878" s="31"/>
      <c r="S878" s="32">
        <f t="shared" ref="S878" si="200">SUM(P878:Q878)</f>
        <v>0</v>
      </c>
      <c r="T878" s="10"/>
      <c r="U878" s="10"/>
      <c r="V878" s="10"/>
      <c r="W878" s="12">
        <f t="shared" si="193"/>
        <v>0</v>
      </c>
      <c r="Y878" s="10"/>
      <c r="Z878" s="30"/>
      <c r="AA878" s="31"/>
      <c r="AB878" s="47"/>
      <c r="AC878" s="31"/>
      <c r="AD878" s="31"/>
      <c r="AE878" s="32">
        <f t="shared" ref="AE878" si="201">SUM(AB878:AC878)</f>
        <v>0</v>
      </c>
      <c r="AF878" s="10"/>
      <c r="AG878" s="10"/>
      <c r="AH878" s="10"/>
      <c r="AI878" s="12">
        <f t="shared" si="19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10"/>
      <c r="B879" s="30"/>
      <c r="C879" s="30"/>
      <c r="D879" s="32"/>
      <c r="E879" s="32"/>
      <c r="F879" s="32"/>
      <c r="G879" s="32"/>
      <c r="H879" s="10"/>
      <c r="I879" s="10"/>
      <c r="J879" s="10"/>
      <c r="K879" s="12"/>
      <c r="M879" s="10"/>
      <c r="N879" s="31"/>
      <c r="O879" s="31"/>
      <c r="P879" s="31"/>
      <c r="Q879" s="31"/>
      <c r="R879" s="31"/>
      <c r="S879" s="31"/>
      <c r="T879" s="10"/>
      <c r="U879" s="10"/>
      <c r="V879" s="10"/>
      <c r="W879" s="12">
        <f t="shared" si="193"/>
        <v>0</v>
      </c>
      <c r="Y879" s="10"/>
      <c r="Z879" s="31"/>
      <c r="AA879" s="31"/>
      <c r="AB879" s="31"/>
      <c r="AC879" s="31"/>
      <c r="AD879" s="31"/>
      <c r="AE879" s="31"/>
      <c r="AF879" s="10"/>
      <c r="AG879" s="10"/>
      <c r="AH879" s="10"/>
      <c r="AI879" s="12">
        <f t="shared" si="195"/>
        <v>0</v>
      </c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6"/>
      <c r="E880" s="36"/>
      <c r="F880" s="36"/>
      <c r="G880" s="36"/>
      <c r="H880" s="37"/>
      <c r="I880" s="37"/>
      <c r="J880" s="37"/>
      <c r="K880" s="37"/>
      <c r="N880" s="57"/>
      <c r="O880" s="57"/>
      <c r="P880" s="36"/>
      <c r="Q880" s="36"/>
      <c r="R880" s="36"/>
      <c r="S880" s="36"/>
      <c r="T880" s="37"/>
      <c r="U880" s="37"/>
      <c r="V880" s="37"/>
      <c r="W880" s="37"/>
      <c r="Y880" s="10"/>
      <c r="Z880" s="31"/>
      <c r="AA880" s="31"/>
      <c r="AB880" s="31"/>
      <c r="AC880" s="31"/>
      <c r="AD880" s="31"/>
      <c r="AE880" s="31"/>
      <c r="AF880" s="10"/>
      <c r="AG880" s="10"/>
      <c r="AH880" s="10"/>
      <c r="AI880" s="12">
        <f t="shared" ref="AI880" si="202">SUM(AE880:AH880)</f>
        <v>0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B881" s="57"/>
      <c r="C881" s="57"/>
      <c r="D881" s="38">
        <f>SUM(D838:D880)</f>
        <v>335301</v>
      </c>
      <c r="E881" s="38">
        <f t="shared" ref="E881:F881" si="203">SUM(E838:E878)</f>
        <v>0</v>
      </c>
      <c r="F881" s="38">
        <f t="shared" si="203"/>
        <v>0</v>
      </c>
      <c r="G881" s="38">
        <f>SUM(G838:G880)</f>
        <v>335301</v>
      </c>
      <c r="H881" s="4"/>
      <c r="I881" s="39">
        <f>SUM(I838:I880)</f>
        <v>8880</v>
      </c>
      <c r="J881" s="39">
        <f>SUM(J838:J880)</f>
        <v>-6141</v>
      </c>
      <c r="K881" s="40">
        <f>SUM(K838:K880)</f>
        <v>338040</v>
      </c>
      <c r="N881" s="57"/>
      <c r="O881" s="57"/>
      <c r="P881" s="38">
        <f>SUM(P838:P880)</f>
        <v>250833</v>
      </c>
      <c r="Q881" s="38">
        <f>SUM(Q838:Q862)</f>
        <v>-1296</v>
      </c>
      <c r="R881" s="38">
        <f>SUM(R838:R862)</f>
        <v>0</v>
      </c>
      <c r="S881" s="38">
        <f>SUM(S838:S880)</f>
        <v>249537</v>
      </c>
      <c r="T881" s="4"/>
      <c r="U881" s="41">
        <f>SUM(U838:U880)</f>
        <v>820.5</v>
      </c>
      <c r="V881" s="41">
        <f>SUM(V838:V862)</f>
        <v>-1293</v>
      </c>
      <c r="W881" s="42">
        <f>SUM(W838:W880)</f>
        <v>249064.5</v>
      </c>
      <c r="Z881" s="57"/>
      <c r="AA881" s="57"/>
      <c r="AB881" s="38">
        <f>SUM(AB840:AB880)</f>
        <v>143532</v>
      </c>
      <c r="AC881" s="38">
        <f>SUM(AC840:AC864)</f>
        <v>-660</v>
      </c>
      <c r="AD881" s="38">
        <f>SUM(AD840:AD864)</f>
        <v>0</v>
      </c>
      <c r="AE881" s="38">
        <f>SUM(AE840:AE880)</f>
        <v>142872</v>
      </c>
      <c r="AF881" s="4"/>
      <c r="AG881" s="41">
        <f>SUM(AG840:AG880)</f>
        <v>378</v>
      </c>
      <c r="AH881" s="41">
        <f>SUM(AH840:AH864)</f>
        <v>-222</v>
      </c>
      <c r="AI881" s="42">
        <f>SUM(AI838:AI880)</f>
        <v>237103</v>
      </c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0</v>
      </c>
      <c r="B883" s="57"/>
      <c r="C883" s="57"/>
      <c r="D883" s="57"/>
      <c r="E883" s="57"/>
      <c r="G883" s="57"/>
      <c r="M883" t="s">
        <v>0</v>
      </c>
      <c r="N883" s="57"/>
      <c r="O883" s="57"/>
      <c r="P883" s="57"/>
      <c r="Q883" s="57"/>
      <c r="R883" s="57"/>
      <c r="S883" s="57"/>
      <c r="Y883" t="s">
        <v>0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t="s">
        <v>28</v>
      </c>
      <c r="B884" s="57"/>
      <c r="C884" s="57"/>
      <c r="D884" s="57"/>
      <c r="E884" s="57"/>
      <c r="G884" s="57"/>
      <c r="M884" t="s">
        <v>28</v>
      </c>
      <c r="N884" s="57"/>
      <c r="O884" s="57"/>
      <c r="P884" s="57"/>
      <c r="Q884" s="57"/>
      <c r="R884" s="57"/>
      <c r="S884" s="57"/>
      <c r="Y884" t="s">
        <v>28</v>
      </c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B885" s="57"/>
      <c r="C885" s="57"/>
      <c r="D885" s="57"/>
      <c r="E885" s="57"/>
      <c r="G885" s="57"/>
      <c r="N885" s="57"/>
      <c r="O885" s="57"/>
      <c r="P885" s="57"/>
      <c r="Q885" s="57"/>
      <c r="R885" s="57"/>
      <c r="S885" s="57"/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4" t="s">
        <v>14</v>
      </c>
      <c r="B886" s="57"/>
      <c r="C886" s="57"/>
      <c r="D886" s="57"/>
      <c r="E886" s="57"/>
      <c r="G886" s="57"/>
      <c r="M886" s="4" t="s">
        <v>14</v>
      </c>
      <c r="N886" s="57"/>
      <c r="O886" s="57"/>
      <c r="P886" s="57"/>
      <c r="Q886" s="57"/>
      <c r="R886" s="57"/>
      <c r="S886" s="57"/>
      <c r="Y886" s="4" t="s">
        <v>14</v>
      </c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B887" s="57"/>
      <c r="C887" s="57"/>
      <c r="D887" s="57"/>
      <c r="E887" s="57"/>
      <c r="G887" s="57"/>
      <c r="N887" s="57"/>
      <c r="O887" s="57"/>
      <c r="P887" s="57"/>
      <c r="Q887" s="57"/>
      <c r="R887" s="57"/>
      <c r="S887" s="57"/>
      <c r="Z887" s="57"/>
      <c r="AA887" s="57"/>
      <c r="AB887" s="57"/>
      <c r="AC887" s="57"/>
      <c r="AD887" s="57"/>
      <c r="AE887" s="57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ht="15.75" x14ac:dyDescent="0.25">
      <c r="A888" t="s">
        <v>54</v>
      </c>
      <c r="B888" s="57"/>
      <c r="C888" s="57"/>
      <c r="D888" s="57"/>
      <c r="E888" s="57"/>
      <c r="G888" s="57"/>
      <c r="I888" s="57" t="s">
        <v>15</v>
      </c>
      <c r="J888" s="19">
        <v>1</v>
      </c>
      <c r="M888" t="s">
        <v>54</v>
      </c>
      <c r="N888" s="57"/>
      <c r="O888" s="57"/>
      <c r="P888" s="57"/>
      <c r="Q888" s="57"/>
      <c r="R888" s="57"/>
      <c r="S888" s="57"/>
      <c r="U888" s="57" t="s">
        <v>15</v>
      </c>
      <c r="V888" s="19">
        <v>2</v>
      </c>
      <c r="Y888" t="s">
        <v>54</v>
      </c>
      <c r="Z888" s="57"/>
      <c r="AA888" s="57"/>
      <c r="AB888" s="57"/>
      <c r="AC888" s="57"/>
      <c r="AD888" s="57"/>
      <c r="AE888" s="57"/>
      <c r="AG888" s="57" t="s">
        <v>15</v>
      </c>
      <c r="AH888" s="20">
        <v>3</v>
      </c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21" t="s">
        <v>100</v>
      </c>
      <c r="B889" s="20"/>
      <c r="C889" s="57"/>
      <c r="D889" s="57"/>
      <c r="E889" s="57"/>
      <c r="G889" s="57"/>
      <c r="I889" s="22" t="s">
        <v>16</v>
      </c>
      <c r="J889" s="23" t="s">
        <v>31</v>
      </c>
      <c r="K889" s="24"/>
      <c r="M889" s="21" t="s">
        <v>100</v>
      </c>
      <c r="N889" s="20"/>
      <c r="O889" s="57"/>
      <c r="P889" s="57"/>
      <c r="Q889" s="57"/>
      <c r="R889" s="57"/>
      <c r="S889" s="57"/>
      <c r="U889" s="22" t="s">
        <v>16</v>
      </c>
      <c r="V889" s="23" t="s">
        <v>33</v>
      </c>
      <c r="W889" s="24"/>
      <c r="Y889" s="21" t="s">
        <v>100</v>
      </c>
      <c r="Z889" s="20"/>
      <c r="AA889" s="57"/>
      <c r="AB889" s="57"/>
      <c r="AC889" s="57"/>
      <c r="AD889" s="57"/>
      <c r="AE889" s="57"/>
      <c r="AG889" s="22" t="s">
        <v>16</v>
      </c>
      <c r="AH889" s="23" t="s">
        <v>34</v>
      </c>
      <c r="AI889" s="24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57"/>
      <c r="C890" s="57"/>
      <c r="D890" s="57"/>
      <c r="E890" s="57"/>
      <c r="G890" s="57"/>
      <c r="N890" s="57"/>
      <c r="O890" s="57"/>
      <c r="P890" s="57"/>
      <c r="Q890" s="57"/>
      <c r="R890" s="57"/>
      <c r="S890" s="57"/>
      <c r="Z890" s="57"/>
      <c r="AA890" s="57"/>
      <c r="AB890" s="57"/>
      <c r="AC890" s="57"/>
      <c r="AD890" s="57"/>
      <c r="AE890" s="57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B891" s="25"/>
      <c r="C891" s="26"/>
      <c r="D891" s="125" t="s">
        <v>17</v>
      </c>
      <c r="E891" s="125"/>
      <c r="F891" s="108"/>
      <c r="G891" s="27"/>
      <c r="I891" s="116" t="s">
        <v>18</v>
      </c>
      <c r="J891" s="117"/>
      <c r="K891" s="122" t="s">
        <v>19</v>
      </c>
      <c r="N891" s="25"/>
      <c r="O891" s="26"/>
      <c r="P891" s="125" t="s">
        <v>17</v>
      </c>
      <c r="Q891" s="125"/>
      <c r="R891" s="108"/>
      <c r="S891" s="27"/>
      <c r="U891" s="116" t="s">
        <v>18</v>
      </c>
      <c r="V891" s="117"/>
      <c r="W891" s="122" t="s">
        <v>19</v>
      </c>
      <c r="Z891" s="25"/>
      <c r="AA891" s="26"/>
      <c r="AB891" s="125" t="s">
        <v>17</v>
      </c>
      <c r="AC891" s="125"/>
      <c r="AD891" s="108"/>
      <c r="AE891" s="27"/>
      <c r="AG891" s="116" t="s">
        <v>18</v>
      </c>
      <c r="AH891" s="117"/>
      <c r="AI891" s="122" t="s">
        <v>19</v>
      </c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ht="30" x14ac:dyDescent="0.25">
      <c r="B892" s="28" t="s">
        <v>20</v>
      </c>
      <c r="C892" s="28" t="s">
        <v>21</v>
      </c>
      <c r="D892" s="77" t="s">
        <v>22</v>
      </c>
      <c r="E892" s="76" t="s">
        <v>23</v>
      </c>
      <c r="F892" s="78" t="s">
        <v>32</v>
      </c>
      <c r="G892" s="78" t="s">
        <v>24</v>
      </c>
      <c r="I892" s="29" t="s">
        <v>25</v>
      </c>
      <c r="J892" s="29" t="s">
        <v>26</v>
      </c>
      <c r="K892" s="126"/>
      <c r="N892" s="28" t="s">
        <v>20</v>
      </c>
      <c r="O892" s="28" t="s">
        <v>21</v>
      </c>
      <c r="P892" s="77" t="s">
        <v>22</v>
      </c>
      <c r="Q892" s="78" t="s">
        <v>23</v>
      </c>
      <c r="R892" s="78" t="s">
        <v>32</v>
      </c>
      <c r="S892" s="78" t="s">
        <v>24</v>
      </c>
      <c r="U892" s="29" t="s">
        <v>25</v>
      </c>
      <c r="V892" s="29" t="s">
        <v>26</v>
      </c>
      <c r="W892" s="126"/>
      <c r="Z892" s="28" t="s">
        <v>20</v>
      </c>
      <c r="AA892" s="28" t="s">
        <v>21</v>
      </c>
      <c r="AB892" s="77" t="s">
        <v>22</v>
      </c>
      <c r="AC892" s="78" t="s">
        <v>23</v>
      </c>
      <c r="AD892" s="78" t="s">
        <v>32</v>
      </c>
      <c r="AE892" s="78" t="s">
        <v>24</v>
      </c>
      <c r="AG892" s="29" t="s">
        <v>25</v>
      </c>
      <c r="AH892" s="29" t="s">
        <v>26</v>
      </c>
      <c r="AI892" s="126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1</v>
      </c>
      <c r="B893" s="30" t="s">
        <v>99</v>
      </c>
      <c r="C893" s="83">
        <v>10664</v>
      </c>
      <c r="D893" s="32">
        <f>650*34+670+622*5+229</f>
        <v>26109</v>
      </c>
      <c r="E893" s="32"/>
      <c r="F893" s="32"/>
      <c r="G893" s="32">
        <f t="shared" ref="G893:G926" si="204">SUM(D893:E893)</f>
        <v>26109</v>
      </c>
      <c r="H893" s="12"/>
      <c r="I893" s="12"/>
      <c r="J893" s="12"/>
      <c r="K893" s="12">
        <f t="shared" ref="K893:K926" si="205">SUM(G893:J893)</f>
        <v>26109</v>
      </c>
      <c r="M893" s="10">
        <v>1</v>
      </c>
      <c r="N893" s="30" t="s">
        <v>99</v>
      </c>
      <c r="O893" s="31">
        <v>10581</v>
      </c>
      <c r="P893" s="32">
        <f>650*2+9.5*2</f>
        <v>1319</v>
      </c>
      <c r="Q893" s="32"/>
      <c r="R893" s="32"/>
      <c r="S893" s="32">
        <f>SUM(P893:Q893)</f>
        <v>1319</v>
      </c>
      <c r="T893" s="12"/>
      <c r="U893" s="12"/>
      <c r="V893" s="12">
        <v>-222</v>
      </c>
      <c r="W893" s="12">
        <f>SUM(S893:V893)</f>
        <v>1097</v>
      </c>
      <c r="Y893" s="10">
        <v>1</v>
      </c>
      <c r="Z893" s="30" t="s">
        <v>99</v>
      </c>
      <c r="AA893" s="31">
        <v>10630</v>
      </c>
      <c r="AB893" s="32">
        <f>650*108+670*5+622*42+872*3+229*3</f>
        <v>102977</v>
      </c>
      <c r="AC893" s="32">
        <f>-158*6</f>
        <v>-948</v>
      </c>
      <c r="AD893" s="32"/>
      <c r="AE893" s="32">
        <f>SUM(AB893:AC893)</f>
        <v>102029</v>
      </c>
      <c r="AF893" s="12"/>
      <c r="AG893" s="12">
        <v>270</v>
      </c>
      <c r="AH893" s="12"/>
      <c r="AI893" s="12">
        <f>SUM(AE893:AH893)</f>
        <v>102299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2</v>
      </c>
      <c r="B894" s="30" t="s">
        <v>99</v>
      </c>
      <c r="C894" s="83">
        <f>C893+1</f>
        <v>10665</v>
      </c>
      <c r="D894" s="32">
        <f>650*8+622*4+1050+872+114+650*5</f>
        <v>12974</v>
      </c>
      <c r="E894" s="32"/>
      <c r="F894" s="32"/>
      <c r="G894" s="32">
        <f t="shared" si="204"/>
        <v>12974</v>
      </c>
      <c r="H894" s="12"/>
      <c r="I894" s="12">
        <f>49.5+99</f>
        <v>148.5</v>
      </c>
      <c r="J894" s="12"/>
      <c r="K894" s="12">
        <f t="shared" si="205"/>
        <v>13122.5</v>
      </c>
      <c r="M894" s="10">
        <v>2</v>
      </c>
      <c r="N894" s="30" t="s">
        <v>99</v>
      </c>
      <c r="O894" s="31">
        <f>O893+1</f>
        <v>10582</v>
      </c>
      <c r="P894" s="32">
        <f>650*60+229</f>
        <v>39229</v>
      </c>
      <c r="Q894" s="32"/>
      <c r="R894" s="32"/>
      <c r="S894" s="32">
        <f t="shared" ref="S894:S931" si="206">SUM(P894:Q894)</f>
        <v>39229</v>
      </c>
      <c r="T894" s="12"/>
      <c r="U894" s="12">
        <f>4.5*13</f>
        <v>58.5</v>
      </c>
      <c r="V894" s="12"/>
      <c r="W894" s="12">
        <f t="shared" ref="W894:W934" si="207">SUM(S894:V894)</f>
        <v>39287.5</v>
      </c>
      <c r="Y894" s="10">
        <v>2</v>
      </c>
      <c r="Z894" s="30" t="s">
        <v>99</v>
      </c>
      <c r="AA894" s="31">
        <f>AA893+1</f>
        <v>10631</v>
      </c>
      <c r="AB894" s="32">
        <f>650*120+670*10+622*10+912+1050*2+229*4</f>
        <v>94848</v>
      </c>
      <c r="AC894" s="32">
        <f>-143*6</f>
        <v>-858</v>
      </c>
      <c r="AD894" s="32"/>
      <c r="AE894" s="32">
        <f t="shared" ref="AE894:AE931" si="208">SUM(AB894:AC894)</f>
        <v>93990</v>
      </c>
      <c r="AF894" s="12"/>
      <c r="AG894" s="12"/>
      <c r="AH894" s="12"/>
      <c r="AI894" s="12">
        <f t="shared" ref="AI894:AI934" si="209">SUM(AE894:AH894)</f>
        <v>93990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3</v>
      </c>
      <c r="B895" s="30" t="s">
        <v>99</v>
      </c>
      <c r="C895" s="83">
        <f t="shared" ref="C895:C906" si="210">C894+1</f>
        <v>10666</v>
      </c>
      <c r="D895" s="33">
        <f>650*15+670*2+912+622*2+872+500</f>
        <v>14618</v>
      </c>
      <c r="E895" s="33"/>
      <c r="F895" s="33"/>
      <c r="G895" s="33">
        <f t="shared" si="204"/>
        <v>14618</v>
      </c>
      <c r="H895" s="34"/>
      <c r="I895" s="34">
        <f>4.5*6+1.5*24+2.25*4</f>
        <v>72</v>
      </c>
      <c r="J895" s="34"/>
      <c r="K895" s="34">
        <f t="shared" si="205"/>
        <v>14690</v>
      </c>
      <c r="M895" s="10">
        <v>3</v>
      </c>
      <c r="N895" s="30" t="s">
        <v>99</v>
      </c>
      <c r="O895" s="31">
        <f t="shared" ref="O895:O900" si="211">O894+1</f>
        <v>10583</v>
      </c>
      <c r="P895" s="32">
        <f>650*34+670*2+622*2+9.5*5</f>
        <v>24731.5</v>
      </c>
      <c r="Q895" s="32"/>
      <c r="R895" s="32"/>
      <c r="S895" s="32">
        <f t="shared" si="206"/>
        <v>24731.5</v>
      </c>
      <c r="T895" s="12"/>
      <c r="U895" s="12">
        <f>4.5*16</f>
        <v>72</v>
      </c>
      <c r="V895" s="12"/>
      <c r="W895" s="12">
        <f t="shared" si="207"/>
        <v>24803.5</v>
      </c>
      <c r="Y895" s="10">
        <v>3</v>
      </c>
      <c r="Z895" s="30" t="s">
        <v>99</v>
      </c>
      <c r="AA895" s="31">
        <f t="shared" ref="AA895:AA902" si="212">AA894+1</f>
        <v>10632</v>
      </c>
      <c r="AB895" s="32">
        <f>650*14+622</f>
        <v>9722</v>
      </c>
      <c r="AC895" s="32"/>
      <c r="AD895" s="32"/>
      <c r="AE895" s="32">
        <f t="shared" si="208"/>
        <v>9722</v>
      </c>
      <c r="AF895" s="12"/>
      <c r="AG895" s="12"/>
      <c r="AH895" s="12">
        <v>-1110</v>
      </c>
      <c r="AI895" s="12">
        <f t="shared" si="209"/>
        <v>8612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4</v>
      </c>
      <c r="B896" s="30" t="s">
        <v>99</v>
      </c>
      <c r="C896" s="83">
        <f t="shared" si="210"/>
        <v>10667</v>
      </c>
      <c r="D896" s="32">
        <f>650*13+622*4+650*2</f>
        <v>12238</v>
      </c>
      <c r="E896" s="32"/>
      <c r="F896" s="32"/>
      <c r="G896" s="32">
        <f t="shared" si="204"/>
        <v>12238</v>
      </c>
      <c r="H896" s="12"/>
      <c r="I896" s="12"/>
      <c r="J896" s="12"/>
      <c r="K896" s="12">
        <f t="shared" si="205"/>
        <v>12238</v>
      </c>
      <c r="M896" s="10">
        <v>4</v>
      </c>
      <c r="N896" s="30" t="s">
        <v>99</v>
      </c>
      <c r="O896" s="31">
        <f t="shared" si="211"/>
        <v>10584</v>
      </c>
      <c r="P896" s="32">
        <f>650</f>
        <v>650</v>
      </c>
      <c r="Q896" s="32"/>
      <c r="R896" s="32"/>
      <c r="S896" s="32">
        <f t="shared" si="206"/>
        <v>650</v>
      </c>
      <c r="T896" s="12"/>
      <c r="U896" s="12"/>
      <c r="V896" s="12"/>
      <c r="W896" s="12">
        <f t="shared" si="207"/>
        <v>650</v>
      </c>
      <c r="Y896" s="10">
        <v>4</v>
      </c>
      <c r="Z896" s="30" t="s">
        <v>99</v>
      </c>
      <c r="AA896" s="31">
        <f t="shared" si="212"/>
        <v>10633</v>
      </c>
      <c r="AB896" s="32">
        <f>650*38+670*5+622*10+229*2</f>
        <v>34728</v>
      </c>
      <c r="AC896" s="32"/>
      <c r="AD896" s="32"/>
      <c r="AE896" s="32">
        <f t="shared" si="208"/>
        <v>34728</v>
      </c>
      <c r="AF896" s="12"/>
      <c r="AG896" s="12"/>
      <c r="AH896" s="12"/>
      <c r="AI896" s="12">
        <f t="shared" si="209"/>
        <v>34728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5</v>
      </c>
      <c r="B897" s="30" t="s">
        <v>99</v>
      </c>
      <c r="C897" s="83">
        <f t="shared" si="210"/>
        <v>10668</v>
      </c>
      <c r="D897" s="32">
        <f>650*11+670*5+973*2+622+1175+1050+872+65.92*16+500+700*3</f>
        <v>19819.72</v>
      </c>
      <c r="E897" s="32"/>
      <c r="F897" s="32"/>
      <c r="G897" s="32">
        <f t="shared" si="204"/>
        <v>19819.72</v>
      </c>
      <c r="H897" s="12"/>
      <c r="I897" s="12">
        <f>1.5*48+4.5*42</f>
        <v>261</v>
      </c>
      <c r="J897" s="12"/>
      <c r="K897" s="12">
        <f t="shared" si="205"/>
        <v>20080.72</v>
      </c>
      <c r="M897" s="10">
        <v>5</v>
      </c>
      <c r="N897" s="30" t="s">
        <v>99</v>
      </c>
      <c r="O897" s="31">
        <f t="shared" si="211"/>
        <v>10585</v>
      </c>
      <c r="P897" s="32">
        <f>650*2</f>
        <v>1300</v>
      </c>
      <c r="Q897" s="32"/>
      <c r="R897" s="32"/>
      <c r="S897" s="32">
        <f t="shared" si="206"/>
        <v>1300</v>
      </c>
      <c r="T897" s="12"/>
      <c r="U897" s="12"/>
      <c r="V897" s="12">
        <v>-222</v>
      </c>
      <c r="W897" s="12">
        <f t="shared" si="207"/>
        <v>1078</v>
      </c>
      <c r="Y897" s="10">
        <v>5</v>
      </c>
      <c r="Z897" s="30" t="s">
        <v>99</v>
      </c>
      <c r="AA897" s="31">
        <f t="shared" si="212"/>
        <v>10634</v>
      </c>
      <c r="AB897" s="32">
        <f>650*20+622*3+229</f>
        <v>15095</v>
      </c>
      <c r="AC897" s="32"/>
      <c r="AD897" s="32"/>
      <c r="AE897" s="32">
        <f t="shared" si="208"/>
        <v>15095</v>
      </c>
      <c r="AF897" s="12"/>
      <c r="AG897" s="12"/>
      <c r="AH897" s="12">
        <v>-1332</v>
      </c>
      <c r="AI897" s="12">
        <f t="shared" si="209"/>
        <v>13763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6</v>
      </c>
      <c r="B898" s="30" t="s">
        <v>99</v>
      </c>
      <c r="C898" s="83">
        <f t="shared" si="210"/>
        <v>10669</v>
      </c>
      <c r="D898" s="32">
        <f>650*15+622</f>
        <v>10372</v>
      </c>
      <c r="E898" s="32"/>
      <c r="F898" s="32"/>
      <c r="G898" s="32">
        <f t="shared" si="204"/>
        <v>10372</v>
      </c>
      <c r="H898" s="12"/>
      <c r="I898" s="12"/>
      <c r="J898" s="12"/>
      <c r="K898" s="12">
        <f t="shared" si="205"/>
        <v>10372</v>
      </c>
      <c r="M898" s="10">
        <v>6</v>
      </c>
      <c r="N898" s="30" t="s">
        <v>99</v>
      </c>
      <c r="O898" s="31">
        <f t="shared" si="211"/>
        <v>10586</v>
      </c>
      <c r="P898" s="32">
        <f>650*6</f>
        <v>3900</v>
      </c>
      <c r="Q898" s="32"/>
      <c r="R898" s="32"/>
      <c r="S898" s="32">
        <f t="shared" si="206"/>
        <v>3900</v>
      </c>
      <c r="T898" s="12"/>
      <c r="U898" s="12"/>
      <c r="V898" s="10">
        <v>-1110</v>
      </c>
      <c r="W898" s="12">
        <f t="shared" si="207"/>
        <v>2790</v>
      </c>
      <c r="Y898" s="10">
        <v>6</v>
      </c>
      <c r="Z898" s="30" t="s">
        <v>99</v>
      </c>
      <c r="AA898" s="31">
        <f t="shared" si="212"/>
        <v>10635</v>
      </c>
      <c r="AB898" s="32">
        <f>650*6+229</f>
        <v>4129</v>
      </c>
      <c r="AC898" s="32"/>
      <c r="AD898" s="32"/>
      <c r="AE898" s="32">
        <f t="shared" si="208"/>
        <v>4129</v>
      </c>
      <c r="AF898" s="12"/>
      <c r="AG898" s="12">
        <f>111+78</f>
        <v>189</v>
      </c>
      <c r="AH898" s="10"/>
      <c r="AI898" s="12">
        <f t="shared" si="209"/>
        <v>4318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7</v>
      </c>
      <c r="B899" s="30" t="s">
        <v>99</v>
      </c>
      <c r="C899" s="83">
        <f t="shared" si="210"/>
        <v>10670</v>
      </c>
      <c r="D899" s="32">
        <f>650*3+9.5*3</f>
        <v>1978.5</v>
      </c>
      <c r="E899" s="32"/>
      <c r="F899" s="32"/>
      <c r="G899" s="32">
        <f t="shared" si="204"/>
        <v>1978.5</v>
      </c>
      <c r="H899" s="12"/>
      <c r="I899" s="12"/>
      <c r="J899" s="12"/>
      <c r="K899" s="12">
        <f t="shared" si="205"/>
        <v>1978.5</v>
      </c>
      <c r="M899" s="10">
        <v>7</v>
      </c>
      <c r="N899" s="30" t="s">
        <v>99</v>
      </c>
      <c r="O899" s="31">
        <f t="shared" si="211"/>
        <v>10587</v>
      </c>
      <c r="P899" s="32">
        <f>650*170+1667+1175+622*20+1102+872*3+229*6+650*2</f>
        <v>132174</v>
      </c>
      <c r="Q899" s="32">
        <v>-1158</v>
      </c>
      <c r="R899" s="32"/>
      <c r="S899" s="32">
        <f t="shared" si="206"/>
        <v>131016</v>
      </c>
      <c r="T899" s="12"/>
      <c r="U899" s="12">
        <f>312+240</f>
        <v>552</v>
      </c>
      <c r="V899" s="12">
        <f>-6660+-336</f>
        <v>-6996</v>
      </c>
      <c r="W899" s="12">
        <f t="shared" si="207"/>
        <v>124572</v>
      </c>
      <c r="Y899" s="10">
        <v>7</v>
      </c>
      <c r="Z899" s="30" t="s">
        <v>99</v>
      </c>
      <c r="AA899" s="31">
        <f t="shared" si="212"/>
        <v>10636</v>
      </c>
      <c r="AB899" s="32">
        <f>650*40+622*10+912*2+229*2</f>
        <v>34502</v>
      </c>
      <c r="AC899" s="32"/>
      <c r="AD899" s="32"/>
      <c r="AE899" s="32">
        <f t="shared" si="208"/>
        <v>34502</v>
      </c>
      <c r="AF899" s="12"/>
      <c r="AG899" s="12"/>
      <c r="AH899" s="12"/>
      <c r="AI899" s="12">
        <f t="shared" si="209"/>
        <v>34502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8</v>
      </c>
      <c r="B900" s="30" t="s">
        <v>99</v>
      </c>
      <c r="C900" s="83">
        <f t="shared" si="210"/>
        <v>10671</v>
      </c>
      <c r="D900" s="32">
        <f>650*7+670+229</f>
        <v>5449</v>
      </c>
      <c r="E900" s="32"/>
      <c r="F900" s="32"/>
      <c r="G900" s="32">
        <f t="shared" si="204"/>
        <v>5449</v>
      </c>
      <c r="H900" s="12"/>
      <c r="I900" s="12"/>
      <c r="J900" s="12"/>
      <c r="K900" s="12">
        <f t="shared" si="205"/>
        <v>5449</v>
      </c>
      <c r="M900" s="10">
        <v>8</v>
      </c>
      <c r="N900" s="30" t="s">
        <v>99</v>
      </c>
      <c r="O900" s="31">
        <f t="shared" si="211"/>
        <v>10588</v>
      </c>
      <c r="P900" s="32">
        <f>650+9.5</f>
        <v>659.5</v>
      </c>
      <c r="Q900" s="32"/>
      <c r="R900" s="32"/>
      <c r="S900" s="32">
        <f t="shared" si="206"/>
        <v>659.5</v>
      </c>
      <c r="T900" s="12"/>
      <c r="U900" s="12"/>
      <c r="V900" s="12"/>
      <c r="W900" s="12">
        <f t="shared" si="207"/>
        <v>659.5</v>
      </c>
      <c r="Y900" s="10">
        <v>8</v>
      </c>
      <c r="Z900" s="30" t="s">
        <v>99</v>
      </c>
      <c r="AA900" s="31">
        <f t="shared" si="212"/>
        <v>10637</v>
      </c>
      <c r="AB900" s="32">
        <f>650*10+622*5</f>
        <v>9610</v>
      </c>
      <c r="AC900" s="32"/>
      <c r="AD900" s="32"/>
      <c r="AE900" s="32">
        <f t="shared" si="208"/>
        <v>9610</v>
      </c>
      <c r="AF900" s="12"/>
      <c r="AG900" s="12"/>
      <c r="AH900" s="12"/>
      <c r="AI900" s="12">
        <f t="shared" si="209"/>
        <v>9610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9</v>
      </c>
      <c r="B901" s="30" t="s">
        <v>99</v>
      </c>
      <c r="C901" s="83">
        <f t="shared" si="210"/>
        <v>10672</v>
      </c>
      <c r="D901" s="32">
        <f>650*6+9.5*6</f>
        <v>3957</v>
      </c>
      <c r="E901" s="32"/>
      <c r="F901" s="32"/>
      <c r="G901" s="32">
        <f t="shared" si="204"/>
        <v>3957</v>
      </c>
      <c r="H901" s="12"/>
      <c r="I901" s="12"/>
      <c r="J901" s="12"/>
      <c r="K901" s="12">
        <f t="shared" si="205"/>
        <v>3957</v>
      </c>
      <c r="M901" s="10">
        <v>9</v>
      </c>
      <c r="N901" s="30"/>
      <c r="O901" s="11" t="s">
        <v>27</v>
      </c>
      <c r="P901" s="32"/>
      <c r="Q901" s="32"/>
      <c r="R901" s="32"/>
      <c r="S901" s="32">
        <f t="shared" si="206"/>
        <v>0</v>
      </c>
      <c r="T901" s="12"/>
      <c r="U901" s="12"/>
      <c r="V901" s="12"/>
      <c r="W901" s="12">
        <f t="shared" si="207"/>
        <v>0</v>
      </c>
      <c r="Y901" s="10">
        <v>9</v>
      </c>
      <c r="Z901" s="30" t="s">
        <v>101</v>
      </c>
      <c r="AA901" s="31">
        <f t="shared" si="212"/>
        <v>10638</v>
      </c>
      <c r="AB901" s="32">
        <f>650*7+622*2+9.5*9</f>
        <v>5879.5</v>
      </c>
      <c r="AC901" s="32"/>
      <c r="AD901" s="32"/>
      <c r="AE901" s="32">
        <f t="shared" si="208"/>
        <v>5879.5</v>
      </c>
      <c r="AF901" s="12"/>
      <c r="AG901" s="12"/>
      <c r="AH901" s="12"/>
      <c r="AI901" s="12">
        <f t="shared" si="209"/>
        <v>5879.5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10</v>
      </c>
      <c r="B902" s="30" t="s">
        <v>99</v>
      </c>
      <c r="C902" s="83">
        <f t="shared" si="210"/>
        <v>10673</v>
      </c>
      <c r="D902" s="32">
        <f>650*5+9.5*5</f>
        <v>3297.5</v>
      </c>
      <c r="E902" s="32"/>
      <c r="F902" s="32"/>
      <c r="G902" s="32">
        <f t="shared" si="204"/>
        <v>3297.5</v>
      </c>
      <c r="H902" s="12"/>
      <c r="I902" s="12"/>
      <c r="J902" s="12"/>
      <c r="K902" s="12">
        <f t="shared" si="205"/>
        <v>3297.5</v>
      </c>
      <c r="M902" s="10">
        <v>10</v>
      </c>
      <c r="N902" s="30"/>
      <c r="O902" s="31"/>
      <c r="P902" s="32"/>
      <c r="Q902" s="32"/>
      <c r="R902" s="32"/>
      <c r="S902" s="32">
        <f t="shared" si="206"/>
        <v>0</v>
      </c>
      <c r="T902" s="12"/>
      <c r="U902" s="12"/>
      <c r="V902" s="12"/>
      <c r="W902" s="12">
        <f t="shared" si="207"/>
        <v>0</v>
      </c>
      <c r="Y902" s="10">
        <v>10</v>
      </c>
      <c r="Z902" s="30" t="s">
        <v>102</v>
      </c>
      <c r="AA902" s="31">
        <f t="shared" si="212"/>
        <v>10639</v>
      </c>
      <c r="AB902" s="32">
        <f>650*60</f>
        <v>39000</v>
      </c>
      <c r="AC902" s="32">
        <f>-60*6</f>
        <v>-360</v>
      </c>
      <c r="AD902" s="32"/>
      <c r="AE902" s="32">
        <f t="shared" si="208"/>
        <v>38640</v>
      </c>
      <c r="AF902" s="12"/>
      <c r="AG902" s="12"/>
      <c r="AH902" s="12">
        <f>-111*26+-78*9</f>
        <v>-3588</v>
      </c>
      <c r="AI902" s="12">
        <f t="shared" si="209"/>
        <v>35052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11</v>
      </c>
      <c r="B903" s="30" t="s">
        <v>99</v>
      </c>
      <c r="C903" s="83">
        <f t="shared" si="210"/>
        <v>10674</v>
      </c>
      <c r="D903" s="32">
        <f>650*14+872+229</f>
        <v>10201</v>
      </c>
      <c r="E903" s="32"/>
      <c r="F903" s="32"/>
      <c r="G903" s="32">
        <f t="shared" si="204"/>
        <v>10201</v>
      </c>
      <c r="H903" s="12"/>
      <c r="I903" s="12"/>
      <c r="J903" s="12"/>
      <c r="K903" s="12">
        <f t="shared" si="205"/>
        <v>10201</v>
      </c>
      <c r="M903" s="10">
        <v>11</v>
      </c>
      <c r="N903" s="30"/>
      <c r="O903" s="31"/>
      <c r="P903" s="32"/>
      <c r="Q903" s="32"/>
      <c r="R903" s="32"/>
      <c r="S903" s="32">
        <f t="shared" si="206"/>
        <v>0</v>
      </c>
      <c r="T903" s="12"/>
      <c r="U903" s="12"/>
      <c r="V903" s="12"/>
      <c r="W903" s="12">
        <f t="shared" si="207"/>
        <v>0</v>
      </c>
      <c r="Y903" s="10">
        <v>11</v>
      </c>
      <c r="Z903" s="30"/>
      <c r="AA903" s="11" t="s">
        <v>27</v>
      </c>
      <c r="AB903" s="32"/>
      <c r="AC903" s="32"/>
      <c r="AD903" s="32"/>
      <c r="AE903" s="32">
        <f t="shared" si="208"/>
        <v>0</v>
      </c>
      <c r="AF903" s="12"/>
      <c r="AG903" s="12"/>
      <c r="AH903" s="12"/>
      <c r="AI903" s="12">
        <f t="shared" si="209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12</v>
      </c>
      <c r="B904" s="30" t="s">
        <v>99</v>
      </c>
      <c r="C904" s="83">
        <f t="shared" si="210"/>
        <v>10675</v>
      </c>
      <c r="D904" s="32">
        <f>650*10</f>
        <v>6500</v>
      </c>
      <c r="E904" s="32"/>
      <c r="F904" s="32"/>
      <c r="G904" s="32">
        <f t="shared" si="204"/>
        <v>6500</v>
      </c>
      <c r="H904" s="12"/>
      <c r="I904" s="12"/>
      <c r="J904" s="10"/>
      <c r="K904" s="12">
        <f t="shared" si="205"/>
        <v>6500</v>
      </c>
      <c r="M904" s="10">
        <v>12</v>
      </c>
      <c r="N904" s="30"/>
      <c r="O904" s="31"/>
      <c r="P904" s="32"/>
      <c r="Q904" s="32"/>
      <c r="R904" s="32"/>
      <c r="S904" s="32">
        <f t="shared" si="206"/>
        <v>0</v>
      </c>
      <c r="T904" s="12"/>
      <c r="U904" s="12"/>
      <c r="V904" s="12"/>
      <c r="W904" s="12">
        <f t="shared" si="207"/>
        <v>0</v>
      </c>
      <c r="Y904" s="10">
        <v>12</v>
      </c>
      <c r="Z904" s="30"/>
      <c r="AA904" s="31"/>
      <c r="AB904" s="32"/>
      <c r="AC904" s="32"/>
      <c r="AD904" s="32"/>
      <c r="AE904" s="32">
        <f t="shared" si="208"/>
        <v>0</v>
      </c>
      <c r="AF904" s="12"/>
      <c r="AG904" s="12"/>
      <c r="AH904" s="12"/>
      <c r="AI904" s="12">
        <f t="shared" si="209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13</v>
      </c>
      <c r="B905" s="30" t="s">
        <v>99</v>
      </c>
      <c r="C905" s="83">
        <f t="shared" si="210"/>
        <v>10676</v>
      </c>
      <c r="D905" s="32">
        <f>973*50+912+1050*5+872*2+500*2</f>
        <v>57556</v>
      </c>
      <c r="E905" s="32"/>
      <c r="F905" s="32"/>
      <c r="G905" s="32">
        <f t="shared" si="204"/>
        <v>57556</v>
      </c>
      <c r="H905" s="12"/>
      <c r="I905" s="12"/>
      <c r="J905" s="12"/>
      <c r="K905" s="12">
        <f t="shared" si="205"/>
        <v>57556</v>
      </c>
      <c r="M905" s="10">
        <v>13</v>
      </c>
      <c r="N905" s="30"/>
      <c r="O905" s="11"/>
      <c r="P905" s="32"/>
      <c r="Q905" s="32"/>
      <c r="R905" s="32"/>
      <c r="S905" s="32">
        <f t="shared" si="206"/>
        <v>0</v>
      </c>
      <c r="T905" s="12"/>
      <c r="U905" s="12"/>
      <c r="V905" s="12"/>
      <c r="W905" s="12">
        <f t="shared" si="207"/>
        <v>0</v>
      </c>
      <c r="Y905" s="10">
        <v>13</v>
      </c>
      <c r="Z905" s="30"/>
      <c r="AA905" s="11"/>
      <c r="AB905" s="32"/>
      <c r="AC905" s="32"/>
      <c r="AD905" s="32"/>
      <c r="AE905" s="32">
        <f t="shared" si="208"/>
        <v>0</v>
      </c>
      <c r="AF905" s="12"/>
      <c r="AG905" s="12"/>
      <c r="AH905" s="12"/>
      <c r="AI905" s="12">
        <f t="shared" si="209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14</v>
      </c>
      <c r="B906" s="30" t="s">
        <v>99</v>
      </c>
      <c r="C906" s="83">
        <f t="shared" si="210"/>
        <v>10677</v>
      </c>
      <c r="D906" s="32">
        <f>650*2+912+872</f>
        <v>3084</v>
      </c>
      <c r="E906" s="32"/>
      <c r="F906" s="32"/>
      <c r="G906" s="32">
        <f t="shared" si="204"/>
        <v>3084</v>
      </c>
      <c r="H906" s="12"/>
      <c r="I906" s="12"/>
      <c r="J906" s="12">
        <v>-720</v>
      </c>
      <c r="K906" s="12">
        <f t="shared" si="205"/>
        <v>2364</v>
      </c>
      <c r="M906" s="10">
        <v>14</v>
      </c>
      <c r="N906" s="30"/>
      <c r="P906" s="32"/>
      <c r="Q906" s="32"/>
      <c r="R906" s="32"/>
      <c r="S906" s="32">
        <f t="shared" si="206"/>
        <v>0</v>
      </c>
      <c r="T906" s="12"/>
      <c r="U906" s="12"/>
      <c r="V906" s="12"/>
      <c r="W906" s="12">
        <f t="shared" si="207"/>
        <v>0</v>
      </c>
      <c r="Y906" s="10">
        <v>14</v>
      </c>
      <c r="Z906" s="30"/>
      <c r="AB906" s="32"/>
      <c r="AC906" s="32"/>
      <c r="AD906" s="32"/>
      <c r="AE906" s="32">
        <f t="shared" si="208"/>
        <v>0</v>
      </c>
      <c r="AF906" s="12"/>
      <c r="AG906" s="12"/>
      <c r="AH906" s="12"/>
      <c r="AI906" s="12">
        <f t="shared" si="209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15</v>
      </c>
      <c r="B907" s="30"/>
      <c r="C907" s="11" t="s">
        <v>27</v>
      </c>
      <c r="D907" s="32"/>
      <c r="E907" s="32"/>
      <c r="F907" s="32"/>
      <c r="G907" s="32"/>
      <c r="H907" s="12"/>
      <c r="I907" s="12"/>
      <c r="J907" s="12"/>
      <c r="K907" s="12">
        <f t="shared" si="205"/>
        <v>0</v>
      </c>
      <c r="M907" s="10">
        <v>15</v>
      </c>
      <c r="N907" s="30"/>
      <c r="O907" s="31"/>
      <c r="P907" s="32"/>
      <c r="Q907" s="32"/>
      <c r="R907" s="32"/>
      <c r="S907" s="32">
        <f t="shared" si="206"/>
        <v>0</v>
      </c>
      <c r="T907" s="12"/>
      <c r="U907" s="12"/>
      <c r="V907" s="12"/>
      <c r="W907" s="12">
        <f t="shared" si="207"/>
        <v>0</v>
      </c>
      <c r="Y907" s="10">
        <v>15</v>
      </c>
      <c r="Z907" s="30"/>
      <c r="AA907" s="31"/>
      <c r="AB907" s="32"/>
      <c r="AC907" s="32"/>
      <c r="AD907" s="32"/>
      <c r="AE907" s="32">
        <f t="shared" si="208"/>
        <v>0</v>
      </c>
      <c r="AF907" s="12"/>
      <c r="AG907" s="12"/>
      <c r="AH907" s="12"/>
      <c r="AI907" s="12">
        <f t="shared" si="209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16</v>
      </c>
      <c r="B908" s="30"/>
      <c r="C908" s="83"/>
      <c r="D908" s="32"/>
      <c r="E908" s="32"/>
      <c r="F908" s="32"/>
      <c r="G908" s="32"/>
      <c r="H908" s="12"/>
      <c r="I908" s="12"/>
      <c r="J908" s="12"/>
      <c r="K908" s="12">
        <f t="shared" si="205"/>
        <v>0</v>
      </c>
      <c r="M908" s="10">
        <v>16</v>
      </c>
      <c r="N908" s="30"/>
      <c r="O908" s="31"/>
      <c r="P908" s="32"/>
      <c r="Q908" s="32"/>
      <c r="R908" s="32"/>
      <c r="S908" s="32">
        <f t="shared" si="206"/>
        <v>0</v>
      </c>
      <c r="T908" s="12"/>
      <c r="U908" s="12"/>
      <c r="V908" s="12"/>
      <c r="W908" s="12">
        <f t="shared" si="207"/>
        <v>0</v>
      </c>
      <c r="Y908" s="10">
        <v>16</v>
      </c>
      <c r="Z908" s="30"/>
      <c r="AA908" s="31"/>
      <c r="AB908" s="32"/>
      <c r="AC908" s="32"/>
      <c r="AD908" s="32"/>
      <c r="AE908" s="32">
        <f t="shared" si="208"/>
        <v>0</v>
      </c>
      <c r="AF908" s="12"/>
      <c r="AG908" s="12"/>
      <c r="AH908" s="12"/>
      <c r="AI908" s="12">
        <f t="shared" si="209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17</v>
      </c>
      <c r="B909" s="30"/>
      <c r="C909" s="83"/>
      <c r="D909" s="32"/>
      <c r="E909" s="32"/>
      <c r="F909" s="32"/>
      <c r="G909" s="32"/>
      <c r="H909" s="12"/>
      <c r="I909" s="12"/>
      <c r="J909" s="12"/>
      <c r="K909" s="12">
        <f t="shared" si="205"/>
        <v>0</v>
      </c>
      <c r="M909" s="10">
        <v>17</v>
      </c>
      <c r="N909" s="30"/>
      <c r="P909" s="35"/>
      <c r="Q909" s="32"/>
      <c r="R909" s="32"/>
      <c r="S909" s="32">
        <f t="shared" si="206"/>
        <v>0</v>
      </c>
      <c r="T909" s="12"/>
      <c r="U909" s="12"/>
      <c r="V909" s="12"/>
      <c r="W909" s="12">
        <f t="shared" si="207"/>
        <v>0</v>
      </c>
      <c r="Y909" s="10">
        <v>17</v>
      </c>
      <c r="Z909" s="30"/>
      <c r="AB909" s="35"/>
      <c r="AC909" s="32"/>
      <c r="AD909" s="32"/>
      <c r="AE909" s="32">
        <f t="shared" si="208"/>
        <v>0</v>
      </c>
      <c r="AF909" s="12"/>
      <c r="AG909" s="12"/>
      <c r="AH909" s="12"/>
      <c r="AI909" s="12">
        <f t="shared" si="209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18</v>
      </c>
      <c r="B910" s="30"/>
      <c r="C910" s="83"/>
      <c r="D910" s="32"/>
      <c r="E910" s="32"/>
      <c r="F910" s="32"/>
      <c r="G910" s="32"/>
      <c r="H910" s="12"/>
      <c r="I910" s="12"/>
      <c r="J910" s="12"/>
      <c r="K910" s="12">
        <f t="shared" si="205"/>
        <v>0</v>
      </c>
      <c r="M910" s="10">
        <v>18</v>
      </c>
      <c r="N910" s="30"/>
      <c r="O910" s="11"/>
      <c r="P910" s="32"/>
      <c r="Q910" s="32"/>
      <c r="R910" s="32"/>
      <c r="S910" s="32">
        <f t="shared" si="206"/>
        <v>0</v>
      </c>
      <c r="T910" s="12"/>
      <c r="U910" s="12"/>
      <c r="V910" s="12"/>
      <c r="W910" s="12">
        <f t="shared" si="207"/>
        <v>0</v>
      </c>
      <c r="Y910" s="10">
        <v>18</v>
      </c>
      <c r="Z910" s="30"/>
      <c r="AA910" s="11"/>
      <c r="AB910" s="32"/>
      <c r="AC910" s="32"/>
      <c r="AD910" s="32"/>
      <c r="AE910" s="32">
        <f t="shared" si="208"/>
        <v>0</v>
      </c>
      <c r="AF910" s="12"/>
      <c r="AG910" s="12"/>
      <c r="AH910" s="12"/>
      <c r="AI910" s="12">
        <f t="shared" si="209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19</v>
      </c>
      <c r="B911" s="30"/>
      <c r="C911" s="83"/>
      <c r="D911" s="32"/>
      <c r="E911" s="32"/>
      <c r="F911" s="32"/>
      <c r="G911" s="32"/>
      <c r="H911" s="12"/>
      <c r="I911" s="12"/>
      <c r="J911" s="12"/>
      <c r="K911" s="12">
        <f t="shared" si="205"/>
        <v>0</v>
      </c>
      <c r="M911" s="10">
        <v>19</v>
      </c>
      <c r="N911" s="30"/>
      <c r="O911" s="31"/>
      <c r="P911" s="32"/>
      <c r="Q911" s="32"/>
      <c r="R911" s="32"/>
      <c r="S911" s="32">
        <f t="shared" si="206"/>
        <v>0</v>
      </c>
      <c r="T911" s="12"/>
      <c r="U911" s="12"/>
      <c r="V911" s="12"/>
      <c r="W911" s="12">
        <f t="shared" si="207"/>
        <v>0</v>
      </c>
      <c r="Y911" s="10">
        <v>19</v>
      </c>
      <c r="Z911" s="30"/>
      <c r="AA911" s="31"/>
      <c r="AB911" s="32"/>
      <c r="AC911" s="32"/>
      <c r="AD911" s="32"/>
      <c r="AE911" s="32">
        <f t="shared" si="208"/>
        <v>0</v>
      </c>
      <c r="AF911" s="12"/>
      <c r="AG911" s="12"/>
      <c r="AH911" s="12"/>
      <c r="AI911" s="12">
        <f t="shared" si="209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20</v>
      </c>
      <c r="B912" s="30"/>
      <c r="C912" s="83"/>
      <c r="D912" s="32"/>
      <c r="E912" s="32"/>
      <c r="F912" s="32"/>
      <c r="G912" s="32"/>
      <c r="H912" s="12"/>
      <c r="I912" s="12"/>
      <c r="J912" s="12"/>
      <c r="K912" s="12">
        <f t="shared" si="205"/>
        <v>0</v>
      </c>
      <c r="M912" s="10">
        <v>20</v>
      </c>
      <c r="N912" s="30"/>
      <c r="P912" s="32"/>
      <c r="Q912" s="32"/>
      <c r="R912" s="32"/>
      <c r="S912" s="32">
        <f t="shared" si="206"/>
        <v>0</v>
      </c>
      <c r="T912" s="12"/>
      <c r="U912" s="12"/>
      <c r="V912" s="12"/>
      <c r="W912" s="12">
        <f t="shared" si="207"/>
        <v>0</v>
      </c>
      <c r="Y912" s="10">
        <v>20</v>
      </c>
      <c r="Z912" s="30"/>
      <c r="AB912" s="32"/>
      <c r="AC912" s="32"/>
      <c r="AD912" s="32"/>
      <c r="AE912" s="32">
        <f t="shared" si="208"/>
        <v>0</v>
      </c>
      <c r="AF912" s="12"/>
      <c r="AG912" s="12"/>
      <c r="AH912" s="12"/>
      <c r="AI912" s="12">
        <f t="shared" si="209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21</v>
      </c>
      <c r="B913" s="30"/>
      <c r="C913" s="57"/>
      <c r="D913" s="32"/>
      <c r="E913" s="32"/>
      <c r="F913" s="32"/>
      <c r="G913" s="32"/>
      <c r="H913" s="10"/>
      <c r="I913" s="10"/>
      <c r="J913" s="10"/>
      <c r="K913" s="12">
        <f t="shared" si="205"/>
        <v>0</v>
      </c>
      <c r="M913" s="10">
        <v>21</v>
      </c>
      <c r="N913" s="30"/>
      <c r="O913" s="31"/>
      <c r="P913" s="46"/>
      <c r="Q913" s="31"/>
      <c r="R913" s="31"/>
      <c r="S913" s="32">
        <f t="shared" si="206"/>
        <v>0</v>
      </c>
      <c r="T913" s="10"/>
      <c r="U913" s="10"/>
      <c r="V913" s="10"/>
      <c r="W913" s="12">
        <f t="shared" si="207"/>
        <v>0</v>
      </c>
      <c r="Y913" s="10">
        <v>21</v>
      </c>
      <c r="Z913" s="30"/>
      <c r="AA913" s="31"/>
      <c r="AB913" s="46"/>
      <c r="AC913" s="31"/>
      <c r="AD913" s="31"/>
      <c r="AE913" s="32">
        <f t="shared" si="208"/>
        <v>0</v>
      </c>
      <c r="AF913" s="10"/>
      <c r="AG913" s="10"/>
      <c r="AH913" s="10"/>
      <c r="AI913" s="12">
        <f t="shared" si="209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22</v>
      </c>
      <c r="B914" s="30"/>
      <c r="C914" s="11"/>
      <c r="D914" s="32"/>
      <c r="E914" s="32"/>
      <c r="F914" s="32"/>
      <c r="G914" s="32">
        <f t="shared" si="204"/>
        <v>0</v>
      </c>
      <c r="H914" s="10"/>
      <c r="I914" s="10"/>
      <c r="J914" s="10"/>
      <c r="K914" s="12">
        <f t="shared" si="205"/>
        <v>0</v>
      </c>
      <c r="M914" s="10">
        <v>22</v>
      </c>
      <c r="N914" s="30"/>
      <c r="O914" s="31"/>
      <c r="P914" s="45"/>
      <c r="Q914" s="31"/>
      <c r="R914" s="31"/>
      <c r="S914" s="32">
        <f t="shared" si="206"/>
        <v>0</v>
      </c>
      <c r="T914" s="10"/>
      <c r="U914" s="10"/>
      <c r="V914" s="10"/>
      <c r="W914" s="12">
        <f t="shared" si="207"/>
        <v>0</v>
      </c>
      <c r="Y914" s="10">
        <v>22</v>
      </c>
      <c r="Z914" s="30"/>
      <c r="AA914" s="31"/>
      <c r="AB914" s="45"/>
      <c r="AC914" s="31"/>
      <c r="AD914" s="31"/>
      <c r="AE914" s="32">
        <f t="shared" si="208"/>
        <v>0</v>
      </c>
      <c r="AF914" s="10"/>
      <c r="AG914" s="10"/>
      <c r="AH914" s="10"/>
      <c r="AI914" s="12">
        <f t="shared" si="209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23</v>
      </c>
      <c r="B915" s="30"/>
      <c r="C915" s="83"/>
      <c r="D915" s="32"/>
      <c r="E915" s="32"/>
      <c r="F915" s="32"/>
      <c r="G915" s="32">
        <f t="shared" si="204"/>
        <v>0</v>
      </c>
      <c r="H915" s="10"/>
      <c r="I915" s="10"/>
      <c r="J915" s="12"/>
      <c r="K915" s="12">
        <f t="shared" si="205"/>
        <v>0</v>
      </c>
      <c r="M915" s="10">
        <v>23</v>
      </c>
      <c r="N915" s="30"/>
      <c r="O915" s="31"/>
      <c r="P915" s="47"/>
      <c r="Q915" s="45"/>
      <c r="S915" s="32">
        <f t="shared" si="206"/>
        <v>0</v>
      </c>
      <c r="T915" s="10"/>
      <c r="U915" s="10"/>
      <c r="V915" s="10"/>
      <c r="W915" s="12">
        <f t="shared" si="207"/>
        <v>0</v>
      </c>
      <c r="Y915" s="10">
        <v>23</v>
      </c>
      <c r="Z915" s="30"/>
      <c r="AA915" s="31"/>
      <c r="AB915" s="47"/>
      <c r="AC915" s="45"/>
      <c r="AE915" s="32">
        <f t="shared" si="208"/>
        <v>0</v>
      </c>
      <c r="AF915" s="10"/>
      <c r="AG915" s="10"/>
      <c r="AH915" s="10"/>
      <c r="AI915" s="12">
        <f t="shared" si="209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24</v>
      </c>
      <c r="B916" s="30"/>
      <c r="C916" s="83"/>
      <c r="D916" s="32"/>
      <c r="E916" s="32"/>
      <c r="F916" s="32"/>
      <c r="G916" s="32">
        <f t="shared" si="204"/>
        <v>0</v>
      </c>
      <c r="H916" s="10"/>
      <c r="I916" s="10"/>
      <c r="J916" s="10"/>
      <c r="K916" s="12">
        <f t="shared" si="205"/>
        <v>0</v>
      </c>
      <c r="M916" s="10">
        <v>24</v>
      </c>
      <c r="N916" s="30"/>
      <c r="O916" s="31"/>
      <c r="P916" s="47"/>
      <c r="Q916" s="31"/>
      <c r="R916" s="31"/>
      <c r="S916" s="32">
        <f t="shared" si="206"/>
        <v>0</v>
      </c>
      <c r="T916" s="10"/>
      <c r="U916" s="10"/>
      <c r="V916" s="10"/>
      <c r="W916" s="12">
        <f t="shared" si="207"/>
        <v>0</v>
      </c>
      <c r="Y916" s="10">
        <v>24</v>
      </c>
      <c r="Z916" s="30"/>
      <c r="AA916" s="31"/>
      <c r="AB916" s="47"/>
      <c r="AC916" s="31"/>
      <c r="AD916" s="31"/>
      <c r="AE916" s="32">
        <f t="shared" si="208"/>
        <v>0</v>
      </c>
      <c r="AF916" s="10"/>
      <c r="AG916" s="10"/>
      <c r="AH916" s="10"/>
      <c r="AI916" s="12">
        <f t="shared" si="209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25</v>
      </c>
      <c r="B917" s="30"/>
      <c r="C917" s="57"/>
      <c r="D917" s="32"/>
      <c r="E917" s="32"/>
      <c r="F917" s="32"/>
      <c r="G917" s="32">
        <f t="shared" si="204"/>
        <v>0</v>
      </c>
      <c r="H917" s="10"/>
      <c r="I917" s="10"/>
      <c r="J917" s="10"/>
      <c r="K917" s="12">
        <f t="shared" si="205"/>
        <v>0</v>
      </c>
      <c r="M917" s="10">
        <v>25</v>
      </c>
      <c r="N917" s="30"/>
      <c r="O917" s="31"/>
      <c r="P917" s="47"/>
      <c r="Q917" s="31"/>
      <c r="R917" s="31"/>
      <c r="S917" s="32">
        <f t="shared" si="206"/>
        <v>0</v>
      </c>
      <c r="T917" s="10"/>
      <c r="U917" s="10"/>
      <c r="V917" s="10"/>
      <c r="W917" s="12">
        <f t="shared" si="207"/>
        <v>0</v>
      </c>
      <c r="Y917" s="10">
        <v>25</v>
      </c>
      <c r="Z917" s="30"/>
      <c r="AA917" s="31"/>
      <c r="AB917" s="47"/>
      <c r="AC917" s="31"/>
      <c r="AD917" s="31"/>
      <c r="AE917" s="32">
        <f t="shared" si="208"/>
        <v>0</v>
      </c>
      <c r="AF917" s="10"/>
      <c r="AG917" s="10"/>
      <c r="AH917" s="10"/>
      <c r="AI917" s="12">
        <f t="shared" si="209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26</v>
      </c>
      <c r="B918" s="30"/>
      <c r="C918" s="83"/>
      <c r="D918" s="32"/>
      <c r="E918" s="32"/>
      <c r="F918" s="32"/>
      <c r="G918" s="32">
        <f t="shared" si="204"/>
        <v>0</v>
      </c>
      <c r="H918" s="10"/>
      <c r="I918" s="10"/>
      <c r="J918" s="10"/>
      <c r="K918" s="12">
        <f t="shared" si="205"/>
        <v>0</v>
      </c>
      <c r="M918" s="10">
        <v>26</v>
      </c>
      <c r="N918" s="30"/>
      <c r="O918" s="31"/>
      <c r="P918" s="47"/>
      <c r="Q918" s="31"/>
      <c r="R918" s="31"/>
      <c r="S918" s="32">
        <f t="shared" si="206"/>
        <v>0</v>
      </c>
      <c r="T918" s="10"/>
      <c r="U918" s="10"/>
      <c r="V918" s="10"/>
      <c r="W918" s="12">
        <f t="shared" si="207"/>
        <v>0</v>
      </c>
      <c r="Y918" s="10">
        <v>26</v>
      </c>
      <c r="Z918" s="30"/>
      <c r="AA918" s="31"/>
      <c r="AB918" s="47"/>
      <c r="AC918" s="31"/>
      <c r="AD918" s="31"/>
      <c r="AE918" s="32">
        <f t="shared" si="208"/>
        <v>0</v>
      </c>
      <c r="AF918" s="10"/>
      <c r="AG918" s="10"/>
      <c r="AH918" s="10"/>
      <c r="AI918" s="12">
        <f t="shared" si="209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27</v>
      </c>
      <c r="B919" s="30"/>
      <c r="C919" s="83"/>
      <c r="D919" s="32"/>
      <c r="E919" s="32"/>
      <c r="F919" s="32"/>
      <c r="G919" s="32">
        <f t="shared" si="204"/>
        <v>0</v>
      </c>
      <c r="H919" s="10"/>
      <c r="I919" s="10"/>
      <c r="J919" s="10"/>
      <c r="K919" s="12">
        <f t="shared" si="205"/>
        <v>0</v>
      </c>
      <c r="M919" s="10">
        <v>27</v>
      </c>
      <c r="N919" s="30"/>
      <c r="O919" s="31"/>
      <c r="P919" s="47"/>
      <c r="Q919" s="31"/>
      <c r="R919" s="31"/>
      <c r="S919" s="32">
        <f t="shared" si="206"/>
        <v>0</v>
      </c>
      <c r="T919" s="10"/>
      <c r="U919" s="10"/>
      <c r="V919" s="10"/>
      <c r="W919" s="12">
        <f t="shared" si="207"/>
        <v>0</v>
      </c>
      <c r="Y919" s="10">
        <v>27</v>
      </c>
      <c r="Z919" s="30"/>
      <c r="AA919" s="31"/>
      <c r="AB919" s="47"/>
      <c r="AC919" s="31"/>
      <c r="AD919" s="31"/>
      <c r="AE919" s="32">
        <f t="shared" si="208"/>
        <v>0</v>
      </c>
      <c r="AF919" s="10"/>
      <c r="AG919" s="10"/>
      <c r="AH919" s="10"/>
      <c r="AI919" s="12">
        <f t="shared" si="209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28</v>
      </c>
      <c r="B920" s="30"/>
      <c r="C920" s="83"/>
      <c r="D920" s="32"/>
      <c r="E920" s="32"/>
      <c r="F920" s="32"/>
      <c r="G920" s="32">
        <f t="shared" si="204"/>
        <v>0</v>
      </c>
      <c r="H920" s="10"/>
      <c r="I920" s="10"/>
      <c r="J920" s="10"/>
      <c r="K920" s="12">
        <f t="shared" si="205"/>
        <v>0</v>
      </c>
      <c r="M920" s="10">
        <v>28</v>
      </c>
      <c r="N920" s="30"/>
      <c r="O920" s="31"/>
      <c r="P920" s="47"/>
      <c r="Q920" s="31"/>
      <c r="R920" s="31"/>
      <c r="S920" s="32">
        <f t="shared" si="206"/>
        <v>0</v>
      </c>
      <c r="T920" s="10"/>
      <c r="U920" s="10"/>
      <c r="V920" s="10"/>
      <c r="W920" s="12">
        <f t="shared" si="207"/>
        <v>0</v>
      </c>
      <c r="Y920" s="10">
        <v>28</v>
      </c>
      <c r="Z920" s="30"/>
      <c r="AA920" s="31"/>
      <c r="AB920" s="47"/>
      <c r="AC920" s="31"/>
      <c r="AD920" s="31"/>
      <c r="AE920" s="32">
        <f t="shared" si="208"/>
        <v>0</v>
      </c>
      <c r="AF920" s="10"/>
      <c r="AG920" s="10"/>
      <c r="AH920" s="10"/>
      <c r="AI920" s="12">
        <f t="shared" si="209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29</v>
      </c>
      <c r="B921" s="30"/>
      <c r="C921" s="83"/>
      <c r="D921" s="32"/>
      <c r="E921" s="32"/>
      <c r="F921" s="32"/>
      <c r="G921" s="32">
        <f t="shared" si="204"/>
        <v>0</v>
      </c>
      <c r="H921" s="10"/>
      <c r="I921" s="10"/>
      <c r="J921" s="10"/>
      <c r="K921" s="12">
        <f t="shared" si="205"/>
        <v>0</v>
      </c>
      <c r="M921" s="10">
        <v>29</v>
      </c>
      <c r="N921" s="30"/>
      <c r="O921" s="31"/>
      <c r="P921" s="47"/>
      <c r="Q921" s="31"/>
      <c r="R921" s="31"/>
      <c r="S921" s="32">
        <f t="shared" si="206"/>
        <v>0</v>
      </c>
      <c r="T921" s="10"/>
      <c r="U921" s="10"/>
      <c r="V921" s="10"/>
      <c r="W921" s="12">
        <f t="shared" si="207"/>
        <v>0</v>
      </c>
      <c r="Y921" s="10">
        <v>29</v>
      </c>
      <c r="Z921" s="30"/>
      <c r="AA921" s="31"/>
      <c r="AB921" s="47"/>
      <c r="AC921" s="31"/>
      <c r="AD921" s="31"/>
      <c r="AE921" s="32">
        <f t="shared" si="208"/>
        <v>0</v>
      </c>
      <c r="AF921" s="10"/>
      <c r="AG921" s="10"/>
      <c r="AH921" s="10"/>
      <c r="AI921" s="12">
        <f t="shared" si="209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30</v>
      </c>
      <c r="B922" s="30"/>
      <c r="C922" s="83"/>
      <c r="D922" s="32"/>
      <c r="E922" s="32"/>
      <c r="F922" s="32"/>
      <c r="G922" s="32">
        <f t="shared" si="204"/>
        <v>0</v>
      </c>
      <c r="H922" s="10"/>
      <c r="I922" s="10"/>
      <c r="J922" s="10"/>
      <c r="K922" s="12">
        <f t="shared" si="205"/>
        <v>0</v>
      </c>
      <c r="M922" s="10">
        <v>30</v>
      </c>
      <c r="N922" s="30"/>
      <c r="O922" s="31"/>
      <c r="P922" s="47"/>
      <c r="Q922" s="31"/>
      <c r="R922" s="31"/>
      <c r="S922" s="32">
        <f t="shared" si="206"/>
        <v>0</v>
      </c>
      <c r="T922" s="10"/>
      <c r="U922" s="10"/>
      <c r="V922" s="10"/>
      <c r="W922" s="12">
        <f t="shared" si="207"/>
        <v>0</v>
      </c>
      <c r="Y922" s="10">
        <v>30</v>
      </c>
      <c r="Z922" s="30"/>
      <c r="AA922" s="31"/>
      <c r="AB922" s="47"/>
      <c r="AC922" s="31"/>
      <c r="AD922" s="31"/>
      <c r="AE922" s="32">
        <f t="shared" si="208"/>
        <v>0</v>
      </c>
      <c r="AF922" s="10"/>
      <c r="AG922" s="10"/>
      <c r="AH922" s="10"/>
      <c r="AI922" s="12">
        <f t="shared" si="209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31</v>
      </c>
      <c r="B923" s="30"/>
      <c r="C923" s="83"/>
      <c r="D923" s="32"/>
      <c r="E923" s="32"/>
      <c r="F923" s="32"/>
      <c r="G923" s="32">
        <f t="shared" si="204"/>
        <v>0</v>
      </c>
      <c r="H923" s="10"/>
      <c r="I923" s="10"/>
      <c r="J923" s="10"/>
      <c r="K923" s="12">
        <f t="shared" si="205"/>
        <v>0</v>
      </c>
      <c r="M923" s="10">
        <v>31</v>
      </c>
      <c r="N923" s="30"/>
      <c r="O923" s="31"/>
      <c r="P923" s="47"/>
      <c r="Q923" s="31"/>
      <c r="R923" s="31"/>
      <c r="S923" s="32">
        <f t="shared" si="206"/>
        <v>0</v>
      </c>
      <c r="T923" s="10"/>
      <c r="U923" s="10"/>
      <c r="V923" s="10"/>
      <c r="W923" s="12">
        <f t="shared" si="207"/>
        <v>0</v>
      </c>
      <c r="Y923" s="10">
        <v>31</v>
      </c>
      <c r="Z923" s="30"/>
      <c r="AA923" s="31"/>
      <c r="AB923" s="47"/>
      <c r="AC923" s="31"/>
      <c r="AD923" s="31"/>
      <c r="AE923" s="32">
        <f t="shared" si="208"/>
        <v>0</v>
      </c>
      <c r="AF923" s="10"/>
      <c r="AG923" s="10"/>
      <c r="AH923" s="10"/>
      <c r="AI923" s="12">
        <f t="shared" si="209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32</v>
      </c>
      <c r="B924" s="30"/>
      <c r="C924" s="83"/>
      <c r="D924" s="32"/>
      <c r="E924" s="32"/>
      <c r="F924" s="32"/>
      <c r="G924" s="32">
        <f t="shared" si="204"/>
        <v>0</v>
      </c>
      <c r="H924" s="10"/>
      <c r="I924" s="10"/>
      <c r="J924" s="10"/>
      <c r="K924" s="12">
        <f t="shared" si="205"/>
        <v>0</v>
      </c>
      <c r="M924" s="10">
        <v>32</v>
      </c>
      <c r="N924" s="30"/>
      <c r="O924" s="31"/>
      <c r="P924" s="47"/>
      <c r="Q924" s="31"/>
      <c r="R924" s="31"/>
      <c r="S924" s="32">
        <f t="shared" si="206"/>
        <v>0</v>
      </c>
      <c r="T924" s="10"/>
      <c r="U924" s="10"/>
      <c r="V924" s="10"/>
      <c r="W924" s="12">
        <f t="shared" si="207"/>
        <v>0</v>
      </c>
      <c r="Y924" s="10">
        <v>32</v>
      </c>
      <c r="Z924" s="30"/>
      <c r="AA924" s="31"/>
      <c r="AB924" s="47"/>
      <c r="AC924" s="31"/>
      <c r="AD924" s="31"/>
      <c r="AE924" s="32">
        <f t="shared" si="208"/>
        <v>0</v>
      </c>
      <c r="AF924" s="10"/>
      <c r="AG924" s="10"/>
      <c r="AH924" s="10"/>
      <c r="AI924" s="12">
        <f t="shared" si="209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>
        <v>33</v>
      </c>
      <c r="B925" s="30"/>
      <c r="C925" s="83"/>
      <c r="D925" s="32"/>
      <c r="E925" s="32"/>
      <c r="F925" s="32"/>
      <c r="G925" s="32">
        <f t="shared" si="204"/>
        <v>0</v>
      </c>
      <c r="H925" s="10"/>
      <c r="I925" s="10"/>
      <c r="J925" s="10"/>
      <c r="K925" s="12">
        <f t="shared" si="205"/>
        <v>0</v>
      </c>
      <c r="M925" s="10">
        <v>33</v>
      </c>
      <c r="N925" s="30"/>
      <c r="O925" s="31"/>
      <c r="P925" s="47"/>
      <c r="Q925" s="31"/>
      <c r="R925" s="31"/>
      <c r="S925" s="32">
        <f t="shared" si="206"/>
        <v>0</v>
      </c>
      <c r="T925" s="10"/>
      <c r="U925" s="10"/>
      <c r="V925" s="10"/>
      <c r="W925" s="12">
        <f t="shared" si="207"/>
        <v>0</v>
      </c>
      <c r="Y925" s="10">
        <v>33</v>
      </c>
      <c r="Z925" s="30"/>
      <c r="AA925" s="31"/>
      <c r="AB925" s="47"/>
      <c r="AC925" s="31"/>
      <c r="AD925" s="31"/>
      <c r="AE925" s="32">
        <f t="shared" si="208"/>
        <v>0</v>
      </c>
      <c r="AF925" s="10"/>
      <c r="AG925" s="10"/>
      <c r="AH925" s="10"/>
      <c r="AI925" s="12">
        <f t="shared" si="209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>
        <f t="shared" si="204"/>
        <v>0</v>
      </c>
      <c r="H926" s="10"/>
      <c r="I926" s="10"/>
      <c r="J926" s="10"/>
      <c r="K926" s="12">
        <f t="shared" si="205"/>
        <v>0</v>
      </c>
      <c r="M926" s="10">
        <v>34</v>
      </c>
      <c r="N926" s="30"/>
      <c r="O926" s="31"/>
      <c r="P926" s="47"/>
      <c r="Q926" s="31"/>
      <c r="R926" s="31"/>
      <c r="S926" s="32">
        <f t="shared" si="206"/>
        <v>0</v>
      </c>
      <c r="T926" s="10"/>
      <c r="U926" s="10"/>
      <c r="V926" s="10"/>
      <c r="W926" s="12">
        <f t="shared" si="207"/>
        <v>0</v>
      </c>
      <c r="Y926" s="10">
        <v>34</v>
      </c>
      <c r="Z926" s="30"/>
      <c r="AA926" s="31"/>
      <c r="AB926" s="47"/>
      <c r="AC926" s="31"/>
      <c r="AD926" s="31"/>
      <c r="AE926" s="32">
        <f t="shared" si="208"/>
        <v>0</v>
      </c>
      <c r="AF926" s="10"/>
      <c r="AG926" s="10"/>
      <c r="AH926" s="10"/>
      <c r="AI926" s="12">
        <f t="shared" si="209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35</v>
      </c>
      <c r="N927" s="30"/>
      <c r="O927" s="31"/>
      <c r="P927" s="47"/>
      <c r="Q927" s="31"/>
      <c r="R927" s="31"/>
      <c r="S927" s="32">
        <f t="shared" si="206"/>
        <v>0</v>
      </c>
      <c r="T927" s="10"/>
      <c r="U927" s="10"/>
      <c r="V927" s="10"/>
      <c r="W927" s="12">
        <f t="shared" si="207"/>
        <v>0</v>
      </c>
      <c r="Y927" s="10">
        <v>35</v>
      </c>
      <c r="Z927" s="30"/>
      <c r="AA927" s="31"/>
      <c r="AB927" s="47"/>
      <c r="AC927" s="31"/>
      <c r="AD927" s="31"/>
      <c r="AE927" s="32">
        <f t="shared" si="208"/>
        <v>0</v>
      </c>
      <c r="AF927" s="10"/>
      <c r="AG927" s="10"/>
      <c r="AH927" s="10"/>
      <c r="AI927" s="12">
        <f t="shared" si="209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83"/>
      <c r="D928" s="32"/>
      <c r="E928" s="32"/>
      <c r="F928" s="32"/>
      <c r="G928" s="32"/>
      <c r="H928" s="10"/>
      <c r="I928" s="10"/>
      <c r="J928" s="10"/>
      <c r="K928" s="12"/>
      <c r="M928" s="10">
        <v>36</v>
      </c>
      <c r="N928" s="30"/>
      <c r="O928" s="31"/>
      <c r="P928" s="47"/>
      <c r="Q928" s="31"/>
      <c r="R928" s="31"/>
      <c r="S928" s="32">
        <f t="shared" si="206"/>
        <v>0</v>
      </c>
      <c r="T928" s="10"/>
      <c r="U928" s="10"/>
      <c r="V928" s="10"/>
      <c r="W928" s="12">
        <f t="shared" si="207"/>
        <v>0</v>
      </c>
      <c r="Y928" s="10">
        <v>36</v>
      </c>
      <c r="Z928" s="30"/>
      <c r="AA928" s="31"/>
      <c r="AB928" s="47"/>
      <c r="AC928" s="31"/>
      <c r="AD928" s="31"/>
      <c r="AE928" s="32">
        <f t="shared" si="208"/>
        <v>0</v>
      </c>
      <c r="AF928" s="10"/>
      <c r="AG928" s="10"/>
      <c r="AH928" s="10"/>
      <c r="AI928" s="12">
        <f t="shared" si="209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37</v>
      </c>
      <c r="N929" s="30"/>
      <c r="P929" s="47"/>
      <c r="Q929" s="31"/>
      <c r="R929" s="31"/>
      <c r="S929" s="32">
        <f t="shared" si="206"/>
        <v>0</v>
      </c>
      <c r="T929" s="10"/>
      <c r="U929" s="10"/>
      <c r="V929" s="10"/>
      <c r="W929" s="12">
        <f t="shared" si="207"/>
        <v>0</v>
      </c>
      <c r="Y929" s="10">
        <v>37</v>
      </c>
      <c r="Z929" s="30"/>
      <c r="AB929" s="47"/>
      <c r="AC929" s="31"/>
      <c r="AD929" s="31"/>
      <c r="AE929" s="32">
        <f t="shared" si="208"/>
        <v>0</v>
      </c>
      <c r="AF929" s="10"/>
      <c r="AG929" s="10"/>
      <c r="AH929" s="10"/>
      <c r="AI929" s="12">
        <f t="shared" si="209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38</v>
      </c>
      <c r="N930" s="30"/>
      <c r="O930" s="31"/>
      <c r="P930" s="47"/>
      <c r="Q930" s="31"/>
      <c r="R930" s="31"/>
      <c r="S930" s="32">
        <f t="shared" si="206"/>
        <v>0</v>
      </c>
      <c r="T930" s="10"/>
      <c r="U930" s="10"/>
      <c r="V930" s="10"/>
      <c r="W930" s="12">
        <f t="shared" si="207"/>
        <v>0</v>
      </c>
      <c r="Y930" s="10">
        <v>38</v>
      </c>
      <c r="Z930" s="30"/>
      <c r="AA930" s="31"/>
      <c r="AB930" s="47"/>
      <c r="AC930" s="31"/>
      <c r="AD930" s="31"/>
      <c r="AE930" s="32">
        <f t="shared" si="208"/>
        <v>0</v>
      </c>
      <c r="AF930" s="10"/>
      <c r="AG930" s="10"/>
      <c r="AH930" s="10"/>
      <c r="AI930" s="12">
        <f t="shared" si="209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>
        <v>39</v>
      </c>
      <c r="N931" s="30"/>
      <c r="O931" s="31"/>
      <c r="P931" s="47"/>
      <c r="Q931" s="31"/>
      <c r="R931" s="31"/>
      <c r="S931" s="32">
        <f t="shared" si="206"/>
        <v>0</v>
      </c>
      <c r="T931" s="10"/>
      <c r="U931" s="10"/>
      <c r="V931" s="10"/>
      <c r="W931" s="12">
        <f t="shared" si="207"/>
        <v>0</v>
      </c>
      <c r="Y931" s="10">
        <v>39</v>
      </c>
      <c r="Z931" s="30"/>
      <c r="AA931" s="31"/>
      <c r="AB931" s="47"/>
      <c r="AC931" s="31"/>
      <c r="AD931" s="31"/>
      <c r="AE931" s="32">
        <f t="shared" si="208"/>
        <v>0</v>
      </c>
      <c r="AF931" s="10"/>
      <c r="AG931" s="10"/>
      <c r="AH931" s="10"/>
      <c r="AI931" s="12">
        <f t="shared" si="209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/>
      <c r="H932" s="10"/>
      <c r="I932" s="10"/>
      <c r="J932" s="10"/>
      <c r="K932" s="12"/>
      <c r="M932" s="10"/>
      <c r="N932" s="30"/>
      <c r="P932" s="47"/>
      <c r="Q932" s="31"/>
      <c r="R932" s="31"/>
      <c r="S932" s="32"/>
      <c r="T932" s="10"/>
      <c r="U932" s="10"/>
      <c r="V932" s="10"/>
      <c r="W932" s="12">
        <f t="shared" si="207"/>
        <v>0</v>
      </c>
      <c r="Y932" s="10"/>
      <c r="Z932" s="30"/>
      <c r="AB932" s="47"/>
      <c r="AC932" s="31"/>
      <c r="AD932" s="31"/>
      <c r="AE932" s="32"/>
      <c r="AF932" s="10"/>
      <c r="AG932" s="10"/>
      <c r="AH932" s="10"/>
      <c r="AI932" s="12">
        <f t="shared" si="209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1"/>
      <c r="D933" s="32"/>
      <c r="E933" s="32"/>
      <c r="F933" s="32"/>
      <c r="G933" s="32">
        <f t="shared" ref="G933" si="213">SUM(D933:E933)</f>
        <v>0</v>
      </c>
      <c r="H933" s="10"/>
      <c r="I933" s="10"/>
      <c r="J933" s="10"/>
      <c r="K933" s="12">
        <f t="shared" ref="K933" si="214">SUM(G933:J933)</f>
        <v>0</v>
      </c>
      <c r="M933" s="10"/>
      <c r="N933" s="30"/>
      <c r="O933" s="31"/>
      <c r="P933" s="47"/>
      <c r="Q933" s="31"/>
      <c r="R933" s="31"/>
      <c r="S933" s="32">
        <f t="shared" ref="S933" si="215">SUM(P933:Q933)</f>
        <v>0</v>
      </c>
      <c r="T933" s="10"/>
      <c r="U933" s="10"/>
      <c r="V933" s="10"/>
      <c r="W933" s="12">
        <f t="shared" si="207"/>
        <v>0</v>
      </c>
      <c r="Y933" s="10"/>
      <c r="Z933" s="30"/>
      <c r="AA933" s="31"/>
      <c r="AB933" s="47"/>
      <c r="AC933" s="31"/>
      <c r="AD933" s="31"/>
      <c r="AE933" s="32">
        <f t="shared" ref="AE933" si="216">SUM(AB933:AC933)</f>
        <v>0</v>
      </c>
      <c r="AF933" s="10"/>
      <c r="AG933" s="10"/>
      <c r="AH933" s="10"/>
      <c r="AI933" s="12">
        <f t="shared" si="209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10"/>
      <c r="B934" s="30"/>
      <c r="C934" s="30"/>
      <c r="D934" s="32"/>
      <c r="E934" s="32"/>
      <c r="F934" s="32"/>
      <c r="G934" s="32"/>
      <c r="H934" s="10"/>
      <c r="I934" s="10"/>
      <c r="J934" s="10"/>
      <c r="K934" s="12"/>
      <c r="M934" s="10"/>
      <c r="N934" s="31"/>
      <c r="O934" s="31"/>
      <c r="P934" s="31"/>
      <c r="Q934" s="31"/>
      <c r="R934" s="31"/>
      <c r="S934" s="31"/>
      <c r="T934" s="10"/>
      <c r="U934" s="10"/>
      <c r="V934" s="10"/>
      <c r="W934" s="12">
        <f t="shared" si="207"/>
        <v>0</v>
      </c>
      <c r="Y934" s="10"/>
      <c r="Z934" s="31"/>
      <c r="AA934" s="31"/>
      <c r="AB934" s="31"/>
      <c r="AC934" s="31"/>
      <c r="AD934" s="31"/>
      <c r="AE934" s="31"/>
      <c r="AF934" s="10"/>
      <c r="AG934" s="10"/>
      <c r="AH934" s="10"/>
      <c r="AI934" s="12">
        <f t="shared" si="209"/>
        <v>0</v>
      </c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6"/>
      <c r="E935" s="36"/>
      <c r="F935" s="36"/>
      <c r="G935" s="36"/>
      <c r="H935" s="37"/>
      <c r="I935" s="37"/>
      <c r="J935" s="37"/>
      <c r="K935" s="37"/>
      <c r="N935" s="57"/>
      <c r="O935" s="57"/>
      <c r="P935" s="36"/>
      <c r="Q935" s="36"/>
      <c r="R935" s="36"/>
      <c r="S935" s="36"/>
      <c r="T935" s="37"/>
      <c r="U935" s="37"/>
      <c r="V935" s="37"/>
      <c r="W935" s="37"/>
      <c r="Z935" s="57"/>
      <c r="AA935" s="57"/>
      <c r="AB935" s="36"/>
      <c r="AC935" s="36"/>
      <c r="AD935" s="36"/>
      <c r="AE935" s="36"/>
      <c r="AF935" s="37"/>
      <c r="AG935" s="37"/>
      <c r="AH935" s="37"/>
      <c r="AI935" s="37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B936" s="57"/>
      <c r="C936" s="57"/>
      <c r="D936" s="38">
        <f>SUM(D893:D935)</f>
        <v>188153.72</v>
      </c>
      <c r="E936" s="38">
        <f t="shared" ref="E936:F936" si="217">SUM(E893:E933)</f>
        <v>0</v>
      </c>
      <c r="F936" s="38">
        <f t="shared" si="217"/>
        <v>0</v>
      </c>
      <c r="G936" s="38">
        <f>SUM(G893:G935)</f>
        <v>188153.72</v>
      </c>
      <c r="H936" s="4"/>
      <c r="I936" s="39">
        <f>SUM(I893:I935)</f>
        <v>481.5</v>
      </c>
      <c r="J936" s="39">
        <f>SUM(J893:J935)</f>
        <v>-720</v>
      </c>
      <c r="K936" s="40">
        <f>SUM(K893:K935)</f>
        <v>187915.22</v>
      </c>
      <c r="N936" s="57"/>
      <c r="O936" s="57"/>
      <c r="P936" s="38">
        <f>SUM(P893:P935)</f>
        <v>203963</v>
      </c>
      <c r="Q936" s="38">
        <f>SUM(Q893:Q917)</f>
        <v>-1158</v>
      </c>
      <c r="R936" s="38">
        <f>SUM(R893:R917)</f>
        <v>0</v>
      </c>
      <c r="S936" s="38">
        <f>SUM(S893:S935)</f>
        <v>202805</v>
      </c>
      <c r="T936" s="4"/>
      <c r="U936" s="41">
        <f>SUM(U893:U935)</f>
        <v>682.5</v>
      </c>
      <c r="V936" s="41">
        <f>SUM(V893:V917)</f>
        <v>-8550</v>
      </c>
      <c r="W936" s="42">
        <f>SUM(W893:W935)</f>
        <v>194937.5</v>
      </c>
      <c r="Z936" s="57"/>
      <c r="AA936" s="57"/>
      <c r="AB936" s="38">
        <f>SUM(AB893:AB935)</f>
        <v>350490.5</v>
      </c>
      <c r="AC936" s="38">
        <f>SUM(AC893:AC917)</f>
        <v>-2166</v>
      </c>
      <c r="AD936" s="38">
        <f>SUM(AD893:AD917)</f>
        <v>0</v>
      </c>
      <c r="AE936" s="38">
        <f>SUM(AE893:AE935)</f>
        <v>348324.5</v>
      </c>
      <c r="AF936" s="4"/>
      <c r="AG936" s="41">
        <f>SUM(AG893:AG935)</f>
        <v>459</v>
      </c>
      <c r="AH936" s="41">
        <f>SUM(AH893:AH917)</f>
        <v>-6030</v>
      </c>
      <c r="AI936" s="42">
        <f>SUM(AI893:AI935)</f>
        <v>342753.5</v>
      </c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0</v>
      </c>
      <c r="B938" s="57"/>
      <c r="C938" s="57"/>
      <c r="D938" s="57"/>
      <c r="E938" s="57"/>
      <c r="G938" s="57"/>
      <c r="M938" t="s">
        <v>0</v>
      </c>
      <c r="N938" s="57"/>
      <c r="O938" s="57"/>
      <c r="P938" s="57"/>
      <c r="Q938" s="57"/>
      <c r="R938" s="57"/>
      <c r="S938" s="57"/>
      <c r="Y938" s="63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t="s">
        <v>28</v>
      </c>
      <c r="B939" s="57"/>
      <c r="C939" s="57"/>
      <c r="D939" s="57"/>
      <c r="E939" s="57"/>
      <c r="G939" s="57"/>
      <c r="M939" t="s">
        <v>28</v>
      </c>
      <c r="N939" s="57"/>
      <c r="O939" s="57"/>
      <c r="P939" s="57"/>
      <c r="Q939" s="57"/>
      <c r="R939" s="57"/>
      <c r="S939" s="57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B940" s="57"/>
      <c r="C940" s="57"/>
      <c r="D940" s="57"/>
      <c r="E940" s="57"/>
      <c r="G940" s="57"/>
      <c r="N940" s="57"/>
      <c r="O940" s="57"/>
      <c r="P940" s="57"/>
      <c r="Q940" s="57"/>
      <c r="R940" s="57"/>
      <c r="S940" s="57"/>
      <c r="Y940" s="62"/>
      <c r="Z940" s="88"/>
      <c r="AA940" s="88"/>
      <c r="AB940" s="88"/>
      <c r="AC940" s="88"/>
      <c r="AD940" s="88"/>
      <c r="AE940" s="88"/>
      <c r="AF940" s="62"/>
      <c r="AG940" s="88"/>
      <c r="AH940" s="88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4" t="s">
        <v>14</v>
      </c>
      <c r="B941" s="57"/>
      <c r="C941" s="57"/>
      <c r="D941" s="57"/>
      <c r="E941" s="57"/>
      <c r="G941" s="57"/>
      <c r="M941" s="4" t="s">
        <v>14</v>
      </c>
      <c r="N941" s="57"/>
      <c r="O941" s="57"/>
      <c r="P941" s="57"/>
      <c r="Q941" s="57"/>
      <c r="R941" s="57"/>
      <c r="S941" s="57"/>
      <c r="Y941" s="64"/>
      <c r="Z941" s="88"/>
      <c r="AA941" s="88"/>
      <c r="AB941" s="88"/>
      <c r="AC941" s="88"/>
      <c r="AD941" s="88"/>
      <c r="AE941" s="88"/>
      <c r="AF941" s="62"/>
      <c r="AG941" s="65"/>
      <c r="AH941" s="65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B942" s="57"/>
      <c r="C942" s="57"/>
      <c r="D942" s="57"/>
      <c r="E942" s="57"/>
      <c r="G942" s="57"/>
      <c r="N942" s="57"/>
      <c r="O942" s="57"/>
      <c r="P942" s="57"/>
      <c r="Q942" s="57"/>
      <c r="R942" s="57"/>
      <c r="S942" s="57"/>
      <c r="Y942" s="62"/>
      <c r="Z942" s="88"/>
      <c r="AA942" s="88"/>
      <c r="AB942" s="88"/>
      <c r="AC942" s="88"/>
      <c r="AD942" s="88"/>
      <c r="AE942" s="88"/>
      <c r="AF942" s="62"/>
      <c r="AG942" s="62"/>
      <c r="AH942" s="62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t="s">
        <v>37</v>
      </c>
      <c r="B943" s="57"/>
      <c r="C943" s="57"/>
      <c r="D943" s="57"/>
      <c r="E943" s="57"/>
      <c r="G943" s="57"/>
      <c r="I943" s="57" t="s">
        <v>15</v>
      </c>
      <c r="J943" s="19">
        <v>1</v>
      </c>
      <c r="M943" t="s">
        <v>37</v>
      </c>
      <c r="N943" s="57"/>
      <c r="O943" s="57"/>
      <c r="P943" s="57"/>
      <c r="Q943" s="57"/>
      <c r="R943" s="57"/>
      <c r="S943" s="57"/>
      <c r="U943" s="57" t="s">
        <v>15</v>
      </c>
      <c r="V943" s="19">
        <v>2</v>
      </c>
      <c r="Y943" s="62"/>
      <c r="Z943" s="65"/>
      <c r="AA943" s="88"/>
      <c r="AB943" s="121"/>
      <c r="AC943" s="121"/>
      <c r="AD943" s="88"/>
      <c r="AE943" s="88"/>
      <c r="AF943" s="62"/>
      <c r="AG943" s="121"/>
      <c r="AH943" s="121"/>
      <c r="AI943" s="124"/>
      <c r="AJ943" s="62"/>
      <c r="AK943" s="62"/>
      <c r="AL943" s="65"/>
      <c r="AM943" s="86"/>
      <c r="AN943" s="121"/>
      <c r="AO943" s="121"/>
      <c r="AP943" s="86"/>
      <c r="AQ943" s="86"/>
      <c r="AR943" s="62"/>
      <c r="AS943" s="121"/>
      <c r="AT943" s="121"/>
      <c r="AU943" s="124"/>
      <c r="AV943" s="62"/>
      <c r="AW943" s="62"/>
      <c r="AX943" s="62"/>
      <c r="AY943" s="62"/>
      <c r="AZ943" s="62"/>
    </row>
    <row r="944" spans="1:52" x14ac:dyDescent="0.25">
      <c r="A944" s="21" t="s">
        <v>104</v>
      </c>
      <c r="B944" s="20"/>
      <c r="C944" s="57"/>
      <c r="D944" s="57"/>
      <c r="E944" s="57"/>
      <c r="G944" s="57"/>
      <c r="I944" s="22" t="s">
        <v>16</v>
      </c>
      <c r="J944" s="23" t="s">
        <v>31</v>
      </c>
      <c r="K944" s="24"/>
      <c r="M944" s="21" t="s">
        <v>104</v>
      </c>
      <c r="N944" s="20"/>
      <c r="O944" s="57"/>
      <c r="P944" s="57"/>
      <c r="Q944" s="57"/>
      <c r="R944" s="57"/>
      <c r="S944" s="57"/>
      <c r="U944" s="22" t="s">
        <v>16</v>
      </c>
      <c r="V944" s="23" t="s">
        <v>33</v>
      </c>
      <c r="W944" s="24"/>
      <c r="Y944" s="62"/>
      <c r="Z944" s="88"/>
      <c r="AA944" s="88"/>
      <c r="AB944" s="79"/>
      <c r="AC944" s="81"/>
      <c r="AD944" s="81"/>
      <c r="AE944" s="81"/>
      <c r="AF944" s="62"/>
      <c r="AG944" s="87"/>
      <c r="AH944" s="87"/>
      <c r="AI944" s="124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4"/>
      <c r="AV944" s="62"/>
      <c r="AW944" s="62"/>
      <c r="AX944" s="62"/>
      <c r="AY944" s="62"/>
      <c r="AZ944" s="62"/>
    </row>
    <row r="945" spans="1:52" x14ac:dyDescent="0.25">
      <c r="B945" s="57"/>
      <c r="C945" s="57"/>
      <c r="D945" s="57"/>
      <c r="E945" s="57"/>
      <c r="G945" s="57"/>
      <c r="N945" s="57"/>
      <c r="O945" s="57"/>
      <c r="P945" s="57"/>
      <c r="Q945" s="57"/>
      <c r="R945" s="57"/>
      <c r="S945" s="57"/>
      <c r="Y945" s="62"/>
      <c r="Z945" s="66"/>
      <c r="AA945" s="88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B946" s="25"/>
      <c r="C946" s="26"/>
      <c r="D946" s="125" t="s">
        <v>17</v>
      </c>
      <c r="E946" s="125"/>
      <c r="F946" s="109"/>
      <c r="G946" s="27"/>
      <c r="I946" s="116" t="s">
        <v>18</v>
      </c>
      <c r="J946" s="117"/>
      <c r="K946" s="122" t="s">
        <v>19</v>
      </c>
      <c r="N946" s="25"/>
      <c r="O946" s="26"/>
      <c r="P946" s="125" t="s">
        <v>17</v>
      </c>
      <c r="Q946" s="125"/>
      <c r="R946" s="109"/>
      <c r="S946" s="27"/>
      <c r="U946" s="116" t="s">
        <v>18</v>
      </c>
      <c r="V946" s="117"/>
      <c r="W946" s="122" t="s">
        <v>19</v>
      </c>
      <c r="Y946" s="62"/>
      <c r="Z946" s="66"/>
      <c r="AA946" s="88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ht="30" x14ac:dyDescent="0.25">
      <c r="B947" s="28" t="s">
        <v>20</v>
      </c>
      <c r="C947" s="28" t="s">
        <v>21</v>
      </c>
      <c r="D947" s="77" t="s">
        <v>22</v>
      </c>
      <c r="E947" s="76" t="s">
        <v>23</v>
      </c>
      <c r="F947" s="78" t="s">
        <v>32</v>
      </c>
      <c r="G947" s="78" t="s">
        <v>24</v>
      </c>
      <c r="I947" s="29" t="s">
        <v>25</v>
      </c>
      <c r="J947" s="29" t="s">
        <v>26</v>
      </c>
      <c r="K947" s="126"/>
      <c r="N947" s="28" t="s">
        <v>20</v>
      </c>
      <c r="O947" s="28" t="s">
        <v>21</v>
      </c>
      <c r="P947" s="77" t="s">
        <v>22</v>
      </c>
      <c r="Q947" s="78" t="s">
        <v>23</v>
      </c>
      <c r="R947" s="78" t="s">
        <v>32</v>
      </c>
      <c r="S947" s="78" t="s">
        <v>24</v>
      </c>
      <c r="U947" s="29" t="s">
        <v>25</v>
      </c>
      <c r="V947" s="29" t="s">
        <v>26</v>
      </c>
      <c r="W947" s="126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1</v>
      </c>
      <c r="B948" s="30" t="s">
        <v>105</v>
      </c>
      <c r="C948" s="83">
        <v>10678</v>
      </c>
      <c r="D948" s="32">
        <f>378*650+229*15</f>
        <v>249135</v>
      </c>
      <c r="E948" s="32">
        <f>-378*6</f>
        <v>-2268</v>
      </c>
      <c r="F948" s="32"/>
      <c r="G948" s="32">
        <f t="shared" ref="G948:G961" si="218">SUM(D948:E948)</f>
        <v>246867</v>
      </c>
      <c r="H948" s="12"/>
      <c r="I948" s="12">
        <f>240*1.5</f>
        <v>360</v>
      </c>
      <c r="J948" s="12"/>
      <c r="K948" s="12">
        <f t="shared" ref="K948:K981" si="219">SUM(G948:J948)</f>
        <v>247227</v>
      </c>
      <c r="M948" s="10">
        <v>1</v>
      </c>
      <c r="N948" s="30" t="s">
        <v>105</v>
      </c>
      <c r="O948" s="31">
        <v>10589</v>
      </c>
      <c r="P948" s="32">
        <f>650*15+622*15</f>
        <v>19080</v>
      </c>
      <c r="Q948" s="32"/>
      <c r="R948" s="32"/>
      <c r="S948" s="32">
        <f>SUM(P948:Q948)</f>
        <v>19080</v>
      </c>
      <c r="T948" s="12"/>
      <c r="U948" s="12"/>
      <c r="V948" s="12"/>
      <c r="W948" s="12">
        <f>SUM(S948:V948)</f>
        <v>19080</v>
      </c>
      <c r="Y948" s="62"/>
      <c r="Z948" s="66"/>
      <c r="AA948" s="88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2</v>
      </c>
      <c r="B949" s="30" t="s">
        <v>105</v>
      </c>
      <c r="C949" s="83">
        <f>C948+1</f>
        <v>10679</v>
      </c>
      <c r="D949" s="32">
        <f>650*17</f>
        <v>11050</v>
      </c>
      <c r="E949" s="32"/>
      <c r="F949" s="32"/>
      <c r="G949" s="32">
        <f t="shared" si="218"/>
        <v>11050</v>
      </c>
      <c r="H949" s="12"/>
      <c r="I949" s="12"/>
      <c r="J949" s="12"/>
      <c r="K949" s="12">
        <f t="shared" si="219"/>
        <v>11050</v>
      </c>
      <c r="M949" s="10">
        <v>2</v>
      </c>
      <c r="N949" s="30" t="s">
        <v>105</v>
      </c>
      <c r="O949" s="31">
        <f>O948+1</f>
        <v>10590</v>
      </c>
      <c r="P949" s="32">
        <f>650*7+622*3+9.5*10</f>
        <v>6511</v>
      </c>
      <c r="Q949" s="32"/>
      <c r="R949" s="32"/>
      <c r="S949" s="32">
        <f t="shared" ref="S949:S986" si="220">SUM(P949:Q949)</f>
        <v>6511</v>
      </c>
      <c r="T949" s="12"/>
      <c r="U949" s="12">
        <v>15</v>
      </c>
      <c r="V949" s="12"/>
      <c r="W949" s="12">
        <f t="shared" ref="W949:W989" si="221">SUM(S949:V949)</f>
        <v>6526</v>
      </c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3</v>
      </c>
      <c r="B950" s="30" t="s">
        <v>105</v>
      </c>
      <c r="C950" s="83">
        <f t="shared" ref="C950:C951" si="222">C949+1</f>
        <v>10680</v>
      </c>
      <c r="D950" s="33">
        <f>650*37</f>
        <v>24050</v>
      </c>
      <c r="E950" s="33"/>
      <c r="F950" s="33"/>
      <c r="G950" s="33">
        <f t="shared" si="218"/>
        <v>24050</v>
      </c>
      <c r="H950" s="34"/>
      <c r="I950" s="34"/>
      <c r="J950" s="34"/>
      <c r="K950" s="34">
        <f t="shared" si="219"/>
        <v>24050</v>
      </c>
      <c r="M950" s="10">
        <v>3</v>
      </c>
      <c r="N950" s="30" t="s">
        <v>105</v>
      </c>
      <c r="O950" s="31">
        <f t="shared" ref="O950:O955" si="223">O949+1</f>
        <v>10591</v>
      </c>
      <c r="P950" s="32">
        <f>650*70+670*3+622*15+229*4+650</f>
        <v>58406</v>
      </c>
      <c r="Q950" s="32"/>
      <c r="R950" s="32"/>
      <c r="S950" s="32">
        <f t="shared" si="220"/>
        <v>58406</v>
      </c>
      <c r="T950" s="12"/>
      <c r="U950" s="12"/>
      <c r="V950" s="12">
        <v>-1554</v>
      </c>
      <c r="W950" s="12">
        <f t="shared" si="221"/>
        <v>56852</v>
      </c>
      <c r="Y950" s="62"/>
      <c r="Z950" s="66"/>
      <c r="AA950" s="88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4</v>
      </c>
      <c r="B951" s="30" t="s">
        <v>105</v>
      </c>
      <c r="C951" s="83">
        <f t="shared" si="222"/>
        <v>10681</v>
      </c>
      <c r="D951" s="32">
        <f>650*14</f>
        <v>9100</v>
      </c>
      <c r="E951" s="32"/>
      <c r="F951" s="32"/>
      <c r="G951" s="32">
        <f t="shared" si="218"/>
        <v>9100</v>
      </c>
      <c r="H951" s="12"/>
      <c r="I951" s="12"/>
      <c r="J951" s="12">
        <f>-111*10+-42*3</f>
        <v>-1236</v>
      </c>
      <c r="K951" s="12">
        <f t="shared" si="219"/>
        <v>7864</v>
      </c>
      <c r="M951" s="10">
        <v>4</v>
      </c>
      <c r="N951" s="30" t="s">
        <v>105</v>
      </c>
      <c r="O951" s="31">
        <f t="shared" si="223"/>
        <v>10592</v>
      </c>
      <c r="P951" s="32">
        <f>650*108+229*5</f>
        <v>71345</v>
      </c>
      <c r="Q951" s="32">
        <f>-108*6</f>
        <v>-648</v>
      </c>
      <c r="R951" s="32"/>
      <c r="S951" s="32">
        <f t="shared" si="220"/>
        <v>70697</v>
      </c>
      <c r="T951" s="12"/>
      <c r="U951" s="12">
        <v>234</v>
      </c>
      <c r="V951" s="12">
        <f>-42*7</f>
        <v>-294</v>
      </c>
      <c r="W951" s="12">
        <f t="shared" si="221"/>
        <v>70637</v>
      </c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5</v>
      </c>
      <c r="B952" s="30"/>
      <c r="C952" s="11" t="s">
        <v>27</v>
      </c>
      <c r="D952" s="32"/>
      <c r="E952" s="32"/>
      <c r="F952" s="32"/>
      <c r="G952" s="32">
        <f t="shared" si="218"/>
        <v>0</v>
      </c>
      <c r="H952" s="12"/>
      <c r="I952" s="12"/>
      <c r="J952" s="12"/>
      <c r="K952" s="12">
        <f t="shared" si="219"/>
        <v>0</v>
      </c>
      <c r="M952" s="10">
        <v>5</v>
      </c>
      <c r="N952" s="30" t="s">
        <v>105</v>
      </c>
      <c r="O952" s="31">
        <f t="shared" si="223"/>
        <v>10593</v>
      </c>
      <c r="P952" s="32">
        <f>650*70+229</f>
        <v>45729</v>
      </c>
      <c r="Q952" s="32">
        <f>-70*6</f>
        <v>-420</v>
      </c>
      <c r="R952" s="32"/>
      <c r="S952" s="32">
        <f t="shared" si="220"/>
        <v>45309</v>
      </c>
      <c r="T952" s="12"/>
      <c r="U952" s="12">
        <v>36</v>
      </c>
      <c r="V952" s="12"/>
      <c r="W952" s="12">
        <f t="shared" si="221"/>
        <v>45345</v>
      </c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6</v>
      </c>
      <c r="B953" s="30"/>
      <c r="C953" s="83"/>
      <c r="D953" s="32"/>
      <c r="E953" s="32"/>
      <c r="F953" s="32"/>
      <c r="G953" s="32">
        <f t="shared" si="218"/>
        <v>0</v>
      </c>
      <c r="H953" s="12"/>
      <c r="I953" s="12"/>
      <c r="J953" s="12"/>
      <c r="K953" s="12">
        <f t="shared" si="219"/>
        <v>0</v>
      </c>
      <c r="M953" s="10">
        <v>6</v>
      </c>
      <c r="N953" s="30" t="s">
        <v>105</v>
      </c>
      <c r="O953" s="31">
        <f t="shared" si="223"/>
        <v>10594</v>
      </c>
      <c r="P953" s="32">
        <f>650*15+9.5*10+650</f>
        <v>10495</v>
      </c>
      <c r="Q953" s="32"/>
      <c r="R953" s="32"/>
      <c r="S953" s="32">
        <f t="shared" si="220"/>
        <v>10495</v>
      </c>
      <c r="T953" s="12"/>
      <c r="U953" s="12">
        <v>54</v>
      </c>
      <c r="V953" s="10"/>
      <c r="W953" s="12">
        <f t="shared" si="221"/>
        <v>10549</v>
      </c>
      <c r="Y953" s="62"/>
      <c r="Z953" s="66"/>
      <c r="AA953" s="88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7</v>
      </c>
      <c r="B954" s="30"/>
      <c r="C954" s="83"/>
      <c r="D954" s="32"/>
      <c r="E954" s="32"/>
      <c r="F954" s="32"/>
      <c r="G954" s="32">
        <f t="shared" si="218"/>
        <v>0</v>
      </c>
      <c r="H954" s="12"/>
      <c r="I954" s="12"/>
      <c r="J954" s="12"/>
      <c r="K954" s="12">
        <f t="shared" si="219"/>
        <v>0</v>
      </c>
      <c r="M954" s="10">
        <v>7</v>
      </c>
      <c r="N954" s="30" t="s">
        <v>105</v>
      </c>
      <c r="O954" s="31">
        <f t="shared" si="223"/>
        <v>10595</v>
      </c>
      <c r="P954" s="32">
        <f>650*4+9.5*4</f>
        <v>2638</v>
      </c>
      <c r="Q954" s="32"/>
      <c r="R954" s="32"/>
      <c r="S954" s="32">
        <f t="shared" si="220"/>
        <v>2638</v>
      </c>
      <c r="T954" s="12"/>
      <c r="U954" s="12"/>
      <c r="V954" s="12"/>
      <c r="W954" s="12">
        <f t="shared" si="221"/>
        <v>2638</v>
      </c>
      <c r="Y954" s="62"/>
      <c r="Z954" s="66"/>
      <c r="AA954" s="88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8</v>
      </c>
      <c r="B955" s="30"/>
      <c r="C955" s="83"/>
      <c r="D955" s="32"/>
      <c r="E955" s="32"/>
      <c r="F955" s="32"/>
      <c r="G955" s="32">
        <f t="shared" si="218"/>
        <v>0</v>
      </c>
      <c r="H955" s="12"/>
      <c r="I955" s="12"/>
      <c r="J955" s="12"/>
      <c r="K955" s="12">
        <f t="shared" si="219"/>
        <v>0</v>
      </c>
      <c r="M955" s="10">
        <v>8</v>
      </c>
      <c r="N955" s="30" t="s">
        <v>105</v>
      </c>
      <c r="O955" s="31">
        <f t="shared" si="223"/>
        <v>10596</v>
      </c>
      <c r="P955" s="32">
        <f>650*5</f>
        <v>3250</v>
      </c>
      <c r="Q955" s="32"/>
      <c r="R955" s="32"/>
      <c r="S955" s="32">
        <f t="shared" si="220"/>
        <v>3250</v>
      </c>
      <c r="T955" s="12"/>
      <c r="U955" s="12"/>
      <c r="V955" s="12"/>
      <c r="W955" s="12">
        <f t="shared" si="221"/>
        <v>3250</v>
      </c>
      <c r="Y955" s="62"/>
      <c r="Z955" s="66"/>
      <c r="AA955" s="88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9</v>
      </c>
      <c r="B956" s="30"/>
      <c r="C956" s="83"/>
      <c r="D956" s="32"/>
      <c r="E956" s="32"/>
      <c r="F956" s="32"/>
      <c r="G956" s="32">
        <f t="shared" si="218"/>
        <v>0</v>
      </c>
      <c r="H956" s="12"/>
      <c r="I956" s="12"/>
      <c r="J956" s="12"/>
      <c r="K956" s="12">
        <f t="shared" si="219"/>
        <v>0</v>
      </c>
      <c r="M956" s="10">
        <v>9</v>
      </c>
      <c r="N956" s="30"/>
      <c r="O956" s="11" t="s">
        <v>27</v>
      </c>
      <c r="P956" s="32"/>
      <c r="Q956" s="32"/>
      <c r="R956" s="32"/>
      <c r="S956" s="32">
        <f t="shared" si="220"/>
        <v>0</v>
      </c>
      <c r="T956" s="12"/>
      <c r="U956" s="12"/>
      <c r="V956" s="12"/>
      <c r="W956" s="12">
        <f t="shared" si="221"/>
        <v>0</v>
      </c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10</v>
      </c>
      <c r="B957" s="30"/>
      <c r="C957" s="83"/>
      <c r="D957" s="32"/>
      <c r="E957" s="32"/>
      <c r="F957" s="32"/>
      <c r="G957" s="32">
        <f t="shared" si="218"/>
        <v>0</v>
      </c>
      <c r="H957" s="12"/>
      <c r="I957" s="12"/>
      <c r="J957" s="12"/>
      <c r="K957" s="12">
        <f t="shared" si="219"/>
        <v>0</v>
      </c>
      <c r="M957" s="10">
        <v>10</v>
      </c>
      <c r="N957" s="30"/>
      <c r="O957" s="31"/>
      <c r="P957" s="32"/>
      <c r="Q957" s="32"/>
      <c r="R957" s="32"/>
      <c r="S957" s="32">
        <f t="shared" si="220"/>
        <v>0</v>
      </c>
      <c r="T957" s="12"/>
      <c r="U957" s="12"/>
      <c r="V957" s="12"/>
      <c r="W957" s="12">
        <f t="shared" si="221"/>
        <v>0</v>
      </c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11</v>
      </c>
      <c r="B958" s="30"/>
      <c r="C958" s="83"/>
      <c r="D958" s="32"/>
      <c r="E958" s="32"/>
      <c r="F958" s="32"/>
      <c r="G958" s="32">
        <f t="shared" si="218"/>
        <v>0</v>
      </c>
      <c r="H958" s="12"/>
      <c r="I958" s="12"/>
      <c r="J958" s="12"/>
      <c r="K958" s="12">
        <f t="shared" si="219"/>
        <v>0</v>
      </c>
      <c r="M958" s="10">
        <v>11</v>
      </c>
      <c r="N958" s="30"/>
      <c r="O958" s="31"/>
      <c r="P958" s="32"/>
      <c r="Q958" s="32"/>
      <c r="R958" s="32"/>
      <c r="S958" s="32">
        <f t="shared" si="220"/>
        <v>0</v>
      </c>
      <c r="T958" s="12"/>
      <c r="U958" s="12"/>
      <c r="V958" s="12"/>
      <c r="W958" s="12">
        <f t="shared" si="221"/>
        <v>0</v>
      </c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12</v>
      </c>
      <c r="B959" s="30"/>
      <c r="C959" s="83"/>
      <c r="D959" s="32"/>
      <c r="E959" s="32"/>
      <c r="F959" s="32"/>
      <c r="G959" s="32">
        <f t="shared" si="218"/>
        <v>0</v>
      </c>
      <c r="H959" s="12"/>
      <c r="I959" s="12"/>
      <c r="J959" s="10"/>
      <c r="K959" s="12">
        <f t="shared" si="219"/>
        <v>0</v>
      </c>
      <c r="M959" s="10">
        <v>12</v>
      </c>
      <c r="N959" s="30"/>
      <c r="O959" s="31"/>
      <c r="P959" s="32"/>
      <c r="Q959" s="32"/>
      <c r="R959" s="32"/>
      <c r="S959" s="32">
        <f t="shared" si="220"/>
        <v>0</v>
      </c>
      <c r="T959" s="12"/>
      <c r="U959" s="12"/>
      <c r="V959" s="12"/>
      <c r="W959" s="12">
        <f t="shared" si="221"/>
        <v>0</v>
      </c>
      <c r="Y959" s="62"/>
      <c r="Z959" s="66"/>
      <c r="AA959" s="88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13</v>
      </c>
      <c r="B960" s="30"/>
      <c r="C960" s="83"/>
      <c r="D960" s="32"/>
      <c r="E960" s="32"/>
      <c r="F960" s="32"/>
      <c r="G960" s="32">
        <f t="shared" si="218"/>
        <v>0</v>
      </c>
      <c r="H960" s="12"/>
      <c r="I960" s="12"/>
      <c r="J960" s="12"/>
      <c r="K960" s="12">
        <f t="shared" si="219"/>
        <v>0</v>
      </c>
      <c r="M960" s="10">
        <v>13</v>
      </c>
      <c r="N960" s="30"/>
      <c r="O960" s="11"/>
      <c r="P960" s="32"/>
      <c r="Q960" s="32"/>
      <c r="R960" s="32"/>
      <c r="S960" s="32">
        <f t="shared" si="220"/>
        <v>0</v>
      </c>
      <c r="T960" s="12"/>
      <c r="U960" s="12"/>
      <c r="V960" s="12"/>
      <c r="W960" s="12">
        <f t="shared" si="221"/>
        <v>0</v>
      </c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14</v>
      </c>
      <c r="B961" s="30"/>
      <c r="C961" s="83"/>
      <c r="D961" s="32"/>
      <c r="E961" s="32"/>
      <c r="F961" s="32"/>
      <c r="G961" s="32">
        <f t="shared" si="218"/>
        <v>0</v>
      </c>
      <c r="H961" s="12"/>
      <c r="I961" s="12"/>
      <c r="J961" s="12"/>
      <c r="K961" s="12">
        <f t="shared" si="219"/>
        <v>0</v>
      </c>
      <c r="M961" s="10">
        <v>14</v>
      </c>
      <c r="N961" s="30"/>
      <c r="P961" s="32"/>
      <c r="Q961" s="32"/>
      <c r="R961" s="32"/>
      <c r="S961" s="32">
        <f t="shared" si="220"/>
        <v>0</v>
      </c>
      <c r="T961" s="12"/>
      <c r="U961" s="12"/>
      <c r="V961" s="12"/>
      <c r="W961" s="12">
        <f t="shared" si="221"/>
        <v>0</v>
      </c>
      <c r="Y961" s="62"/>
      <c r="Z961" s="66"/>
      <c r="AA961" s="88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15</v>
      </c>
      <c r="B962" s="30"/>
      <c r="C962" s="11"/>
      <c r="D962" s="32"/>
      <c r="E962" s="32"/>
      <c r="F962" s="32"/>
      <c r="G962" s="32"/>
      <c r="H962" s="12"/>
      <c r="I962" s="12"/>
      <c r="J962" s="12"/>
      <c r="K962" s="12">
        <f t="shared" si="219"/>
        <v>0</v>
      </c>
      <c r="M962" s="10">
        <v>15</v>
      </c>
      <c r="N962" s="30"/>
      <c r="O962" s="31"/>
      <c r="P962" s="32"/>
      <c r="Q962" s="32"/>
      <c r="R962" s="32"/>
      <c r="S962" s="32">
        <f t="shared" si="220"/>
        <v>0</v>
      </c>
      <c r="T962" s="12"/>
      <c r="U962" s="12"/>
      <c r="V962" s="12"/>
      <c r="W962" s="12">
        <f t="shared" si="221"/>
        <v>0</v>
      </c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16</v>
      </c>
      <c r="B963" s="30"/>
      <c r="C963" s="83"/>
      <c r="D963" s="32"/>
      <c r="E963" s="32"/>
      <c r="F963" s="32"/>
      <c r="G963" s="32"/>
      <c r="H963" s="12"/>
      <c r="I963" s="12"/>
      <c r="J963" s="12"/>
      <c r="K963" s="12">
        <f t="shared" si="219"/>
        <v>0</v>
      </c>
      <c r="M963" s="10">
        <v>16</v>
      </c>
      <c r="N963" s="30"/>
      <c r="O963" s="31"/>
      <c r="P963" s="32"/>
      <c r="Q963" s="32"/>
      <c r="R963" s="32"/>
      <c r="S963" s="32">
        <f t="shared" si="220"/>
        <v>0</v>
      </c>
      <c r="T963" s="12"/>
      <c r="U963" s="12"/>
      <c r="V963" s="12"/>
      <c r="W963" s="12">
        <f t="shared" si="221"/>
        <v>0</v>
      </c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17</v>
      </c>
      <c r="B964" s="30"/>
      <c r="C964" s="83"/>
      <c r="D964" s="32"/>
      <c r="E964" s="32"/>
      <c r="F964" s="32"/>
      <c r="G964" s="32"/>
      <c r="H964" s="12"/>
      <c r="I964" s="12"/>
      <c r="J964" s="12"/>
      <c r="K964" s="12">
        <f t="shared" si="219"/>
        <v>0</v>
      </c>
      <c r="M964" s="10">
        <v>17</v>
      </c>
      <c r="N964" s="30"/>
      <c r="P964" s="35"/>
      <c r="Q964" s="32"/>
      <c r="R964" s="32"/>
      <c r="S964" s="32">
        <f t="shared" si="220"/>
        <v>0</v>
      </c>
      <c r="T964" s="12"/>
      <c r="U964" s="12"/>
      <c r="V964" s="12"/>
      <c r="W964" s="12">
        <f t="shared" si="221"/>
        <v>0</v>
      </c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18</v>
      </c>
      <c r="B965" s="30"/>
      <c r="C965" s="83"/>
      <c r="D965" s="32"/>
      <c r="E965" s="32"/>
      <c r="F965" s="32"/>
      <c r="G965" s="32"/>
      <c r="H965" s="12"/>
      <c r="I965" s="12"/>
      <c r="J965" s="12"/>
      <c r="K965" s="12">
        <f t="shared" si="219"/>
        <v>0</v>
      </c>
      <c r="M965" s="10">
        <v>18</v>
      </c>
      <c r="N965" s="30"/>
      <c r="O965" s="11"/>
      <c r="P965" s="32"/>
      <c r="Q965" s="32"/>
      <c r="R965" s="32"/>
      <c r="S965" s="32">
        <f t="shared" si="220"/>
        <v>0</v>
      </c>
      <c r="T965" s="12"/>
      <c r="U965" s="12"/>
      <c r="V965" s="12"/>
      <c r="W965" s="12">
        <f t="shared" si="221"/>
        <v>0</v>
      </c>
      <c r="Y965" s="62"/>
      <c r="Z965" s="66"/>
      <c r="AA965" s="88"/>
      <c r="AB965" s="67"/>
      <c r="AC965" s="88"/>
      <c r="AD965" s="88"/>
      <c r="AE965" s="60"/>
      <c r="AF965" s="62"/>
      <c r="AG965" s="62"/>
      <c r="AH965" s="62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19</v>
      </c>
      <c r="B966" s="30"/>
      <c r="C966" s="83"/>
      <c r="D966" s="32"/>
      <c r="E966" s="32"/>
      <c r="F966" s="32"/>
      <c r="G966" s="32"/>
      <c r="H966" s="12"/>
      <c r="I966" s="12"/>
      <c r="J966" s="12"/>
      <c r="K966" s="12">
        <f t="shared" si="219"/>
        <v>0</v>
      </c>
      <c r="M966" s="10">
        <v>19</v>
      </c>
      <c r="N966" s="30"/>
      <c r="O966" s="31"/>
      <c r="P966" s="32"/>
      <c r="Q966" s="32"/>
      <c r="R966" s="32"/>
      <c r="S966" s="32">
        <f t="shared" si="220"/>
        <v>0</v>
      </c>
      <c r="T966" s="12"/>
      <c r="U966" s="12"/>
      <c r="V966" s="12"/>
      <c r="W966" s="12">
        <f t="shared" si="221"/>
        <v>0</v>
      </c>
      <c r="Y966" s="62"/>
      <c r="Z966" s="66"/>
      <c r="AA966" s="88"/>
      <c r="AB966" s="68"/>
      <c r="AC966" s="88"/>
      <c r="AD966" s="88"/>
      <c r="AE966" s="60"/>
      <c r="AF966" s="62"/>
      <c r="AG966" s="62"/>
      <c r="AH966" s="62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20</v>
      </c>
      <c r="B967" s="30"/>
      <c r="C967" s="83"/>
      <c r="D967" s="32"/>
      <c r="E967" s="32"/>
      <c r="F967" s="32"/>
      <c r="G967" s="32"/>
      <c r="H967" s="12"/>
      <c r="I967" s="12"/>
      <c r="J967" s="12"/>
      <c r="K967" s="12">
        <f t="shared" si="219"/>
        <v>0</v>
      </c>
      <c r="M967" s="10">
        <v>20</v>
      </c>
      <c r="N967" s="30"/>
      <c r="P967" s="32"/>
      <c r="Q967" s="32"/>
      <c r="R967" s="32"/>
      <c r="S967" s="32">
        <f t="shared" si="220"/>
        <v>0</v>
      </c>
      <c r="T967" s="12"/>
      <c r="U967" s="12"/>
      <c r="V967" s="12"/>
      <c r="W967" s="12">
        <f t="shared" si="221"/>
        <v>0</v>
      </c>
      <c r="Y967" s="62"/>
      <c r="Z967" s="66"/>
      <c r="AA967" s="88"/>
      <c r="AB967" s="69"/>
      <c r="AC967" s="88"/>
      <c r="AD967" s="62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21</v>
      </c>
      <c r="B968" s="30"/>
      <c r="C968" s="11"/>
      <c r="D968" s="32"/>
      <c r="E968" s="32"/>
      <c r="F968" s="32"/>
      <c r="G968" s="32"/>
      <c r="H968" s="10"/>
      <c r="I968" s="10"/>
      <c r="J968" s="10"/>
      <c r="K968" s="12">
        <f t="shared" si="219"/>
        <v>0</v>
      </c>
      <c r="M968" s="10">
        <v>21</v>
      </c>
      <c r="N968" s="30"/>
      <c r="O968" s="31"/>
      <c r="P968" s="46"/>
      <c r="Q968" s="31"/>
      <c r="R968" s="31"/>
      <c r="S968" s="32">
        <f t="shared" si="220"/>
        <v>0</v>
      </c>
      <c r="T968" s="10"/>
      <c r="U968" s="10"/>
      <c r="V968" s="10"/>
      <c r="W968" s="12">
        <f t="shared" si="221"/>
        <v>0</v>
      </c>
      <c r="Y968" s="62"/>
      <c r="Z968" s="66"/>
      <c r="AA968" s="88"/>
      <c r="AB968" s="69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22</v>
      </c>
      <c r="B969" s="30"/>
      <c r="C969" s="11"/>
      <c r="D969" s="32"/>
      <c r="E969" s="32"/>
      <c r="F969" s="32"/>
      <c r="G969" s="32">
        <f t="shared" ref="G969:G981" si="224">SUM(D969:E969)</f>
        <v>0</v>
      </c>
      <c r="H969" s="10"/>
      <c r="I969" s="10"/>
      <c r="J969" s="10"/>
      <c r="K969" s="12">
        <f t="shared" si="219"/>
        <v>0</v>
      </c>
      <c r="M969" s="10">
        <v>22</v>
      </c>
      <c r="N969" s="30"/>
      <c r="O969" s="31"/>
      <c r="P969" s="45"/>
      <c r="Q969" s="31"/>
      <c r="R969" s="31"/>
      <c r="S969" s="32">
        <f t="shared" si="220"/>
        <v>0</v>
      </c>
      <c r="T969" s="10"/>
      <c r="U969" s="10"/>
      <c r="V969" s="10"/>
      <c r="W969" s="12">
        <f t="shared" si="221"/>
        <v>0</v>
      </c>
      <c r="Y969" s="62"/>
      <c r="Z969" s="66"/>
      <c r="AA969" s="88"/>
      <c r="AB969" s="69"/>
      <c r="AC969" s="88"/>
      <c r="AD969" s="88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23</v>
      </c>
      <c r="B970" s="30"/>
      <c r="C970" s="83"/>
      <c r="D970" s="32"/>
      <c r="E970" s="32"/>
      <c r="F970" s="32"/>
      <c r="G970" s="32">
        <f t="shared" si="224"/>
        <v>0</v>
      </c>
      <c r="H970" s="10"/>
      <c r="I970" s="10"/>
      <c r="J970" s="12"/>
      <c r="K970" s="12">
        <f t="shared" si="219"/>
        <v>0</v>
      </c>
      <c r="M970" s="10">
        <v>23</v>
      </c>
      <c r="N970" s="30"/>
      <c r="O970" s="31"/>
      <c r="P970" s="47"/>
      <c r="Q970" s="45"/>
      <c r="S970" s="32">
        <f t="shared" si="220"/>
        <v>0</v>
      </c>
      <c r="T970" s="10"/>
      <c r="U970" s="10"/>
      <c r="V970" s="10"/>
      <c r="W970" s="12">
        <f t="shared" si="221"/>
        <v>0</v>
      </c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24</v>
      </c>
      <c r="B971" s="30"/>
      <c r="C971" s="83"/>
      <c r="D971" s="32"/>
      <c r="E971" s="32"/>
      <c r="F971" s="32"/>
      <c r="G971" s="32">
        <f t="shared" si="224"/>
        <v>0</v>
      </c>
      <c r="H971" s="10"/>
      <c r="I971" s="10"/>
      <c r="J971" s="10"/>
      <c r="K971" s="12">
        <f t="shared" si="219"/>
        <v>0</v>
      </c>
      <c r="M971" s="10">
        <v>24</v>
      </c>
      <c r="N971" s="30"/>
      <c r="O971" s="31"/>
      <c r="P971" s="47"/>
      <c r="Q971" s="31"/>
      <c r="R971" s="31"/>
      <c r="S971" s="32">
        <f t="shared" si="220"/>
        <v>0</v>
      </c>
      <c r="T971" s="10"/>
      <c r="U971" s="10"/>
      <c r="V971" s="10"/>
      <c r="W971" s="12">
        <f t="shared" si="221"/>
        <v>0</v>
      </c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25</v>
      </c>
      <c r="B972" s="30"/>
      <c r="C972" s="57"/>
      <c r="D972" s="32"/>
      <c r="E972" s="32"/>
      <c r="F972" s="32"/>
      <c r="G972" s="32">
        <f t="shared" si="224"/>
        <v>0</v>
      </c>
      <c r="H972" s="10"/>
      <c r="I972" s="10"/>
      <c r="J972" s="10"/>
      <c r="K972" s="12">
        <f t="shared" si="219"/>
        <v>0</v>
      </c>
      <c r="M972" s="10">
        <v>25</v>
      </c>
      <c r="N972" s="30"/>
      <c r="O972" s="31"/>
      <c r="P972" s="47"/>
      <c r="Q972" s="31"/>
      <c r="R972" s="31"/>
      <c r="S972" s="32">
        <f t="shared" si="220"/>
        <v>0</v>
      </c>
      <c r="T972" s="10"/>
      <c r="U972" s="10"/>
      <c r="V972" s="10"/>
      <c r="W972" s="12">
        <f t="shared" si="221"/>
        <v>0</v>
      </c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26</v>
      </c>
      <c r="B973" s="30"/>
      <c r="C973" s="83"/>
      <c r="D973" s="32"/>
      <c r="E973" s="32"/>
      <c r="F973" s="32"/>
      <c r="G973" s="32">
        <f t="shared" si="224"/>
        <v>0</v>
      </c>
      <c r="H973" s="10"/>
      <c r="I973" s="10"/>
      <c r="J973" s="10"/>
      <c r="K973" s="12">
        <f t="shared" si="219"/>
        <v>0</v>
      </c>
      <c r="M973" s="10">
        <v>26</v>
      </c>
      <c r="N973" s="30"/>
      <c r="O973" s="31"/>
      <c r="P973" s="47"/>
      <c r="Q973" s="31"/>
      <c r="R973" s="31"/>
      <c r="S973" s="32">
        <f t="shared" si="220"/>
        <v>0</v>
      </c>
      <c r="T973" s="10"/>
      <c r="U973" s="10"/>
      <c r="V973" s="10"/>
      <c r="W973" s="12">
        <f t="shared" si="221"/>
        <v>0</v>
      </c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27</v>
      </c>
      <c r="B974" s="30"/>
      <c r="C974" s="83"/>
      <c r="D974" s="32"/>
      <c r="E974" s="32"/>
      <c r="F974" s="32"/>
      <c r="G974" s="32">
        <f t="shared" si="224"/>
        <v>0</v>
      </c>
      <c r="H974" s="10"/>
      <c r="I974" s="10"/>
      <c r="J974" s="10"/>
      <c r="K974" s="12">
        <f t="shared" si="219"/>
        <v>0</v>
      </c>
      <c r="M974" s="10">
        <v>27</v>
      </c>
      <c r="N974" s="30"/>
      <c r="O974" s="31"/>
      <c r="P974" s="47"/>
      <c r="Q974" s="31"/>
      <c r="R974" s="31"/>
      <c r="S974" s="32">
        <f t="shared" si="220"/>
        <v>0</v>
      </c>
      <c r="T974" s="10"/>
      <c r="U974" s="10"/>
      <c r="V974" s="10"/>
      <c r="W974" s="12">
        <f t="shared" si="221"/>
        <v>0</v>
      </c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28</v>
      </c>
      <c r="B975" s="30"/>
      <c r="C975" s="83"/>
      <c r="D975" s="32"/>
      <c r="E975" s="32"/>
      <c r="F975" s="32"/>
      <c r="G975" s="32">
        <f t="shared" si="224"/>
        <v>0</v>
      </c>
      <c r="H975" s="10"/>
      <c r="I975" s="10"/>
      <c r="J975" s="10"/>
      <c r="K975" s="12">
        <f t="shared" si="219"/>
        <v>0</v>
      </c>
      <c r="M975" s="10">
        <v>28</v>
      </c>
      <c r="N975" s="30"/>
      <c r="O975" s="31"/>
      <c r="P975" s="47"/>
      <c r="Q975" s="31"/>
      <c r="R975" s="31"/>
      <c r="S975" s="32">
        <f t="shared" si="220"/>
        <v>0</v>
      </c>
      <c r="T975" s="10"/>
      <c r="U975" s="10"/>
      <c r="V975" s="10"/>
      <c r="W975" s="12">
        <f t="shared" si="221"/>
        <v>0</v>
      </c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29</v>
      </c>
      <c r="B976" s="30"/>
      <c r="C976" s="83"/>
      <c r="D976" s="32"/>
      <c r="E976" s="32"/>
      <c r="F976" s="32"/>
      <c r="G976" s="32">
        <f t="shared" si="224"/>
        <v>0</v>
      </c>
      <c r="H976" s="10"/>
      <c r="I976" s="10"/>
      <c r="J976" s="10"/>
      <c r="K976" s="12">
        <f t="shared" si="219"/>
        <v>0</v>
      </c>
      <c r="M976" s="10">
        <v>29</v>
      </c>
      <c r="N976" s="30"/>
      <c r="O976" s="31"/>
      <c r="P976" s="47"/>
      <c r="Q976" s="31"/>
      <c r="R976" s="31"/>
      <c r="S976" s="32">
        <f t="shared" si="220"/>
        <v>0</v>
      </c>
      <c r="T976" s="10"/>
      <c r="U976" s="10"/>
      <c r="V976" s="10"/>
      <c r="W976" s="12">
        <f t="shared" si="221"/>
        <v>0</v>
      </c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30</v>
      </c>
      <c r="B977" s="30"/>
      <c r="C977" s="83"/>
      <c r="D977" s="32"/>
      <c r="E977" s="32"/>
      <c r="F977" s="32"/>
      <c r="G977" s="32">
        <f t="shared" si="224"/>
        <v>0</v>
      </c>
      <c r="H977" s="10"/>
      <c r="I977" s="10"/>
      <c r="J977" s="10"/>
      <c r="K977" s="12">
        <f t="shared" si="219"/>
        <v>0</v>
      </c>
      <c r="M977" s="10">
        <v>30</v>
      </c>
      <c r="N977" s="30"/>
      <c r="O977" s="31"/>
      <c r="P977" s="47"/>
      <c r="Q977" s="31"/>
      <c r="R977" s="31"/>
      <c r="S977" s="32">
        <f t="shared" si="220"/>
        <v>0</v>
      </c>
      <c r="T977" s="10"/>
      <c r="U977" s="10"/>
      <c r="V977" s="10"/>
      <c r="W977" s="12">
        <f t="shared" si="221"/>
        <v>0</v>
      </c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31</v>
      </c>
      <c r="B978" s="30"/>
      <c r="C978" s="83"/>
      <c r="D978" s="32"/>
      <c r="E978" s="32"/>
      <c r="F978" s="32"/>
      <c r="G978" s="32">
        <f t="shared" si="224"/>
        <v>0</v>
      </c>
      <c r="H978" s="10"/>
      <c r="I978" s="10"/>
      <c r="J978" s="10"/>
      <c r="K978" s="12">
        <f t="shared" si="219"/>
        <v>0</v>
      </c>
      <c r="M978" s="10">
        <v>31</v>
      </c>
      <c r="N978" s="30"/>
      <c r="O978" s="31"/>
      <c r="P978" s="47"/>
      <c r="Q978" s="31"/>
      <c r="R978" s="31"/>
      <c r="S978" s="32">
        <f t="shared" si="220"/>
        <v>0</v>
      </c>
      <c r="T978" s="10"/>
      <c r="U978" s="10"/>
      <c r="V978" s="10"/>
      <c r="W978" s="12">
        <f t="shared" si="221"/>
        <v>0</v>
      </c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32</v>
      </c>
      <c r="B979" s="30"/>
      <c r="C979" s="83"/>
      <c r="D979" s="32"/>
      <c r="E979" s="32"/>
      <c r="F979" s="32"/>
      <c r="G979" s="32">
        <f t="shared" si="224"/>
        <v>0</v>
      </c>
      <c r="H979" s="10"/>
      <c r="I979" s="10"/>
      <c r="J979" s="10"/>
      <c r="K979" s="12">
        <f t="shared" si="219"/>
        <v>0</v>
      </c>
      <c r="M979" s="10">
        <v>32</v>
      </c>
      <c r="N979" s="30"/>
      <c r="O979" s="31"/>
      <c r="P979" s="47"/>
      <c r="Q979" s="31"/>
      <c r="R979" s="31"/>
      <c r="S979" s="32">
        <f t="shared" si="220"/>
        <v>0</v>
      </c>
      <c r="T979" s="10"/>
      <c r="U979" s="10"/>
      <c r="V979" s="10"/>
      <c r="W979" s="12">
        <f t="shared" si="221"/>
        <v>0</v>
      </c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>
        <v>33</v>
      </c>
      <c r="B980" s="30"/>
      <c r="C980" s="83"/>
      <c r="D980" s="32"/>
      <c r="E980" s="32"/>
      <c r="F980" s="32"/>
      <c r="G980" s="32">
        <f t="shared" si="224"/>
        <v>0</v>
      </c>
      <c r="H980" s="10"/>
      <c r="I980" s="10"/>
      <c r="J980" s="10"/>
      <c r="K980" s="12">
        <f t="shared" si="219"/>
        <v>0</v>
      </c>
      <c r="M980" s="10">
        <v>33</v>
      </c>
      <c r="N980" s="30"/>
      <c r="O980" s="31"/>
      <c r="P980" s="47"/>
      <c r="Q980" s="31"/>
      <c r="R980" s="31"/>
      <c r="S980" s="32">
        <f t="shared" si="220"/>
        <v>0</v>
      </c>
      <c r="T980" s="10"/>
      <c r="U980" s="10"/>
      <c r="V980" s="10"/>
      <c r="W980" s="12">
        <f t="shared" si="221"/>
        <v>0</v>
      </c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>
        <f t="shared" si="224"/>
        <v>0</v>
      </c>
      <c r="H981" s="10"/>
      <c r="I981" s="10"/>
      <c r="J981" s="10"/>
      <c r="K981" s="12">
        <f t="shared" si="219"/>
        <v>0</v>
      </c>
      <c r="M981" s="10">
        <v>34</v>
      </c>
      <c r="N981" s="30"/>
      <c r="O981" s="31"/>
      <c r="P981" s="47"/>
      <c r="Q981" s="31"/>
      <c r="R981" s="31"/>
      <c r="S981" s="32">
        <f t="shared" si="220"/>
        <v>0</v>
      </c>
      <c r="T981" s="10"/>
      <c r="U981" s="10"/>
      <c r="V981" s="10"/>
      <c r="W981" s="12">
        <f t="shared" si="221"/>
        <v>0</v>
      </c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35</v>
      </c>
      <c r="N982" s="30"/>
      <c r="O982" s="31"/>
      <c r="P982" s="47"/>
      <c r="Q982" s="31"/>
      <c r="R982" s="31"/>
      <c r="S982" s="32">
        <f t="shared" si="220"/>
        <v>0</v>
      </c>
      <c r="T982" s="10"/>
      <c r="U982" s="10"/>
      <c r="V982" s="10"/>
      <c r="W982" s="12">
        <f t="shared" si="221"/>
        <v>0</v>
      </c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83"/>
      <c r="D983" s="32"/>
      <c r="E983" s="32"/>
      <c r="F983" s="32"/>
      <c r="G983" s="32"/>
      <c r="H983" s="10"/>
      <c r="I983" s="10"/>
      <c r="J983" s="10"/>
      <c r="K983" s="12"/>
      <c r="M983" s="10">
        <v>36</v>
      </c>
      <c r="N983" s="30"/>
      <c r="O983" s="31"/>
      <c r="P983" s="47"/>
      <c r="Q983" s="31"/>
      <c r="R983" s="31"/>
      <c r="S983" s="32">
        <f t="shared" si="220"/>
        <v>0</v>
      </c>
      <c r="T983" s="10"/>
      <c r="U983" s="10"/>
      <c r="V983" s="10"/>
      <c r="W983" s="12">
        <f t="shared" si="221"/>
        <v>0</v>
      </c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37</v>
      </c>
      <c r="N984" s="30"/>
      <c r="P984" s="47"/>
      <c r="Q984" s="31"/>
      <c r="R984" s="31"/>
      <c r="S984" s="32">
        <f t="shared" si="220"/>
        <v>0</v>
      </c>
      <c r="T984" s="10"/>
      <c r="U984" s="10"/>
      <c r="V984" s="10"/>
      <c r="W984" s="12">
        <f t="shared" si="221"/>
        <v>0</v>
      </c>
      <c r="Y984" s="62"/>
      <c r="Z984" s="66"/>
      <c r="AA984" s="62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38</v>
      </c>
      <c r="N985" s="30"/>
      <c r="O985" s="31"/>
      <c r="P985" s="47"/>
      <c r="Q985" s="31"/>
      <c r="R985" s="31"/>
      <c r="S985" s="32">
        <f t="shared" si="220"/>
        <v>0</v>
      </c>
      <c r="T985" s="10"/>
      <c r="U985" s="10"/>
      <c r="V985" s="10"/>
      <c r="W985" s="12">
        <f t="shared" si="221"/>
        <v>0</v>
      </c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>
        <v>39</v>
      </c>
      <c r="N986" s="30"/>
      <c r="O986" s="31"/>
      <c r="P986" s="47"/>
      <c r="Q986" s="31"/>
      <c r="R986" s="31"/>
      <c r="S986" s="32">
        <f t="shared" si="220"/>
        <v>0</v>
      </c>
      <c r="T986" s="10"/>
      <c r="U986" s="10"/>
      <c r="V986" s="10"/>
      <c r="W986" s="12">
        <f t="shared" si="221"/>
        <v>0</v>
      </c>
      <c r="Y986" s="62"/>
      <c r="Z986" s="88"/>
      <c r="AA986" s="88"/>
      <c r="AB986" s="88"/>
      <c r="AC986" s="88"/>
      <c r="AD986" s="88"/>
      <c r="AE986" s="88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/>
      <c r="H987" s="10"/>
      <c r="I987" s="10"/>
      <c r="J987" s="10"/>
      <c r="K987" s="12"/>
      <c r="M987" s="10"/>
      <c r="N987" s="30"/>
      <c r="P987" s="47"/>
      <c r="Q987" s="31"/>
      <c r="R987" s="31"/>
      <c r="S987" s="32"/>
      <c r="T987" s="10"/>
      <c r="U987" s="10"/>
      <c r="V987" s="10"/>
      <c r="W987" s="12">
        <f t="shared" si="221"/>
        <v>0</v>
      </c>
      <c r="Y987" s="62"/>
      <c r="Z987" s="88"/>
      <c r="AA987" s="88"/>
      <c r="AB987" s="88"/>
      <c r="AC987" s="88"/>
      <c r="AD987" s="88"/>
      <c r="AE987" s="88"/>
      <c r="AF987" s="62"/>
      <c r="AG987" s="62"/>
      <c r="AH987" s="62"/>
      <c r="AI987" s="62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1"/>
      <c r="D988" s="32"/>
      <c r="E988" s="32"/>
      <c r="F988" s="32"/>
      <c r="G988" s="32">
        <f t="shared" ref="G988" si="225">SUM(D988:E988)</f>
        <v>0</v>
      </c>
      <c r="H988" s="10"/>
      <c r="I988" s="10"/>
      <c r="J988" s="10"/>
      <c r="K988" s="12">
        <f t="shared" ref="K988" si="226">SUM(G988:J988)</f>
        <v>0</v>
      </c>
      <c r="M988" s="10"/>
      <c r="N988" s="30"/>
      <c r="O988" s="31"/>
      <c r="P988" s="47"/>
      <c r="Q988" s="31"/>
      <c r="R988" s="31"/>
      <c r="S988" s="32">
        <f t="shared" ref="S988" si="227">SUM(P988:Q988)</f>
        <v>0</v>
      </c>
      <c r="T988" s="10"/>
      <c r="U988" s="10"/>
      <c r="V988" s="10"/>
      <c r="W988" s="12">
        <f t="shared" si="221"/>
        <v>0</v>
      </c>
      <c r="Y988" s="62"/>
      <c r="Z988" s="88"/>
      <c r="AA988" s="88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10"/>
      <c r="B989" s="30"/>
      <c r="C989" s="30"/>
      <c r="D989" s="32"/>
      <c r="E989" s="32"/>
      <c r="F989" s="32"/>
      <c r="G989" s="32"/>
      <c r="H989" s="10"/>
      <c r="I989" s="10"/>
      <c r="J989" s="10"/>
      <c r="K989" s="12"/>
      <c r="M989" s="10"/>
      <c r="N989" s="31"/>
      <c r="O989" s="31"/>
      <c r="P989" s="31"/>
      <c r="Q989" s="31"/>
      <c r="R989" s="31"/>
      <c r="S989" s="31"/>
      <c r="T989" s="10"/>
      <c r="U989" s="10"/>
      <c r="V989" s="10"/>
      <c r="W989" s="12">
        <f t="shared" si="221"/>
        <v>0</v>
      </c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6"/>
      <c r="E990" s="36"/>
      <c r="F990" s="36"/>
      <c r="G990" s="36"/>
      <c r="H990" s="37"/>
      <c r="I990" s="37"/>
      <c r="J990" s="37"/>
      <c r="K990" s="37"/>
      <c r="N990" s="57"/>
      <c r="O990" s="57"/>
      <c r="P990" s="36"/>
      <c r="Q990" s="36"/>
      <c r="R990" s="36"/>
      <c r="S990" s="36"/>
      <c r="T990" s="37"/>
      <c r="U990" s="37"/>
      <c r="V990" s="37"/>
      <c r="W990" s="37"/>
      <c r="Y990" s="62"/>
      <c r="Z990" s="86"/>
      <c r="AA990" s="86"/>
      <c r="AB990" s="86"/>
      <c r="AC990" s="86"/>
      <c r="AD990" s="86"/>
      <c r="AE990" s="86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B991" s="57"/>
      <c r="C991" s="57"/>
      <c r="D991" s="38">
        <f>SUM(D948:D990)</f>
        <v>293335</v>
      </c>
      <c r="E991" s="38">
        <f t="shared" ref="E991:F991" si="228">SUM(E948:E988)</f>
        <v>-2268</v>
      </c>
      <c r="F991" s="38">
        <f t="shared" si="228"/>
        <v>0</v>
      </c>
      <c r="G991" s="38">
        <f>SUM(G948:G990)</f>
        <v>291067</v>
      </c>
      <c r="H991" s="4"/>
      <c r="I991" s="39">
        <f>SUM(I948:I990)</f>
        <v>360</v>
      </c>
      <c r="J991" s="39">
        <f>SUM(J948:J990)</f>
        <v>-1236</v>
      </c>
      <c r="K991" s="40">
        <f>SUM(K948:K990)</f>
        <v>290191</v>
      </c>
      <c r="N991" s="57"/>
      <c r="O991" s="57"/>
      <c r="P991" s="38">
        <f>SUM(P948:P990)</f>
        <v>217454</v>
      </c>
      <c r="Q991" s="38">
        <f>SUM(Q948:Q972)</f>
        <v>-1068</v>
      </c>
      <c r="R991" s="38">
        <f>SUM(R948:R972)</f>
        <v>0</v>
      </c>
      <c r="S991" s="38">
        <f>SUM(S948:S990)</f>
        <v>216386</v>
      </c>
      <c r="T991" s="4"/>
      <c r="U991" s="41">
        <f>SUM(U948:U990)</f>
        <v>339</v>
      </c>
      <c r="V991" s="41">
        <f>SUM(V948:V972)</f>
        <v>-1848</v>
      </c>
      <c r="W991" s="42">
        <f>SUM(W948:W990)</f>
        <v>214877</v>
      </c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0</v>
      </c>
      <c r="B993" s="57"/>
      <c r="C993" s="57"/>
      <c r="D993" s="57"/>
      <c r="E993" s="57"/>
      <c r="G993" s="57"/>
      <c r="M993" t="s">
        <v>0</v>
      </c>
      <c r="N993" s="57"/>
      <c r="O993" s="57"/>
      <c r="P993" s="57"/>
      <c r="Q993" s="57"/>
      <c r="R993" s="57"/>
      <c r="S993" s="57"/>
      <c r="Y993" t="s">
        <v>0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t="s">
        <v>28</v>
      </c>
      <c r="B994" s="57"/>
      <c r="C994" s="57"/>
      <c r="D994" s="57"/>
      <c r="E994" s="57"/>
      <c r="G994" s="57"/>
      <c r="M994" t="s">
        <v>28</v>
      </c>
      <c r="N994" s="57"/>
      <c r="O994" s="57"/>
      <c r="P994" s="57"/>
      <c r="Q994" s="57"/>
      <c r="R994" s="57"/>
      <c r="S994" s="57"/>
      <c r="Y994" t="s">
        <v>28</v>
      </c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B995" s="57"/>
      <c r="C995" s="57"/>
      <c r="D995" s="57"/>
      <c r="E995" s="57"/>
      <c r="G995" s="57"/>
      <c r="N995" s="57"/>
      <c r="O995" s="57"/>
      <c r="P995" s="57"/>
      <c r="Q995" s="57"/>
      <c r="R995" s="57"/>
      <c r="S995" s="57"/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4" t="s">
        <v>14</v>
      </c>
      <c r="B996" s="57"/>
      <c r="C996" s="57"/>
      <c r="D996" s="57"/>
      <c r="E996" s="57"/>
      <c r="G996" s="57"/>
      <c r="M996" s="4" t="s">
        <v>14</v>
      </c>
      <c r="N996" s="57"/>
      <c r="O996" s="57"/>
      <c r="P996" s="57"/>
      <c r="Q996" s="57"/>
      <c r="R996" s="57"/>
      <c r="S996" s="57"/>
      <c r="Y996" s="4" t="s">
        <v>14</v>
      </c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B997" s="57"/>
      <c r="C997" s="57"/>
      <c r="D997" s="57"/>
      <c r="E997" s="57"/>
      <c r="G997" s="57"/>
      <c r="N997" s="57"/>
      <c r="O997" s="57"/>
      <c r="P997" s="57"/>
      <c r="Q997" s="57"/>
      <c r="R997" s="57"/>
      <c r="S997" s="57"/>
      <c r="Z997" s="57"/>
      <c r="AA997" s="57"/>
      <c r="AB997" s="57"/>
      <c r="AC997" s="57"/>
      <c r="AD997" s="57"/>
      <c r="AE997" s="57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ht="15.75" x14ac:dyDescent="0.25">
      <c r="A998" t="s">
        <v>42</v>
      </c>
      <c r="B998" s="57"/>
      <c r="C998" s="57"/>
      <c r="D998" s="57"/>
      <c r="E998" s="57"/>
      <c r="G998" s="57"/>
      <c r="I998" s="57" t="s">
        <v>15</v>
      </c>
      <c r="J998" s="19">
        <v>1</v>
      </c>
      <c r="M998" t="s">
        <v>42</v>
      </c>
      <c r="N998" s="57"/>
      <c r="O998" s="57"/>
      <c r="P998" s="57"/>
      <c r="Q998" s="57"/>
      <c r="R998" s="57"/>
      <c r="S998" s="57"/>
      <c r="U998" s="57" t="s">
        <v>15</v>
      </c>
      <c r="V998" s="19">
        <v>2</v>
      </c>
      <c r="Y998" t="s">
        <v>42</v>
      </c>
      <c r="Z998" s="57"/>
      <c r="AA998" s="57"/>
      <c r="AB998" s="57"/>
      <c r="AC998" s="57"/>
      <c r="AD998" s="57"/>
      <c r="AE998" s="57"/>
      <c r="AG998" s="57" t="s">
        <v>15</v>
      </c>
      <c r="AH998" s="20">
        <v>3</v>
      </c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21" t="s">
        <v>107</v>
      </c>
      <c r="B999" s="20"/>
      <c r="C999" s="57"/>
      <c r="D999" s="57"/>
      <c r="E999" s="57"/>
      <c r="G999" s="57"/>
      <c r="I999" s="22" t="s">
        <v>16</v>
      </c>
      <c r="J999" s="23" t="s">
        <v>31</v>
      </c>
      <c r="K999" s="24"/>
      <c r="M999" s="21" t="s">
        <v>107</v>
      </c>
      <c r="N999" s="20"/>
      <c r="O999" s="57"/>
      <c r="P999" s="57"/>
      <c r="Q999" s="57"/>
      <c r="R999" s="57"/>
      <c r="S999" s="57"/>
      <c r="U999" s="22" t="s">
        <v>16</v>
      </c>
      <c r="V999" s="23" t="s">
        <v>33</v>
      </c>
      <c r="W999" s="24"/>
      <c r="Y999" s="21" t="s">
        <v>107</v>
      </c>
      <c r="Z999" s="20"/>
      <c r="AA999" s="57"/>
      <c r="AB999" s="57"/>
      <c r="AC999" s="57"/>
      <c r="AD999" s="57"/>
      <c r="AE999" s="57"/>
      <c r="AG999" s="22" t="s">
        <v>16</v>
      </c>
      <c r="AH999" s="23" t="s">
        <v>34</v>
      </c>
      <c r="AI999" s="24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57"/>
      <c r="C1000" s="57"/>
      <c r="D1000" s="57"/>
      <c r="E1000" s="57"/>
      <c r="G1000" s="57"/>
      <c r="N1000" s="57"/>
      <c r="O1000" s="57"/>
      <c r="P1000" s="57"/>
      <c r="Q1000" s="57"/>
      <c r="R1000" s="57"/>
      <c r="S1000" s="57"/>
      <c r="Z1000" s="57"/>
      <c r="AA1000" s="57"/>
      <c r="AB1000" s="57"/>
      <c r="AC1000" s="57"/>
      <c r="AD1000" s="57"/>
      <c r="AE1000" s="57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B1001" s="25"/>
      <c r="C1001" s="26"/>
      <c r="D1001" s="125" t="s">
        <v>17</v>
      </c>
      <c r="E1001" s="125"/>
      <c r="F1001" s="110"/>
      <c r="G1001" s="27"/>
      <c r="I1001" s="116" t="s">
        <v>18</v>
      </c>
      <c r="J1001" s="117"/>
      <c r="K1001" s="122" t="s">
        <v>19</v>
      </c>
      <c r="N1001" s="25"/>
      <c r="O1001" s="26"/>
      <c r="P1001" s="125" t="s">
        <v>17</v>
      </c>
      <c r="Q1001" s="125"/>
      <c r="R1001" s="110"/>
      <c r="S1001" s="27"/>
      <c r="U1001" s="116" t="s">
        <v>18</v>
      </c>
      <c r="V1001" s="117"/>
      <c r="W1001" s="122" t="s">
        <v>19</v>
      </c>
      <c r="Z1001" s="25"/>
      <c r="AA1001" s="26"/>
      <c r="AB1001" s="125" t="s">
        <v>17</v>
      </c>
      <c r="AC1001" s="125"/>
      <c r="AD1001" s="111"/>
      <c r="AE1001" s="27"/>
      <c r="AG1001" s="116" t="s">
        <v>18</v>
      </c>
      <c r="AH1001" s="117"/>
      <c r="AI1001" s="122" t="s">
        <v>19</v>
      </c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ht="30" x14ac:dyDescent="0.25">
      <c r="B1002" s="28" t="s">
        <v>20</v>
      </c>
      <c r="C1002" s="28" t="s">
        <v>21</v>
      </c>
      <c r="D1002" s="77" t="s">
        <v>22</v>
      </c>
      <c r="E1002" s="76" t="s">
        <v>23</v>
      </c>
      <c r="F1002" s="78" t="s">
        <v>32</v>
      </c>
      <c r="G1002" s="78" t="s">
        <v>24</v>
      </c>
      <c r="I1002" s="29" t="s">
        <v>25</v>
      </c>
      <c r="J1002" s="29" t="s">
        <v>26</v>
      </c>
      <c r="K1002" s="126"/>
      <c r="N1002" s="28" t="s">
        <v>20</v>
      </c>
      <c r="O1002" s="28" t="s">
        <v>21</v>
      </c>
      <c r="P1002" s="77" t="s">
        <v>22</v>
      </c>
      <c r="Q1002" s="78" t="s">
        <v>23</v>
      </c>
      <c r="R1002" s="78" t="s">
        <v>32</v>
      </c>
      <c r="S1002" s="78" t="s">
        <v>24</v>
      </c>
      <c r="U1002" s="29" t="s">
        <v>25</v>
      </c>
      <c r="V1002" s="29" t="s">
        <v>26</v>
      </c>
      <c r="W1002" s="126"/>
      <c r="Z1002" s="28" t="s">
        <v>20</v>
      </c>
      <c r="AA1002" s="28" t="s">
        <v>21</v>
      </c>
      <c r="AB1002" s="77" t="s">
        <v>22</v>
      </c>
      <c r="AC1002" s="78" t="s">
        <v>23</v>
      </c>
      <c r="AD1002" s="78" t="s">
        <v>32</v>
      </c>
      <c r="AE1002" s="78" t="s">
        <v>24</v>
      </c>
      <c r="AG1002" s="29" t="s">
        <v>25</v>
      </c>
      <c r="AH1002" s="29" t="s">
        <v>26</v>
      </c>
      <c r="AI1002" s="126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1</v>
      </c>
      <c r="B1003" s="30" t="s">
        <v>108</v>
      </c>
      <c r="C1003" s="83">
        <v>10682</v>
      </c>
      <c r="D1003" s="32">
        <f>650*324+912*20+872+229*5</f>
        <v>230857</v>
      </c>
      <c r="E1003" s="32">
        <f>-345*6</f>
        <v>-2070</v>
      </c>
      <c r="F1003" s="32"/>
      <c r="G1003" s="32">
        <f t="shared" ref="G1003:G1016" si="229">SUM(D1003:E1003)</f>
        <v>228787</v>
      </c>
      <c r="H1003" s="12"/>
      <c r="I1003" s="12">
        <v>1800</v>
      </c>
      <c r="J1003" s="12">
        <f>-111*320+-78*10+-84*8+-42*24</f>
        <v>-37980</v>
      </c>
      <c r="K1003" s="12">
        <f t="shared" ref="K1003:K1036" si="230">SUM(G1003:J1003)</f>
        <v>192607</v>
      </c>
      <c r="M1003" s="10">
        <v>1</v>
      </c>
      <c r="N1003" s="30" t="s">
        <v>108</v>
      </c>
      <c r="O1003" s="31">
        <v>10597</v>
      </c>
      <c r="P1003" s="32">
        <f>650+670+9.5</f>
        <v>1329.5</v>
      </c>
      <c r="Q1003" s="32"/>
      <c r="R1003" s="32"/>
      <c r="S1003" s="32">
        <f>SUM(P1003:Q1003)</f>
        <v>1329.5</v>
      </c>
      <c r="T1003" s="12"/>
      <c r="U1003" s="12"/>
      <c r="V1003" s="12"/>
      <c r="W1003" s="12">
        <f>SUM(S1003:V1003)</f>
        <v>1329.5</v>
      </c>
      <c r="Y1003" s="10">
        <v>1</v>
      </c>
      <c r="Z1003" s="30" t="s">
        <v>108</v>
      </c>
      <c r="AA1003" s="31">
        <v>10640</v>
      </c>
      <c r="AB1003" s="32">
        <f>650*50+229*2</f>
        <v>32958</v>
      </c>
      <c r="AC1003" s="32">
        <f>-50*6</f>
        <v>-300</v>
      </c>
      <c r="AD1003" s="32"/>
      <c r="AE1003" s="32">
        <f>SUM(AB1003:AC1003)</f>
        <v>32658</v>
      </c>
      <c r="AF1003" s="12"/>
      <c r="AG1003" s="12"/>
      <c r="AH1003" s="12">
        <f>-111*50</f>
        <v>-5550</v>
      </c>
      <c r="AI1003" s="12">
        <f>SUM(AE1003:AH1003)</f>
        <v>27108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2</v>
      </c>
      <c r="B1004" s="30" t="s">
        <v>108</v>
      </c>
      <c r="C1004" s="83">
        <f>C1003+1</f>
        <v>10683</v>
      </c>
      <c r="D1004" s="32">
        <f>650*40+670*2+622*3+650*2</f>
        <v>30506</v>
      </c>
      <c r="E1004" s="32"/>
      <c r="F1004" s="32"/>
      <c r="G1004" s="32">
        <f t="shared" si="229"/>
        <v>30506</v>
      </c>
      <c r="H1004" s="12"/>
      <c r="I1004" s="12"/>
      <c r="J1004" s="12">
        <f>-9102+-84</f>
        <v>-9186</v>
      </c>
      <c r="K1004" s="12">
        <f t="shared" si="230"/>
        <v>21320</v>
      </c>
      <c r="M1004" s="10">
        <v>2</v>
      </c>
      <c r="N1004" s="30" t="s">
        <v>108</v>
      </c>
      <c r="O1004" s="31">
        <f>O1003+1</f>
        <v>10598</v>
      </c>
      <c r="P1004" s="32">
        <f>650*14+9.5*14</f>
        <v>9233</v>
      </c>
      <c r="Q1004" s="32"/>
      <c r="R1004" s="32"/>
      <c r="S1004" s="32">
        <f t="shared" ref="S1004:S1041" si="231">SUM(P1004:Q1004)</f>
        <v>9233</v>
      </c>
      <c r="T1004" s="12"/>
      <c r="U1004" s="12">
        <f>4.5*16</f>
        <v>72</v>
      </c>
      <c r="V1004" s="12"/>
      <c r="W1004" s="12">
        <f t="shared" ref="W1004:W1044" si="232">SUM(S1004:V1004)</f>
        <v>9305</v>
      </c>
      <c r="Y1004" s="10">
        <v>2</v>
      </c>
      <c r="Z1004" s="30" t="s">
        <v>108</v>
      </c>
      <c r="AA1004" s="31">
        <f>AA1003+1</f>
        <v>10641</v>
      </c>
      <c r="AB1004" s="32">
        <f>650*108+229*4</f>
        <v>71116</v>
      </c>
      <c r="AC1004" s="32">
        <f>-108*6</f>
        <v>-648</v>
      </c>
      <c r="AD1004" s="32"/>
      <c r="AE1004" s="32">
        <f t="shared" ref="AE1004:AE1041" si="233">SUM(AB1004:AC1004)</f>
        <v>70468</v>
      </c>
      <c r="AF1004" s="12"/>
      <c r="AG1004" s="12"/>
      <c r="AH1004" s="12"/>
      <c r="AI1004" s="12">
        <f t="shared" ref="AI1004:AI1044" si="234">SUM(AE1004:AH1004)</f>
        <v>70468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3</v>
      </c>
      <c r="B1005" s="30"/>
      <c r="C1005" s="11" t="s">
        <v>27</v>
      </c>
      <c r="D1005" s="33"/>
      <c r="E1005" s="33"/>
      <c r="F1005" s="33"/>
      <c r="G1005" s="33">
        <f t="shared" si="229"/>
        <v>0</v>
      </c>
      <c r="H1005" s="34"/>
      <c r="I1005" s="34"/>
      <c r="J1005" s="34"/>
      <c r="K1005" s="34">
        <f t="shared" si="230"/>
        <v>0</v>
      </c>
      <c r="M1005" s="10">
        <v>3</v>
      </c>
      <c r="N1005" s="30" t="s">
        <v>108</v>
      </c>
      <c r="O1005" s="31">
        <f t="shared" ref="O1005:O1010" si="235">O1004+1</f>
        <v>10599</v>
      </c>
      <c r="P1005" s="32">
        <f>650*9+622*3+9.5*12</f>
        <v>7830</v>
      </c>
      <c r="Q1005" s="32"/>
      <c r="R1005" s="32"/>
      <c r="S1005" s="32">
        <f t="shared" si="231"/>
        <v>7830</v>
      </c>
      <c r="T1005" s="12"/>
      <c r="U1005" s="12"/>
      <c r="V1005" s="12">
        <f>-666+-2.25*14</f>
        <v>-697.5</v>
      </c>
      <c r="W1005" s="12">
        <f t="shared" si="232"/>
        <v>7132.5</v>
      </c>
      <c r="Y1005" s="10">
        <v>3</v>
      </c>
      <c r="Z1005" s="30" t="s">
        <v>108</v>
      </c>
      <c r="AA1005" s="31">
        <f t="shared" ref="AA1005:AA1012" si="236">AA1004+1</f>
        <v>10642</v>
      </c>
      <c r="AB1005" s="32">
        <f>650*324+670*20+1050*5+872*8+229*8</f>
        <v>238058</v>
      </c>
      <c r="AC1005" s="32"/>
      <c r="AD1005" s="32"/>
      <c r="AE1005" s="32">
        <f t="shared" si="233"/>
        <v>238058</v>
      </c>
      <c r="AF1005" s="12"/>
      <c r="AG1005" s="12">
        <f>120*8+78*6</f>
        <v>1428</v>
      </c>
      <c r="AH1005" s="12">
        <f>-111*9+-84*2+-84*7+-42*2</f>
        <v>-1839</v>
      </c>
      <c r="AI1005" s="12">
        <f t="shared" si="234"/>
        <v>237647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4</v>
      </c>
      <c r="B1006" s="30"/>
      <c r="C1006" s="83"/>
      <c r="D1006" s="32"/>
      <c r="E1006" s="32"/>
      <c r="F1006" s="32"/>
      <c r="G1006" s="32">
        <f t="shared" si="229"/>
        <v>0</v>
      </c>
      <c r="H1006" s="12"/>
      <c r="I1006" s="12"/>
      <c r="J1006" s="12"/>
      <c r="K1006" s="12">
        <f t="shared" si="230"/>
        <v>0</v>
      </c>
      <c r="M1006" s="10">
        <v>4</v>
      </c>
      <c r="N1006" s="30" t="s">
        <v>108</v>
      </c>
      <c r="O1006" s="31">
        <f t="shared" si="235"/>
        <v>10600</v>
      </c>
      <c r="P1006" s="32">
        <f>650*13+622*3+872*2+9.5*16</f>
        <v>12212</v>
      </c>
      <c r="Q1006" s="32"/>
      <c r="R1006" s="32"/>
      <c r="S1006" s="32">
        <f t="shared" si="231"/>
        <v>12212</v>
      </c>
      <c r="T1006" s="12"/>
      <c r="U1006" s="12"/>
      <c r="V1006" s="12">
        <f>-888+-4.5*50</f>
        <v>-1113</v>
      </c>
      <c r="W1006" s="12">
        <f t="shared" si="232"/>
        <v>11099</v>
      </c>
      <c r="Y1006" s="10">
        <v>4</v>
      </c>
      <c r="Z1006" s="30" t="s">
        <v>108</v>
      </c>
      <c r="AA1006" s="31">
        <f t="shared" si="236"/>
        <v>10643</v>
      </c>
      <c r="AB1006" s="32">
        <f>650*21+622</f>
        <v>14272</v>
      </c>
      <c r="AC1006" s="32"/>
      <c r="AD1006" s="32"/>
      <c r="AE1006" s="32">
        <f t="shared" si="233"/>
        <v>14272</v>
      </c>
      <c r="AF1006" s="12"/>
      <c r="AG1006" s="12"/>
      <c r="AH1006" s="12">
        <v>-666</v>
      </c>
      <c r="AI1006" s="12">
        <f t="shared" si="234"/>
        <v>13606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5</v>
      </c>
      <c r="B1007" s="30"/>
      <c r="C1007" s="83"/>
      <c r="D1007" s="32"/>
      <c r="E1007" s="32"/>
      <c r="F1007" s="32"/>
      <c r="G1007" s="32">
        <f t="shared" si="229"/>
        <v>0</v>
      </c>
      <c r="H1007" s="12"/>
      <c r="I1007" s="12"/>
      <c r="J1007" s="12"/>
      <c r="K1007" s="12">
        <f t="shared" si="230"/>
        <v>0</v>
      </c>
      <c r="M1007" s="10">
        <v>5</v>
      </c>
      <c r="N1007" s="30" t="s">
        <v>108</v>
      </c>
      <c r="O1007" s="31">
        <v>10751</v>
      </c>
      <c r="P1007" s="32">
        <f>650*4+622*4+9.5*8</f>
        <v>5164</v>
      </c>
      <c r="Q1007" s="32"/>
      <c r="R1007" s="32"/>
      <c r="S1007" s="32">
        <f t="shared" si="231"/>
        <v>5164</v>
      </c>
      <c r="T1007" s="12"/>
      <c r="U1007" s="12"/>
      <c r="V1007" s="12"/>
      <c r="W1007" s="12">
        <f t="shared" si="232"/>
        <v>5164</v>
      </c>
      <c r="Y1007" s="10">
        <v>5</v>
      </c>
      <c r="Z1007" s="30" t="s">
        <v>108</v>
      </c>
      <c r="AA1007" s="31">
        <f t="shared" si="236"/>
        <v>10644</v>
      </c>
      <c r="AB1007" s="32">
        <f>650*51</f>
        <v>33150</v>
      </c>
      <c r="AC1007" s="32"/>
      <c r="AD1007" s="32"/>
      <c r="AE1007" s="32">
        <f t="shared" si="233"/>
        <v>33150</v>
      </c>
      <c r="AF1007" s="12"/>
      <c r="AG1007" s="12"/>
      <c r="AH1007" s="12"/>
      <c r="AI1007" s="12">
        <f t="shared" si="234"/>
        <v>33150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6</v>
      </c>
      <c r="B1008" s="30"/>
      <c r="C1008" s="83"/>
      <c r="D1008" s="32"/>
      <c r="E1008" s="32"/>
      <c r="F1008" s="32"/>
      <c r="G1008" s="32">
        <f t="shared" si="229"/>
        <v>0</v>
      </c>
      <c r="H1008" s="12"/>
      <c r="I1008" s="12"/>
      <c r="J1008" s="12"/>
      <c r="K1008" s="12">
        <f t="shared" si="230"/>
        <v>0</v>
      </c>
      <c r="M1008" s="10">
        <v>6</v>
      </c>
      <c r="N1008" s="30" t="s">
        <v>108</v>
      </c>
      <c r="O1008" s="31">
        <f t="shared" si="235"/>
        <v>10752</v>
      </c>
      <c r="P1008" s="32">
        <f>650*11+622*2+13*9.5</f>
        <v>8517.5</v>
      </c>
      <c r="Q1008" s="32"/>
      <c r="R1008" s="32"/>
      <c r="S1008" s="32">
        <f t="shared" si="231"/>
        <v>8517.5</v>
      </c>
      <c r="T1008" s="12"/>
      <c r="U1008" s="12"/>
      <c r="V1008" s="10">
        <f>-120*6+-78*6</f>
        <v>-1188</v>
      </c>
      <c r="W1008" s="12">
        <f t="shared" si="232"/>
        <v>7329.5</v>
      </c>
      <c r="Y1008" s="10">
        <v>6</v>
      </c>
      <c r="Z1008" s="30" t="s">
        <v>108</v>
      </c>
      <c r="AA1008" s="31">
        <f t="shared" si="236"/>
        <v>10645</v>
      </c>
      <c r="AB1008" s="32">
        <f>650*109+229*5</f>
        <v>71995</v>
      </c>
      <c r="AC1008" s="32">
        <f>-109*6</f>
        <v>-654</v>
      </c>
      <c r="AD1008" s="32"/>
      <c r="AE1008" s="32">
        <f t="shared" si="233"/>
        <v>71341</v>
      </c>
      <c r="AF1008" s="12"/>
      <c r="AG1008" s="12">
        <v>108</v>
      </c>
      <c r="AH1008" s="10"/>
      <c r="AI1008" s="12">
        <f t="shared" si="234"/>
        <v>71449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7</v>
      </c>
      <c r="B1009" s="30"/>
      <c r="C1009" s="83"/>
      <c r="D1009" s="32"/>
      <c r="E1009" s="32"/>
      <c r="F1009" s="32"/>
      <c r="G1009" s="32">
        <f t="shared" si="229"/>
        <v>0</v>
      </c>
      <c r="H1009" s="12"/>
      <c r="I1009" s="12"/>
      <c r="J1009" s="12"/>
      <c r="K1009" s="12">
        <f t="shared" si="230"/>
        <v>0</v>
      </c>
      <c r="M1009" s="10">
        <v>7</v>
      </c>
      <c r="N1009" s="30" t="s">
        <v>108</v>
      </c>
      <c r="O1009" s="31">
        <f t="shared" si="235"/>
        <v>10753</v>
      </c>
      <c r="P1009" s="32">
        <f>650*216+670*10+229*8</f>
        <v>148932</v>
      </c>
      <c r="Q1009" s="32">
        <f>-226*6</f>
        <v>-1356</v>
      </c>
      <c r="R1009" s="32"/>
      <c r="S1009" s="32">
        <f t="shared" si="231"/>
        <v>147576</v>
      </c>
      <c r="T1009" s="12"/>
      <c r="U1009" s="12">
        <f>6993+390</f>
        <v>7383</v>
      </c>
      <c r="V1009" s="12">
        <f>-240+-714</f>
        <v>-954</v>
      </c>
      <c r="W1009" s="12">
        <f t="shared" si="232"/>
        <v>154005</v>
      </c>
      <c r="Y1009" s="10">
        <v>7</v>
      </c>
      <c r="Z1009" s="30"/>
      <c r="AA1009" s="11" t="s">
        <v>27</v>
      </c>
      <c r="AB1009" s="32"/>
      <c r="AC1009" s="32"/>
      <c r="AD1009" s="32"/>
      <c r="AE1009" s="32">
        <f t="shared" si="233"/>
        <v>0</v>
      </c>
      <c r="AF1009" s="12"/>
      <c r="AG1009" s="12"/>
      <c r="AH1009" s="12"/>
      <c r="AI1009" s="12">
        <f t="shared" si="234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8</v>
      </c>
      <c r="B1010" s="30"/>
      <c r="C1010" s="83"/>
      <c r="D1010" s="32"/>
      <c r="E1010" s="32"/>
      <c r="F1010" s="32"/>
      <c r="G1010" s="32">
        <f t="shared" si="229"/>
        <v>0</v>
      </c>
      <c r="H1010" s="12"/>
      <c r="I1010" s="12"/>
      <c r="J1010" s="12"/>
      <c r="K1010" s="12">
        <f t="shared" si="230"/>
        <v>0</v>
      </c>
      <c r="M1010" s="10">
        <v>8</v>
      </c>
      <c r="N1010" s="30" t="s">
        <v>108</v>
      </c>
      <c r="O1010" s="31">
        <f t="shared" si="235"/>
        <v>10754</v>
      </c>
      <c r="P1010" s="32">
        <f>650*6</f>
        <v>3900</v>
      </c>
      <c r="Q1010" s="32"/>
      <c r="R1010" s="32"/>
      <c r="S1010" s="32">
        <f t="shared" si="231"/>
        <v>3900</v>
      </c>
      <c r="T1010" s="12"/>
      <c r="U1010" s="12"/>
      <c r="V1010" s="12"/>
      <c r="W1010" s="12">
        <f t="shared" si="232"/>
        <v>3900</v>
      </c>
      <c r="Y1010" s="10">
        <v>8</v>
      </c>
      <c r="Z1010" s="30"/>
      <c r="AA1010" s="31"/>
      <c r="AB1010" s="32"/>
      <c r="AC1010" s="32"/>
      <c r="AD1010" s="32"/>
      <c r="AE1010" s="32">
        <f t="shared" si="233"/>
        <v>0</v>
      </c>
      <c r="AF1010" s="12"/>
      <c r="AG1010" s="12"/>
      <c r="AH1010" s="12"/>
      <c r="AI1010" s="12">
        <f t="shared" si="234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9</v>
      </c>
      <c r="B1011" s="30"/>
      <c r="C1011" s="83"/>
      <c r="D1011" s="32"/>
      <c r="E1011" s="32"/>
      <c r="F1011" s="32"/>
      <c r="G1011" s="32">
        <f t="shared" si="229"/>
        <v>0</v>
      </c>
      <c r="H1011" s="12"/>
      <c r="I1011" s="12"/>
      <c r="J1011" s="12"/>
      <c r="K1011" s="12">
        <f t="shared" si="230"/>
        <v>0</v>
      </c>
      <c r="M1011" s="10">
        <v>9</v>
      </c>
      <c r="N1011" s="30"/>
      <c r="O1011" s="11" t="s">
        <v>27</v>
      </c>
      <c r="P1011" s="32"/>
      <c r="Q1011" s="32"/>
      <c r="R1011" s="32"/>
      <c r="S1011" s="32">
        <f t="shared" si="231"/>
        <v>0</v>
      </c>
      <c r="T1011" s="12"/>
      <c r="U1011" s="12"/>
      <c r="V1011" s="12"/>
      <c r="W1011" s="12">
        <f t="shared" si="232"/>
        <v>0</v>
      </c>
      <c r="Y1011" s="10">
        <v>9</v>
      </c>
      <c r="Z1011" s="30"/>
      <c r="AA1011" s="31"/>
      <c r="AB1011" s="32"/>
      <c r="AC1011" s="32"/>
      <c r="AD1011" s="32"/>
      <c r="AE1011" s="32">
        <f t="shared" si="233"/>
        <v>0</v>
      </c>
      <c r="AF1011" s="12"/>
      <c r="AG1011" s="12"/>
      <c r="AH1011" s="12"/>
      <c r="AI1011" s="12">
        <f t="shared" si="234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10</v>
      </c>
      <c r="B1012" s="30"/>
      <c r="C1012" s="83"/>
      <c r="D1012" s="32"/>
      <c r="E1012" s="32"/>
      <c r="F1012" s="32"/>
      <c r="G1012" s="32">
        <f t="shared" si="229"/>
        <v>0</v>
      </c>
      <c r="H1012" s="12"/>
      <c r="I1012" s="12"/>
      <c r="J1012" s="12"/>
      <c r="K1012" s="12">
        <f t="shared" si="230"/>
        <v>0</v>
      </c>
      <c r="M1012" s="10">
        <v>10</v>
      </c>
      <c r="N1012" s="30"/>
      <c r="O1012" s="31"/>
      <c r="P1012" s="32"/>
      <c r="Q1012" s="32"/>
      <c r="R1012" s="32"/>
      <c r="S1012" s="32">
        <f t="shared" si="231"/>
        <v>0</v>
      </c>
      <c r="T1012" s="12"/>
      <c r="U1012" s="12"/>
      <c r="V1012" s="12"/>
      <c r="W1012" s="12">
        <f t="shared" si="232"/>
        <v>0</v>
      </c>
      <c r="Y1012" s="10">
        <v>10</v>
      </c>
      <c r="Z1012" s="30"/>
      <c r="AA1012" s="31"/>
      <c r="AB1012" s="32"/>
      <c r="AC1012" s="32"/>
      <c r="AD1012" s="32"/>
      <c r="AE1012" s="32">
        <f t="shared" si="233"/>
        <v>0</v>
      </c>
      <c r="AF1012" s="12"/>
      <c r="AG1012" s="12"/>
      <c r="AH1012" s="12"/>
      <c r="AI1012" s="12">
        <f t="shared" si="234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11</v>
      </c>
      <c r="B1013" s="30"/>
      <c r="C1013" s="83"/>
      <c r="D1013" s="32"/>
      <c r="E1013" s="32"/>
      <c r="F1013" s="32"/>
      <c r="G1013" s="32">
        <f t="shared" si="229"/>
        <v>0</v>
      </c>
      <c r="H1013" s="12"/>
      <c r="I1013" s="12"/>
      <c r="J1013" s="12"/>
      <c r="K1013" s="12">
        <f t="shared" si="230"/>
        <v>0</v>
      </c>
      <c r="M1013" s="10">
        <v>11</v>
      </c>
      <c r="N1013" s="30"/>
      <c r="O1013" s="31"/>
      <c r="P1013" s="32"/>
      <c r="Q1013" s="32"/>
      <c r="R1013" s="32"/>
      <c r="S1013" s="32">
        <f t="shared" si="231"/>
        <v>0</v>
      </c>
      <c r="T1013" s="12"/>
      <c r="U1013" s="12"/>
      <c r="V1013" s="12"/>
      <c r="W1013" s="12">
        <f t="shared" si="232"/>
        <v>0</v>
      </c>
      <c r="Y1013" s="10">
        <v>11</v>
      </c>
      <c r="Z1013" s="30"/>
      <c r="AB1013" s="32"/>
      <c r="AC1013" s="32"/>
      <c r="AD1013" s="32"/>
      <c r="AE1013" s="32">
        <f t="shared" si="233"/>
        <v>0</v>
      </c>
      <c r="AF1013" s="12"/>
      <c r="AG1013" s="12"/>
      <c r="AH1013" s="12"/>
      <c r="AI1013" s="12">
        <f t="shared" si="234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12</v>
      </c>
      <c r="B1014" s="30"/>
      <c r="C1014" s="83"/>
      <c r="D1014" s="32"/>
      <c r="E1014" s="32"/>
      <c r="F1014" s="32"/>
      <c r="G1014" s="32">
        <f t="shared" si="229"/>
        <v>0</v>
      </c>
      <c r="H1014" s="12"/>
      <c r="I1014" s="12"/>
      <c r="J1014" s="10"/>
      <c r="K1014" s="12">
        <f t="shared" si="230"/>
        <v>0</v>
      </c>
      <c r="M1014" s="10">
        <v>12</v>
      </c>
      <c r="N1014" s="30"/>
      <c r="O1014" s="31"/>
      <c r="P1014" s="32"/>
      <c r="Q1014" s="32"/>
      <c r="R1014" s="32"/>
      <c r="S1014" s="32">
        <f t="shared" si="231"/>
        <v>0</v>
      </c>
      <c r="T1014" s="12"/>
      <c r="U1014" s="12"/>
      <c r="V1014" s="12"/>
      <c r="W1014" s="12">
        <f t="shared" si="232"/>
        <v>0</v>
      </c>
      <c r="Y1014" s="10">
        <v>12</v>
      </c>
      <c r="Z1014" s="30"/>
      <c r="AA1014" s="31"/>
      <c r="AB1014" s="32"/>
      <c r="AC1014" s="32"/>
      <c r="AD1014" s="32"/>
      <c r="AE1014" s="32">
        <f t="shared" si="233"/>
        <v>0</v>
      </c>
      <c r="AF1014" s="12"/>
      <c r="AG1014" s="12"/>
      <c r="AH1014" s="12"/>
      <c r="AI1014" s="12">
        <f t="shared" si="234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13</v>
      </c>
      <c r="B1015" s="30"/>
      <c r="C1015" s="83"/>
      <c r="D1015" s="32"/>
      <c r="E1015" s="32"/>
      <c r="F1015" s="32"/>
      <c r="G1015" s="32">
        <f t="shared" si="229"/>
        <v>0</v>
      </c>
      <c r="H1015" s="12"/>
      <c r="I1015" s="12"/>
      <c r="J1015" s="12"/>
      <c r="K1015" s="12">
        <f t="shared" si="230"/>
        <v>0</v>
      </c>
      <c r="M1015" s="10">
        <v>13</v>
      </c>
      <c r="N1015" s="30"/>
      <c r="O1015" s="11"/>
      <c r="P1015" s="32"/>
      <c r="Q1015" s="32"/>
      <c r="R1015" s="32"/>
      <c r="S1015" s="32">
        <f t="shared" si="231"/>
        <v>0</v>
      </c>
      <c r="T1015" s="12"/>
      <c r="U1015" s="12"/>
      <c r="V1015" s="12"/>
      <c r="W1015" s="12">
        <f t="shared" si="232"/>
        <v>0</v>
      </c>
      <c r="Y1015" s="10">
        <v>13</v>
      </c>
      <c r="Z1015" s="30"/>
      <c r="AA1015" s="11"/>
      <c r="AB1015" s="32"/>
      <c r="AC1015" s="32"/>
      <c r="AD1015" s="32"/>
      <c r="AE1015" s="32">
        <f t="shared" si="233"/>
        <v>0</v>
      </c>
      <c r="AF1015" s="12"/>
      <c r="AG1015" s="12"/>
      <c r="AH1015" s="12"/>
      <c r="AI1015" s="12">
        <f t="shared" si="234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14</v>
      </c>
      <c r="B1016" s="30"/>
      <c r="C1016" s="83"/>
      <c r="D1016" s="32"/>
      <c r="E1016" s="32"/>
      <c r="F1016" s="32"/>
      <c r="G1016" s="32">
        <f t="shared" si="229"/>
        <v>0</v>
      </c>
      <c r="H1016" s="12"/>
      <c r="I1016" s="12"/>
      <c r="J1016" s="12"/>
      <c r="K1016" s="12">
        <f t="shared" si="230"/>
        <v>0</v>
      </c>
      <c r="M1016" s="10">
        <v>14</v>
      </c>
      <c r="N1016" s="30"/>
      <c r="P1016" s="32"/>
      <c r="Q1016" s="32"/>
      <c r="R1016" s="32"/>
      <c r="S1016" s="32">
        <f t="shared" si="231"/>
        <v>0</v>
      </c>
      <c r="T1016" s="12"/>
      <c r="U1016" s="12"/>
      <c r="V1016" s="12"/>
      <c r="W1016" s="12">
        <f t="shared" si="232"/>
        <v>0</v>
      </c>
      <c r="Y1016" s="10">
        <v>14</v>
      </c>
      <c r="Z1016" s="30"/>
      <c r="AB1016" s="32"/>
      <c r="AC1016" s="32"/>
      <c r="AD1016" s="32"/>
      <c r="AE1016" s="32">
        <f t="shared" si="233"/>
        <v>0</v>
      </c>
      <c r="AF1016" s="12"/>
      <c r="AG1016" s="12"/>
      <c r="AH1016" s="12"/>
      <c r="AI1016" s="12">
        <f t="shared" si="234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15</v>
      </c>
      <c r="B1017" s="30"/>
      <c r="C1017" s="83"/>
      <c r="D1017" s="32"/>
      <c r="E1017" s="32"/>
      <c r="F1017" s="32"/>
      <c r="G1017" s="32"/>
      <c r="H1017" s="12"/>
      <c r="I1017" s="12"/>
      <c r="J1017" s="12"/>
      <c r="K1017" s="12">
        <f t="shared" si="230"/>
        <v>0</v>
      </c>
      <c r="M1017" s="10">
        <v>15</v>
      </c>
      <c r="N1017" s="30"/>
      <c r="O1017" s="31"/>
      <c r="P1017" s="32"/>
      <c r="Q1017" s="32"/>
      <c r="R1017" s="32"/>
      <c r="S1017" s="32">
        <f t="shared" si="231"/>
        <v>0</v>
      </c>
      <c r="T1017" s="12"/>
      <c r="U1017" s="12"/>
      <c r="V1017" s="12"/>
      <c r="W1017" s="12">
        <f t="shared" si="232"/>
        <v>0</v>
      </c>
      <c r="Y1017" s="10">
        <v>15</v>
      </c>
      <c r="Z1017" s="30"/>
      <c r="AA1017" s="31"/>
      <c r="AB1017" s="32"/>
      <c r="AC1017" s="32"/>
      <c r="AD1017" s="32"/>
      <c r="AE1017" s="32">
        <f t="shared" si="233"/>
        <v>0</v>
      </c>
      <c r="AF1017" s="12"/>
      <c r="AG1017" s="12"/>
      <c r="AH1017" s="12"/>
      <c r="AI1017" s="12">
        <f t="shared" si="234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16</v>
      </c>
      <c r="B1018" s="30"/>
      <c r="C1018" s="83"/>
      <c r="D1018" s="32"/>
      <c r="E1018" s="32"/>
      <c r="F1018" s="32"/>
      <c r="G1018" s="32"/>
      <c r="H1018" s="12"/>
      <c r="I1018" s="12"/>
      <c r="J1018" s="12"/>
      <c r="K1018" s="12">
        <f t="shared" si="230"/>
        <v>0</v>
      </c>
      <c r="M1018" s="10">
        <v>16</v>
      </c>
      <c r="N1018" s="30"/>
      <c r="O1018" s="11"/>
      <c r="P1018" s="32"/>
      <c r="Q1018" s="32"/>
      <c r="R1018" s="32"/>
      <c r="S1018" s="32">
        <f t="shared" si="231"/>
        <v>0</v>
      </c>
      <c r="T1018" s="12"/>
      <c r="U1018" s="12"/>
      <c r="V1018" s="12"/>
      <c r="W1018" s="12">
        <f t="shared" si="232"/>
        <v>0</v>
      </c>
      <c r="Y1018" s="10">
        <v>16</v>
      </c>
      <c r="Z1018" s="30"/>
      <c r="AA1018" s="31"/>
      <c r="AB1018" s="32"/>
      <c r="AC1018" s="32"/>
      <c r="AD1018" s="32"/>
      <c r="AE1018" s="32">
        <f t="shared" si="233"/>
        <v>0</v>
      </c>
      <c r="AF1018" s="12"/>
      <c r="AG1018" s="12"/>
      <c r="AH1018" s="12"/>
      <c r="AI1018" s="12">
        <f t="shared" si="234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17</v>
      </c>
      <c r="B1019" s="30"/>
      <c r="C1019" s="83"/>
      <c r="D1019" s="32"/>
      <c r="E1019" s="32"/>
      <c r="F1019" s="32"/>
      <c r="G1019" s="32"/>
      <c r="H1019" s="12"/>
      <c r="I1019" s="12"/>
      <c r="J1019" s="12"/>
      <c r="K1019" s="12">
        <f t="shared" si="230"/>
        <v>0</v>
      </c>
      <c r="M1019" s="10">
        <v>17</v>
      </c>
      <c r="N1019" s="30"/>
      <c r="P1019" s="35"/>
      <c r="Q1019" s="32"/>
      <c r="R1019" s="32"/>
      <c r="S1019" s="32">
        <f t="shared" si="231"/>
        <v>0</v>
      </c>
      <c r="T1019" s="12"/>
      <c r="U1019" s="12"/>
      <c r="V1019" s="12"/>
      <c r="W1019" s="12">
        <f t="shared" si="232"/>
        <v>0</v>
      </c>
      <c r="Y1019" s="10">
        <v>17</v>
      </c>
      <c r="Z1019" s="30"/>
      <c r="AB1019" s="35"/>
      <c r="AC1019" s="32"/>
      <c r="AD1019" s="32"/>
      <c r="AE1019" s="32">
        <f t="shared" si="233"/>
        <v>0</v>
      </c>
      <c r="AF1019" s="12"/>
      <c r="AG1019" s="12"/>
      <c r="AH1019" s="12"/>
      <c r="AI1019" s="12">
        <f t="shared" si="234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18</v>
      </c>
      <c r="B1020" s="30"/>
      <c r="C1020" s="83"/>
      <c r="D1020" s="32"/>
      <c r="E1020" s="32"/>
      <c r="F1020" s="32"/>
      <c r="G1020" s="32"/>
      <c r="H1020" s="12"/>
      <c r="I1020" s="12"/>
      <c r="J1020" s="12"/>
      <c r="K1020" s="12">
        <f t="shared" si="230"/>
        <v>0</v>
      </c>
      <c r="M1020" s="10">
        <v>18</v>
      </c>
      <c r="N1020" s="30"/>
      <c r="O1020" s="11"/>
      <c r="P1020" s="32"/>
      <c r="Q1020" s="32"/>
      <c r="R1020" s="32"/>
      <c r="S1020" s="32">
        <f t="shared" si="231"/>
        <v>0</v>
      </c>
      <c r="T1020" s="12"/>
      <c r="U1020" s="12"/>
      <c r="V1020" s="12"/>
      <c r="W1020" s="12">
        <f t="shared" si="232"/>
        <v>0</v>
      </c>
      <c r="Y1020" s="10">
        <v>18</v>
      </c>
      <c r="Z1020" s="30"/>
      <c r="AA1020" s="11"/>
      <c r="AB1020" s="32"/>
      <c r="AC1020" s="32"/>
      <c r="AD1020" s="32"/>
      <c r="AE1020" s="32">
        <f t="shared" si="233"/>
        <v>0</v>
      </c>
      <c r="AF1020" s="12"/>
      <c r="AG1020" s="12"/>
      <c r="AH1020" s="12"/>
      <c r="AI1020" s="12">
        <f t="shared" si="234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19</v>
      </c>
      <c r="B1021" s="30"/>
      <c r="C1021" s="83"/>
      <c r="D1021" s="32"/>
      <c r="E1021" s="32"/>
      <c r="F1021" s="32"/>
      <c r="G1021" s="32"/>
      <c r="H1021" s="12"/>
      <c r="I1021" s="12"/>
      <c r="J1021" s="12"/>
      <c r="K1021" s="12">
        <f t="shared" si="230"/>
        <v>0</v>
      </c>
      <c r="M1021" s="10">
        <v>19</v>
      </c>
      <c r="N1021" s="30"/>
      <c r="O1021" s="31"/>
      <c r="P1021" s="32"/>
      <c r="Q1021" s="32"/>
      <c r="R1021" s="32"/>
      <c r="S1021" s="32">
        <f t="shared" si="231"/>
        <v>0</v>
      </c>
      <c r="T1021" s="12"/>
      <c r="U1021" s="12"/>
      <c r="V1021" s="12"/>
      <c r="W1021" s="12">
        <f t="shared" si="232"/>
        <v>0</v>
      </c>
      <c r="Y1021" s="10">
        <v>19</v>
      </c>
      <c r="Z1021" s="30"/>
      <c r="AA1021" s="31"/>
      <c r="AB1021" s="32"/>
      <c r="AC1021" s="32"/>
      <c r="AD1021" s="32"/>
      <c r="AE1021" s="32">
        <f t="shared" si="233"/>
        <v>0</v>
      </c>
      <c r="AF1021" s="12"/>
      <c r="AG1021" s="12"/>
      <c r="AH1021" s="12"/>
      <c r="AI1021" s="12">
        <f t="shared" si="234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20</v>
      </c>
      <c r="B1022" s="30"/>
      <c r="C1022" s="83"/>
      <c r="D1022" s="32"/>
      <c r="E1022" s="32"/>
      <c r="F1022" s="32"/>
      <c r="G1022" s="32"/>
      <c r="H1022" s="12"/>
      <c r="I1022" s="12"/>
      <c r="J1022" s="12"/>
      <c r="K1022" s="12">
        <f t="shared" si="230"/>
        <v>0</v>
      </c>
      <c r="M1022" s="10">
        <v>20</v>
      </c>
      <c r="N1022" s="30"/>
      <c r="P1022" s="32"/>
      <c r="Q1022" s="32"/>
      <c r="R1022" s="32"/>
      <c r="S1022" s="32">
        <f t="shared" si="231"/>
        <v>0</v>
      </c>
      <c r="T1022" s="12"/>
      <c r="U1022" s="12"/>
      <c r="V1022" s="12"/>
      <c r="W1022" s="12">
        <f t="shared" si="232"/>
        <v>0</v>
      </c>
      <c r="Y1022" s="10">
        <v>20</v>
      </c>
      <c r="Z1022" s="30"/>
      <c r="AB1022" s="32"/>
      <c r="AC1022" s="32"/>
      <c r="AD1022" s="32"/>
      <c r="AE1022" s="32">
        <f t="shared" si="233"/>
        <v>0</v>
      </c>
      <c r="AF1022" s="12"/>
      <c r="AG1022" s="12"/>
      <c r="AH1022" s="12"/>
      <c r="AI1022" s="12">
        <f t="shared" si="234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21</v>
      </c>
      <c r="B1023" s="30"/>
      <c r="C1023" s="11"/>
      <c r="D1023" s="32"/>
      <c r="E1023" s="32"/>
      <c r="F1023" s="32"/>
      <c r="G1023" s="32"/>
      <c r="H1023" s="10"/>
      <c r="I1023" s="10"/>
      <c r="J1023" s="10"/>
      <c r="K1023" s="12">
        <f t="shared" si="230"/>
        <v>0</v>
      </c>
      <c r="M1023" s="10">
        <v>21</v>
      </c>
      <c r="N1023" s="30"/>
      <c r="O1023" s="31"/>
      <c r="P1023" s="46"/>
      <c r="Q1023" s="31"/>
      <c r="R1023" s="31"/>
      <c r="S1023" s="32">
        <f t="shared" si="231"/>
        <v>0</v>
      </c>
      <c r="T1023" s="10"/>
      <c r="U1023" s="10"/>
      <c r="V1023" s="10"/>
      <c r="W1023" s="12">
        <f t="shared" si="232"/>
        <v>0</v>
      </c>
      <c r="Y1023" s="10">
        <v>21</v>
      </c>
      <c r="Z1023" s="30"/>
      <c r="AA1023" s="31"/>
      <c r="AB1023" s="46"/>
      <c r="AC1023" s="31"/>
      <c r="AD1023" s="31"/>
      <c r="AE1023" s="32">
        <f t="shared" si="233"/>
        <v>0</v>
      </c>
      <c r="AF1023" s="10"/>
      <c r="AG1023" s="10"/>
      <c r="AH1023" s="10"/>
      <c r="AI1023" s="12">
        <f t="shared" si="234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22</v>
      </c>
      <c r="B1024" s="30"/>
      <c r="C1024" s="11"/>
      <c r="D1024" s="32"/>
      <c r="E1024" s="32"/>
      <c r="F1024" s="32"/>
      <c r="G1024" s="32">
        <f t="shared" ref="G1024:G1036" si="237">SUM(D1024:E1024)</f>
        <v>0</v>
      </c>
      <c r="H1024" s="10"/>
      <c r="I1024" s="10"/>
      <c r="J1024" s="10"/>
      <c r="K1024" s="12">
        <f t="shared" si="230"/>
        <v>0</v>
      </c>
      <c r="M1024" s="10">
        <v>22</v>
      </c>
      <c r="N1024" s="30"/>
      <c r="O1024" s="31"/>
      <c r="P1024" s="45"/>
      <c r="Q1024" s="31"/>
      <c r="R1024" s="31"/>
      <c r="S1024" s="32">
        <f t="shared" si="231"/>
        <v>0</v>
      </c>
      <c r="T1024" s="10"/>
      <c r="U1024" s="10"/>
      <c r="V1024" s="10"/>
      <c r="W1024" s="12">
        <f t="shared" si="232"/>
        <v>0</v>
      </c>
      <c r="Y1024" s="10">
        <v>22</v>
      </c>
      <c r="Z1024" s="30"/>
      <c r="AA1024" s="31"/>
      <c r="AB1024" s="45"/>
      <c r="AC1024" s="31"/>
      <c r="AD1024" s="31"/>
      <c r="AE1024" s="32">
        <f t="shared" si="233"/>
        <v>0</v>
      </c>
      <c r="AF1024" s="10"/>
      <c r="AG1024" s="10"/>
      <c r="AH1024" s="10"/>
      <c r="AI1024" s="12">
        <f t="shared" si="234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23</v>
      </c>
      <c r="B1025" s="30"/>
      <c r="C1025" s="83"/>
      <c r="D1025" s="32"/>
      <c r="E1025" s="32"/>
      <c r="F1025" s="32"/>
      <c r="G1025" s="32">
        <f t="shared" si="237"/>
        <v>0</v>
      </c>
      <c r="H1025" s="10"/>
      <c r="I1025" s="10"/>
      <c r="J1025" s="12"/>
      <c r="K1025" s="12">
        <f t="shared" si="230"/>
        <v>0</v>
      </c>
      <c r="M1025" s="10">
        <v>23</v>
      </c>
      <c r="N1025" s="30"/>
      <c r="O1025" s="31"/>
      <c r="P1025" s="47"/>
      <c r="Q1025" s="45"/>
      <c r="S1025" s="32">
        <f t="shared" si="231"/>
        <v>0</v>
      </c>
      <c r="T1025" s="10"/>
      <c r="U1025" s="10"/>
      <c r="V1025" s="10"/>
      <c r="W1025" s="12">
        <f t="shared" si="232"/>
        <v>0</v>
      </c>
      <c r="Y1025" s="10">
        <v>23</v>
      </c>
      <c r="Z1025" s="30"/>
      <c r="AA1025" s="31"/>
      <c r="AB1025" s="47"/>
      <c r="AC1025" s="45"/>
      <c r="AE1025" s="32">
        <f t="shared" si="233"/>
        <v>0</v>
      </c>
      <c r="AF1025" s="10"/>
      <c r="AG1025" s="10"/>
      <c r="AH1025" s="10"/>
      <c r="AI1025" s="12">
        <f t="shared" si="234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24</v>
      </c>
      <c r="B1026" s="30"/>
      <c r="C1026" s="83"/>
      <c r="D1026" s="32"/>
      <c r="E1026" s="32"/>
      <c r="F1026" s="32"/>
      <c r="G1026" s="32">
        <f t="shared" si="237"/>
        <v>0</v>
      </c>
      <c r="H1026" s="10"/>
      <c r="I1026" s="10"/>
      <c r="J1026" s="10"/>
      <c r="K1026" s="12">
        <f t="shared" si="230"/>
        <v>0</v>
      </c>
      <c r="M1026" s="10">
        <v>24</v>
      </c>
      <c r="N1026" s="30"/>
      <c r="O1026" s="31"/>
      <c r="P1026" s="47"/>
      <c r="Q1026" s="31"/>
      <c r="R1026" s="31"/>
      <c r="S1026" s="32">
        <f t="shared" si="231"/>
        <v>0</v>
      </c>
      <c r="T1026" s="10"/>
      <c r="U1026" s="10"/>
      <c r="V1026" s="10"/>
      <c r="W1026" s="12">
        <f t="shared" si="232"/>
        <v>0</v>
      </c>
      <c r="Y1026" s="10">
        <v>24</v>
      </c>
      <c r="Z1026" s="30"/>
      <c r="AA1026" s="31"/>
      <c r="AB1026" s="47"/>
      <c r="AC1026" s="31"/>
      <c r="AD1026" s="31"/>
      <c r="AE1026" s="32">
        <f t="shared" si="233"/>
        <v>0</v>
      </c>
      <c r="AF1026" s="10"/>
      <c r="AG1026" s="10"/>
      <c r="AH1026" s="10"/>
      <c r="AI1026" s="12">
        <f t="shared" si="234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25</v>
      </c>
      <c r="B1027" s="30"/>
      <c r="C1027" s="57"/>
      <c r="D1027" s="32"/>
      <c r="E1027" s="32"/>
      <c r="F1027" s="32"/>
      <c r="G1027" s="32">
        <f t="shared" si="237"/>
        <v>0</v>
      </c>
      <c r="H1027" s="10"/>
      <c r="I1027" s="10"/>
      <c r="J1027" s="10"/>
      <c r="K1027" s="12">
        <f t="shared" si="230"/>
        <v>0</v>
      </c>
      <c r="M1027" s="10">
        <v>25</v>
      </c>
      <c r="N1027" s="30"/>
      <c r="O1027" s="31"/>
      <c r="P1027" s="47"/>
      <c r="Q1027" s="31"/>
      <c r="R1027" s="31"/>
      <c r="S1027" s="32">
        <f t="shared" si="231"/>
        <v>0</v>
      </c>
      <c r="T1027" s="10"/>
      <c r="U1027" s="10"/>
      <c r="V1027" s="10"/>
      <c r="W1027" s="12">
        <f t="shared" si="232"/>
        <v>0</v>
      </c>
      <c r="Y1027" s="10">
        <v>25</v>
      </c>
      <c r="Z1027" s="30"/>
      <c r="AA1027" s="31"/>
      <c r="AB1027" s="47"/>
      <c r="AC1027" s="31"/>
      <c r="AD1027" s="31"/>
      <c r="AE1027" s="32">
        <f t="shared" si="233"/>
        <v>0</v>
      </c>
      <c r="AF1027" s="10"/>
      <c r="AG1027" s="10"/>
      <c r="AH1027" s="10"/>
      <c r="AI1027" s="12">
        <f t="shared" si="234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26</v>
      </c>
      <c r="B1028" s="30"/>
      <c r="C1028" s="83"/>
      <c r="D1028" s="32"/>
      <c r="E1028" s="32"/>
      <c r="F1028" s="32"/>
      <c r="G1028" s="32">
        <f t="shared" si="237"/>
        <v>0</v>
      </c>
      <c r="H1028" s="10"/>
      <c r="I1028" s="10"/>
      <c r="J1028" s="10"/>
      <c r="K1028" s="12">
        <f t="shared" si="230"/>
        <v>0</v>
      </c>
      <c r="M1028" s="10">
        <v>26</v>
      </c>
      <c r="N1028" s="30"/>
      <c r="O1028" s="31"/>
      <c r="P1028" s="47"/>
      <c r="Q1028" s="31"/>
      <c r="R1028" s="31"/>
      <c r="S1028" s="32">
        <f t="shared" si="231"/>
        <v>0</v>
      </c>
      <c r="T1028" s="10"/>
      <c r="U1028" s="10"/>
      <c r="V1028" s="10"/>
      <c r="W1028" s="12">
        <f t="shared" si="232"/>
        <v>0</v>
      </c>
      <c r="Y1028" s="10">
        <v>26</v>
      </c>
      <c r="Z1028" s="30"/>
      <c r="AA1028" s="31"/>
      <c r="AB1028" s="47"/>
      <c r="AC1028" s="31"/>
      <c r="AD1028" s="31"/>
      <c r="AE1028" s="32">
        <f t="shared" si="233"/>
        <v>0</v>
      </c>
      <c r="AF1028" s="10"/>
      <c r="AG1028" s="10"/>
      <c r="AH1028" s="10"/>
      <c r="AI1028" s="12">
        <f t="shared" si="234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27</v>
      </c>
      <c r="B1029" s="30"/>
      <c r="C1029" s="83"/>
      <c r="D1029" s="32"/>
      <c r="E1029" s="32"/>
      <c r="F1029" s="32"/>
      <c r="G1029" s="32">
        <f t="shared" si="237"/>
        <v>0</v>
      </c>
      <c r="H1029" s="10"/>
      <c r="I1029" s="10"/>
      <c r="J1029" s="10"/>
      <c r="K1029" s="12">
        <f t="shared" si="230"/>
        <v>0</v>
      </c>
      <c r="M1029" s="10">
        <v>27</v>
      </c>
      <c r="N1029" s="30"/>
      <c r="O1029" s="31"/>
      <c r="P1029" s="47"/>
      <c r="Q1029" s="31"/>
      <c r="R1029" s="31"/>
      <c r="S1029" s="32">
        <f t="shared" si="231"/>
        <v>0</v>
      </c>
      <c r="T1029" s="10"/>
      <c r="U1029" s="10"/>
      <c r="V1029" s="10"/>
      <c r="W1029" s="12">
        <f t="shared" si="232"/>
        <v>0</v>
      </c>
      <c r="Y1029" s="10">
        <v>27</v>
      </c>
      <c r="Z1029" s="30"/>
      <c r="AA1029" s="31"/>
      <c r="AB1029" s="47"/>
      <c r="AC1029" s="31"/>
      <c r="AD1029" s="31"/>
      <c r="AE1029" s="32">
        <f t="shared" si="233"/>
        <v>0</v>
      </c>
      <c r="AF1029" s="10"/>
      <c r="AG1029" s="10"/>
      <c r="AH1029" s="10"/>
      <c r="AI1029" s="12">
        <f t="shared" si="234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28</v>
      </c>
      <c r="B1030" s="30"/>
      <c r="C1030" s="83"/>
      <c r="D1030" s="32"/>
      <c r="E1030" s="32"/>
      <c r="F1030" s="32"/>
      <c r="G1030" s="32">
        <f t="shared" si="237"/>
        <v>0</v>
      </c>
      <c r="H1030" s="10"/>
      <c r="I1030" s="10"/>
      <c r="J1030" s="10"/>
      <c r="K1030" s="12">
        <f t="shared" si="230"/>
        <v>0</v>
      </c>
      <c r="M1030" s="10">
        <v>28</v>
      </c>
      <c r="N1030" s="30"/>
      <c r="O1030" s="31"/>
      <c r="P1030" s="47"/>
      <c r="Q1030" s="31"/>
      <c r="R1030" s="31"/>
      <c r="S1030" s="32">
        <f t="shared" si="231"/>
        <v>0</v>
      </c>
      <c r="T1030" s="10"/>
      <c r="U1030" s="10"/>
      <c r="V1030" s="10"/>
      <c r="W1030" s="12">
        <f t="shared" si="232"/>
        <v>0</v>
      </c>
      <c r="Y1030" s="10">
        <v>28</v>
      </c>
      <c r="Z1030" s="30"/>
      <c r="AA1030" s="31"/>
      <c r="AB1030" s="47"/>
      <c r="AC1030" s="31"/>
      <c r="AD1030" s="31"/>
      <c r="AE1030" s="32">
        <f t="shared" si="233"/>
        <v>0</v>
      </c>
      <c r="AF1030" s="10"/>
      <c r="AG1030" s="10"/>
      <c r="AH1030" s="10"/>
      <c r="AI1030" s="12">
        <f t="shared" si="234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29</v>
      </c>
      <c r="B1031" s="30"/>
      <c r="C1031" s="83"/>
      <c r="D1031" s="32"/>
      <c r="E1031" s="32"/>
      <c r="F1031" s="32"/>
      <c r="G1031" s="32">
        <f t="shared" si="237"/>
        <v>0</v>
      </c>
      <c r="H1031" s="10"/>
      <c r="I1031" s="10"/>
      <c r="J1031" s="10"/>
      <c r="K1031" s="12">
        <f t="shared" si="230"/>
        <v>0</v>
      </c>
      <c r="M1031" s="10">
        <v>29</v>
      </c>
      <c r="N1031" s="30"/>
      <c r="O1031" s="31"/>
      <c r="P1031" s="47"/>
      <c r="Q1031" s="31"/>
      <c r="R1031" s="31"/>
      <c r="S1031" s="32">
        <f t="shared" si="231"/>
        <v>0</v>
      </c>
      <c r="T1031" s="10"/>
      <c r="U1031" s="10"/>
      <c r="V1031" s="10"/>
      <c r="W1031" s="12">
        <f t="shared" si="232"/>
        <v>0</v>
      </c>
      <c r="Y1031" s="10">
        <v>29</v>
      </c>
      <c r="Z1031" s="30"/>
      <c r="AA1031" s="31"/>
      <c r="AB1031" s="47"/>
      <c r="AC1031" s="31"/>
      <c r="AD1031" s="31"/>
      <c r="AE1031" s="32">
        <f t="shared" si="233"/>
        <v>0</v>
      </c>
      <c r="AF1031" s="10"/>
      <c r="AG1031" s="10"/>
      <c r="AH1031" s="10"/>
      <c r="AI1031" s="12">
        <f t="shared" si="234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30</v>
      </c>
      <c r="B1032" s="30"/>
      <c r="C1032" s="83"/>
      <c r="D1032" s="32"/>
      <c r="E1032" s="32"/>
      <c r="F1032" s="32"/>
      <c r="G1032" s="32">
        <f t="shared" si="237"/>
        <v>0</v>
      </c>
      <c r="H1032" s="10"/>
      <c r="I1032" s="10"/>
      <c r="J1032" s="10"/>
      <c r="K1032" s="12">
        <f t="shared" si="230"/>
        <v>0</v>
      </c>
      <c r="M1032" s="10">
        <v>30</v>
      </c>
      <c r="N1032" s="30"/>
      <c r="O1032" s="31"/>
      <c r="P1032" s="47"/>
      <c r="Q1032" s="31"/>
      <c r="R1032" s="31"/>
      <c r="S1032" s="32">
        <f t="shared" si="231"/>
        <v>0</v>
      </c>
      <c r="T1032" s="10"/>
      <c r="U1032" s="10"/>
      <c r="V1032" s="10"/>
      <c r="W1032" s="12">
        <f t="shared" si="232"/>
        <v>0</v>
      </c>
      <c r="Y1032" s="10">
        <v>30</v>
      </c>
      <c r="Z1032" s="30"/>
      <c r="AA1032" s="31"/>
      <c r="AB1032" s="47"/>
      <c r="AC1032" s="31"/>
      <c r="AD1032" s="31"/>
      <c r="AE1032" s="32">
        <f t="shared" si="233"/>
        <v>0</v>
      </c>
      <c r="AF1032" s="10"/>
      <c r="AG1032" s="10"/>
      <c r="AH1032" s="10"/>
      <c r="AI1032" s="12">
        <f t="shared" si="234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31</v>
      </c>
      <c r="B1033" s="30"/>
      <c r="C1033" s="83"/>
      <c r="D1033" s="32"/>
      <c r="E1033" s="32"/>
      <c r="F1033" s="32"/>
      <c r="G1033" s="32">
        <f t="shared" si="237"/>
        <v>0</v>
      </c>
      <c r="H1033" s="10"/>
      <c r="I1033" s="10"/>
      <c r="J1033" s="10"/>
      <c r="K1033" s="12">
        <f t="shared" si="230"/>
        <v>0</v>
      </c>
      <c r="M1033" s="10">
        <v>31</v>
      </c>
      <c r="N1033" s="30"/>
      <c r="O1033" s="31"/>
      <c r="P1033" s="47"/>
      <c r="Q1033" s="31"/>
      <c r="R1033" s="31"/>
      <c r="S1033" s="32">
        <f t="shared" si="231"/>
        <v>0</v>
      </c>
      <c r="T1033" s="10"/>
      <c r="U1033" s="10"/>
      <c r="V1033" s="10"/>
      <c r="W1033" s="12">
        <f t="shared" si="232"/>
        <v>0</v>
      </c>
      <c r="Y1033" s="10">
        <v>31</v>
      </c>
      <c r="Z1033" s="30"/>
      <c r="AA1033" s="31"/>
      <c r="AB1033" s="47"/>
      <c r="AC1033" s="31"/>
      <c r="AD1033" s="31"/>
      <c r="AE1033" s="32">
        <f t="shared" si="233"/>
        <v>0</v>
      </c>
      <c r="AF1033" s="10"/>
      <c r="AG1033" s="10"/>
      <c r="AH1033" s="10"/>
      <c r="AI1033" s="12">
        <f t="shared" si="234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32</v>
      </c>
      <c r="B1034" s="30"/>
      <c r="C1034" s="83"/>
      <c r="D1034" s="32"/>
      <c r="E1034" s="32"/>
      <c r="F1034" s="32"/>
      <c r="G1034" s="32">
        <f t="shared" si="237"/>
        <v>0</v>
      </c>
      <c r="H1034" s="10"/>
      <c r="I1034" s="10"/>
      <c r="J1034" s="10"/>
      <c r="K1034" s="12">
        <f t="shared" si="230"/>
        <v>0</v>
      </c>
      <c r="M1034" s="10">
        <v>32</v>
      </c>
      <c r="N1034" s="30"/>
      <c r="O1034" s="31"/>
      <c r="P1034" s="47"/>
      <c r="Q1034" s="31"/>
      <c r="R1034" s="31"/>
      <c r="S1034" s="32">
        <f t="shared" si="231"/>
        <v>0</v>
      </c>
      <c r="T1034" s="10"/>
      <c r="U1034" s="10"/>
      <c r="V1034" s="10"/>
      <c r="W1034" s="12">
        <f t="shared" si="232"/>
        <v>0</v>
      </c>
      <c r="Y1034" s="10">
        <v>32</v>
      </c>
      <c r="Z1034" s="30"/>
      <c r="AA1034" s="31"/>
      <c r="AB1034" s="47"/>
      <c r="AC1034" s="31"/>
      <c r="AD1034" s="31"/>
      <c r="AE1034" s="32">
        <f t="shared" si="233"/>
        <v>0</v>
      </c>
      <c r="AF1034" s="10"/>
      <c r="AG1034" s="10"/>
      <c r="AH1034" s="10"/>
      <c r="AI1034" s="12">
        <f t="shared" si="234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>
        <v>33</v>
      </c>
      <c r="B1035" s="30"/>
      <c r="C1035" s="83"/>
      <c r="D1035" s="32"/>
      <c r="E1035" s="32"/>
      <c r="F1035" s="32"/>
      <c r="G1035" s="32">
        <f t="shared" si="237"/>
        <v>0</v>
      </c>
      <c r="H1035" s="10"/>
      <c r="I1035" s="10"/>
      <c r="J1035" s="10"/>
      <c r="K1035" s="12">
        <f t="shared" si="230"/>
        <v>0</v>
      </c>
      <c r="M1035" s="10">
        <v>33</v>
      </c>
      <c r="N1035" s="30"/>
      <c r="O1035" s="31"/>
      <c r="P1035" s="47"/>
      <c r="Q1035" s="31"/>
      <c r="R1035" s="31"/>
      <c r="S1035" s="32">
        <f t="shared" si="231"/>
        <v>0</v>
      </c>
      <c r="T1035" s="10"/>
      <c r="U1035" s="10"/>
      <c r="V1035" s="10"/>
      <c r="W1035" s="12">
        <f t="shared" si="232"/>
        <v>0</v>
      </c>
      <c r="Y1035" s="10">
        <v>33</v>
      </c>
      <c r="Z1035" s="30"/>
      <c r="AA1035" s="31"/>
      <c r="AB1035" s="47"/>
      <c r="AC1035" s="31"/>
      <c r="AD1035" s="31"/>
      <c r="AE1035" s="32">
        <f t="shared" si="233"/>
        <v>0</v>
      </c>
      <c r="AF1035" s="10"/>
      <c r="AG1035" s="10"/>
      <c r="AH1035" s="10"/>
      <c r="AI1035" s="12">
        <f t="shared" si="234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3"/>
      <c r="D1036" s="32"/>
      <c r="E1036" s="32"/>
      <c r="F1036" s="32"/>
      <c r="G1036" s="32">
        <f t="shared" si="237"/>
        <v>0</v>
      </c>
      <c r="H1036" s="10"/>
      <c r="I1036" s="10"/>
      <c r="J1036" s="10"/>
      <c r="K1036" s="12">
        <f t="shared" si="230"/>
        <v>0</v>
      </c>
      <c r="M1036" s="10">
        <v>34</v>
      </c>
      <c r="N1036" s="30"/>
      <c r="O1036" s="31"/>
      <c r="P1036" s="47"/>
      <c r="Q1036" s="31"/>
      <c r="R1036" s="31"/>
      <c r="S1036" s="32">
        <f t="shared" si="231"/>
        <v>0</v>
      </c>
      <c r="T1036" s="10"/>
      <c r="U1036" s="10"/>
      <c r="V1036" s="10"/>
      <c r="W1036" s="12">
        <f t="shared" si="232"/>
        <v>0</v>
      </c>
      <c r="Y1036" s="10">
        <v>34</v>
      </c>
      <c r="Z1036" s="30"/>
      <c r="AA1036" s="31"/>
      <c r="AB1036" s="47"/>
      <c r="AC1036" s="31"/>
      <c r="AD1036" s="31"/>
      <c r="AE1036" s="32">
        <f t="shared" si="233"/>
        <v>0</v>
      </c>
      <c r="AF1036" s="10"/>
      <c r="AG1036" s="10"/>
      <c r="AH1036" s="10"/>
      <c r="AI1036" s="12">
        <f t="shared" si="234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3"/>
      <c r="D1037" s="32"/>
      <c r="E1037" s="32"/>
      <c r="F1037" s="32"/>
      <c r="G1037" s="32"/>
      <c r="H1037" s="10"/>
      <c r="I1037" s="10"/>
      <c r="J1037" s="10"/>
      <c r="K1037" s="12"/>
      <c r="M1037" s="10">
        <v>35</v>
      </c>
      <c r="N1037" s="30"/>
      <c r="O1037" s="31"/>
      <c r="P1037" s="47"/>
      <c r="Q1037" s="31"/>
      <c r="R1037" s="31"/>
      <c r="S1037" s="32">
        <f t="shared" si="231"/>
        <v>0</v>
      </c>
      <c r="T1037" s="10"/>
      <c r="U1037" s="10"/>
      <c r="V1037" s="10"/>
      <c r="W1037" s="12">
        <f t="shared" si="232"/>
        <v>0</v>
      </c>
      <c r="Y1037" s="10">
        <v>35</v>
      </c>
      <c r="Z1037" s="30"/>
      <c r="AA1037" s="31"/>
      <c r="AB1037" s="47"/>
      <c r="AC1037" s="31"/>
      <c r="AD1037" s="31"/>
      <c r="AE1037" s="32">
        <f t="shared" si="233"/>
        <v>0</v>
      </c>
      <c r="AF1037" s="10"/>
      <c r="AG1037" s="10"/>
      <c r="AH1037" s="10"/>
      <c r="AI1037" s="12">
        <f t="shared" si="234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83"/>
      <c r="D1038" s="32"/>
      <c r="E1038" s="32"/>
      <c r="F1038" s="32"/>
      <c r="G1038" s="32"/>
      <c r="H1038" s="10"/>
      <c r="I1038" s="10"/>
      <c r="J1038" s="10"/>
      <c r="K1038" s="12"/>
      <c r="M1038" s="10">
        <v>36</v>
      </c>
      <c r="N1038" s="30"/>
      <c r="O1038" s="31"/>
      <c r="P1038" s="47"/>
      <c r="Q1038" s="31"/>
      <c r="R1038" s="31"/>
      <c r="S1038" s="32">
        <f t="shared" si="231"/>
        <v>0</v>
      </c>
      <c r="T1038" s="10"/>
      <c r="U1038" s="10"/>
      <c r="V1038" s="10"/>
      <c r="W1038" s="12">
        <f t="shared" si="232"/>
        <v>0</v>
      </c>
      <c r="Y1038" s="10">
        <v>36</v>
      </c>
      <c r="Z1038" s="30"/>
      <c r="AA1038" s="31"/>
      <c r="AB1038" s="47"/>
      <c r="AC1038" s="31"/>
      <c r="AD1038" s="31"/>
      <c r="AE1038" s="32">
        <f t="shared" si="233"/>
        <v>0</v>
      </c>
      <c r="AF1038" s="10"/>
      <c r="AG1038" s="10"/>
      <c r="AH1038" s="10"/>
      <c r="AI1038" s="12">
        <f t="shared" si="234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37</v>
      </c>
      <c r="N1039" s="30"/>
      <c r="P1039" s="47"/>
      <c r="Q1039" s="31"/>
      <c r="R1039" s="31"/>
      <c r="S1039" s="32">
        <f t="shared" si="231"/>
        <v>0</v>
      </c>
      <c r="T1039" s="10"/>
      <c r="U1039" s="10"/>
      <c r="V1039" s="10"/>
      <c r="W1039" s="12">
        <f t="shared" si="232"/>
        <v>0</v>
      </c>
      <c r="Y1039" s="10">
        <v>37</v>
      </c>
      <c r="Z1039" s="30"/>
      <c r="AB1039" s="47"/>
      <c r="AC1039" s="31"/>
      <c r="AD1039" s="31"/>
      <c r="AE1039" s="32">
        <f t="shared" si="233"/>
        <v>0</v>
      </c>
      <c r="AF1039" s="10"/>
      <c r="AG1039" s="10"/>
      <c r="AH1039" s="10"/>
      <c r="AI1039" s="12">
        <f t="shared" si="234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38</v>
      </c>
      <c r="N1040" s="30"/>
      <c r="O1040" s="31"/>
      <c r="P1040" s="47"/>
      <c r="Q1040" s="31"/>
      <c r="R1040" s="31"/>
      <c r="S1040" s="32">
        <f t="shared" si="231"/>
        <v>0</v>
      </c>
      <c r="T1040" s="10"/>
      <c r="U1040" s="10"/>
      <c r="V1040" s="10"/>
      <c r="W1040" s="12">
        <f t="shared" si="232"/>
        <v>0</v>
      </c>
      <c r="Y1040" s="10">
        <v>38</v>
      </c>
      <c r="Z1040" s="30"/>
      <c r="AA1040" s="31"/>
      <c r="AB1040" s="47"/>
      <c r="AC1040" s="31"/>
      <c r="AD1040" s="31"/>
      <c r="AE1040" s="32">
        <f t="shared" si="233"/>
        <v>0</v>
      </c>
      <c r="AF1040" s="10"/>
      <c r="AG1040" s="10"/>
      <c r="AH1040" s="10"/>
      <c r="AI1040" s="12">
        <f t="shared" si="234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>
        <v>39</v>
      </c>
      <c r="N1041" s="30"/>
      <c r="O1041" s="31"/>
      <c r="P1041" s="47"/>
      <c r="Q1041" s="31"/>
      <c r="R1041" s="31"/>
      <c r="S1041" s="32">
        <f t="shared" si="231"/>
        <v>0</v>
      </c>
      <c r="T1041" s="10"/>
      <c r="U1041" s="10"/>
      <c r="V1041" s="10"/>
      <c r="W1041" s="12">
        <f t="shared" si="232"/>
        <v>0</v>
      </c>
      <c r="Y1041" s="10">
        <v>39</v>
      </c>
      <c r="Z1041" s="30"/>
      <c r="AA1041" s="31"/>
      <c r="AB1041" s="47"/>
      <c r="AC1041" s="31"/>
      <c r="AD1041" s="31"/>
      <c r="AE1041" s="32">
        <f t="shared" si="233"/>
        <v>0</v>
      </c>
      <c r="AF1041" s="10"/>
      <c r="AG1041" s="10"/>
      <c r="AH1041" s="10"/>
      <c r="AI1041" s="12">
        <f t="shared" si="234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/>
      <c r="H1042" s="10"/>
      <c r="I1042" s="10"/>
      <c r="J1042" s="10"/>
      <c r="K1042" s="12"/>
      <c r="M1042" s="10"/>
      <c r="N1042" s="30"/>
      <c r="P1042" s="47"/>
      <c r="Q1042" s="31"/>
      <c r="R1042" s="31"/>
      <c r="S1042" s="32"/>
      <c r="T1042" s="10"/>
      <c r="U1042" s="10"/>
      <c r="V1042" s="10"/>
      <c r="W1042" s="12">
        <f t="shared" si="232"/>
        <v>0</v>
      </c>
      <c r="Y1042" s="10"/>
      <c r="Z1042" s="30"/>
      <c r="AB1042" s="47"/>
      <c r="AC1042" s="31"/>
      <c r="AD1042" s="31"/>
      <c r="AE1042" s="32"/>
      <c r="AF1042" s="10"/>
      <c r="AG1042" s="10"/>
      <c r="AH1042" s="10"/>
      <c r="AI1042" s="12">
        <f t="shared" si="234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1"/>
      <c r="D1043" s="32"/>
      <c r="E1043" s="32"/>
      <c r="F1043" s="32"/>
      <c r="G1043" s="32">
        <f t="shared" ref="G1043" si="238">SUM(D1043:E1043)</f>
        <v>0</v>
      </c>
      <c r="H1043" s="10"/>
      <c r="I1043" s="10"/>
      <c r="J1043" s="10"/>
      <c r="K1043" s="12">
        <f t="shared" ref="K1043" si="239">SUM(G1043:J1043)</f>
        <v>0</v>
      </c>
      <c r="M1043" s="10"/>
      <c r="N1043" s="30"/>
      <c r="O1043" s="31"/>
      <c r="P1043" s="47"/>
      <c r="Q1043" s="31"/>
      <c r="R1043" s="31"/>
      <c r="S1043" s="32">
        <f t="shared" ref="S1043" si="240">SUM(P1043:Q1043)</f>
        <v>0</v>
      </c>
      <c r="T1043" s="10"/>
      <c r="U1043" s="10"/>
      <c r="V1043" s="10"/>
      <c r="W1043" s="12">
        <f t="shared" si="232"/>
        <v>0</v>
      </c>
      <c r="Y1043" s="10"/>
      <c r="Z1043" s="30"/>
      <c r="AA1043" s="31"/>
      <c r="AB1043" s="47"/>
      <c r="AC1043" s="31"/>
      <c r="AD1043" s="31"/>
      <c r="AE1043" s="32">
        <f t="shared" ref="AE1043" si="241">SUM(AB1043:AC1043)</f>
        <v>0</v>
      </c>
      <c r="AF1043" s="10"/>
      <c r="AG1043" s="10"/>
      <c r="AH1043" s="10"/>
      <c r="AI1043" s="12">
        <f t="shared" si="234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10"/>
      <c r="B1044" s="30"/>
      <c r="C1044" s="30"/>
      <c r="D1044" s="32"/>
      <c r="E1044" s="32"/>
      <c r="F1044" s="32"/>
      <c r="G1044" s="32"/>
      <c r="H1044" s="10"/>
      <c r="I1044" s="10"/>
      <c r="J1044" s="10"/>
      <c r="K1044" s="12"/>
      <c r="M1044" s="10"/>
      <c r="N1044" s="31"/>
      <c r="O1044" s="31"/>
      <c r="P1044" s="31"/>
      <c r="Q1044" s="31"/>
      <c r="R1044" s="31"/>
      <c r="S1044" s="31"/>
      <c r="T1044" s="10"/>
      <c r="U1044" s="10"/>
      <c r="V1044" s="10"/>
      <c r="W1044" s="12">
        <f t="shared" si="232"/>
        <v>0</v>
      </c>
      <c r="Y1044" s="10"/>
      <c r="Z1044" s="31"/>
      <c r="AA1044" s="31"/>
      <c r="AB1044" s="31"/>
      <c r="AC1044" s="31"/>
      <c r="AD1044" s="31"/>
      <c r="AE1044" s="31"/>
      <c r="AF1044" s="10"/>
      <c r="AG1044" s="10"/>
      <c r="AH1044" s="10"/>
      <c r="AI1044" s="12">
        <f t="shared" si="234"/>
        <v>0</v>
      </c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6"/>
      <c r="E1045" s="36"/>
      <c r="F1045" s="36"/>
      <c r="G1045" s="36"/>
      <c r="H1045" s="37"/>
      <c r="I1045" s="37"/>
      <c r="J1045" s="37"/>
      <c r="K1045" s="37"/>
      <c r="N1045" s="57"/>
      <c r="O1045" s="57"/>
      <c r="P1045" s="36"/>
      <c r="Q1045" s="36"/>
      <c r="R1045" s="36"/>
      <c r="S1045" s="36"/>
      <c r="T1045" s="37"/>
      <c r="U1045" s="37"/>
      <c r="V1045" s="37"/>
      <c r="W1045" s="37"/>
      <c r="Z1045" s="57"/>
      <c r="AA1045" s="57"/>
      <c r="AB1045" s="36"/>
      <c r="AC1045" s="36"/>
      <c r="AD1045" s="36"/>
      <c r="AE1045" s="36"/>
      <c r="AF1045" s="37"/>
      <c r="AG1045" s="37"/>
      <c r="AH1045" s="37"/>
      <c r="AI1045" s="37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B1046" s="57"/>
      <c r="C1046" s="57"/>
      <c r="D1046" s="38">
        <f>SUM(D1003:D1045)</f>
        <v>261363</v>
      </c>
      <c r="E1046" s="38">
        <f t="shared" ref="E1046:F1046" si="242">SUM(E1003:E1043)</f>
        <v>-2070</v>
      </c>
      <c r="F1046" s="38">
        <f t="shared" si="242"/>
        <v>0</v>
      </c>
      <c r="G1046" s="38">
        <f>SUM(G1003:G1045)</f>
        <v>259293</v>
      </c>
      <c r="H1046" s="4"/>
      <c r="I1046" s="39">
        <f>SUM(I1003:I1045)</f>
        <v>1800</v>
      </c>
      <c r="J1046" s="39">
        <f>SUM(J1003:J1045)</f>
        <v>-47166</v>
      </c>
      <c r="K1046" s="40">
        <f>SUM(K1003:K1045)</f>
        <v>213927</v>
      </c>
      <c r="N1046" s="57"/>
      <c r="O1046" s="57"/>
      <c r="P1046" s="38">
        <f>SUM(P1003:P1045)</f>
        <v>197118</v>
      </c>
      <c r="Q1046" s="38">
        <f>SUM(Q1003:Q1027)</f>
        <v>-1356</v>
      </c>
      <c r="R1046" s="38">
        <f>SUM(R1003:R1027)</f>
        <v>0</v>
      </c>
      <c r="S1046" s="38">
        <f>SUM(S1003:S1045)</f>
        <v>195762</v>
      </c>
      <c r="T1046" s="4"/>
      <c r="U1046" s="41">
        <f>SUM(U1003:U1045)</f>
        <v>7455</v>
      </c>
      <c r="V1046" s="41">
        <f>SUM(V1003:V1027)</f>
        <v>-3952.5</v>
      </c>
      <c r="W1046" s="42">
        <f>SUM(W1003:W1045)</f>
        <v>199264.5</v>
      </c>
      <c r="Z1046" s="57"/>
      <c r="AA1046" s="57"/>
      <c r="AB1046" s="38">
        <f>SUM(AB1003:AB1045)</f>
        <v>461549</v>
      </c>
      <c r="AC1046" s="38">
        <f>SUM(AC1003:AC1027)</f>
        <v>-1602</v>
      </c>
      <c r="AD1046" s="38">
        <f>SUM(AD1003:AD1027)</f>
        <v>0</v>
      </c>
      <c r="AE1046" s="38">
        <f>SUM(AE1003:AE1045)</f>
        <v>459947</v>
      </c>
      <c r="AF1046" s="4"/>
      <c r="AG1046" s="41">
        <f>SUM(AG1003:AG1045)</f>
        <v>1536</v>
      </c>
      <c r="AH1046" s="41">
        <f>SUM(AH1003:AH1027)</f>
        <v>-8055</v>
      </c>
      <c r="AI1046" s="42">
        <f>SUM(AI1003:AI1045)</f>
        <v>453428</v>
      </c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Y1047" s="18"/>
      <c r="Z1047" s="18"/>
      <c r="AA1047" s="18"/>
      <c r="AB1047" s="18"/>
      <c r="AC1047" s="18"/>
      <c r="AD1047" s="18"/>
      <c r="AE1047" s="18"/>
      <c r="AF1047" s="18"/>
      <c r="AG1047" s="18"/>
      <c r="AH1047" s="18"/>
      <c r="AI1047" s="18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21"/>
      <c r="E1053" s="121"/>
      <c r="F1053" s="86"/>
      <c r="G1053" s="86"/>
      <c r="H1053" s="62"/>
      <c r="I1053" s="121"/>
      <c r="J1053" s="121"/>
      <c r="K1053" s="124"/>
      <c r="L1053" s="62"/>
      <c r="M1053" s="62"/>
      <c r="N1053" s="65"/>
      <c r="O1053" s="86"/>
      <c r="P1053" s="121"/>
      <c r="Q1053" s="121"/>
      <c r="R1053" s="86"/>
      <c r="S1053" s="86"/>
      <c r="T1053" s="62"/>
      <c r="U1053" s="121"/>
      <c r="V1053" s="121"/>
      <c r="W1053" s="124"/>
      <c r="X1053" s="62"/>
      <c r="Y1053" s="62"/>
      <c r="Z1053" s="65"/>
      <c r="AA1053" s="86"/>
      <c r="AB1053" s="121"/>
      <c r="AC1053" s="121"/>
      <c r="AD1053" s="86"/>
      <c r="AE1053" s="86"/>
      <c r="AF1053" s="62"/>
      <c r="AG1053" s="121"/>
      <c r="AH1053" s="121"/>
      <c r="AI1053" s="124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24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24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24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1"/>
      <c r="E1108" s="121"/>
      <c r="F1108" s="86"/>
      <c r="G1108" s="86"/>
      <c r="H1108" s="62"/>
      <c r="I1108" s="121"/>
      <c r="J1108" s="121"/>
      <c r="K1108" s="124"/>
      <c r="L1108" s="62"/>
      <c r="M1108" s="62"/>
      <c r="N1108" s="65"/>
      <c r="O1108" s="86"/>
      <c r="P1108" s="121"/>
      <c r="Q1108" s="121"/>
      <c r="R1108" s="86"/>
      <c r="S1108" s="86"/>
      <c r="T1108" s="62"/>
      <c r="U1108" s="121"/>
      <c r="V1108" s="121"/>
      <c r="W1108" s="124"/>
      <c r="X1108" s="62"/>
      <c r="Y1108" s="62"/>
      <c r="Z1108" s="65"/>
      <c r="AA1108" s="86"/>
      <c r="AB1108" s="121"/>
      <c r="AC1108" s="121"/>
      <c r="AD1108" s="86"/>
      <c r="AE1108" s="86"/>
      <c r="AF1108" s="62"/>
      <c r="AG1108" s="121"/>
      <c r="AH1108" s="121"/>
      <c r="AI1108" s="124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4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4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4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1"/>
      <c r="E1163" s="121"/>
      <c r="F1163" s="86"/>
      <c r="G1163" s="86"/>
      <c r="H1163" s="62"/>
      <c r="I1163" s="121"/>
      <c r="J1163" s="121"/>
      <c r="K1163" s="124"/>
      <c r="L1163" s="62"/>
      <c r="M1163" s="62"/>
      <c r="N1163" s="65"/>
      <c r="O1163" s="86"/>
      <c r="P1163" s="121"/>
      <c r="Q1163" s="121"/>
      <c r="R1163" s="86"/>
      <c r="S1163" s="86"/>
      <c r="T1163" s="62"/>
      <c r="U1163" s="121"/>
      <c r="V1163" s="121"/>
      <c r="W1163" s="124"/>
      <c r="X1163" s="62"/>
      <c r="Y1163" s="62"/>
      <c r="Z1163" s="65"/>
      <c r="AA1163" s="86"/>
      <c r="AB1163" s="121"/>
      <c r="AC1163" s="121"/>
      <c r="AD1163" s="86"/>
      <c r="AE1163" s="86"/>
      <c r="AF1163" s="62"/>
      <c r="AG1163" s="121"/>
      <c r="AH1163" s="121"/>
      <c r="AI1163" s="124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4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4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4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1"/>
      <c r="E1219" s="121"/>
      <c r="F1219" s="86"/>
      <c r="G1219" s="86"/>
      <c r="H1219" s="62"/>
      <c r="I1219" s="121"/>
      <c r="J1219" s="121"/>
      <c r="K1219" s="124"/>
      <c r="L1219" s="62"/>
      <c r="M1219" s="62"/>
      <c r="N1219" s="65"/>
      <c r="O1219" s="86"/>
      <c r="P1219" s="121"/>
      <c r="Q1219" s="121"/>
      <c r="R1219" s="86"/>
      <c r="S1219" s="86"/>
      <c r="T1219" s="62"/>
      <c r="U1219" s="121"/>
      <c r="V1219" s="121"/>
      <c r="W1219" s="124"/>
      <c r="X1219" s="62"/>
      <c r="Y1219" s="62"/>
      <c r="Z1219" s="65"/>
      <c r="AA1219" s="86"/>
      <c r="AB1219" s="121"/>
      <c r="AC1219" s="121"/>
      <c r="AD1219" s="86"/>
      <c r="AE1219" s="86"/>
      <c r="AF1219" s="62"/>
      <c r="AG1219" s="121"/>
      <c r="AH1219" s="121"/>
      <c r="AI1219" s="124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4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4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4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1"/>
      <c r="E1281" s="121"/>
      <c r="F1281" s="86"/>
      <c r="G1281" s="86"/>
      <c r="H1281" s="62"/>
      <c r="I1281" s="121"/>
      <c r="J1281" s="121"/>
      <c r="K1281" s="124"/>
      <c r="L1281" s="62"/>
      <c r="M1281" s="62"/>
      <c r="N1281" s="65"/>
      <c r="O1281" s="86"/>
      <c r="P1281" s="121"/>
      <c r="Q1281" s="121"/>
      <c r="R1281" s="86"/>
      <c r="S1281" s="86"/>
      <c r="T1281" s="62"/>
      <c r="U1281" s="121"/>
      <c r="V1281" s="121"/>
      <c r="W1281" s="124"/>
      <c r="X1281" s="62"/>
      <c r="Y1281" s="62"/>
      <c r="Z1281" s="65"/>
      <c r="AA1281" s="86"/>
      <c r="AB1281" s="121"/>
      <c r="AC1281" s="121"/>
      <c r="AD1281" s="86"/>
      <c r="AE1281" s="86"/>
      <c r="AF1281" s="62"/>
      <c r="AG1281" s="121"/>
      <c r="AH1281" s="121"/>
      <c r="AI1281" s="124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4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4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4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2">
    <mergeCell ref="D946:E946"/>
    <mergeCell ref="AB1001:AC1001"/>
    <mergeCell ref="AG1001:AH1001"/>
    <mergeCell ref="AI1001:AI1002"/>
    <mergeCell ref="AI891:AI892"/>
    <mergeCell ref="AG891:AH891"/>
    <mergeCell ref="AB891:AC891"/>
    <mergeCell ref="AI943:AI944"/>
    <mergeCell ref="AG943:AH943"/>
    <mergeCell ref="AB943:AC943"/>
    <mergeCell ref="K836:K837"/>
    <mergeCell ref="P836:Q836"/>
    <mergeCell ref="U836:V836"/>
    <mergeCell ref="W836:W837"/>
    <mergeCell ref="K891:K892"/>
    <mergeCell ref="W891:W892"/>
    <mergeCell ref="U891:V891"/>
    <mergeCell ref="P891:Q891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46:W947"/>
    <mergeCell ref="U946:V946"/>
    <mergeCell ref="P946:Q946"/>
    <mergeCell ref="W1001:W1002"/>
    <mergeCell ref="U1001:V1001"/>
    <mergeCell ref="P1001:Q1001"/>
    <mergeCell ref="AI781:AI782"/>
    <mergeCell ref="I560:J560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I670:J670"/>
    <mergeCell ref="K725:K726"/>
    <mergeCell ref="I725:J725"/>
    <mergeCell ref="AG670:AH670"/>
    <mergeCell ref="AB670:AC670"/>
    <mergeCell ref="K670:K671"/>
    <mergeCell ref="AB781:AC781"/>
    <mergeCell ref="AG781:AH781"/>
    <mergeCell ref="AI450:AI451"/>
    <mergeCell ref="AG450:AH450"/>
    <mergeCell ref="AB450:AC450"/>
    <mergeCell ref="AI615:AI616"/>
    <mergeCell ref="AG615:AH615"/>
    <mergeCell ref="AB615:AC615"/>
    <mergeCell ref="AG560:AH560"/>
    <mergeCell ref="AB560:AC560"/>
    <mergeCell ref="K615:K616"/>
    <mergeCell ref="K560:K561"/>
    <mergeCell ref="P615:Q615"/>
    <mergeCell ref="K450:K451"/>
    <mergeCell ref="K505:K506"/>
    <mergeCell ref="AI505:AI506"/>
    <mergeCell ref="W615:W616"/>
    <mergeCell ref="U615:V615"/>
    <mergeCell ref="AI560:AI56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D836:E836"/>
    <mergeCell ref="K1001:K1002"/>
    <mergeCell ref="I1001:J1001"/>
    <mergeCell ref="D1001:E1001"/>
    <mergeCell ref="D891:E891"/>
    <mergeCell ref="I891:J891"/>
    <mergeCell ref="K946:K947"/>
    <mergeCell ref="I946:J946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W450:W451"/>
    <mergeCell ref="W505:W506"/>
    <mergeCell ref="D450:E450"/>
    <mergeCell ref="D505:E505"/>
    <mergeCell ref="D670:E670"/>
    <mergeCell ref="W670:W671"/>
    <mergeCell ref="U670:V670"/>
    <mergeCell ref="AI1281:AI1282"/>
    <mergeCell ref="AG1281:AH1281"/>
    <mergeCell ref="AB1281:AC1281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U120:V120"/>
    <mergeCell ref="I836:J836"/>
    <mergeCell ref="I615:J615"/>
    <mergeCell ref="D615:E615"/>
    <mergeCell ref="D725:E725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I505:J505"/>
    <mergeCell ref="I450:J450"/>
    <mergeCell ref="D395:E395"/>
    <mergeCell ref="W340:W341"/>
    <mergeCell ref="I340:J340"/>
    <mergeCell ref="D340:E340"/>
    <mergeCell ref="D781:E781"/>
    <mergeCell ref="I781:J781"/>
  </mergeCells>
  <phoneticPr fontId="11" type="noConversion"/>
  <pageMargins left="0.7" right="0.7" top="0.75" bottom="0.75" header="0.3" footer="0.3"/>
  <pageSetup paperSize="9" scale="19" orientation="portrait" horizontalDpi="0" verticalDpi="0" r:id="rId1"/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2026-05-21T00:48:26Z</cp:lastPrinted>
  <dcterms:created xsi:type="dcterms:W3CDTF">2024-09-23T07:17:57Z</dcterms:created>
  <dcterms:modified xsi:type="dcterms:W3CDTF">2026-05-25T01:33:14Z</dcterms:modified>
</cp:coreProperties>
</file>