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EEC0B6FA-7364-4E5B-95CC-1EAFAB2BD257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<sst xmlns="http://schemas.openxmlformats.org/spreadsheetml/2006/main" count="257" uniqueCount="82">
  <si>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</si>
  <si>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</si>
  <si>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</si>
  <si>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</si>
  <si>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</si>
  <si>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</si>
  <si>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</si>
  <si>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</si>
  <si>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</si>
  <si>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</si>
  <si>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</si>
  <si>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</si>
  <si>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</si>
  <si>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</si>
  <si>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</si>
  <si>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</si>
  <si>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</si>
  <si>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</si>
  <si>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</si>
  <si>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</si>
  <si>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</si>
  <si>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</si>
  <si>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</si>
  <si>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</si>
  <si>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</si>
  <si>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</si>
  <si>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</si>
  <si>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</si>
  <si>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</si>
  <si>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</si>
  <si>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</si>
  <si>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</si>
  <si>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</si>
  <si>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</si>
  <si>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</si>
  <si>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</si>
  <si>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</si>
  <si>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</si>
  <si>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</si>
  <si>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</si>
  <si>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</si>
  <si>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</si>
  <si>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</si>
  <si>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</si>
  <si>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</si>
  <si>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</si>
  <si>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</si>
  <si>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</si>
  <si>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</si>
  <si>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</si>
  <si>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</si>
  <si>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</si>
  <si>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</si>
  <si>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</si>
  <si>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</si>
  <si>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</si>
  <si>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</si>
  <si>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</si>
  <si>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</si>
  <si>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</si>
  <si>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</si>
  <si>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</si>
  <si>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</si>
  <si>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</si>
  <si>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</si>
  <si>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</si>
  <si>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</si>
  <si>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</si>
  <si>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</si>
  <si>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</si>
  <si>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</si>
  <si>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</si>
  <si>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</si>
  <si>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</si>
  <si>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</si>
  <si>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</si>
  <si>
    <t>05/16/2026</t>
  </si>
  <si>
    <t>05/18/2026</t>
  </si>
  <si>
    <t>05/19/2026</t>
  </si>
  <si>
    <t>05/20/2026</t>
  </si>
  <si>
    <t>05/21/2026</t>
  </si>
  <si>
    <t>05/23/2026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</si>
</sst>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3" sqref="C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518642084</v>
      </c>
      <c r="H7" s="20" t="s">
        <v>74</v>
      </c>
      <c r="I7" s="21">
        <f>1261704-123701.1</f>
        <v>1138002.8999999999</v>
      </c>
      <c r="K7" s="21">
        <f>M7*12</f>
        <v>121928.88214285714</v>
      </c>
      <c r="L7" s="27">
        <f>I7-K7</f>
        <v>1016074.0178571427</v>
      </c>
      <c r="M7" s="33">
        <f>I7/112</f>
        <v>10160.740178571428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51864</v>
      </c>
      <c r="H8" s="20" t="s">
        <v>74</v>
      </c>
      <c r="I8" s="21">
        <f>1397196-60845.09</f>
        <v>1336350.9099999999</v>
      </c>
      <c r="K8" s="21">
        <f>M8*12</f>
        <v>143180.45464285713</v>
      </c>
      <c r="L8" s="27">
        <f>I8-K8</f>
        <v>1193170.4553571427</v>
      </c>
      <c r="M8" s="33">
        <f t="shared" ref="M8:M26" si="0">I8/112</f>
        <v>11931.704553571428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518652028</v>
      </c>
      <c r="H9" s="20" t="s">
        <v>74</v>
      </c>
      <c r="I9" s="21">
        <f>1397196-30845.04</f>
        <v>1366350.96</v>
      </c>
      <c r="K9" s="21">
        <f t="shared" ref="K9:K26" si="2">M9*12</f>
        <v>146394.7457142857</v>
      </c>
      <c r="L9" s="27">
        <f t="shared" ref="L9:L26" si="3">I9-K9</f>
        <v>1219956.2142857143</v>
      </c>
      <c r="M9" s="33">
        <f t="shared" si="0"/>
        <v>12199.562142857143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518655849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518659757</v>
      </c>
      <c r="H11" s="20" t="s">
        <v>74</v>
      </c>
      <c r="I11" s="21">
        <f>1397196-70830.93</f>
        <v>1326365.07</v>
      </c>
      <c r="K11" s="21">
        <f t="shared" si="2"/>
        <v>142110.54321428572</v>
      </c>
      <c r="L11" s="27">
        <f t="shared" si="3"/>
        <v>1184254.5267857143</v>
      </c>
      <c r="M11" s="33">
        <f t="shared" si="0"/>
        <v>11842.545267857144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81</v>
      </c>
      <c r="D12" s="20" t="s">
        <v>68</v>
      </c>
      <c r="E12" s="20"/>
      <c r="F12" s="20" t="s">
        <v>70</v>
      </c>
      <c r="G12" s="20">
        <v>518667896</v>
      </c>
      <c r="H12" s="20" t="s">
        <v>74</v>
      </c>
      <c r="I12" s="21">
        <f>1397196-60845.04</f>
        <v>1336350.96</v>
      </c>
      <c r="K12" s="21">
        <f t="shared" si="2"/>
        <v>143180.46</v>
      </c>
      <c r="L12" s="27">
        <f t="shared" si="3"/>
        <v>1193170.5</v>
      </c>
      <c r="M12" s="33">
        <f t="shared" si="0"/>
        <v>11931.705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7839771.7599999998</v>
      </c>
      <c r="J32" s="47"/>
      <c r="K32" s="46">
        <f>SUM(K7:K31)</f>
        <v>839975.54571428569</v>
      </c>
      <c r="L32" s="46">
        <f>SUM(L7:L31)</f>
        <v>6999796.2142857146</v>
      </c>
      <c r="M32" s="48">
        <f>SUM(M7:M31)</f>
        <v>69997.962142857141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2026-05-25T03:22:09Z</dcterms:modified>
</cp:coreProperties>
</file>