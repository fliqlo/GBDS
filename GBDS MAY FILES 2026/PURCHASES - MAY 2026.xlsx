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A80E499A-27F2-43A6-A163-483F64EAAD50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Y" sheetId="6" r:id="rId2"/>
  </sheets>
  <definedNames>
    <definedName name="_xlnm.Print_Area" localSheetId="1">'PE, MAY'!#REF!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<sst xmlns="http://schemas.openxmlformats.org/spreadsheetml/2006/main" count="252" uniqueCount="77">
  <si>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</si>
  <si>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</si>
  <si>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</si>
  <si>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</si>
  <si>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</si>
  <si>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</si>
  <si>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</si>
  <si>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</si>
  <si>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</si>
  <si>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</si>
  <si>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</si>
  <si>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</si>
  <si>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</si>
  <si>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</si>
  <si>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</si>
  <si>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</si>
  <si>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</si>
  <si>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</si>
  <si>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</si>
  <si>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</si>
  <si>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</si>
  <si>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</si>
  <si>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</si>
  <si>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</si>
  <si>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</si>
  <si>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</si>
  <si>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</si>
  <si>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</si>
  <si>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</si>
  <si>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</si>
  <si>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</si>
  <si>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</si>
  <si>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</si>
  <si>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</si>
  <si>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</si>
  <si>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</si>
  <si>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</si>
  <si>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</si>
  <si>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</si>
  <si>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</si>
  <si>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</si>
  <si>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</si>
  <si>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</si>
  <si>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</si>
  <si>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</si>
  <si>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</si>
  <si>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</si>
  <si>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</si>
  <si>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</si>
  <si>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</si>
  <si>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</si>
  <si>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</si>
  <si>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</si>
  <si>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</si>
  <si>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</si>
  <si>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</si>
  <si>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</si>
  <si>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</si>
  <si>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</si>
  <si>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</si>
  <si>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</si>
  <si>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</si>
  <si>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</si>
  <si>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</si>
  <si>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</si>
  <si>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</si>
  <si>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</si>
  <si>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</si>
  <si>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</si>
  <si>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</si>
  <si>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</si>
  <si>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</si>
  <si>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</si>
  <si>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</si>
  <si>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</si>
  <si>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MAY 2026</t>
  </si>
  <si>
    <t>05/16/2026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</si>
</sst>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8" sqref="I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518642084</v>
      </c>
      <c r="H7" s="20" t="s">
        <v>74</v>
      </c>
      <c r="I7" s="21">
        <f>1261704-123701.1</f>
        <v>1138002.8999999999</v>
      </c>
      <c r="K7" s="21">
        <f>M7*12</f>
        <v>121928.88214285714</v>
      </c>
      <c r="L7" s="27">
        <f>I7-K7</f>
        <v>1016074.0178571427</v>
      </c>
      <c r="M7" s="33">
        <f>I7/112</f>
        <v>10160.740178571428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K8" s="21">
        <f>M8*12</f>
        <v>0</v>
      </c>
      <c r="L8" s="27">
        <f>I8-K8</f>
        <v>0</v>
      </c>
      <c r="M8" s="33">
        <f t="shared" ref="M8:M26" si="0">I8/112</f>
        <v>0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1138002.8999999999</v>
      </c>
      <c r="J32" s="47"/>
      <c r="K32" s="46">
        <f>SUM(K7:K31)</f>
        <v>121928.88214285714</v>
      </c>
      <c r="L32" s="46">
        <f>SUM(L7:L31)</f>
        <v>1016074.0178571427</v>
      </c>
      <c r="M32" s="48">
        <f>SUM(M7:M31)</f>
        <v>10160.740178571428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2026-05-16T05:24:03Z</dcterms:modified>
</cp:coreProperties>
</file>