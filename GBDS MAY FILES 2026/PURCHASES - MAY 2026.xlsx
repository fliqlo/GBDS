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8E7CDBFD-90F1-4A59-B18F-01807A03E130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MAY" sheetId="6" r:id="rId2"/>
  </sheets>
  <definedNames>
    <definedName name="_xlnm.Print_Area" localSheetId="1">'PE, MAY'!#REF!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2" i="6" l="1"/>
  <c r="I21" i="6"/>
  <c r="I20" i="6"/>
  <c r="I19" i="6" l="1"/>
  <c r="I18" i="6" l="1"/>
  <c r="I17" i="6" l="1"/>
  <c r="I16" i="6" l="1"/>
  <c r="I15" i="6" l="1"/>
  <c r="I14" i="6" l="1"/>
  <c r="G14" i="6"/>
  <c r="I13" i="6" l="1"/>
  <c r="I12" i="6" l="1"/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<sst xmlns="http://schemas.openxmlformats.org/spreadsheetml/2006/main" count="267" uniqueCount="89">
  <si>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</si>
  <si>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</si>
  <si>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</si>
  <si>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</si>
  <si>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</si>
  <si>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</si>
  <si>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</si>
  <si>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</si>
  <si>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</si>
  <si>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</si>
  <si>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</si>
  <si>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</si>
  <si>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</si>
  <si>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</si>
  <si>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</si>
  <si>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</si>
  <si>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</si>
  <si>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</si>
  <si>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</si>
  <si>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</si>
  <si>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</si>
  <si>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</si>
  <si>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</si>
  <si>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</si>
  <si>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</si>
  <si>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</si>
  <si>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</si>
  <si>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</si>
  <si>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</si>
  <si>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</si>
  <si>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</si>
  <si>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</si>
  <si>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</si>
  <si>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</si>
  <si>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</si>
  <si>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</si>
  <si>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</si>
  <si>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</si>
  <si>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</si>
  <si>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</si>
  <si>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</si>
  <si>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</si>
  <si>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</si>
  <si>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</si>
  <si>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</si>
  <si>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</si>
  <si>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</si>
  <si>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</si>
  <si>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</si>
  <si>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</si>
  <si>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</si>
  <si>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</si>
  <si>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</si>
  <si>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</si>
  <si>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</si>
  <si>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</si>
  <si>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</si>
  <si>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</si>
  <si>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</si>
  <si>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</si>
  <si>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</si>
  <si>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</si>
  <si>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</si>
  <si>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</si>
  <si>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</si>
  <si>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</si>
  <si>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</si>
  <si>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</si>
  <si>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</si>
  <si>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</si>
  <si>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</si>
  <si>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</si>
  <si>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</si>
  <si>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</si>
  <si>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</si>
  <si>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MAY 2026</t>
  </si>
  <si>
    <t>05/16/2026</t>
  </si>
  <si>
    <t>05/18/2026</t>
  </si>
  <si>
    <t>05/19/2026</t>
  </si>
  <si>
    <t>05/20/2026</t>
  </si>
  <si>
    <t>05/21/2026</t>
  </si>
  <si>
    <t>05/23/2026</t>
  </si>
  <si>
    <t>05/25/2026</t>
  </si>
  <si>
    <t>05/26/2026</t>
  </si>
  <si>
    <t>05/27/2026</t>
  </si>
  <si>
    <t>05/28/2026</t>
  </si>
  <si>
    <t>05/29/2026</t>
  </si>
  <si>
    <t>05/30/2026</t>
  </si>
  <si>
    <t>05/31/2026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</si>
</sst>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9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0" fontId="0" fillId="5" borderId="0" xfId="0" applyFill="1"/>
    <xf numFmtId="164" fontId="9" fillId="5" borderId="0" xfId="0" applyNumberFormat="1" applyFont="1" applyFill="1" applyProtection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topLeftCell="A7" zoomScaleNormal="100" workbookViewId="0">
      <selection activeCell="C23" sqref="C23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9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6" customWidth="1"/>
    <col min="14" max="14" width="13.140625" bestFit="1" customWidth="1"/>
    <col min="15" max="15" width="11.28515625" bestFit="1" customWidth="1"/>
  </cols>
  <sheetData>
    <row r="1" spans="1:15" x14ac:dyDescent="0.25">
      <c r="C1" s="41" t="s">
        <v>67</v>
      </c>
      <c r="D1" s="42"/>
      <c r="E1" s="42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43" t="s">
        <v>1</v>
      </c>
      <c r="D3" s="44"/>
      <c r="E3" s="44"/>
      <c r="F3" s="45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518642084</v>
      </c>
      <c r="H7" s="20" t="s">
        <v>74</v>
      </c>
      <c r="I7" s="21">
        <f>1261704-123701.1</f>
        <v>1138002.8999999999</v>
      </c>
      <c r="K7" s="21">
        <f>M7*12</f>
        <v>121928.88214285714</v>
      </c>
      <c r="L7" s="27">
        <f>I7-K7</f>
        <v>1016074.0178571427</v>
      </c>
      <c r="M7" s="33">
        <f>I7/112</f>
        <v>10160.740178571428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518648050</v>
      </c>
      <c r="H8" s="20" t="s">
        <v>74</v>
      </c>
      <c r="I8" s="21">
        <f>1397196-60845.09</f>
        <v>1336350.9099999999</v>
      </c>
      <c r="K8" s="21">
        <f>M8*12</f>
        <v>143180.45464285713</v>
      </c>
      <c r="L8" s="27">
        <f>I8-K8</f>
        <v>1193170.4553571427</v>
      </c>
      <c r="M8" s="33">
        <f t="shared" ref="M8:M26" si="0">I8/112</f>
        <v>11931.704553571428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78</v>
      </c>
      <c r="D9" s="20" t="s">
        <v>68</v>
      </c>
      <c r="E9" s="20"/>
      <c r="F9" s="20" t="s">
        <v>70</v>
      </c>
      <c r="G9" s="20">
        <v>518652028</v>
      </c>
      <c r="H9" s="20" t="s">
        <v>74</v>
      </c>
      <c r="I9" s="21">
        <f>1397196-30845.04</f>
        <v>1366350.96</v>
      </c>
      <c r="K9" s="21">
        <f t="shared" ref="K9:K26" si="2">M9*12</f>
        <v>146394.7457142857</v>
      </c>
      <c r="L9" s="27">
        <f t="shared" ref="L9:L26" si="3">I9-K9</f>
        <v>1219956.2142857143</v>
      </c>
      <c r="M9" s="33">
        <f t="shared" si="0"/>
        <v>12199.562142857143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79</v>
      </c>
      <c r="D10" s="20" t="s">
        <v>68</v>
      </c>
      <c r="E10" s="20"/>
      <c r="F10" s="20" t="s">
        <v>70</v>
      </c>
      <c r="G10" s="20">
        <v>518655849</v>
      </c>
      <c r="H10" s="20" t="s">
        <v>74</v>
      </c>
      <c r="I10" s="21">
        <f>1397196-60845.04</f>
        <v>1336350.96</v>
      </c>
      <c r="K10" s="21">
        <f t="shared" si="2"/>
        <v>143180.46</v>
      </c>
      <c r="L10" s="27">
        <f t="shared" si="3"/>
        <v>1193170.5</v>
      </c>
      <c r="M10" s="33">
        <f t="shared" si="0"/>
        <v>11931.705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80</v>
      </c>
      <c r="D11" s="20" t="s">
        <v>68</v>
      </c>
      <c r="E11" s="20"/>
      <c r="F11" s="20" t="s">
        <v>70</v>
      </c>
      <c r="G11" s="20">
        <v>518659757</v>
      </c>
      <c r="H11" s="20" t="s">
        <v>74</v>
      </c>
      <c r="I11" s="21">
        <f>1397196-70830.93</f>
        <v>1326365.07</v>
      </c>
      <c r="K11" s="21">
        <f t="shared" si="2"/>
        <v>142110.54321428572</v>
      </c>
      <c r="L11" s="27">
        <f t="shared" si="3"/>
        <v>1184254.5267857143</v>
      </c>
      <c r="M11" s="33">
        <f t="shared" si="0"/>
        <v>11842.545267857144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81</v>
      </c>
      <c r="D12" s="20" t="s">
        <v>68</v>
      </c>
      <c r="E12" s="20"/>
      <c r="F12" s="20" t="s">
        <v>70</v>
      </c>
      <c r="G12" s="20">
        <v>518667896</v>
      </c>
      <c r="H12" s="20" t="s">
        <v>74</v>
      </c>
      <c r="I12" s="21">
        <f>1397196-60845.04</f>
        <v>1336350.96</v>
      </c>
      <c r="K12" s="21">
        <f t="shared" si="2"/>
        <v>143180.46</v>
      </c>
      <c r="L12" s="27">
        <f t="shared" si="3"/>
        <v>1193170.5</v>
      </c>
      <c r="M12" s="33">
        <f t="shared" si="0"/>
        <v>11931.705</v>
      </c>
    </row>
    <row r="13" spans="1:15" x14ac:dyDescent="0.25">
      <c r="A13">
        <f t="shared" si="1"/>
        <v>7</v>
      </c>
      <c r="B13" s="23">
        <f t="shared" si="1"/>
        <v>7</v>
      </c>
      <c r="C13" s="19" t="s">
        <v>82</v>
      </c>
      <c r="D13" s="20" t="s">
        <v>68</v>
      </c>
      <c r="E13" s="20"/>
      <c r="F13" s="20" t="s">
        <v>70</v>
      </c>
      <c r="G13" s="20">
        <v>518670633</v>
      </c>
      <c r="H13" s="20" t="s">
        <v>74</v>
      </c>
      <c r="I13" s="21">
        <f>1397196-60845.04</f>
        <v>1336350.96</v>
      </c>
      <c r="K13" s="21">
        <f t="shared" si="2"/>
        <v>143180.46</v>
      </c>
      <c r="L13" s="27">
        <f>I13-K13</f>
        <v>1193170.5</v>
      </c>
      <c r="M13" s="33">
        <f>I13/112</f>
        <v>11931.705</v>
      </c>
    </row>
    <row r="14" spans="1:15" x14ac:dyDescent="0.25">
      <c r="A14">
        <f t="shared" si="1"/>
        <v>8</v>
      </c>
      <c r="B14" s="23">
        <f t="shared" si="1"/>
        <v>8</v>
      </c>
      <c r="C14" s="19" t="s">
        <v>83</v>
      </c>
      <c r="D14" s="20" t="s">
        <v>68</v>
      </c>
      <c r="E14" s="20"/>
      <c r="F14" s="20" t="s">
        <v>70</v>
      </c>
      <c r="G14" s="20">
        <f>518675113</f>
        <v>518675113</v>
      </c>
      <c r="H14" s="20" t="s">
        <v>74</v>
      </c>
      <c r="I14" s="37">
        <f>1397196-60845.04</f>
        <v>1336350.96</v>
      </c>
      <c r="K14" s="21">
        <f t="shared" si="2"/>
        <v>143180.46</v>
      </c>
      <c r="L14" s="27">
        <f t="shared" si="3"/>
        <v>1193170.5</v>
      </c>
      <c r="M14" s="33">
        <f t="shared" si="0"/>
        <v>11931.705</v>
      </c>
    </row>
    <row r="15" spans="1:15" x14ac:dyDescent="0.25">
      <c r="A15">
        <f t="shared" si="1"/>
        <v>9</v>
      </c>
      <c r="B15" s="23">
        <f t="shared" si="1"/>
        <v>9</v>
      </c>
      <c r="C15" s="19" t="s">
        <v>84</v>
      </c>
      <c r="D15" s="20" t="s">
        <v>68</v>
      </c>
      <c r="E15" s="20"/>
      <c r="F15" s="20" t="s">
        <v>70</v>
      </c>
      <c r="G15" s="20">
        <v>518679022</v>
      </c>
      <c r="H15" s="20" t="s">
        <v>74</v>
      </c>
      <c r="I15" s="21">
        <f>1350920-57135.71</f>
        <v>1293784.29</v>
      </c>
      <c r="K15" s="21">
        <f t="shared" si="2"/>
        <v>138619.74535714288</v>
      </c>
      <c r="L15" s="27">
        <f>I15-K15</f>
        <v>1155164.5446428573</v>
      </c>
      <c r="M15" s="33">
        <f>I15/112</f>
        <v>11551.645446428573</v>
      </c>
    </row>
    <row r="16" spans="1:15" x14ac:dyDescent="0.25">
      <c r="A16">
        <f t="shared" si="1"/>
        <v>10</v>
      </c>
      <c r="B16" s="23">
        <f t="shared" si="1"/>
        <v>10</v>
      </c>
      <c r="C16" s="19" t="s">
        <v>85</v>
      </c>
      <c r="D16" s="20" t="s">
        <v>68</v>
      </c>
      <c r="E16" s="20"/>
      <c r="F16" s="20" t="s">
        <v>70</v>
      </c>
      <c r="G16" s="20">
        <v>518682681</v>
      </c>
      <c r="H16" s="20" t="s">
        <v>74</v>
      </c>
      <c r="I16" s="21">
        <f>1397196-60845.04</f>
        <v>1336350.96</v>
      </c>
      <c r="K16" s="21">
        <f t="shared" si="2"/>
        <v>143180.46</v>
      </c>
      <c r="L16" s="27">
        <f t="shared" si="3"/>
        <v>1193170.5</v>
      </c>
      <c r="M16" s="33">
        <f t="shared" si="0"/>
        <v>11931.705</v>
      </c>
    </row>
    <row r="17" spans="1:13" x14ac:dyDescent="0.25">
      <c r="A17">
        <f t="shared" si="1"/>
        <v>11</v>
      </c>
      <c r="B17" s="23">
        <f t="shared" si="1"/>
        <v>11</v>
      </c>
      <c r="C17" s="19" t="s">
        <v>86</v>
      </c>
      <c r="D17" s="20" t="s">
        <v>68</v>
      </c>
      <c r="E17" s="20"/>
      <c r="F17" s="20" t="s">
        <v>70</v>
      </c>
      <c r="G17" s="20">
        <v>518686700</v>
      </c>
      <c r="H17" s="20" t="s">
        <v>74</v>
      </c>
      <c r="I17" s="21">
        <f>1397196-81220.75</f>
        <v>1315975.25</v>
      </c>
      <c r="K17" s="21">
        <f t="shared" si="2"/>
        <v>140997.34821428571</v>
      </c>
      <c r="L17" s="27">
        <f t="shared" si="3"/>
        <v>1174977.9017857143</v>
      </c>
      <c r="M17" s="33">
        <f t="shared" si="0"/>
        <v>11749.779017857143</v>
      </c>
    </row>
    <row r="18" spans="1:13" x14ac:dyDescent="0.25">
      <c r="A18">
        <f t="shared" si="1"/>
        <v>12</v>
      </c>
      <c r="B18" s="23">
        <f t="shared" si="1"/>
        <v>12</v>
      </c>
      <c r="C18" s="19" t="s">
        <v>87</v>
      </c>
      <c r="D18" s="20" t="s">
        <v>68</v>
      </c>
      <c r="E18" s="20"/>
      <c r="F18" s="20" t="s">
        <v>70</v>
      </c>
      <c r="G18" s="20">
        <v>518691204</v>
      </c>
      <c r="H18" s="20" t="s">
        <v>74</v>
      </c>
      <c r="I18" s="21">
        <f>1397196-60845.04</f>
        <v>1336350.96</v>
      </c>
      <c r="K18" s="21">
        <f t="shared" si="2"/>
        <v>143180.46</v>
      </c>
      <c r="L18" s="27">
        <f t="shared" si="3"/>
        <v>1193170.5</v>
      </c>
      <c r="M18" s="33">
        <f t="shared" si="0"/>
        <v>11931.705</v>
      </c>
    </row>
    <row r="19" spans="1:13" x14ac:dyDescent="0.25">
      <c r="A19">
        <f t="shared" si="1"/>
        <v>13</v>
      </c>
      <c r="B19" s="23">
        <f t="shared" si="1"/>
        <v>13</v>
      </c>
      <c r="C19" s="19" t="s">
        <v>87</v>
      </c>
      <c r="D19" s="20" t="s">
        <v>68</v>
      </c>
      <c r="E19" s="20"/>
      <c r="F19" s="20" t="s">
        <v>70</v>
      </c>
      <c r="G19" s="20">
        <v>518690654</v>
      </c>
      <c r="H19" s="20" t="s">
        <v>74</v>
      </c>
      <c r="I19" s="21">
        <f>1397196-60845.04</f>
        <v>1336350.96</v>
      </c>
      <c r="K19" s="21">
        <f t="shared" si="2"/>
        <v>143180.46</v>
      </c>
      <c r="L19" s="27">
        <f t="shared" si="3"/>
        <v>1193170.5</v>
      </c>
      <c r="M19" s="33">
        <f t="shared" si="0"/>
        <v>11931.705</v>
      </c>
    </row>
    <row r="20" spans="1:13" x14ac:dyDescent="0.25">
      <c r="A20">
        <f t="shared" si="1"/>
        <v>14</v>
      </c>
      <c r="B20" s="23">
        <f t="shared" si="1"/>
        <v>14</v>
      </c>
      <c r="C20" s="19" t="s">
        <v>88</v>
      </c>
      <c r="D20" s="20" t="s">
        <v>68</v>
      </c>
      <c r="E20" s="20"/>
      <c r="F20" s="20" t="s">
        <v>70</v>
      </c>
      <c r="G20" s="20">
        <v>518693847</v>
      </c>
      <c r="H20" s="20" t="s">
        <v>74</v>
      </c>
      <c r="I20" s="21">
        <f>1442734-62199.45</f>
        <v>1380534.55</v>
      </c>
      <c r="K20" s="21">
        <f t="shared" si="2"/>
        <v>147914.41607142857</v>
      </c>
      <c r="L20" s="27">
        <f t="shared" si="3"/>
        <v>1232620.1339285714</v>
      </c>
      <c r="M20" s="33">
        <f t="shared" si="0"/>
        <v>12326.201339285715</v>
      </c>
    </row>
    <row r="21" spans="1:13" x14ac:dyDescent="0.25">
      <c r="A21">
        <f t="shared" si="1"/>
        <v>15</v>
      </c>
      <c r="B21" s="23">
        <f t="shared" si="1"/>
        <v>15</v>
      </c>
      <c r="C21" s="19" t="s">
        <v>88</v>
      </c>
      <c r="D21" s="20" t="s">
        <v>68</v>
      </c>
      <c r="E21" s="20"/>
      <c r="F21" s="20" t="s">
        <v>70</v>
      </c>
      <c r="G21" s="20">
        <v>518693763</v>
      </c>
      <c r="H21" s="20" t="s">
        <v>74</v>
      </c>
      <c r="I21" s="21">
        <f>1397196-60845.04</f>
        <v>1336350.96</v>
      </c>
      <c r="K21" s="21">
        <f t="shared" si="2"/>
        <v>143180.46</v>
      </c>
      <c r="L21" s="27">
        <f t="shared" si="3"/>
        <v>1193170.5</v>
      </c>
      <c r="M21" s="33">
        <f t="shared" si="0"/>
        <v>11931.705</v>
      </c>
    </row>
    <row r="22" spans="1:13" x14ac:dyDescent="0.25">
      <c r="A22">
        <f t="shared" si="1"/>
        <v>16</v>
      </c>
      <c r="B22" s="23">
        <f t="shared" si="1"/>
        <v>16</v>
      </c>
      <c r="C22" s="19" t="s">
        <v>88</v>
      </c>
      <c r="D22" s="20" t="s">
        <v>68</v>
      </c>
      <c r="E22" s="20"/>
      <c r="F22" s="20" t="s">
        <v>70</v>
      </c>
      <c r="G22" s="20">
        <v>518693766</v>
      </c>
      <c r="H22" s="20" t="s">
        <v>74</v>
      </c>
      <c r="I22" s="21">
        <f>1643760-71582.4</f>
        <v>1572177.6</v>
      </c>
      <c r="K22" s="21">
        <f t="shared" si="2"/>
        <v>168447.6</v>
      </c>
      <c r="L22" s="27">
        <f t="shared" si="3"/>
        <v>1403730</v>
      </c>
      <c r="M22" s="33">
        <f t="shared" si="0"/>
        <v>14037.300000000001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46">
        <f>SUM(I7:I31)</f>
        <v>21420349.210000005</v>
      </c>
      <c r="J32" s="47"/>
      <c r="K32" s="46">
        <f>SUM(K7:K31)</f>
        <v>2295037.4153571427</v>
      </c>
      <c r="L32" s="46">
        <f>SUM(L7:L31)</f>
        <v>19125311.794642858</v>
      </c>
      <c r="M32" s="48">
        <f>SUM(M7:M31)</f>
        <v>191253.11794642854</v>
      </c>
    </row>
    <row r="33" spans="1:13" x14ac:dyDescent="0.25">
      <c r="G33"/>
    </row>
    <row r="34" spans="1:13" x14ac:dyDescent="0.25">
      <c r="C34" s="41" t="s">
        <v>67</v>
      </c>
      <c r="D34" s="42"/>
      <c r="E34" s="42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43" t="s">
        <v>1</v>
      </c>
      <c r="D36" s="44"/>
      <c r="E36" s="44"/>
      <c r="F36" s="45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8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8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8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8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8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8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8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8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8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8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8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8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8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8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8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8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8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8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8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8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8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0"/>
      <c r="H64" s="23"/>
      <c r="I64" s="24"/>
      <c r="K64" s="23"/>
      <c r="L64" s="23"/>
      <c r="M64" s="35"/>
    </row>
    <row r="65" spans="9:13" x14ac:dyDescent="0.25">
      <c r="I65" s="46">
        <f>SUM(I40:I64)</f>
        <v>0</v>
      </c>
      <c r="J65" s="47"/>
      <c r="K65" s="46">
        <f>SUM(K40:K64)</f>
        <v>0</v>
      </c>
      <c r="L65" s="46">
        <f>SUM(L40:L64)</f>
        <v>0</v>
      </c>
      <c r="M65" s="48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MAY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2026-06-03T01:41:21Z</dcterms:modified>
</cp:coreProperties>
</file>