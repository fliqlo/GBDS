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8B40BD2-FAC1-449E-9FC5-5D62B68328D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I16" i="6" l="1"/>
  <c r="I15" i="6" l="1"/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<sst xmlns="http://schemas.openxmlformats.org/spreadsheetml/2006/main" count="262" uniqueCount="87">
  <si>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</si>
  <si>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</si>
  <si>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</si>
  <si>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</si>
  <si>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</si>
  <si>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</si>
  <si>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</si>
  <si>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</si>
  <si>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</si>
  <si>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</si>
  <si>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</si>
  <si>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</si>
  <si>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</si>
  <si>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</si>
  <si>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</si>
  <si>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</si>
  <si>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</si>
  <si>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</si>
  <si>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</si>
  <si>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</si>
  <si>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</si>
  <si>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</si>
  <si>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</si>
  <si>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</si>
  <si>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</si>
  <si>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</si>
  <si>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</si>
  <si>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</si>
  <si>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</si>
  <si>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</si>
  <si>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</si>
  <si>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</si>
  <si>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</si>
  <si>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</si>
  <si>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</si>
  <si>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</si>
  <si>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</si>
  <si>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</si>
  <si>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</si>
  <si>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</si>
  <si>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</si>
  <si>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</si>
  <si>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</si>
  <si>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</si>
  <si>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</si>
  <si>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</si>
  <si>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</si>
  <si>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</si>
  <si>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</si>
  <si>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</si>
  <si>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</si>
  <si>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</si>
  <si>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</si>
  <si>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</si>
  <si>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</si>
  <si>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</si>
  <si>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</si>
  <si>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</si>
  <si>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</si>
  <si>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</si>
  <si>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</si>
  <si>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</si>
  <si>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</si>
  <si>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</si>
  <si>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</si>
  <si>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</si>
  <si>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</si>
  <si>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</si>
  <si>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</si>
  <si>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</si>
  <si>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</si>
  <si>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</si>
  <si>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</si>
  <si>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</si>
  <si>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</si>
  <si>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</si>
  <si>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</si>
  <si>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</si>
  <si>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</si>
  <si>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</si>
  <si>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</si>
  <si>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</si>
  <si>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</si>
  <si>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</si>
  <si>
    <t>05/27/2026</t>
  </si>
  <si>
    <t>05/28/2026</t>
  </si>
  <si>
    <t>05/29/2026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</si>
</sst>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8" sqref="I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518648050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84</v>
      </c>
      <c r="D15" s="20" t="s">
        <v>68</v>
      </c>
      <c r="E15" s="20"/>
      <c r="F15" s="20" t="s">
        <v>70</v>
      </c>
      <c r="G15" s="20">
        <v>518679022</v>
      </c>
      <c r="H15" s="20" t="s">
        <v>74</v>
      </c>
      <c r="I15" s="21">
        <f>1350920-57135.71</f>
        <v>1293784.29</v>
      </c>
      <c r="K15" s="21">
        <f t="shared" si="2"/>
        <v>138619.74535714288</v>
      </c>
      <c r="L15" s="27">
        <f>I15-K15</f>
        <v>1155164.5446428573</v>
      </c>
      <c r="M15" s="33">
        <f>I15/112</f>
        <v>11551.645446428573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85</v>
      </c>
      <c r="D16" s="20" t="s">
        <v>68</v>
      </c>
      <c r="E16" s="20"/>
      <c r="F16" s="20" t="s">
        <v>70</v>
      </c>
      <c r="G16" s="20">
        <v>518682681</v>
      </c>
      <c r="H16" s="20" t="s">
        <v>74</v>
      </c>
      <c r="I16" s="21">
        <f>1397196-60845.04</f>
        <v>1336350.96</v>
      </c>
      <c r="K16" s="21">
        <f t="shared" si="2"/>
        <v>143180.46</v>
      </c>
      <c r="L16" s="27">
        <f t="shared" si="3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 t="s">
        <v>86</v>
      </c>
      <c r="D17" s="20" t="s">
        <v>68</v>
      </c>
      <c r="E17" s="20"/>
      <c r="F17" s="20" t="s">
        <v>70</v>
      </c>
      <c r="G17" s="20">
        <v>518686700</v>
      </c>
      <c r="H17" s="20" t="s">
        <v>74</v>
      </c>
      <c r="I17" s="21">
        <f>1397196-81220.75</f>
        <v>1315975.25</v>
      </c>
      <c r="K17" s="21">
        <f t="shared" si="2"/>
        <v>140997.34821428571</v>
      </c>
      <c r="L17" s="27">
        <f t="shared" si="3"/>
        <v>1174977.9017857143</v>
      </c>
      <c r="M17" s="33">
        <f t="shared" si="0"/>
        <v>11749.779017857143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14458584.18</v>
      </c>
      <c r="J32" s="47"/>
      <c r="K32" s="46">
        <f>SUM(K7:K31)</f>
        <v>1549134.019285714</v>
      </c>
      <c r="L32" s="46">
        <f>SUM(L7:L31)</f>
        <v>12909450.160714285</v>
      </c>
      <c r="M32" s="48">
        <f>SUM(M7:M31)</f>
        <v>129094.50160714287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2026-05-29T08:07:14Z</dcterms:modified>
</cp:coreProperties>
</file>