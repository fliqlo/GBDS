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7EF62C4-1137-4413-A17F-7832DF572CF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5" i="6" l="1"/>
  <c r="I14" i="6" l="1"/>
  <c r="G14" i="6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<sst xmlns="http://schemas.openxmlformats.org/spreadsheetml/2006/main" count="260" uniqueCount="85">
  <si>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</si>
  <si>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</si>
  <si>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</si>
  <si>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</si>
  <si>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</si>
  <si>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</si>
  <si>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</si>
  <si>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</si>
  <si>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</si>
  <si>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</si>
  <si>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</si>
  <si>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</si>
  <si>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</si>
  <si>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</si>
  <si>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</si>
  <si>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</si>
  <si>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</si>
  <si>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</si>
  <si>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</si>
  <si>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</si>
  <si>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</si>
  <si>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</si>
  <si>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</si>
  <si>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</si>
  <si>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</si>
  <si>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</si>
  <si>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</si>
  <si>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</si>
  <si>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</si>
  <si>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</si>
  <si>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</si>
  <si>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</si>
  <si>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</si>
  <si>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</si>
  <si>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</si>
  <si>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</si>
  <si>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</si>
  <si>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</si>
  <si>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</si>
  <si>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</si>
  <si>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</si>
  <si>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</si>
  <si>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</si>
  <si>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</si>
  <si>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</si>
  <si>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</si>
  <si>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</si>
  <si>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</si>
  <si>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</si>
  <si>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</si>
  <si>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</si>
  <si>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</si>
  <si>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</si>
  <si>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</si>
  <si>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</si>
  <si>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</si>
  <si>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</si>
  <si>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</si>
  <si>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</si>
  <si>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</si>
  <si>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</si>
  <si>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</si>
  <si>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</si>
  <si>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</si>
  <si>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</si>
  <si>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</si>
  <si>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</si>
  <si>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</si>
  <si>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</si>
  <si>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</si>
  <si>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</si>
  <si>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</si>
  <si>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</si>
  <si>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</si>
  <si>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</si>
  <si>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</si>
  <si>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</si>
  <si>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</si>
  <si>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</si>
  <si>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</si>
  <si>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</si>
  <si>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</si>
  <si>
    <t>05/25/2026</t>
  </si>
  <si>
    <t>05/26/2026</t>
  </si>
  <si>
    <t>05/27/2026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</si>
</sst>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6" sqref="I1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82</v>
      </c>
      <c r="D13" s="20" t="s">
        <v>68</v>
      </c>
      <c r="E13" s="20"/>
      <c r="F13" s="20" t="s">
        <v>70</v>
      </c>
      <c r="G13" s="20">
        <v>518670633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83</v>
      </c>
      <c r="D14" s="20" t="s">
        <v>68</v>
      </c>
      <c r="E14" s="20"/>
      <c r="F14" s="20" t="s">
        <v>70</v>
      </c>
      <c r="G14" s="20">
        <f>518675113</f>
        <v>518675113</v>
      </c>
      <c r="H14" s="20" t="s">
        <v>74</v>
      </c>
      <c r="I14" s="37">
        <f>1397196-60845.04</f>
        <v>1336350.96</v>
      </c>
      <c r="K14" s="21">
        <f t="shared" si="2"/>
        <v>143180.46</v>
      </c>
      <c r="L14" s="27">
        <f t="shared" si="3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84</v>
      </c>
      <c r="D15" s="20" t="s">
        <v>68</v>
      </c>
      <c r="E15" s="20"/>
      <c r="F15" s="20" t="s">
        <v>70</v>
      </c>
      <c r="G15" s="20">
        <v>518679022</v>
      </c>
      <c r="H15" s="20" t="s">
        <v>74</v>
      </c>
      <c r="I15" s="21">
        <f>1350920-57135.71</f>
        <v>1293784.29</v>
      </c>
      <c r="K15" s="21">
        <f t="shared" si="2"/>
        <v>138619.74535714288</v>
      </c>
      <c r="L15" s="27">
        <f>I15-K15</f>
        <v>1155164.5446428573</v>
      </c>
      <c r="M15" s="33">
        <f>I15/112</f>
        <v>11551.645446428573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11806257.969999999</v>
      </c>
      <c r="J32" s="47"/>
      <c r="K32" s="46">
        <f>SUM(K7:K31)</f>
        <v>1264956.2110714284</v>
      </c>
      <c r="L32" s="46">
        <f>SUM(L7:L31)</f>
        <v>10541301.758928571</v>
      </c>
      <c r="M32" s="48">
        <f>SUM(M7:M31)</f>
        <v>105413.01758928572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2026-05-28T06:37:18Z</dcterms:modified>
</cp:coreProperties>
</file>