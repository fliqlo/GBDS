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763EE9B-7115-452A-95C6-8F841C151B7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6" i="6" l="1"/>
  <c r="I15" i="6" l="1"/>
  <c r="I14" i="6" l="1"/>
  <c r="G14" i="6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<sst xmlns="http://schemas.openxmlformats.org/spreadsheetml/2006/main" count="261" uniqueCount="86">
  <si>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</si>
  <si>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</si>
  <si>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</si>
  <si>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</si>
  <si>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</si>
  <si>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</si>
  <si>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</si>
  <si>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</si>
  <si>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</si>
  <si>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</si>
  <si>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</si>
  <si>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</si>
  <si>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</si>
  <si>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</si>
  <si>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</si>
  <si>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</si>
  <si>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</si>
  <si>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</si>
  <si>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</si>
  <si>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</si>
  <si>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</si>
  <si>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</si>
  <si>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</si>
  <si>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</si>
  <si>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</si>
  <si>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</si>
  <si>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</si>
  <si>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</si>
  <si>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</si>
  <si>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</si>
  <si>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</si>
  <si>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</si>
  <si>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</si>
  <si>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</si>
  <si>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</si>
  <si>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</si>
  <si>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</si>
  <si>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</si>
  <si>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</si>
  <si>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</si>
  <si>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</si>
  <si>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</si>
  <si>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</si>
  <si>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</si>
  <si>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</si>
  <si>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</si>
  <si>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</si>
  <si>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</si>
  <si>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</si>
  <si>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</si>
  <si>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</si>
  <si>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</si>
  <si>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</si>
  <si>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</si>
  <si>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</si>
  <si>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</si>
  <si>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</si>
  <si>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</si>
  <si>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</si>
  <si>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</si>
  <si>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</si>
  <si>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</si>
  <si>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</si>
  <si>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</si>
  <si>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</si>
  <si>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</si>
  <si>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</si>
  <si>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</si>
  <si>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</si>
  <si>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</si>
  <si>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</si>
  <si>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</si>
  <si>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</si>
  <si>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</si>
  <si>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</si>
  <si>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</si>
  <si>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</si>
  <si>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</si>
  <si>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</si>
  <si>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</si>
  <si>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</si>
  <si>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</si>
  <si>
    <t>05/25/2026</t>
  </si>
  <si>
    <t>05/26/2026</t>
  </si>
  <si>
    <t>05/27/2026</t>
  </si>
  <si>
    <t>05/28/2026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</si>
</sst>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82</v>
      </c>
      <c r="D13" s="20" t="s">
        <v>68</v>
      </c>
      <c r="E13" s="20"/>
      <c r="F13" s="20" t="s">
        <v>70</v>
      </c>
      <c r="G13" s="20">
        <v>518670633</v>
      </c>
      <c r="H13" s="20" t="s">
        <v>74</v>
      </c>
      <c r="I13" s="21">
        <f>1397196-60845.04</f>
        <v>1336350.96</v>
      </c>
      <c r="K13" s="21">
        <f t="shared" si="2"/>
        <v>143180.46</v>
      </c>
      <c r="L13" s="27">
        <f>I13-K13</f>
        <v>1193170.5</v>
      </c>
      <c r="M13" s="33">
        <f>I13/112</f>
        <v>11931.705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83</v>
      </c>
      <c r="D14" s="20" t="s">
        <v>68</v>
      </c>
      <c r="E14" s="20"/>
      <c r="F14" s="20" t="s">
        <v>70</v>
      </c>
      <c r="G14" s="20">
        <f>518675113</f>
        <v>518675113</v>
      </c>
      <c r="H14" s="20" t="s">
        <v>74</v>
      </c>
      <c r="I14" s="37">
        <f>1397196-60845.04</f>
        <v>1336350.96</v>
      </c>
      <c r="K14" s="21">
        <f t="shared" si="2"/>
        <v>143180.46</v>
      </c>
      <c r="L14" s="27">
        <f t="shared" si="3"/>
        <v>1193170.5</v>
      </c>
      <c r="M14" s="33">
        <f t="shared" si="0"/>
        <v>11931.705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84</v>
      </c>
      <c r="D15" s="20" t="s">
        <v>68</v>
      </c>
      <c r="E15" s="20"/>
      <c r="F15" s="20" t="s">
        <v>70</v>
      </c>
      <c r="G15" s="20">
        <v>518679022</v>
      </c>
      <c r="H15" s="20" t="s">
        <v>74</v>
      </c>
      <c r="I15" s="21">
        <f>1350920-57135.71</f>
        <v>1293784.29</v>
      </c>
      <c r="K15" s="21">
        <f t="shared" si="2"/>
        <v>138619.74535714288</v>
      </c>
      <c r="L15" s="27">
        <f>I15-K15</f>
        <v>1155164.5446428573</v>
      </c>
      <c r="M15" s="33">
        <f>I15/112</f>
        <v>11551.645446428573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85</v>
      </c>
      <c r="D16" s="20" t="s">
        <v>68</v>
      </c>
      <c r="E16" s="20"/>
      <c r="F16" s="20" t="s">
        <v>70</v>
      </c>
      <c r="G16" s="20">
        <v>518682681</v>
      </c>
      <c r="H16" s="20" t="s">
        <v>74</v>
      </c>
      <c r="I16" s="21">
        <f>1397196-60845.04</f>
        <v>1336350.96</v>
      </c>
      <c r="K16" s="21">
        <f t="shared" si="2"/>
        <v>143180.46</v>
      </c>
      <c r="L16" s="27">
        <f t="shared" si="3"/>
        <v>1193170.5</v>
      </c>
      <c r="M16" s="33">
        <f t="shared" si="0"/>
        <v>11931.705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13142608.93</v>
      </c>
      <c r="J32" s="47"/>
      <c r="K32" s="46">
        <f>SUM(K7:K31)</f>
        <v>1408136.6710714283</v>
      </c>
      <c r="L32" s="46">
        <f>SUM(L7:L31)</f>
        <v>11734472.258928571</v>
      </c>
      <c r="M32" s="48">
        <f>SUM(M7:M31)</f>
        <v>117344.72258928572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2026-05-29T02:07:47Z</dcterms:modified>
</cp:coreProperties>
</file>