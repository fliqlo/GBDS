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1F2742CB-55E6-4C08-8E6B-FC6DB04E4EB6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MAY, SRS R1" sheetId="6" r:id="rId1"/>
    <sheet name="MAY, SRS R2" sheetId="12" r:id="rId2"/>
    <sheet name="MAY, SRS R3" sheetId="13" r:id="rId3"/>
    <sheet name="," sheetId="14" r:id="rId4"/>
  </sheets>
  <definedNames>
    <definedName name="_xlnm.Print_Area" localSheetId="0">'MAY, SRS R1'!$A$1:$H$44</definedName>
    <definedName name="_xlnm.Print_Area" localSheetId="1">'MAY, SRS R2'!$A$1:$H$44</definedName>
    <definedName name="_xlnm.Print_Area" localSheetId="2">'MAY, SRS R3'!$A$1:$H$44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30" i="13" l="1"/>
  <c r="G28" i="13" l="1"/>
  <c r="G15" i="13" l="1"/>
  <c r="H43" i="13" l="1"/>
  <c r="G43" i="13"/>
  <c r="F43" i="13"/>
  <c r="E43" i="13"/>
  <c r="C43" i="13"/>
  <c r="H43" i="12"/>
  <c r="G43" i="12"/>
  <c r="F43" i="12"/>
  <c r="E43" i="12"/>
  <c r="C43" i="12"/>
  <c r="G43" i="6" l="1"/>
  <c r="E43" i="6" l="1"/>
  <c r="F43" i="6"/>
  <c r="H43" i="6"/>
  <c r="C43" i="6" l="1"/>
</calcChain>
</file>

<file path=xl/sharedStrings.xml><?xml version="1.0" encoding="utf-8"?>
<sst xmlns="http://schemas.openxmlformats.org/spreadsheetml/2006/main" count="84" uniqueCount="20">
  <si>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</si>
  <si>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</si>
  <si>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</si>
  <si>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</si>
  <si>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</si>
  <si>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</si>
  <si>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</si>
  <si>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</si>
  <si>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</si>
  <si>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</si>
  <si>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</si>
  <si>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</si>
  <si>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</si>
  <si>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</si>
  <si>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</si>
  <si>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TOTAL SALES</t>
  </si>
  <si>
    <t>NET SALES</t>
  </si>
  <si>
    <t>DAY-OFF</t>
  </si>
  <si>
    <t>MAY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</si>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</sst>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3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2" fillId="0" borderId="6" xfId="1" applyFont="1" applyBorder="1"/>
    <xf numFmtId="164" fontId="2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4" fontId="2" fillId="0" borderId="4" xfId="1" applyFont="1" applyBorder="1"/>
    <xf numFmtId="0" fontId="0" fillId="0" borderId="4" xfId="0" applyBorder="1" applyAlignment="1">
      <alignment horizontal="center"/>
    </xf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S279"/>
  <sheetViews>
    <sheetView zoomScaleNormal="100" zoomScaleSheetLayoutView="100" workbookViewId="0">
      <selection activeCell="C34" sqref="C34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6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0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18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19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3" t="s">
        <v>2</v>
      </c>
      <c r="B9" s="10" t="s">
        <v>11</v>
      </c>
      <c r="C9" s="23" t="s">
        <v>15</v>
      </c>
      <c r="D9" s="37" t="s">
        <v>16</v>
      </c>
      <c r="E9" s="24" t="s">
        <v>5</v>
      </c>
      <c r="F9" s="15" t="s">
        <v>3</v>
      </c>
      <c r="G9" s="15" t="s">
        <v>14</v>
      </c>
      <c r="H9" s="15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8">
        <v>46143</v>
      </c>
      <c r="C10" s="33">
        <v>545651</v>
      </c>
      <c r="D10" s="33">
        <v>441732.5</v>
      </c>
      <c r="E10" s="32"/>
      <c r="F10" s="33">
        <v>23.5</v>
      </c>
      <c r="G10" s="33">
        <v>3240</v>
      </c>
      <c r="H10" s="32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8">
        <v>46144</v>
      </c>
      <c r="C11" s="40" t="s">
        <v>17</v>
      </c>
      <c r="D11" s="41"/>
      <c r="E11" s="41"/>
      <c r="F11" s="41"/>
      <c r="G11" s="41"/>
      <c r="H11" s="42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36" t="s">
        <v>0</v>
      </c>
      <c r="C12" s="40" t="s">
        <v>0</v>
      </c>
      <c r="D12" s="41"/>
      <c r="E12" s="41"/>
      <c r="F12" s="41"/>
      <c r="G12" s="41"/>
      <c r="H12" s="42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8">
        <v>46146</v>
      </c>
      <c r="C13" s="33">
        <v>290296</v>
      </c>
      <c r="D13" s="33">
        <v>248078.75</v>
      </c>
      <c r="E13" s="32"/>
      <c r="F13" s="33">
        <v>2066.25</v>
      </c>
      <c r="G13" s="35"/>
      <c r="H13" s="33">
        <v>200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28">
        <v>46147</v>
      </c>
      <c r="C14" s="33">
        <v>470610</v>
      </c>
      <c r="D14" s="33">
        <v>388937.25</v>
      </c>
      <c r="E14" s="32">
        <v>3519</v>
      </c>
      <c r="F14" s="32"/>
      <c r="G14" s="35">
        <v>2682</v>
      </c>
      <c r="H14" s="33">
        <v>200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8">
        <v>46148</v>
      </c>
      <c r="C15" s="33">
        <v>302093.92</v>
      </c>
      <c r="D15" s="33">
        <v>190643.42</v>
      </c>
      <c r="E15" s="32"/>
      <c r="F15" s="33">
        <v>1643.58</v>
      </c>
      <c r="G15" s="35"/>
      <c r="H15" s="32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8">
        <v>46149</v>
      </c>
      <c r="C16" s="33">
        <v>405449</v>
      </c>
      <c r="D16" s="33">
        <v>331751.75</v>
      </c>
      <c r="E16" s="32">
        <v>288.75</v>
      </c>
      <c r="F16" s="32"/>
      <c r="G16" s="35">
        <v>2880</v>
      </c>
      <c r="H16" s="32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8">
        <v>46150</v>
      </c>
      <c r="C17" s="40" t="s">
        <v>19</v>
      </c>
      <c r="D17" s="41"/>
      <c r="E17" s="41"/>
      <c r="F17" s="41"/>
      <c r="G17" s="41"/>
      <c r="H17" s="42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8">
        <v>46151</v>
      </c>
      <c r="C18" s="40" t="s">
        <v>17</v>
      </c>
      <c r="D18" s="41"/>
      <c r="E18" s="41"/>
      <c r="F18" s="41"/>
      <c r="G18" s="41"/>
      <c r="H18" s="42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36" t="s">
        <v>0</v>
      </c>
      <c r="C19" s="40" t="s">
        <v>0</v>
      </c>
      <c r="D19" s="41"/>
      <c r="E19" s="41"/>
      <c r="F19" s="41"/>
      <c r="G19" s="41"/>
      <c r="H19" s="42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8">
        <v>46153</v>
      </c>
      <c r="C20" s="33">
        <v>312686.83</v>
      </c>
      <c r="D20" s="33">
        <v>270424.33</v>
      </c>
      <c r="E20" s="32">
        <v>47.33</v>
      </c>
      <c r="F20" s="35"/>
      <c r="G20" s="35"/>
      <c r="H20" s="35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28">
        <v>46154</v>
      </c>
      <c r="C21" s="33">
        <v>302421</v>
      </c>
      <c r="D21" s="33">
        <v>257779.79</v>
      </c>
      <c r="E21" s="32">
        <v>189.54</v>
      </c>
      <c r="F21" s="35"/>
      <c r="G21" s="35">
        <v>2094</v>
      </c>
      <c r="H21" s="35">
        <v>102.46</v>
      </c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8">
        <v>46155</v>
      </c>
      <c r="C22" s="33">
        <v>346170.83</v>
      </c>
      <c r="D22" s="33">
        <v>234441.33</v>
      </c>
      <c r="E22" s="32"/>
      <c r="F22" s="35">
        <v>3.67</v>
      </c>
      <c r="G22" s="35"/>
      <c r="H22" s="35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8">
        <v>46156</v>
      </c>
      <c r="C23" s="33">
        <v>563496</v>
      </c>
      <c r="D23" s="33">
        <v>497309.25</v>
      </c>
      <c r="E23" s="32">
        <v>148.25</v>
      </c>
      <c r="F23" s="35"/>
      <c r="G23" s="35">
        <v>3420</v>
      </c>
      <c r="H23" s="35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8">
        <v>46157</v>
      </c>
      <c r="C24" s="33">
        <v>339179</v>
      </c>
      <c r="D24" s="33">
        <v>269272.5</v>
      </c>
      <c r="E24" s="32"/>
      <c r="F24" s="35">
        <v>2047.5</v>
      </c>
      <c r="G24" s="35">
        <v>1994</v>
      </c>
      <c r="H24" s="35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8">
        <v>46158</v>
      </c>
      <c r="C25" s="40" t="s">
        <v>17</v>
      </c>
      <c r="D25" s="41"/>
      <c r="E25" s="41"/>
      <c r="F25" s="41"/>
      <c r="G25" s="41"/>
      <c r="H25" s="42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36" t="s">
        <v>0</v>
      </c>
      <c r="C26" s="40" t="s">
        <v>0</v>
      </c>
      <c r="D26" s="41"/>
      <c r="E26" s="41"/>
      <c r="F26" s="41"/>
      <c r="G26" s="41"/>
      <c r="H26" s="42"/>
      <c r="I26" s="1"/>
      <c r="J26" s="1"/>
      <c r="K26" s="18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8">
        <v>46160</v>
      </c>
      <c r="C27" s="40" t="s">
        <v>19</v>
      </c>
      <c r="D27" s="41"/>
      <c r="E27" s="41"/>
      <c r="F27" s="41"/>
      <c r="G27" s="41"/>
      <c r="H27" s="42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28">
        <v>46161</v>
      </c>
      <c r="C28" s="12">
        <v>442799</v>
      </c>
      <c r="D28" s="38">
        <v>378776</v>
      </c>
      <c r="E28" s="14">
        <v>1258</v>
      </c>
      <c r="F28" s="12"/>
      <c r="G28" s="34">
        <v>2742</v>
      </c>
      <c r="H28" s="31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8">
        <v>46162</v>
      </c>
      <c r="C29" s="12">
        <v>392951</v>
      </c>
      <c r="D29" s="38">
        <v>338312</v>
      </c>
      <c r="E29" s="14">
        <v>512</v>
      </c>
      <c r="F29" s="12"/>
      <c r="G29" s="34"/>
      <c r="H29" s="31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8">
        <v>46163</v>
      </c>
      <c r="C30" s="12">
        <v>216025.17</v>
      </c>
      <c r="D30" s="38">
        <v>130230.92</v>
      </c>
      <c r="E30" s="14">
        <v>785.92</v>
      </c>
      <c r="F30" s="12"/>
      <c r="G30" s="34"/>
      <c r="H30" s="31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8">
        <v>46164</v>
      </c>
      <c r="C31" s="12">
        <v>343836</v>
      </c>
      <c r="D31" s="38">
        <v>347471.73</v>
      </c>
      <c r="E31" s="14"/>
      <c r="F31" s="12">
        <v>171.27</v>
      </c>
      <c r="G31" s="34">
        <v>2268</v>
      </c>
      <c r="H31" s="31">
        <v>109.27</v>
      </c>
      <c r="I31" s="1"/>
      <c r="J31" s="1"/>
      <c r="K31" s="18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8">
        <v>46165</v>
      </c>
      <c r="C32" s="12">
        <v>305232</v>
      </c>
      <c r="D32" s="38">
        <v>213755.25</v>
      </c>
      <c r="E32" s="14"/>
      <c r="F32" s="12">
        <v>7.75</v>
      </c>
      <c r="G32" s="34">
        <v>2070</v>
      </c>
      <c r="H32" s="31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36" t="s">
        <v>0</v>
      </c>
      <c r="C33" s="40" t="s">
        <v>0</v>
      </c>
      <c r="D33" s="41"/>
      <c r="E33" s="41"/>
      <c r="F33" s="41"/>
      <c r="G33" s="41"/>
      <c r="H33" s="4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8">
        <v>46167</v>
      </c>
      <c r="C34" s="25"/>
      <c r="D34" s="39"/>
      <c r="E34" s="14"/>
      <c r="F34" s="12"/>
      <c r="G34" s="34"/>
      <c r="H34" s="31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28">
        <v>46168</v>
      </c>
      <c r="C35" s="25"/>
      <c r="D35" s="39"/>
      <c r="E35" s="14"/>
      <c r="F35" s="12"/>
      <c r="G35" s="34"/>
      <c r="H35" s="31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8">
        <v>46169</v>
      </c>
      <c r="C36" s="25"/>
      <c r="D36" s="39"/>
      <c r="E36" s="14"/>
      <c r="F36" s="12"/>
      <c r="G36" s="34"/>
      <c r="H36" s="31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8">
        <v>46170</v>
      </c>
      <c r="C37" s="25"/>
      <c r="D37" s="39"/>
      <c r="E37" s="14"/>
      <c r="F37" s="12"/>
      <c r="G37" s="34"/>
      <c r="H37" s="31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8">
        <v>46171</v>
      </c>
      <c r="C38" s="25"/>
      <c r="D38" s="39"/>
      <c r="E38" s="14"/>
      <c r="F38" s="12"/>
      <c r="G38" s="34"/>
      <c r="H38" s="31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8">
        <v>46172</v>
      </c>
      <c r="C39" s="40" t="s">
        <v>17</v>
      </c>
      <c r="D39" s="41"/>
      <c r="E39" s="41"/>
      <c r="F39" s="41"/>
      <c r="G39" s="41"/>
      <c r="H39" s="4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36" t="s">
        <v>0</v>
      </c>
      <c r="C40" s="40" t="s">
        <v>0</v>
      </c>
      <c r="D40" s="41"/>
      <c r="E40" s="41"/>
      <c r="F40" s="41"/>
      <c r="G40" s="41"/>
      <c r="H40" s="42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8"/>
      <c r="C41" s="12"/>
      <c r="D41" s="12"/>
      <c r="E41" s="32"/>
      <c r="F41" s="32"/>
      <c r="G41" s="32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2">
        <v>31</v>
      </c>
      <c r="B42" s="36"/>
      <c r="C42" s="40"/>
      <c r="D42" s="41"/>
      <c r="E42" s="41"/>
      <c r="F42" s="41"/>
      <c r="G42" s="41"/>
      <c r="H42" s="42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7" t="s">
        <v>1</v>
      </c>
      <c r="B43" s="28"/>
      <c r="C43" s="17">
        <f>SUM(C10:C42)</f>
        <v>5578896.75</v>
      </c>
      <c r="D43" s="17"/>
      <c r="E43" s="29">
        <f>SUM(E10:E42)</f>
        <v>6748.79</v>
      </c>
      <c r="F43" s="17">
        <f>SUM(F10:F42)</f>
        <v>5963.52</v>
      </c>
      <c r="G43" s="17">
        <f>SUM(G10:G42)</f>
        <v>23390</v>
      </c>
      <c r="H43" s="17">
        <f>SUM(H10:H42)</f>
        <v>611.73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30"/>
      <c r="C44" s="21"/>
      <c r="D44" s="21"/>
      <c r="E44" s="26"/>
      <c r="F44" s="9"/>
      <c r="G44" s="9"/>
      <c r="H44" s="1"/>
      <c r="I44" s="1"/>
      <c r="J44" s="1"/>
      <c r="K44" s="18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12">
    <mergeCell ref="C42:H42"/>
    <mergeCell ref="C19:H19"/>
    <mergeCell ref="C40:H40"/>
    <mergeCell ref="C33:H33"/>
    <mergeCell ref="C11:H11"/>
    <mergeCell ref="C18:H18"/>
    <mergeCell ref="C25:H25"/>
    <mergeCell ref="C39:H39"/>
    <mergeCell ref="C12:H12"/>
    <mergeCell ref="C26:H26"/>
    <mergeCell ref="C17:H17"/>
    <mergeCell ref="C27:H27"/>
  </mergeCells>
  <pageMargins left="0.7" right="0.7" top="0.75" bottom="0.75" header="0.3" footer="0.3"/>
  <pageSetup scale="9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S279"/>
  <sheetViews>
    <sheetView zoomScaleNormal="100" zoomScaleSheetLayoutView="100" workbookViewId="0">
      <selection activeCell="C34" sqref="C34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6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0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18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19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3" t="s">
        <v>2</v>
      </c>
      <c r="B9" s="10" t="s">
        <v>11</v>
      </c>
      <c r="C9" s="23" t="s">
        <v>15</v>
      </c>
      <c r="D9" s="37" t="s">
        <v>16</v>
      </c>
      <c r="E9" s="24" t="s">
        <v>5</v>
      </c>
      <c r="F9" s="15" t="s">
        <v>3</v>
      </c>
      <c r="G9" s="15" t="s">
        <v>14</v>
      </c>
      <c r="H9" s="15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8">
        <v>46143</v>
      </c>
      <c r="C10" s="33">
        <v>236796</v>
      </c>
      <c r="D10" s="33">
        <v>196732.5</v>
      </c>
      <c r="E10" s="32">
        <v>182.5</v>
      </c>
      <c r="F10" s="32"/>
      <c r="G10" s="33">
        <v>1518</v>
      </c>
      <c r="H10" s="32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8">
        <v>46144</v>
      </c>
      <c r="C11" s="40" t="s">
        <v>17</v>
      </c>
      <c r="D11" s="41"/>
      <c r="E11" s="41"/>
      <c r="F11" s="41"/>
      <c r="G11" s="41"/>
      <c r="H11" s="42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36" t="s">
        <v>0</v>
      </c>
      <c r="C12" s="40" t="s">
        <v>0</v>
      </c>
      <c r="D12" s="41"/>
      <c r="E12" s="41"/>
      <c r="F12" s="41"/>
      <c r="G12" s="41"/>
      <c r="H12" s="42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8">
        <v>46146</v>
      </c>
      <c r="C13" s="33">
        <v>285008</v>
      </c>
      <c r="D13" s="33">
        <v>241083.5</v>
      </c>
      <c r="E13" s="32">
        <v>1226.5</v>
      </c>
      <c r="F13" s="32"/>
      <c r="G13" s="35">
        <v>1296</v>
      </c>
      <c r="H13" s="32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28">
        <v>46147</v>
      </c>
      <c r="C14" s="33">
        <v>371226</v>
      </c>
      <c r="D14" s="33">
        <v>310668</v>
      </c>
      <c r="E14" s="32"/>
      <c r="F14" s="33">
        <v>789</v>
      </c>
      <c r="G14" s="35">
        <v>2676</v>
      </c>
      <c r="H14" s="32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8">
        <v>46148</v>
      </c>
      <c r="C15" s="33">
        <v>331431</v>
      </c>
      <c r="D15" s="33">
        <v>280760.25</v>
      </c>
      <c r="E15" s="32"/>
      <c r="F15" s="33">
        <v>17.75</v>
      </c>
      <c r="G15" s="35">
        <v>2076</v>
      </c>
      <c r="H15" s="32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8">
        <v>46149</v>
      </c>
      <c r="C16" s="33">
        <v>242941</v>
      </c>
      <c r="D16" s="33">
        <v>209789.5</v>
      </c>
      <c r="E16" s="32">
        <v>3994.5</v>
      </c>
      <c r="F16" s="32"/>
      <c r="G16" s="35"/>
      <c r="H16" s="32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8">
        <v>46150</v>
      </c>
      <c r="C17" s="33">
        <v>257721</v>
      </c>
      <c r="D17" s="33">
        <v>231897</v>
      </c>
      <c r="E17" s="32"/>
      <c r="F17" s="33">
        <v>2345</v>
      </c>
      <c r="G17" s="35">
        <v>1140</v>
      </c>
      <c r="H17" s="32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8">
        <v>46151</v>
      </c>
      <c r="C18" s="40" t="s">
        <v>17</v>
      </c>
      <c r="D18" s="41"/>
      <c r="E18" s="41"/>
      <c r="F18" s="41"/>
      <c r="G18" s="41"/>
      <c r="H18" s="42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36" t="s">
        <v>0</v>
      </c>
      <c r="C19" s="40" t="s">
        <v>0</v>
      </c>
      <c r="D19" s="41"/>
      <c r="E19" s="41"/>
      <c r="F19" s="41"/>
      <c r="G19" s="41"/>
      <c r="H19" s="42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8">
        <v>46153</v>
      </c>
      <c r="C20" s="33">
        <v>385347</v>
      </c>
      <c r="D20" s="33">
        <v>324937.5</v>
      </c>
      <c r="E20" s="32"/>
      <c r="F20" s="35">
        <v>762.5</v>
      </c>
      <c r="G20" s="35">
        <v>2880</v>
      </c>
      <c r="H20" s="35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28">
        <v>46154</v>
      </c>
      <c r="C21" s="33">
        <v>288065</v>
      </c>
      <c r="D21" s="33">
        <v>245110</v>
      </c>
      <c r="E21" s="32">
        <v>882</v>
      </c>
      <c r="F21" s="35"/>
      <c r="G21" s="35">
        <v>1446</v>
      </c>
      <c r="H21" s="35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8">
        <v>46155</v>
      </c>
      <c r="C22" s="33">
        <v>274505</v>
      </c>
      <c r="D22" s="33">
        <v>231930.5</v>
      </c>
      <c r="E22" s="32">
        <v>270.5</v>
      </c>
      <c r="F22" s="35"/>
      <c r="G22" s="35">
        <v>1944</v>
      </c>
      <c r="H22" s="35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8">
        <v>46156</v>
      </c>
      <c r="C23" s="40" t="s">
        <v>19</v>
      </c>
      <c r="D23" s="41"/>
      <c r="E23" s="41"/>
      <c r="F23" s="41"/>
      <c r="G23" s="41"/>
      <c r="H23" s="42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8">
        <v>46157</v>
      </c>
      <c r="C24" s="33">
        <v>301997</v>
      </c>
      <c r="D24" s="33">
        <v>255826.5</v>
      </c>
      <c r="E24" s="32"/>
      <c r="F24" s="35">
        <v>178.75</v>
      </c>
      <c r="G24" s="35">
        <v>1200</v>
      </c>
      <c r="H24" s="35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8">
        <v>46158</v>
      </c>
      <c r="C25" s="33">
        <v>272545</v>
      </c>
      <c r="D25" s="33">
        <v>229232.5</v>
      </c>
      <c r="E25" s="32"/>
      <c r="F25" s="35">
        <v>21.5</v>
      </c>
      <c r="G25" s="35">
        <v>2106</v>
      </c>
      <c r="H25" s="35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36" t="s">
        <v>0</v>
      </c>
      <c r="C26" s="40" t="s">
        <v>0</v>
      </c>
      <c r="D26" s="41"/>
      <c r="E26" s="41"/>
      <c r="F26" s="41"/>
      <c r="G26" s="41"/>
      <c r="H26" s="42"/>
      <c r="I26" s="1"/>
      <c r="J26" s="1"/>
      <c r="K26" s="18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8">
        <v>46160</v>
      </c>
      <c r="C27" s="12">
        <v>491364</v>
      </c>
      <c r="D27" s="38">
        <v>417927</v>
      </c>
      <c r="E27" s="14">
        <v>205</v>
      </c>
      <c r="F27" s="12"/>
      <c r="G27" s="34">
        <v>3666</v>
      </c>
      <c r="H27" s="31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28">
        <v>46161</v>
      </c>
      <c r="C28" s="12">
        <v>320424</v>
      </c>
      <c r="D28" s="38">
        <v>270121.5</v>
      </c>
      <c r="E28" s="14">
        <v>768.5</v>
      </c>
      <c r="F28" s="12"/>
      <c r="G28" s="34">
        <v>2076</v>
      </c>
      <c r="H28" s="31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8">
        <v>46162</v>
      </c>
      <c r="C29" s="12">
        <v>294125</v>
      </c>
      <c r="D29" s="38">
        <v>248850.5</v>
      </c>
      <c r="E29" s="14"/>
      <c r="F29" s="12">
        <v>824.5</v>
      </c>
      <c r="G29" s="34">
        <v>1296</v>
      </c>
      <c r="H29" s="31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8">
        <v>46163</v>
      </c>
      <c r="C30" s="12">
        <v>238493</v>
      </c>
      <c r="D30" s="38">
        <v>194288</v>
      </c>
      <c r="E30" s="14">
        <v>90</v>
      </c>
      <c r="F30" s="12"/>
      <c r="G30" s="34">
        <v>1158</v>
      </c>
      <c r="H30" s="31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8">
        <v>46164</v>
      </c>
      <c r="C31" s="12">
        <v>254943</v>
      </c>
      <c r="D31" s="38">
        <v>214593.75</v>
      </c>
      <c r="E31" s="14"/>
      <c r="F31" s="12">
        <v>147.25</v>
      </c>
      <c r="G31" s="34">
        <v>1068</v>
      </c>
      <c r="H31" s="31"/>
      <c r="I31" s="1"/>
      <c r="J31" s="1"/>
      <c r="K31" s="18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8">
        <v>46165</v>
      </c>
      <c r="C32" s="12">
        <v>231087</v>
      </c>
      <c r="D32" s="38">
        <v>198523.5</v>
      </c>
      <c r="E32" s="14"/>
      <c r="F32" s="12">
        <v>123.5</v>
      </c>
      <c r="G32" s="34">
        <v>1356</v>
      </c>
      <c r="H32" s="31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36" t="s">
        <v>0</v>
      </c>
      <c r="C33" s="40" t="s">
        <v>0</v>
      </c>
      <c r="D33" s="41"/>
      <c r="E33" s="41"/>
      <c r="F33" s="41"/>
      <c r="G33" s="41"/>
      <c r="H33" s="4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8">
        <v>46167</v>
      </c>
      <c r="C34" s="25"/>
      <c r="D34" s="39"/>
      <c r="E34" s="14"/>
      <c r="F34" s="12"/>
      <c r="G34" s="34"/>
      <c r="H34" s="31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28">
        <v>46168</v>
      </c>
      <c r="C35" s="25"/>
      <c r="D35" s="39"/>
      <c r="E35" s="14"/>
      <c r="F35" s="12"/>
      <c r="G35" s="34"/>
      <c r="H35" s="31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8">
        <v>46169</v>
      </c>
      <c r="C36" s="25"/>
      <c r="D36" s="39"/>
      <c r="E36" s="14"/>
      <c r="F36" s="12"/>
      <c r="G36" s="34"/>
      <c r="H36" s="31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8">
        <v>46170</v>
      </c>
      <c r="C37" s="25"/>
      <c r="D37" s="39"/>
      <c r="E37" s="14"/>
      <c r="F37" s="12"/>
      <c r="G37" s="34"/>
      <c r="H37" s="31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8">
        <v>46171</v>
      </c>
      <c r="C38" s="25"/>
      <c r="D38" s="39"/>
      <c r="E38" s="14"/>
      <c r="F38" s="12"/>
      <c r="G38" s="34"/>
      <c r="H38" s="31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8">
        <v>46172</v>
      </c>
      <c r="C39" s="40" t="s">
        <v>17</v>
      </c>
      <c r="D39" s="41"/>
      <c r="E39" s="41"/>
      <c r="F39" s="41"/>
      <c r="G39" s="41"/>
      <c r="H39" s="4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36" t="s">
        <v>0</v>
      </c>
      <c r="C40" s="40" t="s">
        <v>0</v>
      </c>
      <c r="D40" s="41"/>
      <c r="E40" s="41"/>
      <c r="F40" s="41"/>
      <c r="G40" s="41"/>
      <c r="H40" s="42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8"/>
      <c r="C41" s="12"/>
      <c r="D41" s="12"/>
      <c r="E41" s="32"/>
      <c r="F41" s="32"/>
      <c r="G41" s="32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2">
        <v>31</v>
      </c>
      <c r="B42" s="36"/>
      <c r="C42" s="40"/>
      <c r="D42" s="41"/>
      <c r="E42" s="41"/>
      <c r="F42" s="41"/>
      <c r="G42" s="41"/>
      <c r="H42" s="42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7" t="s">
        <v>1</v>
      </c>
      <c r="B43" s="28"/>
      <c r="C43" s="17">
        <f>SUM(C10:C42)</f>
        <v>5078018</v>
      </c>
      <c r="D43" s="17"/>
      <c r="E43" s="29">
        <f>SUM(E10:E42)</f>
        <v>7619.5</v>
      </c>
      <c r="F43" s="17">
        <f>SUM(F10:F42)</f>
        <v>5209.75</v>
      </c>
      <c r="G43" s="17">
        <f>SUM(G10:G42)</f>
        <v>28902</v>
      </c>
      <c r="H43" s="17">
        <f>SUM(H10:H42)</f>
        <v>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1"/>
      <c r="C44" s="21"/>
      <c r="D44" s="21"/>
      <c r="E44" s="26"/>
      <c r="F44" s="9"/>
      <c r="G44" s="9"/>
      <c r="H44" s="1"/>
      <c r="I44" s="1"/>
      <c r="J44" s="1"/>
      <c r="K44" s="18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10">
    <mergeCell ref="C39:H39"/>
    <mergeCell ref="C40:H40"/>
    <mergeCell ref="C42:H42"/>
    <mergeCell ref="C11:H11"/>
    <mergeCell ref="C18:H18"/>
    <mergeCell ref="C19:H19"/>
    <mergeCell ref="C26:H26"/>
    <mergeCell ref="C33:H33"/>
    <mergeCell ref="C12:H12"/>
    <mergeCell ref="C23:H23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S279"/>
  <sheetViews>
    <sheetView tabSelected="1" zoomScaleNormal="100" zoomScaleSheetLayoutView="100" workbookViewId="0">
      <selection activeCell="C34" sqref="C34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6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0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18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19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3" t="s">
        <v>2</v>
      </c>
      <c r="B9" s="10" t="s">
        <v>11</v>
      </c>
      <c r="C9" s="23" t="s">
        <v>15</v>
      </c>
      <c r="D9" s="37" t="s">
        <v>16</v>
      </c>
      <c r="E9" s="24" t="s">
        <v>5</v>
      </c>
      <c r="F9" s="15" t="s">
        <v>3</v>
      </c>
      <c r="G9" s="15" t="s">
        <v>14</v>
      </c>
      <c r="H9" s="15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8">
        <v>46143</v>
      </c>
      <c r="C10" s="33">
        <v>456978</v>
      </c>
      <c r="D10" s="33">
        <v>385311</v>
      </c>
      <c r="E10" s="32"/>
      <c r="F10" s="33">
        <v>858</v>
      </c>
      <c r="G10" s="33">
        <v>2766</v>
      </c>
      <c r="H10" s="32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8">
        <v>46144</v>
      </c>
      <c r="C11" s="33">
        <v>635011</v>
      </c>
      <c r="D11" s="33">
        <v>546499</v>
      </c>
      <c r="E11" s="32">
        <v>16</v>
      </c>
      <c r="F11" s="33"/>
      <c r="G11" s="33">
        <v>3516</v>
      </c>
      <c r="H11" s="32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36" t="s">
        <v>0</v>
      </c>
      <c r="C12" s="40" t="s">
        <v>0</v>
      </c>
      <c r="D12" s="41"/>
      <c r="E12" s="41"/>
      <c r="F12" s="41"/>
      <c r="G12" s="41"/>
      <c r="H12" s="42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8">
        <v>46146</v>
      </c>
      <c r="C13" s="33">
        <v>426537</v>
      </c>
      <c r="D13" s="33">
        <v>360874</v>
      </c>
      <c r="E13" s="32"/>
      <c r="F13" s="33">
        <v>1992</v>
      </c>
      <c r="G13" s="35">
        <v>2328</v>
      </c>
      <c r="H13" s="33">
        <v>50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28">
        <v>46147</v>
      </c>
      <c r="C14" s="33">
        <v>518703</v>
      </c>
      <c r="D14" s="33">
        <v>437893.5</v>
      </c>
      <c r="E14" s="32"/>
      <c r="F14" s="33">
        <v>81.5</v>
      </c>
      <c r="G14" s="35"/>
      <c r="H14" s="32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8">
        <v>46148</v>
      </c>
      <c r="C15" s="33">
        <v>324737</v>
      </c>
      <c r="D15" s="33">
        <v>274038</v>
      </c>
      <c r="E15" s="32">
        <v>50</v>
      </c>
      <c r="F15" s="32"/>
      <c r="G15" s="35">
        <f>2190</f>
        <v>2190</v>
      </c>
      <c r="H15" s="33">
        <v>50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8">
        <v>46149</v>
      </c>
      <c r="C16" s="33">
        <v>355053</v>
      </c>
      <c r="D16" s="33">
        <v>301508.25</v>
      </c>
      <c r="E16" s="32">
        <v>9.25</v>
      </c>
      <c r="F16" s="32"/>
      <c r="G16" s="35">
        <v>2028</v>
      </c>
      <c r="H16" s="32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8">
        <v>46150</v>
      </c>
      <c r="C17" s="33">
        <v>411243</v>
      </c>
      <c r="D17" s="33">
        <v>346119.75</v>
      </c>
      <c r="E17" s="32"/>
      <c r="F17" s="33">
        <v>610.25</v>
      </c>
      <c r="G17" s="35">
        <v>2544</v>
      </c>
      <c r="H17" s="32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8">
        <v>46151</v>
      </c>
      <c r="C18" s="40" t="s">
        <v>17</v>
      </c>
      <c r="D18" s="41"/>
      <c r="E18" s="41"/>
      <c r="F18" s="41"/>
      <c r="G18" s="41"/>
      <c r="H18" s="42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36" t="s">
        <v>0</v>
      </c>
      <c r="C19" s="40" t="s">
        <v>0</v>
      </c>
      <c r="D19" s="41"/>
      <c r="E19" s="41"/>
      <c r="F19" s="41"/>
      <c r="G19" s="41"/>
      <c r="H19" s="42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8">
        <v>46153</v>
      </c>
      <c r="C20" s="33">
        <v>306343</v>
      </c>
      <c r="D20" s="33">
        <v>252932</v>
      </c>
      <c r="E20" s="32"/>
      <c r="F20" s="35">
        <v>2651.5</v>
      </c>
      <c r="G20" s="35">
        <v>1632</v>
      </c>
      <c r="H20" s="35">
        <v>50</v>
      </c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28">
        <v>46154</v>
      </c>
      <c r="C21" s="33">
        <v>485304</v>
      </c>
      <c r="D21" s="33">
        <v>404232</v>
      </c>
      <c r="E21" s="32">
        <v>1516</v>
      </c>
      <c r="F21" s="35"/>
      <c r="G21" s="35">
        <v>3666</v>
      </c>
      <c r="H21" s="35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8">
        <v>46155</v>
      </c>
      <c r="C22" s="40" t="s">
        <v>19</v>
      </c>
      <c r="D22" s="41"/>
      <c r="E22" s="41"/>
      <c r="F22" s="41"/>
      <c r="G22" s="41"/>
      <c r="H22" s="42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8">
        <v>46156</v>
      </c>
      <c r="C23" s="33">
        <v>344042</v>
      </c>
      <c r="D23" s="33">
        <v>296318.25</v>
      </c>
      <c r="E23" s="32"/>
      <c r="F23" s="35">
        <v>310.75</v>
      </c>
      <c r="G23" s="35">
        <v>1656</v>
      </c>
      <c r="H23" s="35">
        <v>50</v>
      </c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8">
        <v>46157</v>
      </c>
      <c r="C24" s="33">
        <v>509099</v>
      </c>
      <c r="D24" s="33">
        <v>434826.5</v>
      </c>
      <c r="E24" s="32"/>
      <c r="F24" s="35">
        <v>140.5</v>
      </c>
      <c r="G24" s="35">
        <v>3192</v>
      </c>
      <c r="H24" s="35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8">
        <v>46158</v>
      </c>
      <c r="C25" s="40" t="s">
        <v>17</v>
      </c>
      <c r="D25" s="41"/>
      <c r="E25" s="41"/>
      <c r="F25" s="41"/>
      <c r="G25" s="41"/>
      <c r="H25" s="42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36" t="s">
        <v>0</v>
      </c>
      <c r="C26" s="40" t="s">
        <v>0</v>
      </c>
      <c r="D26" s="41"/>
      <c r="E26" s="41"/>
      <c r="F26" s="41"/>
      <c r="G26" s="41"/>
      <c r="H26" s="42"/>
      <c r="I26" s="1"/>
      <c r="J26" s="1"/>
      <c r="K26" s="18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8">
        <v>46160</v>
      </c>
      <c r="C27" s="12">
        <v>543461</v>
      </c>
      <c r="D27" s="38">
        <v>461788.5</v>
      </c>
      <c r="E27" s="14"/>
      <c r="F27" s="12">
        <v>14.5</v>
      </c>
      <c r="G27" s="34">
        <v>2784</v>
      </c>
      <c r="H27" s="31">
        <v>50</v>
      </c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28">
        <v>46161</v>
      </c>
      <c r="C28" s="12">
        <v>524541</v>
      </c>
      <c r="D28" s="38">
        <v>448138.5</v>
      </c>
      <c r="E28" s="14"/>
      <c r="F28" s="12">
        <v>386.5</v>
      </c>
      <c r="G28" s="34">
        <f>3660</f>
        <v>3660</v>
      </c>
      <c r="H28" s="31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8">
        <v>46162</v>
      </c>
      <c r="C29" s="12">
        <v>276301</v>
      </c>
      <c r="D29" s="38">
        <v>237123.25</v>
      </c>
      <c r="E29" s="14">
        <v>334.25</v>
      </c>
      <c r="F29" s="12"/>
      <c r="G29" s="34">
        <v>1314</v>
      </c>
      <c r="H29" s="31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8">
        <v>46163</v>
      </c>
      <c r="C30" s="12">
        <v>412292</v>
      </c>
      <c r="D30" s="38">
        <v>343192.5</v>
      </c>
      <c r="E30" s="14">
        <v>1354.5</v>
      </c>
      <c r="F30" s="12"/>
      <c r="G30" s="34">
        <f>2166</f>
        <v>2166</v>
      </c>
      <c r="H30" s="31">
        <v>50</v>
      </c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8">
        <v>46164</v>
      </c>
      <c r="C31" s="40" t="s">
        <v>19</v>
      </c>
      <c r="D31" s="41"/>
      <c r="E31" s="41"/>
      <c r="F31" s="41"/>
      <c r="G31" s="41"/>
      <c r="H31" s="42"/>
      <c r="I31" s="1"/>
      <c r="J31" s="1"/>
      <c r="K31" s="18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8">
        <v>46165</v>
      </c>
      <c r="C32" s="12">
        <v>542169</v>
      </c>
      <c r="D32" s="38">
        <v>454961.25</v>
      </c>
      <c r="E32" s="14">
        <v>1166.25</v>
      </c>
      <c r="F32" s="12"/>
      <c r="G32" s="34">
        <v>1602</v>
      </c>
      <c r="H32" s="31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36" t="s">
        <v>0</v>
      </c>
      <c r="C33" s="40" t="s">
        <v>0</v>
      </c>
      <c r="D33" s="41"/>
      <c r="E33" s="41"/>
      <c r="F33" s="41"/>
      <c r="G33" s="41"/>
      <c r="H33" s="4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8">
        <v>46167</v>
      </c>
      <c r="C34" s="25"/>
      <c r="D34" s="39"/>
      <c r="E34" s="14"/>
      <c r="F34" s="12"/>
      <c r="G34" s="34"/>
      <c r="H34" s="31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28">
        <v>46168</v>
      </c>
      <c r="C35" s="25"/>
      <c r="D35" s="39"/>
      <c r="E35" s="14"/>
      <c r="F35" s="12"/>
      <c r="G35" s="34"/>
      <c r="H35" s="31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8">
        <v>46169</v>
      </c>
      <c r="C36" s="25"/>
      <c r="D36" s="39"/>
      <c r="E36" s="14"/>
      <c r="F36" s="12"/>
      <c r="G36" s="34"/>
      <c r="H36" s="31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8">
        <v>46170</v>
      </c>
      <c r="C37" s="25"/>
      <c r="D37" s="39"/>
      <c r="E37" s="14"/>
      <c r="F37" s="12"/>
      <c r="G37" s="34"/>
      <c r="H37" s="31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8">
        <v>46171</v>
      </c>
      <c r="C38" s="25"/>
      <c r="D38" s="39"/>
      <c r="E38" s="14"/>
      <c r="F38" s="12"/>
      <c r="G38" s="34"/>
      <c r="H38" s="31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8">
        <v>46172</v>
      </c>
      <c r="C39" s="40" t="s">
        <v>17</v>
      </c>
      <c r="D39" s="41"/>
      <c r="E39" s="41"/>
      <c r="F39" s="41"/>
      <c r="G39" s="41"/>
      <c r="H39" s="4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36" t="s">
        <v>0</v>
      </c>
      <c r="C40" s="40" t="s">
        <v>0</v>
      </c>
      <c r="D40" s="41"/>
      <c r="E40" s="41"/>
      <c r="F40" s="41"/>
      <c r="G40" s="41"/>
      <c r="H40" s="42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8"/>
      <c r="C41" s="12"/>
      <c r="D41" s="12"/>
      <c r="E41" s="32"/>
      <c r="F41" s="32"/>
      <c r="G41" s="32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2">
        <v>31</v>
      </c>
      <c r="B42" s="36"/>
      <c r="C42" s="40"/>
      <c r="D42" s="41"/>
      <c r="E42" s="41"/>
      <c r="F42" s="41"/>
      <c r="G42" s="41"/>
      <c r="H42" s="42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7" t="s">
        <v>1</v>
      </c>
      <c r="B43" s="28"/>
      <c r="C43" s="17">
        <f>SUM(C10:C42)</f>
        <v>7071814</v>
      </c>
      <c r="D43" s="17"/>
      <c r="E43" s="29">
        <f>SUM(E10:E42)</f>
        <v>4446.25</v>
      </c>
      <c r="F43" s="17">
        <f>SUM(F10:F42)</f>
        <v>7045.5</v>
      </c>
      <c r="G43" s="17">
        <f>SUM(G10:G42)</f>
        <v>37044</v>
      </c>
      <c r="H43" s="17">
        <f>SUM(H10:H42)</f>
        <v>300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1"/>
      <c r="C44" s="21"/>
      <c r="D44" s="21"/>
      <c r="E44" s="26"/>
      <c r="F44" s="9"/>
      <c r="G44" s="9"/>
      <c r="H44" s="1"/>
      <c r="I44" s="1"/>
      <c r="J44" s="1"/>
      <c r="K44" s="18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11">
    <mergeCell ref="C12:H12"/>
    <mergeCell ref="C19:H19"/>
    <mergeCell ref="C33:H33"/>
    <mergeCell ref="C39:H39"/>
    <mergeCell ref="C40:H40"/>
    <mergeCell ref="C42:H42"/>
    <mergeCell ref="C18:H18"/>
    <mergeCell ref="C25:H25"/>
    <mergeCell ref="C26:H26"/>
    <mergeCell ref="C22:H22"/>
    <mergeCell ref="C31:H31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MAY, SRS R1</vt:lpstr>
      <vt:lpstr>MAY, SRS R2</vt:lpstr>
      <vt:lpstr>MAY, SRS R3</vt:lpstr>
      <vt:lpstr>,</vt:lpstr>
      <vt:lpstr>'MAY, SRS R1'!Print_Area</vt:lpstr>
      <vt:lpstr>'MAY, SRS R2'!Print_Area</vt:lpstr>
      <vt:lpstr>'MAY,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2026-05-25T03:01:37Z</dcterms:modified>
</cp:coreProperties>
</file>