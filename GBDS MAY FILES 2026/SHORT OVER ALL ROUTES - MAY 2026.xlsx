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Users\User\Desktop\GBDS MAY FILES 2026\"/>
    </mc:Choice>
  </mc:AlternateContent>
  <xr:revisionPtr revIDLastSave="0" documentId="13_ncr:1_{9A2A9100-3E52-4452-BB0C-BF516A24D5CD}" xr6:coauthVersionLast="45" xr6:coauthVersionMax="47" xr10:uidLastSave="{00000000-0000-0000-0000-000000000000}"/>
  <bookViews>
    <workbookView xWindow="-120" yWindow="-120" windowWidth="29040" windowHeight="15840" xr2:uid="{B997F013-12E6-4AA2-8A9D-EFCC32EA76C2}"/>
  </bookViews>
  <sheets>
    <sheet name="MAY, SRS R1" sheetId="6" r:id="rId1"/>
    <sheet name="MAY, SRS R2" sheetId="12" r:id="rId2"/>
    <sheet name="MAY, SRS R3" sheetId="13" r:id="rId3"/>
    <sheet name="," sheetId="14" r:id="rId4"/>
  </sheets>
  <definedNames>
    <definedName name="_xlnm.Print_Area" localSheetId="0">'MAY, SRS R1'!$A$1:$H$44</definedName>
    <definedName name="_xlnm.Print_Area" localSheetId="1">'MAY, SRS R2'!$A$1:$H$44</definedName>
    <definedName name="_xlnm.Print_Area" localSheetId="2">'MAY, SRS R3'!$A$1:$H$44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G28" i="13" l="1"/>
  <c r="G15" i="13" l="1"/>
  <c r="H43" i="13" l="1"/>
  <c r="G43" i="13"/>
  <c r="F43" i="13"/>
  <c r="E43" i="13"/>
  <c r="C43" i="13"/>
  <c r="H43" i="12"/>
  <c r="G43" i="12"/>
  <c r="F43" i="12"/>
  <c r="E43" i="12"/>
  <c r="C43" i="12"/>
  <c r="G43" i="6" l="1"/>
  <c r="E43" i="6" l="1"/>
  <c r="F43" i="6"/>
  <c r="H43" i="6"/>
  <c r="C43" i="6" l="1"/>
</calcChain>
</file>

<file path=xl/sharedStrings.xml><?xml version="1.0" encoding="utf-8"?>
<sst xmlns="http://schemas.openxmlformats.org/spreadsheetml/2006/main" count="86" uniqueCount="20">
  <si>
    <t>SUNDAY</t>
  </si>
  <si>
    <t>TOTAL</t>
  </si>
  <si>
    <t>No.</t>
  </si>
  <si>
    <t>OVER</t>
  </si>
  <si>
    <t>OTHERS</t>
  </si>
  <si>
    <t xml:space="preserve">(SHORT) </t>
  </si>
  <si>
    <t>ROUTE 1</t>
  </si>
  <si>
    <t xml:space="preserve">SALES REPORT SUMMARY </t>
  </si>
  <si>
    <t>ROUTE 2</t>
  </si>
  <si>
    <t>ROUTE 3</t>
  </si>
  <si>
    <r>
      <t>DSP:</t>
    </r>
    <r>
      <rPr>
        <b/>
        <u/>
        <sz val="11"/>
        <color theme="1"/>
        <rFont val="Times New Roman"/>
        <family val="1"/>
      </rPr>
      <t xml:space="preserve"> DANDAYO, RONNEL</t>
    </r>
  </si>
  <si>
    <t>DATE</t>
  </si>
  <si>
    <r>
      <t>DSP:</t>
    </r>
    <r>
      <rPr>
        <b/>
        <u/>
        <sz val="11"/>
        <color theme="1"/>
        <rFont val="Times New Roman"/>
        <family val="1"/>
      </rPr>
      <t xml:space="preserve"> GICA, GRACE</t>
    </r>
  </si>
  <si>
    <r>
      <t>DSP:</t>
    </r>
    <r>
      <rPr>
        <b/>
        <u/>
        <sz val="11"/>
        <color theme="1"/>
        <rFont val="Times New Roman"/>
        <family val="1"/>
      </rPr>
      <t xml:space="preserve"> PORMENTO, ESTEMARK</t>
    </r>
  </si>
  <si>
    <t>DISCOUNT</t>
  </si>
  <si>
    <t>TOTAL SALES</t>
  </si>
  <si>
    <t>NET SALES</t>
  </si>
  <si>
    <t>DAY-OFF</t>
  </si>
  <si>
    <t>MAY</t>
  </si>
  <si>
    <t>NO TRIP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</si>
</sst>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* #,##0.00_);_(* \(#,##0.00\);_(* &quot;-&quot;??_);_(@_)"/>
    <numFmt numFmtId="165" formatCode="[$-F800]dddd\,\ mmmm\ dd\,\ yyyy"/>
  </numFmts>
  <fonts count="15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b/>
      <sz val="10"/>
      <color theme="1"/>
      <name val="Times New Roman"/>
      <family val="1"/>
    </font>
    <font>
      <b/>
      <sz val="12"/>
      <color theme="1"/>
      <name val="Times New Roman"/>
      <family val="1"/>
    </font>
    <font>
      <b/>
      <sz val="13"/>
      <color theme="1"/>
      <name val="Times New Roman"/>
      <family val="1"/>
    </font>
    <font>
      <sz val="13"/>
      <color theme="1"/>
      <name val="Times New Roman"/>
      <family val="1"/>
    </font>
    <font>
      <b/>
      <u/>
      <sz val="11"/>
      <color theme="1"/>
      <name val="Times New Roman"/>
      <family val="1"/>
    </font>
    <font>
      <sz val="11"/>
      <color rgb="FFFF0000"/>
      <name val="Times New Roman"/>
      <family val="1"/>
    </font>
    <font>
      <b/>
      <sz val="11"/>
      <color rgb="FFFF0000"/>
      <name val="Times New Roman"/>
      <family val="1"/>
    </font>
    <font>
      <sz val="11"/>
      <color rgb="FFC00000"/>
      <name val="Times New Roman"/>
      <family val="1"/>
    </font>
    <font>
      <sz val="11"/>
      <color indexed="8"/>
      <name val="Calibri"/>
      <family val="2"/>
    </font>
    <font>
      <b/>
      <sz val="11"/>
      <color theme="0"/>
      <name val="Times New Roman"/>
      <family val="1"/>
    </font>
    <font>
      <sz val="1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rgb="FFFF000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164" fontId="12" fillId="0" borderId="0" applyFont="0" applyFill="0" applyBorder="0" applyAlignment="0" applyProtection="0"/>
  </cellStyleXfs>
  <cellXfs count="43">
    <xf numFmtId="0" fontId="0" fillId="0" borderId="0" xfId="0"/>
    <xf numFmtId="0" fontId="2" fillId="0" borderId="0" xfId="0" applyFont="1"/>
    <xf numFmtId="0" fontId="7" fillId="0" borderId="0" xfId="0" applyFont="1"/>
    <xf numFmtId="17" fontId="5" fillId="0" borderId="0" xfId="0" applyNumberFormat="1" applyFont="1"/>
    <xf numFmtId="0" fontId="5" fillId="0" borderId="0" xfId="0" applyFont="1" applyAlignment="1">
      <alignment horizontal="left"/>
    </xf>
    <xf numFmtId="0" fontId="3" fillId="0" borderId="0" xfId="0" applyFont="1"/>
    <xf numFmtId="0" fontId="8" fillId="0" borderId="0" xfId="0" applyFont="1"/>
    <xf numFmtId="164" fontId="2" fillId="0" borderId="0" xfId="1" applyFont="1"/>
    <xf numFmtId="164" fontId="9" fillId="0" borderId="0" xfId="1" applyFont="1"/>
    <xf numFmtId="164" fontId="2" fillId="0" borderId="0" xfId="1" applyFont="1" applyBorder="1"/>
    <xf numFmtId="0" fontId="3" fillId="0" borderId="3" xfId="0" applyFont="1" applyBorder="1" applyAlignment="1">
      <alignment horizontal="center"/>
    </xf>
    <xf numFmtId="0" fontId="2" fillId="0" borderId="1" xfId="0" applyFont="1" applyBorder="1"/>
    <xf numFmtId="164" fontId="2" fillId="0" borderId="1" xfId="1" applyFont="1" applyBorder="1"/>
    <xf numFmtId="0" fontId="3" fillId="0" borderId="3" xfId="0" applyFont="1" applyBorder="1"/>
    <xf numFmtId="164" fontId="9" fillId="0" borderId="4" xfId="1" applyFont="1" applyBorder="1"/>
    <xf numFmtId="0" fontId="3" fillId="0" borderId="1" xfId="0" applyFont="1" applyBorder="1" applyAlignment="1">
      <alignment horizontal="center"/>
    </xf>
    <xf numFmtId="0" fontId="0" fillId="0" borderId="1" xfId="0" applyBorder="1"/>
    <xf numFmtId="164" fontId="3" fillId="0" borderId="1" xfId="1" applyFont="1" applyBorder="1"/>
    <xf numFmtId="164" fontId="11" fillId="0" borderId="0" xfId="1" applyFont="1"/>
    <xf numFmtId="0" fontId="3" fillId="0" borderId="0" xfId="0" applyFont="1" applyAlignment="1">
      <alignment horizontal="left"/>
    </xf>
    <xf numFmtId="0" fontId="6" fillId="0" borderId="0" xfId="0" applyFont="1"/>
    <xf numFmtId="0" fontId="4" fillId="0" borderId="0" xfId="0" applyFont="1" applyAlignment="1">
      <alignment horizontal="center"/>
    </xf>
    <xf numFmtId="0" fontId="2" fillId="0" borderId="3" xfId="0" applyFont="1" applyBorder="1"/>
    <xf numFmtId="0" fontId="3" fillId="2" borderId="3" xfId="0" applyFont="1" applyFill="1" applyBorder="1" applyAlignment="1">
      <alignment horizontal="center"/>
    </xf>
    <xf numFmtId="0" fontId="13" fillId="3" borderId="2" xfId="0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164" fontId="3" fillId="0" borderId="0" xfId="1" applyFont="1" applyBorder="1"/>
    <xf numFmtId="0" fontId="3" fillId="0" borderId="1" xfId="0" applyFont="1" applyBorder="1"/>
    <xf numFmtId="165" fontId="2" fillId="0" borderId="1" xfId="0" applyNumberFormat="1" applyFont="1" applyBorder="1" applyAlignment="1">
      <alignment horizontal="center" vertical="center"/>
    </xf>
    <xf numFmtId="164" fontId="10" fillId="0" borderId="1" xfId="1" applyFont="1" applyBorder="1"/>
    <xf numFmtId="0" fontId="9" fillId="0" borderId="0" xfId="0" applyFont="1" applyAlignment="1">
      <alignment horizontal="center" vertical="center"/>
    </xf>
    <xf numFmtId="164" fontId="2" fillId="0" borderId="6" xfId="1" applyFont="1" applyBorder="1" applyAlignment="1"/>
    <xf numFmtId="164" fontId="9" fillId="0" borderId="1" xfId="1" applyFont="1" applyBorder="1" applyAlignment="1"/>
    <xf numFmtId="164" fontId="14" fillId="0" borderId="1" xfId="1" applyFont="1" applyBorder="1" applyAlignment="1"/>
    <xf numFmtId="164" fontId="2" fillId="0" borderId="6" xfId="1" applyFont="1" applyBorder="1"/>
    <xf numFmtId="164" fontId="2" fillId="0" borderId="1" xfId="1" applyFont="1" applyBorder="1" applyAlignment="1"/>
    <xf numFmtId="165" fontId="9" fillId="0" borderId="1" xfId="0" applyNumberFormat="1" applyFont="1" applyBorder="1" applyAlignment="1">
      <alignment horizontal="center" vertical="center"/>
    </xf>
    <xf numFmtId="0" fontId="3" fillId="2" borderId="2" xfId="0" applyFont="1" applyFill="1" applyBorder="1" applyAlignment="1">
      <alignment horizontal="center"/>
    </xf>
    <xf numFmtId="164" fontId="2" fillId="0" borderId="4" xfId="1" applyFont="1" applyBorder="1"/>
    <xf numFmtId="0" fontId="0" fillId="0" borderId="4" xfId="0" applyBorder="1" applyAlignment="1">
      <alignment horizontal="center"/>
    </xf>
    <xf numFmtId="164" fontId="9" fillId="0" borderId="4" xfId="1" applyFont="1" applyBorder="1" applyAlignment="1">
      <alignment horizontal="center"/>
    </xf>
    <xf numFmtId="164" fontId="9" fillId="0" borderId="5" xfId="1" applyFont="1" applyBorder="1" applyAlignment="1">
      <alignment horizontal="center"/>
    </xf>
    <xf numFmtId="164" fontId="9" fillId="0" borderId="6" xfId="1" applyFont="1" applyBorder="1" applyAlignment="1">
      <alignment horizontal="center"/>
    </xf>
  </cellXfs>
  <cellStyles count="3">
    <cellStyle name="Comma" xfId="1" builtinId="3"/>
    <cellStyle name="Comma 2" xfId="2" xr:uid="{34E7C70B-78FD-4A3A-BABD-C031A20FC189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12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2DCC38-B676-43F3-B392-E571D3EDC2BC}">
  <dimension ref="A1:S279"/>
  <sheetViews>
    <sheetView tabSelected="1" zoomScaleNormal="100" zoomScaleSheetLayoutView="100" workbookViewId="0">
      <selection activeCell="C29" sqref="C29"/>
    </sheetView>
  </sheetViews>
  <sheetFormatPr defaultRowHeight="14.25"/>
  <cols>
    <col min="1" max="1" width="4.25" customWidth="1"/>
    <col min="2" max="2" width="29" bestFit="1" customWidth="1"/>
    <col min="3" max="4" width="14.875" customWidth="1"/>
    <col min="5" max="5" width="14.75" customWidth="1"/>
    <col min="6" max="6" width="15" style="16" customWidth="1"/>
    <col min="7" max="7" width="15" customWidth="1"/>
    <col min="8" max="8" width="14.75" customWidth="1"/>
    <col min="11" max="11" width="13.125" bestFit="1" customWidth="1"/>
    <col min="14" max="14" width="13.25" bestFit="1" customWidth="1"/>
  </cols>
  <sheetData>
    <row r="1" spans="1:19">
      <c r="F1"/>
    </row>
    <row r="2" spans="1:19" ht="16.5">
      <c r="A2" s="2"/>
      <c r="B2" s="20" t="s">
        <v>7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</row>
    <row r="3" spans="1:19" ht="1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</row>
    <row r="4" spans="1:19" ht="15.75">
      <c r="A4" s="3"/>
      <c r="B4" s="3" t="s">
        <v>18</v>
      </c>
      <c r="C4" s="4"/>
      <c r="D4" s="4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</row>
    <row r="5" spans="1:19" ht="15">
      <c r="A5" s="5"/>
      <c r="B5" s="19">
        <v>2026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</row>
    <row r="6" spans="1:19" ht="15">
      <c r="A6" s="5"/>
      <c r="B6" s="5" t="s">
        <v>6</v>
      </c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</row>
    <row r="7" spans="1:19" ht="15">
      <c r="A7" s="5"/>
      <c r="B7" s="5" t="s">
        <v>10</v>
      </c>
      <c r="C7" s="6"/>
      <c r="D7" s="6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</row>
    <row r="8" spans="1:19" ht="15">
      <c r="A8" s="5"/>
      <c r="B8" s="5"/>
      <c r="C8" s="6"/>
      <c r="D8" s="6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</row>
    <row r="9" spans="1:19" ht="15">
      <c r="A9" s="13" t="s">
        <v>2</v>
      </c>
      <c r="B9" s="10" t="s">
        <v>11</v>
      </c>
      <c r="C9" s="23" t="s">
        <v>15</v>
      </c>
      <c r="D9" s="37" t="s">
        <v>16</v>
      </c>
      <c r="E9" s="24" t="s">
        <v>5</v>
      </c>
      <c r="F9" s="15" t="s">
        <v>3</v>
      </c>
      <c r="G9" s="15" t="s">
        <v>14</v>
      </c>
      <c r="H9" s="15" t="s">
        <v>4</v>
      </c>
      <c r="I9" s="1"/>
      <c r="J9" s="1"/>
      <c r="K9" s="1"/>
      <c r="L9" s="1"/>
      <c r="M9" s="1"/>
      <c r="N9" s="1"/>
      <c r="O9" s="1"/>
      <c r="P9" s="1"/>
      <c r="Q9" s="1"/>
      <c r="R9" s="1"/>
      <c r="S9" s="1"/>
    </row>
    <row r="10" spans="1:19" ht="15">
      <c r="A10" s="11">
        <v>1</v>
      </c>
      <c r="B10" s="28">
        <v>46143</v>
      </c>
      <c r="C10" s="33">
        <v>545651</v>
      </c>
      <c r="D10" s="33">
        <v>441732.5</v>
      </c>
      <c r="E10" s="32"/>
      <c r="F10" s="33">
        <v>23.5</v>
      </c>
      <c r="G10" s="33">
        <v>3240</v>
      </c>
      <c r="H10" s="32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</row>
    <row r="11" spans="1:19" ht="15">
      <c r="A11" s="11">
        <v>2</v>
      </c>
      <c r="B11" s="28">
        <v>46144</v>
      </c>
      <c r="C11" s="40" t="s">
        <v>17</v>
      </c>
      <c r="D11" s="41"/>
      <c r="E11" s="41"/>
      <c r="F11" s="41"/>
      <c r="G11" s="41"/>
      <c r="H11" s="42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</row>
    <row r="12" spans="1:19" ht="15">
      <c r="A12" s="11">
        <v>3</v>
      </c>
      <c r="B12" s="36" t="s">
        <v>0</v>
      </c>
      <c r="C12" s="40" t="s">
        <v>0</v>
      </c>
      <c r="D12" s="41"/>
      <c r="E12" s="41"/>
      <c r="F12" s="41"/>
      <c r="G12" s="41"/>
      <c r="H12" s="42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</row>
    <row r="13" spans="1:19" ht="15">
      <c r="A13" s="11">
        <v>4</v>
      </c>
      <c r="B13" s="28">
        <v>46146</v>
      </c>
      <c r="C13" s="33">
        <v>290296</v>
      </c>
      <c r="D13" s="33">
        <v>248078.75</v>
      </c>
      <c r="E13" s="32"/>
      <c r="F13" s="33">
        <v>2066.25</v>
      </c>
      <c r="G13" s="35"/>
      <c r="H13" s="33">
        <v>200</v>
      </c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</row>
    <row r="14" spans="1:19" ht="15">
      <c r="A14" s="11">
        <v>5</v>
      </c>
      <c r="B14" s="28">
        <v>46147</v>
      </c>
      <c r="C14" s="33">
        <v>470610</v>
      </c>
      <c r="D14" s="33">
        <v>388937.25</v>
      </c>
      <c r="E14" s="32">
        <v>3519</v>
      </c>
      <c r="F14" s="32"/>
      <c r="G14" s="35">
        <v>2682</v>
      </c>
      <c r="H14" s="33">
        <v>200</v>
      </c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</row>
    <row r="15" spans="1:19" ht="15">
      <c r="A15" s="11">
        <v>6</v>
      </c>
      <c r="B15" s="28">
        <v>46148</v>
      </c>
      <c r="C15" s="33">
        <v>302093.92</v>
      </c>
      <c r="D15" s="33">
        <v>190643.42</v>
      </c>
      <c r="E15" s="32"/>
      <c r="F15" s="33">
        <v>1643.58</v>
      </c>
      <c r="G15" s="35"/>
      <c r="H15" s="32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</row>
    <row r="16" spans="1:19" ht="15">
      <c r="A16" s="11">
        <v>7</v>
      </c>
      <c r="B16" s="28">
        <v>46149</v>
      </c>
      <c r="C16" s="33">
        <v>405449</v>
      </c>
      <c r="D16" s="33">
        <v>331751.75</v>
      </c>
      <c r="E16" s="32">
        <v>288.75</v>
      </c>
      <c r="F16" s="32"/>
      <c r="G16" s="35">
        <v>2880</v>
      </c>
      <c r="H16" s="32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</row>
    <row r="17" spans="1:19" ht="15">
      <c r="A17" s="11">
        <v>8</v>
      </c>
      <c r="B17" s="28">
        <v>46150</v>
      </c>
      <c r="C17" s="40" t="s">
        <v>19</v>
      </c>
      <c r="D17" s="41"/>
      <c r="E17" s="41"/>
      <c r="F17" s="41"/>
      <c r="G17" s="41"/>
      <c r="H17" s="42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</row>
    <row r="18" spans="1:19" ht="15">
      <c r="A18" s="11">
        <v>9</v>
      </c>
      <c r="B18" s="28">
        <v>46151</v>
      </c>
      <c r="C18" s="40" t="s">
        <v>17</v>
      </c>
      <c r="D18" s="41"/>
      <c r="E18" s="41"/>
      <c r="F18" s="41"/>
      <c r="G18" s="41"/>
      <c r="H18" s="42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</row>
    <row r="19" spans="1:19" ht="15">
      <c r="A19" s="11">
        <v>10</v>
      </c>
      <c r="B19" s="36" t="s">
        <v>0</v>
      </c>
      <c r="C19" s="40" t="s">
        <v>0</v>
      </c>
      <c r="D19" s="41"/>
      <c r="E19" s="41"/>
      <c r="F19" s="41"/>
      <c r="G19" s="41"/>
      <c r="H19" s="42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</row>
    <row r="20" spans="1:19" ht="15">
      <c r="A20" s="11">
        <v>11</v>
      </c>
      <c r="B20" s="28">
        <v>46153</v>
      </c>
      <c r="C20" s="33">
        <v>312686.83</v>
      </c>
      <c r="D20" s="33">
        <v>270424.33</v>
      </c>
      <c r="E20" s="32">
        <v>47.33</v>
      </c>
      <c r="F20" s="35"/>
      <c r="G20" s="35"/>
      <c r="H20" s="35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</row>
    <row r="21" spans="1:19" ht="15">
      <c r="A21" s="11">
        <v>12</v>
      </c>
      <c r="B21" s="28">
        <v>46154</v>
      </c>
      <c r="C21" s="33">
        <v>302421</v>
      </c>
      <c r="D21" s="33">
        <v>257779.79</v>
      </c>
      <c r="E21" s="32">
        <v>189.54</v>
      </c>
      <c r="F21" s="35"/>
      <c r="G21" s="35">
        <v>2094</v>
      </c>
      <c r="H21" s="35">
        <v>102.46</v>
      </c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</row>
    <row r="22" spans="1:19" ht="15">
      <c r="A22" s="11">
        <v>13</v>
      </c>
      <c r="B22" s="28">
        <v>46155</v>
      </c>
      <c r="C22" s="33">
        <v>346170.83</v>
      </c>
      <c r="D22" s="33">
        <v>234441.33</v>
      </c>
      <c r="E22" s="32"/>
      <c r="F22" s="35">
        <v>3.67</v>
      </c>
      <c r="G22" s="35"/>
      <c r="H22" s="35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</row>
    <row r="23" spans="1:19" ht="15">
      <c r="A23" s="11">
        <v>14</v>
      </c>
      <c r="B23" s="28">
        <v>46156</v>
      </c>
      <c r="C23" s="33">
        <v>563496</v>
      </c>
      <c r="D23" s="33">
        <v>497309.25</v>
      </c>
      <c r="E23" s="32">
        <v>148.25</v>
      </c>
      <c r="F23" s="35"/>
      <c r="G23" s="35">
        <v>3420</v>
      </c>
      <c r="H23" s="35"/>
      <c r="I23" s="1"/>
      <c r="J23" s="1"/>
      <c r="K23" s="7"/>
      <c r="L23" s="1"/>
      <c r="M23" s="1"/>
      <c r="N23" s="1"/>
      <c r="O23" s="1"/>
      <c r="P23" s="1"/>
      <c r="Q23" s="1"/>
      <c r="R23" s="1"/>
      <c r="S23" s="1"/>
    </row>
    <row r="24" spans="1:19" ht="15">
      <c r="A24" s="11">
        <v>15</v>
      </c>
      <c r="B24" s="28">
        <v>46157</v>
      </c>
      <c r="C24" s="33">
        <v>339179</v>
      </c>
      <c r="D24" s="33">
        <v>269272.5</v>
      </c>
      <c r="E24" s="32"/>
      <c r="F24" s="35">
        <v>2047.5</v>
      </c>
      <c r="G24" s="35">
        <v>1994</v>
      </c>
      <c r="H24" s="35"/>
      <c r="I24" s="1"/>
      <c r="J24" s="1"/>
      <c r="K24" s="7"/>
      <c r="L24" s="1"/>
      <c r="M24" s="1"/>
      <c r="N24" s="1"/>
      <c r="O24" s="1"/>
      <c r="P24" s="1"/>
      <c r="Q24" s="1"/>
      <c r="R24" s="1"/>
      <c r="S24" s="1"/>
    </row>
    <row r="25" spans="1:19" ht="15">
      <c r="A25" s="11">
        <v>16</v>
      </c>
      <c r="B25" s="28">
        <v>46158</v>
      </c>
      <c r="C25" s="40" t="s">
        <v>17</v>
      </c>
      <c r="D25" s="41"/>
      <c r="E25" s="41"/>
      <c r="F25" s="41"/>
      <c r="G25" s="41"/>
      <c r="H25" s="42"/>
      <c r="I25" s="1"/>
      <c r="J25" s="1"/>
      <c r="K25" s="7"/>
      <c r="L25" s="1"/>
      <c r="M25" s="1"/>
      <c r="N25" s="1"/>
      <c r="O25" s="1"/>
      <c r="P25" s="1"/>
      <c r="Q25" s="1"/>
      <c r="R25" s="1"/>
      <c r="S25" s="1"/>
    </row>
    <row r="26" spans="1:19" ht="15">
      <c r="A26" s="11">
        <v>17</v>
      </c>
      <c r="B26" s="36" t="s">
        <v>0</v>
      </c>
      <c r="C26" s="40" t="s">
        <v>0</v>
      </c>
      <c r="D26" s="41"/>
      <c r="E26" s="41"/>
      <c r="F26" s="41"/>
      <c r="G26" s="41"/>
      <c r="H26" s="42"/>
      <c r="I26" s="1"/>
      <c r="J26" s="1"/>
      <c r="K26" s="18"/>
      <c r="L26" s="1"/>
      <c r="M26" s="1"/>
      <c r="N26" s="1"/>
      <c r="O26" s="1"/>
      <c r="P26" s="1"/>
      <c r="Q26" s="1"/>
      <c r="R26" s="1"/>
      <c r="S26" s="1"/>
    </row>
    <row r="27" spans="1:19" ht="15">
      <c r="A27" s="11">
        <v>18</v>
      </c>
      <c r="B27" s="28">
        <v>46160</v>
      </c>
      <c r="C27" s="40" t="s">
        <v>19</v>
      </c>
      <c r="D27" s="41"/>
      <c r="E27" s="41"/>
      <c r="F27" s="41"/>
      <c r="G27" s="41"/>
      <c r="H27" s="42"/>
      <c r="I27" s="1"/>
      <c r="J27" s="1"/>
      <c r="K27" s="7"/>
      <c r="L27" s="1"/>
      <c r="M27" s="1"/>
      <c r="N27" s="1"/>
      <c r="O27" s="1"/>
      <c r="P27" s="1"/>
      <c r="Q27" s="1"/>
      <c r="R27" s="1"/>
      <c r="S27" s="1"/>
    </row>
    <row r="28" spans="1:19" ht="15">
      <c r="A28" s="11">
        <v>19</v>
      </c>
      <c r="B28" s="28">
        <v>46161</v>
      </c>
      <c r="C28" s="12">
        <v>442799</v>
      </c>
      <c r="D28" s="38">
        <v>369506</v>
      </c>
      <c r="E28" s="14"/>
      <c r="F28" s="12">
        <v>8012</v>
      </c>
      <c r="G28" s="34">
        <v>2742</v>
      </c>
      <c r="H28" s="31"/>
      <c r="I28" s="1"/>
      <c r="J28" s="1"/>
      <c r="K28" s="7"/>
      <c r="L28" s="1"/>
      <c r="M28" s="1"/>
      <c r="N28" s="1"/>
      <c r="O28" s="1"/>
      <c r="P28" s="1"/>
      <c r="Q28" s="1"/>
      <c r="R28" s="1"/>
      <c r="S28" s="1"/>
    </row>
    <row r="29" spans="1:19" ht="15">
      <c r="A29" s="11">
        <v>20</v>
      </c>
      <c r="B29" s="28">
        <v>46162</v>
      </c>
      <c r="C29" s="12"/>
      <c r="D29" s="38"/>
      <c r="E29" s="14"/>
      <c r="F29" s="12"/>
      <c r="G29" s="34"/>
      <c r="H29" s="31"/>
      <c r="I29" s="1"/>
      <c r="J29" s="1"/>
      <c r="K29" s="7"/>
      <c r="L29" s="1"/>
      <c r="M29" s="1"/>
      <c r="N29" s="1"/>
      <c r="O29" s="1"/>
      <c r="P29" s="1"/>
      <c r="Q29" s="1"/>
      <c r="R29" s="1"/>
      <c r="S29" s="1"/>
    </row>
    <row r="30" spans="1:19" ht="15">
      <c r="A30" s="11">
        <v>21</v>
      </c>
      <c r="B30" s="28">
        <v>46163</v>
      </c>
      <c r="C30" s="12"/>
      <c r="D30" s="38"/>
      <c r="E30" s="14"/>
      <c r="F30" s="12"/>
      <c r="G30" s="34"/>
      <c r="H30" s="31"/>
      <c r="I30" s="1"/>
      <c r="J30" s="1"/>
      <c r="K30" s="7"/>
      <c r="L30" s="1"/>
      <c r="M30" s="1"/>
      <c r="N30" s="1"/>
      <c r="O30" s="1"/>
      <c r="P30" s="1"/>
      <c r="Q30" s="1"/>
      <c r="R30" s="1"/>
      <c r="S30" s="1"/>
    </row>
    <row r="31" spans="1:19" ht="15">
      <c r="A31" s="11">
        <v>22</v>
      </c>
      <c r="B31" s="28">
        <v>46164</v>
      </c>
      <c r="C31" s="12"/>
      <c r="D31" s="38"/>
      <c r="E31" s="14"/>
      <c r="F31" s="12"/>
      <c r="G31" s="34"/>
      <c r="H31" s="31"/>
      <c r="I31" s="1"/>
      <c r="J31" s="1"/>
      <c r="K31" s="18"/>
      <c r="L31" s="1"/>
      <c r="M31" s="1"/>
      <c r="N31" s="1"/>
      <c r="O31" s="1"/>
      <c r="P31" s="1"/>
      <c r="Q31" s="1"/>
      <c r="R31" s="1"/>
      <c r="S31" s="1"/>
    </row>
    <row r="32" spans="1:19" ht="15">
      <c r="A32" s="11">
        <v>23</v>
      </c>
      <c r="B32" s="28">
        <v>46165</v>
      </c>
      <c r="C32" s="40" t="s">
        <v>17</v>
      </c>
      <c r="D32" s="41"/>
      <c r="E32" s="41"/>
      <c r="F32" s="41"/>
      <c r="G32" s="41"/>
      <c r="H32" s="42"/>
      <c r="I32" s="1"/>
      <c r="J32" s="1"/>
      <c r="K32" s="7"/>
      <c r="L32" s="1"/>
      <c r="M32" s="1"/>
      <c r="N32" s="1"/>
      <c r="O32" s="1"/>
      <c r="P32" s="1"/>
      <c r="Q32" s="1"/>
      <c r="R32" s="1"/>
      <c r="S32" s="1"/>
    </row>
    <row r="33" spans="1:19" ht="15">
      <c r="A33" s="11">
        <v>24</v>
      </c>
      <c r="B33" s="36" t="s">
        <v>0</v>
      </c>
      <c r="C33" s="40" t="s">
        <v>0</v>
      </c>
      <c r="D33" s="41"/>
      <c r="E33" s="41"/>
      <c r="F33" s="41"/>
      <c r="G33" s="41"/>
      <c r="H33" s="42"/>
      <c r="I33" s="1"/>
      <c r="J33" s="1"/>
      <c r="K33" s="7"/>
      <c r="L33" s="1"/>
      <c r="M33" s="1"/>
      <c r="N33" s="7"/>
      <c r="O33" s="1"/>
      <c r="P33" s="1"/>
      <c r="Q33" s="1"/>
      <c r="R33" s="1"/>
      <c r="S33" s="1"/>
    </row>
    <row r="34" spans="1:19" ht="15">
      <c r="A34" s="11">
        <v>25</v>
      </c>
      <c r="B34" s="28">
        <v>46167</v>
      </c>
      <c r="C34" s="25"/>
      <c r="D34" s="39"/>
      <c r="E34" s="14"/>
      <c r="F34" s="12"/>
      <c r="G34" s="34"/>
      <c r="H34" s="31"/>
      <c r="I34" s="1"/>
      <c r="J34" s="1"/>
      <c r="K34" s="7"/>
      <c r="L34" s="1"/>
      <c r="M34" s="1"/>
      <c r="N34" s="7"/>
      <c r="O34" s="1"/>
      <c r="P34" s="1"/>
      <c r="Q34" s="1"/>
      <c r="R34" s="1"/>
      <c r="S34" s="1"/>
    </row>
    <row r="35" spans="1:19" ht="15">
      <c r="A35" s="11">
        <v>26</v>
      </c>
      <c r="B35" s="28">
        <v>46168</v>
      </c>
      <c r="C35" s="25"/>
      <c r="D35" s="39"/>
      <c r="E35" s="14"/>
      <c r="F35" s="12"/>
      <c r="G35" s="34"/>
      <c r="H35" s="31"/>
      <c r="I35" s="1"/>
      <c r="J35" s="1"/>
      <c r="K35" s="7"/>
      <c r="L35" s="1"/>
      <c r="M35" s="1"/>
      <c r="N35" s="7"/>
      <c r="O35" s="1"/>
      <c r="P35" s="1"/>
      <c r="Q35" s="1"/>
      <c r="R35" s="1"/>
      <c r="S35" s="1"/>
    </row>
    <row r="36" spans="1:19" ht="15">
      <c r="A36" s="11">
        <v>27</v>
      </c>
      <c r="B36" s="28">
        <v>46169</v>
      </c>
      <c r="C36" s="25"/>
      <c r="D36" s="39"/>
      <c r="E36" s="14"/>
      <c r="F36" s="12"/>
      <c r="G36" s="34"/>
      <c r="H36" s="31"/>
      <c r="I36" s="1"/>
      <c r="J36" s="1"/>
      <c r="K36" s="7"/>
      <c r="L36" s="1"/>
      <c r="M36" s="1"/>
      <c r="N36" s="7"/>
      <c r="O36" s="1"/>
      <c r="P36" s="1"/>
      <c r="Q36" s="1"/>
      <c r="R36" s="1"/>
      <c r="S36" s="1"/>
    </row>
    <row r="37" spans="1:19" ht="15">
      <c r="A37" s="11">
        <v>28</v>
      </c>
      <c r="B37" s="28">
        <v>46170</v>
      </c>
      <c r="C37" s="25"/>
      <c r="D37" s="39"/>
      <c r="E37" s="14"/>
      <c r="F37" s="12"/>
      <c r="G37" s="34"/>
      <c r="H37" s="31"/>
      <c r="I37" s="1"/>
      <c r="J37" s="1"/>
      <c r="K37" s="8"/>
      <c r="L37" s="1"/>
      <c r="M37" s="1"/>
      <c r="N37" s="7"/>
      <c r="O37" s="1"/>
      <c r="P37" s="1"/>
      <c r="Q37" s="1"/>
      <c r="R37" s="1"/>
      <c r="S37" s="1"/>
    </row>
    <row r="38" spans="1:19" ht="15">
      <c r="A38" s="11">
        <v>29</v>
      </c>
      <c r="B38" s="28">
        <v>46171</v>
      </c>
      <c r="C38" s="25"/>
      <c r="D38" s="39"/>
      <c r="E38" s="14"/>
      <c r="F38" s="12"/>
      <c r="G38" s="34"/>
      <c r="H38" s="31"/>
      <c r="I38" s="1"/>
      <c r="J38" s="1"/>
      <c r="K38" s="7"/>
      <c r="L38" s="1"/>
      <c r="M38" s="1"/>
      <c r="N38" s="1"/>
      <c r="O38" s="1"/>
      <c r="P38" s="1"/>
      <c r="Q38" s="1"/>
      <c r="R38" s="1"/>
      <c r="S38" s="1"/>
    </row>
    <row r="39" spans="1:19" ht="15">
      <c r="A39" s="11">
        <v>30</v>
      </c>
      <c r="B39" s="28">
        <v>46172</v>
      </c>
      <c r="C39" s="40" t="s">
        <v>17</v>
      </c>
      <c r="D39" s="41"/>
      <c r="E39" s="41"/>
      <c r="F39" s="41"/>
      <c r="G39" s="41"/>
      <c r="H39" s="42"/>
      <c r="I39" s="1"/>
      <c r="J39" s="1"/>
      <c r="K39" s="7"/>
      <c r="L39" s="1"/>
      <c r="M39" s="1"/>
      <c r="N39" s="1"/>
      <c r="O39" s="1"/>
      <c r="P39" s="1"/>
      <c r="Q39" s="1"/>
      <c r="R39" s="1"/>
      <c r="S39" s="1"/>
    </row>
    <row r="40" spans="1:19" ht="15">
      <c r="A40" s="11">
        <v>29</v>
      </c>
      <c r="B40" s="36" t="s">
        <v>0</v>
      </c>
      <c r="C40" s="40" t="s">
        <v>0</v>
      </c>
      <c r="D40" s="41"/>
      <c r="E40" s="41"/>
      <c r="F40" s="41"/>
      <c r="G40" s="41"/>
      <c r="H40" s="42"/>
      <c r="I40" s="1"/>
      <c r="J40" s="1"/>
      <c r="K40" s="7"/>
      <c r="L40" s="1"/>
      <c r="M40" s="1"/>
      <c r="N40" s="1"/>
      <c r="O40" s="1"/>
      <c r="P40" s="1"/>
      <c r="Q40" s="1"/>
      <c r="R40" s="1"/>
      <c r="S40" s="1"/>
    </row>
    <row r="41" spans="1:19" ht="15">
      <c r="A41" s="11">
        <v>30</v>
      </c>
      <c r="B41" s="28"/>
      <c r="C41" s="12"/>
      <c r="D41" s="12"/>
      <c r="E41" s="32"/>
      <c r="F41" s="32"/>
      <c r="G41" s="32"/>
      <c r="H41" s="11"/>
      <c r="I41" s="1"/>
      <c r="J41" s="1"/>
      <c r="K41" s="7"/>
      <c r="L41" s="1"/>
      <c r="M41" s="1"/>
      <c r="N41" s="1"/>
      <c r="O41" s="1"/>
      <c r="P41" s="1"/>
      <c r="Q41" s="1"/>
      <c r="R41" s="1"/>
      <c r="S41" s="1"/>
    </row>
    <row r="42" spans="1:19" ht="15">
      <c r="A42" s="22">
        <v>31</v>
      </c>
      <c r="B42" s="36"/>
      <c r="C42" s="40"/>
      <c r="D42" s="41"/>
      <c r="E42" s="41"/>
      <c r="F42" s="41"/>
      <c r="G42" s="41"/>
      <c r="H42" s="42"/>
      <c r="I42" s="1"/>
      <c r="J42" s="1"/>
      <c r="K42" s="7"/>
      <c r="L42" s="1"/>
      <c r="M42" s="1"/>
      <c r="N42" s="1"/>
      <c r="O42" s="1"/>
      <c r="P42" s="1"/>
      <c r="Q42" s="1"/>
      <c r="R42" s="1"/>
      <c r="S42" s="1"/>
    </row>
    <row r="43" spans="1:19" ht="15">
      <c r="A43" s="27" t="s">
        <v>1</v>
      </c>
      <c r="B43" s="28"/>
      <c r="C43" s="17">
        <f>SUM(C10:C42)</f>
        <v>4320852.58</v>
      </c>
      <c r="D43" s="17"/>
      <c r="E43" s="29">
        <f>SUM(E10:E42)</f>
        <v>4192.87</v>
      </c>
      <c r="F43" s="17">
        <f>SUM(F10:F42)</f>
        <v>13796.5</v>
      </c>
      <c r="G43" s="17">
        <f>SUM(G10:G42)</f>
        <v>19052</v>
      </c>
      <c r="H43" s="17">
        <f>SUM(H10:H42)</f>
        <v>502.46</v>
      </c>
      <c r="I43" s="1"/>
      <c r="J43" s="1"/>
      <c r="K43" s="9"/>
      <c r="L43" s="1"/>
      <c r="M43" s="1"/>
      <c r="N43" s="1"/>
      <c r="O43" s="1"/>
      <c r="P43" s="1"/>
      <c r="Q43" s="1"/>
      <c r="R43" s="1"/>
      <c r="S43" s="1"/>
    </row>
    <row r="44" spans="1:19" ht="15">
      <c r="A44" s="1"/>
      <c r="B44" s="30"/>
      <c r="C44" s="21"/>
      <c r="D44" s="21"/>
      <c r="E44" s="26"/>
      <c r="F44" s="9"/>
      <c r="G44" s="9"/>
      <c r="H44" s="1"/>
      <c r="I44" s="1"/>
      <c r="J44" s="1"/>
      <c r="K44" s="18"/>
      <c r="L44" s="1"/>
      <c r="M44" s="1"/>
      <c r="N44" s="1"/>
      <c r="O44" s="1"/>
      <c r="P44" s="1"/>
      <c r="Q44" s="1"/>
      <c r="R44" s="1"/>
      <c r="S44" s="1"/>
    </row>
    <row r="45" spans="1:19" ht="15">
      <c r="A45" s="1"/>
      <c r="B45" s="1"/>
      <c r="C45" s="1"/>
      <c r="D45" s="1"/>
      <c r="E45" s="1"/>
      <c r="F45" s="1"/>
      <c r="G45" s="1"/>
      <c r="H45" s="1"/>
      <c r="I45" s="1"/>
      <c r="J45" s="1"/>
      <c r="K45" s="7"/>
      <c r="L45" s="1"/>
      <c r="M45" s="1"/>
      <c r="N45" s="1"/>
      <c r="O45" s="1"/>
      <c r="P45" s="1"/>
      <c r="Q45" s="1"/>
      <c r="R45" s="1"/>
      <c r="S45" s="1"/>
    </row>
    <row r="46" spans="1:19" ht="15">
      <c r="A46" s="1"/>
      <c r="B46" s="1"/>
      <c r="C46" s="1"/>
      <c r="D46" s="1"/>
      <c r="E46" s="1"/>
      <c r="F46" s="1"/>
      <c r="G46" s="1"/>
      <c r="H46" s="1"/>
      <c r="I46" s="1"/>
      <c r="J46" s="1"/>
      <c r="K46" s="7"/>
      <c r="L46" s="1"/>
      <c r="M46" s="1"/>
      <c r="N46" s="1"/>
      <c r="O46" s="1"/>
      <c r="P46" s="1"/>
      <c r="Q46" s="1"/>
      <c r="R46" s="1"/>
      <c r="S46" s="1"/>
    </row>
    <row r="47" spans="1:19" ht="15">
      <c r="A47" s="1"/>
      <c r="B47" s="1"/>
      <c r="C47" s="1"/>
      <c r="D47" s="1"/>
      <c r="E47" s="1"/>
      <c r="F47" s="1"/>
      <c r="G47" s="1"/>
      <c r="H47" s="1"/>
      <c r="I47" s="1"/>
      <c r="J47" s="1"/>
      <c r="K47" s="7"/>
      <c r="L47" s="1"/>
      <c r="M47" s="1"/>
      <c r="N47" s="1"/>
      <c r="O47" s="1"/>
      <c r="P47" s="1"/>
      <c r="Q47" s="1"/>
      <c r="R47" s="1"/>
      <c r="S47" s="1"/>
    </row>
    <row r="48" spans="1:19" ht="15">
      <c r="A48" s="1"/>
      <c r="B48" s="1"/>
      <c r="C48" s="1"/>
      <c r="D48" s="1"/>
      <c r="E48" s="1"/>
      <c r="F48" s="1"/>
      <c r="G48" s="1"/>
      <c r="H48" s="1"/>
      <c r="I48" s="1"/>
      <c r="J48" s="1"/>
      <c r="K48" s="7"/>
      <c r="L48" s="1"/>
      <c r="M48" s="1"/>
      <c r="N48" s="1"/>
      <c r="O48" s="1"/>
      <c r="P48" s="1"/>
      <c r="Q48" s="1"/>
      <c r="R48" s="1"/>
      <c r="S48" s="1"/>
    </row>
    <row r="49" spans="1:19" ht="15">
      <c r="A49" s="1"/>
      <c r="B49" s="1"/>
      <c r="C49" s="1"/>
      <c r="D49" s="1"/>
      <c r="E49" s="1"/>
      <c r="F49" s="1"/>
      <c r="G49" s="1"/>
      <c r="H49" s="1"/>
      <c r="I49" s="1"/>
      <c r="J49" s="1"/>
      <c r="K49" s="7"/>
      <c r="L49" s="1"/>
      <c r="M49" s="1"/>
      <c r="N49" s="1"/>
      <c r="O49" s="1"/>
      <c r="P49" s="1"/>
      <c r="Q49" s="1"/>
      <c r="R49" s="1"/>
      <c r="S49" s="1"/>
    </row>
    <row r="50" spans="1:19" ht="1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</row>
    <row r="51" spans="1:19" ht="1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</row>
    <row r="52" spans="1:19" ht="1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</row>
    <row r="53" spans="1:19" ht="1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</row>
    <row r="54" spans="1:19" ht="1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</row>
    <row r="55" spans="1:19" ht="1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</row>
    <row r="56" spans="1:19" ht="1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</row>
    <row r="57" spans="1:19" ht="1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</row>
    <row r="58" spans="1:19" ht="1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</row>
    <row r="59" spans="1:19" ht="1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</row>
    <row r="60" spans="1:19" ht="1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</row>
    <row r="61" spans="1:19" ht="1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</row>
    <row r="62" spans="1:19" ht="1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</row>
    <row r="63" spans="1:19" ht="1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</row>
    <row r="64" spans="1:19" ht="1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</row>
    <row r="65" spans="1:19" ht="1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</row>
    <row r="66" spans="1:19" ht="1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</row>
    <row r="67" spans="1:19" ht="1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</row>
    <row r="68" spans="1:19" ht="1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</row>
    <row r="69" spans="1:19" ht="1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</row>
    <row r="70" spans="1:19" ht="1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</row>
    <row r="71" spans="1:19" ht="1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</row>
    <row r="72" spans="1:19" ht="1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</row>
    <row r="73" spans="1:19" ht="1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</row>
    <row r="74" spans="1:19" ht="1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</row>
    <row r="75" spans="1:19" ht="1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</row>
    <row r="76" spans="1:19" ht="1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</row>
    <row r="77" spans="1:19" ht="1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</row>
    <row r="78" spans="1:19" ht="1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</row>
    <row r="79" spans="1:19" ht="1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</row>
    <row r="80" spans="1:19" ht="1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</row>
    <row r="81" spans="1:19" ht="1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</row>
    <row r="82" spans="1:19" ht="1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</row>
    <row r="83" spans="1:19" ht="1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</row>
    <row r="84" spans="1:19" ht="1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</row>
    <row r="85" spans="1:19" ht="1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</row>
    <row r="86" spans="1:19" ht="1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</row>
    <row r="87" spans="1:19" ht="1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</row>
    <row r="88" spans="1:19" ht="1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</row>
    <row r="89" spans="1:19" ht="1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</row>
    <row r="90" spans="1:19" ht="1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</row>
    <row r="91" spans="1:19" ht="1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</row>
    <row r="92" spans="1:19" ht="1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</row>
    <row r="93" spans="1:19" ht="1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</row>
    <row r="94" spans="1:19" ht="1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</row>
    <row r="95" spans="1:19" ht="1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</row>
    <row r="96" spans="1:19" ht="1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</row>
    <row r="97" spans="1:19" ht="1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</row>
    <row r="98" spans="1:19" ht="1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</row>
    <row r="99" spans="1:19" ht="1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</row>
    <row r="100" spans="1:19" ht="1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</row>
    <row r="101" spans="1:19" ht="1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</row>
    <row r="102" spans="1:19" ht="1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</row>
    <row r="103" spans="1:19" ht="1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</row>
    <row r="104" spans="1:19" ht="1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</row>
    <row r="105" spans="1:19" ht="1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</row>
    <row r="106" spans="1:19" ht="1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</row>
    <row r="107" spans="1:19" ht="1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</row>
    <row r="108" spans="1:19" ht="1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</row>
    <row r="109" spans="1:19" ht="1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</row>
    <row r="110" spans="1:19" ht="1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</row>
    <row r="111" spans="1:19" ht="1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</row>
    <row r="112" spans="1:19" ht="1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</row>
    <row r="113" spans="1:19" ht="1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</row>
    <row r="114" spans="1:19" ht="1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</row>
    <row r="115" spans="1:19" ht="1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</row>
    <row r="116" spans="1:19" ht="1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</row>
    <row r="117" spans="1:19" ht="1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</row>
    <row r="118" spans="1:19" ht="1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</row>
    <row r="119" spans="1:19" ht="1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</row>
    <row r="120" spans="1:19" ht="1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</row>
    <row r="121" spans="1:19" ht="1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</row>
    <row r="122" spans="1:19" ht="1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</row>
    <row r="123" spans="1:19" ht="1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</row>
    <row r="124" spans="1:19" ht="1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</row>
    <row r="125" spans="1:19" ht="1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</row>
    <row r="126" spans="1:19" ht="1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</row>
    <row r="127" spans="1:19" ht="1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</row>
    <row r="128" spans="1:19" ht="1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</row>
    <row r="129" spans="1:19" ht="1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</row>
    <row r="130" spans="1:19" ht="1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</row>
    <row r="131" spans="1:19" ht="1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</row>
    <row r="132" spans="1:19" ht="1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</row>
    <row r="133" spans="1:19" ht="1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</row>
    <row r="134" spans="1:19" ht="1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</row>
    <row r="135" spans="1:19" ht="1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</row>
    <row r="136" spans="1:19" ht="1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</row>
    <row r="137" spans="1:19" ht="1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</row>
    <row r="138" spans="1:19" ht="1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</row>
    <row r="139" spans="1:19" ht="1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</row>
    <row r="140" spans="1:19" ht="1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</row>
    <row r="141" spans="1:19" ht="1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</row>
    <row r="142" spans="1:19" ht="1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</row>
    <row r="143" spans="1:19" ht="1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</row>
    <row r="144" spans="1:19" ht="1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</row>
    <row r="145" spans="1:19" ht="1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</row>
    <row r="146" spans="1:19" ht="1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</row>
    <row r="147" spans="1:19" ht="1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</row>
    <row r="148" spans="1:19" ht="1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</row>
    <row r="149" spans="1:19" ht="1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</row>
    <row r="150" spans="1:19" ht="1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</row>
    <row r="151" spans="1:19" ht="1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</row>
    <row r="152" spans="1:19" ht="1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</row>
    <row r="153" spans="1:19" ht="1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</row>
    <row r="154" spans="1:19" ht="1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</row>
    <row r="155" spans="1:19" ht="1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</row>
    <row r="156" spans="1:19" ht="1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</row>
    <row r="157" spans="1:19" ht="1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</row>
    <row r="158" spans="1:19" ht="1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</row>
    <row r="159" spans="1:19" ht="1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</row>
    <row r="160" spans="1:19" ht="1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</row>
    <row r="161" spans="1:19" ht="1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</row>
    <row r="162" spans="1:19" ht="1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</row>
    <row r="163" spans="1:19" ht="1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</row>
    <row r="164" spans="1:19" ht="1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</row>
    <row r="165" spans="1:19" ht="1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</row>
    <row r="166" spans="1:19" ht="1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</row>
    <row r="167" spans="1:19" ht="1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</row>
    <row r="168" spans="1:19" ht="1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</row>
    <row r="169" spans="1:19" ht="1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</row>
    <row r="170" spans="1:19" ht="1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</row>
    <row r="171" spans="1:19" ht="1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</row>
    <row r="172" spans="1:19" ht="1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</row>
    <row r="173" spans="1:19" ht="1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</row>
    <row r="174" spans="1:19" ht="1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</row>
    <row r="175" spans="1:19" ht="1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</row>
    <row r="176" spans="1:19" ht="1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</row>
    <row r="177" spans="1:19" ht="1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</row>
    <row r="178" spans="1:19" ht="1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</row>
    <row r="179" spans="1:19" ht="1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</row>
    <row r="180" spans="1:19" ht="1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</row>
    <row r="181" spans="1:19" ht="1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</row>
    <row r="182" spans="1:19" ht="1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</row>
    <row r="183" spans="1:19" ht="1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</row>
    <row r="184" spans="1:19" ht="1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</row>
    <row r="185" spans="1:19" ht="1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</row>
    <row r="186" spans="1:19" ht="1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</row>
    <row r="187" spans="1:19" ht="1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</row>
    <row r="188" spans="1:19" ht="1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</row>
    <row r="189" spans="1:19" ht="1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</row>
    <row r="190" spans="1:19" ht="1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</row>
    <row r="191" spans="1:19" ht="1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</row>
    <row r="192" spans="1:19" ht="1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</row>
    <row r="193" spans="1:19" ht="1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</row>
    <row r="194" spans="1:19" ht="1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</row>
    <row r="195" spans="1:19" ht="1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</row>
    <row r="196" spans="1:19">
      <c r="F196"/>
    </row>
    <row r="197" spans="1:19">
      <c r="F197"/>
    </row>
    <row r="198" spans="1:19">
      <c r="F198"/>
    </row>
    <row r="199" spans="1:19">
      <c r="F199"/>
    </row>
    <row r="200" spans="1:19">
      <c r="F200"/>
    </row>
    <row r="201" spans="1:19">
      <c r="F201"/>
    </row>
    <row r="202" spans="1:19">
      <c r="F202"/>
    </row>
    <row r="203" spans="1:19">
      <c r="F203"/>
    </row>
    <row r="204" spans="1:19">
      <c r="F204"/>
    </row>
    <row r="205" spans="1:19">
      <c r="F205"/>
    </row>
    <row r="206" spans="1:19">
      <c r="F206"/>
    </row>
    <row r="207" spans="1:19">
      <c r="F207"/>
    </row>
    <row r="208" spans="1:19">
      <c r="F208"/>
    </row>
    <row r="209" spans="6:6">
      <c r="F209"/>
    </row>
    <row r="210" spans="6:6">
      <c r="F210"/>
    </row>
    <row r="211" spans="6:6">
      <c r="F211"/>
    </row>
    <row r="212" spans="6:6">
      <c r="F212"/>
    </row>
    <row r="213" spans="6:6">
      <c r="F213"/>
    </row>
    <row r="214" spans="6:6">
      <c r="F214"/>
    </row>
    <row r="215" spans="6:6">
      <c r="F215"/>
    </row>
    <row r="216" spans="6:6">
      <c r="F216"/>
    </row>
    <row r="217" spans="6:6">
      <c r="F217"/>
    </row>
    <row r="218" spans="6:6">
      <c r="F218"/>
    </row>
    <row r="219" spans="6:6">
      <c r="F219"/>
    </row>
    <row r="220" spans="6:6">
      <c r="F220"/>
    </row>
    <row r="221" spans="6:6">
      <c r="F221"/>
    </row>
    <row r="222" spans="6:6">
      <c r="F222"/>
    </row>
    <row r="223" spans="6:6">
      <c r="F223"/>
    </row>
    <row r="224" spans="6:6">
      <c r="F224"/>
    </row>
    <row r="225" spans="6:6">
      <c r="F225"/>
    </row>
    <row r="226" spans="6:6">
      <c r="F226"/>
    </row>
    <row r="227" spans="6:6">
      <c r="F227"/>
    </row>
    <row r="228" spans="6:6">
      <c r="F228"/>
    </row>
    <row r="229" spans="6:6">
      <c r="F229"/>
    </row>
    <row r="230" spans="6:6">
      <c r="F230"/>
    </row>
    <row r="231" spans="6:6">
      <c r="F231"/>
    </row>
    <row r="232" spans="6:6">
      <c r="F232"/>
    </row>
    <row r="233" spans="6:6">
      <c r="F233"/>
    </row>
    <row r="234" spans="6:6">
      <c r="F234"/>
    </row>
    <row r="235" spans="6:6">
      <c r="F235"/>
    </row>
    <row r="236" spans="6:6">
      <c r="F236"/>
    </row>
    <row r="237" spans="6:6">
      <c r="F237"/>
    </row>
    <row r="238" spans="6:6">
      <c r="F238"/>
    </row>
    <row r="239" spans="6:6">
      <c r="F239"/>
    </row>
    <row r="240" spans="6:6">
      <c r="F240"/>
    </row>
    <row r="241" spans="6:6">
      <c r="F241"/>
    </row>
    <row r="242" spans="6:6">
      <c r="F242"/>
    </row>
    <row r="243" spans="6:6">
      <c r="F243"/>
    </row>
    <row r="244" spans="6:6">
      <c r="F244"/>
    </row>
    <row r="245" spans="6:6">
      <c r="F245"/>
    </row>
    <row r="246" spans="6:6">
      <c r="F246"/>
    </row>
    <row r="247" spans="6:6">
      <c r="F247"/>
    </row>
    <row r="248" spans="6:6">
      <c r="F248"/>
    </row>
    <row r="249" spans="6:6">
      <c r="F249"/>
    </row>
    <row r="250" spans="6:6">
      <c r="F250"/>
    </row>
    <row r="251" spans="6:6">
      <c r="F251"/>
    </row>
    <row r="252" spans="6:6">
      <c r="F252"/>
    </row>
    <row r="253" spans="6:6">
      <c r="F253"/>
    </row>
    <row r="254" spans="6:6">
      <c r="F254"/>
    </row>
    <row r="255" spans="6:6">
      <c r="F255"/>
    </row>
    <row r="256" spans="6:6">
      <c r="F256"/>
    </row>
    <row r="257" spans="6:6">
      <c r="F257"/>
    </row>
    <row r="258" spans="6:6">
      <c r="F258"/>
    </row>
    <row r="259" spans="6:6">
      <c r="F259"/>
    </row>
    <row r="260" spans="6:6">
      <c r="F260"/>
    </row>
    <row r="261" spans="6:6">
      <c r="F261"/>
    </row>
    <row r="262" spans="6:6">
      <c r="F262"/>
    </row>
    <row r="263" spans="6:6">
      <c r="F263"/>
    </row>
    <row r="264" spans="6:6">
      <c r="F264"/>
    </row>
    <row r="265" spans="6:6">
      <c r="F265"/>
    </row>
    <row r="266" spans="6:6">
      <c r="F266"/>
    </row>
    <row r="267" spans="6:6">
      <c r="F267"/>
    </row>
    <row r="268" spans="6:6">
      <c r="F268"/>
    </row>
    <row r="269" spans="6:6">
      <c r="F269"/>
    </row>
    <row r="270" spans="6:6">
      <c r="F270"/>
    </row>
    <row r="271" spans="6:6">
      <c r="F271"/>
    </row>
    <row r="272" spans="6:6">
      <c r="F272"/>
    </row>
    <row r="273" spans="6:6">
      <c r="F273"/>
    </row>
    <row r="274" spans="6:6">
      <c r="F274"/>
    </row>
    <row r="275" spans="6:6">
      <c r="F275"/>
    </row>
    <row r="276" spans="6:6">
      <c r="F276"/>
    </row>
    <row r="277" spans="6:6">
      <c r="F277"/>
    </row>
    <row r="278" spans="6:6">
      <c r="F278"/>
    </row>
    <row r="279" spans="6:6">
      <c r="F279"/>
    </row>
  </sheetData>
  <mergeCells count="13">
    <mergeCell ref="C42:H42"/>
    <mergeCell ref="C19:H19"/>
    <mergeCell ref="C40:H40"/>
    <mergeCell ref="C33:H33"/>
    <mergeCell ref="C11:H11"/>
    <mergeCell ref="C18:H18"/>
    <mergeCell ref="C25:H25"/>
    <mergeCell ref="C32:H32"/>
    <mergeCell ref="C39:H39"/>
    <mergeCell ref="C12:H12"/>
    <mergeCell ref="C26:H26"/>
    <mergeCell ref="C17:H17"/>
    <mergeCell ref="C27:H27"/>
  </mergeCells>
  <pageMargins left="0.7" right="0.7" top="0.75" bottom="0.75" header="0.3" footer="0.3"/>
  <pageSetup scale="9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74FF03-14F0-421D-8F76-5519CF1A2460}">
  <dimension ref="A1:S279"/>
  <sheetViews>
    <sheetView zoomScaleNormal="100" zoomScaleSheetLayoutView="100" workbookViewId="0">
      <selection activeCell="C29" sqref="C29"/>
    </sheetView>
  </sheetViews>
  <sheetFormatPr defaultRowHeight="14.25"/>
  <cols>
    <col min="1" max="1" width="4.25" customWidth="1"/>
    <col min="2" max="2" width="29" bestFit="1" customWidth="1"/>
    <col min="3" max="4" width="14.875" customWidth="1"/>
    <col min="5" max="5" width="14.75" customWidth="1"/>
    <col min="6" max="6" width="15" style="16" customWidth="1"/>
    <col min="7" max="7" width="15" customWidth="1"/>
    <col min="8" max="8" width="14.75" customWidth="1"/>
    <col min="11" max="11" width="13.125" bestFit="1" customWidth="1"/>
    <col min="14" max="14" width="13.25" bestFit="1" customWidth="1"/>
  </cols>
  <sheetData>
    <row r="1" spans="1:19">
      <c r="F1"/>
    </row>
    <row r="2" spans="1:19" ht="16.5">
      <c r="A2" s="2"/>
      <c r="B2" s="20" t="s">
        <v>7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</row>
    <row r="3" spans="1:19" ht="1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</row>
    <row r="4" spans="1:19" ht="15.75">
      <c r="A4" s="3"/>
      <c r="B4" s="3" t="s">
        <v>18</v>
      </c>
      <c r="C4" s="4"/>
      <c r="D4" s="4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</row>
    <row r="5" spans="1:19" ht="15">
      <c r="A5" s="5"/>
      <c r="B5" s="19">
        <v>2026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</row>
    <row r="6" spans="1:19" ht="15">
      <c r="A6" s="5"/>
      <c r="B6" s="5" t="s">
        <v>8</v>
      </c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</row>
    <row r="7" spans="1:19" ht="15">
      <c r="A7" s="5"/>
      <c r="B7" s="5" t="s">
        <v>13</v>
      </c>
      <c r="C7" s="6"/>
      <c r="D7" s="6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</row>
    <row r="8" spans="1:19" ht="15">
      <c r="A8" s="5"/>
      <c r="B8" s="5"/>
      <c r="C8" s="6"/>
      <c r="D8" s="6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</row>
    <row r="9" spans="1:19" ht="15">
      <c r="A9" s="13" t="s">
        <v>2</v>
      </c>
      <c r="B9" s="10" t="s">
        <v>11</v>
      </c>
      <c r="C9" s="23" t="s">
        <v>15</v>
      </c>
      <c r="D9" s="37" t="s">
        <v>16</v>
      </c>
      <c r="E9" s="24" t="s">
        <v>5</v>
      </c>
      <c r="F9" s="15" t="s">
        <v>3</v>
      </c>
      <c r="G9" s="15" t="s">
        <v>14</v>
      </c>
      <c r="H9" s="15" t="s">
        <v>4</v>
      </c>
      <c r="I9" s="1"/>
      <c r="J9" s="1"/>
      <c r="K9" s="1"/>
      <c r="L9" s="1"/>
      <c r="M9" s="1"/>
      <c r="N9" s="1"/>
      <c r="O9" s="1"/>
      <c r="P9" s="1"/>
      <c r="Q9" s="1"/>
      <c r="R9" s="1"/>
      <c r="S9" s="1"/>
    </row>
    <row r="10" spans="1:19" ht="15">
      <c r="A10" s="11">
        <v>1</v>
      </c>
      <c r="B10" s="28">
        <v>46143</v>
      </c>
      <c r="C10" s="33">
        <v>236796</v>
      </c>
      <c r="D10" s="33">
        <v>196732.5</v>
      </c>
      <c r="E10" s="32">
        <v>182.5</v>
      </c>
      <c r="F10" s="32"/>
      <c r="G10" s="33">
        <v>1518</v>
      </c>
      <c r="H10" s="32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</row>
    <row r="11" spans="1:19" ht="15">
      <c r="A11" s="11">
        <v>2</v>
      </c>
      <c r="B11" s="28">
        <v>46144</v>
      </c>
      <c r="C11" s="40" t="s">
        <v>17</v>
      </c>
      <c r="D11" s="41"/>
      <c r="E11" s="41"/>
      <c r="F11" s="41"/>
      <c r="G11" s="41"/>
      <c r="H11" s="42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</row>
    <row r="12" spans="1:19" ht="15">
      <c r="A12" s="11">
        <v>3</v>
      </c>
      <c r="B12" s="36" t="s">
        <v>0</v>
      </c>
      <c r="C12" s="40" t="s">
        <v>0</v>
      </c>
      <c r="D12" s="41"/>
      <c r="E12" s="41"/>
      <c r="F12" s="41"/>
      <c r="G12" s="41"/>
      <c r="H12" s="42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</row>
    <row r="13" spans="1:19" ht="15">
      <c r="A13" s="11">
        <v>4</v>
      </c>
      <c r="B13" s="28">
        <v>46146</v>
      </c>
      <c r="C13" s="33">
        <v>285008</v>
      </c>
      <c r="D13" s="33">
        <v>241083.5</v>
      </c>
      <c r="E13" s="32">
        <v>1226.5</v>
      </c>
      <c r="F13" s="32"/>
      <c r="G13" s="35">
        <v>1296</v>
      </c>
      <c r="H13" s="32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</row>
    <row r="14" spans="1:19" ht="15">
      <c r="A14" s="11">
        <v>5</v>
      </c>
      <c r="B14" s="28">
        <v>46147</v>
      </c>
      <c r="C14" s="33">
        <v>371226</v>
      </c>
      <c r="D14" s="33">
        <v>310668</v>
      </c>
      <c r="E14" s="32"/>
      <c r="F14" s="33">
        <v>789</v>
      </c>
      <c r="G14" s="35">
        <v>2676</v>
      </c>
      <c r="H14" s="32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</row>
    <row r="15" spans="1:19" ht="15">
      <c r="A15" s="11">
        <v>6</v>
      </c>
      <c r="B15" s="28">
        <v>46148</v>
      </c>
      <c r="C15" s="33">
        <v>331431</v>
      </c>
      <c r="D15" s="33">
        <v>280760.25</v>
      </c>
      <c r="E15" s="32"/>
      <c r="F15" s="33">
        <v>17.75</v>
      </c>
      <c r="G15" s="35">
        <v>2076</v>
      </c>
      <c r="H15" s="32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</row>
    <row r="16" spans="1:19" ht="15">
      <c r="A16" s="11">
        <v>7</v>
      </c>
      <c r="B16" s="28">
        <v>46149</v>
      </c>
      <c r="C16" s="33">
        <v>242941</v>
      </c>
      <c r="D16" s="33">
        <v>209789.5</v>
      </c>
      <c r="E16" s="32">
        <v>3994.5</v>
      </c>
      <c r="F16" s="32"/>
      <c r="G16" s="35"/>
      <c r="H16" s="32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</row>
    <row r="17" spans="1:19" ht="15">
      <c r="A17" s="11">
        <v>8</v>
      </c>
      <c r="B17" s="28">
        <v>46150</v>
      </c>
      <c r="C17" s="33">
        <v>257721</v>
      </c>
      <c r="D17" s="33">
        <v>231897</v>
      </c>
      <c r="E17" s="32"/>
      <c r="F17" s="33">
        <v>2345</v>
      </c>
      <c r="G17" s="35">
        <v>1140</v>
      </c>
      <c r="H17" s="32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</row>
    <row r="18" spans="1:19" ht="15">
      <c r="A18" s="11">
        <v>9</v>
      </c>
      <c r="B18" s="28">
        <v>46151</v>
      </c>
      <c r="C18" s="40" t="s">
        <v>17</v>
      </c>
      <c r="D18" s="41"/>
      <c r="E18" s="41"/>
      <c r="F18" s="41"/>
      <c r="G18" s="41"/>
      <c r="H18" s="42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</row>
    <row r="19" spans="1:19" ht="15">
      <c r="A19" s="11">
        <v>10</v>
      </c>
      <c r="B19" s="36" t="s">
        <v>0</v>
      </c>
      <c r="C19" s="40" t="s">
        <v>0</v>
      </c>
      <c r="D19" s="41"/>
      <c r="E19" s="41"/>
      <c r="F19" s="41"/>
      <c r="G19" s="41"/>
      <c r="H19" s="42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</row>
    <row r="20" spans="1:19" ht="15">
      <c r="A20" s="11">
        <v>11</v>
      </c>
      <c r="B20" s="28">
        <v>46153</v>
      </c>
      <c r="C20" s="33">
        <v>385347</v>
      </c>
      <c r="D20" s="33">
        <v>324937.5</v>
      </c>
      <c r="E20" s="32"/>
      <c r="F20" s="35">
        <v>762.5</v>
      </c>
      <c r="G20" s="35">
        <v>2880</v>
      </c>
      <c r="H20" s="35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</row>
    <row r="21" spans="1:19" ht="15">
      <c r="A21" s="11">
        <v>12</v>
      </c>
      <c r="B21" s="28">
        <v>46154</v>
      </c>
      <c r="C21" s="33">
        <v>288065</v>
      </c>
      <c r="D21" s="33">
        <v>245110</v>
      </c>
      <c r="E21" s="32">
        <v>882</v>
      </c>
      <c r="F21" s="35"/>
      <c r="G21" s="35">
        <v>1446</v>
      </c>
      <c r="H21" s="35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</row>
    <row r="22" spans="1:19" ht="15">
      <c r="A22" s="11">
        <v>13</v>
      </c>
      <c r="B22" s="28">
        <v>46155</v>
      </c>
      <c r="C22" s="33">
        <v>274505</v>
      </c>
      <c r="D22" s="33">
        <v>231930.5</v>
      </c>
      <c r="E22" s="32">
        <v>270.5</v>
      </c>
      <c r="F22" s="35"/>
      <c r="G22" s="35">
        <v>1944</v>
      </c>
      <c r="H22" s="35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</row>
    <row r="23" spans="1:19" ht="15">
      <c r="A23" s="11">
        <v>14</v>
      </c>
      <c r="B23" s="28">
        <v>46156</v>
      </c>
      <c r="C23" s="40" t="s">
        <v>19</v>
      </c>
      <c r="D23" s="41"/>
      <c r="E23" s="41"/>
      <c r="F23" s="41"/>
      <c r="G23" s="41"/>
      <c r="H23" s="42"/>
      <c r="I23" s="1"/>
      <c r="J23" s="1"/>
      <c r="K23" s="7"/>
      <c r="L23" s="1"/>
      <c r="M23" s="1"/>
      <c r="N23" s="1"/>
      <c r="O23" s="1"/>
      <c r="P23" s="1"/>
      <c r="Q23" s="1"/>
      <c r="R23" s="1"/>
      <c r="S23" s="1"/>
    </row>
    <row r="24" spans="1:19" ht="15">
      <c r="A24" s="11">
        <v>15</v>
      </c>
      <c r="B24" s="28">
        <v>46157</v>
      </c>
      <c r="C24" s="33">
        <v>301997</v>
      </c>
      <c r="D24" s="33">
        <v>255826.5</v>
      </c>
      <c r="E24" s="32"/>
      <c r="F24" s="35">
        <v>178.75</v>
      </c>
      <c r="G24" s="35">
        <v>1200</v>
      </c>
      <c r="H24" s="35"/>
      <c r="I24" s="1"/>
      <c r="J24" s="1"/>
      <c r="K24" s="7"/>
      <c r="L24" s="1"/>
      <c r="M24" s="1"/>
      <c r="N24" s="1"/>
      <c r="O24" s="1"/>
      <c r="P24" s="1"/>
      <c r="Q24" s="1"/>
      <c r="R24" s="1"/>
      <c r="S24" s="1"/>
    </row>
    <row r="25" spans="1:19" ht="15">
      <c r="A25" s="11">
        <v>16</v>
      </c>
      <c r="B25" s="28">
        <v>46158</v>
      </c>
      <c r="C25" s="33">
        <v>272545</v>
      </c>
      <c r="D25" s="33">
        <v>229232.5</v>
      </c>
      <c r="E25" s="32"/>
      <c r="F25" s="35">
        <v>21.5</v>
      </c>
      <c r="G25" s="35">
        <v>2106</v>
      </c>
      <c r="H25" s="35"/>
      <c r="I25" s="1"/>
      <c r="J25" s="1"/>
      <c r="K25" s="7"/>
      <c r="L25" s="1"/>
      <c r="M25" s="1"/>
      <c r="N25" s="1"/>
      <c r="O25" s="1"/>
      <c r="P25" s="1"/>
      <c r="Q25" s="1"/>
      <c r="R25" s="1"/>
      <c r="S25" s="1"/>
    </row>
    <row r="26" spans="1:19" ht="15">
      <c r="A26" s="11">
        <v>17</v>
      </c>
      <c r="B26" s="36" t="s">
        <v>0</v>
      </c>
      <c r="C26" s="40" t="s">
        <v>0</v>
      </c>
      <c r="D26" s="41"/>
      <c r="E26" s="41"/>
      <c r="F26" s="41"/>
      <c r="G26" s="41"/>
      <c r="H26" s="42"/>
      <c r="I26" s="1"/>
      <c r="J26" s="1"/>
      <c r="K26" s="18"/>
      <c r="L26" s="1"/>
      <c r="M26" s="1"/>
      <c r="N26" s="1"/>
      <c r="O26" s="1"/>
      <c r="P26" s="1"/>
      <c r="Q26" s="1"/>
      <c r="R26" s="1"/>
      <c r="S26" s="1"/>
    </row>
    <row r="27" spans="1:19" ht="15">
      <c r="A27" s="11">
        <v>18</v>
      </c>
      <c r="B27" s="28">
        <v>46160</v>
      </c>
      <c r="C27" s="12">
        <v>491364</v>
      </c>
      <c r="D27" s="38">
        <v>417927</v>
      </c>
      <c r="E27" s="14">
        <v>205</v>
      </c>
      <c r="F27" s="12"/>
      <c r="G27" s="34">
        <v>3666</v>
      </c>
      <c r="H27" s="31"/>
      <c r="I27" s="1"/>
      <c r="J27" s="1"/>
      <c r="K27" s="7"/>
      <c r="L27" s="1"/>
      <c r="M27" s="1"/>
      <c r="N27" s="1"/>
      <c r="O27" s="1"/>
      <c r="P27" s="1"/>
      <c r="Q27" s="1"/>
      <c r="R27" s="1"/>
      <c r="S27" s="1"/>
    </row>
    <row r="28" spans="1:19" ht="15">
      <c r="A28" s="11">
        <v>19</v>
      </c>
      <c r="B28" s="28">
        <v>46161</v>
      </c>
      <c r="C28" s="12">
        <v>320424</v>
      </c>
      <c r="D28" s="38">
        <v>270121.5</v>
      </c>
      <c r="E28" s="14">
        <v>768.5</v>
      </c>
      <c r="F28" s="12"/>
      <c r="G28" s="34">
        <v>2076</v>
      </c>
      <c r="H28" s="31"/>
      <c r="I28" s="1"/>
      <c r="J28" s="1"/>
      <c r="K28" s="7"/>
      <c r="L28" s="1"/>
      <c r="M28" s="1"/>
      <c r="N28" s="1"/>
      <c r="O28" s="1"/>
      <c r="P28" s="1"/>
      <c r="Q28" s="1"/>
      <c r="R28" s="1"/>
      <c r="S28" s="1"/>
    </row>
    <row r="29" spans="1:19" ht="15">
      <c r="A29" s="11">
        <v>20</v>
      </c>
      <c r="B29" s="28">
        <v>46162</v>
      </c>
      <c r="C29" s="12"/>
      <c r="D29" s="38"/>
      <c r="E29" s="14"/>
      <c r="F29" s="12"/>
      <c r="G29" s="34"/>
      <c r="H29" s="31"/>
      <c r="I29" s="1"/>
      <c r="J29" s="1"/>
      <c r="K29" s="7"/>
      <c r="L29" s="1"/>
      <c r="M29" s="1"/>
      <c r="N29" s="1"/>
      <c r="O29" s="1"/>
      <c r="P29" s="1"/>
      <c r="Q29" s="1"/>
      <c r="R29" s="1"/>
      <c r="S29" s="1"/>
    </row>
    <row r="30" spans="1:19" ht="15">
      <c r="A30" s="11">
        <v>21</v>
      </c>
      <c r="B30" s="28">
        <v>46163</v>
      </c>
      <c r="C30" s="12"/>
      <c r="D30" s="38"/>
      <c r="E30" s="14"/>
      <c r="F30" s="12"/>
      <c r="G30" s="34"/>
      <c r="H30" s="31"/>
      <c r="I30" s="1"/>
      <c r="J30" s="1"/>
      <c r="K30" s="7"/>
      <c r="L30" s="1"/>
      <c r="M30" s="1"/>
      <c r="N30" s="1"/>
      <c r="O30" s="1"/>
      <c r="P30" s="1"/>
      <c r="Q30" s="1"/>
      <c r="R30" s="1"/>
      <c r="S30" s="1"/>
    </row>
    <row r="31" spans="1:19" ht="15">
      <c r="A31" s="11">
        <v>22</v>
      </c>
      <c r="B31" s="28">
        <v>46164</v>
      </c>
      <c r="C31" s="12"/>
      <c r="D31" s="38"/>
      <c r="E31" s="14"/>
      <c r="F31" s="12"/>
      <c r="G31" s="34"/>
      <c r="H31" s="31"/>
      <c r="I31" s="1"/>
      <c r="J31" s="1"/>
      <c r="K31" s="18"/>
      <c r="L31" s="1"/>
      <c r="M31" s="1"/>
      <c r="N31" s="1"/>
      <c r="O31" s="1"/>
      <c r="P31" s="1"/>
      <c r="Q31" s="1"/>
      <c r="R31" s="1"/>
      <c r="S31" s="1"/>
    </row>
    <row r="32" spans="1:19" ht="15">
      <c r="A32" s="11">
        <v>23</v>
      </c>
      <c r="B32" s="28">
        <v>46165</v>
      </c>
      <c r="C32" s="40" t="s">
        <v>17</v>
      </c>
      <c r="D32" s="41"/>
      <c r="E32" s="41"/>
      <c r="F32" s="41"/>
      <c r="G32" s="41"/>
      <c r="H32" s="42"/>
      <c r="I32" s="1"/>
      <c r="J32" s="1"/>
      <c r="K32" s="7"/>
      <c r="L32" s="1"/>
      <c r="M32" s="1"/>
      <c r="N32" s="1"/>
      <c r="O32" s="1"/>
      <c r="P32" s="1"/>
      <c r="Q32" s="1"/>
      <c r="R32" s="1"/>
      <c r="S32" s="1"/>
    </row>
    <row r="33" spans="1:19" ht="15">
      <c r="A33" s="11">
        <v>24</v>
      </c>
      <c r="B33" s="36" t="s">
        <v>0</v>
      </c>
      <c r="C33" s="40" t="s">
        <v>0</v>
      </c>
      <c r="D33" s="41"/>
      <c r="E33" s="41"/>
      <c r="F33" s="41"/>
      <c r="G33" s="41"/>
      <c r="H33" s="42"/>
      <c r="I33" s="1"/>
      <c r="J33" s="1"/>
      <c r="K33" s="7"/>
      <c r="L33" s="1"/>
      <c r="M33" s="1"/>
      <c r="N33" s="7"/>
      <c r="O33" s="1"/>
      <c r="P33" s="1"/>
      <c r="Q33" s="1"/>
      <c r="R33" s="1"/>
      <c r="S33" s="1"/>
    </row>
    <row r="34" spans="1:19" ht="15">
      <c r="A34" s="11">
        <v>25</v>
      </c>
      <c r="B34" s="28">
        <v>46167</v>
      </c>
      <c r="C34" s="25"/>
      <c r="D34" s="39"/>
      <c r="E34" s="14"/>
      <c r="F34" s="12"/>
      <c r="G34" s="34"/>
      <c r="H34" s="31"/>
      <c r="I34" s="1"/>
      <c r="J34" s="1"/>
      <c r="K34" s="7"/>
      <c r="L34" s="1"/>
      <c r="M34" s="1"/>
      <c r="N34" s="7"/>
      <c r="O34" s="1"/>
      <c r="P34" s="1"/>
      <c r="Q34" s="1"/>
      <c r="R34" s="1"/>
      <c r="S34" s="1"/>
    </row>
    <row r="35" spans="1:19" ht="15">
      <c r="A35" s="11">
        <v>26</v>
      </c>
      <c r="B35" s="28">
        <v>46168</v>
      </c>
      <c r="C35" s="25"/>
      <c r="D35" s="39"/>
      <c r="E35" s="14"/>
      <c r="F35" s="12"/>
      <c r="G35" s="34"/>
      <c r="H35" s="31"/>
      <c r="I35" s="1"/>
      <c r="J35" s="1"/>
      <c r="K35" s="7"/>
      <c r="L35" s="1"/>
      <c r="M35" s="1"/>
      <c r="N35" s="7"/>
      <c r="O35" s="1"/>
      <c r="P35" s="1"/>
      <c r="Q35" s="1"/>
      <c r="R35" s="1"/>
      <c r="S35" s="1"/>
    </row>
    <row r="36" spans="1:19" ht="15">
      <c r="A36" s="11">
        <v>27</v>
      </c>
      <c r="B36" s="28">
        <v>46169</v>
      </c>
      <c r="C36" s="25"/>
      <c r="D36" s="39"/>
      <c r="E36" s="14"/>
      <c r="F36" s="12"/>
      <c r="G36" s="34"/>
      <c r="H36" s="31"/>
      <c r="I36" s="1"/>
      <c r="J36" s="1"/>
      <c r="K36" s="7"/>
      <c r="L36" s="1"/>
      <c r="M36" s="1"/>
      <c r="N36" s="7"/>
      <c r="O36" s="1"/>
      <c r="P36" s="1"/>
      <c r="Q36" s="1"/>
      <c r="R36" s="1"/>
      <c r="S36" s="1"/>
    </row>
    <row r="37" spans="1:19" ht="15">
      <c r="A37" s="11">
        <v>28</v>
      </c>
      <c r="B37" s="28">
        <v>46170</v>
      </c>
      <c r="C37" s="25"/>
      <c r="D37" s="39"/>
      <c r="E37" s="14"/>
      <c r="F37" s="12"/>
      <c r="G37" s="34"/>
      <c r="H37" s="31"/>
      <c r="I37" s="1"/>
      <c r="J37" s="1"/>
      <c r="K37" s="8"/>
      <c r="L37" s="1"/>
      <c r="M37" s="1"/>
      <c r="N37" s="7"/>
      <c r="O37" s="1"/>
      <c r="P37" s="1"/>
      <c r="Q37" s="1"/>
      <c r="R37" s="1"/>
      <c r="S37" s="1"/>
    </row>
    <row r="38" spans="1:19" ht="15">
      <c r="A38" s="11">
        <v>29</v>
      </c>
      <c r="B38" s="28">
        <v>46171</v>
      </c>
      <c r="C38" s="25"/>
      <c r="D38" s="39"/>
      <c r="E38" s="14"/>
      <c r="F38" s="12"/>
      <c r="G38" s="34"/>
      <c r="H38" s="31"/>
      <c r="I38" s="1"/>
      <c r="J38" s="1"/>
      <c r="K38" s="7"/>
      <c r="L38" s="1"/>
      <c r="M38" s="1"/>
      <c r="N38" s="1"/>
      <c r="O38" s="1"/>
      <c r="P38" s="1"/>
      <c r="Q38" s="1"/>
      <c r="R38" s="1"/>
      <c r="S38" s="1"/>
    </row>
    <row r="39" spans="1:19" ht="15">
      <c r="A39" s="11">
        <v>30</v>
      </c>
      <c r="B39" s="28">
        <v>46172</v>
      </c>
      <c r="C39" s="40" t="s">
        <v>17</v>
      </c>
      <c r="D39" s="41"/>
      <c r="E39" s="41"/>
      <c r="F39" s="41"/>
      <c r="G39" s="41"/>
      <c r="H39" s="42"/>
      <c r="I39" s="1"/>
      <c r="J39" s="1"/>
      <c r="K39" s="7"/>
      <c r="L39" s="1"/>
      <c r="M39" s="1"/>
      <c r="N39" s="1"/>
      <c r="O39" s="1"/>
      <c r="P39" s="1"/>
      <c r="Q39" s="1"/>
      <c r="R39" s="1"/>
      <c r="S39" s="1"/>
    </row>
    <row r="40" spans="1:19" ht="15">
      <c r="A40" s="11">
        <v>29</v>
      </c>
      <c r="B40" s="36" t="s">
        <v>0</v>
      </c>
      <c r="C40" s="40" t="s">
        <v>0</v>
      </c>
      <c r="D40" s="41"/>
      <c r="E40" s="41"/>
      <c r="F40" s="41"/>
      <c r="G40" s="41"/>
      <c r="H40" s="42"/>
      <c r="I40" s="1"/>
      <c r="J40" s="1"/>
      <c r="K40" s="7"/>
      <c r="L40" s="1"/>
      <c r="M40" s="1"/>
      <c r="N40" s="1"/>
      <c r="O40" s="1"/>
      <c r="P40" s="1"/>
      <c r="Q40" s="1"/>
      <c r="R40" s="1"/>
      <c r="S40" s="1"/>
    </row>
    <row r="41" spans="1:19" ht="15">
      <c r="A41" s="11">
        <v>30</v>
      </c>
      <c r="B41" s="28"/>
      <c r="C41" s="12"/>
      <c r="D41" s="12"/>
      <c r="E41" s="32"/>
      <c r="F41" s="32"/>
      <c r="G41" s="32"/>
      <c r="H41" s="11"/>
      <c r="I41" s="1"/>
      <c r="J41" s="1"/>
      <c r="K41" s="7"/>
      <c r="L41" s="1"/>
      <c r="M41" s="1"/>
      <c r="N41" s="1"/>
      <c r="O41" s="1"/>
      <c r="P41" s="1"/>
      <c r="Q41" s="1"/>
      <c r="R41" s="1"/>
      <c r="S41" s="1"/>
    </row>
    <row r="42" spans="1:19" ht="15">
      <c r="A42" s="22">
        <v>31</v>
      </c>
      <c r="B42" s="36"/>
      <c r="C42" s="40"/>
      <c r="D42" s="41"/>
      <c r="E42" s="41"/>
      <c r="F42" s="41"/>
      <c r="G42" s="41"/>
      <c r="H42" s="42"/>
      <c r="I42" s="1"/>
      <c r="J42" s="1"/>
      <c r="K42" s="7"/>
      <c r="L42" s="1"/>
      <c r="M42" s="1"/>
      <c r="N42" s="1"/>
      <c r="O42" s="1"/>
      <c r="P42" s="1"/>
      <c r="Q42" s="1"/>
      <c r="R42" s="1"/>
      <c r="S42" s="1"/>
    </row>
    <row r="43" spans="1:19" ht="15">
      <c r="A43" s="27" t="s">
        <v>1</v>
      </c>
      <c r="B43" s="28"/>
      <c r="C43" s="17">
        <f>SUM(C10:C42)</f>
        <v>4059370</v>
      </c>
      <c r="D43" s="17"/>
      <c r="E43" s="29">
        <f>SUM(E10:E42)</f>
        <v>7529.5</v>
      </c>
      <c r="F43" s="17">
        <f>SUM(F10:F42)</f>
        <v>4114.5</v>
      </c>
      <c r="G43" s="17">
        <f>SUM(G10:G42)</f>
        <v>24024</v>
      </c>
      <c r="H43" s="17">
        <f>SUM(H10:H42)</f>
        <v>0</v>
      </c>
      <c r="I43" s="1"/>
      <c r="J43" s="1"/>
      <c r="K43" s="9"/>
      <c r="L43" s="1"/>
      <c r="M43" s="1"/>
      <c r="N43" s="1"/>
      <c r="O43" s="1"/>
      <c r="P43" s="1"/>
      <c r="Q43" s="1"/>
      <c r="R43" s="1"/>
      <c r="S43" s="1"/>
    </row>
    <row r="44" spans="1:19" ht="15">
      <c r="A44" s="1"/>
      <c r="B44" s="1"/>
      <c r="C44" s="21"/>
      <c r="D44" s="21"/>
      <c r="E44" s="26"/>
      <c r="F44" s="9"/>
      <c r="G44" s="9"/>
      <c r="H44" s="1"/>
      <c r="I44" s="1"/>
      <c r="J44" s="1"/>
      <c r="K44" s="18"/>
      <c r="L44" s="1"/>
      <c r="M44" s="1"/>
      <c r="N44" s="1"/>
      <c r="O44" s="1"/>
      <c r="P44" s="1"/>
      <c r="Q44" s="1"/>
      <c r="R44" s="1"/>
      <c r="S44" s="1"/>
    </row>
    <row r="45" spans="1:19" ht="15">
      <c r="A45" s="1"/>
      <c r="B45" s="1"/>
      <c r="C45" s="1"/>
      <c r="D45" s="1"/>
      <c r="E45" s="1"/>
      <c r="F45" s="1"/>
      <c r="G45" s="1"/>
      <c r="H45" s="1"/>
      <c r="I45" s="1"/>
      <c r="J45" s="1"/>
      <c r="K45" s="7"/>
      <c r="L45" s="1"/>
      <c r="M45" s="1"/>
      <c r="N45" s="1"/>
      <c r="O45" s="1"/>
      <c r="P45" s="1"/>
      <c r="Q45" s="1"/>
      <c r="R45" s="1"/>
      <c r="S45" s="1"/>
    </row>
    <row r="46" spans="1:19" ht="15">
      <c r="A46" s="1"/>
      <c r="B46" s="1"/>
      <c r="C46" s="1"/>
      <c r="D46" s="1"/>
      <c r="E46" s="1"/>
      <c r="F46" s="1"/>
      <c r="G46" s="1"/>
      <c r="H46" s="1"/>
      <c r="I46" s="1"/>
      <c r="J46" s="1"/>
      <c r="K46" s="7"/>
      <c r="L46" s="1"/>
      <c r="M46" s="1"/>
      <c r="N46" s="1"/>
      <c r="O46" s="1"/>
      <c r="P46" s="1"/>
      <c r="Q46" s="1"/>
      <c r="R46" s="1"/>
      <c r="S46" s="1"/>
    </row>
    <row r="47" spans="1:19" ht="15">
      <c r="A47" s="1"/>
      <c r="B47" s="1"/>
      <c r="C47" s="1"/>
      <c r="D47" s="1"/>
      <c r="E47" s="1"/>
      <c r="F47" s="1"/>
      <c r="G47" s="1"/>
      <c r="H47" s="1"/>
      <c r="I47" s="1"/>
      <c r="J47" s="1"/>
      <c r="K47" s="7"/>
      <c r="L47" s="1"/>
      <c r="M47" s="1"/>
      <c r="N47" s="1"/>
      <c r="O47" s="1"/>
      <c r="P47" s="1"/>
      <c r="Q47" s="1"/>
      <c r="R47" s="1"/>
      <c r="S47" s="1"/>
    </row>
    <row r="48" spans="1:19" ht="15">
      <c r="A48" s="1"/>
      <c r="B48" s="1"/>
      <c r="C48" s="1"/>
      <c r="D48" s="1"/>
      <c r="E48" s="1"/>
      <c r="F48" s="1"/>
      <c r="G48" s="1"/>
      <c r="H48" s="1"/>
      <c r="I48" s="1"/>
      <c r="J48" s="1"/>
      <c r="K48" s="7"/>
      <c r="L48" s="1"/>
      <c r="M48" s="1"/>
      <c r="N48" s="1"/>
      <c r="O48" s="1"/>
      <c r="P48" s="1"/>
      <c r="Q48" s="1"/>
      <c r="R48" s="1"/>
      <c r="S48" s="1"/>
    </row>
    <row r="49" spans="1:19" ht="15">
      <c r="A49" s="1"/>
      <c r="B49" s="1"/>
      <c r="C49" s="1"/>
      <c r="D49" s="1"/>
      <c r="E49" s="1"/>
      <c r="F49" s="1"/>
      <c r="G49" s="1"/>
      <c r="H49" s="1"/>
      <c r="I49" s="1"/>
      <c r="J49" s="1"/>
      <c r="K49" s="7"/>
      <c r="L49" s="1"/>
      <c r="M49" s="1"/>
      <c r="N49" s="1"/>
      <c r="O49" s="1"/>
      <c r="P49" s="1"/>
      <c r="Q49" s="1"/>
      <c r="R49" s="1"/>
      <c r="S49" s="1"/>
    </row>
    <row r="50" spans="1:19" ht="1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</row>
    <row r="51" spans="1:19" ht="1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</row>
    <row r="52" spans="1:19" ht="1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</row>
    <row r="53" spans="1:19" ht="1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</row>
    <row r="54" spans="1:19" ht="1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</row>
    <row r="55" spans="1:19" ht="1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</row>
    <row r="56" spans="1:19" ht="1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</row>
    <row r="57" spans="1:19" ht="1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</row>
    <row r="58" spans="1:19" ht="1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</row>
    <row r="59" spans="1:19" ht="1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</row>
    <row r="60" spans="1:19" ht="1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</row>
    <row r="61" spans="1:19" ht="1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</row>
    <row r="62" spans="1:19" ht="1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</row>
    <row r="63" spans="1:19" ht="1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</row>
    <row r="64" spans="1:19" ht="1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</row>
    <row r="65" spans="1:19" ht="1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</row>
    <row r="66" spans="1:19" ht="1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</row>
    <row r="67" spans="1:19" ht="1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</row>
    <row r="68" spans="1:19" ht="1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</row>
    <row r="69" spans="1:19" ht="1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</row>
    <row r="70" spans="1:19" ht="1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</row>
    <row r="71" spans="1:19" ht="1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</row>
    <row r="72" spans="1:19" ht="1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</row>
    <row r="73" spans="1:19" ht="1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</row>
    <row r="74" spans="1:19" ht="1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</row>
    <row r="75" spans="1:19" ht="1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</row>
    <row r="76" spans="1:19" ht="1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</row>
    <row r="77" spans="1:19" ht="1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</row>
    <row r="78" spans="1:19" ht="1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</row>
    <row r="79" spans="1:19" ht="1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</row>
    <row r="80" spans="1:19" ht="1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</row>
    <row r="81" spans="1:19" ht="1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</row>
    <row r="82" spans="1:19" ht="1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</row>
    <row r="83" spans="1:19" ht="1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</row>
    <row r="84" spans="1:19" ht="1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</row>
    <row r="85" spans="1:19" ht="1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</row>
    <row r="86" spans="1:19" ht="1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</row>
    <row r="87" spans="1:19" ht="1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</row>
    <row r="88" spans="1:19" ht="1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</row>
    <row r="89" spans="1:19" ht="1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</row>
    <row r="90" spans="1:19" ht="1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</row>
    <row r="91" spans="1:19" ht="1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</row>
    <row r="92" spans="1:19" ht="1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</row>
    <row r="93" spans="1:19" ht="1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</row>
    <row r="94" spans="1:19" ht="1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</row>
    <row r="95" spans="1:19" ht="1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</row>
    <row r="96" spans="1:19" ht="1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</row>
    <row r="97" spans="1:19" ht="1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</row>
    <row r="98" spans="1:19" ht="1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</row>
    <row r="99" spans="1:19" ht="1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</row>
    <row r="100" spans="1:19" ht="1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</row>
    <row r="101" spans="1:19" ht="1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</row>
    <row r="102" spans="1:19" ht="1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</row>
    <row r="103" spans="1:19" ht="1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</row>
    <row r="104" spans="1:19" ht="1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</row>
    <row r="105" spans="1:19" ht="1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</row>
    <row r="106" spans="1:19" ht="1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</row>
    <row r="107" spans="1:19" ht="1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</row>
    <row r="108" spans="1:19" ht="1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</row>
    <row r="109" spans="1:19" ht="1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</row>
    <row r="110" spans="1:19" ht="1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</row>
    <row r="111" spans="1:19" ht="1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</row>
    <row r="112" spans="1:19" ht="1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</row>
    <row r="113" spans="1:19" ht="1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</row>
    <row r="114" spans="1:19" ht="1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</row>
    <row r="115" spans="1:19" ht="1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</row>
    <row r="116" spans="1:19" ht="1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</row>
    <row r="117" spans="1:19" ht="1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</row>
    <row r="118" spans="1:19" ht="1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</row>
    <row r="119" spans="1:19" ht="1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</row>
    <row r="120" spans="1:19" ht="1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</row>
    <row r="121" spans="1:19" ht="1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</row>
    <row r="122" spans="1:19" ht="1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</row>
    <row r="123" spans="1:19" ht="1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</row>
    <row r="124" spans="1:19" ht="1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</row>
    <row r="125" spans="1:19" ht="1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</row>
    <row r="126" spans="1:19" ht="1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</row>
    <row r="127" spans="1:19" ht="1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</row>
    <row r="128" spans="1:19" ht="1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</row>
    <row r="129" spans="1:19" ht="1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</row>
    <row r="130" spans="1:19" ht="1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</row>
    <row r="131" spans="1:19" ht="1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</row>
    <row r="132" spans="1:19" ht="1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</row>
    <row r="133" spans="1:19" ht="1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</row>
    <row r="134" spans="1:19" ht="1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</row>
    <row r="135" spans="1:19" ht="1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</row>
    <row r="136" spans="1:19" ht="1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</row>
    <row r="137" spans="1:19" ht="1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</row>
    <row r="138" spans="1:19" ht="1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</row>
    <row r="139" spans="1:19" ht="1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</row>
    <row r="140" spans="1:19" ht="1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</row>
    <row r="141" spans="1:19" ht="1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</row>
    <row r="142" spans="1:19" ht="1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</row>
    <row r="143" spans="1:19" ht="1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</row>
    <row r="144" spans="1:19" ht="1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</row>
    <row r="145" spans="1:19" ht="1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</row>
    <row r="146" spans="1:19" ht="1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</row>
    <row r="147" spans="1:19" ht="1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</row>
    <row r="148" spans="1:19" ht="1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</row>
    <row r="149" spans="1:19" ht="1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</row>
    <row r="150" spans="1:19" ht="1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</row>
    <row r="151" spans="1:19" ht="1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</row>
    <row r="152" spans="1:19" ht="1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</row>
    <row r="153" spans="1:19" ht="1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</row>
    <row r="154" spans="1:19" ht="1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</row>
    <row r="155" spans="1:19" ht="1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</row>
    <row r="156" spans="1:19" ht="1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</row>
    <row r="157" spans="1:19" ht="1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</row>
    <row r="158" spans="1:19" ht="1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</row>
    <row r="159" spans="1:19" ht="1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</row>
    <row r="160" spans="1:19" ht="1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</row>
    <row r="161" spans="1:19" ht="1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</row>
    <row r="162" spans="1:19" ht="1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</row>
    <row r="163" spans="1:19" ht="1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</row>
    <row r="164" spans="1:19" ht="1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</row>
    <row r="165" spans="1:19" ht="1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</row>
    <row r="166" spans="1:19" ht="1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</row>
    <row r="167" spans="1:19" ht="1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</row>
    <row r="168" spans="1:19" ht="1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</row>
    <row r="169" spans="1:19" ht="1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</row>
    <row r="170" spans="1:19" ht="1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</row>
    <row r="171" spans="1:19" ht="1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</row>
    <row r="172" spans="1:19" ht="1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</row>
    <row r="173" spans="1:19" ht="1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</row>
    <row r="174" spans="1:19" ht="1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</row>
    <row r="175" spans="1:19" ht="1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</row>
    <row r="176" spans="1:19" ht="1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</row>
    <row r="177" spans="1:19" ht="1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</row>
    <row r="178" spans="1:19" ht="1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</row>
    <row r="179" spans="1:19" ht="1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</row>
    <row r="180" spans="1:19" ht="1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</row>
    <row r="181" spans="1:19" ht="1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</row>
    <row r="182" spans="1:19" ht="1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</row>
    <row r="183" spans="1:19" ht="1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</row>
    <row r="184" spans="1:19" ht="1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</row>
    <row r="185" spans="1:19" ht="1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</row>
    <row r="186" spans="1:19" ht="1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</row>
    <row r="187" spans="1:19" ht="1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</row>
    <row r="188" spans="1:19" ht="1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</row>
    <row r="189" spans="1:19" ht="1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</row>
    <row r="190" spans="1:19" ht="1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</row>
    <row r="191" spans="1:19" ht="1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</row>
    <row r="192" spans="1:19" ht="1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</row>
    <row r="193" spans="1:19" ht="1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</row>
    <row r="194" spans="1:19" ht="1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</row>
    <row r="195" spans="1:19" ht="1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</row>
    <row r="196" spans="1:19">
      <c r="F196"/>
    </row>
    <row r="197" spans="1:19">
      <c r="F197"/>
    </row>
    <row r="198" spans="1:19">
      <c r="F198"/>
    </row>
    <row r="199" spans="1:19">
      <c r="F199"/>
    </row>
    <row r="200" spans="1:19">
      <c r="F200"/>
    </row>
    <row r="201" spans="1:19">
      <c r="F201"/>
    </row>
    <row r="202" spans="1:19">
      <c r="F202"/>
    </row>
    <row r="203" spans="1:19">
      <c r="F203"/>
    </row>
    <row r="204" spans="1:19">
      <c r="F204"/>
    </row>
    <row r="205" spans="1:19">
      <c r="F205"/>
    </row>
    <row r="206" spans="1:19">
      <c r="F206"/>
    </row>
    <row r="207" spans="1:19">
      <c r="F207"/>
    </row>
    <row r="208" spans="1:19">
      <c r="F208"/>
    </row>
    <row r="209" spans="6:6">
      <c r="F209"/>
    </row>
    <row r="210" spans="6:6">
      <c r="F210"/>
    </row>
    <row r="211" spans="6:6">
      <c r="F211"/>
    </row>
    <row r="212" spans="6:6">
      <c r="F212"/>
    </row>
    <row r="213" spans="6:6">
      <c r="F213"/>
    </row>
    <row r="214" spans="6:6">
      <c r="F214"/>
    </row>
    <row r="215" spans="6:6">
      <c r="F215"/>
    </row>
    <row r="216" spans="6:6">
      <c r="F216"/>
    </row>
    <row r="217" spans="6:6">
      <c r="F217"/>
    </row>
    <row r="218" spans="6:6">
      <c r="F218"/>
    </row>
    <row r="219" spans="6:6">
      <c r="F219"/>
    </row>
    <row r="220" spans="6:6">
      <c r="F220"/>
    </row>
    <row r="221" spans="6:6">
      <c r="F221"/>
    </row>
    <row r="222" spans="6:6">
      <c r="F222"/>
    </row>
    <row r="223" spans="6:6">
      <c r="F223"/>
    </row>
    <row r="224" spans="6:6">
      <c r="F224"/>
    </row>
    <row r="225" spans="6:6">
      <c r="F225"/>
    </row>
    <row r="226" spans="6:6">
      <c r="F226"/>
    </row>
    <row r="227" spans="6:6">
      <c r="F227"/>
    </row>
    <row r="228" spans="6:6">
      <c r="F228"/>
    </row>
    <row r="229" spans="6:6">
      <c r="F229"/>
    </row>
    <row r="230" spans="6:6">
      <c r="F230"/>
    </row>
    <row r="231" spans="6:6">
      <c r="F231"/>
    </row>
    <row r="232" spans="6:6">
      <c r="F232"/>
    </row>
    <row r="233" spans="6:6">
      <c r="F233"/>
    </row>
    <row r="234" spans="6:6">
      <c r="F234"/>
    </row>
    <row r="235" spans="6:6">
      <c r="F235"/>
    </row>
    <row r="236" spans="6:6">
      <c r="F236"/>
    </row>
    <row r="237" spans="6:6">
      <c r="F237"/>
    </row>
    <row r="238" spans="6:6">
      <c r="F238"/>
    </row>
    <row r="239" spans="6:6">
      <c r="F239"/>
    </row>
    <row r="240" spans="6:6">
      <c r="F240"/>
    </row>
    <row r="241" spans="6:6">
      <c r="F241"/>
    </row>
    <row r="242" spans="6:6">
      <c r="F242"/>
    </row>
    <row r="243" spans="6:6">
      <c r="F243"/>
    </row>
    <row r="244" spans="6:6">
      <c r="F244"/>
    </row>
    <row r="245" spans="6:6">
      <c r="F245"/>
    </row>
    <row r="246" spans="6:6">
      <c r="F246"/>
    </row>
    <row r="247" spans="6:6">
      <c r="F247"/>
    </row>
    <row r="248" spans="6:6">
      <c r="F248"/>
    </row>
    <row r="249" spans="6:6">
      <c r="F249"/>
    </row>
    <row r="250" spans="6:6">
      <c r="F250"/>
    </row>
    <row r="251" spans="6:6">
      <c r="F251"/>
    </row>
    <row r="252" spans="6:6">
      <c r="F252"/>
    </row>
    <row r="253" spans="6:6">
      <c r="F253"/>
    </row>
    <row r="254" spans="6:6">
      <c r="F254"/>
    </row>
    <row r="255" spans="6:6">
      <c r="F255"/>
    </row>
    <row r="256" spans="6:6">
      <c r="F256"/>
    </row>
    <row r="257" spans="6:6">
      <c r="F257"/>
    </row>
    <row r="258" spans="6:6">
      <c r="F258"/>
    </row>
    <row r="259" spans="6:6">
      <c r="F259"/>
    </row>
    <row r="260" spans="6:6">
      <c r="F260"/>
    </row>
    <row r="261" spans="6:6">
      <c r="F261"/>
    </row>
    <row r="262" spans="6:6">
      <c r="F262"/>
    </row>
    <row r="263" spans="6:6">
      <c r="F263"/>
    </row>
    <row r="264" spans="6:6">
      <c r="F264"/>
    </row>
    <row r="265" spans="6:6">
      <c r="F265"/>
    </row>
    <row r="266" spans="6:6">
      <c r="F266"/>
    </row>
    <row r="267" spans="6:6">
      <c r="F267"/>
    </row>
    <row r="268" spans="6:6">
      <c r="F268"/>
    </row>
    <row r="269" spans="6:6">
      <c r="F269"/>
    </row>
    <row r="270" spans="6:6">
      <c r="F270"/>
    </row>
    <row r="271" spans="6:6">
      <c r="F271"/>
    </row>
    <row r="272" spans="6:6">
      <c r="F272"/>
    </row>
    <row r="273" spans="6:6">
      <c r="F273"/>
    </row>
    <row r="274" spans="6:6">
      <c r="F274"/>
    </row>
    <row r="275" spans="6:6">
      <c r="F275"/>
    </row>
    <row r="276" spans="6:6">
      <c r="F276"/>
    </row>
    <row r="277" spans="6:6">
      <c r="F277"/>
    </row>
    <row r="278" spans="6:6">
      <c r="F278"/>
    </row>
    <row r="279" spans="6:6">
      <c r="F279"/>
    </row>
  </sheetData>
  <mergeCells count="11">
    <mergeCell ref="C39:H39"/>
    <mergeCell ref="C40:H40"/>
    <mergeCell ref="C42:H42"/>
    <mergeCell ref="C11:H11"/>
    <mergeCell ref="C18:H18"/>
    <mergeCell ref="C19:H19"/>
    <mergeCell ref="C26:H26"/>
    <mergeCell ref="C32:H32"/>
    <mergeCell ref="C33:H33"/>
    <mergeCell ref="C12:H12"/>
    <mergeCell ref="C23:H23"/>
  </mergeCells>
  <pageMargins left="0.7" right="0.7" top="0.75" bottom="0.75" header="0.3" footer="0.3"/>
  <pageSetup scale="99"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737051-E669-4C2F-B4D4-F8B394C392B3}">
  <dimension ref="A1:S279"/>
  <sheetViews>
    <sheetView zoomScaleNormal="100" zoomScaleSheetLayoutView="100" workbookViewId="0">
      <selection activeCell="C29" sqref="C29"/>
    </sheetView>
  </sheetViews>
  <sheetFormatPr defaultRowHeight="14.25"/>
  <cols>
    <col min="1" max="1" width="4.25" customWidth="1"/>
    <col min="2" max="2" width="29" bestFit="1" customWidth="1"/>
    <col min="3" max="4" width="14.875" customWidth="1"/>
    <col min="5" max="5" width="14.75" customWidth="1"/>
    <col min="6" max="6" width="15" style="16" customWidth="1"/>
    <col min="7" max="7" width="15" customWidth="1"/>
    <col min="8" max="8" width="14.75" customWidth="1"/>
    <col min="11" max="11" width="13.125" bestFit="1" customWidth="1"/>
    <col min="14" max="14" width="13.25" bestFit="1" customWidth="1"/>
  </cols>
  <sheetData>
    <row r="1" spans="1:19">
      <c r="F1"/>
    </row>
    <row r="2" spans="1:19" ht="16.5">
      <c r="A2" s="2"/>
      <c r="B2" s="20" t="s">
        <v>7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</row>
    <row r="3" spans="1:19" ht="1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</row>
    <row r="4" spans="1:19" ht="15.75">
      <c r="A4" s="3"/>
      <c r="B4" s="3" t="s">
        <v>18</v>
      </c>
      <c r="C4" s="4"/>
      <c r="D4" s="4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</row>
    <row r="5" spans="1:19" ht="15">
      <c r="A5" s="5"/>
      <c r="B5" s="19">
        <v>2026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</row>
    <row r="6" spans="1:19" ht="15">
      <c r="A6" s="5"/>
      <c r="B6" s="5" t="s">
        <v>9</v>
      </c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</row>
    <row r="7" spans="1:19" ht="15">
      <c r="A7" s="5"/>
      <c r="B7" s="5" t="s">
        <v>12</v>
      </c>
      <c r="C7" s="6"/>
      <c r="D7" s="6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</row>
    <row r="8" spans="1:19" ht="15">
      <c r="A8" s="5"/>
      <c r="B8" s="5"/>
      <c r="C8" s="6"/>
      <c r="D8" s="6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</row>
    <row r="9" spans="1:19" ht="15">
      <c r="A9" s="13" t="s">
        <v>2</v>
      </c>
      <c r="B9" s="10" t="s">
        <v>11</v>
      </c>
      <c r="C9" s="23" t="s">
        <v>15</v>
      </c>
      <c r="D9" s="37" t="s">
        <v>16</v>
      </c>
      <c r="E9" s="24" t="s">
        <v>5</v>
      </c>
      <c r="F9" s="15" t="s">
        <v>3</v>
      </c>
      <c r="G9" s="15" t="s">
        <v>14</v>
      </c>
      <c r="H9" s="15" t="s">
        <v>4</v>
      </c>
      <c r="I9" s="1"/>
      <c r="J9" s="1"/>
      <c r="K9" s="1"/>
      <c r="L9" s="1"/>
      <c r="M9" s="1"/>
      <c r="N9" s="1"/>
      <c r="O9" s="1"/>
      <c r="P9" s="1"/>
      <c r="Q9" s="1"/>
      <c r="R9" s="1"/>
      <c r="S9" s="1"/>
    </row>
    <row r="10" spans="1:19" ht="15">
      <c r="A10" s="11">
        <v>1</v>
      </c>
      <c r="B10" s="28">
        <v>46143</v>
      </c>
      <c r="C10" s="33">
        <v>456978</v>
      </c>
      <c r="D10" s="33">
        <v>385311</v>
      </c>
      <c r="E10" s="32"/>
      <c r="F10" s="33">
        <v>858</v>
      </c>
      <c r="G10" s="33">
        <v>2766</v>
      </c>
      <c r="H10" s="32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</row>
    <row r="11" spans="1:19" ht="15">
      <c r="A11" s="11">
        <v>2</v>
      </c>
      <c r="B11" s="28">
        <v>46144</v>
      </c>
      <c r="C11" s="33">
        <v>635011</v>
      </c>
      <c r="D11" s="33">
        <v>546499</v>
      </c>
      <c r="E11" s="32">
        <v>16</v>
      </c>
      <c r="F11" s="33"/>
      <c r="G11" s="33">
        <v>3516</v>
      </c>
      <c r="H11" s="32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</row>
    <row r="12" spans="1:19" ht="15">
      <c r="A12" s="11">
        <v>3</v>
      </c>
      <c r="B12" s="36" t="s">
        <v>0</v>
      </c>
      <c r="C12" s="40" t="s">
        <v>0</v>
      </c>
      <c r="D12" s="41"/>
      <c r="E12" s="41"/>
      <c r="F12" s="41"/>
      <c r="G12" s="41"/>
      <c r="H12" s="42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</row>
    <row r="13" spans="1:19" ht="15">
      <c r="A13" s="11">
        <v>4</v>
      </c>
      <c r="B13" s="28">
        <v>46146</v>
      </c>
      <c r="C13" s="33">
        <v>426537</v>
      </c>
      <c r="D13" s="33">
        <v>360874</v>
      </c>
      <c r="E13" s="32"/>
      <c r="F13" s="33">
        <v>1992</v>
      </c>
      <c r="G13" s="35">
        <v>2328</v>
      </c>
      <c r="H13" s="33">
        <v>50</v>
      </c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</row>
    <row r="14" spans="1:19" ht="15">
      <c r="A14" s="11">
        <v>5</v>
      </c>
      <c r="B14" s="28">
        <v>46147</v>
      </c>
      <c r="C14" s="33">
        <v>518703</v>
      </c>
      <c r="D14" s="33">
        <v>437893.5</v>
      </c>
      <c r="E14" s="32"/>
      <c r="F14" s="33">
        <v>81.5</v>
      </c>
      <c r="G14" s="35"/>
      <c r="H14" s="32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</row>
    <row r="15" spans="1:19" ht="15">
      <c r="A15" s="11">
        <v>6</v>
      </c>
      <c r="B15" s="28">
        <v>46148</v>
      </c>
      <c r="C15" s="33">
        <v>324737</v>
      </c>
      <c r="D15" s="33">
        <v>274038</v>
      </c>
      <c r="E15" s="32">
        <v>50</v>
      </c>
      <c r="F15" s="32"/>
      <c r="G15" s="35">
        <f>2190</f>
        <v>2190</v>
      </c>
      <c r="H15" s="33">
        <v>50</v>
      </c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</row>
    <row r="16" spans="1:19" ht="15">
      <c r="A16" s="11">
        <v>7</v>
      </c>
      <c r="B16" s="28">
        <v>46149</v>
      </c>
      <c r="C16" s="33">
        <v>355053</v>
      </c>
      <c r="D16" s="33">
        <v>301508.25</v>
      </c>
      <c r="E16" s="32">
        <v>9.25</v>
      </c>
      <c r="F16" s="32"/>
      <c r="G16" s="35">
        <v>2028</v>
      </c>
      <c r="H16" s="32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</row>
    <row r="17" spans="1:19" ht="15">
      <c r="A17" s="11">
        <v>8</v>
      </c>
      <c r="B17" s="28">
        <v>46150</v>
      </c>
      <c r="C17" s="33">
        <v>411243</v>
      </c>
      <c r="D17" s="33">
        <v>346119.75</v>
      </c>
      <c r="E17" s="32"/>
      <c r="F17" s="33">
        <v>610.25</v>
      </c>
      <c r="G17" s="35">
        <v>2544</v>
      </c>
      <c r="H17" s="32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</row>
    <row r="18" spans="1:19" ht="15">
      <c r="A18" s="11">
        <v>9</v>
      </c>
      <c r="B18" s="28">
        <v>46151</v>
      </c>
      <c r="C18" s="40" t="s">
        <v>17</v>
      </c>
      <c r="D18" s="41"/>
      <c r="E18" s="41"/>
      <c r="F18" s="41"/>
      <c r="G18" s="41"/>
      <c r="H18" s="42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</row>
    <row r="19" spans="1:19" ht="15">
      <c r="A19" s="11">
        <v>10</v>
      </c>
      <c r="B19" s="36" t="s">
        <v>0</v>
      </c>
      <c r="C19" s="40" t="s">
        <v>0</v>
      </c>
      <c r="D19" s="41"/>
      <c r="E19" s="41"/>
      <c r="F19" s="41"/>
      <c r="G19" s="41"/>
      <c r="H19" s="42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</row>
    <row r="20" spans="1:19" ht="15">
      <c r="A20" s="11">
        <v>11</v>
      </c>
      <c r="B20" s="28">
        <v>46153</v>
      </c>
      <c r="C20" s="33">
        <v>306343</v>
      </c>
      <c r="D20" s="33">
        <v>252932</v>
      </c>
      <c r="E20" s="32"/>
      <c r="F20" s="35">
        <v>2651.5</v>
      </c>
      <c r="G20" s="35">
        <v>1632</v>
      </c>
      <c r="H20" s="35">
        <v>50</v>
      </c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</row>
    <row r="21" spans="1:19" ht="15">
      <c r="A21" s="11">
        <v>12</v>
      </c>
      <c r="B21" s="28">
        <v>46154</v>
      </c>
      <c r="C21" s="33">
        <v>485304</v>
      </c>
      <c r="D21" s="33">
        <v>404232</v>
      </c>
      <c r="E21" s="32">
        <v>1516</v>
      </c>
      <c r="F21" s="35"/>
      <c r="G21" s="35">
        <v>3666</v>
      </c>
      <c r="H21" s="35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</row>
    <row r="22" spans="1:19" ht="15">
      <c r="A22" s="11">
        <v>13</v>
      </c>
      <c r="B22" s="28">
        <v>46155</v>
      </c>
      <c r="C22" s="40" t="s">
        <v>19</v>
      </c>
      <c r="D22" s="41"/>
      <c r="E22" s="41"/>
      <c r="F22" s="41"/>
      <c r="G22" s="41"/>
      <c r="H22" s="42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</row>
    <row r="23" spans="1:19" ht="15">
      <c r="A23" s="11">
        <v>14</v>
      </c>
      <c r="B23" s="28">
        <v>46156</v>
      </c>
      <c r="C23" s="33">
        <v>344042</v>
      </c>
      <c r="D23" s="33">
        <v>296318.25</v>
      </c>
      <c r="E23" s="32"/>
      <c r="F23" s="35">
        <v>310.75</v>
      </c>
      <c r="G23" s="35">
        <v>1656</v>
      </c>
      <c r="H23" s="35">
        <v>50</v>
      </c>
      <c r="I23" s="1"/>
      <c r="J23" s="1"/>
      <c r="K23" s="7"/>
      <c r="L23" s="1"/>
      <c r="M23" s="1"/>
      <c r="N23" s="1"/>
      <c r="O23" s="1"/>
      <c r="P23" s="1"/>
      <c r="Q23" s="1"/>
      <c r="R23" s="1"/>
      <c r="S23" s="1"/>
    </row>
    <row r="24" spans="1:19" ht="15">
      <c r="A24" s="11">
        <v>15</v>
      </c>
      <c r="B24" s="28">
        <v>46157</v>
      </c>
      <c r="C24" s="33">
        <v>509099</v>
      </c>
      <c r="D24" s="33">
        <v>434826.5</v>
      </c>
      <c r="E24" s="32"/>
      <c r="F24" s="35">
        <v>140.5</v>
      </c>
      <c r="G24" s="35">
        <v>3192</v>
      </c>
      <c r="H24" s="35"/>
      <c r="I24" s="1"/>
      <c r="J24" s="1"/>
      <c r="K24" s="7"/>
      <c r="L24" s="1"/>
      <c r="M24" s="1"/>
      <c r="N24" s="1"/>
      <c r="O24" s="1"/>
      <c r="P24" s="1"/>
      <c r="Q24" s="1"/>
      <c r="R24" s="1"/>
      <c r="S24" s="1"/>
    </row>
    <row r="25" spans="1:19" ht="15">
      <c r="A25" s="11">
        <v>16</v>
      </c>
      <c r="B25" s="28">
        <v>46158</v>
      </c>
      <c r="C25" s="40" t="s">
        <v>17</v>
      </c>
      <c r="D25" s="41"/>
      <c r="E25" s="41"/>
      <c r="F25" s="41"/>
      <c r="G25" s="41"/>
      <c r="H25" s="42"/>
      <c r="I25" s="1"/>
      <c r="J25" s="1"/>
      <c r="K25" s="7"/>
      <c r="L25" s="1"/>
      <c r="M25" s="1"/>
      <c r="N25" s="1"/>
      <c r="O25" s="1"/>
      <c r="P25" s="1"/>
      <c r="Q25" s="1"/>
      <c r="R25" s="1"/>
      <c r="S25" s="1"/>
    </row>
    <row r="26" spans="1:19" ht="15">
      <c r="A26" s="11">
        <v>17</v>
      </c>
      <c r="B26" s="36" t="s">
        <v>0</v>
      </c>
      <c r="C26" s="40" t="s">
        <v>0</v>
      </c>
      <c r="D26" s="41"/>
      <c r="E26" s="41"/>
      <c r="F26" s="41"/>
      <c r="G26" s="41"/>
      <c r="H26" s="42"/>
      <c r="I26" s="1"/>
      <c r="J26" s="1"/>
      <c r="K26" s="18"/>
      <c r="L26" s="1"/>
      <c r="M26" s="1"/>
      <c r="N26" s="1"/>
      <c r="O26" s="1"/>
      <c r="P26" s="1"/>
      <c r="Q26" s="1"/>
      <c r="R26" s="1"/>
      <c r="S26" s="1"/>
    </row>
    <row r="27" spans="1:19" ht="15">
      <c r="A27" s="11">
        <v>18</v>
      </c>
      <c r="B27" s="28">
        <v>46160</v>
      </c>
      <c r="C27" s="12">
        <v>543461</v>
      </c>
      <c r="D27" s="38">
        <v>461788.5</v>
      </c>
      <c r="E27" s="14"/>
      <c r="F27" s="12">
        <v>14.5</v>
      </c>
      <c r="G27" s="34">
        <v>2784</v>
      </c>
      <c r="H27" s="31">
        <v>50</v>
      </c>
      <c r="I27" s="1"/>
      <c r="J27" s="1"/>
      <c r="K27" s="7"/>
      <c r="L27" s="1"/>
      <c r="M27" s="1"/>
      <c r="N27" s="1"/>
      <c r="O27" s="1"/>
      <c r="P27" s="1"/>
      <c r="Q27" s="1"/>
      <c r="R27" s="1"/>
      <c r="S27" s="1"/>
    </row>
    <row r="28" spans="1:19" ht="15">
      <c r="A28" s="11">
        <v>19</v>
      </c>
      <c r="B28" s="28">
        <v>46161</v>
      </c>
      <c r="C28" s="12">
        <v>524541</v>
      </c>
      <c r="D28" s="38">
        <v>448138.5</v>
      </c>
      <c r="E28" s="14"/>
      <c r="F28" s="12">
        <v>386.5</v>
      </c>
      <c r="G28" s="34">
        <f>3660</f>
        <v>3660</v>
      </c>
      <c r="H28" s="31"/>
      <c r="I28" s="1"/>
      <c r="J28" s="1"/>
      <c r="K28" s="7"/>
      <c r="L28" s="1"/>
      <c r="M28" s="1"/>
      <c r="N28" s="1"/>
      <c r="O28" s="1"/>
      <c r="P28" s="1"/>
      <c r="Q28" s="1"/>
      <c r="R28" s="1"/>
      <c r="S28" s="1"/>
    </row>
    <row r="29" spans="1:19" ht="15">
      <c r="A29" s="11">
        <v>20</v>
      </c>
      <c r="B29" s="28">
        <v>46162</v>
      </c>
      <c r="C29" s="12"/>
      <c r="D29" s="38"/>
      <c r="E29" s="14"/>
      <c r="F29" s="12"/>
      <c r="G29" s="34"/>
      <c r="H29" s="31"/>
      <c r="I29" s="1"/>
      <c r="J29" s="1"/>
      <c r="K29" s="7"/>
      <c r="L29" s="1"/>
      <c r="M29" s="1"/>
      <c r="N29" s="1"/>
      <c r="O29" s="1"/>
      <c r="P29" s="1"/>
      <c r="Q29" s="1"/>
      <c r="R29" s="1"/>
      <c r="S29" s="1"/>
    </row>
    <row r="30" spans="1:19" ht="15">
      <c r="A30" s="11">
        <v>21</v>
      </c>
      <c r="B30" s="28">
        <v>46163</v>
      </c>
      <c r="C30" s="12"/>
      <c r="D30" s="38"/>
      <c r="E30" s="14"/>
      <c r="F30" s="12"/>
      <c r="G30" s="34"/>
      <c r="H30" s="31"/>
      <c r="I30" s="1"/>
      <c r="J30" s="1"/>
      <c r="K30" s="7"/>
      <c r="L30" s="1"/>
      <c r="M30" s="1"/>
      <c r="N30" s="1"/>
      <c r="O30" s="1"/>
      <c r="P30" s="1"/>
      <c r="Q30" s="1"/>
      <c r="R30" s="1"/>
      <c r="S30" s="1"/>
    </row>
    <row r="31" spans="1:19" ht="15">
      <c r="A31" s="11">
        <v>22</v>
      </c>
      <c r="B31" s="28">
        <v>46164</v>
      </c>
      <c r="C31" s="12"/>
      <c r="D31" s="38"/>
      <c r="E31" s="14"/>
      <c r="F31" s="12"/>
      <c r="G31" s="34"/>
      <c r="H31" s="31"/>
      <c r="I31" s="1"/>
      <c r="J31" s="1"/>
      <c r="K31" s="18"/>
      <c r="L31" s="1"/>
      <c r="M31" s="1"/>
      <c r="N31" s="1"/>
      <c r="O31" s="1"/>
      <c r="P31" s="1"/>
      <c r="Q31" s="1"/>
      <c r="R31" s="1"/>
      <c r="S31" s="1"/>
    </row>
    <row r="32" spans="1:19" ht="15">
      <c r="A32" s="11">
        <v>23</v>
      </c>
      <c r="B32" s="28">
        <v>46165</v>
      </c>
      <c r="C32" s="40" t="s">
        <v>17</v>
      </c>
      <c r="D32" s="41"/>
      <c r="E32" s="41"/>
      <c r="F32" s="41"/>
      <c r="G32" s="41"/>
      <c r="H32" s="42"/>
      <c r="I32" s="1"/>
      <c r="J32" s="1"/>
      <c r="K32" s="7"/>
      <c r="L32" s="1"/>
      <c r="M32" s="1"/>
      <c r="N32" s="1"/>
      <c r="O32" s="1"/>
      <c r="P32" s="1"/>
      <c r="Q32" s="1"/>
      <c r="R32" s="1"/>
      <c r="S32" s="1"/>
    </row>
    <row r="33" spans="1:19" ht="15">
      <c r="A33" s="11">
        <v>24</v>
      </c>
      <c r="B33" s="36" t="s">
        <v>0</v>
      </c>
      <c r="C33" s="40" t="s">
        <v>0</v>
      </c>
      <c r="D33" s="41"/>
      <c r="E33" s="41"/>
      <c r="F33" s="41"/>
      <c r="G33" s="41"/>
      <c r="H33" s="42"/>
      <c r="I33" s="1"/>
      <c r="J33" s="1"/>
      <c r="K33" s="7"/>
      <c r="L33" s="1"/>
      <c r="M33" s="1"/>
      <c r="N33" s="7"/>
      <c r="O33" s="1"/>
      <c r="P33" s="1"/>
      <c r="Q33" s="1"/>
      <c r="R33" s="1"/>
      <c r="S33" s="1"/>
    </row>
    <row r="34" spans="1:19" ht="15">
      <c r="A34" s="11">
        <v>25</v>
      </c>
      <c r="B34" s="28">
        <v>46167</v>
      </c>
      <c r="C34" s="25"/>
      <c r="D34" s="39"/>
      <c r="E34" s="14"/>
      <c r="F34" s="12"/>
      <c r="G34" s="34"/>
      <c r="H34" s="31"/>
      <c r="I34" s="1"/>
      <c r="J34" s="1"/>
      <c r="K34" s="7"/>
      <c r="L34" s="1"/>
      <c r="M34" s="1"/>
      <c r="N34" s="7"/>
      <c r="O34" s="1"/>
      <c r="P34" s="1"/>
      <c r="Q34" s="1"/>
      <c r="R34" s="1"/>
      <c r="S34" s="1"/>
    </row>
    <row r="35" spans="1:19" ht="15">
      <c r="A35" s="11">
        <v>26</v>
      </c>
      <c r="B35" s="28">
        <v>46168</v>
      </c>
      <c r="C35" s="25"/>
      <c r="D35" s="39"/>
      <c r="E35" s="14"/>
      <c r="F35" s="12"/>
      <c r="G35" s="34"/>
      <c r="H35" s="31"/>
      <c r="I35" s="1"/>
      <c r="J35" s="1"/>
      <c r="K35" s="7"/>
      <c r="L35" s="1"/>
      <c r="M35" s="1"/>
      <c r="N35" s="7"/>
      <c r="O35" s="1"/>
      <c r="P35" s="1"/>
      <c r="Q35" s="1"/>
      <c r="R35" s="1"/>
      <c r="S35" s="1"/>
    </row>
    <row r="36" spans="1:19" ht="15">
      <c r="A36" s="11">
        <v>27</v>
      </c>
      <c r="B36" s="28">
        <v>46169</v>
      </c>
      <c r="C36" s="25"/>
      <c r="D36" s="39"/>
      <c r="E36" s="14"/>
      <c r="F36" s="12"/>
      <c r="G36" s="34"/>
      <c r="H36" s="31"/>
      <c r="I36" s="1"/>
      <c r="J36" s="1"/>
      <c r="K36" s="7"/>
      <c r="L36" s="1"/>
      <c r="M36" s="1"/>
      <c r="N36" s="7"/>
      <c r="O36" s="1"/>
      <c r="P36" s="1"/>
      <c r="Q36" s="1"/>
      <c r="R36" s="1"/>
      <c r="S36" s="1"/>
    </row>
    <row r="37" spans="1:19" ht="15">
      <c r="A37" s="11">
        <v>28</v>
      </c>
      <c r="B37" s="28">
        <v>46170</v>
      </c>
      <c r="C37" s="25"/>
      <c r="D37" s="39"/>
      <c r="E37" s="14"/>
      <c r="F37" s="12"/>
      <c r="G37" s="34"/>
      <c r="H37" s="31"/>
      <c r="I37" s="1"/>
      <c r="J37" s="1"/>
      <c r="K37" s="8"/>
      <c r="L37" s="1"/>
      <c r="M37" s="1"/>
      <c r="N37" s="7"/>
      <c r="O37" s="1"/>
      <c r="P37" s="1"/>
      <c r="Q37" s="1"/>
      <c r="R37" s="1"/>
      <c r="S37" s="1"/>
    </row>
    <row r="38" spans="1:19" ht="15">
      <c r="A38" s="11">
        <v>29</v>
      </c>
      <c r="B38" s="28">
        <v>46171</v>
      </c>
      <c r="C38" s="25"/>
      <c r="D38" s="39"/>
      <c r="E38" s="14"/>
      <c r="F38" s="12"/>
      <c r="G38" s="34"/>
      <c r="H38" s="31"/>
      <c r="I38" s="1"/>
      <c r="J38" s="1"/>
      <c r="K38" s="7"/>
      <c r="L38" s="1"/>
      <c r="M38" s="1"/>
      <c r="N38" s="1"/>
      <c r="O38" s="1"/>
      <c r="P38" s="1"/>
      <c r="Q38" s="1"/>
      <c r="R38" s="1"/>
      <c r="S38" s="1"/>
    </row>
    <row r="39" spans="1:19" ht="15">
      <c r="A39" s="11">
        <v>30</v>
      </c>
      <c r="B39" s="28">
        <v>46172</v>
      </c>
      <c r="C39" s="40" t="s">
        <v>17</v>
      </c>
      <c r="D39" s="41"/>
      <c r="E39" s="41"/>
      <c r="F39" s="41"/>
      <c r="G39" s="41"/>
      <c r="H39" s="42"/>
      <c r="I39" s="1"/>
      <c r="J39" s="1"/>
      <c r="K39" s="7"/>
      <c r="L39" s="1"/>
      <c r="M39" s="1"/>
      <c r="N39" s="1"/>
      <c r="O39" s="1"/>
      <c r="P39" s="1"/>
      <c r="Q39" s="1"/>
      <c r="R39" s="1"/>
      <c r="S39" s="1"/>
    </row>
    <row r="40" spans="1:19" ht="15">
      <c r="A40" s="11">
        <v>29</v>
      </c>
      <c r="B40" s="36" t="s">
        <v>0</v>
      </c>
      <c r="C40" s="40" t="s">
        <v>0</v>
      </c>
      <c r="D40" s="41"/>
      <c r="E40" s="41"/>
      <c r="F40" s="41"/>
      <c r="G40" s="41"/>
      <c r="H40" s="42"/>
      <c r="I40" s="1"/>
      <c r="J40" s="1"/>
      <c r="K40" s="7"/>
      <c r="L40" s="1"/>
      <c r="M40" s="1"/>
      <c r="N40" s="1"/>
      <c r="O40" s="1"/>
      <c r="P40" s="1"/>
      <c r="Q40" s="1"/>
      <c r="R40" s="1"/>
      <c r="S40" s="1"/>
    </row>
    <row r="41" spans="1:19" ht="15">
      <c r="A41" s="11">
        <v>30</v>
      </c>
      <c r="B41" s="28"/>
      <c r="C41" s="12"/>
      <c r="D41" s="12"/>
      <c r="E41" s="32"/>
      <c r="F41" s="32"/>
      <c r="G41" s="32"/>
      <c r="H41" s="11"/>
      <c r="I41" s="1"/>
      <c r="J41" s="1"/>
      <c r="K41" s="7"/>
      <c r="L41" s="1"/>
      <c r="M41" s="1"/>
      <c r="N41" s="1"/>
      <c r="O41" s="1"/>
      <c r="P41" s="1"/>
      <c r="Q41" s="1"/>
      <c r="R41" s="1"/>
      <c r="S41" s="1"/>
    </row>
    <row r="42" spans="1:19" ht="15">
      <c r="A42" s="22">
        <v>31</v>
      </c>
      <c r="B42" s="36"/>
      <c r="C42" s="40"/>
      <c r="D42" s="41"/>
      <c r="E42" s="41"/>
      <c r="F42" s="41"/>
      <c r="G42" s="41"/>
      <c r="H42" s="42"/>
      <c r="I42" s="1"/>
      <c r="J42" s="1"/>
      <c r="K42" s="7"/>
      <c r="L42" s="1"/>
      <c r="M42" s="1"/>
      <c r="N42" s="1"/>
      <c r="O42" s="1"/>
      <c r="P42" s="1"/>
      <c r="Q42" s="1"/>
      <c r="R42" s="1"/>
      <c r="S42" s="1"/>
    </row>
    <row r="43" spans="1:19" ht="15">
      <c r="A43" s="27" t="s">
        <v>1</v>
      </c>
      <c r="B43" s="28"/>
      <c r="C43" s="17">
        <f>SUM(C10:C42)</f>
        <v>5841052</v>
      </c>
      <c r="D43" s="17"/>
      <c r="E43" s="29">
        <f>SUM(E10:E42)</f>
        <v>1591.25</v>
      </c>
      <c r="F43" s="17">
        <f>SUM(F10:F42)</f>
        <v>7045.5</v>
      </c>
      <c r="G43" s="17">
        <f>SUM(G10:G42)</f>
        <v>31962</v>
      </c>
      <c r="H43" s="17">
        <f>SUM(H10:H42)</f>
        <v>250</v>
      </c>
      <c r="I43" s="1"/>
      <c r="J43" s="1"/>
      <c r="K43" s="9"/>
      <c r="L43" s="1"/>
      <c r="M43" s="1"/>
      <c r="N43" s="1"/>
      <c r="O43" s="1"/>
      <c r="P43" s="1"/>
      <c r="Q43" s="1"/>
      <c r="R43" s="1"/>
      <c r="S43" s="1"/>
    </row>
    <row r="44" spans="1:19" ht="15">
      <c r="A44" s="1"/>
      <c r="B44" s="1"/>
      <c r="C44" s="21"/>
      <c r="D44" s="21"/>
      <c r="E44" s="26"/>
      <c r="F44" s="9"/>
      <c r="G44" s="9"/>
      <c r="H44" s="1"/>
      <c r="I44" s="1"/>
      <c r="J44" s="1"/>
      <c r="K44" s="18"/>
      <c r="L44" s="1"/>
      <c r="M44" s="1"/>
      <c r="N44" s="1"/>
      <c r="O44" s="1"/>
      <c r="P44" s="1"/>
      <c r="Q44" s="1"/>
      <c r="R44" s="1"/>
      <c r="S44" s="1"/>
    </row>
    <row r="45" spans="1:19" ht="15">
      <c r="A45" s="1"/>
      <c r="B45" s="1"/>
      <c r="C45" s="1"/>
      <c r="D45" s="1"/>
      <c r="E45" s="1"/>
      <c r="F45" s="1"/>
      <c r="G45" s="1"/>
      <c r="H45" s="1"/>
      <c r="I45" s="1"/>
      <c r="J45" s="1"/>
      <c r="K45" s="7"/>
      <c r="L45" s="1"/>
      <c r="M45" s="1"/>
      <c r="N45" s="1"/>
      <c r="O45" s="1"/>
      <c r="P45" s="1"/>
      <c r="Q45" s="1"/>
      <c r="R45" s="1"/>
      <c r="S45" s="1"/>
    </row>
    <row r="46" spans="1:19" ht="15">
      <c r="A46" s="1"/>
      <c r="B46" s="1"/>
      <c r="C46" s="1"/>
      <c r="D46" s="1"/>
      <c r="E46" s="1"/>
      <c r="F46" s="1"/>
      <c r="G46" s="1"/>
      <c r="H46" s="1"/>
      <c r="I46" s="1"/>
      <c r="J46" s="1"/>
      <c r="K46" s="7"/>
      <c r="L46" s="1"/>
      <c r="M46" s="1"/>
      <c r="N46" s="1"/>
      <c r="O46" s="1"/>
      <c r="P46" s="1"/>
      <c r="Q46" s="1"/>
      <c r="R46" s="1"/>
      <c r="S46" s="1"/>
    </row>
    <row r="47" spans="1:19" ht="15">
      <c r="A47" s="1"/>
      <c r="B47" s="1"/>
      <c r="C47" s="1"/>
      <c r="D47" s="1"/>
      <c r="E47" s="1"/>
      <c r="F47" s="1"/>
      <c r="G47" s="1"/>
      <c r="H47" s="1"/>
      <c r="I47" s="1"/>
      <c r="J47" s="1"/>
      <c r="K47" s="7"/>
      <c r="L47" s="1"/>
      <c r="M47" s="1"/>
      <c r="N47" s="1"/>
      <c r="O47" s="1"/>
      <c r="P47" s="1"/>
      <c r="Q47" s="1"/>
      <c r="R47" s="1"/>
      <c r="S47" s="1"/>
    </row>
    <row r="48" spans="1:19" ht="15">
      <c r="A48" s="1"/>
      <c r="B48" s="1"/>
      <c r="C48" s="1"/>
      <c r="D48" s="1"/>
      <c r="E48" s="1"/>
      <c r="F48" s="1"/>
      <c r="G48" s="1"/>
      <c r="H48" s="1"/>
      <c r="I48" s="1"/>
      <c r="J48" s="1"/>
      <c r="K48" s="7"/>
      <c r="L48" s="1"/>
      <c r="M48" s="1"/>
      <c r="N48" s="1"/>
      <c r="O48" s="1"/>
      <c r="P48" s="1"/>
      <c r="Q48" s="1"/>
      <c r="R48" s="1"/>
      <c r="S48" s="1"/>
    </row>
    <row r="49" spans="1:19" ht="15">
      <c r="A49" s="1"/>
      <c r="B49" s="1"/>
      <c r="C49" s="1"/>
      <c r="D49" s="1"/>
      <c r="E49" s="1"/>
      <c r="F49" s="1"/>
      <c r="G49" s="1"/>
      <c r="H49" s="1"/>
      <c r="I49" s="1"/>
      <c r="J49" s="1"/>
      <c r="K49" s="7"/>
      <c r="L49" s="1"/>
      <c r="M49" s="1"/>
      <c r="N49" s="1"/>
      <c r="O49" s="1"/>
      <c r="P49" s="1"/>
      <c r="Q49" s="1"/>
      <c r="R49" s="1"/>
      <c r="S49" s="1"/>
    </row>
    <row r="50" spans="1:19" ht="1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</row>
    <row r="51" spans="1:19" ht="1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</row>
    <row r="52" spans="1:19" ht="1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</row>
    <row r="53" spans="1:19" ht="1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</row>
    <row r="54" spans="1:19" ht="1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</row>
    <row r="55" spans="1:19" ht="1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</row>
    <row r="56" spans="1:19" ht="1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</row>
    <row r="57" spans="1:19" ht="1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</row>
    <row r="58" spans="1:19" ht="1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</row>
    <row r="59" spans="1:19" ht="1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</row>
    <row r="60" spans="1:19" ht="1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</row>
    <row r="61" spans="1:19" ht="1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</row>
    <row r="62" spans="1:19" ht="1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</row>
    <row r="63" spans="1:19" ht="1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</row>
    <row r="64" spans="1:19" ht="1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</row>
    <row r="65" spans="1:19" ht="1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</row>
    <row r="66" spans="1:19" ht="1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</row>
    <row r="67" spans="1:19" ht="1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</row>
    <row r="68" spans="1:19" ht="1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</row>
    <row r="69" spans="1:19" ht="1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</row>
    <row r="70" spans="1:19" ht="1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</row>
    <row r="71" spans="1:19" ht="1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</row>
    <row r="72" spans="1:19" ht="1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</row>
    <row r="73" spans="1:19" ht="1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</row>
    <row r="74" spans="1:19" ht="1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</row>
    <row r="75" spans="1:19" ht="1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</row>
    <row r="76" spans="1:19" ht="1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</row>
    <row r="77" spans="1:19" ht="1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</row>
    <row r="78" spans="1:19" ht="1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</row>
    <row r="79" spans="1:19" ht="1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</row>
    <row r="80" spans="1:19" ht="1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</row>
    <row r="81" spans="1:19" ht="1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</row>
    <row r="82" spans="1:19" ht="1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</row>
    <row r="83" spans="1:19" ht="1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</row>
    <row r="84" spans="1:19" ht="1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</row>
    <row r="85" spans="1:19" ht="1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</row>
    <row r="86" spans="1:19" ht="1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</row>
    <row r="87" spans="1:19" ht="1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</row>
    <row r="88" spans="1:19" ht="1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</row>
    <row r="89" spans="1:19" ht="1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</row>
    <row r="90" spans="1:19" ht="1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</row>
    <row r="91" spans="1:19" ht="1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</row>
    <row r="92" spans="1:19" ht="1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</row>
    <row r="93" spans="1:19" ht="1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</row>
    <row r="94" spans="1:19" ht="1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</row>
    <row r="95" spans="1:19" ht="1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</row>
    <row r="96" spans="1:19" ht="1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</row>
    <row r="97" spans="1:19" ht="1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</row>
    <row r="98" spans="1:19" ht="1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</row>
    <row r="99" spans="1:19" ht="1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</row>
    <row r="100" spans="1:19" ht="1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</row>
    <row r="101" spans="1:19" ht="1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</row>
    <row r="102" spans="1:19" ht="1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</row>
    <row r="103" spans="1:19" ht="1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</row>
    <row r="104" spans="1:19" ht="1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</row>
    <row r="105" spans="1:19" ht="1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</row>
    <row r="106" spans="1:19" ht="1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</row>
    <row r="107" spans="1:19" ht="1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</row>
    <row r="108" spans="1:19" ht="1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</row>
    <row r="109" spans="1:19" ht="1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</row>
    <row r="110" spans="1:19" ht="1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</row>
    <row r="111" spans="1:19" ht="1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</row>
    <row r="112" spans="1:19" ht="1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</row>
    <row r="113" spans="1:19" ht="1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</row>
    <row r="114" spans="1:19" ht="1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</row>
    <row r="115" spans="1:19" ht="1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</row>
    <row r="116" spans="1:19" ht="1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</row>
    <row r="117" spans="1:19" ht="1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</row>
    <row r="118" spans="1:19" ht="1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</row>
    <row r="119" spans="1:19" ht="1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</row>
    <row r="120" spans="1:19" ht="1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</row>
    <row r="121" spans="1:19" ht="1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</row>
    <row r="122" spans="1:19" ht="1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</row>
    <row r="123" spans="1:19" ht="1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</row>
    <row r="124" spans="1:19" ht="1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</row>
    <row r="125" spans="1:19" ht="1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</row>
    <row r="126" spans="1:19" ht="1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</row>
    <row r="127" spans="1:19" ht="1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</row>
    <row r="128" spans="1:19" ht="1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</row>
    <row r="129" spans="1:19" ht="1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</row>
    <row r="130" spans="1:19" ht="1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</row>
    <row r="131" spans="1:19" ht="1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</row>
    <row r="132" spans="1:19" ht="1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</row>
    <row r="133" spans="1:19" ht="1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</row>
    <row r="134" spans="1:19" ht="1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</row>
    <row r="135" spans="1:19" ht="1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</row>
    <row r="136" spans="1:19" ht="1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</row>
    <row r="137" spans="1:19" ht="1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</row>
    <row r="138" spans="1:19" ht="1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</row>
    <row r="139" spans="1:19" ht="1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</row>
    <row r="140" spans="1:19" ht="1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</row>
    <row r="141" spans="1:19" ht="1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</row>
    <row r="142" spans="1:19" ht="1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</row>
    <row r="143" spans="1:19" ht="1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</row>
    <row r="144" spans="1:19" ht="1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</row>
    <row r="145" spans="1:19" ht="1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</row>
    <row r="146" spans="1:19" ht="1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</row>
    <row r="147" spans="1:19" ht="1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</row>
    <row r="148" spans="1:19" ht="1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</row>
    <row r="149" spans="1:19" ht="1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</row>
    <row r="150" spans="1:19" ht="1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</row>
    <row r="151" spans="1:19" ht="1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</row>
    <row r="152" spans="1:19" ht="1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</row>
    <row r="153" spans="1:19" ht="1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</row>
    <row r="154" spans="1:19" ht="1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</row>
    <row r="155" spans="1:19" ht="1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</row>
    <row r="156" spans="1:19" ht="1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</row>
    <row r="157" spans="1:19" ht="1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</row>
    <row r="158" spans="1:19" ht="1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</row>
    <row r="159" spans="1:19" ht="1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</row>
    <row r="160" spans="1:19" ht="1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</row>
    <row r="161" spans="1:19" ht="1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</row>
    <row r="162" spans="1:19" ht="1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</row>
    <row r="163" spans="1:19" ht="1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</row>
    <row r="164" spans="1:19" ht="1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</row>
    <row r="165" spans="1:19" ht="1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</row>
    <row r="166" spans="1:19" ht="1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</row>
    <row r="167" spans="1:19" ht="1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</row>
    <row r="168" spans="1:19" ht="1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</row>
    <row r="169" spans="1:19" ht="1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</row>
    <row r="170" spans="1:19" ht="1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</row>
    <row r="171" spans="1:19" ht="1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</row>
    <row r="172" spans="1:19" ht="1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</row>
    <row r="173" spans="1:19" ht="1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</row>
    <row r="174" spans="1:19" ht="1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</row>
    <row r="175" spans="1:19" ht="1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</row>
    <row r="176" spans="1:19" ht="1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</row>
    <row r="177" spans="1:19" ht="1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</row>
    <row r="178" spans="1:19" ht="1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</row>
    <row r="179" spans="1:19" ht="1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</row>
    <row r="180" spans="1:19" ht="1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</row>
    <row r="181" spans="1:19" ht="1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</row>
    <row r="182" spans="1:19" ht="1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</row>
    <row r="183" spans="1:19" ht="1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</row>
    <row r="184" spans="1:19" ht="1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</row>
    <row r="185" spans="1:19" ht="1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</row>
    <row r="186" spans="1:19" ht="1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</row>
    <row r="187" spans="1:19" ht="1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</row>
    <row r="188" spans="1:19" ht="1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</row>
    <row r="189" spans="1:19" ht="1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</row>
    <row r="190" spans="1:19" ht="1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</row>
    <row r="191" spans="1:19" ht="1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</row>
    <row r="192" spans="1:19" ht="1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</row>
    <row r="193" spans="1:19" ht="1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</row>
    <row r="194" spans="1:19" ht="1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</row>
    <row r="195" spans="1:19" ht="1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</row>
    <row r="196" spans="1:19">
      <c r="F196"/>
    </row>
    <row r="197" spans="1:19">
      <c r="F197"/>
    </row>
    <row r="198" spans="1:19">
      <c r="F198"/>
    </row>
    <row r="199" spans="1:19">
      <c r="F199"/>
    </row>
    <row r="200" spans="1:19">
      <c r="F200"/>
    </row>
    <row r="201" spans="1:19">
      <c r="F201"/>
    </row>
    <row r="202" spans="1:19">
      <c r="F202"/>
    </row>
    <row r="203" spans="1:19">
      <c r="F203"/>
    </row>
    <row r="204" spans="1:19">
      <c r="F204"/>
    </row>
    <row r="205" spans="1:19">
      <c r="F205"/>
    </row>
    <row r="206" spans="1:19">
      <c r="F206"/>
    </row>
    <row r="207" spans="1:19">
      <c r="F207"/>
    </row>
    <row r="208" spans="1:19">
      <c r="F208"/>
    </row>
    <row r="209" spans="6:6">
      <c r="F209"/>
    </row>
    <row r="210" spans="6:6">
      <c r="F210"/>
    </row>
    <row r="211" spans="6:6">
      <c r="F211"/>
    </row>
    <row r="212" spans="6:6">
      <c r="F212"/>
    </row>
    <row r="213" spans="6:6">
      <c r="F213"/>
    </row>
    <row r="214" spans="6:6">
      <c r="F214"/>
    </row>
    <row r="215" spans="6:6">
      <c r="F215"/>
    </row>
    <row r="216" spans="6:6">
      <c r="F216"/>
    </row>
    <row r="217" spans="6:6">
      <c r="F217"/>
    </row>
    <row r="218" spans="6:6">
      <c r="F218"/>
    </row>
    <row r="219" spans="6:6">
      <c r="F219"/>
    </row>
    <row r="220" spans="6:6">
      <c r="F220"/>
    </row>
    <row r="221" spans="6:6">
      <c r="F221"/>
    </row>
    <row r="222" spans="6:6">
      <c r="F222"/>
    </row>
    <row r="223" spans="6:6">
      <c r="F223"/>
    </row>
    <row r="224" spans="6:6">
      <c r="F224"/>
    </row>
    <row r="225" spans="6:6">
      <c r="F225"/>
    </row>
    <row r="226" spans="6:6">
      <c r="F226"/>
    </row>
    <row r="227" spans="6:6">
      <c r="F227"/>
    </row>
    <row r="228" spans="6:6">
      <c r="F228"/>
    </row>
    <row r="229" spans="6:6">
      <c r="F229"/>
    </row>
    <row r="230" spans="6:6">
      <c r="F230"/>
    </row>
    <row r="231" spans="6:6">
      <c r="F231"/>
    </row>
    <row r="232" spans="6:6">
      <c r="F232"/>
    </row>
    <row r="233" spans="6:6">
      <c r="F233"/>
    </row>
    <row r="234" spans="6:6">
      <c r="F234"/>
    </row>
    <row r="235" spans="6:6">
      <c r="F235"/>
    </row>
    <row r="236" spans="6:6">
      <c r="F236"/>
    </row>
    <row r="237" spans="6:6">
      <c r="F237"/>
    </row>
    <row r="238" spans="6:6">
      <c r="F238"/>
    </row>
    <row r="239" spans="6:6">
      <c r="F239"/>
    </row>
    <row r="240" spans="6:6">
      <c r="F240"/>
    </row>
    <row r="241" spans="6:6">
      <c r="F241"/>
    </row>
    <row r="242" spans="6:6">
      <c r="F242"/>
    </row>
    <row r="243" spans="6:6">
      <c r="F243"/>
    </row>
    <row r="244" spans="6:6">
      <c r="F244"/>
    </row>
    <row r="245" spans="6:6">
      <c r="F245"/>
    </row>
    <row r="246" spans="6:6">
      <c r="F246"/>
    </row>
    <row r="247" spans="6:6">
      <c r="F247"/>
    </row>
    <row r="248" spans="6:6">
      <c r="F248"/>
    </row>
    <row r="249" spans="6:6">
      <c r="F249"/>
    </row>
    <row r="250" spans="6:6">
      <c r="F250"/>
    </row>
    <row r="251" spans="6:6">
      <c r="F251"/>
    </row>
    <row r="252" spans="6:6">
      <c r="F252"/>
    </row>
    <row r="253" spans="6:6">
      <c r="F253"/>
    </row>
    <row r="254" spans="6:6">
      <c r="F254"/>
    </row>
    <row r="255" spans="6:6">
      <c r="F255"/>
    </row>
    <row r="256" spans="6:6">
      <c r="F256"/>
    </row>
    <row r="257" spans="6:6">
      <c r="F257"/>
    </row>
    <row r="258" spans="6:6">
      <c r="F258"/>
    </row>
    <row r="259" spans="6:6">
      <c r="F259"/>
    </row>
    <row r="260" spans="6:6">
      <c r="F260"/>
    </row>
    <row r="261" spans="6:6">
      <c r="F261"/>
    </row>
    <row r="262" spans="6:6">
      <c r="F262"/>
    </row>
    <row r="263" spans="6:6">
      <c r="F263"/>
    </row>
    <row r="264" spans="6:6">
      <c r="F264"/>
    </row>
    <row r="265" spans="6:6">
      <c r="F265"/>
    </row>
    <row r="266" spans="6:6">
      <c r="F266"/>
    </row>
    <row r="267" spans="6:6">
      <c r="F267"/>
    </row>
    <row r="268" spans="6:6">
      <c r="F268"/>
    </row>
    <row r="269" spans="6:6">
      <c r="F269"/>
    </row>
    <row r="270" spans="6:6">
      <c r="F270"/>
    </row>
    <row r="271" spans="6:6">
      <c r="F271"/>
    </row>
    <row r="272" spans="6:6">
      <c r="F272"/>
    </row>
    <row r="273" spans="6:6">
      <c r="F273"/>
    </row>
    <row r="274" spans="6:6">
      <c r="F274"/>
    </row>
    <row r="275" spans="6:6">
      <c r="F275"/>
    </row>
    <row r="276" spans="6:6">
      <c r="F276"/>
    </row>
    <row r="277" spans="6:6">
      <c r="F277"/>
    </row>
    <row r="278" spans="6:6">
      <c r="F278"/>
    </row>
    <row r="279" spans="6:6">
      <c r="F279"/>
    </row>
  </sheetData>
  <mergeCells count="11">
    <mergeCell ref="C12:H12"/>
    <mergeCell ref="C19:H19"/>
    <mergeCell ref="C33:H33"/>
    <mergeCell ref="C39:H39"/>
    <mergeCell ref="C40:H40"/>
    <mergeCell ref="C42:H42"/>
    <mergeCell ref="C18:H18"/>
    <mergeCell ref="C25:H25"/>
    <mergeCell ref="C26:H26"/>
    <mergeCell ref="C32:H32"/>
    <mergeCell ref="C22:H22"/>
  </mergeCells>
  <pageMargins left="0.7" right="0.7" top="0.75" bottom="0.75" header="0.3" footer="0.3"/>
  <pageSetup scale="99" orientation="portrait" horizontalDpi="0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DFCCAD-07F9-4768-B22C-3C9115DDA520}">
  <dimension ref="A1"/>
  <sheetViews>
    <sheetView workbookViewId="0"/>
  </sheetViews>
  <sheetFormatPr defaultRowHeight="14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3</vt:i4>
      </vt:variant>
    </vt:vector>
  </HeadingPairs>
  <TitlesOfParts>
    <vt:vector size="7" baseType="lpstr">
      <vt:lpstr>MAY, SRS R1</vt:lpstr>
      <vt:lpstr>MAY, SRS R2</vt:lpstr>
      <vt:lpstr>MAY, SRS R3</vt:lpstr>
      <vt:lpstr>,</vt:lpstr>
      <vt:lpstr>'MAY, SRS R1'!Print_Area</vt:lpstr>
      <vt:lpstr>'MAY, SRS R2'!Print_Area</vt:lpstr>
      <vt:lpstr>'MAY, SRS R3'!Print_Area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Marie Chiong</dc:creator>
  <cp:lastModifiedBy>User</cp:lastModifiedBy>
  <cp:lastPrinted>2024-09-23T01:47:46Z</cp:lastPrinted>
  <dcterms:created xsi:type="dcterms:W3CDTF">2024-09-02T06:49:39Z</dcterms:created>
  <dcterms:modified xsi:type="dcterms:W3CDTF">2026-05-20T03:18:09Z</dcterms:modified>
</cp:coreProperties>
</file>