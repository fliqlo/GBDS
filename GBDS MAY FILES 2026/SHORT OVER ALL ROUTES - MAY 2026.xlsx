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45B46A6D-181B-4D58-8981-399831ECEFCD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MAY, SRS R1" sheetId="6" r:id="rId1"/>
    <sheet name="MAY, SRS R2" sheetId="12" r:id="rId2"/>
    <sheet name="MAY, SRS R3" sheetId="13" r:id="rId3"/>
    <sheet name="," sheetId="14" r:id="rId4"/>
  </sheets>
  <definedNames>
    <definedName name="_xlnm.Print_Area" localSheetId="0">'MAY, SRS R1'!$A$1:$H$44</definedName>
    <definedName name="_xlnm.Print_Area" localSheetId="1">'MAY, SRS R2'!$A$1:$H$44</definedName>
    <definedName name="_xlnm.Print_Area" localSheetId="2">'MAY,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0" i="13" l="1"/>
  <c r="G28" i="13" l="1"/>
  <c r="G15" i="13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<sst xmlns="http://schemas.openxmlformats.org/spreadsheetml/2006/main" count="86" uniqueCount="20">
  <si>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</si>
  <si>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</si>
  <si>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</si>
  <si>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</si>
  <si>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</si>
  <si>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</si>
  <si>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</si>
  <si>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</si>
  <si>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</si>
  <si>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</si>
  <si>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</si>
  <si>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</si>
  <si>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</si>
  <si>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</si>
  <si>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</si>
  <si>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</si>
  <si>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</si>
  <si>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DAY-OFF</t>
  </si>
  <si>
    <t>MAY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</si>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</sst>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zoomScaleNormal="100" zoomScaleSheetLayoutView="100" workbookViewId="0">
      <selection activeCell="C31" sqref="C31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545651</v>
      </c>
      <c r="D10" s="33">
        <v>441732.5</v>
      </c>
      <c r="E10" s="32"/>
      <c r="F10" s="33">
        <v>23.5</v>
      </c>
      <c r="G10" s="33">
        <v>3240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290296</v>
      </c>
      <c r="D13" s="33">
        <v>248078.75</v>
      </c>
      <c r="E13" s="32"/>
      <c r="F13" s="33">
        <v>2066.25</v>
      </c>
      <c r="G13" s="35"/>
      <c r="H13" s="33">
        <v>200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470610</v>
      </c>
      <c r="D14" s="33">
        <v>388937.25</v>
      </c>
      <c r="E14" s="32">
        <v>3519</v>
      </c>
      <c r="F14" s="32"/>
      <c r="G14" s="35">
        <v>2682</v>
      </c>
      <c r="H14" s="33">
        <v>200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302093.92</v>
      </c>
      <c r="D15" s="33">
        <v>190643.42</v>
      </c>
      <c r="E15" s="32"/>
      <c r="F15" s="33">
        <v>1643.58</v>
      </c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405449</v>
      </c>
      <c r="D16" s="33">
        <v>331751.75</v>
      </c>
      <c r="E16" s="32">
        <v>288.75</v>
      </c>
      <c r="F16" s="32"/>
      <c r="G16" s="35">
        <v>2880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40" t="s">
        <v>19</v>
      </c>
      <c r="D17" s="41"/>
      <c r="E17" s="41"/>
      <c r="F17" s="41"/>
      <c r="G17" s="41"/>
      <c r="H17" s="4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312686.83</v>
      </c>
      <c r="D20" s="33">
        <v>270424.33</v>
      </c>
      <c r="E20" s="32">
        <v>47.33</v>
      </c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302421</v>
      </c>
      <c r="D21" s="33">
        <v>257779.79</v>
      </c>
      <c r="E21" s="32">
        <v>189.54</v>
      </c>
      <c r="F21" s="35"/>
      <c r="G21" s="35">
        <v>2094</v>
      </c>
      <c r="H21" s="35">
        <v>102.46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346170.83</v>
      </c>
      <c r="D22" s="33">
        <v>234441.33</v>
      </c>
      <c r="E22" s="32"/>
      <c r="F22" s="35">
        <v>3.67</v>
      </c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563496</v>
      </c>
      <c r="D23" s="33">
        <v>497309.25</v>
      </c>
      <c r="E23" s="32">
        <v>148.25</v>
      </c>
      <c r="F23" s="35"/>
      <c r="G23" s="35">
        <v>3420</v>
      </c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339179</v>
      </c>
      <c r="D24" s="33">
        <v>269272.5</v>
      </c>
      <c r="E24" s="32"/>
      <c r="F24" s="35">
        <v>2047.5</v>
      </c>
      <c r="G24" s="35">
        <v>1994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40" t="s">
        <v>19</v>
      </c>
      <c r="D27" s="41"/>
      <c r="E27" s="41"/>
      <c r="F27" s="41"/>
      <c r="G27" s="41"/>
      <c r="H27" s="42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442799</v>
      </c>
      <c r="D28" s="38">
        <v>369506</v>
      </c>
      <c r="E28" s="14"/>
      <c r="F28" s="12">
        <v>8012</v>
      </c>
      <c r="G28" s="34">
        <v>2742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>
        <v>392951</v>
      </c>
      <c r="D29" s="38">
        <v>338312</v>
      </c>
      <c r="E29" s="14">
        <v>512</v>
      </c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>
        <v>216025.17</v>
      </c>
      <c r="D30" s="38">
        <v>130230.92</v>
      </c>
      <c r="E30" s="14">
        <v>785.92</v>
      </c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4929828.75</v>
      </c>
      <c r="D43" s="17"/>
      <c r="E43" s="29">
        <f>SUM(E10:E42)</f>
        <v>5490.79</v>
      </c>
      <c r="F43" s="17">
        <f>SUM(F10:F42)</f>
        <v>13796.5</v>
      </c>
      <c r="G43" s="17">
        <f>SUM(G10:G42)</f>
        <v>19052</v>
      </c>
      <c r="H43" s="17">
        <f>SUM(H10:H42)</f>
        <v>502.46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0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3">
    <mergeCell ref="C42:H42"/>
    <mergeCell ref="C19:H19"/>
    <mergeCell ref="C40:H40"/>
    <mergeCell ref="C33:H33"/>
    <mergeCell ref="C11:H11"/>
    <mergeCell ref="C18:H18"/>
    <mergeCell ref="C25:H25"/>
    <mergeCell ref="C32:H32"/>
    <mergeCell ref="C39:H39"/>
    <mergeCell ref="C12:H12"/>
    <mergeCell ref="C26:H26"/>
    <mergeCell ref="C17:H17"/>
    <mergeCell ref="C27:H2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31" sqref="C31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236796</v>
      </c>
      <c r="D10" s="33">
        <v>196732.5</v>
      </c>
      <c r="E10" s="32">
        <v>182.5</v>
      </c>
      <c r="F10" s="32"/>
      <c r="G10" s="33">
        <v>1518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285008</v>
      </c>
      <c r="D13" s="33">
        <v>241083.5</v>
      </c>
      <c r="E13" s="32">
        <v>1226.5</v>
      </c>
      <c r="F13" s="32"/>
      <c r="G13" s="35">
        <v>1296</v>
      </c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371226</v>
      </c>
      <c r="D14" s="33">
        <v>310668</v>
      </c>
      <c r="E14" s="32"/>
      <c r="F14" s="33">
        <v>789</v>
      </c>
      <c r="G14" s="35">
        <v>2676</v>
      </c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331431</v>
      </c>
      <c r="D15" s="33">
        <v>280760.25</v>
      </c>
      <c r="E15" s="32"/>
      <c r="F15" s="33">
        <v>17.75</v>
      </c>
      <c r="G15" s="35">
        <v>2076</v>
      </c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242941</v>
      </c>
      <c r="D16" s="33">
        <v>209789.5</v>
      </c>
      <c r="E16" s="32">
        <v>3994.5</v>
      </c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257721</v>
      </c>
      <c r="D17" s="33">
        <v>231897</v>
      </c>
      <c r="E17" s="32"/>
      <c r="F17" s="33">
        <v>2345</v>
      </c>
      <c r="G17" s="35">
        <v>1140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385347</v>
      </c>
      <c r="D20" s="33">
        <v>324937.5</v>
      </c>
      <c r="E20" s="32"/>
      <c r="F20" s="35">
        <v>762.5</v>
      </c>
      <c r="G20" s="35">
        <v>2880</v>
      </c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288065</v>
      </c>
      <c r="D21" s="33">
        <v>245110</v>
      </c>
      <c r="E21" s="32">
        <v>882</v>
      </c>
      <c r="F21" s="35"/>
      <c r="G21" s="35">
        <v>1446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274505</v>
      </c>
      <c r="D22" s="33">
        <v>231930.5</v>
      </c>
      <c r="E22" s="32">
        <v>270.5</v>
      </c>
      <c r="F22" s="35"/>
      <c r="G22" s="35">
        <v>1944</v>
      </c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40" t="s">
        <v>19</v>
      </c>
      <c r="D23" s="41"/>
      <c r="E23" s="41"/>
      <c r="F23" s="41"/>
      <c r="G23" s="41"/>
      <c r="H23" s="42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301997</v>
      </c>
      <c r="D24" s="33">
        <v>255826.5</v>
      </c>
      <c r="E24" s="32"/>
      <c r="F24" s="35">
        <v>178.75</v>
      </c>
      <c r="G24" s="35">
        <v>1200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33">
        <v>272545</v>
      </c>
      <c r="D25" s="33">
        <v>229232.5</v>
      </c>
      <c r="E25" s="32"/>
      <c r="F25" s="35">
        <v>21.5</v>
      </c>
      <c r="G25" s="35">
        <v>2106</v>
      </c>
      <c r="H25" s="35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>
        <v>491364</v>
      </c>
      <c r="D27" s="38">
        <v>417927</v>
      </c>
      <c r="E27" s="14">
        <v>205</v>
      </c>
      <c r="F27" s="12"/>
      <c r="G27" s="34">
        <v>3666</v>
      </c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320424</v>
      </c>
      <c r="D28" s="38">
        <v>270121.5</v>
      </c>
      <c r="E28" s="14">
        <v>768.5</v>
      </c>
      <c r="F28" s="12"/>
      <c r="G28" s="34">
        <v>2076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>
        <v>294125</v>
      </c>
      <c r="D29" s="38">
        <v>248850.5</v>
      </c>
      <c r="E29" s="14"/>
      <c r="F29" s="12">
        <v>824.5</v>
      </c>
      <c r="G29" s="34">
        <v>1296</v>
      </c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>
        <v>238493</v>
      </c>
      <c r="D30" s="38">
        <v>194288</v>
      </c>
      <c r="E30" s="14">
        <v>90</v>
      </c>
      <c r="F30" s="12"/>
      <c r="G30" s="34">
        <v>1158</v>
      </c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4591988</v>
      </c>
      <c r="D43" s="17"/>
      <c r="E43" s="29">
        <f>SUM(E10:E42)</f>
        <v>7619.5</v>
      </c>
      <c r="F43" s="17">
        <f>SUM(F10:F42)</f>
        <v>4939</v>
      </c>
      <c r="G43" s="17">
        <f>SUM(G10:G42)</f>
        <v>26478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39:H39"/>
    <mergeCell ref="C40:H40"/>
    <mergeCell ref="C42:H42"/>
    <mergeCell ref="C11:H11"/>
    <mergeCell ref="C18:H18"/>
    <mergeCell ref="C19:H19"/>
    <mergeCell ref="C26:H26"/>
    <mergeCell ref="C32:H32"/>
    <mergeCell ref="C33:H33"/>
    <mergeCell ref="C12:H12"/>
    <mergeCell ref="C23:H23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abSelected="1" zoomScaleNormal="100" zoomScaleSheetLayoutView="100" workbookViewId="0">
      <selection activeCell="C31" sqref="C31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456978</v>
      </c>
      <c r="D10" s="33">
        <v>385311</v>
      </c>
      <c r="E10" s="32"/>
      <c r="F10" s="33">
        <v>858</v>
      </c>
      <c r="G10" s="33">
        <v>2766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33">
        <v>635011</v>
      </c>
      <c r="D11" s="33">
        <v>546499</v>
      </c>
      <c r="E11" s="32">
        <v>16</v>
      </c>
      <c r="F11" s="33"/>
      <c r="G11" s="33">
        <v>3516</v>
      </c>
      <c r="H11" s="3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426537</v>
      </c>
      <c r="D13" s="33">
        <v>360874</v>
      </c>
      <c r="E13" s="32"/>
      <c r="F13" s="33">
        <v>1992</v>
      </c>
      <c r="G13" s="35">
        <v>2328</v>
      </c>
      <c r="H13" s="33">
        <v>50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518703</v>
      </c>
      <c r="D14" s="33">
        <v>437893.5</v>
      </c>
      <c r="E14" s="32"/>
      <c r="F14" s="33">
        <v>81.5</v>
      </c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324737</v>
      </c>
      <c r="D15" s="33">
        <v>274038</v>
      </c>
      <c r="E15" s="32">
        <v>50</v>
      </c>
      <c r="F15" s="32"/>
      <c r="G15" s="35">
        <f>2190</f>
        <v>2190</v>
      </c>
      <c r="H15" s="33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355053</v>
      </c>
      <c r="D16" s="33">
        <v>301508.25</v>
      </c>
      <c r="E16" s="32">
        <v>9.25</v>
      </c>
      <c r="F16" s="32"/>
      <c r="G16" s="35">
        <v>2028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411243</v>
      </c>
      <c r="D17" s="33">
        <v>346119.75</v>
      </c>
      <c r="E17" s="32"/>
      <c r="F17" s="33">
        <v>610.25</v>
      </c>
      <c r="G17" s="35">
        <v>2544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306343</v>
      </c>
      <c r="D20" s="33">
        <v>252932</v>
      </c>
      <c r="E20" s="32"/>
      <c r="F20" s="35">
        <v>2651.5</v>
      </c>
      <c r="G20" s="35">
        <v>1632</v>
      </c>
      <c r="H20" s="35">
        <v>50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485304</v>
      </c>
      <c r="D21" s="33">
        <v>404232</v>
      </c>
      <c r="E21" s="32">
        <v>1516</v>
      </c>
      <c r="F21" s="35"/>
      <c r="G21" s="35">
        <v>3666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40" t="s">
        <v>19</v>
      </c>
      <c r="D22" s="41"/>
      <c r="E22" s="41"/>
      <c r="F22" s="41"/>
      <c r="G22" s="41"/>
      <c r="H22" s="42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344042</v>
      </c>
      <c r="D23" s="33">
        <v>296318.25</v>
      </c>
      <c r="E23" s="32"/>
      <c r="F23" s="35">
        <v>310.75</v>
      </c>
      <c r="G23" s="35">
        <v>1656</v>
      </c>
      <c r="H23" s="35">
        <v>50</v>
      </c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509099</v>
      </c>
      <c r="D24" s="33">
        <v>434826.5</v>
      </c>
      <c r="E24" s="32"/>
      <c r="F24" s="35">
        <v>140.5</v>
      </c>
      <c r="G24" s="35">
        <v>3192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>
        <v>543461</v>
      </c>
      <c r="D27" s="38">
        <v>461788.5</v>
      </c>
      <c r="E27" s="14"/>
      <c r="F27" s="12">
        <v>14.5</v>
      </c>
      <c r="G27" s="34">
        <v>2784</v>
      </c>
      <c r="H27" s="31">
        <v>50</v>
      </c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524541</v>
      </c>
      <c r="D28" s="38">
        <v>448138.5</v>
      </c>
      <c r="E28" s="14"/>
      <c r="F28" s="12">
        <v>386.5</v>
      </c>
      <c r="G28" s="34">
        <f>3660</f>
        <v>3660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>
        <v>276301</v>
      </c>
      <c r="D29" s="38">
        <v>237123.25</v>
      </c>
      <c r="E29" s="14">
        <v>334.25</v>
      </c>
      <c r="F29" s="12"/>
      <c r="G29" s="34">
        <v>1314</v>
      </c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>
        <v>412292</v>
      </c>
      <c r="D30" s="38">
        <v>343192.5</v>
      </c>
      <c r="E30" s="14">
        <v>1354.5</v>
      </c>
      <c r="F30" s="12"/>
      <c r="G30" s="34">
        <f>2166</f>
        <v>2166</v>
      </c>
      <c r="H30" s="31">
        <v>50</v>
      </c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6529645</v>
      </c>
      <c r="D43" s="17"/>
      <c r="E43" s="29">
        <f>SUM(E10:E42)</f>
        <v>3280</v>
      </c>
      <c r="F43" s="17">
        <f>SUM(F10:F42)</f>
        <v>7045.5</v>
      </c>
      <c r="G43" s="17">
        <f>SUM(G10:G42)</f>
        <v>35442</v>
      </c>
      <c r="H43" s="17">
        <f>SUM(H10:H42)</f>
        <v>300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12:H12"/>
    <mergeCell ref="C19:H19"/>
    <mergeCell ref="C33:H33"/>
    <mergeCell ref="C39:H39"/>
    <mergeCell ref="C40:H40"/>
    <mergeCell ref="C42:H42"/>
    <mergeCell ref="C18:H18"/>
    <mergeCell ref="C25:H25"/>
    <mergeCell ref="C26:H26"/>
    <mergeCell ref="C32:H32"/>
    <mergeCell ref="C22:H22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MAY, SRS R1</vt:lpstr>
      <vt:lpstr>MAY, SRS R2</vt:lpstr>
      <vt:lpstr>MAY, SRS R3</vt:lpstr>
      <vt:lpstr>,</vt:lpstr>
      <vt:lpstr>'MAY, SRS R1'!Print_Area</vt:lpstr>
      <vt:lpstr>'MAY, SRS R2'!Print_Area</vt:lpstr>
      <vt:lpstr>'MAY,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2026-05-22T00:38:59Z</dcterms:modified>
</cp:coreProperties>
</file>