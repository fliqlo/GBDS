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7B84630-1C33-4B26-8724-2CCD79D0E83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<sst xmlns="http://schemas.openxmlformats.org/spreadsheetml/2006/main" count="84" uniqueCount="20">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</sst>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4" fontId="15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opLeftCell="A16" zoomScaleNormal="100" zoomScaleSheetLayoutView="100" workbookViewId="0">
      <selection activeCell="C39" sqref="C39:H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6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7">
        <v>46143</v>
      </c>
      <c r="C10" s="32">
        <v>545651</v>
      </c>
      <c r="D10" s="32">
        <v>441732.5</v>
      </c>
      <c r="E10" s="31"/>
      <c r="F10" s="32">
        <v>23.5</v>
      </c>
      <c r="G10" s="32">
        <v>3240</v>
      </c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7">
        <v>46144</v>
      </c>
      <c r="C11" s="44" t="s">
        <v>17</v>
      </c>
      <c r="D11" s="45"/>
      <c r="E11" s="45"/>
      <c r="F11" s="45"/>
      <c r="G11" s="45"/>
      <c r="H11" s="46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5" t="s">
        <v>0</v>
      </c>
      <c r="C12" s="44" t="s">
        <v>0</v>
      </c>
      <c r="D12" s="45"/>
      <c r="E12" s="45"/>
      <c r="F12" s="45"/>
      <c r="G12" s="45"/>
      <c r="H12" s="4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7">
        <v>46146</v>
      </c>
      <c r="C13" s="32">
        <v>290296</v>
      </c>
      <c r="D13" s="32">
        <v>248078.75</v>
      </c>
      <c r="E13" s="31"/>
      <c r="F13" s="32">
        <v>2066.25</v>
      </c>
      <c r="G13" s="34"/>
      <c r="H13" s="32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7">
        <v>46147</v>
      </c>
      <c r="C14" s="32">
        <v>470610</v>
      </c>
      <c r="D14" s="32">
        <v>388937.25</v>
      </c>
      <c r="E14" s="31">
        <v>3519</v>
      </c>
      <c r="F14" s="31"/>
      <c r="G14" s="34">
        <v>2682</v>
      </c>
      <c r="H14" s="32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7">
        <v>46148</v>
      </c>
      <c r="C15" s="32">
        <v>302093.92</v>
      </c>
      <c r="D15" s="32">
        <v>190643.42</v>
      </c>
      <c r="E15" s="31"/>
      <c r="F15" s="32">
        <v>1643.58</v>
      </c>
      <c r="G15" s="34"/>
      <c r="H15" s="3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7">
        <v>46149</v>
      </c>
      <c r="C16" s="32">
        <v>405449</v>
      </c>
      <c r="D16" s="32">
        <v>331751.75</v>
      </c>
      <c r="E16" s="31">
        <v>288.75</v>
      </c>
      <c r="F16" s="31"/>
      <c r="G16" s="34">
        <v>2880</v>
      </c>
      <c r="H16" s="3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7">
        <v>46150</v>
      </c>
      <c r="C17" s="44" t="s">
        <v>19</v>
      </c>
      <c r="D17" s="45"/>
      <c r="E17" s="45"/>
      <c r="F17" s="45"/>
      <c r="G17" s="45"/>
      <c r="H17" s="46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7">
        <v>46151</v>
      </c>
      <c r="C18" s="44" t="s">
        <v>17</v>
      </c>
      <c r="D18" s="45"/>
      <c r="E18" s="45"/>
      <c r="F18" s="45"/>
      <c r="G18" s="45"/>
      <c r="H18" s="4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5" t="s">
        <v>0</v>
      </c>
      <c r="C19" s="44" t="s">
        <v>0</v>
      </c>
      <c r="D19" s="45"/>
      <c r="E19" s="45"/>
      <c r="F19" s="45"/>
      <c r="G19" s="45"/>
      <c r="H19" s="46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7">
        <v>46153</v>
      </c>
      <c r="C20" s="32">
        <v>312686.83</v>
      </c>
      <c r="D20" s="32">
        <v>270424.33</v>
      </c>
      <c r="E20" s="31">
        <v>47.33</v>
      </c>
      <c r="F20" s="34"/>
      <c r="G20" s="34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7">
        <v>46154</v>
      </c>
      <c r="C21" s="32">
        <v>302421</v>
      </c>
      <c r="D21" s="32">
        <v>257779.79</v>
      </c>
      <c r="E21" s="31">
        <v>189.54</v>
      </c>
      <c r="F21" s="34"/>
      <c r="G21" s="34">
        <v>2094</v>
      </c>
      <c r="H21" s="34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7">
        <v>46155</v>
      </c>
      <c r="C22" s="32">
        <v>346170.83</v>
      </c>
      <c r="D22" s="32">
        <v>234441.33</v>
      </c>
      <c r="E22" s="31"/>
      <c r="F22" s="34">
        <v>3.67</v>
      </c>
      <c r="G22" s="34"/>
      <c r="H22" s="3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7">
        <v>46156</v>
      </c>
      <c r="C23" s="32">
        <v>563496</v>
      </c>
      <c r="D23" s="32">
        <v>497309.25</v>
      </c>
      <c r="E23" s="31">
        <v>148.25</v>
      </c>
      <c r="F23" s="34"/>
      <c r="G23" s="34">
        <v>3420</v>
      </c>
      <c r="H23" s="34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7">
        <v>46157</v>
      </c>
      <c r="C24" s="32">
        <v>339179</v>
      </c>
      <c r="D24" s="32">
        <v>269272.5</v>
      </c>
      <c r="E24" s="31"/>
      <c r="F24" s="34">
        <v>2047.5</v>
      </c>
      <c r="G24" s="34">
        <v>1994</v>
      </c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7">
        <v>46158</v>
      </c>
      <c r="C25" s="44" t="s">
        <v>17</v>
      </c>
      <c r="D25" s="45"/>
      <c r="E25" s="45"/>
      <c r="F25" s="45"/>
      <c r="G25" s="45"/>
      <c r="H25" s="4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5" t="s">
        <v>0</v>
      </c>
      <c r="C26" s="44" t="s">
        <v>0</v>
      </c>
      <c r="D26" s="45"/>
      <c r="E26" s="45"/>
      <c r="F26" s="45"/>
      <c r="G26" s="45"/>
      <c r="H26" s="46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7">
        <v>46160</v>
      </c>
      <c r="C27" s="44" t="s">
        <v>19</v>
      </c>
      <c r="D27" s="45"/>
      <c r="E27" s="45"/>
      <c r="F27" s="45"/>
      <c r="G27" s="45"/>
      <c r="H27" s="46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7">
        <v>46161</v>
      </c>
      <c r="C28" s="12">
        <v>442799</v>
      </c>
      <c r="D28" s="37">
        <v>378776</v>
      </c>
      <c r="E28" s="14">
        <v>1258</v>
      </c>
      <c r="F28" s="12"/>
      <c r="G28" s="33">
        <v>2742</v>
      </c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7">
        <v>46162</v>
      </c>
      <c r="C29" s="12">
        <v>392951</v>
      </c>
      <c r="D29" s="37">
        <v>338312</v>
      </c>
      <c r="E29" s="14">
        <v>512</v>
      </c>
      <c r="F29" s="12"/>
      <c r="G29" s="33"/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7">
        <v>46163</v>
      </c>
      <c r="C30" s="12">
        <v>216025.17</v>
      </c>
      <c r="D30" s="37">
        <v>130230.92</v>
      </c>
      <c r="E30" s="14">
        <v>785.92</v>
      </c>
      <c r="F30" s="12"/>
      <c r="G30" s="33"/>
      <c r="H30" s="30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7">
        <v>46164</v>
      </c>
      <c r="C31" s="12">
        <v>343836</v>
      </c>
      <c r="D31" s="37">
        <v>347471.73</v>
      </c>
      <c r="E31" s="14"/>
      <c r="F31" s="12">
        <v>171.27</v>
      </c>
      <c r="G31" s="33">
        <v>2268</v>
      </c>
      <c r="H31" s="30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7">
        <v>46165</v>
      </c>
      <c r="C32" s="12">
        <v>305232</v>
      </c>
      <c r="D32" s="37">
        <v>213755.25</v>
      </c>
      <c r="E32" s="14"/>
      <c r="F32" s="12">
        <v>7.75</v>
      </c>
      <c r="G32" s="33">
        <v>2070</v>
      </c>
      <c r="H32" s="30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5" t="s">
        <v>0</v>
      </c>
      <c r="C33" s="44" t="s">
        <v>0</v>
      </c>
      <c r="D33" s="45"/>
      <c r="E33" s="45"/>
      <c r="F33" s="45"/>
      <c r="G33" s="45"/>
      <c r="H33" s="46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7">
        <v>46167</v>
      </c>
      <c r="C34" s="43">
        <v>88474</v>
      </c>
      <c r="D34" s="42">
        <v>75999.25</v>
      </c>
      <c r="E34" s="14"/>
      <c r="F34" s="12">
        <v>696.75</v>
      </c>
      <c r="G34" s="33"/>
      <c r="H34" s="30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7">
        <v>46168</v>
      </c>
      <c r="C35" s="43">
        <v>216781</v>
      </c>
      <c r="D35" s="42">
        <v>184597.75</v>
      </c>
      <c r="E35" s="14"/>
      <c r="F35" s="12">
        <v>48.25</v>
      </c>
      <c r="G35" s="33"/>
      <c r="H35" s="30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7">
        <v>46169</v>
      </c>
      <c r="C36" s="12">
        <v>267784</v>
      </c>
      <c r="D36" s="37">
        <v>233117.5</v>
      </c>
      <c r="E36" s="14">
        <v>417.5</v>
      </c>
      <c r="F36" s="12"/>
      <c r="G36" s="33">
        <v>2064</v>
      </c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7">
        <v>46170</v>
      </c>
      <c r="C37" s="38">
        <v>314879</v>
      </c>
      <c r="D37" s="37">
        <v>202069.5</v>
      </c>
      <c r="E37" s="14">
        <v>1129.25</v>
      </c>
      <c r="F37" s="12"/>
      <c r="G37" s="33">
        <v>30</v>
      </c>
      <c r="H37" s="3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7">
        <v>46171</v>
      </c>
      <c r="C38" s="38">
        <v>374801</v>
      </c>
      <c r="D38" s="37">
        <v>335870</v>
      </c>
      <c r="E38" s="14"/>
      <c r="F38" s="12">
        <v>183</v>
      </c>
      <c r="G38" s="33"/>
      <c r="H38" s="30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7">
        <v>46172</v>
      </c>
      <c r="C39" s="44" t="s">
        <v>17</v>
      </c>
      <c r="D39" s="45"/>
      <c r="E39" s="45"/>
      <c r="F39" s="45"/>
      <c r="G39" s="45"/>
      <c r="H39" s="46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5" t="s">
        <v>0</v>
      </c>
      <c r="C40" s="44" t="s">
        <v>0</v>
      </c>
      <c r="D40" s="45"/>
      <c r="E40" s="45"/>
      <c r="F40" s="45"/>
      <c r="G40" s="45"/>
      <c r="H40" s="46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7"/>
      <c r="C41" s="12"/>
      <c r="D41" s="12"/>
      <c r="E41" s="31"/>
      <c r="F41" s="31"/>
      <c r="G41" s="31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5"/>
      <c r="C42" s="44"/>
      <c r="D42" s="45"/>
      <c r="E42" s="45"/>
      <c r="F42" s="45"/>
      <c r="G42" s="45"/>
      <c r="H42" s="46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7">
        <f>SUM(C10:C42)</f>
        <v>6841615.75</v>
      </c>
      <c r="D43" s="17"/>
      <c r="E43" s="28">
        <f>SUM(E10:E42)</f>
        <v>8295.5400000000009</v>
      </c>
      <c r="F43" s="17">
        <f>SUM(F10:F42)</f>
        <v>6891.52</v>
      </c>
      <c r="G43" s="17">
        <f>SUM(G10:G42)</f>
        <v>25484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29"/>
      <c r="C44" s="21"/>
      <c r="D44" s="21"/>
      <c r="E44" s="25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13" zoomScaleNormal="100" zoomScaleSheetLayoutView="100" workbookViewId="0">
      <selection activeCell="C39" sqref="C39:H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6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7">
        <v>46143</v>
      </c>
      <c r="C10" s="32">
        <v>236796</v>
      </c>
      <c r="D10" s="32">
        <v>196732.5</v>
      </c>
      <c r="E10" s="31">
        <v>182.5</v>
      </c>
      <c r="F10" s="31"/>
      <c r="G10" s="32">
        <v>1518</v>
      </c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7">
        <v>46144</v>
      </c>
      <c r="C11" s="44" t="s">
        <v>17</v>
      </c>
      <c r="D11" s="45"/>
      <c r="E11" s="45"/>
      <c r="F11" s="45"/>
      <c r="G11" s="45"/>
      <c r="H11" s="46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5" t="s">
        <v>0</v>
      </c>
      <c r="C12" s="44" t="s">
        <v>0</v>
      </c>
      <c r="D12" s="45"/>
      <c r="E12" s="45"/>
      <c r="F12" s="45"/>
      <c r="G12" s="45"/>
      <c r="H12" s="4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7">
        <v>46146</v>
      </c>
      <c r="C13" s="32">
        <v>285008</v>
      </c>
      <c r="D13" s="32">
        <v>241083.5</v>
      </c>
      <c r="E13" s="31">
        <v>1226.5</v>
      </c>
      <c r="F13" s="31"/>
      <c r="G13" s="34">
        <v>1296</v>
      </c>
      <c r="H13" s="3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7">
        <v>46147</v>
      </c>
      <c r="C14" s="32">
        <v>371226</v>
      </c>
      <c r="D14" s="32">
        <v>310668</v>
      </c>
      <c r="E14" s="31"/>
      <c r="F14" s="32">
        <v>789</v>
      </c>
      <c r="G14" s="34">
        <v>2676</v>
      </c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7">
        <v>46148</v>
      </c>
      <c r="C15" s="32">
        <v>331431</v>
      </c>
      <c r="D15" s="32">
        <v>280760.25</v>
      </c>
      <c r="E15" s="31"/>
      <c r="F15" s="32">
        <v>17.75</v>
      </c>
      <c r="G15" s="34">
        <v>2076</v>
      </c>
      <c r="H15" s="3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7">
        <v>46149</v>
      </c>
      <c r="C16" s="32">
        <v>242941</v>
      </c>
      <c r="D16" s="32">
        <v>209789.5</v>
      </c>
      <c r="E16" s="31">
        <v>3994.5</v>
      </c>
      <c r="F16" s="31"/>
      <c r="G16" s="34"/>
      <c r="H16" s="3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7">
        <v>46150</v>
      </c>
      <c r="C17" s="32">
        <v>257721</v>
      </c>
      <c r="D17" s="32">
        <v>231897</v>
      </c>
      <c r="E17" s="31"/>
      <c r="F17" s="32">
        <v>2345</v>
      </c>
      <c r="G17" s="34">
        <v>1140</v>
      </c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7">
        <v>46151</v>
      </c>
      <c r="C18" s="44" t="s">
        <v>17</v>
      </c>
      <c r="D18" s="45"/>
      <c r="E18" s="45"/>
      <c r="F18" s="45"/>
      <c r="G18" s="45"/>
      <c r="H18" s="4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5" t="s">
        <v>0</v>
      </c>
      <c r="C19" s="44" t="s">
        <v>0</v>
      </c>
      <c r="D19" s="45"/>
      <c r="E19" s="45"/>
      <c r="F19" s="45"/>
      <c r="G19" s="45"/>
      <c r="H19" s="46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7">
        <v>46153</v>
      </c>
      <c r="C20" s="32">
        <v>385347</v>
      </c>
      <c r="D20" s="32">
        <v>324937.5</v>
      </c>
      <c r="E20" s="31"/>
      <c r="F20" s="34">
        <v>762.5</v>
      </c>
      <c r="G20" s="34">
        <v>2880</v>
      </c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7">
        <v>46154</v>
      </c>
      <c r="C21" s="32">
        <v>288065</v>
      </c>
      <c r="D21" s="32">
        <v>245110</v>
      </c>
      <c r="E21" s="31">
        <v>882</v>
      </c>
      <c r="F21" s="34"/>
      <c r="G21" s="34">
        <v>1446</v>
      </c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7">
        <v>46155</v>
      </c>
      <c r="C22" s="32">
        <v>274505</v>
      </c>
      <c r="D22" s="32">
        <v>231930.5</v>
      </c>
      <c r="E22" s="31">
        <v>270.5</v>
      </c>
      <c r="F22" s="34"/>
      <c r="G22" s="34">
        <v>1944</v>
      </c>
      <c r="H22" s="3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7">
        <v>46156</v>
      </c>
      <c r="C23" s="44" t="s">
        <v>19</v>
      </c>
      <c r="D23" s="45"/>
      <c r="E23" s="45"/>
      <c r="F23" s="45"/>
      <c r="G23" s="45"/>
      <c r="H23" s="4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7">
        <v>46157</v>
      </c>
      <c r="C24" s="32">
        <v>301997</v>
      </c>
      <c r="D24" s="32">
        <v>255826.5</v>
      </c>
      <c r="E24" s="31"/>
      <c r="F24" s="34">
        <v>178.75</v>
      </c>
      <c r="G24" s="34">
        <v>1200</v>
      </c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7">
        <v>46158</v>
      </c>
      <c r="C25" s="32">
        <v>272545</v>
      </c>
      <c r="D25" s="32">
        <v>229232.5</v>
      </c>
      <c r="E25" s="31"/>
      <c r="F25" s="34">
        <v>21.5</v>
      </c>
      <c r="G25" s="34">
        <v>2106</v>
      </c>
      <c r="H25" s="34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5" t="s">
        <v>0</v>
      </c>
      <c r="C26" s="44" t="s">
        <v>0</v>
      </c>
      <c r="D26" s="45"/>
      <c r="E26" s="45"/>
      <c r="F26" s="45"/>
      <c r="G26" s="45"/>
      <c r="H26" s="46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7">
        <v>46160</v>
      </c>
      <c r="C27" s="12">
        <v>491364</v>
      </c>
      <c r="D27" s="37">
        <v>417927</v>
      </c>
      <c r="E27" s="14">
        <v>205</v>
      </c>
      <c r="F27" s="12"/>
      <c r="G27" s="33">
        <v>3666</v>
      </c>
      <c r="H27" s="30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7">
        <v>46161</v>
      </c>
      <c r="C28" s="12">
        <v>320424</v>
      </c>
      <c r="D28" s="37">
        <v>270121.5</v>
      </c>
      <c r="E28" s="14">
        <v>768.5</v>
      </c>
      <c r="F28" s="12"/>
      <c r="G28" s="33">
        <v>2076</v>
      </c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7">
        <v>46162</v>
      </c>
      <c r="C29" s="12">
        <v>294125</v>
      </c>
      <c r="D29" s="37">
        <v>248850.5</v>
      </c>
      <c r="E29" s="14"/>
      <c r="F29" s="12">
        <v>824.5</v>
      </c>
      <c r="G29" s="33">
        <v>1296</v>
      </c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7">
        <v>46163</v>
      </c>
      <c r="C30" s="12">
        <v>238493</v>
      </c>
      <c r="D30" s="37">
        <v>194288</v>
      </c>
      <c r="E30" s="14">
        <v>90</v>
      </c>
      <c r="F30" s="12"/>
      <c r="G30" s="33">
        <v>1158</v>
      </c>
      <c r="H30" s="30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7">
        <v>46164</v>
      </c>
      <c r="C31" s="12">
        <v>254943</v>
      </c>
      <c r="D31" s="37">
        <v>214593.75</v>
      </c>
      <c r="E31" s="14"/>
      <c r="F31" s="12">
        <v>147.25</v>
      </c>
      <c r="G31" s="33">
        <v>1068</v>
      </c>
      <c r="H31" s="30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7">
        <v>46165</v>
      </c>
      <c r="C32" s="12">
        <v>231087</v>
      </c>
      <c r="D32" s="37">
        <v>198523.5</v>
      </c>
      <c r="E32" s="14"/>
      <c r="F32" s="12">
        <v>123.5</v>
      </c>
      <c r="G32" s="33">
        <v>1356</v>
      </c>
      <c r="H32" s="30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5" t="s">
        <v>0</v>
      </c>
      <c r="C33" s="44" t="s">
        <v>0</v>
      </c>
      <c r="D33" s="45"/>
      <c r="E33" s="45"/>
      <c r="F33" s="45"/>
      <c r="G33" s="45"/>
      <c r="H33" s="46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7">
        <v>46167</v>
      </c>
      <c r="C34" s="39">
        <v>278040</v>
      </c>
      <c r="D34" s="40">
        <v>234187.5</v>
      </c>
      <c r="E34" s="14">
        <v>84.5</v>
      </c>
      <c r="F34" s="12"/>
      <c r="G34" s="33">
        <v>2082</v>
      </c>
      <c r="H34" s="30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7">
        <v>46168</v>
      </c>
      <c r="C35" s="12">
        <v>236836</v>
      </c>
      <c r="D35" s="37">
        <v>204773.5</v>
      </c>
      <c r="E35" s="14">
        <v>150.5</v>
      </c>
      <c r="F35" s="12"/>
      <c r="G35" s="33">
        <v>1110</v>
      </c>
      <c r="H35" s="30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7">
        <v>46169</v>
      </c>
      <c r="C36" s="12">
        <v>136970</v>
      </c>
      <c r="D36" s="37">
        <v>116307.5</v>
      </c>
      <c r="E36" s="14"/>
      <c r="F36" s="12">
        <v>130.5</v>
      </c>
      <c r="G36" s="33">
        <v>768</v>
      </c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7">
        <v>46170</v>
      </c>
      <c r="C37" s="12">
        <v>271800</v>
      </c>
      <c r="D37" s="12">
        <v>230456.25</v>
      </c>
      <c r="E37" s="14"/>
      <c r="F37" s="12">
        <v>79.75</v>
      </c>
      <c r="G37" s="33">
        <v>1296</v>
      </c>
      <c r="H37" s="3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7">
        <v>46171</v>
      </c>
      <c r="C38" s="12">
        <v>277420</v>
      </c>
      <c r="D38" s="12">
        <v>241276</v>
      </c>
      <c r="E38" s="14">
        <v>144</v>
      </c>
      <c r="F38" s="12"/>
      <c r="G38" s="33">
        <v>1314</v>
      </c>
      <c r="H38" s="30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7">
        <v>46172</v>
      </c>
      <c r="C39" s="44" t="s">
        <v>17</v>
      </c>
      <c r="D39" s="45"/>
      <c r="E39" s="45"/>
      <c r="F39" s="45"/>
      <c r="G39" s="45"/>
      <c r="H39" s="46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5" t="s">
        <v>0</v>
      </c>
      <c r="C40" s="44" t="s">
        <v>0</v>
      </c>
      <c r="D40" s="45"/>
      <c r="E40" s="45"/>
      <c r="F40" s="45"/>
      <c r="G40" s="45"/>
      <c r="H40" s="46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7"/>
      <c r="C41" s="12"/>
      <c r="D41" s="12"/>
      <c r="E41" s="31"/>
      <c r="F41" s="31"/>
      <c r="G41" s="31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5"/>
      <c r="C42" s="44"/>
      <c r="D42" s="45"/>
      <c r="E42" s="45"/>
      <c r="F42" s="45"/>
      <c r="G42" s="45"/>
      <c r="H42" s="46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7">
        <f>SUM(C10:C42)</f>
        <v>6279084</v>
      </c>
      <c r="D43" s="17"/>
      <c r="E43" s="28">
        <f>SUM(E10:E42)</f>
        <v>7998.5</v>
      </c>
      <c r="F43" s="17">
        <f>SUM(F10:F42)</f>
        <v>5420</v>
      </c>
      <c r="G43" s="17">
        <f>SUM(G10:G42)</f>
        <v>35472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5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topLeftCell="A16" zoomScaleNormal="100" zoomScaleSheetLayoutView="100" workbookViewId="0">
      <selection activeCell="N30" sqref="N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6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7">
        <v>46143</v>
      </c>
      <c r="C10" s="32">
        <v>456978</v>
      </c>
      <c r="D10" s="32">
        <v>385311</v>
      </c>
      <c r="E10" s="31"/>
      <c r="F10" s="32">
        <v>858</v>
      </c>
      <c r="G10" s="32">
        <v>2766</v>
      </c>
      <c r="H10" s="3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7">
        <v>46144</v>
      </c>
      <c r="C11" s="32">
        <v>635011</v>
      </c>
      <c r="D11" s="32">
        <v>546499</v>
      </c>
      <c r="E11" s="31">
        <v>16</v>
      </c>
      <c r="F11" s="32"/>
      <c r="G11" s="32">
        <v>3516</v>
      </c>
      <c r="H11" s="3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5" t="s">
        <v>0</v>
      </c>
      <c r="C12" s="44" t="s">
        <v>0</v>
      </c>
      <c r="D12" s="45"/>
      <c r="E12" s="45"/>
      <c r="F12" s="45"/>
      <c r="G12" s="45"/>
      <c r="H12" s="4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7">
        <v>46146</v>
      </c>
      <c r="C13" s="32">
        <v>426537</v>
      </c>
      <c r="D13" s="32">
        <v>360874</v>
      </c>
      <c r="E13" s="31"/>
      <c r="F13" s="32">
        <v>1992</v>
      </c>
      <c r="G13" s="34">
        <v>2328</v>
      </c>
      <c r="H13" s="32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7">
        <v>46147</v>
      </c>
      <c r="C14" s="32">
        <v>518703</v>
      </c>
      <c r="D14" s="32">
        <v>437893.5</v>
      </c>
      <c r="E14" s="31"/>
      <c r="F14" s="32">
        <v>81.5</v>
      </c>
      <c r="G14" s="34"/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7">
        <v>46148</v>
      </c>
      <c r="C15" s="32">
        <v>324737</v>
      </c>
      <c r="D15" s="32">
        <v>274038</v>
      </c>
      <c r="E15" s="31">
        <v>50</v>
      </c>
      <c r="F15" s="31"/>
      <c r="G15" s="34">
        <f>2190</f>
        <v>2190</v>
      </c>
      <c r="H15" s="32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7">
        <v>46149</v>
      </c>
      <c r="C16" s="32">
        <v>355053</v>
      </c>
      <c r="D16" s="32">
        <v>301508.25</v>
      </c>
      <c r="E16" s="31">
        <v>9.25</v>
      </c>
      <c r="F16" s="31"/>
      <c r="G16" s="34">
        <v>2028</v>
      </c>
      <c r="H16" s="3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7">
        <v>46150</v>
      </c>
      <c r="C17" s="32">
        <v>411243</v>
      </c>
      <c r="D17" s="32">
        <v>346119.75</v>
      </c>
      <c r="E17" s="31"/>
      <c r="F17" s="32">
        <v>610.25</v>
      </c>
      <c r="G17" s="34">
        <v>2544</v>
      </c>
      <c r="H17" s="3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7">
        <v>46151</v>
      </c>
      <c r="C18" s="44" t="s">
        <v>17</v>
      </c>
      <c r="D18" s="45"/>
      <c r="E18" s="45"/>
      <c r="F18" s="45"/>
      <c r="G18" s="45"/>
      <c r="H18" s="4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5" t="s">
        <v>0</v>
      </c>
      <c r="C19" s="44" t="s">
        <v>0</v>
      </c>
      <c r="D19" s="45"/>
      <c r="E19" s="45"/>
      <c r="F19" s="45"/>
      <c r="G19" s="45"/>
      <c r="H19" s="46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7">
        <v>46153</v>
      </c>
      <c r="C20" s="32">
        <v>306343</v>
      </c>
      <c r="D20" s="32">
        <v>252932</v>
      </c>
      <c r="E20" s="31"/>
      <c r="F20" s="34">
        <v>2651.5</v>
      </c>
      <c r="G20" s="34">
        <v>1632</v>
      </c>
      <c r="H20" s="34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7">
        <v>46154</v>
      </c>
      <c r="C21" s="32">
        <v>485304</v>
      </c>
      <c r="D21" s="32">
        <v>404232</v>
      </c>
      <c r="E21" s="31">
        <v>1516</v>
      </c>
      <c r="F21" s="34"/>
      <c r="G21" s="34">
        <v>3666</v>
      </c>
      <c r="H21" s="3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7">
        <v>46155</v>
      </c>
      <c r="C22" s="44" t="s">
        <v>19</v>
      </c>
      <c r="D22" s="45"/>
      <c r="E22" s="45"/>
      <c r="F22" s="45"/>
      <c r="G22" s="45"/>
      <c r="H22" s="46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7">
        <v>46156</v>
      </c>
      <c r="C23" s="32">
        <v>344042</v>
      </c>
      <c r="D23" s="32">
        <v>296318.25</v>
      </c>
      <c r="E23" s="31"/>
      <c r="F23" s="34">
        <v>310.75</v>
      </c>
      <c r="G23" s="34">
        <v>1656</v>
      </c>
      <c r="H23" s="34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7">
        <v>46157</v>
      </c>
      <c r="C24" s="32">
        <v>509099</v>
      </c>
      <c r="D24" s="32">
        <v>434826.5</v>
      </c>
      <c r="E24" s="31"/>
      <c r="F24" s="34">
        <v>140.5</v>
      </c>
      <c r="G24" s="34">
        <v>3192</v>
      </c>
      <c r="H24" s="34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7">
        <v>46158</v>
      </c>
      <c r="C25" s="44" t="s">
        <v>17</v>
      </c>
      <c r="D25" s="45"/>
      <c r="E25" s="45"/>
      <c r="F25" s="45"/>
      <c r="G25" s="45"/>
      <c r="H25" s="4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5" t="s">
        <v>0</v>
      </c>
      <c r="C26" s="44" t="s">
        <v>0</v>
      </c>
      <c r="D26" s="45"/>
      <c r="E26" s="45"/>
      <c r="F26" s="45"/>
      <c r="G26" s="45"/>
      <c r="H26" s="46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7">
        <v>46160</v>
      </c>
      <c r="C27" s="12">
        <v>543461</v>
      </c>
      <c r="D27" s="37">
        <v>461788.5</v>
      </c>
      <c r="E27" s="14"/>
      <c r="F27" s="12">
        <v>14.5</v>
      </c>
      <c r="G27" s="33">
        <v>2784</v>
      </c>
      <c r="H27" s="30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7">
        <v>46161</v>
      </c>
      <c r="C28" s="12">
        <v>524541</v>
      </c>
      <c r="D28" s="37">
        <v>448138.5</v>
      </c>
      <c r="E28" s="14"/>
      <c r="F28" s="12">
        <v>386.5</v>
      </c>
      <c r="G28" s="33">
        <f>3660</f>
        <v>3660</v>
      </c>
      <c r="H28" s="30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7">
        <v>46162</v>
      </c>
      <c r="C29" s="12">
        <v>276301</v>
      </c>
      <c r="D29" s="37">
        <v>237123.25</v>
      </c>
      <c r="E29" s="14">
        <v>334.25</v>
      </c>
      <c r="F29" s="12"/>
      <c r="G29" s="33">
        <v>1314</v>
      </c>
      <c r="H29" s="30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7">
        <v>46163</v>
      </c>
      <c r="C30" s="12">
        <v>412292</v>
      </c>
      <c r="D30" s="37">
        <v>343192.5</v>
      </c>
      <c r="E30" s="14">
        <v>1354.5</v>
      </c>
      <c r="F30" s="12"/>
      <c r="G30" s="33">
        <f>2166</f>
        <v>2166</v>
      </c>
      <c r="H30" s="30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7">
        <v>46164</v>
      </c>
      <c r="C31" s="44" t="s">
        <v>19</v>
      </c>
      <c r="D31" s="45"/>
      <c r="E31" s="45"/>
      <c r="F31" s="45"/>
      <c r="G31" s="45"/>
      <c r="H31" s="46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7">
        <v>46165</v>
      </c>
      <c r="C32" s="12">
        <v>542169</v>
      </c>
      <c r="D32" s="37">
        <v>454961.25</v>
      </c>
      <c r="E32" s="14">
        <v>1166.25</v>
      </c>
      <c r="F32" s="12"/>
      <c r="G32" s="33">
        <v>1602</v>
      </c>
      <c r="H32" s="30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5" t="s">
        <v>0</v>
      </c>
      <c r="C33" s="44" t="s">
        <v>0</v>
      </c>
      <c r="D33" s="45"/>
      <c r="E33" s="45"/>
      <c r="F33" s="45"/>
      <c r="G33" s="45"/>
      <c r="H33" s="46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7">
        <v>46167</v>
      </c>
      <c r="C34" s="39">
        <v>429899</v>
      </c>
      <c r="D34" s="41">
        <v>386583</v>
      </c>
      <c r="E34" s="14"/>
      <c r="F34" s="12">
        <v>7262</v>
      </c>
      <c r="G34" s="33">
        <v>1740</v>
      </c>
      <c r="H34" s="30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7">
        <v>46168</v>
      </c>
      <c r="C35" s="12">
        <v>416264</v>
      </c>
      <c r="D35" s="12">
        <v>354823.25</v>
      </c>
      <c r="E35" s="14">
        <v>1630.25</v>
      </c>
      <c r="F35" s="12"/>
      <c r="G35" s="33">
        <v>2352</v>
      </c>
      <c r="H35" s="30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7">
        <v>46169</v>
      </c>
      <c r="C36" s="12">
        <v>253015</v>
      </c>
      <c r="D36" s="37">
        <v>217959</v>
      </c>
      <c r="E36" s="14"/>
      <c r="F36" s="12">
        <v>592</v>
      </c>
      <c r="G36" s="33">
        <v>630</v>
      </c>
      <c r="H36" s="30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7">
        <v>46170</v>
      </c>
      <c r="C37" s="12">
        <v>236260</v>
      </c>
      <c r="D37" s="12">
        <v>193075</v>
      </c>
      <c r="E37" s="14">
        <v>2791</v>
      </c>
      <c r="F37" s="12"/>
      <c r="G37" s="33">
        <v>948</v>
      </c>
      <c r="H37" s="3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7">
        <v>46171</v>
      </c>
      <c r="C38" s="12">
        <v>364066</v>
      </c>
      <c r="D38" s="12">
        <v>307115</v>
      </c>
      <c r="E38" s="14"/>
      <c r="F38" s="12">
        <v>3571</v>
      </c>
      <c r="G38" s="33">
        <v>2598</v>
      </c>
      <c r="H38" s="30">
        <v>50</v>
      </c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7">
        <v>46172</v>
      </c>
      <c r="C39" s="44" t="s">
        <v>17</v>
      </c>
      <c r="D39" s="45"/>
      <c r="E39" s="45"/>
      <c r="F39" s="45"/>
      <c r="G39" s="45"/>
      <c r="H39" s="46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5" t="s">
        <v>0</v>
      </c>
      <c r="C40" s="44" t="s">
        <v>0</v>
      </c>
      <c r="D40" s="45"/>
      <c r="E40" s="45"/>
      <c r="F40" s="45"/>
      <c r="G40" s="45"/>
      <c r="H40" s="46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7"/>
      <c r="C41" s="12"/>
      <c r="D41" s="12"/>
      <c r="E41" s="31"/>
      <c r="F41" s="31"/>
      <c r="G41" s="31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5"/>
      <c r="C42" s="44"/>
      <c r="D42" s="45"/>
      <c r="E42" s="45"/>
      <c r="F42" s="45"/>
      <c r="G42" s="45"/>
      <c r="H42" s="46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6" t="s">
        <v>1</v>
      </c>
      <c r="B43" s="27"/>
      <c r="C43" s="17">
        <f>SUM(C10:C42)</f>
        <v>8771318</v>
      </c>
      <c r="D43" s="17"/>
      <c r="E43" s="28">
        <f>SUM(E10:E42)</f>
        <v>8867.5</v>
      </c>
      <c r="F43" s="17">
        <f>SUM(F10:F42)</f>
        <v>18470.5</v>
      </c>
      <c r="G43" s="17">
        <f>SUM(G10:G42)</f>
        <v>45312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5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22:H22"/>
    <mergeCell ref="C31:H31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2026-05-30T00:54:14Z</dcterms:modified>
</cp:coreProperties>
</file>