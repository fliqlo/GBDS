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C481E83C-CB46-4572-9F56-F20E16CDFA29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0" i="13" l="1"/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<sst xmlns="http://schemas.openxmlformats.org/spreadsheetml/2006/main" count="84" uniqueCount="20">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</sst>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4" fontId="15" fillId="0" borderId="1" xfId="0" applyNumberFormat="1" applyFont="1" applyBorder="1" applyAlignment="1">
      <alignment horizontal="right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4" fontId="2" fillId="0" borderId="1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/>
    <xf numFmtId="4" fontId="2" fillId="0" borderId="4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opLeftCell="A7"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1" t="s">
        <v>17</v>
      </c>
      <c r="D11" s="42"/>
      <c r="E11" s="42"/>
      <c r="F11" s="42"/>
      <c r="G11" s="42"/>
      <c r="H11" s="4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1" t="s">
        <v>0</v>
      </c>
      <c r="D12" s="42"/>
      <c r="E12" s="42"/>
      <c r="F12" s="42"/>
      <c r="G12" s="42"/>
      <c r="H12" s="4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1" t="s">
        <v>19</v>
      </c>
      <c r="D17" s="42"/>
      <c r="E17" s="42"/>
      <c r="F17" s="42"/>
      <c r="G17" s="42"/>
      <c r="H17" s="4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1" t="s">
        <v>17</v>
      </c>
      <c r="D18" s="42"/>
      <c r="E18" s="42"/>
      <c r="F18" s="42"/>
      <c r="G18" s="42"/>
      <c r="H18" s="4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1" t="s">
        <v>0</v>
      </c>
      <c r="D19" s="42"/>
      <c r="E19" s="42"/>
      <c r="F19" s="42"/>
      <c r="G19" s="42"/>
      <c r="H19" s="4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1" t="s">
        <v>17</v>
      </c>
      <c r="D25" s="42"/>
      <c r="E25" s="42"/>
      <c r="F25" s="42"/>
      <c r="G25" s="42"/>
      <c r="H25" s="43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1" t="s">
        <v>0</v>
      </c>
      <c r="D26" s="42"/>
      <c r="E26" s="42"/>
      <c r="F26" s="42"/>
      <c r="G26" s="42"/>
      <c r="H26" s="43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1" t="s">
        <v>19</v>
      </c>
      <c r="D27" s="42"/>
      <c r="E27" s="42"/>
      <c r="F27" s="42"/>
      <c r="G27" s="42"/>
      <c r="H27" s="43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442799</v>
      </c>
      <c r="D28" s="38">
        <v>378776</v>
      </c>
      <c r="E28" s="14">
        <v>1258</v>
      </c>
      <c r="F28" s="12"/>
      <c r="G28" s="34">
        <v>2742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392951</v>
      </c>
      <c r="D29" s="38">
        <v>338312</v>
      </c>
      <c r="E29" s="14">
        <v>512</v>
      </c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216025.17</v>
      </c>
      <c r="D30" s="38">
        <v>130230.92</v>
      </c>
      <c r="E30" s="14">
        <v>785.92</v>
      </c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343836</v>
      </c>
      <c r="D31" s="38">
        <v>347471.73</v>
      </c>
      <c r="E31" s="14"/>
      <c r="F31" s="12">
        <v>171.27</v>
      </c>
      <c r="G31" s="34">
        <v>2268</v>
      </c>
      <c r="H31" s="31">
        <v>109.27</v>
      </c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305232</v>
      </c>
      <c r="D32" s="38">
        <v>213755.25</v>
      </c>
      <c r="E32" s="14"/>
      <c r="F32" s="12">
        <v>7.75</v>
      </c>
      <c r="G32" s="34">
        <v>2070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1" t="s">
        <v>0</v>
      </c>
      <c r="D33" s="42"/>
      <c r="E33" s="42"/>
      <c r="F33" s="42"/>
      <c r="G33" s="42"/>
      <c r="H33" s="43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8">
        <v>88474</v>
      </c>
      <c r="D34" s="47">
        <v>75999.25</v>
      </c>
      <c r="E34" s="14"/>
      <c r="F34" s="12">
        <v>696.75</v>
      </c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48">
        <v>216781</v>
      </c>
      <c r="D35" s="47">
        <v>184597.75</v>
      </c>
      <c r="E35" s="14"/>
      <c r="F35" s="12">
        <v>48.25</v>
      </c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40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40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40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1" t="s">
        <v>17</v>
      </c>
      <c r="D39" s="42"/>
      <c r="E39" s="42"/>
      <c r="F39" s="42"/>
      <c r="G39" s="42"/>
      <c r="H39" s="43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1" t="s">
        <v>0</v>
      </c>
      <c r="D40" s="42"/>
      <c r="E40" s="42"/>
      <c r="F40" s="42"/>
      <c r="G40" s="42"/>
      <c r="H40" s="43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1"/>
      <c r="D42" s="42"/>
      <c r="E42" s="42"/>
      <c r="F42" s="42"/>
      <c r="G42" s="42"/>
      <c r="H42" s="43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5884151.75</v>
      </c>
      <c r="D43" s="17"/>
      <c r="E43" s="29">
        <f>SUM(E10:E42)</f>
        <v>6748.79</v>
      </c>
      <c r="F43" s="17">
        <f>SUM(F10:F42)</f>
        <v>6708.52</v>
      </c>
      <c r="G43" s="17">
        <f>SUM(G10:G42)</f>
        <v>23390</v>
      </c>
      <c r="H43" s="17">
        <f>SUM(H10:H42)</f>
        <v>611.73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topLeftCell="A7"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1" t="s">
        <v>17</v>
      </c>
      <c r="D11" s="42"/>
      <c r="E11" s="42"/>
      <c r="F11" s="42"/>
      <c r="G11" s="42"/>
      <c r="H11" s="4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1" t="s">
        <v>0</v>
      </c>
      <c r="D12" s="42"/>
      <c r="E12" s="42"/>
      <c r="F12" s="42"/>
      <c r="G12" s="42"/>
      <c r="H12" s="4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1" t="s">
        <v>17</v>
      </c>
      <c r="D18" s="42"/>
      <c r="E18" s="42"/>
      <c r="F18" s="42"/>
      <c r="G18" s="42"/>
      <c r="H18" s="4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1" t="s">
        <v>0</v>
      </c>
      <c r="D19" s="42"/>
      <c r="E19" s="42"/>
      <c r="F19" s="42"/>
      <c r="G19" s="42"/>
      <c r="H19" s="4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1" t="s">
        <v>19</v>
      </c>
      <c r="D23" s="42"/>
      <c r="E23" s="42"/>
      <c r="F23" s="42"/>
      <c r="G23" s="42"/>
      <c r="H23" s="43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1" t="s">
        <v>0</v>
      </c>
      <c r="D26" s="42"/>
      <c r="E26" s="42"/>
      <c r="F26" s="42"/>
      <c r="G26" s="42"/>
      <c r="H26" s="43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320424</v>
      </c>
      <c r="D28" s="38">
        <v>270121.5</v>
      </c>
      <c r="E28" s="14">
        <v>768.5</v>
      </c>
      <c r="F28" s="12"/>
      <c r="G28" s="34">
        <v>2076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294125</v>
      </c>
      <c r="D29" s="38">
        <v>248850.5</v>
      </c>
      <c r="E29" s="14"/>
      <c r="F29" s="12">
        <v>824.5</v>
      </c>
      <c r="G29" s="34">
        <v>1296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238493</v>
      </c>
      <c r="D30" s="38">
        <v>194288</v>
      </c>
      <c r="E30" s="14">
        <v>90</v>
      </c>
      <c r="F30" s="12"/>
      <c r="G30" s="34">
        <v>1158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254943</v>
      </c>
      <c r="D31" s="38">
        <v>214593.75</v>
      </c>
      <c r="E31" s="14"/>
      <c r="F31" s="12">
        <v>147.25</v>
      </c>
      <c r="G31" s="34">
        <v>1068</v>
      </c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231087</v>
      </c>
      <c r="D32" s="38">
        <v>198523.5</v>
      </c>
      <c r="E32" s="14"/>
      <c r="F32" s="12">
        <v>123.5</v>
      </c>
      <c r="G32" s="34">
        <v>1356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1" t="s">
        <v>0</v>
      </c>
      <c r="D33" s="42"/>
      <c r="E33" s="42"/>
      <c r="F33" s="42"/>
      <c r="G33" s="42"/>
      <c r="H33" s="43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4">
        <v>278040</v>
      </c>
      <c r="D34" s="45">
        <v>234187.5</v>
      </c>
      <c r="E34" s="14">
        <v>84.5</v>
      </c>
      <c r="F34" s="12"/>
      <c r="G34" s="34">
        <v>2082</v>
      </c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12">
        <v>236836</v>
      </c>
      <c r="D35" s="38">
        <v>204773.5</v>
      </c>
      <c r="E35" s="14">
        <v>150.5</v>
      </c>
      <c r="F35" s="12"/>
      <c r="G35" s="34">
        <v>1110</v>
      </c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1" t="s">
        <v>17</v>
      </c>
      <c r="D39" s="42"/>
      <c r="E39" s="42"/>
      <c r="F39" s="42"/>
      <c r="G39" s="42"/>
      <c r="H39" s="43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1" t="s">
        <v>0</v>
      </c>
      <c r="D40" s="42"/>
      <c r="E40" s="42"/>
      <c r="F40" s="42"/>
      <c r="G40" s="42"/>
      <c r="H40" s="43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1"/>
      <c r="D42" s="42"/>
      <c r="E42" s="42"/>
      <c r="F42" s="42"/>
      <c r="G42" s="42"/>
      <c r="H42" s="43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5592894</v>
      </c>
      <c r="D43" s="17"/>
      <c r="E43" s="29">
        <f>SUM(E10:E42)</f>
        <v>7854.5</v>
      </c>
      <c r="F43" s="17">
        <f>SUM(F10:F42)</f>
        <v>5209.75</v>
      </c>
      <c r="G43" s="17">
        <f>SUM(G10:G42)</f>
        <v>32094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9:H39"/>
    <mergeCell ref="C40:H40"/>
    <mergeCell ref="C42:H42"/>
    <mergeCell ref="C11:H11"/>
    <mergeCell ref="C18:H18"/>
    <mergeCell ref="C19:H19"/>
    <mergeCell ref="C26:H26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topLeftCell="A7"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1" t="s">
        <v>0</v>
      </c>
      <c r="D12" s="42"/>
      <c r="E12" s="42"/>
      <c r="F12" s="42"/>
      <c r="G12" s="42"/>
      <c r="H12" s="4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1" t="s">
        <v>17</v>
      </c>
      <c r="D18" s="42"/>
      <c r="E18" s="42"/>
      <c r="F18" s="42"/>
      <c r="G18" s="42"/>
      <c r="H18" s="4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1" t="s">
        <v>0</v>
      </c>
      <c r="D19" s="42"/>
      <c r="E19" s="42"/>
      <c r="F19" s="42"/>
      <c r="G19" s="42"/>
      <c r="H19" s="4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1" t="s">
        <v>19</v>
      </c>
      <c r="D22" s="42"/>
      <c r="E22" s="42"/>
      <c r="F22" s="42"/>
      <c r="G22" s="42"/>
      <c r="H22" s="43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1" t="s">
        <v>17</v>
      </c>
      <c r="D25" s="42"/>
      <c r="E25" s="42"/>
      <c r="F25" s="42"/>
      <c r="G25" s="42"/>
      <c r="H25" s="43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1" t="s">
        <v>0</v>
      </c>
      <c r="D26" s="42"/>
      <c r="E26" s="42"/>
      <c r="F26" s="42"/>
      <c r="G26" s="42"/>
      <c r="H26" s="43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524541</v>
      </c>
      <c r="D28" s="38">
        <v>448138.5</v>
      </c>
      <c r="E28" s="14"/>
      <c r="F28" s="12">
        <v>386.5</v>
      </c>
      <c r="G28" s="34">
        <f>3660</f>
        <v>3660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276301</v>
      </c>
      <c r="D29" s="38">
        <v>237123.25</v>
      </c>
      <c r="E29" s="14">
        <v>334.25</v>
      </c>
      <c r="F29" s="12"/>
      <c r="G29" s="34">
        <v>1314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412292</v>
      </c>
      <c r="D30" s="38">
        <v>343192.5</v>
      </c>
      <c r="E30" s="14">
        <v>1354.5</v>
      </c>
      <c r="F30" s="12"/>
      <c r="G30" s="34">
        <f>2166</f>
        <v>2166</v>
      </c>
      <c r="H30" s="31">
        <v>50</v>
      </c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41" t="s">
        <v>19</v>
      </c>
      <c r="D31" s="42"/>
      <c r="E31" s="42"/>
      <c r="F31" s="42"/>
      <c r="G31" s="42"/>
      <c r="H31" s="43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542169</v>
      </c>
      <c r="D32" s="38">
        <v>454961.25</v>
      </c>
      <c r="E32" s="14">
        <v>1166.25</v>
      </c>
      <c r="F32" s="12"/>
      <c r="G32" s="34">
        <v>1602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1" t="s">
        <v>0</v>
      </c>
      <c r="D33" s="42"/>
      <c r="E33" s="42"/>
      <c r="F33" s="42"/>
      <c r="G33" s="42"/>
      <c r="H33" s="43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4">
        <v>429899</v>
      </c>
      <c r="D34" s="46">
        <v>386583</v>
      </c>
      <c r="E34" s="14"/>
      <c r="F34" s="12">
        <v>7262</v>
      </c>
      <c r="G34" s="34">
        <v>1740</v>
      </c>
      <c r="H34" s="31">
        <v>50</v>
      </c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12">
        <v>416264</v>
      </c>
      <c r="D35" s="12">
        <v>354823.25</v>
      </c>
      <c r="E35" s="14">
        <v>1630.25</v>
      </c>
      <c r="F35" s="12"/>
      <c r="G35" s="34">
        <v>2352</v>
      </c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1" t="s">
        <v>17</v>
      </c>
      <c r="D39" s="42"/>
      <c r="E39" s="42"/>
      <c r="F39" s="42"/>
      <c r="G39" s="42"/>
      <c r="H39" s="43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1" t="s">
        <v>0</v>
      </c>
      <c r="D40" s="42"/>
      <c r="E40" s="42"/>
      <c r="F40" s="42"/>
      <c r="G40" s="42"/>
      <c r="H40" s="43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1"/>
      <c r="D42" s="42"/>
      <c r="E42" s="42"/>
      <c r="F42" s="42"/>
      <c r="G42" s="42"/>
      <c r="H42" s="43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7917977</v>
      </c>
      <c r="D43" s="17"/>
      <c r="E43" s="29">
        <f>SUM(E10:E42)</f>
        <v>6076.5</v>
      </c>
      <c r="F43" s="17">
        <f>SUM(F10:F42)</f>
        <v>14307.5</v>
      </c>
      <c r="G43" s="17">
        <f>SUM(G10:G42)</f>
        <v>41136</v>
      </c>
      <c r="H43" s="17">
        <f>SUM(H10:H42)</f>
        <v>350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22:H22"/>
    <mergeCell ref="C31:H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2026-05-27T00:45:27Z</dcterms:modified>
</cp:coreProperties>
</file>