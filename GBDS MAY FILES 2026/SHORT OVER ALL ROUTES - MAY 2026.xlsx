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1EB73818-320A-43AE-8D58-E64BA00C6A6F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MAY, SRS R1" sheetId="6" r:id="rId1"/>
    <sheet name="MAY, SRS R2" sheetId="12" r:id="rId2"/>
    <sheet name="MAY, SRS R3" sheetId="13" r:id="rId3"/>
    <sheet name="," sheetId="14" r:id="rId4"/>
  </sheets>
  <definedNames>
    <definedName name="_xlnm.Print_Area" localSheetId="0">'MAY, SRS R1'!$A$1:$H$44</definedName>
    <definedName name="_xlnm.Print_Area" localSheetId="1">'MAY, SRS R2'!$A$1:$H$44</definedName>
    <definedName name="_xlnm.Print_Area" localSheetId="2">'MAY,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5" i="13" l="1"/>
  <c r="H43" i="13" l="1"/>
  <c r="G43" i="13"/>
  <c r="F43" i="13"/>
  <c r="E43" i="13"/>
  <c r="C43" i="13"/>
  <c r="H43" i="12"/>
  <c r="G43" i="12"/>
  <c r="F43" i="12"/>
  <c r="E43" i="12"/>
  <c r="C43" i="12"/>
  <c r="G43" i="6" l="1"/>
  <c r="E43" i="6" l="1"/>
  <c r="F43" i="6"/>
  <c r="H43" i="6"/>
  <c r="C43" i="6" l="1"/>
</calcChain>
</file>

<file path=xl/sharedStrings.xml><?xml version="1.0" encoding="utf-8"?>
<sst xmlns="http://schemas.openxmlformats.org/spreadsheetml/2006/main" count="83" uniqueCount="19">
  <si>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</si>
  <si>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</si>
  <si>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</si>
  <si>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</si>
  <si>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</si>
  <si>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</si>
  <si>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</si>
  <si>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</si>
  <si>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</si>
  <si>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</si>
  <si>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</si>
  <si>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</si>
  <si>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</si>
  <si>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</si>
  <si>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</si>
  <si>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</si>
  <si>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</si>
  <si>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DAY-OFF</t>
  </si>
  <si>
    <t>MAY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</si>
</sst>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3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zoomScaleNormal="100" zoomScaleSheetLayoutView="100" workbookViewId="0">
      <selection activeCell="C16" sqref="C16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545651</v>
      </c>
      <c r="D10" s="33">
        <v>441732.5</v>
      </c>
      <c r="E10" s="32"/>
      <c r="F10" s="33">
        <v>23.5</v>
      </c>
      <c r="G10" s="33">
        <v>3240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0" t="s">
        <v>17</v>
      </c>
      <c r="D11" s="41"/>
      <c r="E11" s="41"/>
      <c r="F11" s="41"/>
      <c r="G11" s="41"/>
      <c r="H11" s="4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290296</v>
      </c>
      <c r="D13" s="33">
        <v>248078.75</v>
      </c>
      <c r="E13" s="32"/>
      <c r="F13" s="33">
        <v>2066.25</v>
      </c>
      <c r="G13" s="35"/>
      <c r="H13" s="33">
        <v>200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470610</v>
      </c>
      <c r="D14" s="33">
        <v>388937.25</v>
      </c>
      <c r="E14" s="32">
        <v>3519</v>
      </c>
      <c r="F14" s="32"/>
      <c r="G14" s="35">
        <v>2682</v>
      </c>
      <c r="H14" s="33">
        <v>200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302093.92</v>
      </c>
      <c r="D15" s="33">
        <v>190643.42</v>
      </c>
      <c r="E15" s="32"/>
      <c r="F15" s="33">
        <v>1643.58</v>
      </c>
      <c r="G15" s="35"/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/>
      <c r="D16" s="33"/>
      <c r="E16" s="32"/>
      <c r="F16" s="32"/>
      <c r="G16" s="35"/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/>
      <c r="D17" s="33"/>
      <c r="E17" s="32"/>
      <c r="F17" s="32"/>
      <c r="G17" s="35"/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/>
      <c r="D20" s="33"/>
      <c r="E20" s="32"/>
      <c r="F20" s="35"/>
      <c r="G20" s="35"/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/>
      <c r="D21" s="33"/>
      <c r="E21" s="32"/>
      <c r="F21" s="35"/>
      <c r="G21" s="35"/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/>
      <c r="D22" s="33"/>
      <c r="E22" s="32"/>
      <c r="F22" s="35"/>
      <c r="G22" s="35"/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/>
      <c r="D23" s="33"/>
      <c r="E23" s="32"/>
      <c r="F23" s="35"/>
      <c r="G23" s="35"/>
      <c r="H23" s="35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/>
      <c r="D24" s="33"/>
      <c r="E24" s="32"/>
      <c r="F24" s="35"/>
      <c r="G24" s="35"/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/>
      <c r="D27" s="38"/>
      <c r="E27" s="14"/>
      <c r="F27" s="12"/>
      <c r="G27" s="34"/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/>
      <c r="D28" s="38"/>
      <c r="E28" s="14"/>
      <c r="F28" s="12"/>
      <c r="G28" s="34"/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/>
      <c r="D29" s="38"/>
      <c r="E29" s="14"/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1608650.92</v>
      </c>
      <c r="D43" s="17"/>
      <c r="E43" s="29">
        <f>SUM(E10:E42)</f>
        <v>3519</v>
      </c>
      <c r="F43" s="17">
        <f>SUM(F10:F42)</f>
        <v>3733.33</v>
      </c>
      <c r="G43" s="17">
        <f>SUM(G10:G42)</f>
        <v>5922</v>
      </c>
      <c r="H43" s="17">
        <f>SUM(H10:H42)</f>
        <v>400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30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1">
    <mergeCell ref="C42:H42"/>
    <mergeCell ref="C19:H19"/>
    <mergeCell ref="C40:H40"/>
    <mergeCell ref="C33:H33"/>
    <mergeCell ref="C11:H11"/>
    <mergeCell ref="C18:H18"/>
    <mergeCell ref="C25:H25"/>
    <mergeCell ref="C32:H32"/>
    <mergeCell ref="C39:H39"/>
    <mergeCell ref="C12:H12"/>
    <mergeCell ref="C26:H26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zoomScaleNormal="100" zoomScaleSheetLayoutView="100" workbookViewId="0">
      <selection activeCell="C16" sqref="C16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236796</v>
      </c>
      <c r="D10" s="33">
        <v>196732.5</v>
      </c>
      <c r="E10" s="32">
        <v>182.5</v>
      </c>
      <c r="F10" s="32"/>
      <c r="G10" s="33">
        <v>1518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0" t="s">
        <v>17</v>
      </c>
      <c r="D11" s="41"/>
      <c r="E11" s="41"/>
      <c r="F11" s="41"/>
      <c r="G11" s="41"/>
      <c r="H11" s="4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285008</v>
      </c>
      <c r="D13" s="33">
        <v>241083.5</v>
      </c>
      <c r="E13" s="32">
        <v>1226.5</v>
      </c>
      <c r="F13" s="32"/>
      <c r="G13" s="35">
        <v>1296</v>
      </c>
      <c r="H13" s="32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371226</v>
      </c>
      <c r="D14" s="33">
        <v>310668</v>
      </c>
      <c r="E14" s="32"/>
      <c r="F14" s="33">
        <v>789</v>
      </c>
      <c r="G14" s="35">
        <v>2676</v>
      </c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331431</v>
      </c>
      <c r="D15" s="33">
        <v>280760.25</v>
      </c>
      <c r="E15" s="32"/>
      <c r="F15" s="33">
        <v>17.75</v>
      </c>
      <c r="G15" s="35">
        <v>2076</v>
      </c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/>
      <c r="D16" s="33"/>
      <c r="E16" s="32"/>
      <c r="F16" s="32"/>
      <c r="G16" s="35"/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/>
      <c r="D17" s="33"/>
      <c r="E17" s="32"/>
      <c r="F17" s="32"/>
      <c r="G17" s="35"/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/>
      <c r="D20" s="33"/>
      <c r="E20" s="32"/>
      <c r="F20" s="35"/>
      <c r="G20" s="35"/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/>
      <c r="D21" s="33"/>
      <c r="E21" s="32"/>
      <c r="F21" s="35"/>
      <c r="G21" s="35"/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/>
      <c r="D22" s="33"/>
      <c r="E22" s="32"/>
      <c r="F22" s="35"/>
      <c r="G22" s="35"/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/>
      <c r="D23" s="33"/>
      <c r="E23" s="32"/>
      <c r="F23" s="35"/>
      <c r="G23" s="35"/>
      <c r="H23" s="35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/>
      <c r="D24" s="33"/>
      <c r="E24" s="32"/>
      <c r="F24" s="35"/>
      <c r="G24" s="35"/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/>
      <c r="D27" s="38"/>
      <c r="E27" s="14"/>
      <c r="F27" s="12"/>
      <c r="G27" s="34"/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/>
      <c r="D28" s="38"/>
      <c r="E28" s="14"/>
      <c r="F28" s="12"/>
      <c r="G28" s="34"/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/>
      <c r="D29" s="38"/>
      <c r="E29" s="14"/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1224461</v>
      </c>
      <c r="D43" s="17"/>
      <c r="E43" s="29">
        <f>SUM(E10:E42)</f>
        <v>1409</v>
      </c>
      <c r="F43" s="17">
        <f>SUM(F10:F42)</f>
        <v>806.75</v>
      </c>
      <c r="G43" s="17">
        <f>SUM(G10:G42)</f>
        <v>7566</v>
      </c>
      <c r="H43" s="17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1">
    <mergeCell ref="C39:H39"/>
    <mergeCell ref="C40:H40"/>
    <mergeCell ref="C42:H42"/>
    <mergeCell ref="C11:H11"/>
    <mergeCell ref="C18:H18"/>
    <mergeCell ref="C19:H19"/>
    <mergeCell ref="C25:H25"/>
    <mergeCell ref="C26:H26"/>
    <mergeCell ref="C32:H32"/>
    <mergeCell ref="C33:H33"/>
    <mergeCell ref="C12:H1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tabSelected="1" zoomScaleNormal="100" zoomScaleSheetLayoutView="100" workbookViewId="0">
      <selection activeCell="C16" sqref="C16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456978</v>
      </c>
      <c r="D10" s="33">
        <v>385311</v>
      </c>
      <c r="E10" s="32"/>
      <c r="F10" s="33">
        <v>858</v>
      </c>
      <c r="G10" s="33">
        <v>2766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33">
        <v>635011</v>
      </c>
      <c r="D11" s="33">
        <v>546499</v>
      </c>
      <c r="E11" s="32">
        <v>16</v>
      </c>
      <c r="F11" s="33"/>
      <c r="G11" s="33">
        <v>3516</v>
      </c>
      <c r="H11" s="3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426537</v>
      </c>
      <c r="D13" s="33">
        <v>360874</v>
      </c>
      <c r="E13" s="32"/>
      <c r="F13" s="33">
        <v>1992</v>
      </c>
      <c r="G13" s="35">
        <v>2328</v>
      </c>
      <c r="H13" s="33">
        <v>50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518703</v>
      </c>
      <c r="D14" s="33">
        <v>437893.5</v>
      </c>
      <c r="E14" s="32"/>
      <c r="F14" s="33">
        <v>81.5</v>
      </c>
      <c r="G14" s="35"/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324737</v>
      </c>
      <c r="D15" s="33">
        <v>274038</v>
      </c>
      <c r="E15" s="33">
        <v>50</v>
      </c>
      <c r="F15" s="32"/>
      <c r="G15" s="35">
        <f>2190</f>
        <v>2190</v>
      </c>
      <c r="H15" s="33">
        <v>50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/>
      <c r="D16" s="33"/>
      <c r="E16" s="32"/>
      <c r="F16" s="32"/>
      <c r="G16" s="35"/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/>
      <c r="D17" s="33"/>
      <c r="E17" s="32"/>
      <c r="F17" s="32"/>
      <c r="G17" s="35"/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/>
      <c r="D20" s="33"/>
      <c r="E20" s="32"/>
      <c r="F20" s="35"/>
      <c r="G20" s="35"/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/>
      <c r="D21" s="33"/>
      <c r="E21" s="32"/>
      <c r="F21" s="35"/>
      <c r="G21" s="35"/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/>
      <c r="D22" s="33"/>
      <c r="E22" s="32"/>
      <c r="F22" s="35"/>
      <c r="G22" s="35"/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/>
      <c r="D23" s="33"/>
      <c r="E23" s="32"/>
      <c r="F23" s="35"/>
      <c r="G23" s="35"/>
      <c r="H23" s="35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/>
      <c r="D24" s="33"/>
      <c r="E24" s="32"/>
      <c r="F24" s="35"/>
      <c r="G24" s="35"/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/>
      <c r="D27" s="38"/>
      <c r="E27" s="14"/>
      <c r="F27" s="12"/>
      <c r="G27" s="34"/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/>
      <c r="D28" s="38"/>
      <c r="E28" s="14"/>
      <c r="F28" s="12"/>
      <c r="G28" s="34"/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/>
      <c r="D29" s="38"/>
      <c r="E29" s="14"/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2361966</v>
      </c>
      <c r="D43" s="17"/>
      <c r="E43" s="29">
        <f>SUM(E10:E42)</f>
        <v>66</v>
      </c>
      <c r="F43" s="17">
        <f>SUM(F10:F42)</f>
        <v>2931.5</v>
      </c>
      <c r="G43" s="17">
        <f>SUM(G10:G42)</f>
        <v>10800</v>
      </c>
      <c r="H43" s="17">
        <f>SUM(H10:H42)</f>
        <v>100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0">
    <mergeCell ref="C12:H12"/>
    <mergeCell ref="C19:H19"/>
    <mergeCell ref="C33:H33"/>
    <mergeCell ref="C39:H39"/>
    <mergeCell ref="C40:H40"/>
    <mergeCell ref="C42:H42"/>
    <mergeCell ref="C18:H18"/>
    <mergeCell ref="C25:H25"/>
    <mergeCell ref="C26:H26"/>
    <mergeCell ref="C32:H32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MAY, SRS R1</vt:lpstr>
      <vt:lpstr>MAY, SRS R2</vt:lpstr>
      <vt:lpstr>MAY, SRS R3</vt:lpstr>
      <vt:lpstr>,</vt:lpstr>
      <vt:lpstr>'MAY, SRS R1'!Print_Area</vt:lpstr>
      <vt:lpstr>'MAY, SRS R2'!Print_Area</vt:lpstr>
      <vt:lpstr>'MAY,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2026-05-07T00:19:58Z</dcterms:modified>
</cp:coreProperties>
</file>