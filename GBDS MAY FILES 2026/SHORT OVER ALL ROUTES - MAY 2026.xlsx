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39A3E467-18F3-45A4-9808-3D03B86DDB73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0" i="13" l="1"/>
  <c r="G28" i="13" l="1"/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<sst xmlns="http://schemas.openxmlformats.org/spreadsheetml/2006/main" count="84" uniqueCount="20">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</sst>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4" fontId="15" fillId="0" borderId="1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 vertical="center"/>
    </xf>
    <xf numFmtId="4" fontId="2" fillId="0" borderId="4" xfId="0" applyNumberFormat="1" applyFont="1" applyBorder="1" applyAlignment="1">
      <alignment horizontal="right" vertical="center"/>
    </xf>
    <xf numFmtId="4" fontId="2" fillId="0" borderId="4" xfId="0" applyNumberFormat="1" applyFont="1" applyBorder="1" applyAlignment="1"/>
    <xf numFmtId="4" fontId="2" fillId="0" borderId="4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zoomScaleNormal="100" zoomScaleSheetLayoutView="100" workbookViewId="0">
      <selection activeCell="B2" sqref="B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6" t="s">
        <v>17</v>
      </c>
      <c r="D11" s="47"/>
      <c r="E11" s="47"/>
      <c r="F11" s="47"/>
      <c r="G11" s="47"/>
      <c r="H11" s="4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6" t="s">
        <v>0</v>
      </c>
      <c r="D12" s="47"/>
      <c r="E12" s="47"/>
      <c r="F12" s="47"/>
      <c r="G12" s="47"/>
      <c r="H12" s="4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6" t="s">
        <v>19</v>
      </c>
      <c r="D17" s="47"/>
      <c r="E17" s="47"/>
      <c r="F17" s="47"/>
      <c r="G17" s="47"/>
      <c r="H17" s="48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6" t="s">
        <v>17</v>
      </c>
      <c r="D18" s="47"/>
      <c r="E18" s="47"/>
      <c r="F18" s="47"/>
      <c r="G18" s="47"/>
      <c r="H18" s="4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6" t="s">
        <v>0</v>
      </c>
      <c r="D19" s="47"/>
      <c r="E19" s="47"/>
      <c r="F19" s="47"/>
      <c r="G19" s="47"/>
      <c r="H19" s="4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346170.83</v>
      </c>
      <c r="D22" s="33">
        <v>234441.33</v>
      </c>
      <c r="E22" s="32"/>
      <c r="F22" s="35">
        <v>3.67</v>
      </c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563496</v>
      </c>
      <c r="D23" s="33">
        <v>497309.25</v>
      </c>
      <c r="E23" s="32">
        <v>148.25</v>
      </c>
      <c r="F23" s="35"/>
      <c r="G23" s="35">
        <v>3420</v>
      </c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339179</v>
      </c>
      <c r="D24" s="33">
        <v>269272.5</v>
      </c>
      <c r="E24" s="32"/>
      <c r="F24" s="35">
        <v>2047.5</v>
      </c>
      <c r="G24" s="35">
        <v>1994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6" t="s">
        <v>17</v>
      </c>
      <c r="D25" s="47"/>
      <c r="E25" s="47"/>
      <c r="F25" s="47"/>
      <c r="G25" s="47"/>
      <c r="H25" s="48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6" t="s">
        <v>0</v>
      </c>
      <c r="D26" s="47"/>
      <c r="E26" s="47"/>
      <c r="F26" s="47"/>
      <c r="G26" s="47"/>
      <c r="H26" s="48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46" t="s">
        <v>19</v>
      </c>
      <c r="D27" s="47"/>
      <c r="E27" s="47"/>
      <c r="F27" s="47"/>
      <c r="G27" s="47"/>
      <c r="H27" s="48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442799</v>
      </c>
      <c r="D28" s="38">
        <v>378776</v>
      </c>
      <c r="E28" s="14">
        <v>1258</v>
      </c>
      <c r="F28" s="12"/>
      <c r="G28" s="34">
        <v>2742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392951</v>
      </c>
      <c r="D29" s="38">
        <v>338312</v>
      </c>
      <c r="E29" s="14">
        <v>512</v>
      </c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216025.17</v>
      </c>
      <c r="D30" s="38">
        <v>130230.92</v>
      </c>
      <c r="E30" s="14">
        <v>785.92</v>
      </c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>
        <v>343836</v>
      </c>
      <c r="D31" s="38">
        <v>347471.73</v>
      </c>
      <c r="E31" s="14"/>
      <c r="F31" s="12">
        <v>171.27</v>
      </c>
      <c r="G31" s="34">
        <v>2268</v>
      </c>
      <c r="H31" s="31">
        <v>109.27</v>
      </c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305232</v>
      </c>
      <c r="D32" s="38">
        <v>213755.25</v>
      </c>
      <c r="E32" s="14"/>
      <c r="F32" s="12">
        <v>7.75</v>
      </c>
      <c r="G32" s="34">
        <v>2070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6" t="s">
        <v>0</v>
      </c>
      <c r="D33" s="47"/>
      <c r="E33" s="47"/>
      <c r="F33" s="47"/>
      <c r="G33" s="47"/>
      <c r="H33" s="48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5">
        <v>88474</v>
      </c>
      <c r="D34" s="44">
        <v>75999.25</v>
      </c>
      <c r="E34" s="14"/>
      <c r="F34" s="12">
        <v>696.75</v>
      </c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45">
        <v>216781</v>
      </c>
      <c r="D35" s="44">
        <v>184597.75</v>
      </c>
      <c r="E35" s="14"/>
      <c r="F35" s="12">
        <v>48.25</v>
      </c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12">
        <v>267784</v>
      </c>
      <c r="D36" s="38">
        <v>233117.5</v>
      </c>
      <c r="E36" s="14">
        <v>417.5</v>
      </c>
      <c r="F36" s="12"/>
      <c r="G36" s="34">
        <v>2064</v>
      </c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40">
        <v>314879</v>
      </c>
      <c r="D37" s="38">
        <v>202069.5</v>
      </c>
      <c r="E37" s="14">
        <v>1129.25</v>
      </c>
      <c r="F37" s="12"/>
      <c r="G37" s="34">
        <v>30</v>
      </c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40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6" t="s">
        <v>17</v>
      </c>
      <c r="D39" s="47"/>
      <c r="E39" s="47"/>
      <c r="F39" s="47"/>
      <c r="G39" s="47"/>
      <c r="H39" s="48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6" t="s">
        <v>0</v>
      </c>
      <c r="D40" s="47"/>
      <c r="E40" s="47"/>
      <c r="F40" s="47"/>
      <c r="G40" s="47"/>
      <c r="H40" s="48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6"/>
      <c r="D42" s="47"/>
      <c r="E42" s="47"/>
      <c r="F42" s="47"/>
      <c r="G42" s="47"/>
      <c r="H42" s="48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6466814.75</v>
      </c>
      <c r="D43" s="17"/>
      <c r="E43" s="29">
        <f>SUM(E10:E42)</f>
        <v>8295.5400000000009</v>
      </c>
      <c r="F43" s="17">
        <f>SUM(F10:F42)</f>
        <v>6708.52</v>
      </c>
      <c r="G43" s="17">
        <f>SUM(G10:G42)</f>
        <v>25484</v>
      </c>
      <c r="H43" s="17">
        <f>SUM(H10:H42)</f>
        <v>611.73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9:H39"/>
    <mergeCell ref="C12:H12"/>
    <mergeCell ref="C26:H26"/>
    <mergeCell ref="C17:H17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38" sqref="C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6" t="s">
        <v>17</v>
      </c>
      <c r="D11" s="47"/>
      <c r="E11" s="47"/>
      <c r="F11" s="47"/>
      <c r="G11" s="47"/>
      <c r="H11" s="4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6" t="s">
        <v>0</v>
      </c>
      <c r="D12" s="47"/>
      <c r="E12" s="47"/>
      <c r="F12" s="47"/>
      <c r="G12" s="47"/>
      <c r="H12" s="4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6" t="s">
        <v>17</v>
      </c>
      <c r="D18" s="47"/>
      <c r="E18" s="47"/>
      <c r="F18" s="47"/>
      <c r="G18" s="47"/>
      <c r="H18" s="4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6" t="s">
        <v>0</v>
      </c>
      <c r="D19" s="47"/>
      <c r="E19" s="47"/>
      <c r="F19" s="47"/>
      <c r="G19" s="47"/>
      <c r="H19" s="4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274505</v>
      </c>
      <c r="D22" s="33">
        <v>231930.5</v>
      </c>
      <c r="E22" s="32">
        <v>270.5</v>
      </c>
      <c r="F22" s="35"/>
      <c r="G22" s="35">
        <v>1944</v>
      </c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46" t="s">
        <v>19</v>
      </c>
      <c r="D23" s="47"/>
      <c r="E23" s="47"/>
      <c r="F23" s="47"/>
      <c r="G23" s="47"/>
      <c r="H23" s="48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301997</v>
      </c>
      <c r="D24" s="33">
        <v>255826.5</v>
      </c>
      <c r="E24" s="32"/>
      <c r="F24" s="35">
        <v>178.75</v>
      </c>
      <c r="G24" s="35">
        <v>1200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33">
        <v>272545</v>
      </c>
      <c r="D25" s="33">
        <v>229232.5</v>
      </c>
      <c r="E25" s="32"/>
      <c r="F25" s="35">
        <v>21.5</v>
      </c>
      <c r="G25" s="35">
        <v>2106</v>
      </c>
      <c r="H25" s="35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6" t="s">
        <v>0</v>
      </c>
      <c r="D26" s="47"/>
      <c r="E26" s="47"/>
      <c r="F26" s="47"/>
      <c r="G26" s="47"/>
      <c r="H26" s="48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491364</v>
      </c>
      <c r="D27" s="38">
        <v>417927</v>
      </c>
      <c r="E27" s="14">
        <v>205</v>
      </c>
      <c r="F27" s="12"/>
      <c r="G27" s="34">
        <v>3666</v>
      </c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320424</v>
      </c>
      <c r="D28" s="38">
        <v>270121.5</v>
      </c>
      <c r="E28" s="14">
        <v>768.5</v>
      </c>
      <c r="F28" s="12"/>
      <c r="G28" s="34">
        <v>2076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294125</v>
      </c>
      <c r="D29" s="38">
        <v>248850.5</v>
      </c>
      <c r="E29" s="14"/>
      <c r="F29" s="12">
        <v>824.5</v>
      </c>
      <c r="G29" s="34">
        <v>1296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238493</v>
      </c>
      <c r="D30" s="38">
        <v>194288</v>
      </c>
      <c r="E30" s="14">
        <v>90</v>
      </c>
      <c r="F30" s="12"/>
      <c r="G30" s="34">
        <v>1158</v>
      </c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>
        <v>254943</v>
      </c>
      <c r="D31" s="38">
        <v>214593.75</v>
      </c>
      <c r="E31" s="14"/>
      <c r="F31" s="12">
        <v>147.25</v>
      </c>
      <c r="G31" s="34">
        <v>1068</v>
      </c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231087</v>
      </c>
      <c r="D32" s="38">
        <v>198523.5</v>
      </c>
      <c r="E32" s="14"/>
      <c r="F32" s="12">
        <v>123.5</v>
      </c>
      <c r="G32" s="34">
        <v>1356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6" t="s">
        <v>0</v>
      </c>
      <c r="D33" s="47"/>
      <c r="E33" s="47"/>
      <c r="F33" s="47"/>
      <c r="G33" s="47"/>
      <c r="H33" s="48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1">
        <v>278040</v>
      </c>
      <c r="D34" s="42">
        <v>234187.5</v>
      </c>
      <c r="E34" s="14">
        <v>84.5</v>
      </c>
      <c r="F34" s="12"/>
      <c r="G34" s="34">
        <v>2082</v>
      </c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12">
        <v>236836</v>
      </c>
      <c r="D35" s="38">
        <v>204773.5</v>
      </c>
      <c r="E35" s="14">
        <v>150.5</v>
      </c>
      <c r="F35" s="12"/>
      <c r="G35" s="34">
        <v>1110</v>
      </c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12">
        <v>136970</v>
      </c>
      <c r="D36" s="38">
        <v>116307.5</v>
      </c>
      <c r="E36" s="14"/>
      <c r="F36" s="12">
        <v>130.5</v>
      </c>
      <c r="G36" s="34">
        <v>768</v>
      </c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12">
        <v>271800</v>
      </c>
      <c r="D37" s="12">
        <v>230456.25</v>
      </c>
      <c r="E37" s="14"/>
      <c r="F37" s="12">
        <v>79.75</v>
      </c>
      <c r="G37" s="34">
        <v>1296</v>
      </c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6" t="s">
        <v>17</v>
      </c>
      <c r="D39" s="47"/>
      <c r="E39" s="47"/>
      <c r="F39" s="47"/>
      <c r="G39" s="47"/>
      <c r="H39" s="48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6" t="s">
        <v>0</v>
      </c>
      <c r="D40" s="47"/>
      <c r="E40" s="47"/>
      <c r="F40" s="47"/>
      <c r="G40" s="47"/>
      <c r="H40" s="48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6"/>
      <c r="D42" s="47"/>
      <c r="E42" s="47"/>
      <c r="F42" s="47"/>
      <c r="G42" s="47"/>
      <c r="H42" s="48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6001664</v>
      </c>
      <c r="D43" s="17"/>
      <c r="E43" s="29">
        <f>SUM(E10:E42)</f>
        <v>7854.5</v>
      </c>
      <c r="F43" s="17">
        <f>SUM(F10:F42)</f>
        <v>5420</v>
      </c>
      <c r="G43" s="17">
        <f>SUM(G10:G42)</f>
        <v>34158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39:H39"/>
    <mergeCell ref="C40:H40"/>
    <mergeCell ref="C42:H42"/>
    <mergeCell ref="C11:H11"/>
    <mergeCell ref="C18:H18"/>
    <mergeCell ref="C19:H19"/>
    <mergeCell ref="C26:H26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opLeftCell="A7" zoomScaleNormal="100" zoomScaleSheetLayoutView="100" workbookViewId="0">
      <selection activeCell="C38" sqref="C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6" t="s">
        <v>0</v>
      </c>
      <c r="D12" s="47"/>
      <c r="E12" s="47"/>
      <c r="F12" s="47"/>
      <c r="G12" s="47"/>
      <c r="H12" s="4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6" t="s">
        <v>17</v>
      </c>
      <c r="D18" s="47"/>
      <c r="E18" s="47"/>
      <c r="F18" s="47"/>
      <c r="G18" s="47"/>
      <c r="H18" s="4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6" t="s">
        <v>0</v>
      </c>
      <c r="D19" s="47"/>
      <c r="E19" s="47"/>
      <c r="F19" s="47"/>
      <c r="G19" s="47"/>
      <c r="H19" s="4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46" t="s">
        <v>19</v>
      </c>
      <c r="D22" s="47"/>
      <c r="E22" s="47"/>
      <c r="F22" s="47"/>
      <c r="G22" s="47"/>
      <c r="H22" s="48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344042</v>
      </c>
      <c r="D23" s="33">
        <v>296318.25</v>
      </c>
      <c r="E23" s="32"/>
      <c r="F23" s="35">
        <v>310.75</v>
      </c>
      <c r="G23" s="35">
        <v>1656</v>
      </c>
      <c r="H23" s="35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509099</v>
      </c>
      <c r="D24" s="33">
        <v>434826.5</v>
      </c>
      <c r="E24" s="32"/>
      <c r="F24" s="35">
        <v>140.5</v>
      </c>
      <c r="G24" s="35">
        <v>3192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6" t="s">
        <v>17</v>
      </c>
      <c r="D25" s="47"/>
      <c r="E25" s="47"/>
      <c r="F25" s="47"/>
      <c r="G25" s="47"/>
      <c r="H25" s="48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6" t="s">
        <v>0</v>
      </c>
      <c r="D26" s="47"/>
      <c r="E26" s="47"/>
      <c r="F26" s="47"/>
      <c r="G26" s="47"/>
      <c r="H26" s="48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543461</v>
      </c>
      <c r="D27" s="38">
        <v>461788.5</v>
      </c>
      <c r="E27" s="14"/>
      <c r="F27" s="12">
        <v>14.5</v>
      </c>
      <c r="G27" s="34">
        <v>2784</v>
      </c>
      <c r="H27" s="31">
        <v>50</v>
      </c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524541</v>
      </c>
      <c r="D28" s="38">
        <v>448138.5</v>
      </c>
      <c r="E28" s="14"/>
      <c r="F28" s="12">
        <v>386.5</v>
      </c>
      <c r="G28" s="34">
        <f>3660</f>
        <v>3660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276301</v>
      </c>
      <c r="D29" s="38">
        <v>237123.25</v>
      </c>
      <c r="E29" s="14">
        <v>334.25</v>
      </c>
      <c r="F29" s="12"/>
      <c r="G29" s="34">
        <v>1314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412292</v>
      </c>
      <c r="D30" s="38">
        <v>343192.5</v>
      </c>
      <c r="E30" s="14">
        <v>1354.5</v>
      </c>
      <c r="F30" s="12"/>
      <c r="G30" s="34">
        <f>2166</f>
        <v>2166</v>
      </c>
      <c r="H30" s="31">
        <v>50</v>
      </c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46" t="s">
        <v>19</v>
      </c>
      <c r="D31" s="47"/>
      <c r="E31" s="47"/>
      <c r="F31" s="47"/>
      <c r="G31" s="47"/>
      <c r="H31" s="48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542169</v>
      </c>
      <c r="D32" s="38">
        <v>454961.25</v>
      </c>
      <c r="E32" s="14">
        <v>1166.25</v>
      </c>
      <c r="F32" s="12"/>
      <c r="G32" s="34">
        <v>1602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6" t="s">
        <v>0</v>
      </c>
      <c r="D33" s="47"/>
      <c r="E33" s="47"/>
      <c r="F33" s="47"/>
      <c r="G33" s="47"/>
      <c r="H33" s="48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1">
        <v>429899</v>
      </c>
      <c r="D34" s="43">
        <v>386583</v>
      </c>
      <c r="E34" s="14"/>
      <c r="F34" s="12">
        <v>7262</v>
      </c>
      <c r="G34" s="34">
        <v>1740</v>
      </c>
      <c r="H34" s="31">
        <v>50</v>
      </c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12">
        <v>416264</v>
      </c>
      <c r="D35" s="12">
        <v>354823.25</v>
      </c>
      <c r="E35" s="14">
        <v>1630.25</v>
      </c>
      <c r="F35" s="12"/>
      <c r="G35" s="34">
        <v>2352</v>
      </c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12">
        <v>253015</v>
      </c>
      <c r="D36" s="38">
        <v>217959</v>
      </c>
      <c r="E36" s="14"/>
      <c r="F36" s="12">
        <v>592</v>
      </c>
      <c r="G36" s="34">
        <v>630</v>
      </c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12">
        <v>236260</v>
      </c>
      <c r="D37" s="12">
        <v>193075</v>
      </c>
      <c r="E37" s="14">
        <v>2791</v>
      </c>
      <c r="F37" s="12"/>
      <c r="G37" s="34">
        <v>948</v>
      </c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6" t="s">
        <v>17</v>
      </c>
      <c r="D39" s="47"/>
      <c r="E39" s="47"/>
      <c r="F39" s="47"/>
      <c r="G39" s="47"/>
      <c r="H39" s="48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6" t="s">
        <v>0</v>
      </c>
      <c r="D40" s="47"/>
      <c r="E40" s="47"/>
      <c r="F40" s="47"/>
      <c r="G40" s="47"/>
      <c r="H40" s="48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6"/>
      <c r="D42" s="47"/>
      <c r="E42" s="47"/>
      <c r="F42" s="47"/>
      <c r="G42" s="47"/>
      <c r="H42" s="48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8407252</v>
      </c>
      <c r="D43" s="17"/>
      <c r="E43" s="29">
        <f>SUM(E10:E42)</f>
        <v>8867.5</v>
      </c>
      <c r="F43" s="17">
        <f>SUM(F10:F42)</f>
        <v>14899.5</v>
      </c>
      <c r="G43" s="17">
        <f>SUM(G10:G42)</f>
        <v>42714</v>
      </c>
      <c r="H43" s="17">
        <f>SUM(H10:H42)</f>
        <v>350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12:H12"/>
    <mergeCell ref="C19:H19"/>
    <mergeCell ref="C33:H33"/>
    <mergeCell ref="C39:H39"/>
    <mergeCell ref="C40:H40"/>
    <mergeCell ref="C42:H42"/>
    <mergeCell ref="C18:H18"/>
    <mergeCell ref="C25:H25"/>
    <mergeCell ref="C26:H26"/>
    <mergeCell ref="C22:H22"/>
    <mergeCell ref="C31:H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2026-05-29T03:12:48Z</dcterms:modified>
</cp:coreProperties>
</file>