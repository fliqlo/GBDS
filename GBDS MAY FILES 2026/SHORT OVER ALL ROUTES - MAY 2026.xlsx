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44B26E61-07B6-4FAF-9BAF-6F1D7B863179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0" i="13" l="1"/>
  <c r="G28" i="13" l="1"/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<sst xmlns="http://schemas.openxmlformats.org/spreadsheetml/2006/main" count="84" uniqueCount="20">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</sst>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15" fillId="0" borderId="1" xfId="0" applyNumberFormat="1" applyFont="1" applyBorder="1" applyAlignment="1">
      <alignment horizontal="right"/>
    </xf>
    <xf numFmtId="4" fontId="0" fillId="0" borderId="4" xfId="0" applyNumberFormat="1" applyBorder="1" applyAlignment="1">
      <alignment horizontal="right"/>
    </xf>
    <xf numFmtId="4" fontId="0" fillId="0" borderId="4" xfId="0" applyNumberForma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topLeftCell="A16" zoomScaleNormal="100" zoomScaleSheetLayoutView="100" workbookViewId="0">
      <selection activeCell="C35" sqref="C3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40" t="s">
        <v>19</v>
      </c>
      <c r="D27" s="41"/>
      <c r="E27" s="41"/>
      <c r="F27" s="41"/>
      <c r="G27" s="41"/>
      <c r="H27" s="42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442799</v>
      </c>
      <c r="D28" s="38">
        <v>378776</v>
      </c>
      <c r="E28" s="14">
        <v>1258</v>
      </c>
      <c r="F28" s="12"/>
      <c r="G28" s="34">
        <v>2742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392951</v>
      </c>
      <c r="D29" s="38">
        <v>338312</v>
      </c>
      <c r="E29" s="14">
        <v>512</v>
      </c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216025.17</v>
      </c>
      <c r="D30" s="38">
        <v>130230.92</v>
      </c>
      <c r="E30" s="14">
        <v>785.92</v>
      </c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343836</v>
      </c>
      <c r="D31" s="38">
        <v>347471.73</v>
      </c>
      <c r="E31" s="14"/>
      <c r="F31" s="12">
        <v>171.27</v>
      </c>
      <c r="G31" s="34">
        <v>2268</v>
      </c>
      <c r="H31" s="31">
        <v>109.27</v>
      </c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305232</v>
      </c>
      <c r="D32" s="38">
        <v>213755.25</v>
      </c>
      <c r="E32" s="14"/>
      <c r="F32" s="12">
        <v>7.75</v>
      </c>
      <c r="G32" s="34">
        <v>2070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4">
        <v>88474</v>
      </c>
      <c r="D34" s="45">
        <v>75999.25</v>
      </c>
      <c r="E34" s="14"/>
      <c r="F34" s="12">
        <v>696.75</v>
      </c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5667370.75</v>
      </c>
      <c r="D43" s="17"/>
      <c r="E43" s="29">
        <f>SUM(E10:E42)</f>
        <v>6748.79</v>
      </c>
      <c r="F43" s="17">
        <f>SUM(F10:F42)</f>
        <v>6660.27</v>
      </c>
      <c r="G43" s="17">
        <f>SUM(G10:G42)</f>
        <v>23390</v>
      </c>
      <c r="H43" s="17">
        <f>SUM(H10:H42)</f>
        <v>611.73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9:H39"/>
    <mergeCell ref="C12:H12"/>
    <mergeCell ref="C26:H26"/>
    <mergeCell ref="C17:H17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topLeftCell="A10" zoomScaleNormal="100" zoomScaleSheetLayoutView="100" workbookViewId="0">
      <selection activeCell="C35" sqref="C3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0" t="s">
        <v>19</v>
      </c>
      <c r="D23" s="41"/>
      <c r="E23" s="41"/>
      <c r="F23" s="41"/>
      <c r="G23" s="41"/>
      <c r="H23" s="42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33">
        <v>272545</v>
      </c>
      <c r="D25" s="33">
        <v>229232.5</v>
      </c>
      <c r="E25" s="32"/>
      <c r="F25" s="35">
        <v>21.5</v>
      </c>
      <c r="G25" s="35">
        <v>2106</v>
      </c>
      <c r="H25" s="35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491364</v>
      </c>
      <c r="D27" s="38">
        <v>417927</v>
      </c>
      <c r="E27" s="14">
        <v>205</v>
      </c>
      <c r="F27" s="12"/>
      <c r="G27" s="34">
        <v>3666</v>
      </c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320424</v>
      </c>
      <c r="D28" s="38">
        <v>270121.5</v>
      </c>
      <c r="E28" s="14">
        <v>768.5</v>
      </c>
      <c r="F28" s="12"/>
      <c r="G28" s="34">
        <v>2076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294125</v>
      </c>
      <c r="D29" s="38">
        <v>248850.5</v>
      </c>
      <c r="E29" s="14"/>
      <c r="F29" s="12">
        <v>824.5</v>
      </c>
      <c r="G29" s="34">
        <v>1296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238493</v>
      </c>
      <c r="D30" s="38">
        <v>194288</v>
      </c>
      <c r="E30" s="14">
        <v>90</v>
      </c>
      <c r="F30" s="12"/>
      <c r="G30" s="34">
        <v>1158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254943</v>
      </c>
      <c r="D31" s="38">
        <v>214593.75</v>
      </c>
      <c r="E31" s="14"/>
      <c r="F31" s="12">
        <v>147.25</v>
      </c>
      <c r="G31" s="34">
        <v>1068</v>
      </c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231087</v>
      </c>
      <c r="D32" s="38">
        <v>198523.5</v>
      </c>
      <c r="E32" s="14"/>
      <c r="F32" s="12">
        <v>123.5</v>
      </c>
      <c r="G32" s="34">
        <v>1356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3">
        <v>278040</v>
      </c>
      <c r="D34" s="46">
        <v>234187.5</v>
      </c>
      <c r="E34" s="14">
        <v>84.5</v>
      </c>
      <c r="F34" s="12"/>
      <c r="G34" s="34">
        <v>2082</v>
      </c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5356058</v>
      </c>
      <c r="D43" s="17"/>
      <c r="E43" s="29">
        <f>SUM(E10:E42)</f>
        <v>7704</v>
      </c>
      <c r="F43" s="17">
        <f>SUM(F10:F42)</f>
        <v>5209.75</v>
      </c>
      <c r="G43" s="17">
        <f>SUM(G10:G42)</f>
        <v>30984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39:H39"/>
    <mergeCell ref="C40:H40"/>
    <mergeCell ref="C42:H42"/>
    <mergeCell ref="C11:H11"/>
    <mergeCell ref="C18:H18"/>
    <mergeCell ref="C19:H19"/>
    <mergeCell ref="C26:H26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opLeftCell="A16" zoomScaleNormal="100" zoomScaleSheetLayoutView="100" workbookViewId="0">
      <selection activeCell="C35" sqref="C3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0" t="s">
        <v>19</v>
      </c>
      <c r="D22" s="41"/>
      <c r="E22" s="41"/>
      <c r="F22" s="41"/>
      <c r="G22" s="41"/>
      <c r="H22" s="4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543461</v>
      </c>
      <c r="D27" s="38">
        <v>461788.5</v>
      </c>
      <c r="E27" s="14"/>
      <c r="F27" s="12">
        <v>14.5</v>
      </c>
      <c r="G27" s="34">
        <v>2784</v>
      </c>
      <c r="H27" s="31">
        <v>50</v>
      </c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524541</v>
      </c>
      <c r="D28" s="38">
        <v>448138.5</v>
      </c>
      <c r="E28" s="14"/>
      <c r="F28" s="12">
        <v>386.5</v>
      </c>
      <c r="G28" s="34">
        <f>3660</f>
        <v>3660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276301</v>
      </c>
      <c r="D29" s="38">
        <v>237123.25</v>
      </c>
      <c r="E29" s="14">
        <v>334.25</v>
      </c>
      <c r="F29" s="12"/>
      <c r="G29" s="34">
        <v>1314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412292</v>
      </c>
      <c r="D30" s="38">
        <v>343192.5</v>
      </c>
      <c r="E30" s="14">
        <v>1354.5</v>
      </c>
      <c r="F30" s="12"/>
      <c r="G30" s="34">
        <f>2166</f>
        <v>2166</v>
      </c>
      <c r="H30" s="31">
        <v>50</v>
      </c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40" t="s">
        <v>19</v>
      </c>
      <c r="D31" s="41"/>
      <c r="E31" s="41"/>
      <c r="F31" s="41"/>
      <c r="G31" s="41"/>
      <c r="H31" s="42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542169</v>
      </c>
      <c r="D32" s="38">
        <v>454961.25</v>
      </c>
      <c r="E32" s="14">
        <v>1166.25</v>
      </c>
      <c r="F32" s="12"/>
      <c r="G32" s="34">
        <v>1602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3">
        <v>429899</v>
      </c>
      <c r="D34" s="46">
        <v>386583</v>
      </c>
      <c r="E34" s="14"/>
      <c r="F34" s="12">
        <v>7262</v>
      </c>
      <c r="G34" s="34">
        <v>1740</v>
      </c>
      <c r="H34" s="31">
        <v>50</v>
      </c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7501713</v>
      </c>
      <c r="D43" s="17"/>
      <c r="E43" s="29">
        <f>SUM(E10:E42)</f>
        <v>4446.25</v>
      </c>
      <c r="F43" s="17">
        <f>SUM(F10:F42)</f>
        <v>14307.5</v>
      </c>
      <c r="G43" s="17">
        <f>SUM(G10:G42)</f>
        <v>38784</v>
      </c>
      <c r="H43" s="17">
        <f>SUM(H10:H42)</f>
        <v>350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8:H18"/>
    <mergeCell ref="C25:H25"/>
    <mergeCell ref="C26:H26"/>
    <mergeCell ref="C22:H22"/>
    <mergeCell ref="C31:H31"/>
    <mergeCell ref="C12:H12"/>
    <mergeCell ref="C19:H19"/>
    <mergeCell ref="C33:H33"/>
    <mergeCell ref="C39:H39"/>
    <mergeCell ref="C40:H4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2026-05-26T00:40:09Z</dcterms:modified>
</cp:coreProperties>
</file>