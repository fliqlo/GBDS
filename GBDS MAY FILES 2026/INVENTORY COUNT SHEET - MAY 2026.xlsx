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Documents\Work\GBDS\"/>
    </mc:Choice>
  </mc:AlternateContent>
  <xr:revisionPtr revIDLastSave="0" documentId="13_ncr:1_{ED0289A6-7699-4A96-8D93-B532E494AA7C}" xr6:coauthVersionLast="47" xr6:coauthVersionMax="47" xr10:uidLastSave="{00000000-0000-0000-0000-000000000000}"/>
  <bookViews>
    <workbookView xWindow="-108" yWindow="-108" windowWidth="23256" windowHeight="12576" firstSheet="18" activeTab="24" xr2:uid="{00000000-000D-0000-FFFF-FFFF00000000}"/>
  </bookViews>
  <sheets>
    <sheet name="SAMPLE" sheetId="32" r:id="rId1"/>
    <sheet name="05-01-2026" sheetId="55" r:id="rId2"/>
    <sheet name="05-02-2026" sheetId="56" r:id="rId3"/>
    <sheet name="05-03-2026" sheetId="57" r:id="rId4"/>
    <sheet name="05-05-2026" sheetId="59" r:id="rId5"/>
    <sheet name="05-06-2026" sheetId="60" r:id="rId6"/>
    <sheet name="05-08-2026" sheetId="62" r:id="rId7"/>
    <sheet name="05-11-2026" sheetId="64" r:id="rId8"/>
    <sheet name="05-12-2026" sheetId="65" r:id="rId9"/>
    <sheet name="05-13-2026" sheetId="61" r:id="rId10"/>
    <sheet name="05-14-2026" sheetId="63" r:id="rId11"/>
    <sheet name="05-15-2026" sheetId="66" r:id="rId12"/>
    <sheet name="05-16-2026" sheetId="67" r:id="rId13"/>
    <sheet name="05-18-2026" sheetId="69" r:id="rId14"/>
    <sheet name="05-19-2026" sheetId="70" r:id="rId15"/>
    <sheet name="05-20-2026" sheetId="71" r:id="rId16"/>
    <sheet name="05-21-2026" sheetId="68" r:id="rId17"/>
    <sheet name="05-22-2026" sheetId="72" r:id="rId18"/>
    <sheet name="05-23-2026" sheetId="73" r:id="rId19"/>
    <sheet name="05-25-2026" sheetId="75" r:id="rId20"/>
    <sheet name="05-26-2026" sheetId="76" r:id="rId21"/>
    <sheet name="05-27-2026" sheetId="77" r:id="rId22"/>
    <sheet name="05-28-2026" sheetId="78" r:id="rId23"/>
    <sheet name="05-29-2026" sheetId="79" r:id="rId24"/>
    <sheet name="05-30-2026" sheetId="80" r:id="rId25"/>
  </sheets>
  <definedNames>
    <definedName name="_xlnm.Print_Area" localSheetId="1">'05-01-2026'!$A$1:$W$59</definedName>
    <definedName name="_xlnm.Print_Area" localSheetId="2">'05-02-2026'!$A$1:$W$59</definedName>
    <definedName name="_xlnm.Print_Area" localSheetId="3">'05-03-2026'!$A$1:$W$59</definedName>
    <definedName name="_xlnm.Print_Area" localSheetId="4">'05-05-2026'!$A$1:$W$59</definedName>
    <definedName name="_xlnm.Print_Area" localSheetId="5">'05-06-2026'!$A$1:$W$59</definedName>
    <definedName name="_xlnm.Print_Area" localSheetId="6">'05-08-2026'!$A$1:$W$59</definedName>
    <definedName name="_xlnm.Print_Area" localSheetId="7">'05-11-2026'!$A$1:$W$59</definedName>
    <definedName name="_xlnm.Print_Area" localSheetId="8">'05-12-2026'!$A$1:$W$59</definedName>
    <definedName name="_xlnm.Print_Area" localSheetId="9">'05-13-2026'!$A$1:$W$59</definedName>
    <definedName name="_xlnm.Print_Area" localSheetId="10">'05-14-2026'!$A$1:$W$59</definedName>
    <definedName name="_xlnm.Print_Area" localSheetId="11">'05-15-2026'!$A$1:$W$59</definedName>
    <definedName name="_xlnm.Print_Area" localSheetId="12">'05-16-2026'!$A$1:$W$59</definedName>
    <definedName name="_xlnm.Print_Area" localSheetId="13">'05-18-2026'!$A$1:$W$59</definedName>
    <definedName name="_xlnm.Print_Area" localSheetId="14">'05-19-2026'!$A$1:$W$59</definedName>
    <definedName name="_xlnm.Print_Area" localSheetId="15">'05-20-2026'!$A$1:$W$59</definedName>
    <definedName name="_xlnm.Print_Area" localSheetId="16">'05-21-2026'!$A$1:$W$59</definedName>
    <definedName name="_xlnm.Print_Area" localSheetId="17">'05-22-2026'!$A$1:$W$59</definedName>
    <definedName name="_xlnm.Print_Area" localSheetId="18">'05-23-2026'!$A$1:$W$59</definedName>
    <definedName name="_xlnm.Print_Area" localSheetId="19">'05-25-2026'!$A$1:$W$59</definedName>
    <definedName name="_xlnm.Print_Area" localSheetId="20">'05-26-2026'!$A$1:$W$59</definedName>
    <definedName name="_xlnm.Print_Area" localSheetId="21">'05-27-2026'!$A$1:$W$59</definedName>
    <definedName name="_xlnm.Print_Area" localSheetId="22">'05-28-2026'!$A$1:$W$59</definedName>
    <definedName name="_xlnm.Print_Area" localSheetId="23">'05-29-2026'!$A$1:$W$59</definedName>
    <definedName name="_xlnm.Print_Area" localSheetId="24">'05-30-2026'!$A$1:$W$59</definedName>
    <definedName name="_xlnm.Print_Area" localSheetId="0">SAMPLE!$A$1:$W$61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9" l="1"/>
  <c r="C37" i="79"/>
  <c r="C41" i="79"/>
  <c r="C47" i="79"/>
  <c r="K43" i="79"/>
  <c r="J43" i="79"/>
  <c r="C43" i="79"/>
  <c r="C40" i="79"/>
  <c r="C34" i="79"/>
  <c r="C25" i="79"/>
  <c r="H24" i="79"/>
  <c r="T24" i="79" s="1"/>
  <c r="U24" i="79" s="1"/>
  <c r="V24" i="79" s="1"/>
  <c r="C24" i="79"/>
  <c r="H23" i="79"/>
  <c r="H21" i="79"/>
  <c r="H19" i="79"/>
  <c r="C19" i="79"/>
  <c r="H17" i="79"/>
  <c r="T17" i="79" s="1"/>
  <c r="U17" i="79" s="1"/>
  <c r="V17" i="79" s="1"/>
  <c r="C8" i="79"/>
  <c r="H24" i="78"/>
  <c r="H48" i="78"/>
  <c r="C47" i="78"/>
  <c r="K43" i="78"/>
  <c r="J43" i="78"/>
  <c r="C43" i="78"/>
  <c r="C41" i="78"/>
  <c r="C40" i="78"/>
  <c r="C37" i="78"/>
  <c r="H34" i="78"/>
  <c r="T34" i="78"/>
  <c r="U34" i="78" s="1"/>
  <c r="V34" i="78" s="1"/>
  <c r="H29" i="78"/>
  <c r="T29" i="78" s="1"/>
  <c r="U29" i="78" s="1"/>
  <c r="V29" i="78" s="1"/>
  <c r="H28" i="78"/>
  <c r="C25" i="78"/>
  <c r="H23" i="78"/>
  <c r="H21" i="78"/>
  <c r="T21" i="78" s="1"/>
  <c r="U21" i="78" s="1"/>
  <c r="V21" i="78" s="1"/>
  <c r="H19" i="78"/>
  <c r="T19" i="78" s="1"/>
  <c r="U19" i="78" s="1"/>
  <c r="V19" i="78" s="1"/>
  <c r="H17" i="78"/>
  <c r="C12" i="78"/>
  <c r="C8" i="78"/>
  <c r="C12" i="77"/>
  <c r="C47" i="77"/>
  <c r="K43" i="77"/>
  <c r="J43" i="77"/>
  <c r="C43" i="77"/>
  <c r="C41" i="77"/>
  <c r="C40" i="77"/>
  <c r="C37" i="77"/>
  <c r="C25" i="77"/>
  <c r="H24" i="77"/>
  <c r="H23" i="77"/>
  <c r="T23" i="77" s="1"/>
  <c r="U23" i="77" s="1"/>
  <c r="V23" i="77" s="1"/>
  <c r="H21" i="77"/>
  <c r="T21" i="77" s="1"/>
  <c r="U21" i="77" s="1"/>
  <c r="V21" i="77" s="1"/>
  <c r="H19" i="77"/>
  <c r="H17" i="77"/>
  <c r="C8" i="77"/>
  <c r="H48" i="76"/>
  <c r="C47" i="76"/>
  <c r="K43" i="76"/>
  <c r="J43" i="76"/>
  <c r="C43" i="76"/>
  <c r="C41" i="76"/>
  <c r="C40" i="76"/>
  <c r="C37" i="76"/>
  <c r="C25" i="76"/>
  <c r="H24" i="76"/>
  <c r="H23" i="76"/>
  <c r="H21" i="76"/>
  <c r="H19" i="76"/>
  <c r="H17" i="76"/>
  <c r="C12" i="76"/>
  <c r="C8" i="76"/>
  <c r="C12" i="75"/>
  <c r="C37" i="75"/>
  <c r="C47" i="75"/>
  <c r="K43" i="75"/>
  <c r="J43" i="75"/>
  <c r="C43" i="75"/>
  <c r="C41" i="75"/>
  <c r="C40" i="75"/>
  <c r="C25" i="75"/>
  <c r="H24" i="75"/>
  <c r="H23" i="75"/>
  <c r="T23" i="75" s="1"/>
  <c r="U23" i="75" s="1"/>
  <c r="V23" i="75" s="1"/>
  <c r="H21" i="75"/>
  <c r="T21" i="75" s="1"/>
  <c r="U21" i="75" s="1"/>
  <c r="V21" i="75" s="1"/>
  <c r="H19" i="75"/>
  <c r="H17" i="75"/>
  <c r="C8" i="75"/>
  <c r="C58" i="75" s="1"/>
  <c r="H24" i="73"/>
  <c r="C47" i="73"/>
  <c r="K43" i="73"/>
  <c r="J43" i="73"/>
  <c r="C43" i="73"/>
  <c r="C41" i="73"/>
  <c r="C40" i="73"/>
  <c r="C37" i="73"/>
  <c r="C25" i="73"/>
  <c r="H23" i="73"/>
  <c r="H21" i="73"/>
  <c r="H19" i="73"/>
  <c r="H17" i="73"/>
  <c r="C12" i="73"/>
  <c r="C8" i="73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T41" i="80"/>
  <c r="U41" i="80" s="1"/>
  <c r="V41" i="80" s="1"/>
  <c r="T40" i="80"/>
  <c r="U40" i="80" s="1"/>
  <c r="V40" i="80" s="1"/>
  <c r="T39" i="80"/>
  <c r="U39" i="80" s="1"/>
  <c r="V39" i="80" s="1"/>
  <c r="T38" i="80"/>
  <c r="U38" i="80" s="1"/>
  <c r="V38" i="80" s="1"/>
  <c r="T37" i="80"/>
  <c r="U37" i="80" s="1"/>
  <c r="V37" i="80" s="1"/>
  <c r="U36" i="80"/>
  <c r="V36" i="80" s="1"/>
  <c r="T36" i="80"/>
  <c r="T35" i="80"/>
  <c r="U35" i="80" s="1"/>
  <c r="V35" i="80" s="1"/>
  <c r="T34" i="80"/>
  <c r="U34" i="80" s="1"/>
  <c r="V34" i="80" s="1"/>
  <c r="T33" i="80"/>
  <c r="U33" i="80" s="1"/>
  <c r="V33" i="80" s="1"/>
  <c r="T32" i="80"/>
  <c r="U32" i="80" s="1"/>
  <c r="V32" i="80" s="1"/>
  <c r="T31" i="80"/>
  <c r="U31" i="80" s="1"/>
  <c r="V31" i="80" s="1"/>
  <c r="T30" i="80"/>
  <c r="U30" i="80" s="1"/>
  <c r="V30" i="80" s="1"/>
  <c r="T29" i="80"/>
  <c r="U29" i="80" s="1"/>
  <c r="V29" i="80" s="1"/>
  <c r="T28" i="80"/>
  <c r="U28" i="80" s="1"/>
  <c r="V28" i="80" s="1"/>
  <c r="T27" i="80"/>
  <c r="U27" i="80" s="1"/>
  <c r="V27" i="80" s="1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T17" i="80"/>
  <c r="U17" i="80" s="1"/>
  <c r="V17" i="80" s="1"/>
  <c r="T16" i="80"/>
  <c r="U16" i="80" s="1"/>
  <c r="V16" i="80" s="1"/>
  <c r="T15" i="80"/>
  <c r="U15" i="80" s="1"/>
  <c r="V15" i="80" s="1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T8" i="80"/>
  <c r="U8" i="80" s="1"/>
  <c r="V8" i="80" s="1"/>
  <c r="A8" i="80"/>
  <c r="A9" i="80" s="1"/>
  <c r="A10" i="80" s="1"/>
  <c r="A11" i="80" s="1"/>
  <c r="T7" i="80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T46" i="79"/>
  <c r="U46" i="79" s="1"/>
  <c r="V46" i="79" s="1"/>
  <c r="T45" i="79"/>
  <c r="U45" i="79" s="1"/>
  <c r="V45" i="79" s="1"/>
  <c r="T43" i="79"/>
  <c r="U43" i="79" s="1"/>
  <c r="V43" i="79" s="1"/>
  <c r="T41" i="79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T36" i="79"/>
  <c r="U36" i="79" s="1"/>
  <c r="V36" i="79" s="1"/>
  <c r="T35" i="79"/>
  <c r="U35" i="79" s="1"/>
  <c r="V35" i="79" s="1"/>
  <c r="T34" i="79"/>
  <c r="T33" i="79"/>
  <c r="U33" i="79" s="1"/>
  <c r="V33" i="79" s="1"/>
  <c r="T32" i="79"/>
  <c r="U32" i="79" s="1"/>
  <c r="V32" i="79" s="1"/>
  <c r="T31" i="79"/>
  <c r="U31" i="79" s="1"/>
  <c r="V31" i="79" s="1"/>
  <c r="T30" i="79"/>
  <c r="U30" i="79" s="1"/>
  <c r="V30" i="79" s="1"/>
  <c r="T29" i="79"/>
  <c r="U29" i="79" s="1"/>
  <c r="V29" i="79" s="1"/>
  <c r="T28" i="79"/>
  <c r="U28" i="79" s="1"/>
  <c r="V28" i="79" s="1"/>
  <c r="T27" i="79"/>
  <c r="U27" i="79" s="1"/>
  <c r="V27" i="79" s="1"/>
  <c r="T26" i="79"/>
  <c r="U26" i="79" s="1"/>
  <c r="V26" i="79" s="1"/>
  <c r="AY25" i="79"/>
  <c r="T25" i="79"/>
  <c r="U25" i="79" s="1"/>
  <c r="V25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T18" i="79"/>
  <c r="U18" i="79" s="1"/>
  <c r="V18" i="79" s="1"/>
  <c r="U16" i="79"/>
  <c r="V16" i="79" s="1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T11" i="79"/>
  <c r="T10" i="79"/>
  <c r="U10" i="79" s="1"/>
  <c r="V10" i="79" s="1"/>
  <c r="T9" i="79"/>
  <c r="U9" i="79" s="1"/>
  <c r="V9" i="79" s="1"/>
  <c r="T8" i="79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T54" i="78"/>
  <c r="U54" i="78" s="1"/>
  <c r="V54" i="78" s="1"/>
  <c r="T53" i="78"/>
  <c r="U53" i="78" s="1"/>
  <c r="V53" i="78" s="1"/>
  <c r="T52" i="78"/>
  <c r="U52" i="78" s="1"/>
  <c r="V52" i="78" s="1"/>
  <c r="T51" i="78"/>
  <c r="U51" i="78" s="1"/>
  <c r="V51" i="78" s="1"/>
  <c r="T50" i="78"/>
  <c r="U50" i="78" s="1"/>
  <c r="V50" i="78" s="1"/>
  <c r="T49" i="78"/>
  <c r="U49" i="78" s="1"/>
  <c r="V49" i="78" s="1"/>
  <c r="T48" i="78"/>
  <c r="U48" i="78" s="1"/>
  <c r="V48" i="78" s="1"/>
  <c r="T47" i="78"/>
  <c r="U47" i="78" s="1"/>
  <c r="V47" i="78" s="1"/>
  <c r="T46" i="78"/>
  <c r="U46" i="78" s="1"/>
  <c r="V46" i="78" s="1"/>
  <c r="T45" i="78"/>
  <c r="U45" i="78" s="1"/>
  <c r="V45" i="78" s="1"/>
  <c r="T43" i="78"/>
  <c r="T41" i="78"/>
  <c r="T40" i="78"/>
  <c r="U40" i="78" s="1"/>
  <c r="V40" i="78" s="1"/>
  <c r="T39" i="78"/>
  <c r="U39" i="78" s="1"/>
  <c r="V39" i="78" s="1"/>
  <c r="T38" i="78"/>
  <c r="U38" i="78" s="1"/>
  <c r="V38" i="78" s="1"/>
  <c r="T37" i="78"/>
  <c r="U36" i="78"/>
  <c r="V36" i="78" s="1"/>
  <c r="T36" i="78"/>
  <c r="T35" i="78"/>
  <c r="U35" i="78" s="1"/>
  <c r="V35" i="78" s="1"/>
  <c r="T33" i="78"/>
  <c r="U33" i="78" s="1"/>
  <c r="V33" i="78" s="1"/>
  <c r="T32" i="78"/>
  <c r="U32" i="78" s="1"/>
  <c r="V32" i="78" s="1"/>
  <c r="T31" i="78"/>
  <c r="U31" i="78" s="1"/>
  <c r="V31" i="78" s="1"/>
  <c r="T30" i="78"/>
  <c r="U30" i="78" s="1"/>
  <c r="V30" i="78" s="1"/>
  <c r="T28" i="78"/>
  <c r="U28" i="78" s="1"/>
  <c r="V28" i="78" s="1"/>
  <c r="T27" i="78"/>
  <c r="U27" i="78" s="1"/>
  <c r="V27" i="78" s="1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8" i="78"/>
  <c r="U18" i="78" s="1"/>
  <c r="V18" i="78" s="1"/>
  <c r="T17" i="78"/>
  <c r="U17" i="78" s="1"/>
  <c r="V17" i="78" s="1"/>
  <c r="T16" i="78"/>
  <c r="U16" i="78" s="1"/>
  <c r="V16" i="78" s="1"/>
  <c r="T15" i="78"/>
  <c r="U15" i="78" s="1"/>
  <c r="V15" i="78" s="1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T11" i="78"/>
  <c r="U11" i="78" s="1"/>
  <c r="V11" i="78" s="1"/>
  <c r="T10" i="78"/>
  <c r="U10" i="78" s="1"/>
  <c r="V10" i="78" s="1"/>
  <c r="T9" i="78"/>
  <c r="U9" i="78" s="1"/>
  <c r="V9" i="78" s="1"/>
  <c r="T8" i="78"/>
  <c r="A8" i="78"/>
  <c r="A9" i="78" s="1"/>
  <c r="A10" i="78" s="1"/>
  <c r="A11" i="78" s="1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U51" i="77"/>
  <c r="V51" i="77" s="1"/>
  <c r="T51" i="77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T41" i="77"/>
  <c r="T40" i="77"/>
  <c r="U40" i="77" s="1"/>
  <c r="V40" i="77" s="1"/>
  <c r="U39" i="77"/>
  <c r="V39" i="77" s="1"/>
  <c r="T39" i="77"/>
  <c r="T38" i="77"/>
  <c r="U38" i="77" s="1"/>
  <c r="V38" i="77" s="1"/>
  <c r="T37" i="77"/>
  <c r="U36" i="77"/>
  <c r="V36" i="77" s="1"/>
  <c r="T36" i="77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T24" i="77"/>
  <c r="U24" i="77" s="1"/>
  <c r="V24" i="77" s="1"/>
  <c r="T22" i="77"/>
  <c r="U22" i="77" s="1"/>
  <c r="V22" i="77" s="1"/>
  <c r="T20" i="77"/>
  <c r="U20" i="77" s="1"/>
  <c r="V20" i="77" s="1"/>
  <c r="A20" i="77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H21" i="72"/>
  <c r="T21" i="72" s="1"/>
  <c r="U21" i="72" s="1"/>
  <c r="V21" i="72" s="1"/>
  <c r="C47" i="72"/>
  <c r="K43" i="72"/>
  <c r="J43" i="72"/>
  <c r="C43" i="72"/>
  <c r="C41" i="72"/>
  <c r="C40" i="72"/>
  <c r="C58" i="72" s="1"/>
  <c r="C37" i="72"/>
  <c r="C25" i="72"/>
  <c r="H24" i="72"/>
  <c r="T24" i="72" s="1"/>
  <c r="U24" i="72" s="1"/>
  <c r="V24" i="72" s="1"/>
  <c r="H23" i="72"/>
  <c r="H19" i="72"/>
  <c r="H17" i="72"/>
  <c r="H58" i="72" s="1"/>
  <c r="C12" i="72"/>
  <c r="C8" i="72"/>
  <c r="C47" i="68"/>
  <c r="K43" i="68"/>
  <c r="J43" i="68"/>
  <c r="I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H19" i="68"/>
  <c r="T19" i="68" s="1"/>
  <c r="C19" i="68"/>
  <c r="H17" i="68"/>
  <c r="C12" i="68"/>
  <c r="C8" i="68"/>
  <c r="C58" i="68" s="1"/>
  <c r="C47" i="71"/>
  <c r="U47" i="71"/>
  <c r="C43" i="71"/>
  <c r="J43" i="71"/>
  <c r="K43" i="71"/>
  <c r="K58" i="71"/>
  <c r="C41" i="71"/>
  <c r="C40" i="71"/>
  <c r="C37" i="71"/>
  <c r="C25" i="71"/>
  <c r="H24" i="71"/>
  <c r="T24" i="71" s="1"/>
  <c r="U24" i="71" s="1"/>
  <c r="V24" i="71" s="1"/>
  <c r="H23" i="71"/>
  <c r="T23" i="71" s="1"/>
  <c r="U23" i="71" s="1"/>
  <c r="V23" i="71" s="1"/>
  <c r="H21" i="71"/>
  <c r="T21" i="71" s="1"/>
  <c r="U21" i="71" s="1"/>
  <c r="V21" i="71" s="1"/>
  <c r="H19" i="71"/>
  <c r="H17" i="71"/>
  <c r="C12" i="71"/>
  <c r="C8" i="71"/>
  <c r="C58" i="71" s="1"/>
  <c r="C7" i="71"/>
  <c r="R58" i="76"/>
  <c r="Q58" i="76"/>
  <c r="P58" i="76"/>
  <c r="O58" i="76"/>
  <c r="N58" i="76"/>
  <c r="M58" i="76"/>
  <c r="K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U41" i="76"/>
  <c r="V41" i="76" s="1"/>
  <c r="T41" i="76"/>
  <c r="T40" i="76"/>
  <c r="U40" i="76" s="1"/>
  <c r="V40" i="76" s="1"/>
  <c r="T39" i="76"/>
  <c r="U39" i="76" s="1"/>
  <c r="V39" i="76" s="1"/>
  <c r="T38" i="76"/>
  <c r="U38" i="76" s="1"/>
  <c r="V38" i="76" s="1"/>
  <c r="T37" i="76"/>
  <c r="U36" i="76"/>
  <c r="V36" i="76" s="1"/>
  <c r="T36" i="76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T14" i="76"/>
  <c r="U14" i="76" s="1"/>
  <c r="V14" i="76" s="1"/>
  <c r="A14" i="76"/>
  <c r="A15" i="76" s="1"/>
  <c r="A16" i="76" s="1"/>
  <c r="A17" i="76" s="1"/>
  <c r="A18" i="76" s="1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T9" i="76"/>
  <c r="U9" i="76" s="1"/>
  <c r="V9" i="76" s="1"/>
  <c r="T8" i="76"/>
  <c r="A8" i="76"/>
  <c r="A9" i="76" s="1"/>
  <c r="A10" i="76" s="1"/>
  <c r="A11" i="76" s="1"/>
  <c r="T7" i="76"/>
  <c r="R58" i="75"/>
  <c r="Q58" i="75"/>
  <c r="P58" i="75"/>
  <c r="O58" i="75"/>
  <c r="N58" i="75"/>
  <c r="M58" i="75"/>
  <c r="K58" i="75"/>
  <c r="J58" i="75"/>
  <c r="I58" i="75"/>
  <c r="G58" i="75"/>
  <c r="F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T46" i="75"/>
  <c r="U46" i="75" s="1"/>
  <c r="V46" i="75" s="1"/>
  <c r="T45" i="75"/>
  <c r="U45" i="75" s="1"/>
  <c r="V45" i="75" s="1"/>
  <c r="T43" i="75"/>
  <c r="T41" i="75"/>
  <c r="U41" i="75" s="1"/>
  <c r="V41" i="75" s="1"/>
  <c r="T40" i="75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T33" i="75"/>
  <c r="U33" i="75" s="1"/>
  <c r="V33" i="75" s="1"/>
  <c r="T32" i="75"/>
  <c r="U32" i="75" s="1"/>
  <c r="V32" i="75" s="1"/>
  <c r="T31" i="75"/>
  <c r="U31" i="75" s="1"/>
  <c r="V31" i="75" s="1"/>
  <c r="T30" i="75"/>
  <c r="U30" i="75" s="1"/>
  <c r="V30" i="75" s="1"/>
  <c r="T29" i="75"/>
  <c r="U29" i="75" s="1"/>
  <c r="V29" i="75" s="1"/>
  <c r="T28" i="75"/>
  <c r="U28" i="75" s="1"/>
  <c r="V28" i="75" s="1"/>
  <c r="T27" i="75"/>
  <c r="U27" i="75" s="1"/>
  <c r="V27" i="75" s="1"/>
  <c r="T26" i="75"/>
  <c r="U26" i="75" s="1"/>
  <c r="V26" i="75" s="1"/>
  <c r="AY25" i="75"/>
  <c r="T25" i="75"/>
  <c r="T24" i="75"/>
  <c r="U24" i="75" s="1"/>
  <c r="V24" i="75" s="1"/>
  <c r="T22" i="75"/>
  <c r="U22" i="75" s="1"/>
  <c r="V22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9" i="75"/>
  <c r="U19" i="75" s="1"/>
  <c r="V19" i="75" s="1"/>
  <c r="T18" i="75"/>
  <c r="U18" i="75" s="1"/>
  <c r="V18" i="75" s="1"/>
  <c r="T16" i="75"/>
  <c r="U16" i="75" s="1"/>
  <c r="V16" i="75" s="1"/>
  <c r="T15" i="75"/>
  <c r="U15" i="75" s="1"/>
  <c r="V15" i="75" s="1"/>
  <c r="T14" i="75"/>
  <c r="U14" i="75" s="1"/>
  <c r="V14" i="75" s="1"/>
  <c r="A14" i="75"/>
  <c r="A15" i="75" s="1"/>
  <c r="A16" i="75" s="1"/>
  <c r="A17" i="75" s="1"/>
  <c r="A18" i="75" s="1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T8" i="75"/>
  <c r="A8" i="75"/>
  <c r="A9" i="75" s="1"/>
  <c r="A10" i="75" s="1"/>
  <c r="A11" i="75" s="1"/>
  <c r="T7" i="75"/>
  <c r="R58" i="73"/>
  <c r="Q58" i="73"/>
  <c r="P58" i="73"/>
  <c r="O58" i="73"/>
  <c r="N58" i="73"/>
  <c r="M58" i="73"/>
  <c r="K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U12" i="73" s="1"/>
  <c r="V12" i="73" s="1"/>
  <c r="T11" i="73"/>
  <c r="U11" i="73" s="1"/>
  <c r="V11" i="73" s="1"/>
  <c r="T10" i="73"/>
  <c r="U10" i="73" s="1"/>
  <c r="V10" i="73" s="1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R58" i="72"/>
  <c r="Q58" i="72"/>
  <c r="P58" i="72"/>
  <c r="O58" i="72"/>
  <c r="N58" i="72"/>
  <c r="M58" i="72"/>
  <c r="K58" i="72"/>
  <c r="J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3" i="72"/>
  <c r="U43" i="72" s="1"/>
  <c r="V43" i="72" s="1"/>
  <c r="T41" i="72"/>
  <c r="U41" i="72" s="1"/>
  <c r="V41" i="72" s="1"/>
  <c r="T40" i="72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3" i="72"/>
  <c r="U23" i="72" s="1"/>
  <c r="V23" i="72" s="1"/>
  <c r="T22" i="72"/>
  <c r="U22" i="72" s="1"/>
  <c r="V22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1" i="70"/>
  <c r="C43" i="70"/>
  <c r="J43" i="70"/>
  <c r="K43" i="70"/>
  <c r="C47" i="70"/>
  <c r="C41" i="70"/>
  <c r="C40" i="70"/>
  <c r="C37" i="70"/>
  <c r="C25" i="70"/>
  <c r="H24" i="70"/>
  <c r="H23" i="70"/>
  <c r="T23" i="70" s="1"/>
  <c r="U23" i="70" s="1"/>
  <c r="V23" i="70" s="1"/>
  <c r="H19" i="70"/>
  <c r="C19" i="70"/>
  <c r="H17" i="70"/>
  <c r="C12" i="70"/>
  <c r="C8" i="70"/>
  <c r="C58" i="70" s="1"/>
  <c r="C47" i="69"/>
  <c r="K43" i="69"/>
  <c r="K58" i="69" s="1"/>
  <c r="J43" i="69"/>
  <c r="T43" i="69" s="1"/>
  <c r="C43" i="69"/>
  <c r="C41" i="69"/>
  <c r="C40" i="69"/>
  <c r="C37" i="69"/>
  <c r="H24" i="69"/>
  <c r="T24" i="69" s="1"/>
  <c r="U24" i="69" s="1"/>
  <c r="V24" i="69" s="1"/>
  <c r="H23" i="69"/>
  <c r="T23" i="69" s="1"/>
  <c r="U23" i="69" s="1"/>
  <c r="V23" i="69" s="1"/>
  <c r="H21" i="69"/>
  <c r="T21" i="69" s="1"/>
  <c r="C21" i="69"/>
  <c r="H19" i="69"/>
  <c r="T19" i="69" s="1"/>
  <c r="U19" i="69" s="1"/>
  <c r="V19" i="69" s="1"/>
  <c r="H17" i="69"/>
  <c r="C12" i="69"/>
  <c r="C9" i="69"/>
  <c r="C8" i="69"/>
  <c r="C58" i="69" s="1"/>
  <c r="C12" i="67"/>
  <c r="C9" i="67"/>
  <c r="C8" i="67"/>
  <c r="C53" i="67"/>
  <c r="H48" i="67"/>
  <c r="C47" i="67"/>
  <c r="H46" i="67"/>
  <c r="T46" i="67" s="1"/>
  <c r="U46" i="67" s="1"/>
  <c r="V46" i="67" s="1"/>
  <c r="C43" i="67"/>
  <c r="H43" i="67"/>
  <c r="K43" i="67"/>
  <c r="J43" i="67"/>
  <c r="J58" i="67" s="1"/>
  <c r="C41" i="67"/>
  <c r="H40" i="67"/>
  <c r="T40" i="67" s="1"/>
  <c r="C40" i="67"/>
  <c r="H39" i="67"/>
  <c r="T39" i="67" s="1"/>
  <c r="U39" i="67" s="1"/>
  <c r="V39" i="67" s="1"/>
  <c r="C37" i="67"/>
  <c r="C34" i="67"/>
  <c r="T25" i="67"/>
  <c r="U25" i="67" s="1"/>
  <c r="V25" i="67" s="1"/>
  <c r="H24" i="67"/>
  <c r="T24" i="67" s="1"/>
  <c r="U24" i="67" s="1"/>
  <c r="V24" i="67" s="1"/>
  <c r="H23" i="67"/>
  <c r="T23" i="67" s="1"/>
  <c r="U23" i="67" s="1"/>
  <c r="V23" i="67" s="1"/>
  <c r="H21" i="67"/>
  <c r="H19" i="67"/>
  <c r="U12" i="67"/>
  <c r="V12" i="67" s="1"/>
  <c r="C58" i="67"/>
  <c r="R58" i="71"/>
  <c r="Q58" i="71"/>
  <c r="P58" i="71"/>
  <c r="O58" i="71"/>
  <c r="N58" i="71"/>
  <c r="M58" i="71"/>
  <c r="I58" i="71"/>
  <c r="G58" i="71"/>
  <c r="F58" i="71"/>
  <c r="T54" i="71"/>
  <c r="U54" i="71" s="1"/>
  <c r="V54" i="71" s="1"/>
  <c r="T53" i="71"/>
  <c r="U53" i="71" s="1"/>
  <c r="V53" i="71" s="1"/>
  <c r="T52" i="71"/>
  <c r="U52" i="71" s="1"/>
  <c r="V52" i="71" s="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U45" i="71"/>
  <c r="V45" i="71" s="1"/>
  <c r="T45" i="71"/>
  <c r="T41" i="71"/>
  <c r="T40" i="71"/>
  <c r="U39" i="71"/>
  <c r="V39" i="71" s="1"/>
  <c r="T39" i="7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U33" i="71"/>
  <c r="V33" i="71" s="1"/>
  <c r="T33" i="7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U27" i="71"/>
  <c r="V27" i="71" s="1"/>
  <c r="T27" i="71"/>
  <c r="T26" i="71"/>
  <c r="U26" i="71" s="1"/>
  <c r="V26" i="71" s="1"/>
  <c r="AY25" i="71"/>
  <c r="T25" i="71"/>
  <c r="U25" i="71" s="1"/>
  <c r="V25" i="71" s="1"/>
  <c r="T22" i="71"/>
  <c r="U22" i="71" s="1"/>
  <c r="V22" i="71" s="1"/>
  <c r="A22" i="7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21" i="71"/>
  <c r="T20" i="71"/>
  <c r="U20" i="71" s="1"/>
  <c r="V20" i="71" s="1"/>
  <c r="A20" i="71"/>
  <c r="T18" i="71"/>
  <c r="U18" i="71" s="1"/>
  <c r="V18" i="71" s="1"/>
  <c r="T17" i="71"/>
  <c r="U17" i="71" s="1"/>
  <c r="V17" i="71" s="1"/>
  <c r="T16" i="71"/>
  <c r="U16" i="71" s="1"/>
  <c r="V16" i="71" s="1"/>
  <c r="A16" i="71"/>
  <c r="A17" i="71" s="1"/>
  <c r="A18" i="71" s="1"/>
  <c r="T15" i="71"/>
  <c r="U15" i="71" s="1"/>
  <c r="V15" i="71" s="1"/>
  <c r="A15" i="71"/>
  <c r="T14" i="71"/>
  <c r="U14" i="71" s="1"/>
  <c r="V14" i="71" s="1"/>
  <c r="A14" i="71"/>
  <c r="T13" i="71"/>
  <c r="U13" i="71" s="1"/>
  <c r="V13" i="71" s="1"/>
  <c r="U12" i="71"/>
  <c r="V12" i="71" s="1"/>
  <c r="T12" i="7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A8" i="71"/>
  <c r="T7" i="71"/>
  <c r="R58" i="70"/>
  <c r="Q58" i="70"/>
  <c r="P58" i="70"/>
  <c r="O58" i="70"/>
  <c r="N58" i="70"/>
  <c r="M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1" i="70"/>
  <c r="T40" i="70"/>
  <c r="U39" i="70"/>
  <c r="V39" i="70" s="1"/>
  <c r="T39" i="70"/>
  <c r="T38" i="70"/>
  <c r="U38" i="70" s="1"/>
  <c r="V38" i="70" s="1"/>
  <c r="T37" i="70"/>
  <c r="U36" i="70"/>
  <c r="V36" i="70" s="1"/>
  <c r="T36" i="70"/>
  <c r="T35" i="70"/>
  <c r="U35" i="70" s="1"/>
  <c r="V35" i="70" s="1"/>
  <c r="T34" i="70"/>
  <c r="U34" i="70" s="1"/>
  <c r="V34" i="70" s="1"/>
  <c r="U33" i="70"/>
  <c r="V33" i="70" s="1"/>
  <c r="T33" i="70"/>
  <c r="T32" i="70"/>
  <c r="U32" i="70" s="1"/>
  <c r="V32" i="70" s="1"/>
  <c r="T31" i="70"/>
  <c r="U31" i="70" s="1"/>
  <c r="V31" i="70" s="1"/>
  <c r="U30" i="70"/>
  <c r="V30" i="70" s="1"/>
  <c r="T30" i="70"/>
  <c r="T29" i="70"/>
  <c r="U29" i="70" s="1"/>
  <c r="V29" i="70" s="1"/>
  <c r="T28" i="70"/>
  <c r="U28" i="70" s="1"/>
  <c r="V28" i="70" s="1"/>
  <c r="U27" i="70"/>
  <c r="V27" i="70" s="1"/>
  <c r="T27" i="70"/>
  <c r="T26" i="70"/>
  <c r="U26" i="70" s="1"/>
  <c r="V26" i="70" s="1"/>
  <c r="AY25" i="70"/>
  <c r="T25" i="70"/>
  <c r="U25" i="70" s="1"/>
  <c r="V25" i="70" s="1"/>
  <c r="T24" i="70"/>
  <c r="U24" i="70" s="1"/>
  <c r="V24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T11" i="70"/>
  <c r="U11" i="70" s="1"/>
  <c r="V11" i="70" s="1"/>
  <c r="T10" i="70"/>
  <c r="U10" i="70" s="1"/>
  <c r="V10" i="70" s="1"/>
  <c r="T9" i="70"/>
  <c r="U9" i="70" s="1"/>
  <c r="V9" i="70" s="1"/>
  <c r="A9" i="70"/>
  <c r="A10" i="70" s="1"/>
  <c r="A11" i="70" s="1"/>
  <c r="T8" i="70"/>
  <c r="A8" i="70"/>
  <c r="T7" i="70"/>
  <c r="R58" i="69"/>
  <c r="Q58" i="69"/>
  <c r="P58" i="69"/>
  <c r="O58" i="69"/>
  <c r="N58" i="69"/>
  <c r="M58" i="69"/>
  <c r="J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U51" i="69"/>
  <c r="V51" i="69" s="1"/>
  <c r="T51" i="69"/>
  <c r="T50" i="69"/>
  <c r="U50" i="69" s="1"/>
  <c r="V50" i="69" s="1"/>
  <c r="T49" i="69"/>
  <c r="U49" i="69" s="1"/>
  <c r="V49" i="69" s="1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1" i="69"/>
  <c r="T40" i="69"/>
  <c r="U40" i="69" s="1"/>
  <c r="V40" i="69" s="1"/>
  <c r="U39" i="69"/>
  <c r="V39" i="69" s="1"/>
  <c r="T39" i="69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U30" i="69"/>
  <c r="V30" i="69" s="1"/>
  <c r="T30" i="69"/>
  <c r="T29" i="69"/>
  <c r="U29" i="69" s="1"/>
  <c r="V29" i="69" s="1"/>
  <c r="T28" i="69"/>
  <c r="U28" i="69" s="1"/>
  <c r="V28" i="69" s="1"/>
  <c r="U27" i="69"/>
  <c r="V27" i="69" s="1"/>
  <c r="T27" i="69"/>
  <c r="T26" i="69"/>
  <c r="U26" i="69" s="1"/>
  <c r="V26" i="69" s="1"/>
  <c r="AY25" i="69"/>
  <c r="T25" i="69"/>
  <c r="U25" i="69" s="1"/>
  <c r="V25" i="69" s="1"/>
  <c r="T22" i="69"/>
  <c r="U22" i="69" s="1"/>
  <c r="V22" i="69" s="1"/>
  <c r="T20" i="69"/>
  <c r="U20" i="69" s="1"/>
  <c r="V20" i="69" s="1"/>
  <c r="A20" i="69"/>
  <c r="A21" i="69" s="1"/>
  <c r="A22" i="69" s="1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U18" i="69"/>
  <c r="V18" i="69" s="1"/>
  <c r="T18" i="69"/>
  <c r="T16" i="69"/>
  <c r="U16" i="69" s="1"/>
  <c r="V16" i="69" s="1"/>
  <c r="U15" i="69"/>
  <c r="V15" i="69" s="1"/>
  <c r="T15" i="69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T11" i="69"/>
  <c r="U11" i="69" s="1"/>
  <c r="V11" i="69" s="1"/>
  <c r="U10" i="69"/>
  <c r="V10" i="69" s="1"/>
  <c r="T10" i="69"/>
  <c r="T9" i="69"/>
  <c r="A9" i="69"/>
  <c r="A10" i="69" s="1"/>
  <c r="A11" i="69" s="1"/>
  <c r="T8" i="69"/>
  <c r="A8" i="69"/>
  <c r="T7" i="69"/>
  <c r="R58" i="68"/>
  <c r="Q58" i="68"/>
  <c r="P58" i="68"/>
  <c r="O58" i="68"/>
  <c r="N58" i="68"/>
  <c r="M58" i="68"/>
  <c r="K58" i="68"/>
  <c r="J58" i="68"/>
  <c r="I58" i="68"/>
  <c r="G58" i="68"/>
  <c r="F58" i="68"/>
  <c r="T54" i="68"/>
  <c r="U54" i="68" s="1"/>
  <c r="V54" i="68" s="1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3" i="68"/>
  <c r="T41" i="68"/>
  <c r="T40" i="68"/>
  <c r="U40" i="68" s="1"/>
  <c r="V40" i="68" s="1"/>
  <c r="T39" i="68"/>
  <c r="U39" i="68" s="1"/>
  <c r="V39" i="68" s="1"/>
  <c r="T38" i="68"/>
  <c r="U38" i="68" s="1"/>
  <c r="V38" i="68" s="1"/>
  <c r="T37" i="68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T28" i="68"/>
  <c r="U28" i="68" s="1"/>
  <c r="V28" i="68" s="1"/>
  <c r="T27" i="68"/>
  <c r="U27" i="68" s="1"/>
  <c r="V27" i="68" s="1"/>
  <c r="T26" i="68"/>
  <c r="U26" i="68" s="1"/>
  <c r="V26" i="68" s="1"/>
  <c r="AY25" i="68"/>
  <c r="T25" i="68"/>
  <c r="T24" i="68"/>
  <c r="U24" i="68" s="1"/>
  <c r="V24" i="68" s="1"/>
  <c r="T22" i="68"/>
  <c r="U22" i="68" s="1"/>
  <c r="V22" i="68" s="1"/>
  <c r="T21" i="68"/>
  <c r="U21" i="68" s="1"/>
  <c r="V21" i="68" s="1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T14" i="68"/>
  <c r="U14" i="68" s="1"/>
  <c r="V14" i="68" s="1"/>
  <c r="A14" i="68"/>
  <c r="A15" i="68" s="1"/>
  <c r="A16" i="68" s="1"/>
  <c r="A17" i="68" s="1"/>
  <c r="A18" i="68" s="1"/>
  <c r="T13" i="68"/>
  <c r="U13" i="68" s="1"/>
  <c r="V13" i="68" s="1"/>
  <c r="T12" i="68"/>
  <c r="U12" i="68" s="1"/>
  <c r="V12" i="68" s="1"/>
  <c r="T11" i="68"/>
  <c r="U11" i="68" s="1"/>
  <c r="V11" i="68" s="1"/>
  <c r="U10" i="68"/>
  <c r="V10" i="68" s="1"/>
  <c r="T10" i="68"/>
  <c r="U9" i="68"/>
  <c r="V9" i="68" s="1"/>
  <c r="T9" i="68"/>
  <c r="A9" i="68"/>
  <c r="A10" i="68" s="1"/>
  <c r="A11" i="68" s="1"/>
  <c r="T8" i="68"/>
  <c r="A8" i="68"/>
  <c r="T7" i="68"/>
  <c r="H17" i="66"/>
  <c r="T17" i="66" s="1"/>
  <c r="U17" i="66" s="1"/>
  <c r="V17" i="66" s="1"/>
  <c r="J43" i="66"/>
  <c r="I43" i="66"/>
  <c r="I58" i="66" s="1"/>
  <c r="C43" i="66"/>
  <c r="C41" i="66"/>
  <c r="C40" i="66"/>
  <c r="C37" i="66"/>
  <c r="C34" i="66"/>
  <c r="H24" i="66"/>
  <c r="T24" i="66" s="1"/>
  <c r="U24" i="66" s="1"/>
  <c r="V24" i="66" s="1"/>
  <c r="H23" i="66"/>
  <c r="T23" i="66" s="1"/>
  <c r="U23" i="66" s="1"/>
  <c r="V23" i="66" s="1"/>
  <c r="H21" i="66"/>
  <c r="H19" i="66"/>
  <c r="T19" i="66" s="1"/>
  <c r="U19" i="66" s="1"/>
  <c r="V19" i="66" s="1"/>
  <c r="C12" i="66"/>
  <c r="C8" i="66"/>
  <c r="C47" i="63"/>
  <c r="K43" i="63"/>
  <c r="J43" i="63"/>
  <c r="J58" i="63" s="1"/>
  <c r="C43" i="63"/>
  <c r="C41" i="63"/>
  <c r="C40" i="63"/>
  <c r="C37" i="63"/>
  <c r="C34" i="63"/>
  <c r="H24" i="63"/>
  <c r="I23" i="63"/>
  <c r="I58" i="63" s="1"/>
  <c r="H21" i="63"/>
  <c r="H58" i="63" s="1"/>
  <c r="H19" i="63"/>
  <c r="H17" i="63"/>
  <c r="C12" i="63"/>
  <c r="C9" i="63"/>
  <c r="C8" i="63"/>
  <c r="R58" i="67"/>
  <c r="Q58" i="67"/>
  <c r="P58" i="67"/>
  <c r="O58" i="67"/>
  <c r="N58" i="67"/>
  <c r="M58" i="67"/>
  <c r="I58" i="67"/>
  <c r="G58" i="67"/>
  <c r="F58" i="67"/>
  <c r="T54" i="67"/>
  <c r="U54" i="67" s="1"/>
  <c r="V54" i="67" s="1"/>
  <c r="T53" i="67"/>
  <c r="T52" i="67"/>
  <c r="U52" i="67" s="1"/>
  <c r="V52" i="67" s="1"/>
  <c r="U51" i="67"/>
  <c r="V51" i="67" s="1"/>
  <c r="T51" i="67"/>
  <c r="T50" i="67"/>
  <c r="U50" i="67" s="1"/>
  <c r="V50" i="67" s="1"/>
  <c r="T49" i="67"/>
  <c r="U49" i="67" s="1"/>
  <c r="V49" i="67" s="1"/>
  <c r="T48" i="67"/>
  <c r="U48" i="67" s="1"/>
  <c r="V48" i="67" s="1"/>
  <c r="T47" i="67"/>
  <c r="U45" i="67"/>
  <c r="V45" i="67" s="1"/>
  <c r="T45" i="67"/>
  <c r="T41" i="67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U21" i="67" s="1"/>
  <c r="V21" i="67" s="1"/>
  <c r="A21" i="67"/>
  <c r="T20" i="67"/>
  <c r="U20" i="67" s="1"/>
  <c r="V20" i="67" s="1"/>
  <c r="A20" i="67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T8" i="67"/>
  <c r="A8" i="67"/>
  <c r="A9" i="67" s="1"/>
  <c r="A10" i="67" s="1"/>
  <c r="A11" i="67" s="1"/>
  <c r="T7" i="67"/>
  <c r="U7" i="67" s="1"/>
  <c r="R58" i="66"/>
  <c r="Q58" i="66"/>
  <c r="P58" i="66"/>
  <c r="O58" i="66"/>
  <c r="N58" i="66"/>
  <c r="M58" i="66"/>
  <c r="K58" i="66"/>
  <c r="J58" i="66"/>
  <c r="G58" i="66"/>
  <c r="F58" i="66"/>
  <c r="V54" i="66"/>
  <c r="U54" i="66"/>
  <c r="T54" i="66"/>
  <c r="T53" i="66"/>
  <c r="U53" i="66" s="1"/>
  <c r="V53" i="66" s="1"/>
  <c r="U52" i="66"/>
  <c r="V52" i="66" s="1"/>
  <c r="T52" i="66"/>
  <c r="V51" i="66"/>
  <c r="U51" i="66"/>
  <c r="T51" i="66"/>
  <c r="T50" i="66"/>
  <c r="U50" i="66" s="1"/>
  <c r="V50" i="66" s="1"/>
  <c r="U49" i="66"/>
  <c r="V49" i="66" s="1"/>
  <c r="T49" i="66"/>
  <c r="U48" i="66"/>
  <c r="V48" i="66" s="1"/>
  <c r="T48" i="66"/>
  <c r="T47" i="66"/>
  <c r="U47" i="66" s="1"/>
  <c r="V47" i="66" s="1"/>
  <c r="T46" i="66"/>
  <c r="U45" i="66"/>
  <c r="V45" i="66" s="1"/>
  <c r="T45" i="66"/>
  <c r="T41" i="66"/>
  <c r="T40" i="66"/>
  <c r="U39" i="66"/>
  <c r="V39" i="66" s="1"/>
  <c r="T39" i="66"/>
  <c r="T38" i="66"/>
  <c r="U38" i="66" s="1"/>
  <c r="V38" i="66" s="1"/>
  <c r="T37" i="66"/>
  <c r="U37" i="66" s="1"/>
  <c r="V37" i="66" s="1"/>
  <c r="U36" i="66"/>
  <c r="V36" i="66" s="1"/>
  <c r="T36" i="66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U30" i="66"/>
  <c r="V30" i="66" s="1"/>
  <c r="T30" i="66"/>
  <c r="T29" i="66"/>
  <c r="U29" i="66" s="1"/>
  <c r="V29" i="66" s="1"/>
  <c r="T28" i="66"/>
  <c r="U28" i="66" s="1"/>
  <c r="V28" i="66" s="1"/>
  <c r="U27" i="66"/>
  <c r="V27" i="66" s="1"/>
  <c r="T27" i="66"/>
  <c r="T26" i="66"/>
  <c r="U26" i="66" s="1"/>
  <c r="V26" i="66" s="1"/>
  <c r="AY25" i="66"/>
  <c r="U25" i="66"/>
  <c r="V25" i="66" s="1"/>
  <c r="T25" i="66"/>
  <c r="T22" i="66"/>
  <c r="U22" i="66" s="1"/>
  <c r="V22" i="66" s="1"/>
  <c r="A22" i="66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21" i="66"/>
  <c r="U21" i="66" s="1"/>
  <c r="V21" i="66" s="1"/>
  <c r="A21" i="66"/>
  <c r="T20" i="66"/>
  <c r="U20" i="66" s="1"/>
  <c r="V20" i="66" s="1"/>
  <c r="A20" i="66"/>
  <c r="U18" i="66"/>
  <c r="V18" i="66" s="1"/>
  <c r="T18" i="66"/>
  <c r="T16" i="66"/>
  <c r="U16" i="66" s="1"/>
  <c r="V16" i="66" s="1"/>
  <c r="U15" i="66"/>
  <c r="V15" i="66" s="1"/>
  <c r="T15" i="66"/>
  <c r="A15" i="66"/>
  <c r="A16" i="66" s="1"/>
  <c r="A17" i="66" s="1"/>
  <c r="A18" i="66" s="1"/>
  <c r="T14" i="66"/>
  <c r="U14" i="66" s="1"/>
  <c r="V14" i="66" s="1"/>
  <c r="A14" i="66"/>
  <c r="T13" i="66"/>
  <c r="U13" i="66" s="1"/>
  <c r="V13" i="66" s="1"/>
  <c r="T12" i="66"/>
  <c r="U12" i="66" s="1"/>
  <c r="V12" i="66" s="1"/>
  <c r="U11" i="66"/>
  <c r="V11" i="66" s="1"/>
  <c r="T11" i="66"/>
  <c r="U10" i="66"/>
  <c r="V10" i="66" s="1"/>
  <c r="T10" i="66"/>
  <c r="T9" i="66"/>
  <c r="U9" i="66" s="1"/>
  <c r="V9" i="66" s="1"/>
  <c r="A9" i="66"/>
  <c r="A10" i="66" s="1"/>
  <c r="A11" i="66" s="1"/>
  <c r="U8" i="66"/>
  <c r="T8" i="66"/>
  <c r="A8" i="66"/>
  <c r="T7" i="66"/>
  <c r="U7" i="66" s="1"/>
  <c r="V7" i="66" s="1"/>
  <c r="C47" i="61"/>
  <c r="K43" i="61"/>
  <c r="K58" i="61" s="1"/>
  <c r="J43" i="61"/>
  <c r="J58" i="61" s="1"/>
  <c r="C43" i="61"/>
  <c r="C41" i="61"/>
  <c r="C40" i="61"/>
  <c r="C37" i="61"/>
  <c r="C34" i="61"/>
  <c r="H24" i="61"/>
  <c r="H23" i="61"/>
  <c r="H21" i="61"/>
  <c r="H19" i="61"/>
  <c r="H17" i="61"/>
  <c r="C12" i="61"/>
  <c r="C8" i="61"/>
  <c r="H21" i="65"/>
  <c r="H24" i="65"/>
  <c r="C47" i="65"/>
  <c r="K43" i="65"/>
  <c r="J43" i="65"/>
  <c r="C43" i="65"/>
  <c r="C41" i="65"/>
  <c r="C40" i="65"/>
  <c r="U40" i="65" s="1"/>
  <c r="V40" i="65" s="1"/>
  <c r="C37" i="65"/>
  <c r="C34" i="65"/>
  <c r="T24" i="65"/>
  <c r="U24" i="65" s="1"/>
  <c r="V24" i="65" s="1"/>
  <c r="H23" i="65"/>
  <c r="T21" i="65"/>
  <c r="U21" i="65" s="1"/>
  <c r="V21" i="65" s="1"/>
  <c r="H19" i="65"/>
  <c r="H17" i="65"/>
  <c r="C12" i="65"/>
  <c r="C8" i="65"/>
  <c r="C12" i="64"/>
  <c r="C34" i="64"/>
  <c r="C37" i="64"/>
  <c r="C40" i="64"/>
  <c r="C41" i="64"/>
  <c r="C43" i="64"/>
  <c r="C47" i="64"/>
  <c r="K43" i="64"/>
  <c r="J43" i="64"/>
  <c r="H23" i="64"/>
  <c r="T23" i="64" s="1"/>
  <c r="U23" i="64" s="1"/>
  <c r="V23" i="64" s="1"/>
  <c r="H22" i="64"/>
  <c r="H58" i="64" s="1"/>
  <c r="H20" i="64"/>
  <c r="H17" i="64"/>
  <c r="T17" i="64" s="1"/>
  <c r="U17" i="64" s="1"/>
  <c r="V17" i="64" s="1"/>
  <c r="H16" i="64"/>
  <c r="C8" i="64"/>
  <c r="H17" i="62"/>
  <c r="H24" i="62"/>
  <c r="C47" i="62"/>
  <c r="K43" i="62"/>
  <c r="J43" i="62"/>
  <c r="C43" i="62"/>
  <c r="C41" i="62"/>
  <c r="C40" i="62"/>
  <c r="C37" i="62"/>
  <c r="C34" i="62"/>
  <c r="H23" i="62"/>
  <c r="H21" i="62"/>
  <c r="H19" i="62"/>
  <c r="C12" i="62"/>
  <c r="C8" i="62"/>
  <c r="R58" i="65"/>
  <c r="Q58" i="65"/>
  <c r="P58" i="65"/>
  <c r="O58" i="65"/>
  <c r="N58" i="65"/>
  <c r="M58" i="65"/>
  <c r="K58" i="65"/>
  <c r="J58" i="65"/>
  <c r="I58" i="65"/>
  <c r="G58" i="65"/>
  <c r="F58" i="65"/>
  <c r="T54" i="65"/>
  <c r="U54" i="65" s="1"/>
  <c r="V54" i="65" s="1"/>
  <c r="U53" i="65"/>
  <c r="V53" i="65" s="1"/>
  <c r="T53" i="65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3" i="65"/>
  <c r="T41" i="65"/>
  <c r="T40" i="65"/>
  <c r="U39" i="65"/>
  <c r="V39" i="65" s="1"/>
  <c r="T39" i="65"/>
  <c r="T38" i="65"/>
  <c r="U38" i="65" s="1"/>
  <c r="V38" i="65" s="1"/>
  <c r="T37" i="65"/>
  <c r="U36" i="65"/>
  <c r="V36" i="65" s="1"/>
  <c r="T36" i="65"/>
  <c r="T35" i="65"/>
  <c r="U35" i="65" s="1"/>
  <c r="V35" i="65" s="1"/>
  <c r="U34" i="65"/>
  <c r="V34" i="65" s="1"/>
  <c r="T34" i="65"/>
  <c r="U33" i="65"/>
  <c r="V33" i="65" s="1"/>
  <c r="T33" i="65"/>
  <c r="T32" i="65"/>
  <c r="U32" i="65" s="1"/>
  <c r="V32" i="65" s="1"/>
  <c r="V31" i="65"/>
  <c r="U31" i="65"/>
  <c r="T31" i="65"/>
  <c r="U30" i="65"/>
  <c r="V30" i="65" s="1"/>
  <c r="T30" i="65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3" i="65"/>
  <c r="U23" i="65" s="1"/>
  <c r="V23" i="65" s="1"/>
  <c r="T22" i="65"/>
  <c r="U22" i="65" s="1"/>
  <c r="V22" i="65" s="1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U18" i="65"/>
  <c r="V18" i="65" s="1"/>
  <c r="T18" i="65"/>
  <c r="T17" i="65"/>
  <c r="U17" i="65" s="1"/>
  <c r="V17" i="65" s="1"/>
  <c r="V16" i="65"/>
  <c r="U16" i="65"/>
  <c r="T16" i="65"/>
  <c r="A16" i="65"/>
  <c r="A17" i="65" s="1"/>
  <c r="A18" i="65" s="1"/>
  <c r="U15" i="65"/>
  <c r="V15" i="65" s="1"/>
  <c r="T15" i="65"/>
  <c r="A15" i="65"/>
  <c r="T14" i="65"/>
  <c r="U14" i="65" s="1"/>
  <c r="V14" i="65" s="1"/>
  <c r="A14" i="65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A10" i="65"/>
  <c r="A11" i="65" s="1"/>
  <c r="U9" i="65"/>
  <c r="V9" i="65" s="1"/>
  <c r="T9" i="65"/>
  <c r="A9" i="65"/>
  <c r="T8" i="65"/>
  <c r="U8" i="65" s="1"/>
  <c r="V8" i="65" s="1"/>
  <c r="A8" i="65"/>
  <c r="T7" i="65"/>
  <c r="R58" i="64"/>
  <c r="Q58" i="64"/>
  <c r="P58" i="64"/>
  <c r="O58" i="64"/>
  <c r="N58" i="64"/>
  <c r="M58" i="64"/>
  <c r="K58" i="64"/>
  <c r="J58" i="64"/>
  <c r="I58" i="64"/>
  <c r="G58" i="64"/>
  <c r="F58" i="64"/>
  <c r="T54" i="64"/>
  <c r="U54" i="64" s="1"/>
  <c r="V54" i="64" s="1"/>
  <c r="U53" i="64"/>
  <c r="V53" i="64" s="1"/>
  <c r="T53" i="64"/>
  <c r="T52" i="64"/>
  <c r="U52" i="64" s="1"/>
  <c r="V52" i="64" s="1"/>
  <c r="T51" i="64"/>
  <c r="U51" i="64" s="1"/>
  <c r="V51" i="64" s="1"/>
  <c r="V50" i="64"/>
  <c r="U50" i="64"/>
  <c r="T50" i="64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A44" i="64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43" i="64"/>
  <c r="T41" i="64"/>
  <c r="U41" i="64" s="1"/>
  <c r="V41" i="64" s="1"/>
  <c r="T40" i="64"/>
  <c r="U40" i="64" s="1"/>
  <c r="V40" i="64" s="1"/>
  <c r="T39" i="64"/>
  <c r="U39" i="64" s="1"/>
  <c r="V39" i="64" s="1"/>
  <c r="T38" i="64"/>
  <c r="U38" i="64" s="1"/>
  <c r="V38" i="64" s="1"/>
  <c r="T37" i="64"/>
  <c r="U37" i="64" s="1"/>
  <c r="V37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U25" i="64"/>
  <c r="V25" i="64" s="1"/>
  <c r="T25" i="64"/>
  <c r="T24" i="64"/>
  <c r="U24" i="64" s="1"/>
  <c r="V24" i="64" s="1"/>
  <c r="T21" i="64"/>
  <c r="U21" i="64" s="1"/>
  <c r="V21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U9" i="64"/>
  <c r="V9" i="64" s="1"/>
  <c r="T9" i="64"/>
  <c r="A9" i="64"/>
  <c r="A10" i="64" s="1"/>
  <c r="A11" i="64" s="1"/>
  <c r="T8" i="64"/>
  <c r="A8" i="64"/>
  <c r="T7" i="64"/>
  <c r="R58" i="63"/>
  <c r="Q58" i="63"/>
  <c r="P58" i="63"/>
  <c r="O58" i="63"/>
  <c r="N58" i="63"/>
  <c r="M58" i="63"/>
  <c r="K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U51" i="63"/>
  <c r="V51" i="63" s="1"/>
  <c r="T51" i="63"/>
  <c r="T50" i="63"/>
  <c r="U50" i="63" s="1"/>
  <c r="V50" i="63" s="1"/>
  <c r="T49" i="63"/>
  <c r="U49" i="63" s="1"/>
  <c r="V49" i="63" s="1"/>
  <c r="U48" i="63"/>
  <c r="V48" i="63" s="1"/>
  <c r="T48" i="63"/>
  <c r="T47" i="63"/>
  <c r="U47" i="63" s="1"/>
  <c r="V47" i="63" s="1"/>
  <c r="T46" i="63"/>
  <c r="U46" i="63" s="1"/>
  <c r="V46" i="63" s="1"/>
  <c r="U45" i="63"/>
  <c r="V45" i="63" s="1"/>
  <c r="T45" i="63"/>
  <c r="T43" i="63"/>
  <c r="U43" i="63" s="1"/>
  <c r="V43" i="63" s="1"/>
  <c r="T41" i="63"/>
  <c r="U41" i="63" s="1"/>
  <c r="V41" i="63" s="1"/>
  <c r="T40" i="63"/>
  <c r="U40" i="63" s="1"/>
  <c r="V40" i="63" s="1"/>
  <c r="U39" i="63"/>
  <c r="V39" i="63" s="1"/>
  <c r="T39" i="63"/>
  <c r="T38" i="63"/>
  <c r="U38" i="63" s="1"/>
  <c r="V38" i="63" s="1"/>
  <c r="T37" i="63"/>
  <c r="U36" i="63"/>
  <c r="V36" i="63" s="1"/>
  <c r="T36" i="63"/>
  <c r="T35" i="63"/>
  <c r="U35" i="63" s="1"/>
  <c r="V35" i="63" s="1"/>
  <c r="T34" i="63"/>
  <c r="U34" i="63" s="1"/>
  <c r="V34" i="63" s="1"/>
  <c r="U33" i="63"/>
  <c r="V33" i="63" s="1"/>
  <c r="T33" i="63"/>
  <c r="T32" i="63"/>
  <c r="U32" i="63" s="1"/>
  <c r="V32" i="63" s="1"/>
  <c r="T31" i="63"/>
  <c r="U31" i="63" s="1"/>
  <c r="V31" i="63" s="1"/>
  <c r="V30" i="63"/>
  <c r="U30" i="63"/>
  <c r="T30" i="63"/>
  <c r="T29" i="63"/>
  <c r="U29" i="63" s="1"/>
  <c r="V29" i="63" s="1"/>
  <c r="T28" i="63"/>
  <c r="U28" i="63" s="1"/>
  <c r="V28" i="63" s="1"/>
  <c r="V27" i="63"/>
  <c r="U27" i="63"/>
  <c r="T27" i="63"/>
  <c r="T26" i="63"/>
  <c r="U26" i="63" s="1"/>
  <c r="V26" i="63" s="1"/>
  <c r="AY25" i="63"/>
  <c r="T25" i="63"/>
  <c r="U25" i="63" s="1"/>
  <c r="V25" i="63" s="1"/>
  <c r="T24" i="63"/>
  <c r="U24" i="63" s="1"/>
  <c r="V24" i="63" s="1"/>
  <c r="T22" i="63"/>
  <c r="U22" i="63" s="1"/>
  <c r="V22" i="63" s="1"/>
  <c r="T21" i="63"/>
  <c r="U21" i="63" s="1"/>
  <c r="V21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V18" i="63"/>
  <c r="U18" i="63"/>
  <c r="T18" i="63"/>
  <c r="T17" i="63"/>
  <c r="U17" i="63" s="1"/>
  <c r="V17" i="63" s="1"/>
  <c r="T16" i="63"/>
  <c r="U16" i="63" s="1"/>
  <c r="V16" i="63" s="1"/>
  <c r="U15" i="63"/>
  <c r="V15" i="63" s="1"/>
  <c r="T15" i="63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A9" i="63"/>
  <c r="A10" i="63" s="1"/>
  <c r="A11" i="63" s="1"/>
  <c r="T8" i="63"/>
  <c r="U8" i="63" s="1"/>
  <c r="V8" i="63" s="1"/>
  <c r="A8" i="63"/>
  <c r="T7" i="63"/>
  <c r="U7" i="63" s="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U52" i="61"/>
  <c r="V52" i="61" s="1"/>
  <c r="T52" i="61"/>
  <c r="T51" i="61"/>
  <c r="U51" i="61" s="1"/>
  <c r="V51" i="61" s="1"/>
  <c r="T50" i="61"/>
  <c r="U50" i="61" s="1"/>
  <c r="V50" i="61" s="1"/>
  <c r="V49" i="61"/>
  <c r="U49" i="61"/>
  <c r="T49" i="61"/>
  <c r="T48" i="61"/>
  <c r="U48" i="61" s="1"/>
  <c r="V48" i="61" s="1"/>
  <c r="T47" i="61"/>
  <c r="U47" i="61" s="1"/>
  <c r="V47" i="61" s="1"/>
  <c r="V46" i="61"/>
  <c r="U46" i="61"/>
  <c r="T46" i="61"/>
  <c r="T45" i="61"/>
  <c r="U45" i="61" s="1"/>
  <c r="V45" i="61" s="1"/>
  <c r="T43" i="61"/>
  <c r="T41" i="61"/>
  <c r="T40" i="6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T27" i="61"/>
  <c r="U27" i="61" s="1"/>
  <c r="V27" i="61" s="1"/>
  <c r="T26" i="61"/>
  <c r="U26" i="61" s="1"/>
  <c r="V26" i="61" s="1"/>
  <c r="AY25" i="61"/>
  <c r="T25" i="61"/>
  <c r="U25" i="61" s="1"/>
  <c r="V25" i="61" s="1"/>
  <c r="U24" i="61"/>
  <c r="V24" i="61" s="1"/>
  <c r="T24" i="61"/>
  <c r="U23" i="61"/>
  <c r="V23" i="61" s="1"/>
  <c r="T23" i="61"/>
  <c r="T22" i="61"/>
  <c r="U22" i="61" s="1"/>
  <c r="V22" i="61" s="1"/>
  <c r="U21" i="61"/>
  <c r="V21" i="61" s="1"/>
  <c r="T21" i="61"/>
  <c r="T20" i="61"/>
  <c r="U20" i="61" s="1"/>
  <c r="V20" i="61" s="1"/>
  <c r="A20" i="61"/>
  <c r="A21" i="61" s="1"/>
  <c r="A22" i="61" s="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T18" i="61"/>
  <c r="U18" i="61" s="1"/>
  <c r="V18" i="61" s="1"/>
  <c r="T17" i="61"/>
  <c r="U17" i="61" s="1"/>
  <c r="V17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 s="1"/>
  <c r="V9" i="61" s="1"/>
  <c r="U8" i="61"/>
  <c r="V8" i="61" s="1"/>
  <c r="T8" i="61"/>
  <c r="A8" i="61"/>
  <c r="A9" i="61" s="1"/>
  <c r="A10" i="61" s="1"/>
  <c r="A11" i="61" s="1"/>
  <c r="T7" i="61"/>
  <c r="U7" i="61" s="1"/>
  <c r="R58" i="60"/>
  <c r="Q58" i="60"/>
  <c r="P58" i="60"/>
  <c r="O58" i="60"/>
  <c r="N58" i="60"/>
  <c r="M58" i="60"/>
  <c r="I58" i="60"/>
  <c r="G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C47" i="60"/>
  <c r="U46" i="60"/>
  <c r="V46" i="60" s="1"/>
  <c r="T46" i="60"/>
  <c r="U45" i="60"/>
  <c r="V45" i="60" s="1"/>
  <c r="T45" i="60"/>
  <c r="K43" i="60"/>
  <c r="K58" i="60" s="1"/>
  <c r="J43" i="60"/>
  <c r="C43" i="60"/>
  <c r="T41" i="60"/>
  <c r="U41" i="60" s="1"/>
  <c r="V41" i="60" s="1"/>
  <c r="C41" i="60"/>
  <c r="T40" i="60"/>
  <c r="C40" i="60"/>
  <c r="U40" i="60" s="1"/>
  <c r="V40" i="60" s="1"/>
  <c r="T39" i="60"/>
  <c r="U39" i="60" s="1"/>
  <c r="V39" i="60" s="1"/>
  <c r="T38" i="60"/>
  <c r="U38" i="60" s="1"/>
  <c r="V38" i="60" s="1"/>
  <c r="T37" i="60"/>
  <c r="C37" i="60"/>
  <c r="U37" i="60" s="1"/>
  <c r="V37" i="60" s="1"/>
  <c r="U36" i="60"/>
  <c r="V36" i="60" s="1"/>
  <c r="T36" i="60"/>
  <c r="U35" i="60"/>
  <c r="V35" i="60" s="1"/>
  <c r="T35" i="60"/>
  <c r="U34" i="60"/>
  <c r="V34" i="60" s="1"/>
  <c r="T34" i="60"/>
  <c r="C34" i="60"/>
  <c r="T33" i="60"/>
  <c r="U33" i="60" s="1"/>
  <c r="V33" i="60" s="1"/>
  <c r="T32" i="60"/>
  <c r="U32" i="60" s="1"/>
  <c r="V32" i="60" s="1"/>
  <c r="V31" i="60"/>
  <c r="U31" i="60"/>
  <c r="T31" i="60"/>
  <c r="T30" i="60"/>
  <c r="U30" i="60" s="1"/>
  <c r="V30" i="60" s="1"/>
  <c r="T29" i="60"/>
  <c r="U29" i="60" s="1"/>
  <c r="V29" i="60" s="1"/>
  <c r="V28" i="60"/>
  <c r="U28" i="60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H24" i="60"/>
  <c r="T24" i="60" s="1"/>
  <c r="U24" i="60" s="1"/>
  <c r="V24" i="60" s="1"/>
  <c r="V23" i="60"/>
  <c r="T23" i="60"/>
  <c r="U23" i="60" s="1"/>
  <c r="H23" i="60"/>
  <c r="U22" i="60"/>
  <c r="V22" i="60" s="1"/>
  <c r="T22" i="60"/>
  <c r="U21" i="60"/>
  <c r="V21" i="60" s="1"/>
  <c r="T21" i="60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U20" i="60"/>
  <c r="V20" i="60" s="1"/>
  <c r="T20" i="60"/>
  <c r="A20" i="60"/>
  <c r="H19" i="60"/>
  <c r="T19" i="60" s="1"/>
  <c r="U19" i="60" s="1"/>
  <c r="V19" i="60" s="1"/>
  <c r="U18" i="60"/>
  <c r="V18" i="60" s="1"/>
  <c r="T18" i="60"/>
  <c r="A18" i="60"/>
  <c r="U17" i="60"/>
  <c r="V17" i="60" s="1"/>
  <c r="T17" i="60"/>
  <c r="H17" i="60"/>
  <c r="T16" i="60"/>
  <c r="U16" i="60" s="1"/>
  <c r="V16" i="60" s="1"/>
  <c r="T15" i="60"/>
  <c r="U15" i="60" s="1"/>
  <c r="V15" i="60" s="1"/>
  <c r="V14" i="60"/>
  <c r="U14" i="60"/>
  <c r="T14" i="60"/>
  <c r="A14" i="60"/>
  <c r="A15" i="60" s="1"/>
  <c r="A16" i="60" s="1"/>
  <c r="A17" i="60" s="1"/>
  <c r="T13" i="60"/>
  <c r="U13" i="60" s="1"/>
  <c r="V13" i="60" s="1"/>
  <c r="U12" i="60"/>
  <c r="V12" i="60" s="1"/>
  <c r="T12" i="60"/>
  <c r="C12" i="60"/>
  <c r="U11" i="60"/>
  <c r="V11" i="60" s="1"/>
  <c r="T11" i="60"/>
  <c r="U10" i="60"/>
  <c r="V10" i="60" s="1"/>
  <c r="T10" i="60"/>
  <c r="U9" i="60"/>
  <c r="V9" i="60" s="1"/>
  <c r="T9" i="60"/>
  <c r="A9" i="60"/>
  <c r="A10" i="60" s="1"/>
  <c r="A11" i="60" s="1"/>
  <c r="U8" i="60"/>
  <c r="V8" i="60" s="1"/>
  <c r="T8" i="60"/>
  <c r="C8" i="60"/>
  <c r="A8" i="60"/>
  <c r="T7" i="60"/>
  <c r="U7" i="60" s="1"/>
  <c r="R58" i="59"/>
  <c r="Q58" i="59"/>
  <c r="P58" i="59"/>
  <c r="O58" i="59"/>
  <c r="N58" i="59"/>
  <c r="M58" i="59"/>
  <c r="I58" i="59"/>
  <c r="G58" i="59"/>
  <c r="F58" i="59"/>
  <c r="T54" i="59"/>
  <c r="U54" i="59" s="1"/>
  <c r="V54" i="59" s="1"/>
  <c r="T53" i="59"/>
  <c r="U53" i="59" s="1"/>
  <c r="V53" i="59" s="1"/>
  <c r="V52" i="59"/>
  <c r="T52" i="59"/>
  <c r="U52" i="59" s="1"/>
  <c r="T51" i="59"/>
  <c r="U51" i="59" s="1"/>
  <c r="V51" i="59" s="1"/>
  <c r="T50" i="59"/>
  <c r="U50" i="59" s="1"/>
  <c r="V50" i="59" s="1"/>
  <c r="V49" i="59"/>
  <c r="T49" i="59"/>
  <c r="U49" i="59" s="1"/>
  <c r="T48" i="59"/>
  <c r="U48" i="59" s="1"/>
  <c r="V48" i="59" s="1"/>
  <c r="T47" i="59"/>
  <c r="C47" i="59"/>
  <c r="U47" i="59" s="1"/>
  <c r="V47" i="59" s="1"/>
  <c r="U46" i="59"/>
  <c r="V46" i="59" s="1"/>
  <c r="T46" i="59"/>
  <c r="U45" i="59"/>
  <c r="V45" i="59" s="1"/>
  <c r="T45" i="59"/>
  <c r="K43" i="59"/>
  <c r="K58" i="59" s="1"/>
  <c r="J43" i="59"/>
  <c r="J58" i="59" s="1"/>
  <c r="C43" i="59"/>
  <c r="T41" i="59"/>
  <c r="C41" i="59"/>
  <c r="T40" i="59"/>
  <c r="C40" i="59"/>
  <c r="U40" i="59" s="1"/>
  <c r="V40" i="59" s="1"/>
  <c r="T39" i="59"/>
  <c r="U39" i="59" s="1"/>
  <c r="V39" i="59" s="1"/>
  <c r="V38" i="59"/>
  <c r="T38" i="59"/>
  <c r="U38" i="59" s="1"/>
  <c r="T37" i="59"/>
  <c r="C37" i="59"/>
  <c r="U37" i="59" s="1"/>
  <c r="V37" i="59" s="1"/>
  <c r="U36" i="59"/>
  <c r="V36" i="59" s="1"/>
  <c r="T36" i="59"/>
  <c r="U35" i="59"/>
  <c r="V35" i="59" s="1"/>
  <c r="T35" i="59"/>
  <c r="T34" i="59"/>
  <c r="U34" i="59" s="1"/>
  <c r="V34" i="59" s="1"/>
  <c r="C34" i="59"/>
  <c r="T33" i="59"/>
  <c r="U33" i="59" s="1"/>
  <c r="V33" i="59" s="1"/>
  <c r="T32" i="59"/>
  <c r="U32" i="59" s="1"/>
  <c r="V32" i="59" s="1"/>
  <c r="U31" i="59"/>
  <c r="V31" i="59" s="1"/>
  <c r="T31" i="59"/>
  <c r="T30" i="59"/>
  <c r="U30" i="59" s="1"/>
  <c r="V30" i="59" s="1"/>
  <c r="T29" i="59"/>
  <c r="U29" i="59" s="1"/>
  <c r="V29" i="59" s="1"/>
  <c r="U28" i="59"/>
  <c r="V28" i="59" s="1"/>
  <c r="T28" i="59"/>
  <c r="T27" i="59"/>
  <c r="U27" i="59" s="1"/>
  <c r="V27" i="59" s="1"/>
  <c r="T26" i="59"/>
  <c r="U26" i="59" s="1"/>
  <c r="V26" i="59" s="1"/>
  <c r="AY25" i="59"/>
  <c r="V25" i="59"/>
  <c r="T25" i="59"/>
  <c r="U25" i="59" s="1"/>
  <c r="H24" i="59"/>
  <c r="T24" i="59" s="1"/>
  <c r="U24" i="59" s="1"/>
  <c r="V24" i="59" s="1"/>
  <c r="H23" i="59"/>
  <c r="T23" i="59" s="1"/>
  <c r="U23" i="59" s="1"/>
  <c r="V23" i="59" s="1"/>
  <c r="T22" i="59"/>
  <c r="U22" i="59" s="1"/>
  <c r="V22" i="59" s="1"/>
  <c r="A22" i="59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U21" i="59"/>
  <c r="V21" i="59" s="1"/>
  <c r="T21" i="59"/>
  <c r="A21" i="59"/>
  <c r="U20" i="59"/>
  <c r="V20" i="59" s="1"/>
  <c r="T20" i="59"/>
  <c r="A20" i="59"/>
  <c r="H19" i="59"/>
  <c r="T19" i="59" s="1"/>
  <c r="U19" i="59" s="1"/>
  <c r="V19" i="59" s="1"/>
  <c r="U18" i="59"/>
  <c r="V18" i="59" s="1"/>
  <c r="T18" i="59"/>
  <c r="T17" i="59"/>
  <c r="U17" i="59" s="1"/>
  <c r="V17" i="59" s="1"/>
  <c r="H17" i="59"/>
  <c r="H58" i="59" s="1"/>
  <c r="T16" i="59"/>
  <c r="U16" i="59" s="1"/>
  <c r="V16" i="59" s="1"/>
  <c r="T15" i="59"/>
  <c r="U15" i="59" s="1"/>
  <c r="V15" i="59" s="1"/>
  <c r="V14" i="59"/>
  <c r="U14" i="59"/>
  <c r="T14" i="59"/>
  <c r="A14" i="59"/>
  <c r="A15" i="59" s="1"/>
  <c r="A16" i="59" s="1"/>
  <c r="A17" i="59" s="1"/>
  <c r="A18" i="59" s="1"/>
  <c r="T13" i="59"/>
  <c r="U13" i="59" s="1"/>
  <c r="V13" i="59" s="1"/>
  <c r="T12" i="59"/>
  <c r="C12" i="59"/>
  <c r="C58" i="59" s="1"/>
  <c r="U11" i="59"/>
  <c r="V11" i="59" s="1"/>
  <c r="T11" i="59"/>
  <c r="V10" i="59"/>
  <c r="T10" i="59"/>
  <c r="U10" i="59" s="1"/>
  <c r="T9" i="59"/>
  <c r="U9" i="59" s="1"/>
  <c r="V9" i="59" s="1"/>
  <c r="T8" i="59"/>
  <c r="U8" i="59" s="1"/>
  <c r="V8" i="59" s="1"/>
  <c r="C8" i="59"/>
  <c r="A8" i="59"/>
  <c r="A9" i="59" s="1"/>
  <c r="A10" i="59" s="1"/>
  <c r="A11" i="59" s="1"/>
  <c r="T7" i="59"/>
  <c r="R58" i="57"/>
  <c r="Q58" i="57"/>
  <c r="P58" i="57"/>
  <c r="O58" i="57"/>
  <c r="N58" i="57"/>
  <c r="M58" i="57"/>
  <c r="I58" i="57"/>
  <c r="G58" i="57"/>
  <c r="F58" i="57"/>
  <c r="U54" i="57"/>
  <c r="V54" i="57" s="1"/>
  <c r="T54" i="57"/>
  <c r="U53" i="57"/>
  <c r="V53" i="57" s="1"/>
  <c r="T53" i="57"/>
  <c r="T52" i="57"/>
  <c r="U52" i="57" s="1"/>
  <c r="V52" i="57" s="1"/>
  <c r="U51" i="57"/>
  <c r="V51" i="57" s="1"/>
  <c r="T51" i="57"/>
  <c r="U50" i="57"/>
  <c r="V50" i="57" s="1"/>
  <c r="T50" i="57"/>
  <c r="T49" i="57"/>
  <c r="U49" i="57" s="1"/>
  <c r="V49" i="57" s="1"/>
  <c r="U48" i="57"/>
  <c r="V48" i="57" s="1"/>
  <c r="T48" i="57"/>
  <c r="U47" i="57"/>
  <c r="V47" i="57" s="1"/>
  <c r="T47" i="57"/>
  <c r="C47" i="57"/>
  <c r="T46" i="57"/>
  <c r="U46" i="57" s="1"/>
  <c r="V46" i="57" s="1"/>
  <c r="V45" i="57"/>
  <c r="U45" i="57"/>
  <c r="T45" i="57"/>
  <c r="K43" i="57"/>
  <c r="K58" i="57" s="1"/>
  <c r="J43" i="57"/>
  <c r="J58" i="57" s="1"/>
  <c r="C43" i="57"/>
  <c r="T41" i="57"/>
  <c r="C41" i="57"/>
  <c r="U41" i="57" s="1"/>
  <c r="V41" i="57" s="1"/>
  <c r="T40" i="57"/>
  <c r="C40" i="57"/>
  <c r="U40" i="57" s="1"/>
  <c r="V40" i="57" s="1"/>
  <c r="A40" i="57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U39" i="57"/>
  <c r="V39" i="57" s="1"/>
  <c r="T39" i="57"/>
  <c r="U38" i="57"/>
  <c r="V38" i="57" s="1"/>
  <c r="T38" i="57"/>
  <c r="T37" i="57"/>
  <c r="C37" i="57"/>
  <c r="U37" i="57" s="1"/>
  <c r="V37" i="57" s="1"/>
  <c r="V36" i="57"/>
  <c r="U36" i="57"/>
  <c r="T36" i="57"/>
  <c r="T35" i="57"/>
  <c r="U35" i="57" s="1"/>
  <c r="V35" i="57" s="1"/>
  <c r="T34" i="57"/>
  <c r="U34" i="57" s="1"/>
  <c r="V34" i="57" s="1"/>
  <c r="C34" i="57"/>
  <c r="T33" i="57"/>
  <c r="U33" i="57" s="1"/>
  <c r="V33" i="57" s="1"/>
  <c r="U32" i="57"/>
  <c r="V32" i="57" s="1"/>
  <c r="T32" i="57"/>
  <c r="U31" i="57"/>
  <c r="V31" i="57" s="1"/>
  <c r="T31" i="57"/>
  <c r="T30" i="57"/>
  <c r="U30" i="57" s="1"/>
  <c r="V30" i="57" s="1"/>
  <c r="U29" i="57"/>
  <c r="V29" i="57" s="1"/>
  <c r="T29" i="57"/>
  <c r="U28" i="57"/>
  <c r="V28" i="57" s="1"/>
  <c r="T28" i="57"/>
  <c r="T27" i="57"/>
  <c r="U27" i="57" s="1"/>
  <c r="V27" i="57" s="1"/>
  <c r="U26" i="57"/>
  <c r="V26" i="57" s="1"/>
  <c r="T26" i="57"/>
  <c r="AY25" i="57"/>
  <c r="T25" i="57"/>
  <c r="U25" i="57" s="1"/>
  <c r="V25" i="57" s="1"/>
  <c r="T24" i="57"/>
  <c r="U24" i="57" s="1"/>
  <c r="V24" i="57" s="1"/>
  <c r="H24" i="57"/>
  <c r="H23" i="57"/>
  <c r="V22" i="57"/>
  <c r="U22" i="57"/>
  <c r="T22" i="57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H19" i="57"/>
  <c r="T19" i="57" s="1"/>
  <c r="U19" i="57" s="1"/>
  <c r="V19" i="57" s="1"/>
  <c r="T18" i="57"/>
  <c r="U18" i="57" s="1"/>
  <c r="V18" i="57" s="1"/>
  <c r="T17" i="57"/>
  <c r="U17" i="57" s="1"/>
  <c r="V17" i="57" s="1"/>
  <c r="V16" i="57"/>
  <c r="U16" i="57"/>
  <c r="T16" i="57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V13" i="57"/>
  <c r="U13" i="57"/>
  <c r="T13" i="57"/>
  <c r="U12" i="57"/>
  <c r="V12" i="57" s="1"/>
  <c r="T12" i="57"/>
  <c r="C12" i="57"/>
  <c r="T11" i="57"/>
  <c r="U11" i="57" s="1"/>
  <c r="V11" i="57" s="1"/>
  <c r="U10" i="57"/>
  <c r="V10" i="57" s="1"/>
  <c r="T10" i="57"/>
  <c r="U9" i="57"/>
  <c r="V9" i="57" s="1"/>
  <c r="T9" i="57"/>
  <c r="A9" i="57"/>
  <c r="A10" i="57" s="1"/>
  <c r="A11" i="57" s="1"/>
  <c r="T8" i="57"/>
  <c r="C8" i="57"/>
  <c r="A8" i="57"/>
  <c r="V7" i="57"/>
  <c r="U7" i="57"/>
  <c r="T7" i="57"/>
  <c r="R58" i="56"/>
  <c r="Q58" i="56"/>
  <c r="P58" i="56"/>
  <c r="O58" i="56"/>
  <c r="N58" i="56"/>
  <c r="M58" i="56"/>
  <c r="K58" i="56"/>
  <c r="J58" i="56"/>
  <c r="G58" i="56"/>
  <c r="F58" i="56"/>
  <c r="V54" i="56"/>
  <c r="T54" i="56"/>
  <c r="U54" i="56" s="1"/>
  <c r="T53" i="56"/>
  <c r="U53" i="56" s="1"/>
  <c r="V53" i="56" s="1"/>
  <c r="T52" i="56"/>
  <c r="U52" i="56" s="1"/>
  <c r="V52" i="56" s="1"/>
  <c r="T51" i="56"/>
  <c r="U51" i="56" s="1"/>
  <c r="V51" i="56" s="1"/>
  <c r="T50" i="56"/>
  <c r="U50" i="56" s="1"/>
  <c r="V50" i="56" s="1"/>
  <c r="T49" i="56"/>
  <c r="U49" i="56" s="1"/>
  <c r="V49" i="56" s="1"/>
  <c r="V48" i="56"/>
  <c r="T48" i="56"/>
  <c r="U48" i="56" s="1"/>
  <c r="T47" i="56"/>
  <c r="U47" i="56" s="1"/>
  <c r="V47" i="56" s="1"/>
  <c r="C47" i="56"/>
  <c r="T46" i="56"/>
  <c r="U46" i="56" s="1"/>
  <c r="V46" i="56" s="1"/>
  <c r="U45" i="56"/>
  <c r="V45" i="56" s="1"/>
  <c r="T45" i="56"/>
  <c r="K43" i="56"/>
  <c r="I43" i="56"/>
  <c r="I58" i="56" s="1"/>
  <c r="C43" i="56"/>
  <c r="V41" i="56"/>
  <c r="U41" i="56"/>
  <c r="T41" i="56"/>
  <c r="C41" i="56"/>
  <c r="T40" i="56"/>
  <c r="C40" i="56"/>
  <c r="U40" i="56" s="1"/>
  <c r="V40" i="56" s="1"/>
  <c r="V39" i="56"/>
  <c r="T39" i="56"/>
  <c r="U39" i="56" s="1"/>
  <c r="T38" i="56"/>
  <c r="U38" i="56" s="1"/>
  <c r="V38" i="56" s="1"/>
  <c r="T37" i="56"/>
  <c r="C37" i="56"/>
  <c r="U37" i="56" s="1"/>
  <c r="V37" i="56" s="1"/>
  <c r="A37" i="56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U36" i="56"/>
  <c r="V36" i="56" s="1"/>
  <c r="T36" i="56"/>
  <c r="U35" i="56"/>
  <c r="V35" i="56" s="1"/>
  <c r="T35" i="56"/>
  <c r="T34" i="56"/>
  <c r="C34" i="56"/>
  <c r="U34" i="56" s="1"/>
  <c r="V34" i="56" s="1"/>
  <c r="V33" i="56"/>
  <c r="U33" i="56"/>
  <c r="T33" i="56"/>
  <c r="T32" i="56"/>
  <c r="U32" i="56" s="1"/>
  <c r="V32" i="56" s="1"/>
  <c r="T31" i="56"/>
  <c r="U31" i="56" s="1"/>
  <c r="V31" i="56" s="1"/>
  <c r="V30" i="56"/>
  <c r="U30" i="56"/>
  <c r="T30" i="56"/>
  <c r="T29" i="56"/>
  <c r="U29" i="56" s="1"/>
  <c r="V29" i="56" s="1"/>
  <c r="T28" i="56"/>
  <c r="U28" i="56" s="1"/>
  <c r="V28" i="56" s="1"/>
  <c r="V27" i="56"/>
  <c r="U27" i="56"/>
  <c r="T27" i="56"/>
  <c r="T26" i="56"/>
  <c r="U26" i="56" s="1"/>
  <c r="V26" i="56" s="1"/>
  <c r="AY25" i="56"/>
  <c r="U25" i="56"/>
  <c r="V25" i="56" s="1"/>
  <c r="T25" i="56"/>
  <c r="T24" i="56"/>
  <c r="U24" i="56" s="1"/>
  <c r="V24" i="56" s="1"/>
  <c r="H23" i="56"/>
  <c r="T23" i="56" s="1"/>
  <c r="U23" i="56" s="1"/>
  <c r="V23" i="56" s="1"/>
  <c r="V22" i="56"/>
  <c r="T22" i="56"/>
  <c r="U22" i="56" s="1"/>
  <c r="T21" i="56"/>
  <c r="U21" i="56" s="1"/>
  <c r="V21" i="56" s="1"/>
  <c r="H21" i="56"/>
  <c r="H58" i="56" s="1"/>
  <c r="T20" i="56"/>
  <c r="U20" i="56" s="1"/>
  <c r="V20" i="56" s="1"/>
  <c r="A20" i="56"/>
  <c r="A21" i="56" s="1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U19" i="56"/>
  <c r="V19" i="56" s="1"/>
  <c r="T19" i="56"/>
  <c r="H19" i="56"/>
  <c r="U18" i="56"/>
  <c r="V18" i="56" s="1"/>
  <c r="T18" i="56"/>
  <c r="T17" i="56"/>
  <c r="U17" i="56" s="1"/>
  <c r="V17" i="56" s="1"/>
  <c r="A17" i="56"/>
  <c r="A18" i="56" s="1"/>
  <c r="U16" i="56"/>
  <c r="V16" i="56" s="1"/>
  <c r="T16" i="56"/>
  <c r="U15" i="56"/>
  <c r="V15" i="56" s="1"/>
  <c r="T15" i="56"/>
  <c r="T14" i="56"/>
  <c r="U14" i="56" s="1"/>
  <c r="V14" i="56" s="1"/>
  <c r="A14" i="56"/>
  <c r="A15" i="56" s="1"/>
  <c r="A16" i="56" s="1"/>
  <c r="U13" i="56"/>
  <c r="V13" i="56" s="1"/>
  <c r="T13" i="56"/>
  <c r="T12" i="56"/>
  <c r="U12" i="56" s="1"/>
  <c r="V12" i="56" s="1"/>
  <c r="C12" i="56"/>
  <c r="T11" i="56"/>
  <c r="U11" i="56" s="1"/>
  <c r="V11" i="56" s="1"/>
  <c r="T10" i="56"/>
  <c r="C10" i="56"/>
  <c r="U10" i="56" s="1"/>
  <c r="V10" i="56" s="1"/>
  <c r="U9" i="56"/>
  <c r="V9" i="56" s="1"/>
  <c r="T9" i="56"/>
  <c r="C9" i="56"/>
  <c r="T8" i="56"/>
  <c r="U8" i="56" s="1"/>
  <c r="V8" i="56" s="1"/>
  <c r="C8" i="56"/>
  <c r="C58" i="56" s="1"/>
  <c r="A8" i="56"/>
  <c r="A9" i="56" s="1"/>
  <c r="A10" i="56" s="1"/>
  <c r="A11" i="56" s="1"/>
  <c r="T7" i="56"/>
  <c r="U7" i="56" s="1"/>
  <c r="R58" i="55"/>
  <c r="Q58" i="55"/>
  <c r="P58" i="55"/>
  <c r="O58" i="55"/>
  <c r="N58" i="55"/>
  <c r="M58" i="55"/>
  <c r="I58" i="55"/>
  <c r="H58" i="55"/>
  <c r="G58" i="55"/>
  <c r="U54" i="55"/>
  <c r="V54" i="55" s="1"/>
  <c r="T54" i="55"/>
  <c r="U53" i="55"/>
  <c r="V53" i="55" s="1"/>
  <c r="T53" i="55"/>
  <c r="T52" i="55"/>
  <c r="U52" i="55" s="1"/>
  <c r="V52" i="55" s="1"/>
  <c r="U51" i="55"/>
  <c r="V51" i="55" s="1"/>
  <c r="T51" i="55"/>
  <c r="U50" i="55"/>
  <c r="V50" i="55" s="1"/>
  <c r="T50" i="55"/>
  <c r="T49" i="55"/>
  <c r="U49" i="55" s="1"/>
  <c r="V49" i="55" s="1"/>
  <c r="U48" i="55"/>
  <c r="V48" i="55" s="1"/>
  <c r="T48" i="55"/>
  <c r="U47" i="55"/>
  <c r="V47" i="55" s="1"/>
  <c r="T47" i="55"/>
  <c r="C47" i="55"/>
  <c r="T46" i="55"/>
  <c r="U46" i="55" s="1"/>
  <c r="V46" i="55" s="1"/>
  <c r="V45" i="55"/>
  <c r="U45" i="55"/>
  <c r="T45" i="55"/>
  <c r="C45" i="55"/>
  <c r="K43" i="55"/>
  <c r="K58" i="55" s="1"/>
  <c r="J43" i="55"/>
  <c r="C43" i="55"/>
  <c r="T41" i="55"/>
  <c r="C41" i="55"/>
  <c r="U41" i="55" s="1"/>
  <c r="V41" i="55" s="1"/>
  <c r="T40" i="55"/>
  <c r="C40" i="55"/>
  <c r="U40" i="55" s="1"/>
  <c r="V40" i="55" s="1"/>
  <c r="V39" i="55"/>
  <c r="U39" i="55"/>
  <c r="T39" i="55"/>
  <c r="T38" i="55"/>
  <c r="U38" i="55" s="1"/>
  <c r="V38" i="55" s="1"/>
  <c r="C38" i="55"/>
  <c r="U37" i="55"/>
  <c r="V37" i="55" s="1"/>
  <c r="T37" i="55"/>
  <c r="C37" i="55"/>
  <c r="T36" i="55"/>
  <c r="U36" i="55" s="1"/>
  <c r="V36" i="55" s="1"/>
  <c r="T35" i="55"/>
  <c r="U35" i="55" s="1"/>
  <c r="V35" i="55" s="1"/>
  <c r="V34" i="55"/>
  <c r="T34" i="55"/>
  <c r="C34" i="55"/>
  <c r="U34" i="55" s="1"/>
  <c r="U33" i="55"/>
  <c r="V33" i="55" s="1"/>
  <c r="T33" i="55"/>
  <c r="T32" i="55"/>
  <c r="U32" i="55" s="1"/>
  <c r="V32" i="55" s="1"/>
  <c r="U31" i="55"/>
  <c r="V31" i="55" s="1"/>
  <c r="T31" i="55"/>
  <c r="U30" i="55"/>
  <c r="V30" i="55" s="1"/>
  <c r="T30" i="55"/>
  <c r="T29" i="55"/>
  <c r="C29" i="55"/>
  <c r="U29" i="55" s="1"/>
  <c r="V29" i="55" s="1"/>
  <c r="V28" i="55"/>
  <c r="U28" i="55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U24" i="55"/>
  <c r="V24" i="55" s="1"/>
  <c r="T24" i="55"/>
  <c r="U23" i="55"/>
  <c r="V23" i="55" s="1"/>
  <c r="T23" i="55"/>
  <c r="T22" i="55"/>
  <c r="U22" i="55" s="1"/>
  <c r="V22" i="55" s="1"/>
  <c r="T21" i="55"/>
  <c r="C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V20" i="55"/>
  <c r="T20" i="55"/>
  <c r="C20" i="55"/>
  <c r="U20" i="55" s="1"/>
  <c r="A20" i="55"/>
  <c r="U19" i="55"/>
  <c r="V19" i="55" s="1"/>
  <c r="T19" i="55"/>
  <c r="F19" i="55"/>
  <c r="F58" i="55" s="1"/>
  <c r="T18" i="55"/>
  <c r="U18" i="55" s="1"/>
  <c r="V18" i="55" s="1"/>
  <c r="A18" i="55"/>
  <c r="U17" i="55"/>
  <c r="V17" i="55" s="1"/>
  <c r="T17" i="55"/>
  <c r="U16" i="55"/>
  <c r="V16" i="55" s="1"/>
  <c r="T16" i="55"/>
  <c r="T15" i="55"/>
  <c r="U15" i="55" s="1"/>
  <c r="V15" i="55" s="1"/>
  <c r="A15" i="55"/>
  <c r="A16" i="55" s="1"/>
  <c r="A17" i="55" s="1"/>
  <c r="U14" i="55"/>
  <c r="V14" i="55" s="1"/>
  <c r="T14" i="55"/>
  <c r="C14" i="55"/>
  <c r="A14" i="55"/>
  <c r="T13" i="55"/>
  <c r="U13" i="55" s="1"/>
  <c r="V13" i="55" s="1"/>
  <c r="T12" i="55"/>
  <c r="C12" i="55"/>
  <c r="U12" i="55" s="1"/>
  <c r="V12" i="55" s="1"/>
  <c r="U11" i="55"/>
  <c r="V11" i="55" s="1"/>
  <c r="T11" i="55"/>
  <c r="U10" i="55"/>
  <c r="V10" i="55" s="1"/>
  <c r="T10" i="55"/>
  <c r="C10" i="55"/>
  <c r="T9" i="55"/>
  <c r="U9" i="55" s="1"/>
  <c r="V9" i="55" s="1"/>
  <c r="C9" i="55"/>
  <c r="A9" i="55"/>
  <c r="A10" i="55" s="1"/>
  <c r="A11" i="55" s="1"/>
  <c r="T8" i="55"/>
  <c r="C8" i="55"/>
  <c r="U8" i="55" s="1"/>
  <c r="V8" i="55" s="1"/>
  <c r="A8" i="55"/>
  <c r="T7" i="55"/>
  <c r="C7" i="55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U54" i="32"/>
  <c r="V54" i="32" s="1"/>
  <c r="T54" i="32"/>
  <c r="U53" i="32"/>
  <c r="V53" i="32" s="1"/>
  <c r="T53" i="32"/>
  <c r="T52" i="32"/>
  <c r="U52" i="32" s="1"/>
  <c r="V52" i="32" s="1"/>
  <c r="U51" i="32"/>
  <c r="V51" i="32" s="1"/>
  <c r="T51" i="32"/>
  <c r="U50" i="32"/>
  <c r="V50" i="32" s="1"/>
  <c r="T50" i="32"/>
  <c r="T49" i="32"/>
  <c r="U49" i="32" s="1"/>
  <c r="V49" i="32" s="1"/>
  <c r="U48" i="32"/>
  <c r="V48" i="32" s="1"/>
  <c r="T48" i="32"/>
  <c r="U47" i="32"/>
  <c r="V47" i="32" s="1"/>
  <c r="T47" i="32"/>
  <c r="T46" i="32"/>
  <c r="U46" i="32" s="1"/>
  <c r="V46" i="32" s="1"/>
  <c r="U45" i="32"/>
  <c r="V45" i="32" s="1"/>
  <c r="T45" i="32"/>
  <c r="V43" i="32"/>
  <c r="T43" i="32"/>
  <c r="U43" i="32" s="1"/>
  <c r="U41" i="32"/>
  <c r="V41" i="32" s="1"/>
  <c r="T41" i="32"/>
  <c r="T40" i="32"/>
  <c r="U40" i="32" s="1"/>
  <c r="V40" i="32" s="1"/>
  <c r="V38" i="32"/>
  <c r="U38" i="32"/>
  <c r="T38" i="32"/>
  <c r="T37" i="32"/>
  <c r="U37" i="32" s="1"/>
  <c r="V37" i="32" s="1"/>
  <c r="T36" i="32"/>
  <c r="U36" i="32" s="1"/>
  <c r="V36" i="32" s="1"/>
  <c r="V35" i="32"/>
  <c r="U35" i="32"/>
  <c r="T35" i="32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V29" i="32"/>
  <c r="U29" i="32"/>
  <c r="T29" i="32"/>
  <c r="T28" i="32"/>
  <c r="U28" i="32" s="1"/>
  <c r="V28" i="32" s="1"/>
  <c r="U26" i="32"/>
  <c r="V26" i="32" s="1"/>
  <c r="T26" i="32"/>
  <c r="AY25" i="32"/>
  <c r="T25" i="32"/>
  <c r="U25" i="32" s="1"/>
  <c r="V25" i="32" s="1"/>
  <c r="T24" i="32"/>
  <c r="U24" i="32" s="1"/>
  <c r="V24" i="32" s="1"/>
  <c r="V23" i="32"/>
  <c r="T23" i="32"/>
  <c r="U23" i="32" s="1"/>
  <c r="T22" i="32"/>
  <c r="U22" i="32" s="1"/>
  <c r="V22" i="32" s="1"/>
  <c r="T21" i="32"/>
  <c r="U21" i="32" s="1"/>
  <c r="V21" i="32" s="1"/>
  <c r="A21" i="32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20" i="32"/>
  <c r="U20" i="32" s="1"/>
  <c r="V20" i="32" s="1"/>
  <c r="A20" i="32"/>
  <c r="T19" i="32"/>
  <c r="U19" i="32" s="1"/>
  <c r="V19" i="32" s="1"/>
  <c r="U18" i="32"/>
  <c r="V18" i="32" s="1"/>
  <c r="T18" i="32"/>
  <c r="U17" i="32"/>
  <c r="V17" i="32" s="1"/>
  <c r="T17" i="32"/>
  <c r="T16" i="32"/>
  <c r="U16" i="32" s="1"/>
  <c r="V16" i="32" s="1"/>
  <c r="U15" i="32"/>
  <c r="V15" i="32" s="1"/>
  <c r="T15" i="32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T11" i="32"/>
  <c r="U11" i="32" s="1"/>
  <c r="V11" i="32" s="1"/>
  <c r="U10" i="32"/>
  <c r="V10" i="32" s="1"/>
  <c r="T10" i="32"/>
  <c r="U9" i="32"/>
  <c r="V9" i="32" s="1"/>
  <c r="T9" i="32"/>
  <c r="T8" i="32"/>
  <c r="T58" i="32" s="1"/>
  <c r="A8" i="32"/>
  <c r="A9" i="32" s="1"/>
  <c r="A10" i="32" s="1"/>
  <c r="A11" i="32" s="1"/>
  <c r="U7" i="32"/>
  <c r="T7" i="32"/>
  <c r="R58" i="62"/>
  <c r="Q58" i="62"/>
  <c r="P58" i="62"/>
  <c r="O58" i="62"/>
  <c r="N58" i="62"/>
  <c r="M58" i="62"/>
  <c r="K58" i="62"/>
  <c r="J58" i="62"/>
  <c r="I58" i="62"/>
  <c r="G58" i="62"/>
  <c r="F58" i="62"/>
  <c r="V54" i="62"/>
  <c r="U54" i="62"/>
  <c r="T54" i="62"/>
  <c r="T53" i="62"/>
  <c r="U53" i="62" s="1"/>
  <c r="V53" i="62" s="1"/>
  <c r="U52" i="62"/>
  <c r="V52" i="62" s="1"/>
  <c r="T52" i="62"/>
  <c r="U51" i="62"/>
  <c r="V51" i="62" s="1"/>
  <c r="T51" i="62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U46" i="62"/>
  <c r="V46" i="62" s="1"/>
  <c r="T46" i="62"/>
  <c r="U45" i="62"/>
  <c r="V45" i="62" s="1"/>
  <c r="T45" i="62"/>
  <c r="T43" i="62"/>
  <c r="T41" i="62"/>
  <c r="U41" i="62" s="1"/>
  <c r="V41" i="62" s="1"/>
  <c r="U40" i="62"/>
  <c r="V40" i="62" s="1"/>
  <c r="T40" i="62"/>
  <c r="U39" i="62"/>
  <c r="V39" i="62" s="1"/>
  <c r="T39" i="62"/>
  <c r="T38" i="62"/>
  <c r="U38" i="62" s="1"/>
  <c r="V38" i="62" s="1"/>
  <c r="T37" i="62"/>
  <c r="U37" i="62" s="1"/>
  <c r="V37" i="62" s="1"/>
  <c r="U36" i="62"/>
  <c r="V36" i="62" s="1"/>
  <c r="T36" i="62"/>
  <c r="T35" i="62"/>
  <c r="U35" i="62" s="1"/>
  <c r="V35" i="62" s="1"/>
  <c r="T34" i="62"/>
  <c r="U34" i="62" s="1"/>
  <c r="V34" i="62" s="1"/>
  <c r="U33" i="62"/>
  <c r="V33" i="62" s="1"/>
  <c r="T33" i="62"/>
  <c r="T32" i="62"/>
  <c r="U32" i="62" s="1"/>
  <c r="V32" i="62" s="1"/>
  <c r="U31" i="62"/>
  <c r="V31" i="62" s="1"/>
  <c r="T31" i="62"/>
  <c r="U30" i="62"/>
  <c r="V30" i="62" s="1"/>
  <c r="T30" i="62"/>
  <c r="T29" i="62"/>
  <c r="U29" i="62" s="1"/>
  <c r="V29" i="62" s="1"/>
  <c r="A29" i="62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U28" i="62"/>
  <c r="V28" i="62" s="1"/>
  <c r="T28" i="62"/>
  <c r="U27" i="62"/>
  <c r="V27" i="62" s="1"/>
  <c r="T27" i="62"/>
  <c r="T26" i="62"/>
  <c r="U26" i="62" s="1"/>
  <c r="V26" i="62" s="1"/>
  <c r="A26" i="62"/>
  <c r="A27" i="62" s="1"/>
  <c r="A28" i="62" s="1"/>
  <c r="AY25" i="62"/>
  <c r="U25" i="62"/>
  <c r="V25" i="62" s="1"/>
  <c r="T25" i="62"/>
  <c r="T24" i="62"/>
  <c r="U24" i="62" s="1"/>
  <c r="V24" i="62" s="1"/>
  <c r="U23" i="62"/>
  <c r="V23" i="62" s="1"/>
  <c r="T23" i="62"/>
  <c r="T22" i="62"/>
  <c r="U22" i="62" s="1"/>
  <c r="V22" i="62" s="1"/>
  <c r="T20" i="62"/>
  <c r="U20" i="62" s="1"/>
  <c r="V20" i="62" s="1"/>
  <c r="A20" i="62"/>
  <c r="A21" i="62" s="1"/>
  <c r="A22" i="62" s="1"/>
  <c r="A23" i="62" s="1"/>
  <c r="A24" i="62" s="1"/>
  <c r="A25" i="62" s="1"/>
  <c r="T19" i="62"/>
  <c r="U19" i="62" s="1"/>
  <c r="V19" i="62" s="1"/>
  <c r="U18" i="62"/>
  <c r="V18" i="62" s="1"/>
  <c r="T18" i="62"/>
  <c r="T17" i="62"/>
  <c r="U17" i="62" s="1"/>
  <c r="V17" i="62" s="1"/>
  <c r="A17" i="62"/>
  <c r="A18" i="62" s="1"/>
  <c r="T16" i="62"/>
  <c r="U16" i="62" s="1"/>
  <c r="V16" i="62" s="1"/>
  <c r="U15" i="62"/>
  <c r="V15" i="62" s="1"/>
  <c r="T15" i="62"/>
  <c r="T14" i="62"/>
  <c r="U14" i="62" s="1"/>
  <c r="V14" i="62" s="1"/>
  <c r="A14" i="62"/>
  <c r="A15" i="62" s="1"/>
  <c r="A16" i="62" s="1"/>
  <c r="T13" i="62"/>
  <c r="U13" i="62" s="1"/>
  <c r="V13" i="62" s="1"/>
  <c r="T12" i="62"/>
  <c r="U11" i="62"/>
  <c r="V11" i="62" s="1"/>
  <c r="T11" i="62"/>
  <c r="U10" i="62"/>
  <c r="V10" i="62" s="1"/>
  <c r="T10" i="62"/>
  <c r="U9" i="62"/>
  <c r="V9" i="62" s="1"/>
  <c r="T9" i="62"/>
  <c r="T8" i="62"/>
  <c r="A8" i="62"/>
  <c r="A9" i="62" s="1"/>
  <c r="A10" i="62" s="1"/>
  <c r="A11" i="62" s="1"/>
  <c r="T7" i="62"/>
  <c r="U7" i="62" s="1"/>
  <c r="V7" i="62" s="1"/>
  <c r="U12" i="79" l="1"/>
  <c r="V12" i="79" s="1"/>
  <c r="U47" i="79"/>
  <c r="V47" i="79" s="1"/>
  <c r="U41" i="79"/>
  <c r="V41" i="79" s="1"/>
  <c r="U34" i="79"/>
  <c r="V34" i="79" s="1"/>
  <c r="U19" i="79"/>
  <c r="V19" i="79" s="1"/>
  <c r="U11" i="79"/>
  <c r="V11" i="79" s="1"/>
  <c r="U8" i="79"/>
  <c r="V8" i="79" s="1"/>
  <c r="U43" i="78"/>
  <c r="V43" i="78" s="1"/>
  <c r="U41" i="78"/>
  <c r="V41" i="78" s="1"/>
  <c r="U37" i="78"/>
  <c r="V37" i="78" s="1"/>
  <c r="U12" i="78"/>
  <c r="V12" i="78" s="1"/>
  <c r="U8" i="78"/>
  <c r="V8" i="78" s="1"/>
  <c r="U12" i="77"/>
  <c r="V12" i="77" s="1"/>
  <c r="U43" i="77"/>
  <c r="V43" i="77" s="1"/>
  <c r="U41" i="77"/>
  <c r="V41" i="77" s="1"/>
  <c r="U37" i="77"/>
  <c r="V37" i="77" s="1"/>
  <c r="U25" i="77"/>
  <c r="V25" i="77" s="1"/>
  <c r="J58" i="76"/>
  <c r="T43" i="76"/>
  <c r="U43" i="76" s="1"/>
  <c r="V43" i="76" s="1"/>
  <c r="U37" i="76"/>
  <c r="V37" i="76" s="1"/>
  <c r="U8" i="76"/>
  <c r="V8" i="76" s="1"/>
  <c r="U47" i="75"/>
  <c r="V47" i="75" s="1"/>
  <c r="U43" i="75"/>
  <c r="V43" i="75" s="1"/>
  <c r="U40" i="75"/>
  <c r="V40" i="75" s="1"/>
  <c r="U25" i="75"/>
  <c r="V25" i="75" s="1"/>
  <c r="H58" i="75"/>
  <c r="T17" i="75"/>
  <c r="U17" i="75" s="1"/>
  <c r="V17" i="75" s="1"/>
  <c r="U8" i="75"/>
  <c r="V8" i="75" s="1"/>
  <c r="J58" i="73"/>
  <c r="T43" i="73"/>
  <c r="T58" i="80"/>
  <c r="U7" i="80"/>
  <c r="T58" i="79"/>
  <c r="U7" i="79"/>
  <c r="U7" i="78"/>
  <c r="T58" i="78"/>
  <c r="U7" i="77"/>
  <c r="T58" i="77"/>
  <c r="U40" i="72"/>
  <c r="V40" i="72" s="1"/>
  <c r="U47" i="68"/>
  <c r="V47" i="68" s="1"/>
  <c r="U43" i="68"/>
  <c r="V43" i="68" s="1"/>
  <c r="U41" i="68"/>
  <c r="V41" i="68" s="1"/>
  <c r="U37" i="68"/>
  <c r="V37" i="68" s="1"/>
  <c r="U25" i="68"/>
  <c r="V25" i="68" s="1"/>
  <c r="U19" i="68"/>
  <c r="V19" i="68" s="1"/>
  <c r="T17" i="68"/>
  <c r="U17" i="68" s="1"/>
  <c r="V17" i="68" s="1"/>
  <c r="H58" i="68"/>
  <c r="U8" i="68"/>
  <c r="V8" i="68" s="1"/>
  <c r="T58" i="68"/>
  <c r="U7" i="68"/>
  <c r="V47" i="71"/>
  <c r="T43" i="71"/>
  <c r="U43" i="71" s="1"/>
  <c r="V43" i="71" s="1"/>
  <c r="J58" i="71"/>
  <c r="U41" i="71"/>
  <c r="V41" i="71" s="1"/>
  <c r="U40" i="71"/>
  <c r="V40" i="71" s="1"/>
  <c r="T19" i="71"/>
  <c r="U19" i="71" s="1"/>
  <c r="V19" i="71" s="1"/>
  <c r="H58" i="71"/>
  <c r="T58" i="71"/>
  <c r="U8" i="71"/>
  <c r="V8" i="71" s="1"/>
  <c r="T58" i="76"/>
  <c r="U7" i="76"/>
  <c r="T58" i="75"/>
  <c r="U7" i="75"/>
  <c r="U7" i="73"/>
  <c r="T58" i="72"/>
  <c r="U7" i="72"/>
  <c r="U47" i="70"/>
  <c r="V47" i="70" s="1"/>
  <c r="T43" i="70"/>
  <c r="U43" i="70" s="1"/>
  <c r="V43" i="70" s="1"/>
  <c r="K58" i="70"/>
  <c r="U41" i="70"/>
  <c r="V41" i="70" s="1"/>
  <c r="U40" i="70"/>
  <c r="V40" i="70" s="1"/>
  <c r="U37" i="70"/>
  <c r="V37" i="70" s="1"/>
  <c r="T19" i="70"/>
  <c r="U19" i="70" s="1"/>
  <c r="V19" i="70" s="1"/>
  <c r="H58" i="70"/>
  <c r="U12" i="70"/>
  <c r="V12" i="70" s="1"/>
  <c r="T58" i="70"/>
  <c r="U8" i="70"/>
  <c r="V8" i="70" s="1"/>
  <c r="U43" i="69"/>
  <c r="V43" i="69" s="1"/>
  <c r="U41" i="69"/>
  <c r="V41" i="69" s="1"/>
  <c r="U21" i="69"/>
  <c r="V21" i="69" s="1"/>
  <c r="H58" i="69"/>
  <c r="T17" i="69"/>
  <c r="U17" i="69" s="1"/>
  <c r="V17" i="69" s="1"/>
  <c r="U12" i="69"/>
  <c r="V12" i="69" s="1"/>
  <c r="U9" i="69"/>
  <c r="V9" i="69" s="1"/>
  <c r="U8" i="69"/>
  <c r="V8" i="69" s="1"/>
  <c r="T58" i="69"/>
  <c r="U7" i="69"/>
  <c r="U53" i="67"/>
  <c r="V53" i="67" s="1"/>
  <c r="U47" i="67"/>
  <c r="V47" i="67" s="1"/>
  <c r="T43" i="67"/>
  <c r="U43" i="67" s="1"/>
  <c r="V43" i="67" s="1"/>
  <c r="K58" i="67"/>
  <c r="U41" i="67"/>
  <c r="V41" i="67" s="1"/>
  <c r="U40" i="67"/>
  <c r="V40" i="67" s="1"/>
  <c r="U37" i="67"/>
  <c r="V37" i="67" s="1"/>
  <c r="U34" i="67"/>
  <c r="V34" i="67" s="1"/>
  <c r="T19" i="67"/>
  <c r="U19" i="67" s="1"/>
  <c r="V19" i="67" s="1"/>
  <c r="H58" i="67"/>
  <c r="U9" i="67"/>
  <c r="V9" i="67" s="1"/>
  <c r="T58" i="67"/>
  <c r="U7" i="71"/>
  <c r="U7" i="70"/>
  <c r="H58" i="66"/>
  <c r="U46" i="66"/>
  <c r="V46" i="66" s="1"/>
  <c r="T43" i="66"/>
  <c r="U43" i="66" s="1"/>
  <c r="V43" i="66" s="1"/>
  <c r="C58" i="66"/>
  <c r="U41" i="66"/>
  <c r="V41" i="66" s="1"/>
  <c r="U40" i="66"/>
  <c r="V40" i="66" s="1"/>
  <c r="C58" i="63"/>
  <c r="U37" i="63"/>
  <c r="V37" i="63" s="1"/>
  <c r="T23" i="63"/>
  <c r="U23" i="63" s="1"/>
  <c r="V23" i="63" s="1"/>
  <c r="U9" i="63"/>
  <c r="V9" i="63" s="1"/>
  <c r="V7" i="67"/>
  <c r="U8" i="67"/>
  <c r="V8" i="67" s="1"/>
  <c r="V8" i="66"/>
  <c r="U43" i="61"/>
  <c r="V43" i="61" s="1"/>
  <c r="U41" i="61"/>
  <c r="V41" i="61" s="1"/>
  <c r="U40" i="61"/>
  <c r="V40" i="61" s="1"/>
  <c r="C58" i="61"/>
  <c r="H58" i="61"/>
  <c r="T19" i="61"/>
  <c r="U19" i="61" s="1"/>
  <c r="V19" i="61" s="1"/>
  <c r="U47" i="65"/>
  <c r="V47" i="65" s="1"/>
  <c r="U43" i="65"/>
  <c r="V43" i="65" s="1"/>
  <c r="U41" i="65"/>
  <c r="V41" i="65" s="1"/>
  <c r="U37" i="65"/>
  <c r="V37" i="65" s="1"/>
  <c r="C58" i="65"/>
  <c r="H58" i="65"/>
  <c r="U47" i="64"/>
  <c r="V47" i="64" s="1"/>
  <c r="U43" i="64"/>
  <c r="V43" i="64" s="1"/>
  <c r="C58" i="64"/>
  <c r="U34" i="64"/>
  <c r="V34" i="64" s="1"/>
  <c r="T22" i="64"/>
  <c r="U22" i="64" s="1"/>
  <c r="V22" i="64" s="1"/>
  <c r="U12" i="64"/>
  <c r="V12" i="64" s="1"/>
  <c r="U8" i="64"/>
  <c r="V8" i="64" s="1"/>
  <c r="H58" i="62"/>
  <c r="U43" i="62"/>
  <c r="V43" i="62" s="1"/>
  <c r="T21" i="62"/>
  <c r="U21" i="62" s="1"/>
  <c r="V21" i="62" s="1"/>
  <c r="C58" i="62"/>
  <c r="U8" i="62"/>
  <c r="V8" i="62" s="1"/>
  <c r="J58" i="55"/>
  <c r="T43" i="55"/>
  <c r="T23" i="57"/>
  <c r="U23" i="57" s="1"/>
  <c r="V23" i="57" s="1"/>
  <c r="H58" i="57"/>
  <c r="V7" i="63"/>
  <c r="V7" i="61"/>
  <c r="V7" i="56"/>
  <c r="V58" i="56" s="1"/>
  <c r="C58" i="55"/>
  <c r="U43" i="55"/>
  <c r="V43" i="55" s="1"/>
  <c r="T58" i="55"/>
  <c r="U8" i="57"/>
  <c r="V8" i="57" s="1"/>
  <c r="C58" i="57"/>
  <c r="U43" i="56"/>
  <c r="V43" i="56" s="1"/>
  <c r="U7" i="55"/>
  <c r="T43" i="57"/>
  <c r="T58" i="57" s="1"/>
  <c r="U12" i="59"/>
  <c r="V12" i="59" s="1"/>
  <c r="T43" i="56"/>
  <c r="T43" i="59"/>
  <c r="T58" i="59" s="1"/>
  <c r="H58" i="60"/>
  <c r="T58" i="56"/>
  <c r="V7" i="60"/>
  <c r="C58" i="60"/>
  <c r="U47" i="60"/>
  <c r="V47" i="60" s="1"/>
  <c r="U43" i="59"/>
  <c r="V43" i="59" s="1"/>
  <c r="U8" i="32"/>
  <c r="V8" i="32" s="1"/>
  <c r="U12" i="62"/>
  <c r="V12" i="62" s="1"/>
  <c r="U7" i="59"/>
  <c r="U43" i="60"/>
  <c r="V43" i="60" s="1"/>
  <c r="T58" i="65"/>
  <c r="U7" i="65"/>
  <c r="J58" i="60"/>
  <c r="T43" i="60"/>
  <c r="T58" i="60" s="1"/>
  <c r="V7" i="32"/>
  <c r="U41" i="59"/>
  <c r="V41" i="59" s="1"/>
  <c r="U7" i="64"/>
  <c r="U43" i="73" l="1"/>
  <c r="V43" i="73" s="1"/>
  <c r="T58" i="73"/>
  <c r="U58" i="80"/>
  <c r="V7" i="80"/>
  <c r="V58" i="80" s="1"/>
  <c r="V7" i="79"/>
  <c r="V58" i="79" s="1"/>
  <c r="U58" i="79"/>
  <c r="V7" i="78"/>
  <c r="V58" i="78" s="1"/>
  <c r="U58" i="78"/>
  <c r="U58" i="77"/>
  <c r="V7" i="77"/>
  <c r="V58" i="77" s="1"/>
  <c r="U58" i="68"/>
  <c r="V7" i="68"/>
  <c r="V58" i="68" s="1"/>
  <c r="U58" i="76"/>
  <c r="V7" i="76"/>
  <c r="V58" i="76" s="1"/>
  <c r="V7" i="75"/>
  <c r="V58" i="75" s="1"/>
  <c r="U58" i="75"/>
  <c r="V7" i="73"/>
  <c r="U58" i="73"/>
  <c r="U58" i="72"/>
  <c r="V7" i="72"/>
  <c r="V58" i="72" s="1"/>
  <c r="U58" i="69"/>
  <c r="V7" i="69"/>
  <c r="V58" i="69" s="1"/>
  <c r="U58" i="71"/>
  <c r="V7" i="71"/>
  <c r="V58" i="71" s="1"/>
  <c r="U58" i="70"/>
  <c r="V7" i="70"/>
  <c r="V58" i="70" s="1"/>
  <c r="T58" i="66"/>
  <c r="U58" i="66"/>
  <c r="V58" i="66"/>
  <c r="T58" i="63"/>
  <c r="U58" i="63"/>
  <c r="V58" i="63"/>
  <c r="U58" i="67"/>
  <c r="V58" i="67"/>
  <c r="V58" i="61"/>
  <c r="T58" i="61"/>
  <c r="U58" i="61"/>
  <c r="T58" i="64"/>
  <c r="T58" i="62"/>
  <c r="V58" i="62"/>
  <c r="V58" i="57"/>
  <c r="U58" i="55"/>
  <c r="V7" i="55"/>
  <c r="V58" i="55" s="1"/>
  <c r="U58" i="60"/>
  <c r="V58" i="60"/>
  <c r="U58" i="62"/>
  <c r="V58" i="32"/>
  <c r="U58" i="65"/>
  <c r="V7" i="65"/>
  <c r="V58" i="65" s="1"/>
  <c r="U43" i="57"/>
  <c r="V43" i="57" s="1"/>
  <c r="U58" i="32"/>
  <c r="V7" i="64"/>
  <c r="V58" i="64" s="1"/>
  <c r="U58" i="64"/>
  <c r="V7" i="59"/>
  <c r="V58" i="59" s="1"/>
  <c r="U58" i="59"/>
  <c r="U58" i="56"/>
  <c r="V58" i="73" l="1"/>
  <c r="U58" i="57"/>
</calcChain>
</file>

<file path=xl/sharedStrings.xml><?xml version="1.0" encoding="utf-8"?>
<sst xmlns="http://schemas.openxmlformats.org/spreadsheetml/2006/main" count="2100" uniqueCount="95">
  <si>
    <t>INVENTORY COUNT SHEET</t>
  </si>
  <si>
    <t>GUILLERMO BEVERAGE DISTRIBUTION SERVICES</t>
  </si>
  <si>
    <t xml:space="preserve">DATE: </t>
  </si>
  <si>
    <t>FULLS
 SKU</t>
  </si>
  <si>
    <t>FLOOR STOCKS</t>
  </si>
  <si>
    <t>ROUTE 1</t>
  </si>
  <si>
    <t>bot</t>
  </si>
  <si>
    <t>ROUTE 2</t>
  </si>
  <si>
    <t>ROUTE 3</t>
  </si>
  <si>
    <t>WAREHOUSE,  MISSING, BO, LILOY</t>
  </si>
  <si>
    <t>TOTAL INVENTORY BOTTLE PER CASE</t>
  </si>
  <si>
    <t>TOTAL INVENTORY PER CASE</t>
  </si>
  <si>
    <t>WB</t>
  </si>
  <si>
    <t>M</t>
  </si>
  <si>
    <t>WB BO LIL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</si>
  <si>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</si>
  <si>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</si>
  <si>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</si>
  <si>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</si>
  <si>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</si>
  <si>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</si>
  <si>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</si>
  <si>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</si>
  <si>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</si>
  <si>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</si>
  <si>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</si>
  <si>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SMLL</t>
  </si>
  <si>
    <t>CBB</t>
  </si>
  <si>
    <t>SDB</t>
  </si>
  <si>
    <t>SDC</t>
  </si>
  <si>
    <t>CNB</t>
  </si>
  <si>
    <t>CLC</t>
  </si>
  <si>
    <t>SMZB</t>
  </si>
  <si>
    <t>SMLB</t>
  </si>
  <si>
    <t>SMLC</t>
  </si>
  <si>
    <t>SML500C</t>
  </si>
  <si>
    <t>FBA</t>
  </si>
  <si>
    <t>FBL</t>
  </si>
  <si>
    <t>FBLY</t>
  </si>
  <si>
    <t>FBAC</t>
  </si>
  <si>
    <t>FBLC</t>
  </si>
  <si>
    <t>FBLYC</t>
  </si>
  <si>
    <t>PP</t>
  </si>
  <si>
    <t>RHSL</t>
  </si>
  <si>
    <t>PPG</t>
  </si>
  <si>
    <t>PL</t>
  </si>
  <si>
    <t>PPC</t>
  </si>
  <si>
    <t>PP500C</t>
  </si>
  <si>
    <t>RHS</t>
  </si>
  <si>
    <t>RHP</t>
  </si>
  <si>
    <t>HTL</t>
  </si>
  <si>
    <t>RHL</t>
  </si>
  <si>
    <t>HTS</t>
  </si>
  <si>
    <t>RHC</t>
  </si>
  <si>
    <t>RH500C</t>
  </si>
  <si>
    <t>SMFB</t>
  </si>
  <si>
    <t>SMFC</t>
  </si>
  <si>
    <t>GE320</t>
  </si>
  <si>
    <t>GEK</t>
  </si>
  <si>
    <t>HSC</t>
  </si>
  <si>
    <t>MGYZ</t>
  </si>
  <si>
    <t>TOTAL</t>
  </si>
  <si>
    <t>EMPTIES</t>
  </si>
  <si>
    <t>TOTAL EMPTIES</t>
  </si>
  <si>
    <t>SHL</t>
  </si>
  <si>
    <t>BOT</t>
  </si>
  <si>
    <t>PL/RHL/GEK</t>
  </si>
  <si>
    <t>RH5</t>
  </si>
  <si>
    <t>FB/SML/RHS</t>
  </si>
  <si>
    <t>HT</t>
  </si>
  <si>
    <t>PALLETS</t>
  </si>
  <si>
    <t>DATE: 05/01/2026</t>
  </si>
  <si>
    <t>DATE: 05/02/2026</t>
  </si>
  <si>
    <t>DATE: 05/03/2026</t>
  </si>
  <si>
    <t>DATE: 05/05/2026</t>
  </si>
  <si>
    <t>DATE: 05/06/2026</t>
  </si>
  <si>
    <t>DATE: 05/08/2026</t>
  </si>
  <si>
    <t>DATE: 05/11/2026</t>
  </si>
  <si>
    <t>DATE: 05/12/2026</t>
  </si>
  <si>
    <t>DATE: 05/13/2026</t>
  </si>
  <si>
    <t>DATE: 05/15/2026</t>
  </si>
  <si>
    <t>DATE: 05/14/2026</t>
  </si>
  <si>
    <t>DATE: 05/16/2026</t>
  </si>
  <si>
    <t>DATE: 05/18/2026</t>
  </si>
  <si>
    <t>DATE: 05/19/2026</t>
  </si>
  <si>
    <t>DATE: 05/20/2026</t>
  </si>
  <si>
    <t>DATE: 05/21/2026</t>
  </si>
  <si>
    <t>DATE: 05/22/2026</t>
  </si>
  <si>
    <t>DATE: 05/23/2026</t>
  </si>
  <si>
    <t>DATE: 05/25/2026</t>
  </si>
  <si>
    <t>DATE: 05/26/2026</t>
  </si>
  <si>
    <t>DATE: 05/27/2026</t>
  </si>
  <si>
    <t>DATE: 05/28/2026</t>
  </si>
  <si>
    <t>DATE: 05/29/2026</t>
  </si>
  <si>
    <t>DATE: 05/30/2026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</si>
</sst>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F800]dddd\,\ mmmm\ dd\,\ yyyy"/>
  </numFmts>
  <fonts count="16">
    <font>
      <sz val="11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sz val="12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sz val="8"/>
      <name val="Calibri"/>
      <charset val="134"/>
      <scheme val="minor"/>
    </font>
    <font>
      <b/>
      <sz val="9"/>
      <name val="Calibri"/>
      <charset val="134"/>
      <scheme val="minor"/>
    </font>
    <font>
      <b/>
      <sz val="11"/>
      <name val="Calibri"/>
      <charset val="134"/>
      <scheme val="minor"/>
    </font>
    <font>
      <sz val="10"/>
      <color theme="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0" fontId="14" fillId="0" borderId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1" fillId="0" borderId="1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vertical="center"/>
    </xf>
    <xf numFmtId="164" fontId="6" fillId="0" borderId="4" xfId="2" applyNumberFormat="1" applyFont="1" applyFill="1" applyBorder="1" applyAlignment="1">
      <alignment vertical="center"/>
    </xf>
    <xf numFmtId="0" fontId="5" fillId="0" borderId="5" xfId="1" applyFont="1" applyBorder="1" applyAlignment="1">
      <alignment vertical="center"/>
    </xf>
    <xf numFmtId="164" fontId="6" fillId="0" borderId="6" xfId="2" applyNumberFormat="1" applyFont="1" applyFill="1" applyBorder="1" applyAlignment="1">
      <alignment vertical="center"/>
    </xf>
    <xf numFmtId="0" fontId="5" fillId="0" borderId="7" xfId="1" applyFont="1" applyBorder="1" applyAlignment="1">
      <alignment vertical="center"/>
    </xf>
    <xf numFmtId="164" fontId="6" fillId="0" borderId="8" xfId="2" applyNumberFormat="1" applyFont="1" applyFill="1" applyBorder="1" applyAlignment="1">
      <alignment vertical="center"/>
    </xf>
    <xf numFmtId="0" fontId="5" fillId="0" borderId="9" xfId="1" applyFont="1" applyBorder="1" applyAlignment="1">
      <alignment vertical="center"/>
    </xf>
    <xf numFmtId="164" fontId="6" fillId="0" borderId="10" xfId="2" applyNumberFormat="1" applyFont="1" applyFill="1" applyBorder="1" applyAlignment="1">
      <alignment vertical="center"/>
    </xf>
    <xf numFmtId="0" fontId="5" fillId="0" borderId="11" xfId="1" applyFont="1" applyBorder="1" applyAlignment="1">
      <alignment vertical="center"/>
    </xf>
    <xf numFmtId="164" fontId="6" fillId="0" borderId="12" xfId="2" applyNumberFormat="1" applyFont="1" applyFill="1" applyBorder="1" applyAlignment="1">
      <alignment vertical="center"/>
    </xf>
    <xf numFmtId="164" fontId="6" fillId="0" borderId="13" xfId="2" applyNumberFormat="1" applyFont="1" applyFill="1" applyBorder="1" applyAlignment="1">
      <alignment vertical="center"/>
    </xf>
    <xf numFmtId="0" fontId="5" fillId="0" borderId="14" xfId="1" applyFont="1" applyBorder="1" applyAlignment="1">
      <alignment vertical="center" wrapText="1"/>
    </xf>
    <xf numFmtId="164" fontId="1" fillId="0" borderId="15" xfId="1" applyNumberFormat="1" applyFont="1" applyBorder="1" applyAlignment="1">
      <alignment vertical="center"/>
    </xf>
    <xf numFmtId="0" fontId="5" fillId="0" borderId="16" xfId="1" applyFont="1" applyBorder="1" applyAlignment="1">
      <alignment vertical="center"/>
    </xf>
    <xf numFmtId="0" fontId="5" fillId="0" borderId="1" xfId="1" applyFont="1" applyBorder="1" applyAlignment="1">
      <alignment vertical="center"/>
    </xf>
    <xf numFmtId="164" fontId="3" fillId="0" borderId="2" xfId="2" applyNumberFormat="1" applyFont="1" applyFill="1" applyBorder="1" applyAlignment="1">
      <alignment vertical="center"/>
    </xf>
    <xf numFmtId="0" fontId="4" fillId="0" borderId="3" xfId="1" applyFont="1" applyBorder="1" applyAlignment="1">
      <alignment vertical="center"/>
    </xf>
    <xf numFmtId="164" fontId="3" fillId="0" borderId="4" xfId="2" applyNumberFormat="1" applyFont="1" applyFill="1" applyBorder="1" applyAlignment="1">
      <alignment vertical="center"/>
    </xf>
    <xf numFmtId="0" fontId="4" fillId="0" borderId="14" xfId="1" applyFont="1" applyBorder="1" applyAlignment="1">
      <alignment vertical="center"/>
    </xf>
    <xf numFmtId="164" fontId="3" fillId="0" borderId="15" xfId="2" applyNumberFormat="1" applyFont="1" applyFill="1" applyBorder="1" applyAlignment="1">
      <alignment vertical="center"/>
    </xf>
    <xf numFmtId="0" fontId="1" fillId="0" borderId="21" xfId="1" applyFont="1" applyBorder="1" applyAlignment="1">
      <alignment horizontal="center" vertical="center"/>
    </xf>
    <xf numFmtId="0" fontId="1" fillId="0" borderId="23" xfId="1" applyFont="1" applyBorder="1" applyAlignment="1">
      <alignment horizontal="center" vertical="center"/>
    </xf>
    <xf numFmtId="164" fontId="6" fillId="0" borderId="21" xfId="2" applyNumberFormat="1" applyFont="1" applyFill="1" applyBorder="1" applyAlignment="1">
      <alignment vertical="center"/>
    </xf>
    <xf numFmtId="164" fontId="6" fillId="0" borderId="23" xfId="2" applyNumberFormat="1" applyFont="1" applyFill="1" applyBorder="1" applyAlignment="1">
      <alignment vertical="center"/>
    </xf>
    <xf numFmtId="0" fontId="6" fillId="0" borderId="0" xfId="1" applyFont="1" applyAlignment="1">
      <alignment vertical="center"/>
    </xf>
    <xf numFmtId="164" fontId="6" fillId="0" borderId="24" xfId="2" applyNumberFormat="1" applyFont="1" applyFill="1" applyBorder="1" applyAlignment="1">
      <alignment vertical="center"/>
    </xf>
    <xf numFmtId="164" fontId="6" fillId="0" borderId="25" xfId="2" applyNumberFormat="1" applyFont="1" applyFill="1" applyBorder="1" applyAlignment="1">
      <alignment vertical="center"/>
    </xf>
    <xf numFmtId="0" fontId="6" fillId="0" borderId="26" xfId="1" applyFont="1" applyBorder="1" applyAlignment="1">
      <alignment vertical="center"/>
    </xf>
    <xf numFmtId="164" fontId="6" fillId="0" borderId="27" xfId="2" applyNumberFormat="1" applyFont="1" applyFill="1" applyBorder="1" applyAlignment="1">
      <alignment vertical="center"/>
    </xf>
    <xf numFmtId="164" fontId="6" fillId="0" borderId="28" xfId="2" applyNumberFormat="1" applyFont="1" applyFill="1" applyBorder="1" applyAlignment="1">
      <alignment vertical="center"/>
    </xf>
    <xf numFmtId="164" fontId="6" fillId="0" borderId="29" xfId="2" applyNumberFormat="1" applyFont="1" applyFill="1" applyBorder="1" applyAlignment="1">
      <alignment vertical="center"/>
    </xf>
    <xf numFmtId="164" fontId="6" fillId="0" borderId="30" xfId="2" applyNumberFormat="1" applyFont="1" applyFill="1" applyBorder="1" applyAlignment="1">
      <alignment vertical="center"/>
    </xf>
    <xf numFmtId="164" fontId="6" fillId="0" borderId="31" xfId="2" applyNumberFormat="1" applyFont="1" applyFill="1" applyBorder="1" applyAlignment="1">
      <alignment vertical="center"/>
    </xf>
    <xf numFmtId="164" fontId="6" fillId="0" borderId="32" xfId="2" applyNumberFormat="1" applyFont="1" applyFill="1" applyBorder="1" applyAlignment="1">
      <alignment vertical="center"/>
    </xf>
    <xf numFmtId="0" fontId="6" fillId="0" borderId="33" xfId="1" applyFont="1" applyBorder="1" applyAlignment="1">
      <alignment vertical="center"/>
    </xf>
    <xf numFmtId="164" fontId="6" fillId="0" borderId="34" xfId="2" applyNumberFormat="1" applyFont="1" applyFill="1" applyBorder="1" applyAlignment="1">
      <alignment vertical="center"/>
    </xf>
    <xf numFmtId="164" fontId="6" fillId="0" borderId="35" xfId="2" applyNumberFormat="1" applyFont="1" applyFill="1" applyBorder="1" applyAlignment="1">
      <alignment vertical="center"/>
    </xf>
    <xf numFmtId="164" fontId="1" fillId="0" borderId="36" xfId="1" applyNumberFormat="1" applyFont="1" applyBorder="1" applyAlignment="1">
      <alignment vertical="center"/>
    </xf>
    <xf numFmtId="164" fontId="3" fillId="0" borderId="19" xfId="2" applyNumberFormat="1" applyFont="1" applyFill="1" applyBorder="1" applyAlignment="1">
      <alignment vertical="center"/>
    </xf>
    <xf numFmtId="164" fontId="3" fillId="0" borderId="20" xfId="2" applyNumberFormat="1" applyFont="1" applyFill="1" applyBorder="1" applyAlignment="1">
      <alignment vertical="center"/>
    </xf>
    <xf numFmtId="164" fontId="3" fillId="0" borderId="21" xfId="2" applyNumberFormat="1" applyFont="1" applyFill="1" applyBorder="1" applyAlignment="1">
      <alignment vertical="center"/>
    </xf>
    <xf numFmtId="164" fontId="3" fillId="0" borderId="23" xfId="2" applyNumberFormat="1" applyFont="1" applyFill="1" applyBorder="1" applyAlignment="1">
      <alignment vertical="center"/>
    </xf>
    <xf numFmtId="164" fontId="3" fillId="0" borderId="38" xfId="2" applyNumberFormat="1" applyFont="1" applyFill="1" applyBorder="1" applyAlignment="1">
      <alignment vertical="center"/>
    </xf>
    <xf numFmtId="164" fontId="3" fillId="0" borderId="36" xfId="2" applyNumberFormat="1" applyFont="1" applyFill="1" applyBorder="1" applyAlignment="1">
      <alignment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41" xfId="1" applyFont="1" applyBorder="1" applyAlignment="1">
      <alignment horizontal="center" vertical="center"/>
    </xf>
    <xf numFmtId="0" fontId="1" fillId="0" borderId="42" xfId="1" applyFont="1" applyBorder="1" applyAlignment="1">
      <alignment horizontal="center" vertical="center"/>
    </xf>
    <xf numFmtId="164" fontId="6" fillId="0" borderId="3" xfId="2" applyNumberFormat="1" applyFont="1" applyFill="1" applyBorder="1" applyAlignment="1">
      <alignment vertical="center"/>
    </xf>
    <xf numFmtId="164" fontId="6" fillId="0" borderId="42" xfId="2" applyNumberFormat="1" applyFont="1" applyFill="1" applyBorder="1" applyAlignment="1">
      <alignment vertical="center"/>
    </xf>
    <xf numFmtId="164" fontId="6" fillId="0" borderId="43" xfId="2" applyNumberFormat="1" applyFont="1" applyFill="1" applyBorder="1" applyAlignment="1">
      <alignment vertical="center"/>
    </xf>
    <xf numFmtId="164" fontId="6" fillId="0" borderId="44" xfId="2" applyNumberFormat="1" applyFont="1" applyFill="1" applyBorder="1" applyAlignment="1">
      <alignment vertical="center"/>
    </xf>
    <xf numFmtId="164" fontId="6" fillId="0" borderId="7" xfId="2" applyNumberFormat="1" applyFont="1" applyFill="1" applyBorder="1" applyAlignment="1">
      <alignment vertical="center"/>
    </xf>
    <xf numFmtId="164" fontId="6" fillId="0" borderId="45" xfId="2" applyNumberFormat="1" applyFont="1" applyFill="1" applyBorder="1" applyAlignment="1">
      <alignment vertical="center"/>
    </xf>
    <xf numFmtId="164" fontId="6" fillId="0" borderId="11" xfId="2" applyNumberFormat="1" applyFont="1" applyFill="1" applyBorder="1" applyAlignment="1">
      <alignment vertical="center"/>
    </xf>
    <xf numFmtId="164" fontId="6" fillId="0" borderId="46" xfId="2" applyNumberFormat="1" applyFont="1" applyFill="1" applyBorder="1" applyAlignment="1">
      <alignment vertical="center"/>
    </xf>
    <xf numFmtId="164" fontId="1" fillId="0" borderId="14" xfId="1" applyNumberFormat="1" applyFont="1" applyBorder="1" applyAlignment="1">
      <alignment vertical="center"/>
    </xf>
    <xf numFmtId="0" fontId="1" fillId="0" borderId="47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/>
    </xf>
    <xf numFmtId="164" fontId="6" fillId="0" borderId="50" xfId="2" applyNumberFormat="1" applyFont="1" applyFill="1" applyBorder="1" applyAlignment="1">
      <alignment vertical="center"/>
    </xf>
    <xf numFmtId="164" fontId="6" fillId="0" borderId="51" xfId="2" applyNumberFormat="1" applyFont="1" applyFill="1" applyBorder="1" applyAlignment="1">
      <alignment vertical="center"/>
    </xf>
    <xf numFmtId="164" fontId="6" fillId="0" borderId="49" xfId="2" applyNumberFormat="1" applyFont="1" applyFill="1" applyBorder="1" applyAlignment="1">
      <alignment vertical="center"/>
    </xf>
    <xf numFmtId="164" fontId="6" fillId="0" borderId="52" xfId="2" applyNumberFormat="1" applyFont="1" applyFill="1" applyBorder="1" applyAlignment="1">
      <alignment vertical="center"/>
    </xf>
    <xf numFmtId="164" fontId="6" fillId="0" borderId="53" xfId="2" applyNumberFormat="1" applyFont="1" applyFill="1" applyBorder="1" applyAlignment="1">
      <alignment vertical="center"/>
    </xf>
    <xf numFmtId="164" fontId="6" fillId="0" borderId="54" xfId="2" applyNumberFormat="1" applyFont="1" applyFill="1" applyBorder="1" applyAlignment="1">
      <alignment vertical="center"/>
    </xf>
    <xf numFmtId="0" fontId="6" fillId="0" borderId="55" xfId="1" applyFont="1" applyBorder="1" applyAlignment="1">
      <alignment vertical="center"/>
    </xf>
    <xf numFmtId="164" fontId="6" fillId="0" borderId="56" xfId="2" applyNumberFormat="1" applyFont="1" applyFill="1" applyBorder="1" applyAlignment="1">
      <alignment vertical="center"/>
    </xf>
    <xf numFmtId="164" fontId="1" fillId="0" borderId="57" xfId="1" applyNumberFormat="1" applyFont="1" applyBorder="1" applyAlignment="1">
      <alignment vertical="center"/>
    </xf>
    <xf numFmtId="164" fontId="3" fillId="0" borderId="0" xfId="1" applyNumberFormat="1" applyFont="1" applyAlignment="1">
      <alignment vertical="center"/>
    </xf>
    <xf numFmtId="164" fontId="1" fillId="2" borderId="57" xfId="1" applyNumberFormat="1" applyFont="1" applyFill="1" applyBorder="1" applyAlignment="1">
      <alignment vertical="center"/>
    </xf>
    <xf numFmtId="0" fontId="10" fillId="0" borderId="58" xfId="1" applyFont="1" applyBorder="1" applyAlignment="1">
      <alignment horizontal="center" vertical="center"/>
    </xf>
    <xf numFmtId="164" fontId="3" fillId="0" borderId="59" xfId="2" applyNumberFormat="1" applyFont="1" applyFill="1" applyBorder="1" applyAlignment="1">
      <alignment vertical="center"/>
    </xf>
    <xf numFmtId="164" fontId="3" fillId="0" borderId="49" xfId="2" applyNumberFormat="1" applyFont="1" applyFill="1" applyBorder="1" applyAlignment="1">
      <alignment vertical="center"/>
    </xf>
    <xf numFmtId="164" fontId="3" fillId="0" borderId="60" xfId="2" applyNumberFormat="1" applyFont="1" applyFill="1" applyBorder="1" applyAlignment="1">
      <alignment vertical="center"/>
    </xf>
    <xf numFmtId="165" fontId="1" fillId="0" borderId="0" xfId="1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64" fontId="11" fillId="0" borderId="0" xfId="1" applyNumberFormat="1" applyFont="1" applyAlignment="1">
      <alignment vertical="center"/>
    </xf>
    <xf numFmtId="164" fontId="3" fillId="0" borderId="61" xfId="2" applyNumberFormat="1" applyFont="1" applyFill="1" applyBorder="1" applyAlignment="1">
      <alignment vertical="center"/>
    </xf>
    <xf numFmtId="164" fontId="3" fillId="0" borderId="17" xfId="2" applyNumberFormat="1" applyFont="1" applyFill="1" applyBorder="1" applyAlignment="1">
      <alignment vertical="center"/>
    </xf>
    <xf numFmtId="164" fontId="3" fillId="0" borderId="62" xfId="2" applyNumberFormat="1" applyFont="1" applyFill="1" applyBorder="1" applyAlignment="1">
      <alignment vertical="center"/>
    </xf>
    <xf numFmtId="164" fontId="3" fillId="0" borderId="58" xfId="2" applyNumberFormat="1" applyFont="1" applyFill="1" applyBorder="1" applyAlignment="1">
      <alignment vertical="center"/>
    </xf>
    <xf numFmtId="0" fontId="5" fillId="0" borderId="0" xfId="1" applyFont="1" applyAlignment="1">
      <alignment vertical="center" wrapText="1"/>
    </xf>
    <xf numFmtId="164" fontId="1" fillId="0" borderId="0" xfId="1" applyNumberFormat="1" applyFont="1" applyAlignment="1">
      <alignment vertical="center"/>
    </xf>
    <xf numFmtId="0" fontId="12" fillId="0" borderId="4" xfId="1" applyFont="1" applyBorder="1" applyAlignment="1">
      <alignment horizontal="center" vertical="center"/>
    </xf>
    <xf numFmtId="0" fontId="12" fillId="0" borderId="40" xfId="1" applyFont="1" applyBorder="1" applyAlignment="1">
      <alignment horizontal="center" vertical="center"/>
    </xf>
    <xf numFmtId="164" fontId="6" fillId="0" borderId="63" xfId="2" applyNumberFormat="1" applyFont="1" applyFill="1" applyBorder="1" applyAlignment="1">
      <alignment vertical="center"/>
    </xf>
    <xf numFmtId="0" fontId="1" fillId="0" borderId="17" xfId="1" applyFont="1" applyBorder="1" applyAlignment="1">
      <alignment horizontal="center" vertical="center"/>
    </xf>
    <xf numFmtId="0" fontId="1" fillId="0" borderId="18" xfId="1" applyFont="1" applyBorder="1" applyAlignment="1">
      <alignment horizontal="center" vertical="center"/>
    </xf>
    <xf numFmtId="0" fontId="1" fillId="0" borderId="37" xfId="1" applyFont="1" applyBorder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1" fillId="0" borderId="2" xfId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 wrapText="1"/>
    </xf>
    <xf numFmtId="0" fontId="8" fillId="0" borderId="49" xfId="1" applyFont="1" applyBorder="1" applyAlignment="1">
      <alignment horizontal="center" vertical="center" wrapText="1"/>
    </xf>
    <xf numFmtId="0" fontId="9" fillId="0" borderId="48" xfId="1" applyFont="1" applyBorder="1" applyAlignment="1">
      <alignment horizontal="center" vertical="center" wrapText="1"/>
    </xf>
    <xf numFmtId="0" fontId="9" fillId="0" borderId="49" xfId="1" applyFont="1" applyBorder="1" applyAlignment="1">
      <alignment horizontal="center" vertical="center" wrapText="1"/>
    </xf>
    <xf numFmtId="0" fontId="1" fillId="0" borderId="48" xfId="1" applyFont="1" applyBorder="1" applyAlignment="1">
      <alignment horizontal="center" vertical="center" wrapText="1"/>
    </xf>
    <xf numFmtId="0" fontId="1" fillId="0" borderId="49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/>
    </xf>
    <xf numFmtId="0" fontId="1" fillId="0" borderId="22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2" fillId="0" borderId="22" xfId="1" applyFont="1" applyBorder="1" applyAlignment="1">
      <alignment horizontal="center" vertical="center"/>
    </xf>
    <xf numFmtId="0" fontId="13" fillId="0" borderId="48" xfId="1" applyFont="1" applyBorder="1" applyAlignment="1">
      <alignment horizontal="center" vertical="center" wrapText="1"/>
    </xf>
    <xf numFmtId="0" fontId="13" fillId="0" borderId="49" xfId="1" applyFont="1" applyBorder="1" applyAlignment="1">
      <alignment horizontal="center" vertical="center" wrapText="1"/>
    </xf>
  </cellXfs>
  <cellStyles count="4">
    <cellStyle name="Comma 2" xfId="3" xr:uid="{00000000-0005-0000-0000-000003000000}"/>
    <cellStyle name="Comma 3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B83"/>
  <sheetViews>
    <sheetView zoomScaleSheetLayoutView="115" workbookViewId="0">
      <selection activeCell="U58" sqref="U58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2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94" t="s">
        <v>6</v>
      </c>
      <c r="O4" s="56" t="s">
        <v>7</v>
      </c>
      <c r="P4" s="94" t="s">
        <v>6</v>
      </c>
      <c r="Q4" s="67" t="s">
        <v>8</v>
      </c>
      <c r="R4" s="94" t="s">
        <v>6</v>
      </c>
      <c r="S4" s="4"/>
      <c r="T4" s="103" t="s">
        <v>9</v>
      </c>
      <c r="U4" s="113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3" t="s">
        <v>12</v>
      </c>
      <c r="I5" s="93" t="s">
        <v>13</v>
      </c>
      <c r="J5" s="111" t="s">
        <v>14</v>
      </c>
      <c r="K5" s="112"/>
      <c r="M5" s="8"/>
      <c r="N5" s="57"/>
      <c r="O5" s="9"/>
      <c r="P5" s="30"/>
      <c r="Q5" s="30"/>
      <c r="R5" s="31"/>
      <c r="S5" s="4"/>
      <c r="T5" s="104"/>
      <c r="U5" s="114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/>
      <c r="J7" s="32"/>
      <c r="K7" s="33"/>
      <c r="L7" s="34"/>
      <c r="M7" s="58"/>
      <c r="N7" s="59"/>
      <c r="O7" s="11"/>
      <c r="P7" s="32"/>
      <c r="Q7" s="32"/>
      <c r="R7" s="33"/>
      <c r="S7" s="34"/>
      <c r="T7" s="69">
        <f>H7+I7+J7+K7+N7+P7+R7</f>
        <v>0</v>
      </c>
      <c r="U7" s="69">
        <f>C7*24+M7*24+O7*24+Q7*24+T7</f>
        <v>0</v>
      </c>
      <c r="V7" s="69">
        <f>U7/24</f>
        <v>0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>A7+1</f>
        <v>2</v>
      </c>
      <c r="B8" s="12" t="s">
        <v>16</v>
      </c>
      <c r="C8" s="13"/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ref="T8:T41" si="0">H8+I8+J8+K8+N8+P8+R8</f>
        <v>0</v>
      </c>
      <c r="U8" s="72">
        <f>C8*24+M8*24+O8*24+Q8*24+T8</f>
        <v>0</v>
      </c>
      <c r="V8" s="72">
        <f>U8/24</f>
        <v>0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ref="A9:A57" si="1">A8+1</f>
        <v>3</v>
      </c>
      <c r="B9" s="14" t="s">
        <v>17</v>
      </c>
      <c r="C9" s="15"/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ref="U9:U13" si="2">C9*24+M9*24+O9*24+Q9*24+T9</f>
        <v>0</v>
      </c>
      <c r="V9" s="73">
        <f t="shared" ref="V9:V13" si="3">U9/24</f>
        <v>0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1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2"/>
        <v>0</v>
      </c>
      <c r="V10" s="69">
        <f t="shared" si="3"/>
        <v>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1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/>
      <c r="L11" s="34"/>
      <c r="M11" s="62"/>
      <c r="N11" s="63"/>
      <c r="O11" s="15"/>
      <c r="P11" s="38"/>
      <c r="Q11" s="38"/>
      <c r="R11" s="39"/>
      <c r="S11" s="34"/>
      <c r="T11" s="69">
        <f t="shared" si="0"/>
        <v>0</v>
      </c>
      <c r="U11" s="69">
        <f t="shared" si="2"/>
        <v>0</v>
      </c>
      <c r="V11" s="69">
        <f t="shared" si="3"/>
        <v>0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/>
      <c r="D12" s="13"/>
      <c r="E12" s="13"/>
      <c r="F12" s="13"/>
      <c r="G12" s="13"/>
      <c r="H12" s="13"/>
      <c r="I12" s="13"/>
      <c r="J12" s="35"/>
      <c r="K12" s="36"/>
      <c r="L12" s="37"/>
      <c r="M12" s="60"/>
      <c r="N12" s="61"/>
      <c r="O12" s="20"/>
      <c r="P12" s="45"/>
      <c r="Q12" s="45"/>
      <c r="R12" s="46"/>
      <c r="S12" s="37"/>
      <c r="T12" s="69">
        <f t="shared" si="0"/>
        <v>0</v>
      </c>
      <c r="U12" s="72">
        <f t="shared" si="2"/>
        <v>0</v>
      </c>
      <c r="V12" s="72">
        <f t="shared" si="3"/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/>
      <c r="D13" s="15"/>
      <c r="E13" s="15"/>
      <c r="F13" s="15"/>
      <c r="G13" s="15"/>
      <c r="H13" s="15"/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69">
        <f t="shared" si="0"/>
        <v>0</v>
      </c>
      <c r="U13" s="73">
        <f t="shared" si="2"/>
        <v>0</v>
      </c>
      <c r="V13" s="73">
        <f t="shared" si="3"/>
        <v>0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si="1"/>
        <v>12</v>
      </c>
      <c r="B14" s="10" t="s">
        <v>22</v>
      </c>
      <c r="C14" s="15"/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ref="U14:U36" si="4">C14*24+M14*24+O14*24+Q14*24+T14</f>
        <v>0</v>
      </c>
      <c r="V14" s="71">
        <f t="shared" ref="V14:V36" si="5">U14/24</f>
        <v>0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1"/>
        <v>13</v>
      </c>
      <c r="B15" s="10" t="s">
        <v>23</v>
      </c>
      <c r="C15" s="15"/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4"/>
        <v>0</v>
      </c>
      <c r="V15" s="71">
        <f t="shared" si="5"/>
        <v>0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1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4"/>
        <v>0</v>
      </c>
      <c r="V16" s="71">
        <f t="shared" si="5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1"/>
        <v>15</v>
      </c>
      <c r="B17" s="10" t="s">
        <v>25</v>
      </c>
      <c r="C17" s="15"/>
      <c r="D17" s="15"/>
      <c r="E17" s="15"/>
      <c r="F17" s="15"/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4"/>
        <v>0</v>
      </c>
      <c r="V17" s="71">
        <f t="shared" si="5"/>
        <v>0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1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4"/>
        <v>0</v>
      </c>
      <c r="V18" s="71">
        <f t="shared" si="5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/>
      <c r="D19" s="15"/>
      <c r="E19" s="15"/>
      <c r="F19" s="15"/>
      <c r="G19" s="15"/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0</v>
      </c>
      <c r="U19" s="71">
        <f t="shared" si="4"/>
        <v>0</v>
      </c>
      <c r="V19" s="71">
        <f t="shared" si="5"/>
        <v>0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si="1"/>
        <v>17</v>
      </c>
      <c r="B20" s="10" t="s">
        <v>28</v>
      </c>
      <c r="C20" s="15"/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4"/>
        <v>0</v>
      </c>
      <c r="V20" s="71">
        <f t="shared" si="5"/>
        <v>0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1"/>
        <v>18</v>
      </c>
      <c r="B21" s="10" t="s">
        <v>29</v>
      </c>
      <c r="C21" s="15"/>
      <c r="D21" s="15"/>
      <c r="E21" s="15"/>
      <c r="F21" s="15"/>
      <c r="G21" s="15"/>
      <c r="H21" s="15"/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0</v>
      </c>
      <c r="U21" s="71">
        <f t="shared" si="4"/>
        <v>0</v>
      </c>
      <c r="V21" s="71">
        <f t="shared" si="5"/>
        <v>0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1"/>
        <v>19</v>
      </c>
      <c r="B22" s="10" t="s">
        <v>30</v>
      </c>
      <c r="C22" s="15"/>
      <c r="D22" s="15"/>
      <c r="E22" s="15"/>
      <c r="F22" s="15"/>
      <c r="G22" s="15"/>
      <c r="H22" s="15"/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0</v>
      </c>
      <c r="U22" s="71">
        <f t="shared" si="4"/>
        <v>0</v>
      </c>
      <c r="V22" s="71">
        <f t="shared" si="5"/>
        <v>0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1"/>
        <v>20</v>
      </c>
      <c r="B23" s="10" t="s">
        <v>31</v>
      </c>
      <c r="C23" s="15"/>
      <c r="D23" s="15"/>
      <c r="E23" s="15"/>
      <c r="F23" s="15"/>
      <c r="G23" s="15"/>
      <c r="H23" s="15"/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0</v>
      </c>
      <c r="U23" s="71">
        <f t="shared" si="4"/>
        <v>0</v>
      </c>
      <c r="V23" s="71">
        <f t="shared" si="5"/>
        <v>0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1"/>
        <v>21</v>
      </c>
      <c r="B24" s="10" t="s">
        <v>32</v>
      </c>
      <c r="C24" s="15"/>
      <c r="D24" s="15"/>
      <c r="E24" s="15"/>
      <c r="F24" s="15"/>
      <c r="G24" s="15"/>
      <c r="H24" s="15"/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0</v>
      </c>
      <c r="U24" s="71">
        <f t="shared" si="4"/>
        <v>0</v>
      </c>
      <c r="V24" s="71">
        <f t="shared" si="5"/>
        <v>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1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4"/>
        <v>0</v>
      </c>
      <c r="V25" s="71">
        <f t="shared" si="5"/>
        <v>0</v>
      </c>
      <c r="AY25" s="86" t="e">
        <f>#REF!-AY24</f>
        <v>#REF!</v>
      </c>
    </row>
    <row r="26" spans="1:54" s="2" customFormat="1">
      <c r="A26" s="6">
        <f t="shared" si="1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4"/>
        <v>0</v>
      </c>
      <c r="V26" s="71">
        <f t="shared" si="5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1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/>
      <c r="U27" s="71"/>
      <c r="V27" s="71"/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1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4"/>
        <v>0</v>
      </c>
      <c r="V28" s="71">
        <f t="shared" si="5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1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0</v>
      </c>
      <c r="U29" s="71">
        <f t="shared" si="4"/>
        <v>0</v>
      </c>
      <c r="V29" s="71">
        <f t="shared" si="5"/>
        <v>0</v>
      </c>
    </row>
    <row r="30" spans="1:54">
      <c r="A30" s="6">
        <f t="shared" si="1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4"/>
        <v>0</v>
      </c>
      <c r="V30" s="71">
        <f t="shared" si="5"/>
        <v>0</v>
      </c>
    </row>
    <row r="31" spans="1:54">
      <c r="A31" s="6">
        <f t="shared" si="1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4"/>
        <v>0</v>
      </c>
      <c r="V31" s="71">
        <f t="shared" si="5"/>
        <v>0</v>
      </c>
    </row>
    <row r="32" spans="1:54">
      <c r="A32" s="6">
        <f t="shared" si="1"/>
        <v>29</v>
      </c>
      <c r="B32" s="10" t="s">
        <v>40</v>
      </c>
      <c r="C32" s="15"/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4"/>
        <v>0</v>
      </c>
      <c r="V32" s="71">
        <f t="shared" si="5"/>
        <v>0</v>
      </c>
    </row>
    <row r="33" spans="1:23">
      <c r="A33" s="6">
        <f t="shared" si="1"/>
        <v>30</v>
      </c>
      <c r="B33" s="10" t="s">
        <v>41</v>
      </c>
      <c r="C33" s="15"/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4"/>
        <v>0</v>
      </c>
      <c r="V33" s="71">
        <f t="shared" si="5"/>
        <v>0</v>
      </c>
    </row>
    <row r="34" spans="1:23">
      <c r="A34" s="6">
        <f t="shared" si="1"/>
        <v>31</v>
      </c>
      <c r="B34" s="10" t="s">
        <v>42</v>
      </c>
      <c r="C34" s="15"/>
      <c r="D34" s="15"/>
      <c r="E34" s="15"/>
      <c r="F34" s="15"/>
      <c r="G34" s="15"/>
      <c r="H34" s="15"/>
      <c r="I34" s="15"/>
      <c r="J34" s="38"/>
      <c r="K34" s="39"/>
      <c r="L34" s="34"/>
      <c r="M34" s="62"/>
      <c r="N34" s="63"/>
      <c r="O34" s="15"/>
      <c r="P34" s="38"/>
      <c r="Q34" s="38"/>
      <c r="R34" s="39"/>
      <c r="S34" s="34"/>
      <c r="T34" s="69">
        <f t="shared" si="0"/>
        <v>0</v>
      </c>
      <c r="U34" s="71">
        <f t="shared" si="4"/>
        <v>0</v>
      </c>
      <c r="V34" s="71">
        <f t="shared" si="5"/>
        <v>0</v>
      </c>
    </row>
    <row r="35" spans="1:23" hidden="1">
      <c r="A35" s="6">
        <f t="shared" si="1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4"/>
        <v>0</v>
      </c>
      <c r="V35" s="71">
        <f t="shared" si="5"/>
        <v>0</v>
      </c>
    </row>
    <row r="36" spans="1:23">
      <c r="A36" s="6">
        <f t="shared" si="1"/>
        <v>33</v>
      </c>
      <c r="B36" s="10" t="s">
        <v>44</v>
      </c>
      <c r="C36" s="15"/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4"/>
        <v>0</v>
      </c>
      <c r="V36" s="71">
        <f t="shared" si="5"/>
        <v>0</v>
      </c>
    </row>
    <row r="37" spans="1:23">
      <c r="A37" s="6">
        <f t="shared" si="1"/>
        <v>34</v>
      </c>
      <c r="B37" s="12" t="s">
        <v>45</v>
      </c>
      <c r="C37" s="13"/>
      <c r="D37" s="13"/>
      <c r="E37" s="13"/>
      <c r="F37" s="13"/>
      <c r="G37" s="13"/>
      <c r="H37" s="13"/>
      <c r="I37" s="13"/>
      <c r="J37" s="35"/>
      <c r="K37" s="36"/>
      <c r="L37" s="37"/>
      <c r="M37" s="60"/>
      <c r="N37" s="61"/>
      <c r="O37" s="20"/>
      <c r="P37" s="45"/>
      <c r="Q37" s="45"/>
      <c r="R37" s="46"/>
      <c r="S37" s="37"/>
      <c r="T37" s="74">
        <f t="shared" si="0"/>
        <v>0</v>
      </c>
      <c r="U37" s="74">
        <f>C37*6+M37*6+O37*6+Q37*6+T37</f>
        <v>0</v>
      </c>
      <c r="V37" s="74">
        <f>U37/6</f>
        <v>0</v>
      </c>
      <c r="W37" s="78"/>
    </row>
    <row r="38" spans="1:23">
      <c r="A38" s="6">
        <f t="shared" si="1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>C38*24+M38*24+O38*24+Q38*24+T38</f>
        <v>0</v>
      </c>
      <c r="V38" s="71">
        <f>U38/24</f>
        <v>0</v>
      </c>
    </row>
    <row r="39" spans="1:23">
      <c r="A39" s="6">
        <f t="shared" si="1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58"/>
      <c r="N39" s="59"/>
      <c r="O39" s="11"/>
      <c r="P39" s="32"/>
      <c r="Q39" s="11"/>
      <c r="R39" s="41"/>
      <c r="S39" s="34"/>
      <c r="T39" s="95"/>
      <c r="U39" s="95"/>
      <c r="V39" s="95"/>
    </row>
    <row r="40" spans="1:23">
      <c r="A40" s="6">
        <f t="shared" si="1"/>
        <v>37</v>
      </c>
      <c r="B40" s="12" t="s">
        <v>48</v>
      </c>
      <c r="C40" s="13"/>
      <c r="D40" s="13"/>
      <c r="E40" s="13"/>
      <c r="F40" s="13"/>
      <c r="G40" s="13"/>
      <c r="H40" s="13"/>
      <c r="I40" s="13"/>
      <c r="J40" s="35"/>
      <c r="K40" s="36"/>
      <c r="L40" s="37"/>
      <c r="M40" s="60"/>
      <c r="N40" s="61"/>
      <c r="O40" s="20"/>
      <c r="P40" s="45"/>
      <c r="Q40" s="45"/>
      <c r="R40" s="46"/>
      <c r="S40" s="37"/>
      <c r="T40" s="74">
        <f t="shared" si="0"/>
        <v>0</v>
      </c>
      <c r="U40" s="74">
        <f>C40*24+M40*24+O40*24+Q40*24+T40</f>
        <v>0</v>
      </c>
      <c r="V40" s="74">
        <f>U40/24</f>
        <v>0</v>
      </c>
    </row>
    <row r="41" spans="1:23">
      <c r="A41" s="6">
        <f t="shared" si="1"/>
        <v>38</v>
      </c>
      <c r="B41" s="18" t="s">
        <v>49</v>
      </c>
      <c r="C41" s="19"/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/>
      <c r="R41" s="43"/>
      <c r="S41" s="44"/>
      <c r="T41" s="76">
        <f t="shared" si="0"/>
        <v>0</v>
      </c>
      <c r="U41" s="76">
        <f>C41*12+M41*12+O41*12+Q41*12+T41</f>
        <v>0</v>
      </c>
      <c r="V41" s="76">
        <f>U41/12</f>
        <v>0</v>
      </c>
    </row>
    <row r="42" spans="1:23" hidden="1">
      <c r="A42" s="6">
        <f t="shared" si="1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1"/>
        <v>40</v>
      </c>
      <c r="B43" s="12" t="s">
        <v>51</v>
      </c>
      <c r="C43" s="20"/>
      <c r="D43" s="20"/>
      <c r="E43" s="20"/>
      <c r="F43" s="20"/>
      <c r="G43" s="20"/>
      <c r="H43" s="20"/>
      <c r="I43" s="20"/>
      <c r="J43" s="45"/>
      <c r="K43" s="46"/>
      <c r="L43" s="37"/>
      <c r="M43" s="60"/>
      <c r="N43" s="61"/>
      <c r="O43" s="20"/>
      <c r="P43" s="45"/>
      <c r="Q43" s="45"/>
      <c r="R43" s="46"/>
      <c r="S43" s="37"/>
      <c r="T43" s="74">
        <f t="shared" ref="T43" si="6">H43+I43+J43+K43+N43+P43+R43</f>
        <v>0</v>
      </c>
      <c r="U43" s="74">
        <f>C43*6+M43*6+O43*6+Q43*6+T43</f>
        <v>0</v>
      </c>
      <c r="V43" s="74">
        <f>U43/6</f>
        <v>0</v>
      </c>
    </row>
    <row r="44" spans="1:23" hidden="1">
      <c r="A44" s="6">
        <f t="shared" si="1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1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ref="T45:T54" si="7">H45+I45+J45+K45+N45+P45+R45</f>
        <v>0</v>
      </c>
      <c r="U45" s="71">
        <f>C45*24+M45*24+O45*24+Q45*24+T45</f>
        <v>0</v>
      </c>
      <c r="V45" s="71">
        <f>U45/24</f>
        <v>0</v>
      </c>
    </row>
    <row r="46" spans="1:23">
      <c r="A46" s="6">
        <f t="shared" si="1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7"/>
        <v>0</v>
      </c>
      <c r="U46" s="71">
        <f t="shared" ref="U46:U50" si="8">C46*24+M46*24+O46*24+Q46*24+T46</f>
        <v>0</v>
      </c>
      <c r="V46" s="71">
        <f t="shared" ref="V46:V54" si="9">U46/24</f>
        <v>0</v>
      </c>
    </row>
    <row r="47" spans="1:23">
      <c r="A47" s="6">
        <f t="shared" si="1"/>
        <v>44</v>
      </c>
      <c r="B47" s="12" t="s">
        <v>43</v>
      </c>
      <c r="C47" s="20"/>
      <c r="D47" s="20"/>
      <c r="E47" s="20"/>
      <c r="F47" s="20"/>
      <c r="G47" s="20"/>
      <c r="H47" s="20"/>
      <c r="I47" s="20"/>
      <c r="J47" s="45"/>
      <c r="K47" s="46"/>
      <c r="L47" s="37"/>
      <c r="M47" s="60"/>
      <c r="N47" s="61"/>
      <c r="O47" s="20"/>
      <c r="P47" s="45"/>
      <c r="Q47" s="45"/>
      <c r="R47" s="46"/>
      <c r="S47" s="37"/>
      <c r="T47" s="74">
        <f t="shared" si="7"/>
        <v>0</v>
      </c>
      <c r="U47" s="74">
        <f>C47*6+M47*6+O47*6+Q47*6+T47</f>
        <v>0</v>
      </c>
      <c r="V47" s="74">
        <f>U47/6</f>
        <v>0</v>
      </c>
    </row>
    <row r="48" spans="1:23">
      <c r="A48" s="6">
        <f t="shared" si="1"/>
        <v>45</v>
      </c>
      <c r="B48" s="14" t="s">
        <v>55</v>
      </c>
      <c r="C48" s="15"/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7"/>
        <v>0</v>
      </c>
      <c r="U48" s="71">
        <f t="shared" si="8"/>
        <v>0</v>
      </c>
      <c r="V48" s="71">
        <f t="shared" si="9"/>
        <v>0</v>
      </c>
    </row>
    <row r="49" spans="1:22">
      <c r="A49" s="6">
        <f t="shared" si="1"/>
        <v>46</v>
      </c>
      <c r="B49" s="10" t="s">
        <v>56</v>
      </c>
      <c r="C49" s="15"/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7"/>
        <v>0</v>
      </c>
      <c r="U49" s="71">
        <f t="shared" si="8"/>
        <v>0</v>
      </c>
      <c r="V49" s="71">
        <f t="shared" si="9"/>
        <v>0</v>
      </c>
    </row>
    <row r="50" spans="1:22">
      <c r="A50" s="6">
        <f t="shared" si="1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7"/>
        <v>0</v>
      </c>
      <c r="U50" s="71">
        <f t="shared" si="8"/>
        <v>0</v>
      </c>
      <c r="V50" s="71">
        <f t="shared" si="9"/>
        <v>0</v>
      </c>
    </row>
    <row r="51" spans="1:22">
      <c r="A51" s="6">
        <f t="shared" si="1"/>
        <v>48</v>
      </c>
      <c r="B51" s="12" t="s">
        <v>58</v>
      </c>
      <c r="C51" s="20"/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7"/>
        <v>0</v>
      </c>
      <c r="U51" s="74">
        <f>C51*6+M51*6+O51*6+Q51*6+T51</f>
        <v>0</v>
      </c>
      <c r="V51" s="74">
        <f>U51/6</f>
        <v>0</v>
      </c>
    </row>
    <row r="52" spans="1:22">
      <c r="A52" s="6">
        <f t="shared" si="1"/>
        <v>49</v>
      </c>
      <c r="B52" s="14" t="s">
        <v>59</v>
      </c>
      <c r="C52" s="15"/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7"/>
        <v>0</v>
      </c>
      <c r="U52" s="71">
        <f t="shared" ref="U52:U54" si="10">C52*24+M52*24+O52*24+Q52*24+T52</f>
        <v>0</v>
      </c>
      <c r="V52" s="71">
        <f t="shared" si="9"/>
        <v>0</v>
      </c>
    </row>
    <row r="53" spans="1:22">
      <c r="A53" s="6">
        <f t="shared" si="1"/>
        <v>50</v>
      </c>
      <c r="B53" s="10" t="s">
        <v>60</v>
      </c>
      <c r="C53" s="15"/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7"/>
        <v>0</v>
      </c>
      <c r="U53" s="71">
        <f t="shared" si="10"/>
        <v>0</v>
      </c>
      <c r="V53" s="71">
        <f t="shared" si="9"/>
        <v>0</v>
      </c>
    </row>
    <row r="54" spans="1:22">
      <c r="A54" s="6">
        <f t="shared" si="1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7"/>
        <v>0</v>
      </c>
      <c r="U54" s="71">
        <f t="shared" si="10"/>
        <v>0</v>
      </c>
      <c r="V54" s="71">
        <f t="shared" si="9"/>
        <v>0</v>
      </c>
    </row>
    <row r="55" spans="1:22">
      <c r="A55" s="6">
        <f t="shared" si="1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1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1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>SUM(C7:C57)</f>
        <v>0</v>
      </c>
      <c r="D58" s="22"/>
      <c r="E58" s="22"/>
      <c r="F58" s="22">
        <f t="shared" ref="F58:K58" si="11">SUM(F7:F57)</f>
        <v>0</v>
      </c>
      <c r="G58" s="22">
        <f t="shared" si="11"/>
        <v>0</v>
      </c>
      <c r="H58" s="22">
        <f t="shared" si="11"/>
        <v>0</v>
      </c>
      <c r="I58" s="47">
        <f t="shared" si="11"/>
        <v>0</v>
      </c>
      <c r="J58" s="47">
        <f t="shared" si="11"/>
        <v>0</v>
      </c>
      <c r="K58" s="47">
        <f t="shared" si="11"/>
        <v>0</v>
      </c>
      <c r="M58" s="66">
        <f t="shared" ref="M58:R58" si="12">SUM(M7:M57)</f>
        <v>0</v>
      </c>
      <c r="N58" s="66">
        <f t="shared" si="12"/>
        <v>0</v>
      </c>
      <c r="O58" s="66">
        <f t="shared" si="12"/>
        <v>0</v>
      </c>
      <c r="P58" s="66">
        <f t="shared" si="12"/>
        <v>0</v>
      </c>
      <c r="Q58" s="66">
        <f t="shared" si="12"/>
        <v>0</v>
      </c>
      <c r="R58" s="66">
        <f t="shared" si="12"/>
        <v>0</v>
      </c>
      <c r="S58" s="34"/>
      <c r="T58" s="77">
        <f>SUM(T7:T57)</f>
        <v>0</v>
      </c>
      <c r="U58" s="77">
        <f>SUM(U7:U57)</f>
        <v>0</v>
      </c>
      <c r="V58" s="77">
        <f>SUM(V7:V57)</f>
        <v>0</v>
      </c>
    </row>
    <row r="59" spans="1:22" s="3" customFormat="1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34"/>
      <c r="T59" s="92"/>
      <c r="U59" s="92"/>
      <c r="V59" s="92"/>
    </row>
    <row r="60" spans="1:22" s="3" customFormat="1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34"/>
      <c r="T60" s="92"/>
      <c r="U60" s="92"/>
      <c r="V60" s="92"/>
    </row>
    <row r="61" spans="1:22" ht="20.25" customHeight="1"/>
    <row r="62" spans="1:22">
      <c r="B62" s="23" t="s">
        <v>62</v>
      </c>
      <c r="C62" s="96" t="s">
        <v>4</v>
      </c>
      <c r="D62" s="97"/>
      <c r="E62" s="97"/>
      <c r="F62" s="97"/>
      <c r="G62" s="97"/>
      <c r="H62" s="97"/>
      <c r="I62" s="97"/>
      <c r="J62" s="97"/>
      <c r="K62" s="98"/>
      <c r="U62" s="80" t="s">
        <v>63</v>
      </c>
    </row>
    <row r="63" spans="1:22">
      <c r="B63" s="24" t="s">
        <v>42</v>
      </c>
      <c r="C63" s="25"/>
      <c r="D63" s="25"/>
      <c r="E63" s="25"/>
      <c r="F63" s="25"/>
      <c r="G63" s="25"/>
      <c r="H63" s="25"/>
      <c r="I63" s="25"/>
      <c r="J63" s="48"/>
      <c r="K63" s="49"/>
      <c r="U63" s="81"/>
    </row>
    <row r="64" spans="1:22">
      <c r="B64" s="26" t="s">
        <v>64</v>
      </c>
      <c r="C64" s="27"/>
      <c r="D64" s="27"/>
      <c r="E64" s="27"/>
      <c r="F64" s="27"/>
      <c r="G64" s="27"/>
      <c r="H64" s="27"/>
      <c r="I64" s="27"/>
      <c r="J64" s="50"/>
      <c r="K64" s="51"/>
      <c r="U64" s="82"/>
    </row>
    <row r="65" spans="2:21">
      <c r="B65" s="28" t="s">
        <v>65</v>
      </c>
      <c r="C65" s="29"/>
      <c r="D65" s="29"/>
      <c r="E65" s="29"/>
      <c r="F65" s="29"/>
      <c r="G65" s="29"/>
      <c r="H65" s="29"/>
      <c r="I65" s="29"/>
      <c r="J65" s="52"/>
      <c r="K65" s="53"/>
      <c r="U65" s="83"/>
    </row>
    <row r="66" spans="2:21" ht="7.5" customHeight="1"/>
    <row r="67" spans="2:21">
      <c r="B67" s="24" t="s">
        <v>66</v>
      </c>
      <c r="C67" s="25"/>
      <c r="D67" s="25"/>
      <c r="E67" s="25"/>
      <c r="F67" s="25"/>
      <c r="G67" s="25"/>
      <c r="H67" s="25"/>
      <c r="I67" s="25"/>
      <c r="J67" s="48"/>
      <c r="K67" s="49"/>
      <c r="U67" s="81"/>
    </row>
    <row r="68" spans="2:21">
      <c r="B68" s="26" t="s">
        <v>64</v>
      </c>
      <c r="C68" s="27"/>
      <c r="D68" s="27"/>
      <c r="E68" s="27"/>
      <c r="F68" s="27"/>
      <c r="G68" s="27"/>
      <c r="H68" s="27"/>
      <c r="I68" s="27"/>
      <c r="J68" s="50"/>
      <c r="K68" s="51"/>
      <c r="U68" s="82"/>
    </row>
    <row r="69" spans="2:21">
      <c r="B69" s="28" t="s">
        <v>65</v>
      </c>
      <c r="C69" s="29"/>
      <c r="D69" s="29"/>
      <c r="E69" s="29"/>
      <c r="F69" s="29"/>
      <c r="G69" s="29"/>
      <c r="H69" s="29"/>
      <c r="I69" s="29"/>
      <c r="J69" s="52"/>
      <c r="K69" s="53"/>
      <c r="U69" s="83"/>
    </row>
    <row r="70" spans="2:21" ht="7.5" customHeight="1"/>
    <row r="71" spans="2:21">
      <c r="B71" s="24" t="s">
        <v>67</v>
      </c>
      <c r="C71" s="25"/>
      <c r="D71" s="25"/>
      <c r="E71" s="25"/>
      <c r="F71" s="25"/>
      <c r="G71" s="25"/>
      <c r="H71" s="25"/>
      <c r="I71" s="25"/>
      <c r="J71" s="48"/>
      <c r="K71" s="49"/>
      <c r="U71" s="81"/>
    </row>
    <row r="72" spans="2:21">
      <c r="B72" s="26" t="s">
        <v>64</v>
      </c>
      <c r="C72" s="27"/>
      <c r="D72" s="27"/>
      <c r="E72" s="27"/>
      <c r="F72" s="27"/>
      <c r="G72" s="27"/>
      <c r="H72" s="27"/>
      <c r="I72" s="27"/>
      <c r="J72" s="50"/>
      <c r="K72" s="51"/>
      <c r="U72" s="82"/>
    </row>
    <row r="73" spans="2:21">
      <c r="B73" s="28" t="s">
        <v>65</v>
      </c>
      <c r="C73" s="29"/>
      <c r="D73" s="29"/>
      <c r="E73" s="29"/>
      <c r="F73" s="29"/>
      <c r="G73" s="29"/>
      <c r="H73" s="29"/>
      <c r="I73" s="29"/>
      <c r="J73" s="52"/>
      <c r="K73" s="53"/>
      <c r="U73" s="83"/>
    </row>
    <row r="74" spans="2:21" ht="7.5" customHeight="1"/>
    <row r="75" spans="2:21">
      <c r="B75" s="24" t="s">
        <v>68</v>
      </c>
      <c r="C75" s="25"/>
      <c r="D75" s="25"/>
      <c r="E75" s="25"/>
      <c r="F75" s="25"/>
      <c r="G75" s="25"/>
      <c r="H75" s="25"/>
      <c r="I75" s="25"/>
      <c r="J75" s="48"/>
      <c r="K75" s="49"/>
      <c r="U75" s="81"/>
    </row>
    <row r="76" spans="2:21">
      <c r="B76" s="26" t="s">
        <v>64</v>
      </c>
      <c r="C76" s="27"/>
      <c r="D76" s="27"/>
      <c r="E76" s="27"/>
      <c r="F76" s="27"/>
      <c r="G76" s="27"/>
      <c r="H76" s="27"/>
      <c r="I76" s="27"/>
      <c r="J76" s="50"/>
      <c r="K76" s="51"/>
      <c r="U76" s="82"/>
    </row>
    <row r="77" spans="2:21">
      <c r="B77" s="28" t="s">
        <v>65</v>
      </c>
      <c r="C77" s="29"/>
      <c r="D77" s="29"/>
      <c r="E77" s="29"/>
      <c r="F77" s="29"/>
      <c r="G77" s="29"/>
      <c r="H77" s="29"/>
      <c r="I77" s="29"/>
      <c r="J77" s="52"/>
      <c r="K77" s="53"/>
      <c r="U77" s="83"/>
    </row>
    <row r="78" spans="2:21" ht="7.5" customHeight="1"/>
    <row r="79" spans="2:21">
      <c r="B79" s="24" t="s">
        <v>69</v>
      </c>
      <c r="C79" s="25"/>
      <c r="D79" s="25"/>
      <c r="E79" s="25"/>
      <c r="F79" s="25"/>
      <c r="G79" s="25"/>
      <c r="H79" s="25"/>
      <c r="I79" s="25"/>
      <c r="J79" s="48"/>
      <c r="K79" s="49"/>
      <c r="U79" s="81"/>
    </row>
    <row r="80" spans="2:21">
      <c r="B80" s="26" t="s">
        <v>64</v>
      </c>
      <c r="C80" s="27"/>
      <c r="D80" s="27"/>
      <c r="E80" s="27"/>
      <c r="F80" s="27"/>
      <c r="G80" s="27"/>
      <c r="H80" s="27"/>
      <c r="I80" s="27"/>
      <c r="J80" s="50"/>
      <c r="K80" s="51"/>
      <c r="U80" s="82"/>
    </row>
    <row r="81" spans="2:21">
      <c r="B81" s="28" t="s">
        <v>65</v>
      </c>
      <c r="C81" s="29"/>
      <c r="D81" s="29"/>
      <c r="E81" s="29"/>
      <c r="F81" s="29"/>
      <c r="G81" s="29"/>
      <c r="H81" s="29"/>
      <c r="I81" s="29"/>
      <c r="J81" s="52"/>
      <c r="K81" s="53"/>
      <c r="U81" s="83"/>
    </row>
    <row r="82" spans="2:21" ht="7.5" customHeight="1"/>
    <row r="83" spans="2:21">
      <c r="B83" s="23" t="s">
        <v>70</v>
      </c>
      <c r="C83" s="87"/>
      <c r="D83" s="87"/>
      <c r="E83" s="87"/>
      <c r="F83" s="87"/>
      <c r="G83" s="87"/>
      <c r="H83" s="87"/>
      <c r="I83" s="87"/>
      <c r="J83" s="88"/>
      <c r="K83" s="89"/>
      <c r="U83" s="90"/>
    </row>
  </sheetData>
  <mergeCells count="7">
    <mergeCell ref="V4:V5"/>
    <mergeCell ref="I1:U1"/>
    <mergeCell ref="C4:K4"/>
    <mergeCell ref="J5:K5"/>
    <mergeCell ref="C62:K62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B81"/>
  <sheetViews>
    <sheetView topLeftCell="C3" zoomScaleNormal="100" zoomScaleSheetLayoutView="115" workbookViewId="0">
      <selection activeCell="U59" sqref="U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71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f>4+20</f>
        <v>24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2</v>
      </c>
      <c r="R7" s="33"/>
      <c r="S7" s="34"/>
      <c r="T7" s="69">
        <f>H7+I7+J7+K7+N7+P7+R7</f>
        <v>19</v>
      </c>
      <c r="U7" s="69">
        <f>C7*24+M7*24+O7*24+Q7*24+T7</f>
        <v>715</v>
      </c>
      <c r="V7" s="69">
        <f>U7/24</f>
        <v>29.791666666666668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>A7+1</f>
        <v>2</v>
      </c>
      <c r="B8" s="12" t="s">
        <v>16</v>
      </c>
      <c r="C8" s="13">
        <f>63+7+20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ref="T8:T41" si="0">H8+I8+J8+K8+N8+P8+R8</f>
        <v>0</v>
      </c>
      <c r="U8" s="72">
        <f>C8*24+M8*24+O8*24+Q8*24+T8</f>
        <v>2184</v>
      </c>
      <c r="V8" s="72">
        <f>U8/24</f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ref="A9:A57" si="1">A8+1</f>
        <v>3</v>
      </c>
      <c r="B9" s="14" t="s">
        <v>17</v>
      </c>
      <c r="C9" s="15">
        <f>4+72</f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1</v>
      </c>
      <c r="R9" s="39"/>
      <c r="S9" s="34"/>
      <c r="T9" s="71">
        <f t="shared" si="0"/>
        <v>0</v>
      </c>
      <c r="U9" s="73">
        <f t="shared" ref="U9:U13" si="2">C9*24+M9*24+O9*24+Q9*24+T9</f>
        <v>1872</v>
      </c>
      <c r="V9" s="73">
        <f t="shared" ref="V9:V13" si="3">U9/24</f>
        <v>78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1"/>
        <v>4</v>
      </c>
      <c r="B10" s="10" t="s">
        <v>18</v>
      </c>
      <c r="C10" s="15">
        <f>6+78</f>
        <v>84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2"/>
        <v>2064</v>
      </c>
      <c r="V10" s="69">
        <f t="shared" si="3"/>
        <v>86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1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2"/>
        <v>24</v>
      </c>
      <c r="V11" s="69">
        <f t="shared" si="3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1440+19+1008+576+565</f>
        <v>3608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33</v>
      </c>
      <c r="N12" s="61">
        <v>17</v>
      </c>
      <c r="O12" s="20">
        <v>12</v>
      </c>
      <c r="P12" s="45">
        <v>3</v>
      </c>
      <c r="Q12" s="45">
        <v>20</v>
      </c>
      <c r="R12" s="46"/>
      <c r="S12" s="37"/>
      <c r="T12" s="72">
        <f t="shared" si="0"/>
        <v>20</v>
      </c>
      <c r="U12" s="72">
        <f t="shared" si="2"/>
        <v>88172</v>
      </c>
      <c r="V12" s="72">
        <f t="shared" si="3"/>
        <v>3673.8333333333335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2"/>
        <v>88</v>
      </c>
      <c r="V13" s="73">
        <f t="shared" si="3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si="1"/>
        <v>12</v>
      </c>
      <c r="B14" s="10" t="s">
        <v>22</v>
      </c>
      <c r="C14" s="15">
        <f>4</f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ref="U14:U36" si="4">C14*24+M14*24+O14*24+Q14*24+T14</f>
        <v>96</v>
      </c>
      <c r="V14" s="71">
        <f t="shared" ref="V14:V36" si="5">U14/24</f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1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4"/>
        <v>24</v>
      </c>
      <c r="V15" s="71">
        <f t="shared" si="5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1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4"/>
        <v>0</v>
      </c>
      <c r="V16" s="71">
        <f t="shared" si="5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1"/>
        <v>15</v>
      </c>
      <c r="B17" s="10" t="s">
        <v>25</v>
      </c>
      <c r="C17" s="15"/>
      <c r="D17" s="15"/>
      <c r="E17" s="15"/>
      <c r="F17" s="15">
        <v>3</v>
      </c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4"/>
        <v>0</v>
      </c>
      <c r="V17" s="71">
        <f t="shared" si="5"/>
        <v>0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1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4"/>
        <v>0</v>
      </c>
      <c r="V18" s="71">
        <f t="shared" si="5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>
        <f>24*1+20</f>
        <v>44</v>
      </c>
      <c r="G19" s="15"/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0</v>
      </c>
      <c r="U19" s="71">
        <f t="shared" si="4"/>
        <v>72</v>
      </c>
      <c r="V19" s="71">
        <f t="shared" si="5"/>
        <v>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si="1"/>
        <v>17</v>
      </c>
      <c r="B20" s="10" t="s">
        <v>28</v>
      </c>
      <c r="C20" s="15">
        <f>4+3</f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4"/>
        <v>184</v>
      </c>
      <c r="V20" s="71">
        <f t="shared" si="5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1"/>
        <v>18</v>
      </c>
      <c r="B21" s="10" t="s">
        <v>29</v>
      </c>
      <c r="C21" s="15">
        <f>1+1</f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4"/>
        <v>96</v>
      </c>
      <c r="V21" s="71">
        <f t="shared" si="5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1"/>
        <v>19</v>
      </c>
      <c r="B22" s="10" t="s">
        <v>30</v>
      </c>
      <c r="C22" s="15">
        <v>1</v>
      </c>
      <c r="D22" s="15"/>
      <c r="E22" s="15"/>
      <c r="F22" s="15"/>
      <c r="G22" s="15">
        <v>20</v>
      </c>
      <c r="H22" s="15">
        <v>20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4"/>
        <v>44</v>
      </c>
      <c r="V22" s="71">
        <f t="shared" si="5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1"/>
        <v>20</v>
      </c>
      <c r="B23" s="10" t="s">
        <v>31</v>
      </c>
      <c r="C23" s="15"/>
      <c r="D23" s="15"/>
      <c r="E23" s="15"/>
      <c r="F23" s="15"/>
      <c r="G23" s="15"/>
      <c r="H23" s="15"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4"/>
        <v>907</v>
      </c>
      <c r="V23" s="71">
        <f t="shared" si="5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1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4"/>
        <v>240</v>
      </c>
      <c r="V24" s="71">
        <f t="shared" si="5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1"/>
        <v>22</v>
      </c>
      <c r="B25" s="10" t="s">
        <v>33</v>
      </c>
      <c r="C25" s="15"/>
      <c r="D25" s="15"/>
      <c r="E25" s="15"/>
      <c r="F25" s="15"/>
      <c r="G25" s="15"/>
      <c r="H25" s="15">
        <v>1</v>
      </c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4"/>
        <v>1</v>
      </c>
      <c r="V25" s="71">
        <f t="shared" si="5"/>
        <v>4.1666666666666664E-2</v>
      </c>
      <c r="AY25" s="86" t="e">
        <f>#REF!-AY24</f>
        <v>#REF!</v>
      </c>
    </row>
    <row r="26" spans="1:54" s="2" customFormat="1">
      <c r="A26" s="6">
        <f t="shared" si="1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4"/>
        <v>0</v>
      </c>
      <c r="V26" s="71">
        <f t="shared" si="5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1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4"/>
        <v>0</v>
      </c>
      <c r="V27" s="71">
        <f t="shared" si="5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1"/>
        <v>25</v>
      </c>
      <c r="B28" s="10" t="s">
        <v>36</v>
      </c>
      <c r="C28" s="15">
        <v>23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4"/>
        <v>552</v>
      </c>
      <c r="V28" s="71">
        <f t="shared" si="5"/>
        <v>23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1"/>
        <v>26</v>
      </c>
      <c r="B29" s="10" t="s">
        <v>37</v>
      </c>
      <c r="C29" s="15">
        <f>10+8</f>
        <v>18</v>
      </c>
      <c r="D29" s="15"/>
      <c r="E29" s="15"/>
      <c r="F29" s="15"/>
      <c r="G29" s="15"/>
      <c r="H29" s="15">
        <v>20</v>
      </c>
      <c r="I29" s="15">
        <v>4</v>
      </c>
      <c r="J29" s="38"/>
      <c r="K29" s="39"/>
      <c r="L29" s="34"/>
      <c r="M29" s="62"/>
      <c r="N29" s="63"/>
      <c r="O29" s="15">
        <v>1</v>
      </c>
      <c r="P29" s="38"/>
      <c r="Q29" s="38"/>
      <c r="R29" s="39"/>
      <c r="S29" s="34"/>
      <c r="T29" s="69">
        <f t="shared" si="0"/>
        <v>24</v>
      </c>
      <c r="U29" s="71">
        <f t="shared" si="4"/>
        <v>480</v>
      </c>
      <c r="V29" s="71">
        <f t="shared" si="5"/>
        <v>20</v>
      </c>
    </row>
    <row r="30" spans="1:54">
      <c r="A30" s="6">
        <f t="shared" si="1"/>
        <v>27</v>
      </c>
      <c r="B30" s="10" t="s">
        <v>38</v>
      </c>
      <c r="C30" s="15">
        <v>9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4"/>
        <v>360</v>
      </c>
      <c r="V30" s="71">
        <f t="shared" si="5"/>
        <v>15</v>
      </c>
    </row>
    <row r="31" spans="1:54">
      <c r="A31" s="6">
        <f t="shared" si="1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>
        <v>1</v>
      </c>
      <c r="P31" s="38"/>
      <c r="Q31" s="38"/>
      <c r="R31" s="39"/>
      <c r="S31" s="34"/>
      <c r="T31" s="69">
        <f t="shared" si="0"/>
        <v>0</v>
      </c>
      <c r="U31" s="71">
        <f t="shared" si="4"/>
        <v>72</v>
      </c>
      <c r="V31" s="71">
        <f t="shared" si="5"/>
        <v>3</v>
      </c>
    </row>
    <row r="32" spans="1:54">
      <c r="A32" s="6">
        <f t="shared" si="1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4"/>
        <v>120</v>
      </c>
      <c r="V32" s="71">
        <f t="shared" si="5"/>
        <v>5</v>
      </c>
    </row>
    <row r="33" spans="1:23">
      <c r="A33" s="6">
        <f t="shared" si="1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4"/>
        <v>120</v>
      </c>
      <c r="V33" s="71">
        <f t="shared" si="5"/>
        <v>5</v>
      </c>
    </row>
    <row r="34" spans="1:23">
      <c r="A34" s="6">
        <f t="shared" si="1"/>
        <v>31</v>
      </c>
      <c r="B34" s="10" t="s">
        <v>42</v>
      </c>
      <c r="C34" s="15">
        <f>72+41</f>
        <v>113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4"/>
        <v>2809</v>
      </c>
      <c r="V34" s="71">
        <f t="shared" si="5"/>
        <v>117.04166666666667</v>
      </c>
    </row>
    <row r="35" spans="1:23" hidden="1">
      <c r="A35" s="6">
        <f t="shared" si="1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4"/>
        <v>0</v>
      </c>
      <c r="V35" s="71">
        <f t="shared" si="5"/>
        <v>0</v>
      </c>
    </row>
    <row r="36" spans="1:23">
      <c r="A36" s="6">
        <f t="shared" si="1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4"/>
        <v>24</v>
      </c>
      <c r="V36" s="71">
        <f t="shared" si="5"/>
        <v>1</v>
      </c>
    </row>
    <row r="37" spans="1:23">
      <c r="A37" s="6">
        <f t="shared" si="1"/>
        <v>34</v>
      </c>
      <c r="B37" s="12" t="s">
        <v>45</v>
      </c>
      <c r="C37" s="13">
        <f>972+1512+75+3564+640</f>
        <v>6763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9</v>
      </c>
      <c r="N37" s="61"/>
      <c r="O37" s="20">
        <v>30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41480</v>
      </c>
      <c r="V37" s="74">
        <f>U37/6</f>
        <v>6913.333333333333</v>
      </c>
      <c r="W37" s="78"/>
    </row>
    <row r="38" spans="1:23">
      <c r="A38" s="6">
        <f t="shared" si="1"/>
        <v>35</v>
      </c>
      <c r="B38" s="14" t="s">
        <v>46</v>
      </c>
      <c r="C38" s="15">
        <f>1+1</f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>C38*24+M38*24+O38*24+Q38*24+T38</f>
        <v>48</v>
      </c>
      <c r="V38" s="71">
        <f>U38/24</f>
        <v>2</v>
      </c>
    </row>
    <row r="39" spans="1:23">
      <c r="A39" s="6">
        <f t="shared" si="1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>C39*24+M39*24+O39*24+Q39*24+T39</f>
        <v>24</v>
      </c>
      <c r="V39" s="71">
        <f>U39/24</f>
        <v>1</v>
      </c>
    </row>
    <row r="40" spans="1:23">
      <c r="A40" s="6">
        <f t="shared" si="1"/>
        <v>37</v>
      </c>
      <c r="B40" s="12" t="s">
        <v>48</v>
      </c>
      <c r="C40" s="13">
        <f>63+6+97</f>
        <v>166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>C40*24+M40*24+O40*24+Q40*24+T40</f>
        <v>4076</v>
      </c>
      <c r="V40" s="74">
        <f>U40/24</f>
        <v>169.83333333333334</v>
      </c>
    </row>
    <row r="41" spans="1:23">
      <c r="A41" s="6">
        <f t="shared" si="1"/>
        <v>38</v>
      </c>
      <c r="B41" s="18" t="s">
        <v>49</v>
      </c>
      <c r="C41" s="19">
        <f>384+192+73+192</f>
        <v>841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2</v>
      </c>
      <c r="N41" s="65"/>
      <c r="O41" s="19">
        <v>7</v>
      </c>
      <c r="P41" s="42"/>
      <c r="Q41" s="42">
        <v>21</v>
      </c>
      <c r="R41" s="43"/>
      <c r="S41" s="44"/>
      <c r="T41" s="76">
        <f t="shared" si="0"/>
        <v>11</v>
      </c>
      <c r="U41" s="76">
        <f>C41*12+M41*12+O41*12+Q41*12+T41</f>
        <v>10463</v>
      </c>
      <c r="V41" s="76">
        <f>U41/12</f>
        <v>871.91666666666663</v>
      </c>
    </row>
    <row r="42" spans="1:23" hidden="1">
      <c r="A42" s="6">
        <f t="shared" si="1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1"/>
        <v>40</v>
      </c>
      <c r="B43" s="12" t="s">
        <v>51</v>
      </c>
      <c r="C43" s="20">
        <f>5184+4104+8424+5616+3996+2916+4477</f>
        <v>34717</v>
      </c>
      <c r="D43" s="20"/>
      <c r="E43" s="20"/>
      <c r="F43" s="20"/>
      <c r="G43" s="20"/>
      <c r="H43" s="20"/>
      <c r="I43" s="20">
        <v>7</v>
      </c>
      <c r="J43" s="45">
        <f>6*9</f>
        <v>54</v>
      </c>
      <c r="K43" s="46">
        <f>47*6+2</f>
        <v>284</v>
      </c>
      <c r="L43" s="37"/>
      <c r="M43" s="60">
        <v>776</v>
      </c>
      <c r="N43" s="61"/>
      <c r="O43" s="20">
        <v>386</v>
      </c>
      <c r="P43" s="45"/>
      <c r="Q43" s="45">
        <v>562</v>
      </c>
      <c r="R43" s="46"/>
      <c r="S43" s="37"/>
      <c r="T43" s="74">
        <f t="shared" ref="T43" si="6">H43+I43+J43+K43+N43+P43+R43</f>
        <v>345</v>
      </c>
      <c r="U43" s="74">
        <f>C43*6+M43*6+O43*6+Q43*6+T43</f>
        <v>218991</v>
      </c>
      <c r="V43" s="74">
        <f>U43/6</f>
        <v>36498.5</v>
      </c>
    </row>
    <row r="44" spans="1:23" hidden="1">
      <c r="A44" s="6">
        <f t="shared" si="1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1"/>
        <v>42</v>
      </c>
      <c r="B45" s="10" t="s">
        <v>53</v>
      </c>
      <c r="C45" s="15">
        <f>10+5</f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ref="T45:T54" si="7">H45+I45+J45+K45+N45+P45+R45</f>
        <v>0</v>
      </c>
      <c r="U45" s="71">
        <f>C45*24+M45*24+O45*24+Q45*24+T45</f>
        <v>360</v>
      </c>
      <c r="V45" s="71">
        <f>U45/24</f>
        <v>15</v>
      </c>
    </row>
    <row r="46" spans="1:23">
      <c r="A46" s="6">
        <f t="shared" si="1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7"/>
        <v>0</v>
      </c>
      <c r="U46" s="71">
        <f t="shared" ref="U46:U50" si="8">C46*24+M46*24+O46*24+Q46*24+T46</f>
        <v>0</v>
      </c>
      <c r="V46" s="71">
        <f t="shared" ref="V46:V54" si="9">U46/24</f>
        <v>0</v>
      </c>
    </row>
    <row r="47" spans="1:23">
      <c r="A47" s="6">
        <f t="shared" si="1"/>
        <v>44</v>
      </c>
      <c r="B47" s="12" t="s">
        <v>43</v>
      </c>
      <c r="C47" s="20">
        <f>432+106+2160+76+52</f>
        <v>2826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1</v>
      </c>
      <c r="P47" s="45">
        <v>4</v>
      </c>
      <c r="Q47" s="45">
        <v>10</v>
      </c>
      <c r="R47" s="46"/>
      <c r="S47" s="37"/>
      <c r="T47" s="74">
        <f t="shared" si="7"/>
        <v>10</v>
      </c>
      <c r="U47" s="74">
        <f>C47*6+M47*6+O47*6+Q47*6+T47</f>
        <v>17032</v>
      </c>
      <c r="V47" s="74">
        <f>U47/6</f>
        <v>2838.6666666666665</v>
      </c>
    </row>
    <row r="48" spans="1:23">
      <c r="A48" s="6">
        <f t="shared" si="1"/>
        <v>45</v>
      </c>
      <c r="B48" s="14" t="s">
        <v>55</v>
      </c>
      <c r="C48" s="15"/>
      <c r="D48" s="15"/>
      <c r="E48" s="15"/>
      <c r="F48" s="15"/>
      <c r="G48" s="15"/>
      <c r="H48" s="15"/>
      <c r="I48" s="15">
        <v>24</v>
      </c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7"/>
        <v>24</v>
      </c>
      <c r="U48" s="71">
        <f t="shared" si="8"/>
        <v>24</v>
      </c>
      <c r="V48" s="71">
        <f t="shared" si="9"/>
        <v>1</v>
      </c>
    </row>
    <row r="49" spans="1:22">
      <c r="A49" s="6">
        <f t="shared" si="1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7"/>
        <v>0</v>
      </c>
      <c r="U49" s="71">
        <f t="shared" si="8"/>
        <v>48</v>
      </c>
      <c r="V49" s="71">
        <f t="shared" si="9"/>
        <v>2</v>
      </c>
    </row>
    <row r="50" spans="1:22">
      <c r="A50" s="6">
        <f t="shared" si="1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7"/>
        <v>0</v>
      </c>
      <c r="U50" s="71">
        <f t="shared" si="8"/>
        <v>0</v>
      </c>
      <c r="V50" s="71">
        <f t="shared" si="9"/>
        <v>0</v>
      </c>
    </row>
    <row r="51" spans="1:22">
      <c r="A51" s="6">
        <f t="shared" si="1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7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1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7"/>
        <v>0</v>
      </c>
      <c r="U52" s="71">
        <f t="shared" ref="U52:U54" si="10">C52*24+M52*24+O52*24+Q52*24+T52</f>
        <v>48</v>
      </c>
      <c r="V52" s="71">
        <f t="shared" si="9"/>
        <v>2</v>
      </c>
    </row>
    <row r="53" spans="1:22">
      <c r="A53" s="6">
        <f t="shared" si="1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7"/>
        <v>0</v>
      </c>
      <c r="U53" s="71">
        <f t="shared" si="10"/>
        <v>288</v>
      </c>
      <c r="V53" s="71">
        <f t="shared" si="9"/>
        <v>12</v>
      </c>
    </row>
    <row r="54" spans="1:22">
      <c r="A54" s="6">
        <f t="shared" si="1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7"/>
        <v>0</v>
      </c>
      <c r="U54" s="71">
        <f t="shared" si="10"/>
        <v>0</v>
      </c>
      <c r="V54" s="71">
        <f t="shared" si="9"/>
        <v>0</v>
      </c>
    </row>
    <row r="55" spans="1:22">
      <c r="A55" s="6">
        <f t="shared" si="1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1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1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>SUM(C7:C57)</f>
        <v>49467</v>
      </c>
      <c r="D58" s="22"/>
      <c r="E58" s="22"/>
      <c r="F58" s="22">
        <f t="shared" ref="F58:K58" si="11">SUM(F7:F57)</f>
        <v>47</v>
      </c>
      <c r="G58" s="22">
        <f t="shared" si="11"/>
        <v>20</v>
      </c>
      <c r="H58" s="22">
        <f t="shared" si="11"/>
        <v>1139</v>
      </c>
      <c r="I58" s="47">
        <f t="shared" si="11"/>
        <v>38</v>
      </c>
      <c r="J58" s="47">
        <f t="shared" si="11"/>
        <v>54</v>
      </c>
      <c r="K58" s="47">
        <f t="shared" si="11"/>
        <v>319</v>
      </c>
      <c r="M58" s="66">
        <f t="shared" ref="M58:R58" si="12">SUM(M7:M57)</f>
        <v>820</v>
      </c>
      <c r="N58" s="66">
        <f t="shared" si="12"/>
        <v>17</v>
      </c>
      <c r="O58" s="66">
        <f t="shared" si="12"/>
        <v>448</v>
      </c>
      <c r="P58" s="66">
        <f t="shared" si="12"/>
        <v>19</v>
      </c>
      <c r="Q58" s="66">
        <f t="shared" si="12"/>
        <v>736</v>
      </c>
      <c r="R58" s="66">
        <f t="shared" si="12"/>
        <v>0</v>
      </c>
      <c r="S58" s="34"/>
      <c r="T58" s="77">
        <f>SUM(T7:T57)</f>
        <v>1586</v>
      </c>
      <c r="U58" s="79">
        <f>SUM(U7:U57)+116</f>
        <v>394522</v>
      </c>
      <c r="V58" s="77">
        <f>SUM(V7:V57)</f>
        <v>51582.916666666664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B81"/>
  <sheetViews>
    <sheetView topLeftCell="C4" zoomScaleNormal="100" zoomScaleSheetLayoutView="115" workbookViewId="0">
      <selection activeCell="U59" sqref="U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72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24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2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715</v>
      </c>
      <c r="V7" s="69">
        <f t="shared" ref="V7:V36" si="2">U7/24</f>
        <v>29.791666666666668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27+63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72+4</f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f>78+1</f>
        <v>79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5</v>
      </c>
      <c r="R10" s="39"/>
      <c r="S10" s="34"/>
      <c r="T10" s="69">
        <f t="shared" si="0"/>
        <v>0</v>
      </c>
      <c r="U10" s="69">
        <f t="shared" si="1"/>
        <v>2040</v>
      </c>
      <c r="V10" s="69">
        <f t="shared" si="2"/>
        <v>85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/>
      <c r="L11" s="34"/>
      <c r="M11" s="62"/>
      <c r="N11" s="63"/>
      <c r="O11" s="15"/>
      <c r="P11" s="38"/>
      <c r="Q11" s="38"/>
      <c r="R11" s="39"/>
      <c r="S11" s="34"/>
      <c r="T11" s="69">
        <f t="shared" si="0"/>
        <v>22</v>
      </c>
      <c r="U11" s="69">
        <f t="shared" si="1"/>
        <v>22</v>
      </c>
      <c r="V11" s="69">
        <f t="shared" si="2"/>
        <v>0.91666666666666663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49+1440+1008+576+504</f>
        <v>3577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8</v>
      </c>
      <c r="N12" s="61">
        <v>14</v>
      </c>
      <c r="O12" s="20">
        <v>4</v>
      </c>
      <c r="P12" s="45">
        <v>22</v>
      </c>
      <c r="Q12" s="45">
        <v>32</v>
      </c>
      <c r="R12" s="46"/>
      <c r="S12" s="37"/>
      <c r="T12" s="72">
        <f t="shared" si="0"/>
        <v>36</v>
      </c>
      <c r="U12" s="72">
        <f t="shared" si="1"/>
        <v>86940</v>
      </c>
      <c r="V12" s="72">
        <f t="shared" si="2"/>
        <v>3622.5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v>24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24</v>
      </c>
      <c r="U17" s="71">
        <f t="shared" si="1"/>
        <v>24</v>
      </c>
      <c r="V17" s="71">
        <f t="shared" si="2"/>
        <v>1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v>3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3</v>
      </c>
      <c r="U24" s="71">
        <f t="shared" si="1"/>
        <v>171</v>
      </c>
      <c r="V24" s="71">
        <f t="shared" si="2"/>
        <v>7.125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8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>
        <v>15</v>
      </c>
      <c r="R28" s="39"/>
      <c r="S28" s="34"/>
      <c r="T28" s="69">
        <f t="shared" si="0"/>
        <v>0</v>
      </c>
      <c r="U28" s="71">
        <f t="shared" si="1"/>
        <v>552</v>
      </c>
      <c r="V28" s="71">
        <f t="shared" si="2"/>
        <v>23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16</v>
      </c>
      <c r="D29" s="15"/>
      <c r="E29" s="15"/>
      <c r="F29" s="15"/>
      <c r="G29" s="15"/>
      <c r="H29" s="15">
        <v>20</v>
      </c>
      <c r="I29" s="15">
        <v>4</v>
      </c>
      <c r="J29" s="38"/>
      <c r="K29" s="39"/>
      <c r="L29" s="34"/>
      <c r="M29" s="62"/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480</v>
      </c>
      <c r="V29" s="71">
        <f t="shared" si="2"/>
        <v>20</v>
      </c>
    </row>
    <row r="30" spans="1:54">
      <c r="A30" s="6">
        <f t="shared" si="5"/>
        <v>27</v>
      </c>
      <c r="B30" s="10" t="s">
        <v>38</v>
      </c>
      <c r="C30" s="15">
        <v>9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41+72</f>
        <v>113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1"/>
        <v>2809</v>
      </c>
      <c r="V34" s="71">
        <f t="shared" si="2"/>
        <v>117.04166666666667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1512+4752+100+75+324</f>
        <v>6763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6</v>
      </c>
      <c r="N37" s="61"/>
      <c r="O37" s="20">
        <v>23</v>
      </c>
      <c r="P37" s="45"/>
      <c r="Q37" s="45">
        <v>54</v>
      </c>
      <c r="R37" s="46"/>
      <c r="S37" s="37"/>
      <c r="T37" s="74">
        <f t="shared" si="0"/>
        <v>8</v>
      </c>
      <c r="U37" s="74">
        <f>C37*6+M37*6+O37*6+Q37*6+T37</f>
        <v>41084</v>
      </c>
      <c r="V37" s="74">
        <f>U37/6</f>
        <v>6847.333333333333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63+63+40</f>
        <v>166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768+73</f>
        <v>841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2</v>
      </c>
      <c r="N41" s="65"/>
      <c r="O41" s="19">
        <v>1</v>
      </c>
      <c r="P41" s="42"/>
      <c r="Q41" s="42">
        <v>14</v>
      </c>
      <c r="R41" s="43"/>
      <c r="S41" s="44"/>
      <c r="T41" s="76">
        <f t="shared" si="0"/>
        <v>11</v>
      </c>
      <c r="U41" s="76">
        <f>C41*12+M41*12+O41*12+Q41*12+T41</f>
        <v>10307</v>
      </c>
      <c r="V41" s="76">
        <f>U41/12</f>
        <v>858.91666666666663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756+5184+4104+8424+5616+3240+49+864+5724</f>
        <v>33961</v>
      </c>
      <c r="D43" s="20"/>
      <c r="E43" s="20"/>
      <c r="F43" s="20"/>
      <c r="G43" s="20"/>
      <c r="H43" s="20">
        <v>7</v>
      </c>
      <c r="I43" s="20">
        <f>6*9</f>
        <v>54</v>
      </c>
      <c r="J43" s="45"/>
      <c r="K43" s="46">
        <f>47*6+2</f>
        <v>284</v>
      </c>
      <c r="L43" s="37"/>
      <c r="M43" s="60">
        <v>70</v>
      </c>
      <c r="N43" s="61"/>
      <c r="O43" s="20">
        <v>94</v>
      </c>
      <c r="P43" s="45"/>
      <c r="Q43" s="45">
        <v>790</v>
      </c>
      <c r="R43" s="46"/>
      <c r="S43" s="37"/>
      <c r="T43" s="74">
        <f t="shared" ref="T43:T54" si="8">H43+I43+J43+K43+N43+P43+R43</f>
        <v>345</v>
      </c>
      <c r="U43" s="74">
        <f>C43*6+M43*6+O43*6+Q43*6+T43</f>
        <v>209835</v>
      </c>
      <c r="V43" s="74">
        <f>U43/6</f>
        <v>34972.5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432+108+2160+50+76</f>
        <v>2826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/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1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1</v>
      </c>
      <c r="U48" s="71">
        <f t="shared" si="9"/>
        <v>1</v>
      </c>
      <c r="V48" s="71">
        <f t="shared" si="10"/>
        <v>4.1666666666666664E-2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288</v>
      </c>
      <c r="V53" s="71">
        <f t="shared" si="12"/>
        <v>12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48658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1125</v>
      </c>
      <c r="I58" s="47">
        <f t="shared" si="13"/>
        <v>81</v>
      </c>
      <c r="J58" s="47">
        <f t="shared" si="13"/>
        <v>1</v>
      </c>
      <c r="K58" s="47">
        <f t="shared" si="13"/>
        <v>317</v>
      </c>
      <c r="M58" s="66">
        <f t="shared" ref="M58:R58" si="14">SUM(M7:M57)</f>
        <v>86</v>
      </c>
      <c r="N58" s="66">
        <f t="shared" si="14"/>
        <v>14</v>
      </c>
      <c r="O58" s="66">
        <f t="shared" si="14"/>
        <v>132</v>
      </c>
      <c r="P58" s="66">
        <f t="shared" si="14"/>
        <v>38</v>
      </c>
      <c r="Q58" s="66">
        <f t="shared" si="14"/>
        <v>933</v>
      </c>
      <c r="R58" s="66">
        <f t="shared" si="14"/>
        <v>0</v>
      </c>
      <c r="S58" s="34"/>
      <c r="T58" s="77">
        <f t="shared" ref="T58:V58" si="15">SUM(T7:T57)</f>
        <v>1576</v>
      </c>
      <c r="U58" s="79">
        <f>SUM(U7:U57)+142</f>
        <v>383480</v>
      </c>
      <c r="V58" s="77">
        <f t="shared" si="15"/>
        <v>49920.499999999993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B81"/>
  <sheetViews>
    <sheetView topLeftCell="B2"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73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21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>
        <v>2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667</v>
      </c>
      <c r="V7" s="69">
        <f t="shared" ref="V7:V36" si="2">U7/24</f>
        <v>27.791666666666668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63+27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79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/>
      <c r="R10" s="39"/>
      <c r="S10" s="34"/>
      <c r="T10" s="69">
        <f t="shared" si="0"/>
        <v>0</v>
      </c>
      <c r="U10" s="69">
        <f t="shared" si="1"/>
        <v>1920</v>
      </c>
      <c r="V10" s="69">
        <f t="shared" si="2"/>
        <v>80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504+1440+25+1008+576</f>
        <v>3553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13</v>
      </c>
      <c r="N12" s="61">
        <v>14</v>
      </c>
      <c r="O12" s="20">
        <v>13</v>
      </c>
      <c r="P12" s="45">
        <v>22</v>
      </c>
      <c r="Q12" s="45">
        <v>20</v>
      </c>
      <c r="R12" s="46"/>
      <c r="S12" s="37"/>
      <c r="T12" s="72">
        <f t="shared" si="0"/>
        <v>36</v>
      </c>
      <c r="U12" s="72">
        <f t="shared" si="1"/>
        <v>86412</v>
      </c>
      <c r="V12" s="72">
        <f t="shared" si="2"/>
        <v>3600.5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v>3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3</v>
      </c>
      <c r="U17" s="71">
        <f t="shared" si="1"/>
        <v>3</v>
      </c>
      <c r="V17" s="71">
        <f t="shared" si="2"/>
        <v>0.125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24*1+20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24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24</v>
      </c>
      <c r="U21" s="71">
        <f t="shared" si="1"/>
        <v>72</v>
      </c>
      <c r="V21" s="71">
        <f t="shared" si="2"/>
        <v>3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>
        <v>1</v>
      </c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1</v>
      </c>
      <c r="U26" s="71">
        <f t="shared" si="1"/>
        <v>1</v>
      </c>
      <c r="V26" s="71">
        <f t="shared" si="2"/>
        <v>4.1666666666666664E-2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4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4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192</v>
      </c>
      <c r="V28" s="71">
        <f t="shared" si="2"/>
        <v>8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13</v>
      </c>
      <c r="D29" s="15"/>
      <c r="E29" s="15"/>
      <c r="F29" s="15"/>
      <c r="G29" s="15"/>
      <c r="H29" s="15"/>
      <c r="I29" s="15">
        <v>20</v>
      </c>
      <c r="J29" s="38">
        <v>4</v>
      </c>
      <c r="K29" s="39"/>
      <c r="L29" s="34"/>
      <c r="M29" s="62">
        <v>1</v>
      </c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432</v>
      </c>
      <c r="V29" s="71">
        <f t="shared" si="2"/>
        <v>18</v>
      </c>
    </row>
    <row r="30" spans="1:54">
      <c r="A30" s="6">
        <f t="shared" si="5"/>
        <v>27</v>
      </c>
      <c r="B30" s="10" t="s">
        <v>38</v>
      </c>
      <c r="C30" s="15">
        <v>8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72+37</f>
        <v>109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2</v>
      </c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1"/>
        <v>2761</v>
      </c>
      <c r="V34" s="71">
        <f t="shared" si="2"/>
        <v>115.04166666666667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1512+75+4752+60+324</f>
        <v>6723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26</v>
      </c>
      <c r="N37" s="61"/>
      <c r="O37" s="20">
        <v>30</v>
      </c>
      <c r="P37" s="45"/>
      <c r="Q37" s="45">
        <v>60</v>
      </c>
      <c r="R37" s="46"/>
      <c r="S37" s="37"/>
      <c r="T37" s="74">
        <f t="shared" si="0"/>
        <v>8</v>
      </c>
      <c r="U37" s="74">
        <f>C37*6+M37*6+O37*6+Q37*6+T37</f>
        <v>41042</v>
      </c>
      <c r="V37" s="74">
        <f>U37/6</f>
        <v>6840.333333333333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126+39</f>
        <v>165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768+51</f>
        <v>819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11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10283</v>
      </c>
      <c r="V41" s="76">
        <f>U41/12</f>
        <v>856.91666666666663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5184+5616+8424+5616+2160+5832</f>
        <v>32832</v>
      </c>
      <c r="D43" s="20"/>
      <c r="E43" s="20"/>
      <c r="F43" s="20"/>
      <c r="G43" s="20"/>
      <c r="H43" s="20">
        <v>1</v>
      </c>
      <c r="I43" s="20">
        <v>7</v>
      </c>
      <c r="J43" s="45">
        <f>9*6+5</f>
        <v>59</v>
      </c>
      <c r="K43" s="46">
        <f>47*6+2</f>
        <v>284</v>
      </c>
      <c r="L43" s="37"/>
      <c r="M43" s="60">
        <v>370</v>
      </c>
      <c r="N43" s="61"/>
      <c r="O43" s="20">
        <v>382</v>
      </c>
      <c r="P43" s="45"/>
      <c r="Q43" s="45">
        <v>544</v>
      </c>
      <c r="R43" s="46"/>
      <c r="S43" s="37"/>
      <c r="T43" s="74">
        <f t="shared" ref="T43:T54" si="8">H43+I43+J43+K43+N43+P43+R43</f>
        <v>351</v>
      </c>
      <c r="U43" s="74">
        <f>C43*6+M43*6+O43*6+Q43*6+T43</f>
        <v>205119</v>
      </c>
      <c r="V43" s="74">
        <f>U43/6</f>
        <v>34186.5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49+432+106+2160+74</f>
        <v>2821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3</v>
      </c>
      <c r="N47" s="61"/>
      <c r="O47" s="20">
        <v>2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288</v>
      </c>
      <c r="V53" s="71">
        <f t="shared" si="12"/>
        <v>12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47422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1146</v>
      </c>
      <c r="I58" s="47">
        <f t="shared" si="13"/>
        <v>50</v>
      </c>
      <c r="J58" s="47">
        <f t="shared" si="13"/>
        <v>64</v>
      </c>
      <c r="K58" s="47">
        <f t="shared" si="13"/>
        <v>319</v>
      </c>
      <c r="M58" s="66">
        <f t="shared" ref="M58:R58" si="14">SUM(M7:M57)</f>
        <v>433</v>
      </c>
      <c r="N58" s="66">
        <f t="shared" si="14"/>
        <v>14</v>
      </c>
      <c r="O58" s="66">
        <f t="shared" si="14"/>
        <v>443</v>
      </c>
      <c r="P58" s="66">
        <f t="shared" si="14"/>
        <v>38</v>
      </c>
      <c r="Q58" s="66">
        <f t="shared" si="14"/>
        <v>667</v>
      </c>
      <c r="R58" s="66">
        <f t="shared" si="14"/>
        <v>0</v>
      </c>
      <c r="S58" s="34"/>
      <c r="T58" s="77">
        <f t="shared" ref="T58:V58" si="15">SUM(T7:T57)</f>
        <v>1631</v>
      </c>
      <c r="U58" s="79">
        <f>SUM(U7:U57)+93</f>
        <v>377546</v>
      </c>
      <c r="V58" s="77">
        <f t="shared" si="15"/>
        <v>49079.541666666664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B81"/>
  <sheetViews>
    <sheetView topLeftCell="H1" zoomScaleSheetLayoutView="115" workbookViewId="0">
      <selection activeCell="U55" sqref="U5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74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18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>
        <v>5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667</v>
      </c>
      <c r="V7" s="69">
        <f t="shared" ref="V7:V36" si="2">U7/24</f>
        <v>27.791666666666668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22+63</f>
        <v>85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>
        <v>5</v>
      </c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52</v>
      </c>
      <c r="D9" s="15"/>
      <c r="E9" s="15"/>
      <c r="F9" s="15"/>
      <c r="G9" s="15"/>
      <c r="H9" s="15"/>
      <c r="I9" s="15"/>
      <c r="J9" s="38"/>
      <c r="K9" s="39"/>
      <c r="L9" s="34"/>
      <c r="M9" s="62">
        <v>2</v>
      </c>
      <c r="N9" s="63"/>
      <c r="O9" s="15"/>
      <c r="P9" s="38"/>
      <c r="Q9" s="38">
        <v>22</v>
      </c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55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>
        <v>1</v>
      </c>
      <c r="P10" s="38"/>
      <c r="Q10" s="38">
        <v>23</v>
      </c>
      <c r="R10" s="39"/>
      <c r="S10" s="34"/>
      <c r="T10" s="69">
        <f t="shared" si="0"/>
        <v>0</v>
      </c>
      <c r="U10" s="69">
        <f t="shared" si="1"/>
        <v>1920</v>
      </c>
      <c r="V10" s="69">
        <f t="shared" si="2"/>
        <v>80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504+1440+936+62+576</f>
        <v>3518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19</v>
      </c>
      <c r="N12" s="61">
        <v>15</v>
      </c>
      <c r="O12" s="20">
        <v>6</v>
      </c>
      <c r="P12" s="45"/>
      <c r="Q12" s="45">
        <v>23</v>
      </c>
      <c r="R12" s="46">
        <v>12</v>
      </c>
      <c r="S12" s="37"/>
      <c r="T12" s="72">
        <f t="shared" si="0"/>
        <v>27</v>
      </c>
      <c r="U12" s="72">
        <f t="shared" si="1"/>
        <v>85611</v>
      </c>
      <c r="V12" s="72">
        <f t="shared" si="2"/>
        <v>3567.125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6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144</v>
      </c>
      <c r="V28" s="71">
        <f t="shared" si="2"/>
        <v>6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7</v>
      </c>
      <c r="D29" s="15"/>
      <c r="E29" s="15"/>
      <c r="F29" s="15"/>
      <c r="G29" s="15"/>
      <c r="H29" s="15"/>
      <c r="I29" s="15">
        <v>20</v>
      </c>
      <c r="J29" s="38">
        <v>4</v>
      </c>
      <c r="K29" s="39"/>
      <c r="L29" s="34"/>
      <c r="M29" s="62">
        <v>7</v>
      </c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432</v>
      </c>
      <c r="V29" s="71">
        <f t="shared" si="2"/>
        <v>18</v>
      </c>
    </row>
    <row r="30" spans="1:54">
      <c r="A30" s="6">
        <f t="shared" si="5"/>
        <v>27</v>
      </c>
      <c r="B30" s="10" t="s">
        <v>38</v>
      </c>
      <c r="C30" s="15">
        <v>7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2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72+29</f>
        <v>101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7</v>
      </c>
      <c r="N34" s="63"/>
      <c r="O34" s="15">
        <v>2</v>
      </c>
      <c r="P34" s="38"/>
      <c r="Q34" s="38">
        <v>3</v>
      </c>
      <c r="R34" s="39"/>
      <c r="S34" s="34"/>
      <c r="T34" s="69">
        <f t="shared" si="0"/>
        <v>1</v>
      </c>
      <c r="U34" s="71">
        <f t="shared" si="1"/>
        <v>2713</v>
      </c>
      <c r="V34" s="71">
        <f t="shared" si="2"/>
        <v>113.04166666666667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1404+4752+324</f>
        <v>6480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109</v>
      </c>
      <c r="N37" s="61"/>
      <c r="O37" s="20">
        <v>72</v>
      </c>
      <c r="P37" s="45"/>
      <c r="Q37" s="45">
        <v>74</v>
      </c>
      <c r="R37" s="46"/>
      <c r="S37" s="37"/>
      <c r="T37" s="74">
        <f t="shared" si="0"/>
        <v>8</v>
      </c>
      <c r="U37" s="74">
        <f>C37*6+M37*6+O37*6+Q37*6+T37</f>
        <v>40418</v>
      </c>
      <c r="V37" s="74">
        <f>U37/6</f>
        <v>6736.333333333333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126+39</f>
        <v>165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768+25</f>
        <v>793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12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9983</v>
      </c>
      <c r="V41" s="76">
        <f>U41/12</f>
        <v>831.91666666666663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5184+5616+8424+5616+864+5832</f>
        <v>31536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566</v>
      </c>
      <c r="N43" s="61"/>
      <c r="O43" s="20">
        <v>308</v>
      </c>
      <c r="P43" s="45"/>
      <c r="Q43" s="45">
        <v>545</v>
      </c>
      <c r="R43" s="46"/>
      <c r="S43" s="37"/>
      <c r="T43" s="74">
        <f t="shared" ref="T43:T54" si="8">H43+I43+J43+K43+N43+P43+R43</f>
        <v>357</v>
      </c>
      <c r="U43" s="74">
        <f>C43*6+M43*6+O43*6+Q43*6+T43</f>
        <v>198087</v>
      </c>
      <c r="V43" s="74">
        <f>U43/6</f>
        <v>33014.5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14</v>
      </c>
      <c r="D45" s="15"/>
      <c r="E45" s="15"/>
      <c r="F45" s="15"/>
      <c r="G45" s="15"/>
      <c r="H45" s="15"/>
      <c r="I45" s="15"/>
      <c r="J45" s="38"/>
      <c r="K45" s="39"/>
      <c r="L45" s="34"/>
      <c r="M45" s="62">
        <v>1</v>
      </c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8</v>
      </c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>
        <v>34</v>
      </c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816</v>
      </c>
      <c r="V50" s="71">
        <f t="shared" si="10"/>
        <v>34</v>
      </c>
    </row>
    <row r="51" spans="1:22">
      <c r="A51" s="6">
        <f t="shared" si="5"/>
        <v>48</v>
      </c>
      <c r="B51" s="12" t="s">
        <v>58</v>
      </c>
      <c r="C51" s="20">
        <v>2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12</v>
      </c>
      <c r="V51" s="74">
        <f>U51/6</f>
        <v>2</v>
      </c>
    </row>
    <row r="52" spans="1:22">
      <c r="A52" s="6">
        <f t="shared" si="5"/>
        <v>49</v>
      </c>
      <c r="B52" s="14" t="s">
        <v>59</v>
      </c>
      <c r="C52" s="15">
        <v>11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264</v>
      </c>
      <c r="V52" s="71">
        <f t="shared" ref="V52:V54" si="12">U52/24</f>
        <v>11</v>
      </c>
    </row>
    <row r="53" spans="1:22">
      <c r="A53" s="6">
        <f t="shared" si="5"/>
        <v>50</v>
      </c>
      <c r="B53" s="10" t="s">
        <v>60</v>
      </c>
      <c r="C53" s="15"/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0</v>
      </c>
      <c r="V53" s="71">
        <f t="shared" si="12"/>
        <v>0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>
        <v>1</v>
      </c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24</v>
      </c>
      <c r="V54" s="71">
        <f t="shared" si="12"/>
        <v>1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45737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1239</v>
      </c>
      <c r="I58" s="47">
        <f t="shared" si="13"/>
        <v>50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743</v>
      </c>
      <c r="N58" s="66">
        <f t="shared" si="14"/>
        <v>15</v>
      </c>
      <c r="O58" s="66">
        <f t="shared" si="14"/>
        <v>407</v>
      </c>
      <c r="P58" s="66">
        <f t="shared" si="14"/>
        <v>16</v>
      </c>
      <c r="Q58" s="66">
        <f t="shared" si="14"/>
        <v>739</v>
      </c>
      <c r="R58" s="66">
        <f t="shared" si="14"/>
        <v>12</v>
      </c>
      <c r="S58" s="34"/>
      <c r="T58" s="77">
        <f t="shared" ref="T58:V58" si="15">SUM(T7:T57)</f>
        <v>1721</v>
      </c>
      <c r="U58" s="79">
        <f>SUM(U7:U57)</f>
        <v>369269</v>
      </c>
      <c r="V58" s="77">
        <f t="shared" si="15"/>
        <v>47745.041666666664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B81"/>
  <sheetViews>
    <sheetView zoomScaleNormal="100" zoomScaleSheetLayoutView="115" workbookViewId="0">
      <selection activeCell="C59" sqref="C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75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17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/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523</v>
      </c>
      <c r="V7" s="69">
        <f t="shared" ref="V7:V36" si="2">U7/24</f>
        <v>21.791666666666668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19+63</f>
        <v>82</v>
      </c>
      <c r="D8" s="13"/>
      <c r="E8" s="13"/>
      <c r="F8" s="13"/>
      <c r="G8" s="13"/>
      <c r="H8" s="13"/>
      <c r="I8" s="13"/>
      <c r="J8" s="35"/>
      <c r="K8" s="36"/>
      <c r="L8" s="37"/>
      <c r="M8" s="60">
        <v>1</v>
      </c>
      <c r="N8" s="61"/>
      <c r="O8" s="20">
        <v>1</v>
      </c>
      <c r="P8" s="45"/>
      <c r="Q8" s="45">
        <v>2</v>
      </c>
      <c r="R8" s="46"/>
      <c r="S8" s="37"/>
      <c r="T8" s="70">
        <f t="shared" si="0"/>
        <v>0</v>
      </c>
      <c r="U8" s="72">
        <f t="shared" si="1"/>
        <v>2064</v>
      </c>
      <c r="V8" s="72">
        <f t="shared" si="2"/>
        <v>86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48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/>
      <c r="P9" s="38"/>
      <c r="Q9" s="38">
        <v>3</v>
      </c>
      <c r="R9" s="39"/>
      <c r="S9" s="34"/>
      <c r="T9" s="71">
        <f t="shared" si="0"/>
        <v>0</v>
      </c>
      <c r="U9" s="73">
        <f t="shared" si="1"/>
        <v>1248</v>
      </c>
      <c r="V9" s="73">
        <f t="shared" si="2"/>
        <v>52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51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1320</v>
      </c>
      <c r="V10" s="69">
        <f t="shared" si="2"/>
        <v>55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504+1440+23+936+576</f>
        <v>3479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>
        <v>9</v>
      </c>
      <c r="O12" s="20">
        <v>13</v>
      </c>
      <c r="P12" s="45"/>
      <c r="Q12" s="45">
        <v>22</v>
      </c>
      <c r="R12" s="46"/>
      <c r="S12" s="37"/>
      <c r="T12" s="72">
        <f t="shared" si="0"/>
        <v>9</v>
      </c>
      <c r="U12" s="72">
        <f t="shared" si="1"/>
        <v>84681</v>
      </c>
      <c r="V12" s="72">
        <f t="shared" si="2"/>
        <v>3528.375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7</v>
      </c>
      <c r="D29" s="15"/>
      <c r="E29" s="15"/>
      <c r="F29" s="15"/>
      <c r="G29" s="15"/>
      <c r="H29" s="15"/>
      <c r="I29" s="15"/>
      <c r="J29" s="38">
        <v>4</v>
      </c>
      <c r="K29" s="39"/>
      <c r="L29" s="34"/>
      <c r="M29" s="62">
        <v>2</v>
      </c>
      <c r="N29" s="63">
        <v>20</v>
      </c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312</v>
      </c>
      <c r="V29" s="71">
        <f t="shared" si="2"/>
        <v>13</v>
      </c>
    </row>
    <row r="30" spans="1:54">
      <c r="A30" s="6">
        <f t="shared" si="5"/>
        <v>27</v>
      </c>
      <c r="B30" s="10" t="s">
        <v>38</v>
      </c>
      <c r="C30" s="15">
        <v>7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312</v>
      </c>
      <c r="V30" s="71">
        <f t="shared" si="2"/>
        <v>13</v>
      </c>
    </row>
    <row r="31" spans="1:54">
      <c r="A31" s="6">
        <f t="shared" si="5"/>
        <v>28</v>
      </c>
      <c r="B31" s="10" t="s">
        <v>39</v>
      </c>
      <c r="C31" s="15">
        <v>1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>
        <v>1</v>
      </c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4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>
        <v>1</v>
      </c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72+22</f>
        <v>94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2</v>
      </c>
      <c r="N34" s="63"/>
      <c r="O34" s="15">
        <v>2</v>
      </c>
      <c r="P34" s="38"/>
      <c r="Q34" s="38">
        <v>6</v>
      </c>
      <c r="R34" s="39"/>
      <c r="S34" s="34"/>
      <c r="T34" s="69">
        <f t="shared" si="0"/>
        <v>1</v>
      </c>
      <c r="U34" s="71">
        <f t="shared" si="1"/>
        <v>2497</v>
      </c>
      <c r="V34" s="71">
        <f t="shared" si="2"/>
        <v>104.04166666666667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1188+4752+32+324</f>
        <v>6296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23</v>
      </c>
      <c r="N37" s="61"/>
      <c r="O37" s="20">
        <v>67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38984</v>
      </c>
      <c r="V37" s="74">
        <f>U37/6</f>
        <v>6497.333333333333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>
        <v>1</v>
      </c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126+38</f>
        <v>164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672+84</f>
        <v>756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>
        <v>11</v>
      </c>
      <c r="O41" s="19">
        <v>10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9563</v>
      </c>
      <c r="V41" s="76">
        <f>U41/12</f>
        <v>796.91666666666663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5184+5616+8424+5076+77+5832</f>
        <v>30209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324</v>
      </c>
      <c r="N43" s="61"/>
      <c r="O43" s="20">
        <v>465</v>
      </c>
      <c r="P43" s="45"/>
      <c r="Q43" s="45">
        <v>543</v>
      </c>
      <c r="R43" s="46"/>
      <c r="S43" s="37"/>
      <c r="T43" s="74">
        <f t="shared" ref="T43:T54" si="8">H43+I43+J43+K43+N43+P43+R43</f>
        <v>357</v>
      </c>
      <c r="U43" s="74">
        <f>C43*6+M43*6+O43*6+Q43*6+T43</f>
        <v>189603</v>
      </c>
      <c r="V43" s="74">
        <f>U43/6</f>
        <v>31600.5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11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3</v>
      </c>
      <c r="R45" s="39"/>
      <c r="S45" s="34"/>
      <c r="T45" s="71">
        <f t="shared" si="8"/>
        <v>0</v>
      </c>
      <c r="U45" s="71">
        <f t="shared" ref="U45:U50" si="9">C45*24+M45*24+O45*24+Q45*24+T45</f>
        <v>336</v>
      </c>
      <c r="V45" s="71">
        <f t="shared" ref="V45:V50" si="10">U45/24</f>
        <v>14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1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1</v>
      </c>
      <c r="U48" s="71">
        <f t="shared" si="9"/>
        <v>1</v>
      </c>
      <c r="V48" s="71">
        <f t="shared" si="10"/>
        <v>4.1666666666666664E-2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44124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1205</v>
      </c>
      <c r="I58" s="47">
        <f t="shared" si="13"/>
        <v>30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381</v>
      </c>
      <c r="N58" s="66">
        <f t="shared" si="14"/>
        <v>40</v>
      </c>
      <c r="O58" s="66">
        <f t="shared" si="14"/>
        <v>569</v>
      </c>
      <c r="P58" s="66">
        <f t="shared" si="14"/>
        <v>16</v>
      </c>
      <c r="Q58" s="66">
        <f t="shared" si="14"/>
        <v>734</v>
      </c>
      <c r="R58" s="66">
        <f t="shared" si="14"/>
        <v>0</v>
      </c>
      <c r="S58" s="34"/>
      <c r="T58" s="77">
        <f t="shared" ref="T58:V58" si="15">SUM(T7:T57)</f>
        <v>1680</v>
      </c>
      <c r="U58" s="79">
        <f t="shared" si="15"/>
        <v>355338</v>
      </c>
      <c r="V58" s="77">
        <f t="shared" si="15"/>
        <v>45925.333333333328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B81"/>
  <sheetViews>
    <sheetView zoomScaleNormal="100" zoomScaleSheetLayoutView="115" workbookViewId="0">
      <selection activeCell="B5" sqref="B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76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13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63+17</f>
        <v>80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1152</v>
      </c>
      <c r="V9" s="73">
        <f t="shared" si="2"/>
        <v>48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2</v>
      </c>
      <c r="P10" s="38"/>
      <c r="Q10" s="38"/>
      <c r="R10" s="39"/>
      <c r="S10" s="34"/>
      <c r="T10" s="69">
        <f t="shared" si="0"/>
        <v>0</v>
      </c>
      <c r="U10" s="69">
        <f t="shared" si="1"/>
        <v>1224</v>
      </c>
      <c r="V10" s="69">
        <f t="shared" si="2"/>
        <v>51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504+1440+33+864+576</f>
        <v>3417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15</v>
      </c>
      <c r="N12" s="61">
        <v>11</v>
      </c>
      <c r="O12" s="20">
        <v>12</v>
      </c>
      <c r="P12" s="45"/>
      <c r="Q12" s="45">
        <v>22</v>
      </c>
      <c r="R12" s="46">
        <v>14</v>
      </c>
      <c r="S12" s="37"/>
      <c r="T12" s="72">
        <f t="shared" si="0"/>
        <v>25</v>
      </c>
      <c r="U12" s="72">
        <f t="shared" si="1"/>
        <v>83209</v>
      </c>
      <c r="V12" s="72">
        <f t="shared" si="2"/>
        <v>3467.0416666666665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4</v>
      </c>
      <c r="D29" s="15"/>
      <c r="E29" s="15"/>
      <c r="F29" s="15"/>
      <c r="G29" s="15"/>
      <c r="H29" s="15"/>
      <c r="I29" s="15"/>
      <c r="J29" s="38">
        <v>4</v>
      </c>
      <c r="K29" s="39"/>
      <c r="L29" s="34"/>
      <c r="M29" s="62"/>
      <c r="N29" s="63">
        <v>20</v>
      </c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192</v>
      </c>
      <c r="V29" s="71">
        <f t="shared" si="2"/>
        <v>8</v>
      </c>
    </row>
    <row r="30" spans="1:54">
      <c r="A30" s="6">
        <f t="shared" si="5"/>
        <v>27</v>
      </c>
      <c r="B30" s="10" t="s">
        <v>38</v>
      </c>
      <c r="C30" s="15">
        <v>6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>
        <v>1</v>
      </c>
      <c r="P32" s="38"/>
      <c r="Q32" s="38"/>
      <c r="R32" s="39"/>
      <c r="S32" s="34"/>
      <c r="T32" s="69">
        <f t="shared" si="0"/>
        <v>0</v>
      </c>
      <c r="U32" s="71">
        <f t="shared" si="1"/>
        <v>96</v>
      </c>
      <c r="V32" s="71">
        <f t="shared" si="2"/>
        <v>4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>
        <v>1</v>
      </c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16+72</f>
        <v>88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3</v>
      </c>
      <c r="R34" s="39"/>
      <c r="S34" s="34"/>
      <c r="T34" s="69">
        <f t="shared" si="0"/>
        <v>1</v>
      </c>
      <c r="U34" s="71">
        <f t="shared" si="1"/>
        <v>2233</v>
      </c>
      <c r="V34" s="71">
        <f t="shared" si="2"/>
        <v>93.041666666666671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1080+4752+324+75</f>
        <v>6231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11</v>
      </c>
      <c r="N37" s="61"/>
      <c r="O37" s="20">
        <v>30</v>
      </c>
      <c r="P37" s="45"/>
      <c r="Q37" s="45">
        <v>42</v>
      </c>
      <c r="R37" s="46"/>
      <c r="S37" s="37"/>
      <c r="T37" s="74">
        <f t="shared" si="0"/>
        <v>8</v>
      </c>
      <c r="U37" s="74">
        <f>C37*6+M37*6+O37*6+Q37*6+T37</f>
        <v>37892</v>
      </c>
      <c r="V37" s="74">
        <f>U37/6</f>
        <v>6315.333333333333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63+35</f>
        <v>98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2468</v>
      </c>
      <c r="V40" s="74">
        <f t="shared" si="7"/>
        <v>102.83333333333333</v>
      </c>
    </row>
    <row r="41" spans="1:23">
      <c r="A41" s="6">
        <f t="shared" si="5"/>
        <v>38</v>
      </c>
      <c r="B41" s="18" t="s">
        <v>49</v>
      </c>
      <c r="C41" s="19">
        <f>576+62</f>
        <v>638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8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8004</v>
      </c>
      <c r="V41" s="76">
        <f>U41/12</f>
        <v>667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5184+5616+8424+3348+5832</f>
        <v>28404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72</v>
      </c>
      <c r="N43" s="61"/>
      <c r="O43" s="20">
        <v>395</v>
      </c>
      <c r="P43" s="45"/>
      <c r="Q43" s="45">
        <v>569</v>
      </c>
      <c r="R43" s="46"/>
      <c r="S43" s="37"/>
      <c r="T43" s="74">
        <f t="shared" ref="T43:T54" si="8">H43+I43+J43+K43+N43+P43+R43</f>
        <v>357</v>
      </c>
      <c r="U43" s="74">
        <f>C43*6+M43*6+O43*6+Q43*6+T43</f>
        <v>176997</v>
      </c>
      <c r="V43" s="74">
        <f>U43/6</f>
        <v>29499.5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9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2</v>
      </c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264</v>
      </c>
      <c r="V45" s="71">
        <f t="shared" ref="V45:V50" si="10">U45/24</f>
        <v>11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>
        <v>1</v>
      </c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0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41984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1204</v>
      </c>
      <c r="I58" s="47">
        <f t="shared" si="13"/>
        <v>30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98</v>
      </c>
      <c r="N58" s="66">
        <f t="shared" si="14"/>
        <v>31</v>
      </c>
      <c r="O58" s="66">
        <f t="shared" si="14"/>
        <v>467</v>
      </c>
      <c r="P58" s="66">
        <f t="shared" si="14"/>
        <v>16</v>
      </c>
      <c r="Q58" s="66">
        <f t="shared" si="14"/>
        <v>678</v>
      </c>
      <c r="R58" s="66">
        <f t="shared" si="14"/>
        <v>14</v>
      </c>
      <c r="S58" s="34"/>
      <c r="T58" s="77">
        <f t="shared" ref="T58:V58" si="15">SUM(T7:T57)</f>
        <v>1684</v>
      </c>
      <c r="U58" s="79">
        <f t="shared" si="15"/>
        <v>336040</v>
      </c>
      <c r="V58" s="77">
        <f t="shared" si="15"/>
        <v>43344.041666666664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B81"/>
  <sheetViews>
    <sheetView topLeftCell="A36" zoomScaleNormal="100" zoomScaleSheetLayoutView="115" workbookViewId="0">
      <selection activeCell="U58" sqref="U58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77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11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17+63</f>
        <v>80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46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1176</v>
      </c>
      <c r="V10" s="69">
        <f t="shared" si="2"/>
        <v>49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>
        <v>22</v>
      </c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504+1440+4+864+576</f>
        <v>3388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16</v>
      </c>
      <c r="N12" s="61">
        <v>11</v>
      </c>
      <c r="O12" s="20">
        <v>15</v>
      </c>
      <c r="P12" s="45">
        <v>15</v>
      </c>
      <c r="Q12" s="45">
        <v>22</v>
      </c>
      <c r="R12" s="46">
        <v>4</v>
      </c>
      <c r="S12" s="37"/>
      <c r="T12" s="72">
        <f t="shared" si="0"/>
        <v>30</v>
      </c>
      <c r="U12" s="72">
        <f t="shared" si="1"/>
        <v>82614</v>
      </c>
      <c r="V12" s="72">
        <f t="shared" si="2"/>
        <v>3442.25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>
        <f>24*3</f>
        <v>72</v>
      </c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72</v>
      </c>
      <c r="U16" s="71">
        <f t="shared" si="1"/>
        <v>72</v>
      </c>
      <c r="V16" s="71">
        <f t="shared" si="2"/>
        <v>3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>
        <v>3</v>
      </c>
      <c r="D17" s="15"/>
      <c r="E17" s="15"/>
      <c r="F17" s="15"/>
      <c r="G17" s="15"/>
      <c r="H17" s="15">
        <f>1*24+20</f>
        <v>44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44</v>
      </c>
      <c r="U17" s="71">
        <f t="shared" si="1"/>
        <v>116</v>
      </c>
      <c r="V17" s="71">
        <f t="shared" si="2"/>
        <v>4.833333333333333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7</v>
      </c>
      <c r="D19" s="15"/>
      <c r="E19" s="15"/>
      <c r="F19" s="15"/>
      <c r="G19" s="15"/>
      <c r="H19" s="15">
        <v>16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16</v>
      </c>
      <c r="U19" s="71">
        <f t="shared" si="1"/>
        <v>184</v>
      </c>
      <c r="V19" s="71">
        <f t="shared" si="2"/>
        <v>7.666666666666667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2</v>
      </c>
      <c r="D20" s="15"/>
      <c r="E20" s="15"/>
      <c r="F20" s="15"/>
      <c r="G20" s="15"/>
      <c r="H20" s="15">
        <f>24*2</f>
        <v>48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48</v>
      </c>
      <c r="U20" s="71">
        <f t="shared" si="1"/>
        <v>96</v>
      </c>
      <c r="V20" s="71">
        <f t="shared" si="2"/>
        <v>4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1</v>
      </c>
      <c r="D21" s="15"/>
      <c r="E21" s="15"/>
      <c r="F21" s="15"/>
      <c r="G21" s="15"/>
      <c r="H21" s="15"/>
      <c r="I21" s="15">
        <v>20</v>
      </c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20</v>
      </c>
      <c r="U21" s="71">
        <f t="shared" si="1"/>
        <v>44</v>
      </c>
      <c r="V21" s="71">
        <f t="shared" si="2"/>
        <v>1.8333333333333333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/>
      <c r="D22" s="15"/>
      <c r="E22" s="15"/>
      <c r="F22" s="15"/>
      <c r="G22" s="15"/>
      <c r="H22" s="15">
        <f>37*24+19</f>
        <v>907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907</v>
      </c>
      <c r="U22" s="71">
        <f t="shared" si="1"/>
        <v>907</v>
      </c>
      <c r="V22" s="71">
        <f t="shared" si="2"/>
        <v>37.791666666666664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>
        <v>7</v>
      </c>
      <c r="D23" s="15"/>
      <c r="E23" s="15"/>
      <c r="F23" s="15"/>
      <c r="G23" s="15"/>
      <c r="H23" s="15">
        <f>24*3</f>
        <v>72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72</v>
      </c>
      <c r="U23" s="71">
        <f t="shared" si="1"/>
        <v>240</v>
      </c>
      <c r="V23" s="71">
        <f t="shared" si="2"/>
        <v>10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/>
      <c r="D24" s="15"/>
      <c r="E24" s="15"/>
      <c r="F24" s="15"/>
      <c r="G24" s="15"/>
      <c r="H24" s="15"/>
      <c r="I24" s="15"/>
      <c r="J24" s="38">
        <v>1</v>
      </c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1</v>
      </c>
      <c r="U24" s="71">
        <f t="shared" si="1"/>
        <v>1</v>
      </c>
      <c r="V24" s="71">
        <f t="shared" si="2"/>
        <v>4.1666666666666664E-2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2</v>
      </c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>
        <v>2</v>
      </c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168</v>
      </c>
      <c r="V29" s="71">
        <f t="shared" si="2"/>
        <v>7</v>
      </c>
    </row>
    <row r="30" spans="1:54">
      <c r="A30" s="6">
        <f t="shared" si="5"/>
        <v>27</v>
      </c>
      <c r="B30" s="10" t="s">
        <v>38</v>
      </c>
      <c r="C30" s="15">
        <v>4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264</v>
      </c>
      <c r="V30" s="71">
        <f t="shared" si="2"/>
        <v>11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72+12</f>
        <v>84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1</v>
      </c>
      <c r="N34" s="63">
        <v>23</v>
      </c>
      <c r="O34" s="15">
        <v>2</v>
      </c>
      <c r="P34" s="38"/>
      <c r="Q34" s="38">
        <v>3</v>
      </c>
      <c r="R34" s="39"/>
      <c r="S34" s="34"/>
      <c r="T34" s="69">
        <f t="shared" si="0"/>
        <v>25</v>
      </c>
      <c r="U34" s="71">
        <f t="shared" si="1"/>
        <v>2185</v>
      </c>
      <c r="V34" s="71">
        <f t="shared" si="2"/>
        <v>91.041666666666671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52+864+4752+324</f>
        <v>5992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31</v>
      </c>
      <c r="N37" s="61"/>
      <c r="O37" s="20">
        <v>130</v>
      </c>
      <c r="P37" s="45"/>
      <c r="Q37" s="45">
        <v>97</v>
      </c>
      <c r="R37" s="46"/>
      <c r="S37" s="37"/>
      <c r="T37" s="74">
        <f t="shared" si="0"/>
        <v>8</v>
      </c>
      <c r="U37" s="74">
        <f>C37*6+M37*6+O37*6+Q37*6+T37</f>
        <v>37508</v>
      </c>
      <c r="V37" s="74">
        <f>U37/6</f>
        <v>6251.333333333333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63+32</f>
        <v>95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2444</v>
      </c>
      <c r="V40" s="74">
        <f t="shared" si="7"/>
        <v>101.83333333333333</v>
      </c>
    </row>
    <row r="41" spans="1:23">
      <c r="A41" s="6">
        <f t="shared" si="5"/>
        <v>38</v>
      </c>
      <c r="B41" s="18" t="s">
        <v>49</v>
      </c>
      <c r="C41" s="19">
        <f>576+32</f>
        <v>608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5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7728</v>
      </c>
      <c r="V41" s="76">
        <f>U41/12</f>
        <v>644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5184+5616+8424+2268+5832</f>
        <v>27324</v>
      </c>
      <c r="D43" s="20"/>
      <c r="E43" s="20"/>
      <c r="F43" s="20"/>
      <c r="G43" s="20"/>
      <c r="H43" s="20">
        <v>4</v>
      </c>
      <c r="I43" s="20">
        <v>7</v>
      </c>
      <c r="J43" s="45">
        <f>11*6+2</f>
        <v>68</v>
      </c>
      <c r="K43" s="46">
        <f>47*6+2</f>
        <v>284</v>
      </c>
      <c r="L43" s="37"/>
      <c r="M43" s="60">
        <v>395</v>
      </c>
      <c r="N43" s="61"/>
      <c r="O43" s="20">
        <v>421</v>
      </c>
      <c r="P43" s="45"/>
      <c r="Q43" s="45">
        <v>530</v>
      </c>
      <c r="R43" s="46"/>
      <c r="S43" s="37"/>
      <c r="T43" s="74">
        <f t="shared" ref="T43:T54" si="8">H43+I43+J43+K43+N43+P43+R43</f>
        <v>363</v>
      </c>
      <c r="U43" s="74">
        <f>C43*6+M43*6+O43*6+Q43*6+T43</f>
        <v>172383</v>
      </c>
      <c r="V43" s="74">
        <f>U43/6</f>
        <v>28730.5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9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>
        <v>1</v>
      </c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0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40590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1185</v>
      </c>
      <c r="I58" s="47">
        <f t="shared" si="13"/>
        <v>33</v>
      </c>
      <c r="J58" s="47">
        <f t="shared" si="13"/>
        <v>74</v>
      </c>
      <c r="K58" s="47">
        <f t="shared" si="13"/>
        <v>319</v>
      </c>
      <c r="M58" s="66">
        <f t="shared" ref="M58:R58" si="14">SUM(M7:M57)</f>
        <v>459</v>
      </c>
      <c r="N58" s="66">
        <f t="shared" si="14"/>
        <v>97</v>
      </c>
      <c r="O58" s="66">
        <f t="shared" si="14"/>
        <v>584</v>
      </c>
      <c r="P58" s="66">
        <f t="shared" si="14"/>
        <v>31</v>
      </c>
      <c r="Q58" s="66">
        <f t="shared" si="14"/>
        <v>697</v>
      </c>
      <c r="R58" s="66">
        <f t="shared" si="14"/>
        <v>4</v>
      </c>
      <c r="S58" s="34"/>
      <c r="T58" s="77">
        <f t="shared" ref="T58:V58" si="15">SUM(T7:T57)</f>
        <v>1743</v>
      </c>
      <c r="U58" s="79">
        <f t="shared" si="15"/>
        <v>329859</v>
      </c>
      <c r="V58" s="77">
        <f t="shared" si="15"/>
        <v>42450.25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B81"/>
  <sheetViews>
    <sheetView zoomScaleNormal="100" zoomScaleSheetLayoutView="115" workbookViewId="0">
      <selection activeCell="M65" sqref="M6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78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7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5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63+13</f>
        <v>76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5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45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45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1104</v>
      </c>
      <c r="V10" s="69">
        <f t="shared" si="2"/>
        <v>46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504+1440+792+60+576</f>
        <v>3372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15</v>
      </c>
      <c r="N12" s="61">
        <v>1</v>
      </c>
      <c r="O12" s="20">
        <v>11</v>
      </c>
      <c r="P12" s="45">
        <v>8</v>
      </c>
      <c r="Q12" s="45">
        <v>23</v>
      </c>
      <c r="R12" s="46">
        <v>2</v>
      </c>
      <c r="S12" s="37"/>
      <c r="T12" s="72">
        <f t="shared" si="0"/>
        <v>11</v>
      </c>
      <c r="U12" s="72">
        <f t="shared" si="1"/>
        <v>82115</v>
      </c>
      <c r="V12" s="72">
        <f t="shared" si="2"/>
        <v>3421.4583333333335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72</v>
      </c>
      <c r="V29" s="71">
        <f t="shared" si="2"/>
        <v>3</v>
      </c>
    </row>
    <row r="30" spans="1:54">
      <c r="A30" s="6">
        <f t="shared" si="5"/>
        <v>27</v>
      </c>
      <c r="B30" s="10" t="s">
        <v>38</v>
      </c>
      <c r="C30" s="15">
        <v>5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72+10</f>
        <v>82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/>
      <c r="N34" s="63">
        <v>23</v>
      </c>
      <c r="O34" s="15">
        <v>2</v>
      </c>
      <c r="P34" s="38"/>
      <c r="Q34" s="38">
        <v>5</v>
      </c>
      <c r="R34" s="39"/>
      <c r="S34" s="34"/>
      <c r="T34" s="69">
        <f t="shared" si="0"/>
        <v>25</v>
      </c>
      <c r="U34" s="71">
        <f t="shared" si="1"/>
        <v>2161</v>
      </c>
      <c r="V34" s="71">
        <f t="shared" si="2"/>
        <v>90.041666666666671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756+4752+324</f>
        <v>5832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23</v>
      </c>
      <c r="N37" s="61"/>
      <c r="O37" s="20">
        <v>30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35978</v>
      </c>
      <c r="V37" s="74">
        <f>U37/6</f>
        <v>5996.333333333333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63+27</f>
        <v>90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6</v>
      </c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2420</v>
      </c>
      <c r="V40" s="74">
        <f t="shared" si="7"/>
        <v>100.83333333333333</v>
      </c>
    </row>
    <row r="41" spans="1:23">
      <c r="A41" s="6">
        <f t="shared" si="5"/>
        <v>38</v>
      </c>
      <c r="B41" s="18" t="s">
        <v>49</v>
      </c>
      <c r="C41" s="19">
        <f>576+3</f>
        <v>579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20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7500</v>
      </c>
      <c r="V41" s="76">
        <f>U41/12</f>
        <v>625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5184+5616+8424+1296+5832</f>
        <v>26352</v>
      </c>
      <c r="D43" s="20"/>
      <c r="E43" s="20"/>
      <c r="F43" s="20"/>
      <c r="G43" s="20"/>
      <c r="H43" s="20">
        <v>5</v>
      </c>
      <c r="I43" s="20">
        <v>7</v>
      </c>
      <c r="J43" s="45">
        <f>13*6+1</f>
        <v>79</v>
      </c>
      <c r="K43" s="46">
        <f>47*6+2</f>
        <v>284</v>
      </c>
      <c r="L43" s="37"/>
      <c r="M43" s="60">
        <v>354</v>
      </c>
      <c r="N43" s="61"/>
      <c r="O43" s="20">
        <v>368</v>
      </c>
      <c r="P43" s="45"/>
      <c r="Q43" s="45">
        <v>559</v>
      </c>
      <c r="R43" s="46"/>
      <c r="S43" s="37"/>
      <c r="T43" s="74">
        <f t="shared" ref="T43:T54" si="8">H43+I43+J43+K43+N43+P43+R43</f>
        <v>375</v>
      </c>
      <c r="U43" s="74">
        <f>C43*6+M43*6+O43*6+Q43*6+T43</f>
        <v>166173</v>
      </c>
      <c r="V43" s="74">
        <f>U43/6</f>
        <v>27695.5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39393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1210</v>
      </c>
      <c r="I58" s="47">
        <f t="shared" si="13"/>
        <v>33</v>
      </c>
      <c r="J58" s="47">
        <f t="shared" si="13"/>
        <v>85</v>
      </c>
      <c r="K58" s="47">
        <f t="shared" si="13"/>
        <v>319</v>
      </c>
      <c r="M58" s="66">
        <f t="shared" ref="M58:R58" si="14">SUM(M7:M57)</f>
        <v>420</v>
      </c>
      <c r="N58" s="66">
        <f t="shared" si="14"/>
        <v>65</v>
      </c>
      <c r="O58" s="66">
        <f t="shared" si="14"/>
        <v>428</v>
      </c>
      <c r="P58" s="66">
        <f t="shared" si="14"/>
        <v>24</v>
      </c>
      <c r="Q58" s="66">
        <f t="shared" si="14"/>
        <v>749</v>
      </c>
      <c r="R58" s="66">
        <f t="shared" si="14"/>
        <v>2</v>
      </c>
      <c r="S58" s="34"/>
      <c r="T58" s="77">
        <f t="shared" ref="T58:V58" si="15">SUM(T7:T57)</f>
        <v>1738</v>
      </c>
      <c r="U58" s="79">
        <f t="shared" si="15"/>
        <v>321178</v>
      </c>
      <c r="V58" s="77">
        <f t="shared" si="15"/>
        <v>41111.541666666664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B81"/>
  <sheetViews>
    <sheetView topLeftCell="B1"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79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7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/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307</v>
      </c>
      <c r="V7" s="69">
        <f t="shared" ref="V7:V36" si="2">U7/24</f>
        <v>12.791666666666666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13+63</f>
        <v>76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>
        <v>1</v>
      </c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2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1080</v>
      </c>
      <c r="V10" s="69">
        <f t="shared" si="2"/>
        <v>45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504+1440+40+792+576</f>
        <v>3352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>
        <v>13</v>
      </c>
      <c r="O12" s="20">
        <v>13</v>
      </c>
      <c r="P12" s="45">
        <v>3</v>
      </c>
      <c r="Q12" s="45"/>
      <c r="R12" s="46">
        <v>19</v>
      </c>
      <c r="S12" s="37"/>
      <c r="T12" s="72">
        <f t="shared" si="0"/>
        <v>35</v>
      </c>
      <c r="U12" s="72">
        <f t="shared" si="1"/>
        <v>81131</v>
      </c>
      <c r="V12" s="72">
        <f t="shared" si="2"/>
        <v>3380.4583333333335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72</v>
      </c>
      <c r="V29" s="71">
        <f t="shared" si="2"/>
        <v>3</v>
      </c>
    </row>
    <row r="30" spans="1:54">
      <c r="A30" s="6">
        <f t="shared" si="5"/>
        <v>27</v>
      </c>
      <c r="B30" s="10" t="s">
        <v>38</v>
      </c>
      <c r="C30" s="15">
        <v>5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72+10</f>
        <v>82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/>
      <c r="R34" s="39"/>
      <c r="S34" s="34"/>
      <c r="T34" s="69">
        <f t="shared" si="0"/>
        <v>37</v>
      </c>
      <c r="U34" s="71">
        <f t="shared" si="1"/>
        <v>2029</v>
      </c>
      <c r="V34" s="71">
        <f t="shared" si="2"/>
        <v>84.541666666666671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52+648+4752+324</f>
        <v>5776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25</v>
      </c>
      <c r="N37" s="61"/>
      <c r="O37" s="20">
        <v>10</v>
      </c>
      <c r="P37" s="45"/>
      <c r="Q37" s="45">
        <v>41</v>
      </c>
      <c r="R37" s="46"/>
      <c r="S37" s="37"/>
      <c r="T37" s="74">
        <f t="shared" si="0"/>
        <v>8</v>
      </c>
      <c r="U37" s="74">
        <f>C37*6+M37*6+O37*6+Q37*6+T37</f>
        <v>35120</v>
      </c>
      <c r="V37" s="74">
        <f>U37/6</f>
        <v>5853.333333333333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63+27</f>
        <v>90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2288</v>
      </c>
      <c r="V40" s="74">
        <f t="shared" si="7"/>
        <v>95.333333333333329</v>
      </c>
    </row>
    <row r="41" spans="1:23">
      <c r="A41" s="6">
        <f t="shared" si="5"/>
        <v>38</v>
      </c>
      <c r="B41" s="18" t="s">
        <v>49</v>
      </c>
      <c r="C41" s="19">
        <f>480+86</f>
        <v>566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8</v>
      </c>
      <c r="N41" s="65"/>
      <c r="O41" s="19">
        <v>5</v>
      </c>
      <c r="P41" s="42"/>
      <c r="Q41" s="42">
        <v>1</v>
      </c>
      <c r="R41" s="43"/>
      <c r="S41" s="44"/>
      <c r="T41" s="76">
        <f t="shared" si="0"/>
        <v>0</v>
      </c>
      <c r="U41" s="76">
        <f>C41*12+M41*12+O41*12+Q41*12+T41</f>
        <v>6960</v>
      </c>
      <c r="V41" s="76">
        <f>U41/12</f>
        <v>580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5184+5616+8424+648+5832</f>
        <v>25704</v>
      </c>
      <c r="D43" s="20"/>
      <c r="E43" s="20"/>
      <c r="F43" s="20"/>
      <c r="G43" s="20"/>
      <c r="H43" s="20">
        <v>5</v>
      </c>
      <c r="I43" s="20">
        <v>7</v>
      </c>
      <c r="J43" s="45">
        <f>14*6+1</f>
        <v>85</v>
      </c>
      <c r="K43" s="46">
        <f>47*6+2</f>
        <v>284</v>
      </c>
      <c r="L43" s="37"/>
      <c r="M43" s="60">
        <v>325</v>
      </c>
      <c r="N43" s="61"/>
      <c r="O43" s="20">
        <v>382</v>
      </c>
      <c r="P43" s="45"/>
      <c r="Q43" s="45">
        <v>32</v>
      </c>
      <c r="R43" s="46"/>
      <c r="S43" s="37"/>
      <c r="T43" s="74">
        <f t="shared" ref="T43:T54" si="8">H43+I43+J43+K43+N43+P43+R43</f>
        <v>381</v>
      </c>
      <c r="U43" s="74">
        <f>C43*6+M43*6+O43*6+Q43*6+T43</f>
        <v>159039</v>
      </c>
      <c r="V43" s="74">
        <f>U43/6</f>
        <v>26506.5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38652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1210</v>
      </c>
      <c r="I58" s="47">
        <f t="shared" si="13"/>
        <v>32</v>
      </c>
      <c r="J58" s="47">
        <f t="shared" si="13"/>
        <v>92</v>
      </c>
      <c r="K58" s="47">
        <f t="shared" si="13"/>
        <v>319</v>
      </c>
      <c r="M58" s="66">
        <f t="shared" ref="M58:R58" si="14">SUM(M7:M57)</f>
        <v>377</v>
      </c>
      <c r="N58" s="66">
        <f t="shared" si="14"/>
        <v>77</v>
      </c>
      <c r="O58" s="66">
        <f t="shared" si="14"/>
        <v>423</v>
      </c>
      <c r="P58" s="66">
        <f t="shared" si="14"/>
        <v>43</v>
      </c>
      <c r="Q58" s="66">
        <f t="shared" si="14"/>
        <v>95</v>
      </c>
      <c r="R58" s="66">
        <f t="shared" si="14"/>
        <v>19</v>
      </c>
      <c r="S58" s="34"/>
      <c r="T58" s="77">
        <f t="shared" ref="T58:V58" si="15">SUM(T7:T57)</f>
        <v>1792</v>
      </c>
      <c r="U58" s="79">
        <f t="shared" si="15"/>
        <v>311134</v>
      </c>
      <c r="V58" s="77">
        <f t="shared" si="15"/>
        <v>39671.541666666664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81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307</v>
      </c>
      <c r="V7" s="69">
        <f t="shared" ref="V7:V36" si="2">U7/24</f>
        <v>12.791666666666666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43</f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504+1440+68+720+576</f>
        <v>3308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29</v>
      </c>
      <c r="N12" s="61">
        <v>13</v>
      </c>
      <c r="O12" s="20"/>
      <c r="P12" s="45">
        <v>11</v>
      </c>
      <c r="Q12" s="45">
        <v>20</v>
      </c>
      <c r="R12" s="46">
        <v>19</v>
      </c>
      <c r="S12" s="37"/>
      <c r="T12" s="72">
        <f t="shared" si="0"/>
        <v>43</v>
      </c>
      <c r="U12" s="72">
        <f t="shared" si="1"/>
        <v>80611</v>
      </c>
      <c r="V12" s="72">
        <f t="shared" si="2"/>
        <v>3358.7916666666665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/>
      <c r="I23" s="15">
        <f>37*24+19</f>
        <v>907</v>
      </c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>
        <v>2</v>
      </c>
      <c r="R29" s="39"/>
      <c r="S29" s="34"/>
      <c r="T29" s="69">
        <f t="shared" si="0"/>
        <v>5</v>
      </c>
      <c r="U29" s="71">
        <f t="shared" si="1"/>
        <v>53</v>
      </c>
      <c r="V29" s="71">
        <f t="shared" si="2"/>
        <v>2.2083333333333335</v>
      </c>
    </row>
    <row r="30" spans="1:54">
      <c r="A30" s="6">
        <f t="shared" si="5"/>
        <v>27</v>
      </c>
      <c r="B30" s="10" t="s">
        <v>38</v>
      </c>
      <c r="C30" s="15">
        <v>2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78+540+4752+324</f>
        <v>5694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31</v>
      </c>
      <c r="N37" s="61"/>
      <c r="O37" s="20"/>
      <c r="P37" s="45"/>
      <c r="Q37" s="45">
        <v>93</v>
      </c>
      <c r="R37" s="46"/>
      <c r="S37" s="37"/>
      <c r="T37" s="74">
        <f t="shared" si="0"/>
        <v>8</v>
      </c>
      <c r="U37" s="74">
        <f>C37*6+M37*6+O37*6+Q37*6+T37</f>
        <v>34916</v>
      </c>
      <c r="V37" s="74">
        <f>U37/6</f>
        <v>5819.333333333333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800</v>
      </c>
      <c r="V40" s="74">
        <f t="shared" si="7"/>
        <v>33.333333333333336</v>
      </c>
    </row>
    <row r="41" spans="1:23">
      <c r="A41" s="6">
        <f t="shared" si="5"/>
        <v>38</v>
      </c>
      <c r="B41" s="18" t="s">
        <v>49</v>
      </c>
      <c r="C41" s="19">
        <f>480+66</f>
        <v>546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2</v>
      </c>
      <c r="N41" s="65"/>
      <c r="O41" s="19">
        <v>5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6888</v>
      </c>
      <c r="V41" s="76">
        <f>U41/12</f>
        <v>574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5184+5616+7992+5832</f>
        <v>24624</v>
      </c>
      <c r="D43" s="20"/>
      <c r="E43" s="20"/>
      <c r="F43" s="20"/>
      <c r="G43" s="20"/>
      <c r="H43" s="20">
        <v>4</v>
      </c>
      <c r="I43" s="20">
        <v>7</v>
      </c>
      <c r="J43" s="45">
        <f>17*6+2</f>
        <v>104</v>
      </c>
      <c r="K43" s="46">
        <f>47*6+2</f>
        <v>284</v>
      </c>
      <c r="L43" s="37"/>
      <c r="M43" s="60">
        <v>544</v>
      </c>
      <c r="N43" s="61"/>
      <c r="O43" s="20">
        <v>39</v>
      </c>
      <c r="P43" s="45"/>
      <c r="Q43" s="45">
        <v>569</v>
      </c>
      <c r="R43" s="46"/>
      <c r="S43" s="37"/>
      <c r="T43" s="74">
        <f t="shared" ref="T43:T54" si="8">H43+I43+J43+K43+N43+P43+R43</f>
        <v>399</v>
      </c>
      <c r="U43" s="74">
        <f>C43*6+M43*6+O43*6+Q43*6+T43</f>
        <v>155055</v>
      </c>
      <c r="V43" s="74">
        <f>U43/6</f>
        <v>25842.5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41+432+106+2160+74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37353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302</v>
      </c>
      <c r="I58" s="47">
        <f t="shared" si="13"/>
        <v>939</v>
      </c>
      <c r="J58" s="47">
        <f t="shared" si="13"/>
        <v>111</v>
      </c>
      <c r="K58" s="47">
        <f t="shared" si="13"/>
        <v>319</v>
      </c>
      <c r="M58" s="66">
        <f t="shared" ref="M58:R58" si="14">SUM(M7:M57)</f>
        <v>608</v>
      </c>
      <c r="N58" s="66">
        <f t="shared" si="14"/>
        <v>58</v>
      </c>
      <c r="O58" s="66">
        <f t="shared" si="14"/>
        <v>54</v>
      </c>
      <c r="P58" s="66">
        <f t="shared" si="14"/>
        <v>51</v>
      </c>
      <c r="Q58" s="66">
        <f t="shared" si="14"/>
        <v>729</v>
      </c>
      <c r="R58" s="66">
        <f t="shared" si="14"/>
        <v>19</v>
      </c>
      <c r="S58" s="34"/>
      <c r="T58" s="77">
        <f t="shared" ref="T58:V58" si="15">SUM(T7:T57)</f>
        <v>1799</v>
      </c>
      <c r="U58" s="79">
        <f t="shared" si="15"/>
        <v>304559</v>
      </c>
      <c r="V58" s="77">
        <f t="shared" si="15"/>
        <v>38871.083333333328</v>
      </c>
    </row>
    <row r="59" spans="1:22" ht="7.5" customHeight="1"/>
    <row r="60" spans="1:22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0AFD-6EFE-4BE6-B34F-C527F0698CE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80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12+63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504+1440+31+720+576</f>
        <v>3271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/>
      <c r="O12" s="20">
        <v>12</v>
      </c>
      <c r="P12" s="45">
        <v>11</v>
      </c>
      <c r="Q12" s="45">
        <v>21</v>
      </c>
      <c r="R12" s="46">
        <v>19</v>
      </c>
      <c r="S12" s="37"/>
      <c r="T12" s="72">
        <f t="shared" si="0"/>
        <v>30</v>
      </c>
      <c r="U12" s="72">
        <f t="shared" si="1"/>
        <v>79662</v>
      </c>
      <c r="V12" s="72">
        <f t="shared" si="2"/>
        <v>3319.25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>
        <v>20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>
        <v>1</v>
      </c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1</v>
      </c>
      <c r="U26" s="71">
        <f t="shared" si="1"/>
        <v>1</v>
      </c>
      <c r="V26" s="71">
        <f t="shared" si="2"/>
        <v>4.1666666666666664E-2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>
        <v>1</v>
      </c>
      <c r="R29" s="39"/>
      <c r="S29" s="34"/>
      <c r="T29" s="69">
        <f t="shared" si="0"/>
        <v>5</v>
      </c>
      <c r="U29" s="71">
        <f t="shared" si="1"/>
        <v>29</v>
      </c>
      <c r="V29" s="71">
        <f t="shared" si="2"/>
        <v>1.2083333333333333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15+432+4752+324</f>
        <v>5523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11</v>
      </c>
      <c r="N37" s="61"/>
      <c r="O37" s="20">
        <v>40</v>
      </c>
      <c r="P37" s="45"/>
      <c r="Q37" s="45">
        <v>109</v>
      </c>
      <c r="R37" s="46"/>
      <c r="S37" s="37"/>
      <c r="T37" s="74">
        <f t="shared" si="0"/>
        <v>8</v>
      </c>
      <c r="U37" s="74">
        <f>C37*6+M37*6+O37*6+Q37*6+T37</f>
        <v>34106</v>
      </c>
      <c r="V37" s="74">
        <f>U37/6</f>
        <v>5684.333333333333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 ht="18.600000000000001" thickBot="1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776</v>
      </c>
      <c r="V40" s="74">
        <f t="shared" si="7"/>
        <v>32.333333333333336</v>
      </c>
    </row>
    <row r="41" spans="1:23" ht="18.600000000000001" thickBot="1">
      <c r="A41" s="6">
        <f t="shared" si="5"/>
        <v>38</v>
      </c>
      <c r="B41" s="18" t="s">
        <v>49</v>
      </c>
      <c r="C41" s="19">
        <f>480+42</f>
        <v>522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6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6588</v>
      </c>
      <c r="V41" s="76">
        <f>U41/12</f>
        <v>549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5184+5616+6696+5832</f>
        <v>23328</v>
      </c>
      <c r="D43" s="20"/>
      <c r="E43" s="20"/>
      <c r="F43" s="20"/>
      <c r="G43" s="20"/>
      <c r="H43" s="20">
        <v>7</v>
      </c>
      <c r="I43" s="20">
        <f>19*6</f>
        <v>114</v>
      </c>
      <c r="J43" s="45">
        <f>47*6+2</f>
        <v>284</v>
      </c>
      <c r="K43" s="46"/>
      <c r="L43" s="37"/>
      <c r="M43" s="60">
        <v>517</v>
      </c>
      <c r="N43" s="61"/>
      <c r="O43" s="20">
        <v>363</v>
      </c>
      <c r="P43" s="45"/>
      <c r="Q43" s="45">
        <v>556</v>
      </c>
      <c r="R43" s="46"/>
      <c r="S43" s="37"/>
      <c r="T43" s="74">
        <f t="shared" ref="T43:T54" si="8">H43+I43+J43+K43+N43+P43+R43</f>
        <v>405</v>
      </c>
      <c r="U43" s="74">
        <f>C43*6+M43*6+O43*6+Q43*6+T43</f>
        <v>148989</v>
      </c>
      <c r="V43" s="74">
        <f>U43/6</f>
        <v>24831.5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 ht="18.600000000000001" thickBot="1">
      <c r="A47" s="6">
        <f t="shared" si="5"/>
        <v>44</v>
      </c>
      <c r="B47" s="12" t="s">
        <v>43</v>
      </c>
      <c r="C47" s="20"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35818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1231</v>
      </c>
      <c r="I58" s="47">
        <f t="shared" si="13"/>
        <v>119</v>
      </c>
      <c r="J58" s="47">
        <f t="shared" si="13"/>
        <v>292</v>
      </c>
      <c r="K58" s="47">
        <f t="shared" si="13"/>
        <v>35</v>
      </c>
      <c r="M58" s="66">
        <f t="shared" ref="M58:R58" si="14">SUM(M7:M57)</f>
        <v>542</v>
      </c>
      <c r="N58" s="66">
        <f t="shared" si="14"/>
        <v>45</v>
      </c>
      <c r="O58" s="66">
        <f t="shared" si="14"/>
        <v>432</v>
      </c>
      <c r="P58" s="66">
        <f t="shared" si="14"/>
        <v>51</v>
      </c>
      <c r="Q58" s="66">
        <f t="shared" si="14"/>
        <v>732</v>
      </c>
      <c r="R58" s="66">
        <f t="shared" si="14"/>
        <v>19</v>
      </c>
      <c r="S58" s="34"/>
      <c r="T58" s="77">
        <f t="shared" ref="T58:V58" si="15">SUM(T7:T57)</f>
        <v>1792</v>
      </c>
      <c r="U58" s="79">
        <f t="shared" si="15"/>
        <v>296326</v>
      </c>
      <c r="V58" s="77">
        <f t="shared" si="15"/>
        <v>37651.541666666664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CED2B-6274-4667-A133-8AA1B7D99DFC}">
  <sheetPr>
    <pageSetUpPr fitToPage="1"/>
  </sheetPr>
  <dimension ref="A1:BB81"/>
  <sheetViews>
    <sheetView zoomScaleNormal="100" zoomScaleSheetLayoutView="115" workbookViewId="0">
      <selection activeCell="C19" sqref="C1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8.44140625" style="4" bestFit="1" customWidth="1"/>
    <col min="9" max="9" width="6.6640625" style="4" customWidth="1"/>
    <col min="10" max="10" width="6.88671875" style="4" customWidth="1"/>
    <col min="11" max="11" width="7.33203125" style="4" bestFit="1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82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43</f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504+1440+720+576+21</f>
        <v>3261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/>
      <c r="O12" s="20">
        <v>12</v>
      </c>
      <c r="P12" s="45"/>
      <c r="Q12" s="45"/>
      <c r="R12" s="46">
        <v>8</v>
      </c>
      <c r="S12" s="37"/>
      <c r="T12" s="72">
        <f t="shared" si="0"/>
        <v>8</v>
      </c>
      <c r="U12" s="72">
        <f t="shared" si="1"/>
        <v>78776</v>
      </c>
      <c r="V12" s="72">
        <f t="shared" si="2"/>
        <v>3282.3333333333335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>
        <v>3</v>
      </c>
      <c r="D17" s="15"/>
      <c r="E17" s="15"/>
      <c r="F17" s="15"/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v>126</v>
      </c>
      <c r="D25" s="15"/>
      <c r="E25" s="15"/>
      <c r="F25" s="15"/>
      <c r="G25" s="15"/>
      <c r="H25" s="15"/>
      <c r="I25" s="15">
        <v>1</v>
      </c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63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>
        <v>5</v>
      </c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4752+324+324+102</f>
        <v>5502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</v>
      </c>
      <c r="N37" s="61"/>
      <c r="O37" s="20">
        <v>20</v>
      </c>
      <c r="P37" s="45"/>
      <c r="Q37" s="45">
        <v>1</v>
      </c>
      <c r="R37" s="46"/>
      <c r="S37" s="37"/>
      <c r="T37" s="74">
        <f t="shared" si="0"/>
        <v>8</v>
      </c>
      <c r="U37" s="74">
        <f>C37*6+M37*6+O37*6+Q37*6+T37</f>
        <v>33152</v>
      </c>
      <c r="V37" s="74">
        <f>U37/6</f>
        <v>5525.333333333333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/>
      <c r="D39" s="17"/>
      <c r="E39" s="17"/>
      <c r="F39" s="17"/>
      <c r="G39" s="17"/>
      <c r="H39" s="17">
        <f>2*24</f>
        <v>48</v>
      </c>
      <c r="I39" s="17"/>
      <c r="J39" s="40"/>
      <c r="K39" s="41"/>
      <c r="L39" s="34"/>
      <c r="M39" s="62"/>
      <c r="N39" s="63"/>
      <c r="O39" s="15">
        <v>1</v>
      </c>
      <c r="P39" s="38"/>
      <c r="Q39" s="38"/>
      <c r="R39" s="39"/>
      <c r="S39" s="75"/>
      <c r="T39" s="71">
        <f t="shared" si="0"/>
        <v>48</v>
      </c>
      <c r="U39" s="71">
        <f t="shared" si="6"/>
        <v>72</v>
      </c>
      <c r="V39" s="71">
        <f t="shared" si="7"/>
        <v>3</v>
      </c>
    </row>
    <row r="40" spans="1:23" ht="18.600000000000001" thickBot="1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>
        <f>126*24</f>
        <v>3024</v>
      </c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3056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480+25</f>
        <v>505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15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6480</v>
      </c>
      <c r="V41" s="76">
        <f>U41/12</f>
        <v>540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5184+5616+5832+6156+98</f>
        <v>22886</v>
      </c>
      <c r="D43" s="20"/>
      <c r="E43" s="20"/>
      <c r="F43" s="20"/>
      <c r="G43" s="20"/>
      <c r="H43" s="20">
        <f>1188*6</f>
        <v>7128</v>
      </c>
      <c r="I43" s="20">
        <v>7</v>
      </c>
      <c r="J43" s="45">
        <f>19*6</f>
        <v>114</v>
      </c>
      <c r="K43" s="46">
        <f>47*6+2</f>
        <v>284</v>
      </c>
      <c r="L43" s="37"/>
      <c r="M43" s="60">
        <v>85</v>
      </c>
      <c r="N43" s="61"/>
      <c r="O43" s="20">
        <v>458</v>
      </c>
      <c r="P43" s="45"/>
      <c r="Q43" s="45">
        <v>2</v>
      </c>
      <c r="R43" s="46"/>
      <c r="S43" s="37"/>
      <c r="T43" s="74">
        <f t="shared" ref="T43:T54" si="8">H43+I43+J43+K43+N43+P43+R43</f>
        <v>7533</v>
      </c>
      <c r="U43" s="74">
        <f>C43*6+M43*6+O43*6+Q43*6+T43</f>
        <v>148119</v>
      </c>
      <c r="V43" s="74">
        <f>U43/6</f>
        <v>24686.5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>
        <f>24*2</f>
        <v>48</v>
      </c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48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/>
      <c r="I47" s="20">
        <v>2</v>
      </c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f>10+1</f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35519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11378</v>
      </c>
      <c r="I58" s="47">
        <f t="shared" si="13"/>
        <v>41</v>
      </c>
      <c r="J58" s="47">
        <f t="shared" si="13"/>
        <v>115</v>
      </c>
      <c r="K58" s="47">
        <f t="shared" si="13"/>
        <v>319</v>
      </c>
      <c r="M58" s="66">
        <f t="shared" ref="M58:R58" si="14">SUM(M7:M57)</f>
        <v>95</v>
      </c>
      <c r="N58" s="66">
        <f t="shared" si="14"/>
        <v>45</v>
      </c>
      <c r="O58" s="66">
        <f t="shared" si="14"/>
        <v>518</v>
      </c>
      <c r="P58" s="66">
        <f t="shared" si="14"/>
        <v>40</v>
      </c>
      <c r="Q58" s="66">
        <f t="shared" si="14"/>
        <v>48</v>
      </c>
      <c r="R58" s="66">
        <f t="shared" si="14"/>
        <v>8</v>
      </c>
      <c r="S58" s="34"/>
      <c r="T58" s="77">
        <f t="shared" ref="T58:V58" si="15">SUM(T7:T57)</f>
        <v>11946</v>
      </c>
      <c r="U58" s="79">
        <f t="shared" si="15"/>
        <v>301188</v>
      </c>
      <c r="V58" s="77">
        <f t="shared" si="15"/>
        <v>37621.625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8C7D4-5B39-44BC-BA89-E989B6B10FCA}">
  <sheetPr>
    <pageSetUpPr fitToPage="1"/>
  </sheetPr>
  <dimension ref="A1:BB81"/>
  <sheetViews>
    <sheetView topLeftCell="A36" zoomScaleNormal="100" zoomScaleSheetLayoutView="115" workbookViewId="0">
      <selection activeCell="Q47" sqref="Q47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83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42</f>
        <v>42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1008</v>
      </c>
      <c r="V10" s="69">
        <f t="shared" si="2"/>
        <v>42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504+1440+648+576+36</f>
        <v>3204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/>
      <c r="O12" s="20">
        <v>28</v>
      </c>
      <c r="P12" s="45"/>
      <c r="Q12" s="45">
        <v>30</v>
      </c>
      <c r="R12" s="46">
        <v>8</v>
      </c>
      <c r="S12" s="37"/>
      <c r="T12" s="72">
        <f t="shared" si="0"/>
        <v>8</v>
      </c>
      <c r="U12" s="72">
        <f t="shared" si="1"/>
        <v>78512</v>
      </c>
      <c r="V12" s="72">
        <f t="shared" si="2"/>
        <v>3271.3333333333335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f>2</f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v>126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56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>
        <v>7</v>
      </c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71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6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4752+324+108+41</f>
        <v>5225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</v>
      </c>
      <c r="N37" s="61"/>
      <c r="O37" s="20">
        <v>111</v>
      </c>
      <c r="P37" s="45"/>
      <c r="Q37" s="45">
        <v>167</v>
      </c>
      <c r="R37" s="46"/>
      <c r="S37" s="37"/>
      <c r="T37" s="74">
        <f t="shared" si="0"/>
        <v>8</v>
      </c>
      <c r="U37" s="74">
        <f>C37*6+M37*6+O37*6+Q37*6+T37</f>
        <v>33032</v>
      </c>
      <c r="V37" s="74">
        <f>U37/6</f>
        <v>5505.333333333333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126+28</f>
        <v>154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480+19</f>
        <v>499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6300</v>
      </c>
      <c r="V41" s="76">
        <f>U41/12</f>
        <v>525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5184+5616+5076+1188+5832</f>
        <v>22896</v>
      </c>
      <c r="D43" s="20"/>
      <c r="E43" s="20"/>
      <c r="F43" s="20"/>
      <c r="G43" s="20"/>
      <c r="H43" s="20"/>
      <c r="I43" s="20">
        <v>7</v>
      </c>
      <c r="J43" s="45">
        <f>19*6</f>
        <v>114</v>
      </c>
      <c r="K43" s="46">
        <f>47*6+2</f>
        <v>284</v>
      </c>
      <c r="L43" s="37"/>
      <c r="M43" s="60">
        <v>85</v>
      </c>
      <c r="N43" s="61"/>
      <c r="O43" s="20">
        <v>780</v>
      </c>
      <c r="P43" s="45"/>
      <c r="Q43" s="45">
        <v>542</v>
      </c>
      <c r="R43" s="46"/>
      <c r="S43" s="37"/>
      <c r="T43" s="74">
        <f t="shared" ref="T43:T54" si="8">H43+I43+J43+K43+N43+P43+R43</f>
        <v>405</v>
      </c>
      <c r="U43" s="74">
        <f>C43*6+M43*6+O43*6+Q43*6+T43</f>
        <v>146223</v>
      </c>
      <c r="V43" s="74">
        <f>U43/6</f>
        <v>24370.5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35302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1204</v>
      </c>
      <c r="I58" s="47">
        <f t="shared" si="13"/>
        <v>32</v>
      </c>
      <c r="J58" s="47">
        <f t="shared" si="13"/>
        <v>122</v>
      </c>
      <c r="K58" s="47">
        <f t="shared" si="13"/>
        <v>319</v>
      </c>
      <c r="M58" s="66">
        <f t="shared" ref="M58:R58" si="14">SUM(M7:M57)</f>
        <v>95</v>
      </c>
      <c r="N58" s="66">
        <f t="shared" si="14"/>
        <v>45</v>
      </c>
      <c r="O58" s="66">
        <f t="shared" si="14"/>
        <v>937</v>
      </c>
      <c r="P58" s="66">
        <f t="shared" si="14"/>
        <v>40</v>
      </c>
      <c r="Q58" s="66">
        <f t="shared" si="14"/>
        <v>797</v>
      </c>
      <c r="R58" s="66">
        <f t="shared" si="14"/>
        <v>8</v>
      </c>
      <c r="S58" s="34"/>
      <c r="T58" s="77">
        <f t="shared" ref="T58:V58" si="15">SUM(T7:T57)</f>
        <v>1770</v>
      </c>
      <c r="U58" s="79">
        <f t="shared" si="15"/>
        <v>298680</v>
      </c>
      <c r="V58" s="77">
        <f t="shared" si="15"/>
        <v>37257.625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ED3A-6BCD-4DBF-8889-9672C337A1C2}">
  <sheetPr>
    <pageSetUpPr fitToPage="1"/>
  </sheetPr>
  <dimension ref="A1:BB81"/>
  <sheetViews>
    <sheetView topLeftCell="A49" zoomScaleNormal="100" zoomScaleSheetLayoutView="115" workbookViewId="0">
      <selection activeCell="U72" sqref="U7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84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8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1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42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1008</v>
      </c>
      <c r="V9" s="73">
        <f t="shared" si="2"/>
        <v>42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984</v>
      </c>
      <c r="V10" s="69">
        <f t="shared" si="2"/>
        <v>41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504+1440+576+3+648</f>
        <v>3171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19</v>
      </c>
      <c r="N12" s="61"/>
      <c r="O12" s="20">
        <v>13</v>
      </c>
      <c r="P12" s="45"/>
      <c r="Q12" s="45">
        <v>27</v>
      </c>
      <c r="R12" s="46"/>
      <c r="S12" s="37"/>
      <c r="T12" s="72">
        <f t="shared" si="0"/>
        <v>0</v>
      </c>
      <c r="U12" s="72">
        <f t="shared" si="1"/>
        <v>77520</v>
      </c>
      <c r="V12" s="72">
        <f t="shared" si="2"/>
        <v>3230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63+43</f>
        <v>106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5</v>
      </c>
      <c r="N25" s="63"/>
      <c r="O25" s="15"/>
      <c r="P25" s="38"/>
      <c r="Q25" s="38">
        <v>15</v>
      </c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29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10</v>
      </c>
      <c r="N28" s="63"/>
      <c r="O28" s="15">
        <v>2</v>
      </c>
      <c r="P28" s="38"/>
      <c r="Q28" s="38">
        <v>15</v>
      </c>
      <c r="R28" s="39"/>
      <c r="S28" s="34"/>
      <c r="T28" s="69">
        <f t="shared" si="0"/>
        <v>0</v>
      </c>
      <c r="U28" s="71">
        <f t="shared" si="1"/>
        <v>1344</v>
      </c>
      <c r="V28" s="71">
        <f t="shared" si="2"/>
        <v>56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>
        <v>5</v>
      </c>
      <c r="I29" s="15"/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4</v>
      </c>
      <c r="R30" s="39"/>
      <c r="S30" s="34"/>
      <c r="T30" s="69">
        <f t="shared" si="0"/>
        <v>0</v>
      </c>
      <c r="U30" s="71">
        <f t="shared" si="1"/>
        <v>144</v>
      </c>
      <c r="V30" s="71">
        <f t="shared" si="2"/>
        <v>6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59</v>
      </c>
      <c r="D34" s="15"/>
      <c r="E34" s="15"/>
      <c r="F34" s="15"/>
      <c r="G34" s="15"/>
      <c r="H34" s="15">
        <v>1</v>
      </c>
      <c r="I34" s="15"/>
      <c r="J34" s="38"/>
      <c r="K34" s="39">
        <v>1</v>
      </c>
      <c r="L34" s="34"/>
      <c r="M34" s="62">
        <v>10</v>
      </c>
      <c r="N34" s="63">
        <v>23</v>
      </c>
      <c r="O34" s="15">
        <v>1</v>
      </c>
      <c r="P34" s="38">
        <v>12</v>
      </c>
      <c r="Q34" s="38">
        <v>5</v>
      </c>
      <c r="R34" s="39"/>
      <c r="S34" s="34"/>
      <c r="T34" s="69">
        <f t="shared" si="0"/>
        <v>37</v>
      </c>
      <c r="U34" s="71">
        <f t="shared" si="1"/>
        <v>1837</v>
      </c>
      <c r="V34" s="71">
        <f t="shared" si="2"/>
        <v>76.541666666666671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324+4644+78</f>
        <v>5046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109</v>
      </c>
      <c r="N37" s="61"/>
      <c r="O37" s="20">
        <v>30</v>
      </c>
      <c r="P37" s="45"/>
      <c r="Q37" s="45">
        <v>114</v>
      </c>
      <c r="R37" s="46"/>
      <c r="S37" s="37"/>
      <c r="T37" s="74">
        <f t="shared" si="0"/>
        <v>8</v>
      </c>
      <c r="U37" s="74">
        <f>C37*6+M37*6+O37*6+Q37*6+T37</f>
        <v>31802</v>
      </c>
      <c r="V37" s="74">
        <f>U37/6</f>
        <v>5300.333333333333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126+28</f>
        <v>154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480+2</f>
        <v>482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7</v>
      </c>
      <c r="P41" s="42"/>
      <c r="Q41" s="42">
        <v>11</v>
      </c>
      <c r="R41" s="43"/>
      <c r="S41" s="44"/>
      <c r="T41" s="76">
        <f t="shared" si="0"/>
        <v>0</v>
      </c>
      <c r="U41" s="76">
        <f>C41*12+M41*12+O41*12+Q41*12+T41</f>
        <v>6120</v>
      </c>
      <c r="V41" s="76">
        <f>U41/12</f>
        <v>510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5184+5616+3996+1188+5832+1836</f>
        <v>23652</v>
      </c>
      <c r="D43" s="20"/>
      <c r="E43" s="20"/>
      <c r="F43" s="20"/>
      <c r="G43" s="20"/>
      <c r="H43" s="20">
        <v>2</v>
      </c>
      <c r="I43" s="20">
        <v>7</v>
      </c>
      <c r="J43" s="45">
        <f>21*6+3</f>
        <v>129</v>
      </c>
      <c r="K43" s="46">
        <f>47*6+2</f>
        <v>284</v>
      </c>
      <c r="L43" s="37"/>
      <c r="M43" s="60">
        <v>409</v>
      </c>
      <c r="N43" s="61"/>
      <c r="O43" s="20">
        <v>409</v>
      </c>
      <c r="P43" s="45"/>
      <c r="Q43" s="45">
        <v>557</v>
      </c>
      <c r="R43" s="46"/>
      <c r="S43" s="37"/>
      <c r="T43" s="74">
        <f t="shared" ref="T43:T54" si="8">H43+I43+J43+K43+N43+P43+R43</f>
        <v>422</v>
      </c>
      <c r="U43" s="74">
        <f>C43*6+M43*6+O43*6+Q43*6+T43</f>
        <v>150584</v>
      </c>
      <c r="V43" s="74">
        <f>U43/6</f>
        <v>25097.333333333332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35772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1212</v>
      </c>
      <c r="I58" s="47">
        <f t="shared" si="13"/>
        <v>32</v>
      </c>
      <c r="J58" s="47">
        <f t="shared" si="13"/>
        <v>131</v>
      </c>
      <c r="K58" s="47">
        <f t="shared" si="13"/>
        <v>319</v>
      </c>
      <c r="M58" s="66">
        <f t="shared" ref="M58:R58" si="14">SUM(M7:M57)</f>
        <v>572</v>
      </c>
      <c r="N58" s="66">
        <f t="shared" si="14"/>
        <v>45</v>
      </c>
      <c r="O58" s="66">
        <f t="shared" si="14"/>
        <v>470</v>
      </c>
      <c r="P58" s="66">
        <f t="shared" si="14"/>
        <v>40</v>
      </c>
      <c r="Q58" s="66">
        <f t="shared" si="14"/>
        <v>763</v>
      </c>
      <c r="R58" s="66">
        <f t="shared" si="14"/>
        <v>0</v>
      </c>
      <c r="S58" s="34"/>
      <c r="T58" s="77">
        <f t="shared" ref="T58:V58" si="15">SUM(T7:T57)</f>
        <v>1779</v>
      </c>
      <c r="U58" s="79">
        <f t="shared" si="15"/>
        <v>300231</v>
      </c>
      <c r="V58" s="77">
        <f t="shared" si="15"/>
        <v>37706.124999999993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FE982-1C6D-4D48-BFE2-FEE36226CFA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7.33203125" style="4" bestFit="1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85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f>6</f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>
        <v>12</v>
      </c>
      <c r="Q7" s="32"/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259</v>
      </c>
      <c r="V7" s="69">
        <f t="shared" ref="V7:V36" si="2">U7/24</f>
        <v>10.791666666666666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1800</v>
      </c>
      <c r="V8" s="72">
        <f t="shared" si="2"/>
        <v>75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41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1008</v>
      </c>
      <c r="V9" s="73">
        <f t="shared" si="2"/>
        <v>42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39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984</v>
      </c>
      <c r="V10" s="69">
        <f t="shared" si="2"/>
        <v>41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504+1440+576+576+26</f>
        <v>3122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20</v>
      </c>
      <c r="N12" s="61"/>
      <c r="O12" s="20">
        <v>12</v>
      </c>
      <c r="P12" s="45"/>
      <c r="Q12" s="45">
        <v>21</v>
      </c>
      <c r="R12" s="46"/>
      <c r="S12" s="37"/>
      <c r="T12" s="72">
        <f t="shared" si="0"/>
        <v>0</v>
      </c>
      <c r="U12" s="72">
        <f t="shared" si="1"/>
        <v>76200</v>
      </c>
      <c r="V12" s="72">
        <f t="shared" si="2"/>
        <v>3175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63+38</f>
        <v>101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3</v>
      </c>
      <c r="R25" s="39"/>
      <c r="S25" s="34"/>
      <c r="T25" s="69">
        <f t="shared" si="0"/>
        <v>1</v>
      </c>
      <c r="U25" s="71">
        <f t="shared" si="1"/>
        <v>2545</v>
      </c>
      <c r="V25" s="71">
        <f t="shared" si="2"/>
        <v>106.04166666666667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22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3</v>
      </c>
      <c r="N28" s="63"/>
      <c r="O28" s="15">
        <v>3</v>
      </c>
      <c r="P28" s="38"/>
      <c r="Q28" s="38">
        <v>3</v>
      </c>
      <c r="R28" s="39"/>
      <c r="S28" s="34"/>
      <c r="T28" s="69">
        <f t="shared" si="0"/>
        <v>0</v>
      </c>
      <c r="U28" s="71">
        <f t="shared" si="1"/>
        <v>744</v>
      </c>
      <c r="V28" s="71">
        <f t="shared" si="2"/>
        <v>31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1</v>
      </c>
      <c r="R30" s="39"/>
      <c r="S30" s="34"/>
      <c r="T30" s="69">
        <f t="shared" si="0"/>
        <v>0</v>
      </c>
      <c r="U30" s="71">
        <f t="shared" si="1"/>
        <v>72</v>
      </c>
      <c r="V30" s="71">
        <f t="shared" si="2"/>
        <v>3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54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1477</v>
      </c>
      <c r="V34" s="71">
        <f t="shared" si="2"/>
        <v>61.541666666666664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324+4428+95</f>
        <v>4847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111</v>
      </c>
      <c r="N37" s="61"/>
      <c r="O37" s="20">
        <v>21</v>
      </c>
      <c r="P37" s="45"/>
      <c r="Q37" s="45">
        <v>100</v>
      </c>
      <c r="R37" s="46"/>
      <c r="S37" s="37"/>
      <c r="T37" s="74">
        <f t="shared" si="0"/>
        <v>8</v>
      </c>
      <c r="U37" s="74">
        <f>C37*6+M37*6+O37*6+Q37*6+T37</f>
        <v>30482</v>
      </c>
      <c r="V37" s="74">
        <f>U37/6</f>
        <v>5080.333333333333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126+27</f>
        <v>153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/>
      <c r="R40" s="46"/>
      <c r="S40" s="37"/>
      <c r="T40" s="74">
        <f t="shared" si="0"/>
        <v>32</v>
      </c>
      <c r="U40" s="74">
        <f t="shared" si="6"/>
        <v>3728</v>
      </c>
      <c r="V40" s="74">
        <f t="shared" si="7"/>
        <v>155.33333333333334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384+54</f>
        <v>438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18</v>
      </c>
      <c r="N41" s="65"/>
      <c r="O41" s="19">
        <v>6</v>
      </c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5856</v>
      </c>
      <c r="V41" s="76">
        <f>U41/12</f>
        <v>488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5184+5616+2484+1836+3024+5832</f>
        <v>23976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549</v>
      </c>
      <c r="N43" s="61"/>
      <c r="O43" s="20">
        <v>450</v>
      </c>
      <c r="P43" s="45"/>
      <c r="Q43" s="45">
        <v>545</v>
      </c>
      <c r="R43" s="46"/>
      <c r="S43" s="37"/>
      <c r="T43" s="74">
        <f t="shared" ref="T43:T54" si="8">H43+I43+J43+K43+N43+P43+R43</f>
        <v>428</v>
      </c>
      <c r="U43" s="74">
        <f>C43*6+M43*6+O43*6+Q43*6+T43</f>
        <v>153548</v>
      </c>
      <c r="V43" s="74">
        <f>U43/6</f>
        <v>25591.333333333332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8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14</v>
      </c>
      <c r="U47" s="74">
        <f>C47*6+M47*6+O47*6+Q47*6+T47</f>
        <v>16946</v>
      </c>
      <c r="V47" s="74">
        <f>U47/6</f>
        <v>2824.3333333333335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35781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1206</v>
      </c>
      <c r="I58" s="47">
        <f t="shared" si="13"/>
        <v>32</v>
      </c>
      <c r="J58" s="47">
        <f t="shared" si="13"/>
        <v>143</v>
      </c>
      <c r="K58" s="47">
        <f t="shared" si="13"/>
        <v>323</v>
      </c>
      <c r="M58" s="66">
        <f t="shared" ref="M58:R58" si="14">SUM(M7:M57)</f>
        <v>708</v>
      </c>
      <c r="N58" s="66">
        <f t="shared" si="14"/>
        <v>45</v>
      </c>
      <c r="O58" s="66">
        <f t="shared" si="14"/>
        <v>502</v>
      </c>
      <c r="P58" s="66">
        <f t="shared" si="14"/>
        <v>40</v>
      </c>
      <c r="Q58" s="66">
        <f t="shared" si="14"/>
        <v>714</v>
      </c>
      <c r="R58" s="66">
        <f t="shared" si="14"/>
        <v>0</v>
      </c>
      <c r="S58" s="34"/>
      <c r="T58" s="77">
        <f t="shared" ref="T58:V58" si="15">SUM(T7:T57)</f>
        <v>1789</v>
      </c>
      <c r="U58" s="79">
        <f t="shared" si="15"/>
        <v>298663</v>
      </c>
      <c r="V58" s="77">
        <f t="shared" si="15"/>
        <v>37835.791666666664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B3073-47BB-44C2-8394-11BE9890ABA8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86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4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1</v>
      </c>
      <c r="P7" s="32">
        <v>12</v>
      </c>
      <c r="Q7" s="32">
        <v>2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211</v>
      </c>
      <c r="V7" s="69">
        <f t="shared" ref="V7:V36" si="2">U7/24</f>
        <v>8.7916666666666661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>
        <v>2</v>
      </c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1800</v>
      </c>
      <c r="V8" s="72">
        <f t="shared" si="2"/>
        <v>75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23</v>
      </c>
      <c r="D9" s="15"/>
      <c r="E9" s="15"/>
      <c r="F9" s="15"/>
      <c r="G9" s="15"/>
      <c r="H9" s="15"/>
      <c r="I9" s="15"/>
      <c r="J9" s="38"/>
      <c r="K9" s="39"/>
      <c r="L9" s="34"/>
      <c r="M9" s="62">
        <v>3</v>
      </c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624</v>
      </c>
      <c r="V9" s="73">
        <f t="shared" si="2"/>
        <v>26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22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2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576</v>
      </c>
      <c r="V10" s="69">
        <f t="shared" si="2"/>
        <v>24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504+1440+576+504+63</f>
        <v>3087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24</v>
      </c>
      <c r="N12" s="61">
        <v>12</v>
      </c>
      <c r="O12" s="20">
        <v>10</v>
      </c>
      <c r="P12" s="45"/>
      <c r="Q12" s="45">
        <v>24</v>
      </c>
      <c r="R12" s="46">
        <v>12</v>
      </c>
      <c r="S12" s="37"/>
      <c r="T12" s="72">
        <f t="shared" si="0"/>
        <v>24</v>
      </c>
      <c r="U12" s="72">
        <f t="shared" si="1"/>
        <v>75504</v>
      </c>
      <c r="V12" s="72">
        <f t="shared" si="2"/>
        <v>3146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>
        <v>16</v>
      </c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63+36</f>
        <v>99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3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2521</v>
      </c>
      <c r="V25" s="71">
        <f t="shared" si="2"/>
        <v>105.04166666666667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12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6</v>
      </c>
      <c r="N28" s="63"/>
      <c r="O28" s="15">
        <v>2</v>
      </c>
      <c r="P28" s="38"/>
      <c r="Q28" s="38">
        <v>4</v>
      </c>
      <c r="R28" s="39"/>
      <c r="S28" s="34"/>
      <c r="T28" s="69">
        <f t="shared" si="0"/>
        <v>0</v>
      </c>
      <c r="U28" s="71">
        <f t="shared" si="1"/>
        <v>576</v>
      </c>
      <c r="V28" s="71">
        <f t="shared" si="2"/>
        <v>24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48</v>
      </c>
      <c r="V30" s="71">
        <f t="shared" si="2"/>
        <v>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4</v>
      </c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1477</v>
      </c>
      <c r="V34" s="71">
        <f t="shared" si="2"/>
        <v>61.541666666666664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324+4320+65</f>
        <v>4709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86</v>
      </c>
      <c r="N37" s="61"/>
      <c r="O37" s="20">
        <v>30</v>
      </c>
      <c r="P37" s="45"/>
      <c r="Q37" s="45">
        <v>102</v>
      </c>
      <c r="R37" s="46"/>
      <c r="S37" s="37"/>
      <c r="T37" s="74">
        <f t="shared" si="0"/>
        <v>8</v>
      </c>
      <c r="U37" s="74">
        <f>C37*6+M37*6+O37*6+Q37*6+T37</f>
        <v>29570</v>
      </c>
      <c r="V37" s="74">
        <f>U37/6</f>
        <v>4928.333333333333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>
        <v>1</v>
      </c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126+23</f>
        <v>149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3728</v>
      </c>
      <c r="V40" s="74">
        <f t="shared" si="7"/>
        <v>155.33333333333334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384+26</f>
        <v>410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9</v>
      </c>
      <c r="N41" s="65"/>
      <c r="O41" s="19">
        <v>6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5352</v>
      </c>
      <c r="V41" s="76">
        <f>U41/12</f>
        <v>446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5184+5616+1728+1836+3024+5832+1836</f>
        <v>25056</v>
      </c>
      <c r="D43" s="20"/>
      <c r="E43" s="20"/>
      <c r="F43" s="20"/>
      <c r="G43" s="20"/>
      <c r="H43" s="20">
        <v>2</v>
      </c>
      <c r="I43" s="20">
        <f>7</f>
        <v>7</v>
      </c>
      <c r="J43" s="45">
        <f>22*6+3</f>
        <v>135</v>
      </c>
      <c r="K43" s="46">
        <f>47*6+2</f>
        <v>284</v>
      </c>
      <c r="L43" s="37"/>
      <c r="M43" s="60">
        <v>312</v>
      </c>
      <c r="N43" s="61"/>
      <c r="O43" s="20">
        <v>414</v>
      </c>
      <c r="P43" s="45"/>
      <c r="Q43" s="45">
        <v>551</v>
      </c>
      <c r="R43" s="46"/>
      <c r="S43" s="37"/>
      <c r="T43" s="74">
        <f t="shared" ref="T43:T54" si="8">H43+I43+J43+K43+N43+P43+R43</f>
        <v>428</v>
      </c>
      <c r="U43" s="74">
        <f>C43*6+M43*6+O43*6+Q43*6+T43</f>
        <v>158426</v>
      </c>
      <c r="V43" s="74">
        <f>U43/6</f>
        <v>26404.333333333332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3</v>
      </c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36599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457</v>
      </c>
      <c r="N58" s="66">
        <f t="shared" si="14"/>
        <v>73</v>
      </c>
      <c r="O58" s="66">
        <f t="shared" si="14"/>
        <v>472</v>
      </c>
      <c r="P58" s="66">
        <f t="shared" si="14"/>
        <v>40</v>
      </c>
      <c r="Q58" s="66">
        <f t="shared" si="14"/>
        <v>722</v>
      </c>
      <c r="R58" s="66">
        <f t="shared" si="14"/>
        <v>12</v>
      </c>
      <c r="S58" s="34"/>
      <c r="T58" s="77">
        <f t="shared" ref="T58:V58" si="15">SUM(T7:T57)</f>
        <v>1809</v>
      </c>
      <c r="U58" s="79">
        <f t="shared" si="15"/>
        <v>300369</v>
      </c>
      <c r="V58" s="77">
        <f t="shared" si="15"/>
        <v>38381.124999999993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013C-4669-4545-AC0E-37E8CF0B271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87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19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504</v>
      </c>
      <c r="V9" s="73">
        <f t="shared" si="2"/>
        <v>21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480</v>
      </c>
      <c r="V10" s="69">
        <f t="shared" si="2"/>
        <v>20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504+1440+504+576+53</f>
        <v>3077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21</v>
      </c>
      <c r="N12" s="61"/>
      <c r="O12" s="20">
        <v>12</v>
      </c>
      <c r="P12" s="45">
        <v>12</v>
      </c>
      <c r="Q12" s="45">
        <v>9</v>
      </c>
      <c r="R12" s="46"/>
      <c r="S12" s="37"/>
      <c r="T12" s="72">
        <f t="shared" si="0"/>
        <v>12</v>
      </c>
      <c r="U12" s="72">
        <f t="shared" si="1"/>
        <v>74868</v>
      </c>
      <c r="V12" s="72">
        <f t="shared" si="2"/>
        <v>3119.5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2*24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63+31</f>
        <v>94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/>
      <c r="R25" s="39"/>
      <c r="S25" s="34"/>
      <c r="T25" s="69">
        <f t="shared" si="0"/>
        <v>1</v>
      </c>
      <c r="U25" s="71">
        <f t="shared" si="1"/>
        <v>2305</v>
      </c>
      <c r="V25" s="71">
        <f t="shared" si="2"/>
        <v>96.041666666666671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7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2</v>
      </c>
      <c r="N28" s="63"/>
      <c r="O28" s="15">
        <v>2</v>
      </c>
      <c r="P28" s="38"/>
      <c r="Q28" s="38">
        <v>1</v>
      </c>
      <c r="R28" s="39"/>
      <c r="S28" s="34"/>
      <c r="T28" s="69">
        <f t="shared" si="0"/>
        <v>0</v>
      </c>
      <c r="U28" s="71">
        <f t="shared" si="1"/>
        <v>288</v>
      </c>
      <c r="V28" s="71">
        <f t="shared" si="2"/>
        <v>12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/>
      <c r="R34" s="39"/>
      <c r="S34" s="34"/>
      <c r="T34" s="69">
        <f t="shared" si="0"/>
        <v>14</v>
      </c>
      <c r="U34" s="71">
        <f t="shared" si="1"/>
        <v>1334</v>
      </c>
      <c r="V34" s="71">
        <f t="shared" si="2"/>
        <v>55.583333333333336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324+4320+28</f>
        <v>4672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69</v>
      </c>
      <c r="N37" s="61"/>
      <c r="O37" s="20">
        <v>45</v>
      </c>
      <c r="P37" s="45"/>
      <c r="Q37" s="45">
        <v>19</v>
      </c>
      <c r="R37" s="46"/>
      <c r="S37" s="37"/>
      <c r="T37" s="74">
        <f t="shared" si="0"/>
        <v>8</v>
      </c>
      <c r="U37" s="74">
        <f>C37*6+M37*6+O37*6+Q37*6+T37</f>
        <v>28838</v>
      </c>
      <c r="V37" s="74">
        <f>U37/6</f>
        <v>4806.333333333333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384+26</f>
        <v>410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4</v>
      </c>
      <c r="P41" s="42"/>
      <c r="Q41" s="42"/>
      <c r="R41" s="43"/>
      <c r="S41" s="44"/>
      <c r="T41" s="76">
        <f t="shared" si="0"/>
        <v>0</v>
      </c>
      <c r="U41" s="76">
        <f>C41*12+M41*12+O41*12+Q41*12+T41</f>
        <v>4968</v>
      </c>
      <c r="V41" s="76">
        <f>U41/12</f>
        <v>414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5184+5616+972+3672+3024+5832+1836</f>
        <v>26136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601</v>
      </c>
      <c r="N43" s="61"/>
      <c r="O43" s="20">
        <v>462</v>
      </c>
      <c r="P43" s="45"/>
      <c r="Q43" s="45">
        <v>128</v>
      </c>
      <c r="R43" s="46"/>
      <c r="S43" s="37"/>
      <c r="T43" s="74">
        <f t="shared" ref="T43:T54" si="8">H43+I43+J43+K43+N43+P43+R43</f>
        <v>428</v>
      </c>
      <c r="U43" s="74">
        <f>C43*6+M43*6+O43*6+Q43*6+T43</f>
        <v>164390</v>
      </c>
      <c r="V43" s="74">
        <f>U43/6</f>
        <v>27398.333333333332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37558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32</v>
      </c>
      <c r="J58" s="47">
        <f t="shared" si="13"/>
        <v>143</v>
      </c>
      <c r="K58" s="47">
        <f t="shared" si="13"/>
        <v>319</v>
      </c>
      <c r="M58" s="66">
        <f t="shared" ref="M58:R58" si="14">SUM(M7:M57)</f>
        <v>698</v>
      </c>
      <c r="N58" s="66">
        <f t="shared" si="14"/>
        <v>22</v>
      </c>
      <c r="O58" s="66">
        <f t="shared" si="14"/>
        <v>537</v>
      </c>
      <c r="P58" s="66">
        <f t="shared" si="14"/>
        <v>40</v>
      </c>
      <c r="Q58" s="66">
        <f t="shared" si="14"/>
        <v>172</v>
      </c>
      <c r="R58" s="66">
        <f t="shared" si="14"/>
        <v>0</v>
      </c>
      <c r="S58" s="34"/>
      <c r="T58" s="77">
        <f t="shared" ref="T58:V58" si="15">SUM(T7:T57)</f>
        <v>1746</v>
      </c>
      <c r="U58" s="79">
        <f t="shared" si="15"/>
        <v>302208</v>
      </c>
      <c r="V58" s="77">
        <f t="shared" si="15"/>
        <v>39093.499999999993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9401-D586-4F5C-A732-6BE20436E5F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88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19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456</v>
      </c>
      <c r="V9" s="73">
        <f t="shared" si="2"/>
        <v>19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480</v>
      </c>
      <c r="V10" s="69">
        <f t="shared" si="2"/>
        <v>20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504+1440+504+576+23</f>
        <v>3047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11</v>
      </c>
      <c r="N12" s="61">
        <v>12</v>
      </c>
      <c r="O12" s="20">
        <v>11</v>
      </c>
      <c r="P12" s="45">
        <v>12</v>
      </c>
      <c r="Q12" s="45">
        <v>24</v>
      </c>
      <c r="R12" s="46"/>
      <c r="S12" s="37"/>
      <c r="T12" s="72">
        <f t="shared" si="0"/>
        <v>24</v>
      </c>
      <c r="U12" s="72">
        <f t="shared" si="1"/>
        <v>74256</v>
      </c>
      <c r="V12" s="72">
        <f t="shared" si="2"/>
        <v>3094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63+26</f>
        <v>89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5</v>
      </c>
      <c r="R25" s="39"/>
      <c r="S25" s="34"/>
      <c r="T25" s="69">
        <f t="shared" si="0"/>
        <v>1</v>
      </c>
      <c r="U25" s="71">
        <f t="shared" si="1"/>
        <v>2305</v>
      </c>
      <c r="V25" s="71">
        <f t="shared" si="2"/>
        <v>96.041666666666671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2</v>
      </c>
      <c r="N28" s="63"/>
      <c r="O28" s="15">
        <v>2</v>
      </c>
      <c r="P28" s="38"/>
      <c r="Q28" s="38">
        <v>8</v>
      </c>
      <c r="R28" s="39"/>
      <c r="S28" s="34"/>
      <c r="T28" s="69">
        <f t="shared" si="0"/>
        <v>0</v>
      </c>
      <c r="U28" s="71">
        <f t="shared" si="1"/>
        <v>288</v>
      </c>
      <c r="V28" s="71">
        <f t="shared" si="2"/>
        <v>12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31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20</v>
      </c>
      <c r="N34" s="63"/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14</v>
      </c>
      <c r="U34" s="71">
        <f t="shared" si="1"/>
        <v>1334</v>
      </c>
      <c r="V34" s="71">
        <f t="shared" si="2"/>
        <v>55.583333333333336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324+20+4320</f>
        <v>4664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69</v>
      </c>
      <c r="N37" s="61"/>
      <c r="O37" s="20">
        <v>20</v>
      </c>
      <c r="P37" s="45"/>
      <c r="Q37" s="45">
        <v>19</v>
      </c>
      <c r="R37" s="46"/>
      <c r="S37" s="37"/>
      <c r="T37" s="74">
        <f t="shared" si="0"/>
        <v>8</v>
      </c>
      <c r="U37" s="74">
        <f>C37*6+M37*6+O37*6+Q37*6+T37</f>
        <v>28640</v>
      </c>
      <c r="V37" s="74">
        <f>U37/6</f>
        <v>4773.333333333333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288+92</f>
        <v>380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11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4932</v>
      </c>
      <c r="V41" s="76">
        <f>U41/12</f>
        <v>411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5184+5400+93+5508+3024+5832</f>
        <v>25041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494</v>
      </c>
      <c r="N43" s="61"/>
      <c r="O43" s="20">
        <v>384</v>
      </c>
      <c r="P43" s="45"/>
      <c r="Q43" s="45">
        <v>668</v>
      </c>
      <c r="R43" s="46"/>
      <c r="S43" s="37"/>
      <c r="T43" s="74">
        <f t="shared" ref="T43:T54" si="8">H43+I43+J43+K43+N43+P43+R43</f>
        <v>428</v>
      </c>
      <c r="U43" s="74">
        <f>C43*6+M43*6+O43*6+Q43*6+T43</f>
        <v>159950</v>
      </c>
      <c r="V43" s="74">
        <f>U43/6</f>
        <v>26658.333333333332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36362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599</v>
      </c>
      <c r="N58" s="66">
        <f t="shared" si="14"/>
        <v>34</v>
      </c>
      <c r="O58" s="66">
        <f t="shared" si="14"/>
        <v>438</v>
      </c>
      <c r="P58" s="66">
        <f t="shared" si="14"/>
        <v>40</v>
      </c>
      <c r="Q58" s="66">
        <f t="shared" si="14"/>
        <v>762</v>
      </c>
      <c r="R58" s="66">
        <f t="shared" si="14"/>
        <v>0</v>
      </c>
      <c r="S58" s="34"/>
      <c r="T58" s="77">
        <f t="shared" ref="T58:V58" si="15">SUM(T7:T57)</f>
        <v>1758</v>
      </c>
      <c r="U58" s="79">
        <f t="shared" si="15"/>
        <v>296874</v>
      </c>
      <c r="V58" s="77">
        <f t="shared" si="15"/>
        <v>38289.999999999993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74517-23F3-4E31-B43A-891F2C56E49E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89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16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456</v>
      </c>
      <c r="V9" s="73">
        <f t="shared" si="2"/>
        <v>19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17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432</v>
      </c>
      <c r="V10" s="69">
        <f t="shared" si="2"/>
        <v>18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504+1440+432+576+65</f>
        <v>3017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11</v>
      </c>
      <c r="N12" s="61">
        <v>12</v>
      </c>
      <c r="O12" s="20">
        <v>11</v>
      </c>
      <c r="P12" s="45"/>
      <c r="Q12" s="45">
        <v>19</v>
      </c>
      <c r="R12" s="46">
        <v>12</v>
      </c>
      <c r="S12" s="37"/>
      <c r="T12" s="72">
        <f t="shared" si="0"/>
        <v>24</v>
      </c>
      <c r="U12" s="72">
        <f t="shared" si="1"/>
        <v>73416</v>
      </c>
      <c r="V12" s="72">
        <f t="shared" si="2"/>
        <v>3059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29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324+4104</f>
        <v>4428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66</v>
      </c>
      <c r="N37" s="61"/>
      <c r="O37" s="20">
        <v>134</v>
      </c>
      <c r="P37" s="45"/>
      <c r="Q37" s="45">
        <v>128</v>
      </c>
      <c r="R37" s="46"/>
      <c r="S37" s="37"/>
      <c r="T37" s="74">
        <f t="shared" si="0"/>
        <v>8</v>
      </c>
      <c r="U37" s="74">
        <f>C37*6+M37*6+O37*6+Q37*6+T37</f>
        <v>28544</v>
      </c>
      <c r="V37" s="74">
        <f>U37/6</f>
        <v>4757.333333333333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288+52</f>
        <v>340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4536</v>
      </c>
      <c r="V41" s="76">
        <f>U41/12</f>
        <v>378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5184+4536+54+5508+3024+5832+1836</f>
        <v>25974</v>
      </c>
      <c r="D43" s="20"/>
      <c r="E43" s="20"/>
      <c r="F43" s="20"/>
      <c r="G43" s="20"/>
      <c r="H43" s="20">
        <v>1</v>
      </c>
      <c r="I43" s="20">
        <v>7</v>
      </c>
      <c r="J43" s="45">
        <f>23*6+3</f>
        <v>141</v>
      </c>
      <c r="K43" s="46">
        <f>47*6+2</f>
        <v>284</v>
      </c>
      <c r="L43" s="37"/>
      <c r="M43" s="60">
        <v>277</v>
      </c>
      <c r="N43" s="61"/>
      <c r="O43" s="20">
        <v>307</v>
      </c>
      <c r="P43" s="45"/>
      <c r="Q43" s="45">
        <v>561</v>
      </c>
      <c r="R43" s="46"/>
      <c r="S43" s="37"/>
      <c r="T43" s="74">
        <f t="shared" ref="T43:T54" si="8">H43+I43+J43+K43+N43+P43+R43</f>
        <v>433</v>
      </c>
      <c r="U43" s="74">
        <f>C43*6+M43*6+O43*6+Q43*6+T43</f>
        <v>163147</v>
      </c>
      <c r="V43" s="74">
        <f>U43/6</f>
        <v>27191.166666666668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36979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33</v>
      </c>
      <c r="J58" s="47">
        <f t="shared" si="13"/>
        <v>148</v>
      </c>
      <c r="K58" s="47">
        <f t="shared" si="13"/>
        <v>319</v>
      </c>
      <c r="M58" s="66">
        <f t="shared" ref="M58:R58" si="14">SUM(M7:M57)</f>
        <v>372</v>
      </c>
      <c r="N58" s="66">
        <f t="shared" si="14"/>
        <v>34</v>
      </c>
      <c r="O58" s="66">
        <f t="shared" si="14"/>
        <v>472</v>
      </c>
      <c r="P58" s="66">
        <f t="shared" si="14"/>
        <v>28</v>
      </c>
      <c r="Q58" s="66">
        <f t="shared" si="14"/>
        <v>748</v>
      </c>
      <c r="R58" s="66">
        <f t="shared" si="14"/>
        <v>12</v>
      </c>
      <c r="S58" s="34"/>
      <c r="T58" s="77">
        <f t="shared" ref="T58:V58" si="15">SUM(T7:T57)</f>
        <v>1763</v>
      </c>
      <c r="U58" s="79">
        <f t="shared" si="15"/>
        <v>297827</v>
      </c>
      <c r="V58" s="77">
        <f t="shared" si="15"/>
        <v>38700.833333333336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F26-E22C-49EC-8DEE-DFAC3D1BD0D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90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14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>
        <v>1</v>
      </c>
      <c r="P9" s="38"/>
      <c r="Q9" s="38">
        <v>2</v>
      </c>
      <c r="R9" s="39"/>
      <c r="S9" s="34"/>
      <c r="T9" s="71">
        <f t="shared" si="0"/>
        <v>0</v>
      </c>
      <c r="U9" s="73">
        <f t="shared" si="1"/>
        <v>432</v>
      </c>
      <c r="V9" s="73">
        <f t="shared" si="2"/>
        <v>18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13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>
        <v>1</v>
      </c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432</v>
      </c>
      <c r="V10" s="69">
        <f t="shared" si="2"/>
        <v>18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504+1440+576+432+40</f>
        <v>2992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>
        <v>12</v>
      </c>
      <c r="O12" s="20">
        <v>10</v>
      </c>
      <c r="P12" s="45"/>
      <c r="Q12" s="45">
        <v>19</v>
      </c>
      <c r="R12" s="46"/>
      <c r="S12" s="37"/>
      <c r="T12" s="72">
        <f t="shared" si="0"/>
        <v>12</v>
      </c>
      <c r="U12" s="72">
        <f t="shared" si="1"/>
        <v>72732</v>
      </c>
      <c r="V12" s="72">
        <f t="shared" si="2"/>
        <v>3030.5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>
        <v>1</v>
      </c>
      <c r="J25" s="38"/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>
        <v>5</v>
      </c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324+3996+88</f>
        <v>4408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46</v>
      </c>
      <c r="N37" s="61"/>
      <c r="O37" s="20">
        <v>20</v>
      </c>
      <c r="P37" s="45"/>
      <c r="Q37" s="45">
        <v>26</v>
      </c>
      <c r="R37" s="46"/>
      <c r="S37" s="37"/>
      <c r="T37" s="74">
        <f t="shared" si="0"/>
        <v>8</v>
      </c>
      <c r="U37" s="74">
        <f>C37*6+M37*6+O37*6+Q37*6+T37</f>
        <v>27008</v>
      </c>
      <c r="V37" s="74">
        <f>U37/6</f>
        <v>4501.333333333333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288+26</f>
        <v>314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22</v>
      </c>
      <c r="R41" s="43"/>
      <c r="S41" s="44"/>
      <c r="T41" s="76">
        <f t="shared" si="0"/>
        <v>0</v>
      </c>
      <c r="U41" s="76">
        <f>C41*12+M41*12+O41*12+Q41*12+T41</f>
        <v>4248</v>
      </c>
      <c r="V41" s="76">
        <f>U41/12</f>
        <v>354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5184+54+3672+1836+5508+3024+5832+1836</f>
        <v>26946</v>
      </c>
      <c r="D43" s="20"/>
      <c r="E43" s="20"/>
      <c r="F43" s="20"/>
      <c r="G43" s="20"/>
      <c r="H43" s="20">
        <v>1</v>
      </c>
      <c r="I43" s="20">
        <v>7</v>
      </c>
      <c r="J43" s="45">
        <f>23*6+3</f>
        <v>141</v>
      </c>
      <c r="K43" s="46">
        <f>47*6+2</f>
        <v>284</v>
      </c>
      <c r="L43" s="37"/>
      <c r="M43" s="60">
        <v>320</v>
      </c>
      <c r="N43" s="61"/>
      <c r="O43" s="20">
        <v>400</v>
      </c>
      <c r="P43" s="45"/>
      <c r="Q43" s="45">
        <v>526</v>
      </c>
      <c r="R43" s="46"/>
      <c r="S43" s="37"/>
      <c r="T43" s="74">
        <f t="shared" ref="T43:T54" si="8">H43+I43+J43+K43+N43+P43+R43</f>
        <v>433</v>
      </c>
      <c r="U43" s="74">
        <f>C43*6+M43*6+O43*6+Q43*6+T43</f>
        <v>169585</v>
      </c>
      <c r="V43" s="74">
        <f>U43/6</f>
        <v>28264.166666666668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37867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39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393</v>
      </c>
      <c r="N58" s="66">
        <f t="shared" si="14"/>
        <v>34</v>
      </c>
      <c r="O58" s="66">
        <f t="shared" si="14"/>
        <v>450</v>
      </c>
      <c r="P58" s="66">
        <f t="shared" si="14"/>
        <v>28</v>
      </c>
      <c r="Q58" s="66">
        <f t="shared" si="14"/>
        <v>625</v>
      </c>
      <c r="R58" s="66">
        <f t="shared" si="14"/>
        <v>0</v>
      </c>
      <c r="S58" s="34"/>
      <c r="T58" s="77">
        <f t="shared" ref="T58:V58" si="15">SUM(T7:T57)</f>
        <v>1751</v>
      </c>
      <c r="U58" s="79">
        <f t="shared" si="15"/>
        <v>301733</v>
      </c>
      <c r="V58" s="77">
        <f t="shared" si="15"/>
        <v>39464.333333333336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F7FC-940E-4ACD-B910-8EC45355064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91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/>
      <c r="R9" s="39"/>
      <c r="S9" s="34"/>
      <c r="T9" s="71">
        <f t="shared" si="0"/>
        <v>0</v>
      </c>
      <c r="U9" s="73">
        <f t="shared" si="1"/>
        <v>336</v>
      </c>
      <c r="V9" s="73">
        <f t="shared" si="2"/>
        <v>14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12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336</v>
      </c>
      <c r="V10" s="69">
        <f t="shared" si="2"/>
        <v>14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504+1440+576+432+18</f>
        <v>2970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>
        <v>12</v>
      </c>
      <c r="O12" s="20">
        <v>7</v>
      </c>
      <c r="P12" s="45"/>
      <c r="Q12" s="45">
        <v>14</v>
      </c>
      <c r="R12" s="46">
        <v>12</v>
      </c>
      <c r="S12" s="37"/>
      <c r="T12" s="72">
        <f t="shared" si="0"/>
        <v>24</v>
      </c>
      <c r="U12" s="72">
        <f t="shared" si="1"/>
        <v>72024</v>
      </c>
      <c r="V12" s="72">
        <f t="shared" si="2"/>
        <v>3001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2*24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3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>
        <v>1</v>
      </c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324+33+3996</f>
        <v>4353</v>
      </c>
      <c r="D37" s="13"/>
      <c r="E37" s="13"/>
      <c r="F37" s="13"/>
      <c r="G37" s="13"/>
      <c r="H37" s="13">
        <v>3</v>
      </c>
      <c r="I37" s="13">
        <v>2</v>
      </c>
      <c r="J37" s="35"/>
      <c r="K37" s="36">
        <v>3</v>
      </c>
      <c r="L37" s="37"/>
      <c r="M37" s="60">
        <v>39</v>
      </c>
      <c r="N37" s="61"/>
      <c r="O37" s="20">
        <v>20</v>
      </c>
      <c r="P37" s="45"/>
      <c r="Q37" s="45">
        <v>23</v>
      </c>
      <c r="R37" s="46"/>
      <c r="S37" s="37"/>
      <c r="T37" s="74">
        <f t="shared" si="0"/>
        <v>8</v>
      </c>
      <c r="U37" s="74">
        <f>C37*6+M37*6+O37*6+Q37*6+T37</f>
        <v>26618</v>
      </c>
      <c r="V37" s="74">
        <f>U37/6</f>
        <v>4436.333333333333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288+13</f>
        <v>301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6</v>
      </c>
      <c r="R41" s="43"/>
      <c r="S41" s="44"/>
      <c r="T41" s="76">
        <f t="shared" si="0"/>
        <v>0</v>
      </c>
      <c r="U41" s="76">
        <f>C41*12+M41*12+O41*12+Q41*12+T41</f>
        <v>3900</v>
      </c>
      <c r="V41" s="76">
        <f>U41/12</f>
        <v>325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1836+5184+2916+3672+5508+3024+5832</f>
        <v>27972</v>
      </c>
      <c r="D43" s="20"/>
      <c r="E43" s="20"/>
      <c r="F43" s="20"/>
      <c r="G43" s="20"/>
      <c r="H43" s="20">
        <v>1</v>
      </c>
      <c r="I43" s="20">
        <v>7</v>
      </c>
      <c r="J43" s="45">
        <f>6+4</f>
        <v>10</v>
      </c>
      <c r="K43" s="46">
        <f>69*6+7</f>
        <v>421</v>
      </c>
      <c r="L43" s="37"/>
      <c r="M43" s="60">
        <v>340</v>
      </c>
      <c r="N43" s="61"/>
      <c r="O43" s="20">
        <v>175</v>
      </c>
      <c r="P43" s="45"/>
      <c r="Q43" s="45">
        <v>508</v>
      </c>
      <c r="R43" s="46"/>
      <c r="S43" s="37"/>
      <c r="T43" s="74">
        <f t="shared" ref="T43:T54" si="8">H43+I43+J43+K43+N43+P43+R43</f>
        <v>439</v>
      </c>
      <c r="U43" s="74">
        <f>C43*6+M43*6+O43*6+Q43*6+T43</f>
        <v>174409</v>
      </c>
      <c r="V43" s="74">
        <f>U43/6</f>
        <v>29068.166666666668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38799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32</v>
      </c>
      <c r="J58" s="47">
        <f t="shared" si="13"/>
        <v>17</v>
      </c>
      <c r="K58" s="47">
        <f t="shared" si="13"/>
        <v>457</v>
      </c>
      <c r="M58" s="66">
        <f t="shared" ref="M58:R58" si="14">SUM(M7:M57)</f>
        <v>404</v>
      </c>
      <c r="N58" s="66">
        <f t="shared" si="14"/>
        <v>34</v>
      </c>
      <c r="O58" s="66">
        <f t="shared" si="14"/>
        <v>224</v>
      </c>
      <c r="P58" s="66">
        <f t="shared" si="14"/>
        <v>28</v>
      </c>
      <c r="Q58" s="66">
        <f t="shared" si="14"/>
        <v>579</v>
      </c>
      <c r="R58" s="66">
        <f t="shared" si="14"/>
        <v>12</v>
      </c>
      <c r="S58" s="34"/>
      <c r="T58" s="77">
        <f t="shared" ref="T58:V58" si="15">SUM(T7:T57)</f>
        <v>1769</v>
      </c>
      <c r="U58" s="79">
        <f t="shared" si="15"/>
        <v>304919</v>
      </c>
      <c r="V58" s="77">
        <f t="shared" si="15"/>
        <v>40136.833333333328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0A54-A1FD-4ACD-ACA5-9FCAE85FBD93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92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11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2</v>
      </c>
      <c r="R9" s="39"/>
      <c r="S9" s="34"/>
      <c r="T9" s="71">
        <f t="shared" si="0"/>
        <v>0</v>
      </c>
      <c r="U9" s="73">
        <f t="shared" si="1"/>
        <v>336</v>
      </c>
      <c r="V9" s="73">
        <f t="shared" si="2"/>
        <v>14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2</v>
      </c>
      <c r="R10" s="39"/>
      <c r="S10" s="34"/>
      <c r="T10" s="69">
        <f t="shared" si="0"/>
        <v>0</v>
      </c>
      <c r="U10" s="69">
        <f t="shared" si="1"/>
        <v>288</v>
      </c>
      <c r="V10" s="69">
        <f t="shared" si="2"/>
        <v>12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504+1440+360+576+62</f>
        <v>2942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8</v>
      </c>
      <c r="N12" s="61"/>
      <c r="O12" s="20">
        <v>14</v>
      </c>
      <c r="P12" s="45"/>
      <c r="Q12" s="45">
        <v>17</v>
      </c>
      <c r="R12" s="46">
        <v>12</v>
      </c>
      <c r="S12" s="37"/>
      <c r="T12" s="72">
        <f t="shared" si="0"/>
        <v>12</v>
      </c>
      <c r="U12" s="72">
        <f t="shared" si="1"/>
        <v>71556</v>
      </c>
      <c r="V12" s="72">
        <f t="shared" si="2"/>
        <v>2981.5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1</v>
      </c>
      <c r="R25" s="39"/>
      <c r="S25" s="34"/>
      <c r="T25" s="69">
        <f t="shared" si="0"/>
        <v>1</v>
      </c>
      <c r="U25" s="71">
        <f t="shared" si="1"/>
        <v>2161</v>
      </c>
      <c r="V25" s="71">
        <f t="shared" si="2"/>
        <v>90.041666666666671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>
        <f>63*24</f>
        <v>1512</v>
      </c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1512</v>
      </c>
      <c r="U28" s="71">
        <f t="shared" si="1"/>
        <v>1536</v>
      </c>
      <c r="V28" s="71">
        <f t="shared" si="2"/>
        <v>64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>
        <f>64*24</f>
        <v>1536</v>
      </c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1541</v>
      </c>
      <c r="U29" s="71">
        <f t="shared" si="1"/>
        <v>1541</v>
      </c>
      <c r="V29" s="71">
        <f t="shared" si="2"/>
        <v>64.208333333333329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3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72</v>
      </c>
      <c r="V33" s="71">
        <f t="shared" si="2"/>
        <v>3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>
        <f>72*24</f>
        <v>1728</v>
      </c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1742</v>
      </c>
      <c r="U34" s="71">
        <f t="shared" si="1"/>
        <v>2582</v>
      </c>
      <c r="V34" s="71">
        <f t="shared" si="2"/>
        <v>107.58333333333333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324+3888+78</f>
        <v>4290</v>
      </c>
      <c r="D37" s="13"/>
      <c r="E37" s="13"/>
      <c r="F37" s="13"/>
      <c r="G37" s="13"/>
      <c r="H37" s="13"/>
      <c r="I37" s="13">
        <v>3</v>
      </c>
      <c r="J37" s="35">
        <v>2</v>
      </c>
      <c r="K37" s="36">
        <v>3</v>
      </c>
      <c r="L37" s="37"/>
      <c r="M37" s="60">
        <v>14</v>
      </c>
      <c r="N37" s="61"/>
      <c r="O37" s="20">
        <v>36</v>
      </c>
      <c r="P37" s="45"/>
      <c r="Q37" s="45">
        <v>28</v>
      </c>
      <c r="R37" s="46"/>
      <c r="S37" s="37"/>
      <c r="T37" s="74">
        <f t="shared" si="0"/>
        <v>8</v>
      </c>
      <c r="U37" s="74">
        <f>C37*6+M37*6+O37*6+Q37*6+T37</f>
        <v>26216</v>
      </c>
      <c r="V37" s="74">
        <f>U37/6</f>
        <v>4369.333333333333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1</v>
      </c>
      <c r="R40" s="46"/>
      <c r="S40" s="37"/>
      <c r="T40" s="74">
        <f t="shared" si="0"/>
        <v>32</v>
      </c>
      <c r="U40" s="74">
        <f t="shared" si="6"/>
        <v>2456</v>
      </c>
      <c r="V40" s="74">
        <f t="shared" si="7"/>
        <v>102.33333333333333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192+87</f>
        <v>279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6</v>
      </c>
      <c r="P41" s="42"/>
      <c r="Q41" s="42">
        <v>16</v>
      </c>
      <c r="R41" s="43"/>
      <c r="S41" s="44"/>
      <c r="T41" s="76">
        <f t="shared" si="0"/>
        <v>0</v>
      </c>
      <c r="U41" s="76">
        <f>C41*12+M41*12+O41*12+Q41*12+T41</f>
        <v>3732</v>
      </c>
      <c r="V41" s="76">
        <f>U41/12</f>
        <v>311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5184+1836+90+5508+5508+3024+5832+1512</f>
        <v>28494</v>
      </c>
      <c r="D43" s="20"/>
      <c r="E43" s="20"/>
      <c r="F43" s="20"/>
      <c r="G43" s="20"/>
      <c r="H43" s="20">
        <v>3</v>
      </c>
      <c r="I43" s="20">
        <v>7</v>
      </c>
      <c r="J43" s="45">
        <f>7*6+1</f>
        <v>43</v>
      </c>
      <c r="K43" s="46">
        <f>69*6+7</f>
        <v>421</v>
      </c>
      <c r="L43" s="37"/>
      <c r="M43" s="60">
        <v>337</v>
      </c>
      <c r="N43" s="61"/>
      <c r="O43" s="20">
        <v>366</v>
      </c>
      <c r="P43" s="45"/>
      <c r="Q43" s="45">
        <v>533</v>
      </c>
      <c r="R43" s="46"/>
      <c r="S43" s="37"/>
      <c r="T43" s="74">
        <f t="shared" ref="T43:T54" si="8">H43+I43+J43+K43+N43+P43+R43</f>
        <v>474</v>
      </c>
      <c r="U43" s="74">
        <f>C43*6+M43*6+O43*6+Q43*6+T43</f>
        <v>178854</v>
      </c>
      <c r="V43" s="74">
        <f>U43/6</f>
        <v>29809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9</v>
      </c>
      <c r="R47" s="46">
        <v>3</v>
      </c>
      <c r="S47" s="37"/>
      <c r="T47" s="74">
        <f t="shared" si="8"/>
        <v>13</v>
      </c>
      <c r="U47" s="74">
        <f>C47*6+M47*6+O47*6+Q47*6+T47</f>
        <v>16921</v>
      </c>
      <c r="V47" s="74">
        <f>U47/6</f>
        <v>2820.1666666666665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39205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5964</v>
      </c>
      <c r="I58" s="47">
        <f t="shared" si="13"/>
        <v>33</v>
      </c>
      <c r="J58" s="47">
        <f t="shared" si="13"/>
        <v>52</v>
      </c>
      <c r="K58" s="47">
        <f t="shared" si="13"/>
        <v>457</v>
      </c>
      <c r="M58" s="66">
        <f t="shared" ref="M58:R58" si="14">SUM(M7:M57)</f>
        <v>375</v>
      </c>
      <c r="N58" s="66">
        <f t="shared" si="14"/>
        <v>22</v>
      </c>
      <c r="O58" s="66">
        <f t="shared" si="14"/>
        <v>433</v>
      </c>
      <c r="P58" s="66">
        <f t="shared" si="14"/>
        <v>28</v>
      </c>
      <c r="Q58" s="66">
        <f t="shared" si="14"/>
        <v>622</v>
      </c>
      <c r="R58" s="66">
        <f t="shared" si="14"/>
        <v>15</v>
      </c>
      <c r="S58" s="34"/>
      <c r="T58" s="77">
        <f t="shared" ref="T58:V58" si="15">SUM(T7:T57)</f>
        <v>6571</v>
      </c>
      <c r="U58" s="79">
        <f t="shared" si="15"/>
        <v>312979</v>
      </c>
      <c r="V58" s="77">
        <f t="shared" si="15"/>
        <v>40970.666666666664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A0B9B-A10A-43A9-8148-49CF0739B1A7}">
  <sheetPr>
    <pageSetUpPr fitToPage="1"/>
  </sheetPr>
  <dimension ref="A1:BB81"/>
  <sheetViews>
    <sheetView zoomScaleNormal="100" zoomScaleSheetLayoutView="115" workbookViewId="0">
      <selection activeCell="C4" sqref="C4:K4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93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1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127</v>
      </c>
      <c r="V7" s="69">
        <f t="shared" ref="V7:V36" si="2">U7/24</f>
        <v>5.291666666666667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3+63</f>
        <v>66</v>
      </c>
      <c r="D8" s="13"/>
      <c r="E8" s="13"/>
      <c r="F8" s="13"/>
      <c r="G8" s="13"/>
      <c r="H8" s="13"/>
      <c r="I8" s="13"/>
      <c r="J8" s="35"/>
      <c r="K8" s="36"/>
      <c r="L8" s="37"/>
      <c r="M8" s="60">
        <v>5</v>
      </c>
      <c r="N8" s="61"/>
      <c r="O8" s="20"/>
      <c r="P8" s="45"/>
      <c r="Q8" s="45">
        <v>2</v>
      </c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6</v>
      </c>
      <c r="D9" s="15"/>
      <c r="E9" s="15"/>
      <c r="F9" s="15"/>
      <c r="G9" s="15"/>
      <c r="H9" s="15"/>
      <c r="I9" s="15"/>
      <c r="J9" s="38"/>
      <c r="K9" s="39"/>
      <c r="L9" s="34"/>
      <c r="M9" s="62">
        <v>5</v>
      </c>
      <c r="N9" s="63"/>
      <c r="O9" s="15">
        <v>1</v>
      </c>
      <c r="P9" s="38"/>
      <c r="Q9" s="38"/>
      <c r="R9" s="39"/>
      <c r="S9" s="34"/>
      <c r="T9" s="71">
        <f t="shared" si="0"/>
        <v>0</v>
      </c>
      <c r="U9" s="73">
        <f t="shared" si="1"/>
        <v>288</v>
      </c>
      <c r="V9" s="73">
        <f t="shared" si="2"/>
        <v>12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>
        <v>10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240</v>
      </c>
      <c r="V10" s="69">
        <f t="shared" si="2"/>
        <v>10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504+1440+576+37+360</f>
        <v>2917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4</v>
      </c>
      <c r="N12" s="61"/>
      <c r="O12" s="20">
        <v>10</v>
      </c>
      <c r="P12" s="45">
        <v>12</v>
      </c>
      <c r="Q12" s="45">
        <v>23</v>
      </c>
      <c r="R12" s="46"/>
      <c r="S12" s="37"/>
      <c r="T12" s="72">
        <f t="shared" si="0"/>
        <v>12</v>
      </c>
      <c r="U12" s="72">
        <f t="shared" si="1"/>
        <v>70908</v>
      </c>
      <c r="V12" s="72">
        <f t="shared" si="2"/>
        <v>2954.5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6</v>
      </c>
      <c r="D20" s="15"/>
      <c r="E20" s="15"/>
      <c r="F20" s="15"/>
      <c r="G20" s="15"/>
      <c r="H20" s="15"/>
      <c r="I20" s="15"/>
      <c r="J20" s="38"/>
      <c r="K20" s="39"/>
      <c r="L20" s="34"/>
      <c r="M20" s="62">
        <v>1</v>
      </c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1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>
        <v>1</v>
      </c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f>6</f>
        <v>6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>
        <v>1</v>
      </c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22+63</f>
        <v>85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2137</v>
      </c>
      <c r="V25" s="71">
        <f t="shared" si="2"/>
        <v>89.041666666666671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57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>
        <v>2</v>
      </c>
      <c r="P28" s="38"/>
      <c r="Q28" s="38">
        <v>3</v>
      </c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63</v>
      </c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1517</v>
      </c>
      <c r="V29" s="71">
        <f t="shared" si="2"/>
        <v>63.208333333333336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0</v>
      </c>
      <c r="V30" s="71">
        <f t="shared" si="2"/>
        <v>0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1</v>
      </c>
      <c r="D32" s="15"/>
      <c r="E32" s="15"/>
      <c r="F32" s="15"/>
      <c r="G32" s="15"/>
      <c r="H32" s="15"/>
      <c r="I32" s="15"/>
      <c r="J32" s="38"/>
      <c r="K32" s="39"/>
      <c r="L32" s="34"/>
      <c r="M32" s="62">
        <v>1</v>
      </c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2</v>
      </c>
      <c r="D33" s="15"/>
      <c r="E33" s="15"/>
      <c r="F33" s="15"/>
      <c r="G33" s="15"/>
      <c r="H33" s="15"/>
      <c r="I33" s="15"/>
      <c r="J33" s="38"/>
      <c r="K33" s="39"/>
      <c r="L33" s="34"/>
      <c r="M33" s="62">
        <v>1</v>
      </c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72</v>
      </c>
      <c r="V33" s="71">
        <f t="shared" si="2"/>
        <v>3</v>
      </c>
    </row>
    <row r="34" spans="1:23">
      <c r="A34" s="6">
        <f t="shared" si="5"/>
        <v>31</v>
      </c>
      <c r="B34" s="10" t="s">
        <v>42</v>
      </c>
      <c r="C34" s="15">
        <f>7+72</f>
        <v>79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17</v>
      </c>
      <c r="N34" s="63"/>
      <c r="O34" s="15">
        <v>1</v>
      </c>
      <c r="P34" s="38">
        <v>12</v>
      </c>
      <c r="Q34" s="38">
        <v>8</v>
      </c>
      <c r="R34" s="39"/>
      <c r="S34" s="34"/>
      <c r="T34" s="69">
        <f t="shared" si="0"/>
        <v>14</v>
      </c>
      <c r="U34" s="71">
        <f t="shared" si="1"/>
        <v>2534</v>
      </c>
      <c r="V34" s="71">
        <f t="shared" si="2"/>
        <v>105.58333333333333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3672+90+324</f>
        <v>4086</v>
      </c>
      <c r="D37" s="13"/>
      <c r="E37" s="13"/>
      <c r="F37" s="13"/>
      <c r="G37" s="13"/>
      <c r="H37" s="13">
        <v>3</v>
      </c>
      <c r="I37" s="13">
        <v>2</v>
      </c>
      <c r="J37" s="35"/>
      <c r="K37" s="36">
        <v>3</v>
      </c>
      <c r="L37" s="37"/>
      <c r="M37" s="60">
        <v>109</v>
      </c>
      <c r="N37" s="61"/>
      <c r="O37" s="20">
        <v>30</v>
      </c>
      <c r="P37" s="45"/>
      <c r="Q37" s="45">
        <v>78</v>
      </c>
      <c r="R37" s="46"/>
      <c r="S37" s="37"/>
      <c r="T37" s="74">
        <f t="shared" si="0"/>
        <v>8</v>
      </c>
      <c r="U37" s="74">
        <f>C37*6+M37*6+O37*6+Q37*6+T37</f>
        <v>25826</v>
      </c>
      <c r="V37" s="74">
        <f>U37/6</f>
        <v>4304.333333333333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62">
        <v>1</v>
      </c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 ht="18.600000000000001" thickBot="1">
      <c r="A40" s="6">
        <f t="shared" si="5"/>
        <v>37</v>
      </c>
      <c r="B40" s="12" t="s">
        <v>48</v>
      </c>
      <c r="C40" s="13">
        <f>29</f>
        <v>29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/>
      <c r="R40" s="46"/>
      <c r="S40" s="37"/>
      <c r="T40" s="74">
        <f t="shared" si="0"/>
        <v>32</v>
      </c>
      <c r="U40" s="74">
        <f t="shared" si="6"/>
        <v>776</v>
      </c>
      <c r="V40" s="74">
        <f t="shared" si="7"/>
        <v>32.333333333333336</v>
      </c>
    </row>
    <row r="41" spans="1:23" ht="18.600000000000001" thickBot="1">
      <c r="A41" s="6">
        <f t="shared" si="5"/>
        <v>38</v>
      </c>
      <c r="B41" s="18" t="s">
        <v>49</v>
      </c>
      <c r="C41" s="19">
        <f>192+71</f>
        <v>263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5</v>
      </c>
      <c r="N41" s="65"/>
      <c r="O41" s="19">
        <v>6</v>
      </c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3600</v>
      </c>
      <c r="V41" s="76">
        <f>U41/12</f>
        <v>300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5184+972+7020+5508+3024+5832+1836</f>
        <v>29376</v>
      </c>
      <c r="D43" s="20"/>
      <c r="E43" s="20"/>
      <c r="F43" s="20"/>
      <c r="G43" s="20"/>
      <c r="H43" s="20">
        <v>2</v>
      </c>
      <c r="I43" s="20">
        <v>7</v>
      </c>
      <c r="J43" s="45">
        <f>7*6+1</f>
        <v>43</v>
      </c>
      <c r="K43" s="46">
        <f>69*6+7</f>
        <v>421</v>
      </c>
      <c r="L43" s="37"/>
      <c r="M43" s="60">
        <v>352</v>
      </c>
      <c r="N43" s="61"/>
      <c r="O43" s="20">
        <v>417</v>
      </c>
      <c r="P43" s="45"/>
      <c r="Q43" s="45">
        <v>541</v>
      </c>
      <c r="R43" s="46"/>
      <c r="S43" s="37"/>
      <c r="T43" s="74">
        <f t="shared" ref="T43:T54" si="8">H43+I43+J43+K43+N43+P43+R43</f>
        <v>473</v>
      </c>
      <c r="U43" s="74">
        <f>C43*6+M43*6+O43*6+Q43*6+T43</f>
        <v>184589</v>
      </c>
      <c r="V43" s="74">
        <f>U43/6</f>
        <v>30764.833333333332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>
        <v>5</v>
      </c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>
        <v>1</v>
      </c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432+106+22+2160+74</f>
        <v>2794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10</v>
      </c>
      <c r="N47" s="61"/>
      <c r="O47" s="20">
        <v>5</v>
      </c>
      <c r="P47" s="45">
        <v>4</v>
      </c>
      <c r="Q47" s="45">
        <v>9</v>
      </c>
      <c r="R47" s="46">
        <v>3</v>
      </c>
      <c r="S47" s="37"/>
      <c r="T47" s="74">
        <f t="shared" si="8"/>
        <v>13</v>
      </c>
      <c r="U47" s="74">
        <f>C47*6+M47*6+O47*6+Q47*6+T47</f>
        <v>16921</v>
      </c>
      <c r="V47" s="74">
        <f>U47/6</f>
        <v>2820.1666666666665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1</v>
      </c>
      <c r="D52" s="15"/>
      <c r="E52" s="15"/>
      <c r="F52" s="15"/>
      <c r="G52" s="15"/>
      <c r="H52" s="15"/>
      <c r="I52" s="15"/>
      <c r="J52" s="38"/>
      <c r="K52" s="39"/>
      <c r="L52" s="34"/>
      <c r="M52" s="62">
        <v>1</v>
      </c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10</v>
      </c>
      <c r="D53" s="15"/>
      <c r="E53" s="15"/>
      <c r="F53" s="15"/>
      <c r="G53" s="15"/>
      <c r="H53" s="15"/>
      <c r="I53" s="15"/>
      <c r="J53" s="38"/>
      <c r="K53" s="39"/>
      <c r="L53" s="34"/>
      <c r="M53" s="62">
        <v>1</v>
      </c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39899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49</v>
      </c>
      <c r="K58" s="47">
        <f t="shared" si="13"/>
        <v>457</v>
      </c>
      <c r="M58" s="66">
        <f t="shared" ref="M58:R58" si="14">SUM(M7:M57)</f>
        <v>536</v>
      </c>
      <c r="N58" s="66">
        <f t="shared" si="14"/>
        <v>22</v>
      </c>
      <c r="O58" s="66">
        <f t="shared" si="14"/>
        <v>476</v>
      </c>
      <c r="P58" s="66">
        <f t="shared" si="14"/>
        <v>40</v>
      </c>
      <c r="Q58" s="66">
        <f t="shared" si="14"/>
        <v>694</v>
      </c>
      <c r="R58" s="66">
        <f t="shared" si="14"/>
        <v>3</v>
      </c>
      <c r="S58" s="34"/>
      <c r="T58" s="77">
        <f t="shared" ref="T58:V58" si="15">SUM(T7:T57)</f>
        <v>1794</v>
      </c>
      <c r="U58" s="79">
        <f t="shared" si="15"/>
        <v>315576</v>
      </c>
      <c r="V58" s="77">
        <f t="shared" si="15"/>
        <v>41741.499999999993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 r:id="rId1"/>
  <colBreaks count="1" manualBreakCount="1">
    <brk id="24" max="80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7912-0FE7-4C39-A035-9C2D950FEDDA}">
  <sheetPr>
    <pageSetUpPr fitToPage="1"/>
  </sheetPr>
  <dimension ref="A1:BB81"/>
  <sheetViews>
    <sheetView tabSelected="1" zoomScaleNormal="100" zoomScaleSheetLayoutView="115" workbookViewId="0">
      <selection activeCell="B3" sqref="B3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99" t="s">
        <v>1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>
      <c r="B2" s="5" t="s">
        <v>94</v>
      </c>
    </row>
    <row r="4" spans="1:54" s="1" customFormat="1" ht="15.6">
      <c r="B4" s="7" t="s">
        <v>3</v>
      </c>
      <c r="C4" s="100" t="s">
        <v>4</v>
      </c>
      <c r="D4" s="100"/>
      <c r="E4" s="100"/>
      <c r="F4" s="100"/>
      <c r="G4" s="100"/>
      <c r="H4" s="100"/>
      <c r="I4" s="100"/>
      <c r="J4" s="101"/>
      <c r="K4" s="102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3" t="s">
        <v>9</v>
      </c>
      <c r="U4" s="105" t="s">
        <v>10</v>
      </c>
      <c r="V4" s="107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109" t="s">
        <v>14</v>
      </c>
      <c r="K5" s="110"/>
      <c r="M5" s="8"/>
      <c r="N5" s="57"/>
      <c r="O5" s="9"/>
      <c r="P5" s="30"/>
      <c r="Q5" s="30"/>
      <c r="R5" s="31"/>
      <c r="S5" s="4"/>
      <c r="T5" s="104"/>
      <c r="U5" s="106"/>
      <c r="V5" s="108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/>
      <c r="J7" s="32"/>
      <c r="K7" s="33"/>
      <c r="L7" s="34"/>
      <c r="M7" s="58"/>
      <c r="N7" s="59"/>
      <c r="O7" s="11"/>
      <c r="P7" s="32"/>
      <c r="Q7" s="32"/>
      <c r="R7" s="33"/>
      <c r="S7" s="34"/>
      <c r="T7" s="69">
        <f t="shared" ref="T7:T41" si="0">H7+I7+J7+K7+N7+P7+R7</f>
        <v>0</v>
      </c>
      <c r="U7" s="69">
        <f t="shared" ref="U7:U36" si="1">C7*24+M7*24+O7*24+Q7*24+T7</f>
        <v>0</v>
      </c>
      <c r="V7" s="69">
        <f t="shared" ref="V7:V36" si="2">U7/24</f>
        <v>0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/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0</v>
      </c>
      <c r="V8" s="72">
        <f t="shared" si="2"/>
        <v>0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/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0</v>
      </c>
      <c r="V9" s="73">
        <f t="shared" si="2"/>
        <v>0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0</v>
      </c>
      <c r="V10" s="69">
        <f t="shared" si="2"/>
        <v>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/>
      <c r="L11" s="34"/>
      <c r="M11" s="62"/>
      <c r="N11" s="63"/>
      <c r="O11" s="15"/>
      <c r="P11" s="38"/>
      <c r="Q11" s="38"/>
      <c r="R11" s="39"/>
      <c r="S11" s="34"/>
      <c r="T11" s="69">
        <f t="shared" si="0"/>
        <v>0</v>
      </c>
      <c r="U11" s="69">
        <f t="shared" si="1"/>
        <v>0</v>
      </c>
      <c r="V11" s="69">
        <f t="shared" si="2"/>
        <v>0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/>
      <c r="D12" s="13"/>
      <c r="E12" s="13"/>
      <c r="F12" s="13"/>
      <c r="G12" s="13"/>
      <c r="H12" s="13"/>
      <c r="I12" s="13"/>
      <c r="J12" s="35"/>
      <c r="K12" s="36"/>
      <c r="L12" s="37"/>
      <c r="M12" s="60"/>
      <c r="N12" s="61"/>
      <c r="O12" s="20"/>
      <c r="P12" s="45"/>
      <c r="Q12" s="45"/>
      <c r="R12" s="46"/>
      <c r="S12" s="37"/>
      <c r="T12" s="72">
        <f t="shared" si="0"/>
        <v>0</v>
      </c>
      <c r="U12" s="72">
        <f t="shared" si="1"/>
        <v>0</v>
      </c>
      <c r="V12" s="72">
        <f t="shared" si="2"/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/>
      <c r="D13" s="15"/>
      <c r="E13" s="15"/>
      <c r="F13" s="15"/>
      <c r="G13" s="15"/>
      <c r="H13" s="15"/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0</v>
      </c>
      <c r="U13" s="73">
        <f t="shared" si="1"/>
        <v>0</v>
      </c>
      <c r="V13" s="73">
        <f t="shared" si="2"/>
        <v>0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/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0</v>
      </c>
      <c r="V14" s="71">
        <f t="shared" si="2"/>
        <v>0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/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0</v>
      </c>
      <c r="V15" s="71">
        <f t="shared" si="2"/>
        <v>0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1"/>
        <v>0</v>
      </c>
      <c r="V17" s="71">
        <f t="shared" si="2"/>
        <v>0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/>
      <c r="D19" s="15"/>
      <c r="E19" s="15"/>
      <c r="F19" s="15"/>
      <c r="G19" s="15"/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0</v>
      </c>
      <c r="U19" s="71">
        <f t="shared" si="1"/>
        <v>0</v>
      </c>
      <c r="V19" s="71">
        <f t="shared" si="2"/>
        <v>0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/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0</v>
      </c>
      <c r="V20" s="71">
        <f t="shared" si="2"/>
        <v>0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/>
      <c r="D21" s="15"/>
      <c r="E21" s="15"/>
      <c r="F21" s="15"/>
      <c r="G21" s="15"/>
      <c r="H21" s="15"/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0</v>
      </c>
      <c r="U21" s="71">
        <f t="shared" si="1"/>
        <v>0</v>
      </c>
      <c r="V21" s="71">
        <f t="shared" si="2"/>
        <v>0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/>
      <c r="D22" s="15"/>
      <c r="E22" s="15"/>
      <c r="F22" s="15"/>
      <c r="G22" s="15"/>
      <c r="H22" s="15"/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0</v>
      </c>
      <c r="U22" s="71">
        <f t="shared" si="1"/>
        <v>0</v>
      </c>
      <c r="V22" s="71">
        <f t="shared" si="2"/>
        <v>0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/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0</v>
      </c>
      <c r="U23" s="71">
        <f t="shared" si="1"/>
        <v>0</v>
      </c>
      <c r="V23" s="71">
        <f t="shared" si="2"/>
        <v>0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/>
      <c r="D24" s="15"/>
      <c r="E24" s="15"/>
      <c r="F24" s="15"/>
      <c r="G24" s="15"/>
      <c r="H24" s="15"/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0</v>
      </c>
      <c r="U24" s="71">
        <f t="shared" si="1"/>
        <v>0</v>
      </c>
      <c r="V24" s="71">
        <f t="shared" si="2"/>
        <v>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0</v>
      </c>
      <c r="U29" s="71">
        <f t="shared" si="1"/>
        <v>0</v>
      </c>
      <c r="V29" s="71">
        <f t="shared" si="2"/>
        <v>0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0</v>
      </c>
      <c r="V30" s="71">
        <f t="shared" si="2"/>
        <v>0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/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0</v>
      </c>
      <c r="V32" s="71">
        <f t="shared" si="2"/>
        <v>0</v>
      </c>
    </row>
    <row r="33" spans="1:23">
      <c r="A33" s="6">
        <f t="shared" si="5"/>
        <v>30</v>
      </c>
      <c r="B33" s="10" t="s">
        <v>41</v>
      </c>
      <c r="C33" s="15"/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0</v>
      </c>
      <c r="V33" s="71">
        <f t="shared" si="2"/>
        <v>0</v>
      </c>
    </row>
    <row r="34" spans="1:23">
      <c r="A34" s="6">
        <f t="shared" si="5"/>
        <v>31</v>
      </c>
      <c r="B34" s="10" t="s">
        <v>42</v>
      </c>
      <c r="C34" s="15"/>
      <c r="D34" s="15"/>
      <c r="E34" s="15"/>
      <c r="F34" s="15"/>
      <c r="G34" s="15"/>
      <c r="H34" s="15"/>
      <c r="I34" s="15"/>
      <c r="J34" s="38"/>
      <c r="K34" s="39"/>
      <c r="L34" s="34"/>
      <c r="M34" s="62"/>
      <c r="N34" s="63"/>
      <c r="O34" s="15"/>
      <c r="P34" s="38"/>
      <c r="Q34" s="38"/>
      <c r="R34" s="39"/>
      <c r="S34" s="34"/>
      <c r="T34" s="69">
        <f t="shared" si="0"/>
        <v>0</v>
      </c>
      <c r="U34" s="71">
        <f t="shared" si="1"/>
        <v>0</v>
      </c>
      <c r="V34" s="71">
        <f t="shared" si="2"/>
        <v>0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/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0</v>
      </c>
      <c r="V36" s="71">
        <f t="shared" si="2"/>
        <v>0</v>
      </c>
    </row>
    <row r="37" spans="1:23" ht="18.600000000000001" thickBot="1">
      <c r="A37" s="6">
        <f t="shared" si="5"/>
        <v>34</v>
      </c>
      <c r="B37" s="12" t="s">
        <v>45</v>
      </c>
      <c r="C37" s="13"/>
      <c r="D37" s="13"/>
      <c r="E37" s="13"/>
      <c r="F37" s="13"/>
      <c r="G37" s="13"/>
      <c r="H37" s="13"/>
      <c r="I37" s="13"/>
      <c r="J37" s="35"/>
      <c r="K37" s="36"/>
      <c r="L37" s="37"/>
      <c r="M37" s="60"/>
      <c r="N37" s="61"/>
      <c r="O37" s="20"/>
      <c r="P37" s="45"/>
      <c r="Q37" s="45"/>
      <c r="R37" s="46"/>
      <c r="S37" s="37"/>
      <c r="T37" s="74">
        <f t="shared" si="0"/>
        <v>0</v>
      </c>
      <c r="U37" s="74">
        <f>C37*6+M37*6+O37*6+Q37*6+T37</f>
        <v>0</v>
      </c>
      <c r="V37" s="74">
        <f>U37/6</f>
        <v>0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0</v>
      </c>
      <c r="V39" s="71">
        <f t="shared" si="7"/>
        <v>0</v>
      </c>
    </row>
    <row r="40" spans="1:23" ht="18.600000000000001" thickBot="1">
      <c r="A40" s="6">
        <f t="shared" si="5"/>
        <v>37</v>
      </c>
      <c r="B40" s="12" t="s">
        <v>48</v>
      </c>
      <c r="C40" s="13"/>
      <c r="D40" s="13"/>
      <c r="E40" s="13"/>
      <c r="F40" s="13"/>
      <c r="G40" s="13"/>
      <c r="H40" s="13"/>
      <c r="I40" s="13"/>
      <c r="J40" s="35"/>
      <c r="K40" s="36"/>
      <c r="L40" s="37"/>
      <c r="M40" s="60"/>
      <c r="N40" s="61"/>
      <c r="O40" s="20"/>
      <c r="P40" s="45"/>
      <c r="Q40" s="45"/>
      <c r="R40" s="46"/>
      <c r="S40" s="37"/>
      <c r="T40" s="74">
        <f t="shared" si="0"/>
        <v>0</v>
      </c>
      <c r="U40" s="74">
        <f t="shared" si="6"/>
        <v>0</v>
      </c>
      <c r="V40" s="74">
        <f t="shared" si="7"/>
        <v>0</v>
      </c>
    </row>
    <row r="41" spans="1:23" ht="18.600000000000001" thickBot="1">
      <c r="A41" s="6">
        <f t="shared" si="5"/>
        <v>38</v>
      </c>
      <c r="B41" s="18" t="s">
        <v>49</v>
      </c>
      <c r="C41" s="19"/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/>
      <c r="R41" s="43"/>
      <c r="S41" s="44"/>
      <c r="T41" s="76">
        <f t="shared" si="0"/>
        <v>0</v>
      </c>
      <c r="U41" s="76">
        <f>C41*12+M41*12+O41*12+Q41*12+T41</f>
        <v>0</v>
      </c>
      <c r="V41" s="76">
        <f>U41/12</f>
        <v>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/>
      <c r="D43" s="20"/>
      <c r="E43" s="20"/>
      <c r="F43" s="20"/>
      <c r="G43" s="20"/>
      <c r="H43" s="20"/>
      <c r="I43" s="20"/>
      <c r="J43" s="45"/>
      <c r="K43" s="46"/>
      <c r="L43" s="37"/>
      <c r="M43" s="60"/>
      <c r="N43" s="61"/>
      <c r="O43" s="20"/>
      <c r="P43" s="45"/>
      <c r="Q43" s="45"/>
      <c r="R43" s="46"/>
      <c r="S43" s="37"/>
      <c r="T43" s="74">
        <f t="shared" ref="T43:T54" si="8">H43+I43+J43+K43+N43+P43+R43</f>
        <v>0</v>
      </c>
      <c r="U43" s="74">
        <f>C43*6+M43*6+O43*6+Q43*6+T43</f>
        <v>0</v>
      </c>
      <c r="V43" s="74">
        <f>U43/6</f>
        <v>0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0</v>
      </c>
      <c r="V45" s="71">
        <f t="shared" ref="V45:V50" si="10">U45/24</f>
        <v>0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 ht="18.600000000000001" thickBot="1">
      <c r="A47" s="6">
        <f t="shared" si="5"/>
        <v>44</v>
      </c>
      <c r="B47" s="12" t="s">
        <v>43</v>
      </c>
      <c r="C47" s="20"/>
      <c r="D47" s="20"/>
      <c r="E47" s="20"/>
      <c r="F47" s="20"/>
      <c r="G47" s="20"/>
      <c r="H47" s="20"/>
      <c r="I47" s="20"/>
      <c r="J47" s="45"/>
      <c r="K47" s="46"/>
      <c r="L47" s="37"/>
      <c r="M47" s="60"/>
      <c r="N47" s="61"/>
      <c r="O47" s="20"/>
      <c r="P47" s="45"/>
      <c r="Q47" s="45"/>
      <c r="R47" s="46"/>
      <c r="S47" s="37"/>
      <c r="T47" s="74">
        <f t="shared" si="8"/>
        <v>0</v>
      </c>
      <c r="U47" s="74">
        <f>C47*6+M47*6+O47*6+Q47*6+T47</f>
        <v>0</v>
      </c>
      <c r="V47" s="74">
        <f>U47/6</f>
        <v>0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0</v>
      </c>
      <c r="U48" s="71">
        <f t="shared" si="9"/>
        <v>0</v>
      </c>
      <c r="V48" s="71">
        <f t="shared" si="10"/>
        <v>0</v>
      </c>
    </row>
    <row r="49" spans="1:22">
      <c r="A49" s="6">
        <f t="shared" si="5"/>
        <v>46</v>
      </c>
      <c r="B49" s="10" t="s">
        <v>56</v>
      </c>
      <c r="C49" s="15"/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0</v>
      </c>
      <c r="V49" s="71">
        <f t="shared" si="10"/>
        <v>0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/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0</v>
      </c>
      <c r="V51" s="74">
        <f>U51/6</f>
        <v>0</v>
      </c>
    </row>
    <row r="52" spans="1:22">
      <c r="A52" s="6">
        <f t="shared" si="5"/>
        <v>49</v>
      </c>
      <c r="B52" s="14" t="s">
        <v>59</v>
      </c>
      <c r="C52" s="15"/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0</v>
      </c>
      <c r="V52" s="71">
        <f t="shared" ref="V52:V54" si="12">U52/24</f>
        <v>0</v>
      </c>
    </row>
    <row r="53" spans="1:22">
      <c r="A53" s="6">
        <f t="shared" si="5"/>
        <v>50</v>
      </c>
      <c r="B53" s="10" t="s">
        <v>60</v>
      </c>
      <c r="C53" s="15"/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0</v>
      </c>
      <c r="V53" s="71">
        <f t="shared" si="12"/>
        <v>0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0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0</v>
      </c>
      <c r="I58" s="47">
        <f t="shared" si="13"/>
        <v>0</v>
      </c>
      <c r="J58" s="47">
        <f t="shared" si="13"/>
        <v>0</v>
      </c>
      <c r="K58" s="47">
        <f t="shared" si="13"/>
        <v>0</v>
      </c>
      <c r="M58" s="66">
        <f t="shared" ref="M58:R58" si="14">SUM(M7:M57)</f>
        <v>0</v>
      </c>
      <c r="N58" s="66">
        <f t="shared" si="14"/>
        <v>0</v>
      </c>
      <c r="O58" s="66">
        <f t="shared" si="14"/>
        <v>0</v>
      </c>
      <c r="P58" s="66">
        <f t="shared" si="14"/>
        <v>0</v>
      </c>
      <c r="Q58" s="66">
        <f t="shared" si="14"/>
        <v>0</v>
      </c>
      <c r="R58" s="66">
        <f t="shared" si="14"/>
        <v>0</v>
      </c>
      <c r="S58" s="34"/>
      <c r="T58" s="77">
        <f t="shared" ref="T58:V58" si="15">SUM(T7:T57)</f>
        <v>0</v>
      </c>
      <c r="U58" s="79">
        <f t="shared" si="15"/>
        <v>0</v>
      </c>
      <c r="V58" s="77">
        <f t="shared" si="15"/>
        <v>0</v>
      </c>
    </row>
    <row r="59" spans="1:22" ht="7.5" customHeight="1" thickBot="1"/>
    <row r="60" spans="1:22" ht="18.600000000000001" thickBot="1">
      <c r="B60" s="23" t="s">
        <v>62</v>
      </c>
      <c r="C60" s="96" t="s">
        <v>4</v>
      </c>
      <c r="D60" s="97"/>
      <c r="E60" s="97"/>
      <c r="F60" s="97"/>
      <c r="G60" s="97"/>
      <c r="H60" s="97"/>
      <c r="I60" s="97"/>
      <c r="J60" s="97"/>
      <c r="K60" s="98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SAMPLE</vt:lpstr>
      <vt:lpstr>05-01-2026</vt:lpstr>
      <vt:lpstr>05-02-2026</vt:lpstr>
      <vt:lpstr>05-03-2026</vt:lpstr>
      <vt:lpstr>05-05-2026</vt:lpstr>
      <vt:lpstr>05-06-2026</vt:lpstr>
      <vt:lpstr>05-08-2026</vt:lpstr>
      <vt:lpstr>05-11-2026</vt:lpstr>
      <vt:lpstr>05-12-2026</vt:lpstr>
      <vt:lpstr>05-13-2026</vt:lpstr>
      <vt:lpstr>05-14-2026</vt:lpstr>
      <vt:lpstr>05-15-2026</vt:lpstr>
      <vt:lpstr>05-16-2026</vt:lpstr>
      <vt:lpstr>05-18-2026</vt:lpstr>
      <vt:lpstr>05-19-2026</vt:lpstr>
      <vt:lpstr>05-20-2026</vt:lpstr>
      <vt:lpstr>05-21-2026</vt:lpstr>
      <vt:lpstr>05-22-2026</vt:lpstr>
      <vt:lpstr>05-23-2026</vt:lpstr>
      <vt:lpstr>05-25-2026</vt:lpstr>
      <vt:lpstr>05-26-2026</vt:lpstr>
      <vt:lpstr>05-27-2026</vt:lpstr>
      <vt:lpstr>05-28-2026</vt:lpstr>
      <vt:lpstr>05-29-2026</vt:lpstr>
      <vt:lpstr>05-30-2026</vt:lpstr>
      <vt:lpstr>'05-01-2026'!Print_Area</vt:lpstr>
      <vt:lpstr>'05-02-2026'!Print_Area</vt:lpstr>
      <vt:lpstr>'05-03-2026'!Print_Area</vt:lpstr>
      <vt:lpstr>'05-05-2026'!Print_Area</vt:lpstr>
      <vt:lpstr>'05-06-2026'!Print_Area</vt:lpstr>
      <vt:lpstr>'05-08-2026'!Print_Area</vt:lpstr>
      <vt:lpstr>'05-11-2026'!Print_Area</vt:lpstr>
      <vt:lpstr>'05-12-2026'!Print_Area</vt:lpstr>
      <vt:lpstr>'05-13-2026'!Print_Area</vt:lpstr>
      <vt:lpstr>'05-14-2026'!Print_Area</vt:lpstr>
      <vt:lpstr>'05-15-2026'!Print_Area</vt:lpstr>
      <vt:lpstr>'05-16-2026'!Print_Area</vt:lpstr>
      <vt:lpstr>'05-18-2026'!Print_Area</vt:lpstr>
      <vt:lpstr>'05-19-2026'!Print_Area</vt:lpstr>
      <vt:lpstr>'05-20-2026'!Print_Area</vt:lpstr>
      <vt:lpstr>'05-21-2026'!Print_Area</vt:lpstr>
      <vt:lpstr>'05-22-2026'!Print_Area</vt:lpstr>
      <vt:lpstr>'05-23-2026'!Print_Area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  <vt:lpstr>'05-30-2026'!Print_Area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2026-02-16T13:13:00Z</cp:lastPrinted>
  <dcterms:created xsi:type="dcterms:W3CDTF">2024-08-17T08:07:00Z</dcterms:created>
  <dcterms:modified xsi:type="dcterms:W3CDTF">2026-05-30T00:45:27Z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