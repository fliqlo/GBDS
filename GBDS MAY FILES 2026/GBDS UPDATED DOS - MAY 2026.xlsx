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BBFF8DB-9BFE-46BE-85CA-969C2F0CEC56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5-12-2026" sheetId="200" r:id="rId1"/>
    <sheet name="05-19-2026 " sheetId="201" r:id="rId2"/>
    <sheet name="05-21-2026" sheetId="202" r:id="rId3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1" i="202" l="1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P16" i="202" l="1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<sst xmlns="http://schemas.openxmlformats.org/spreadsheetml/2006/main" count="423" uniqueCount="134">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</sst>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54419.040000000001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6426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1132554.96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60845.04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199368</v>
      </c>
      <c r="P73" s="231"/>
      <c r="Q73" s="232"/>
      <c r="R73" s="152"/>
      <c r="S73" s="159" t="s">
        <v>104</v>
      </c>
      <c r="T73" s="235">
        <f>SUM(Y12:Y68)</f>
        <v>54419.040000000001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199368</v>
      </c>
      <c r="P75" s="231"/>
      <c r="Q75" s="232"/>
      <c r="R75" s="152"/>
      <c r="S75" s="159" t="s">
        <v>129</v>
      </c>
      <c r="T75" s="235">
        <f>SUM(Z12:Z70)</f>
        <v>6426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947987.07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>
        <f>183996</f>
        <v>183996</v>
      </c>
      <c r="Q77" s="249"/>
      <c r="R77" s="152"/>
      <c r="S77" s="159" t="s">
        <v>108</v>
      </c>
      <c r="T77" s="235">
        <f>IF(SUM(X12:X68)*0.15&gt;P77,P77,SUM(X12:X68)*0.15)</f>
        <v>179010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>
        <f>414.48+9571.41</f>
        <v>9985.89</v>
      </c>
      <c r="Q79" s="249"/>
      <c r="R79" s="152"/>
      <c r="S79" s="159" t="s">
        <v>112</v>
      </c>
      <c r="T79" s="235">
        <f>T77+T73+T75</f>
        <v>239855.04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05-12-2026</vt:lpstr>
      <vt:lpstr>05-19-2026 </vt:lpstr>
      <vt:lpstr>05-21-2026</vt:lpstr>
      <vt:lpstr>'05-12-2026'!Print_Area</vt:lpstr>
      <vt:lpstr>'05-19-2026 '!Print_Area</vt:lpstr>
      <vt:lpstr>'05-21-2026'!Print_Area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2026-05-21T05:44:20Z</dcterms:modified>
</cp:coreProperties>
</file>