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MAY FILES 2026\"/>
    </mc:Choice>
  </mc:AlternateContent>
  <xr:revisionPtr revIDLastSave="0" documentId="13_ncr:1_{4B6F1D2D-1539-429C-B97B-B3B080DC6944}" xr6:coauthVersionLast="45" xr6:coauthVersionMax="47" xr10:uidLastSave="{00000000-0000-0000-0000-000000000000}"/>
  <bookViews>
    <workbookView xWindow="-120" yWindow="-120" windowWidth="29040" windowHeight="15840" activeTab="5" xr2:uid="{EAA847CC-C244-4239-B005-CBB8C204AC80}"/>
  </bookViews>
  <sheets>
    <sheet name="05-12-2026" sheetId="200" r:id="rId1"/>
    <sheet name="05-19-2026 " sheetId="201" r:id="rId2"/>
    <sheet name="05-21-2026" sheetId="202" r:id="rId3"/>
    <sheet name="05-25-2026" sheetId="203" r:id="rId4"/>
    <sheet name="05-26-2026" sheetId="204" r:id="rId5"/>
    <sheet name="05-27-2026" sheetId="205" r:id="rId6"/>
  </sheets>
  <definedNames>
    <definedName name="_xlnm.Print_Area" localSheetId="0">'05-12-2026'!$A$1:$V$97</definedName>
    <definedName name="_xlnm.Print_Area" localSheetId="1">'05-19-2026 '!$A$1:$V$97</definedName>
    <definedName name="_xlnm.Print_Area" localSheetId="2">'05-21-2026'!$A$1:$V$97</definedName>
    <definedName name="_xlnm.Print_Area" localSheetId="3">'05-25-2026'!$A$1:$V$97</definedName>
    <definedName name="_xlnm.Print_Area" localSheetId="4">'05-26-2026'!$A$1:$V$97</definedName>
    <definedName name="_xlnm.Print_Area" localSheetId="5">'05-27-2026'!$A$1:$V$97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0" i="205" l="1"/>
  <c r="H20" i="205" s="1"/>
  <c r="M79" i="205"/>
  <c r="P71" i="205"/>
  <c r="Q70" i="205"/>
  <c r="P70" i="205"/>
  <c r="H70" i="205"/>
  <c r="E70" i="205"/>
  <c r="I70" i="205" s="1"/>
  <c r="Q69" i="205"/>
  <c r="P69" i="205"/>
  <c r="H69" i="205"/>
  <c r="E69" i="205"/>
  <c r="I69" i="205" s="1"/>
  <c r="AD68" i="205"/>
  <c r="AC68" i="205"/>
  <c r="AB68" i="205"/>
  <c r="AE68" i="205" s="1"/>
  <c r="AI68" i="205" s="1"/>
  <c r="Y68" i="205" s="1"/>
  <c r="Z68" i="205"/>
  <c r="X68" i="205"/>
  <c r="Q68" i="205"/>
  <c r="P68" i="205"/>
  <c r="I68" i="205"/>
  <c r="H68" i="205"/>
  <c r="E68" i="205"/>
  <c r="AE67" i="205"/>
  <c r="AI67" i="205" s="1"/>
  <c r="Y67" i="205" s="1"/>
  <c r="AD67" i="205"/>
  <c r="AC67" i="205"/>
  <c r="AB67" i="205"/>
  <c r="Z67" i="205"/>
  <c r="X67" i="205"/>
  <c r="Q67" i="205"/>
  <c r="P67" i="205"/>
  <c r="I67" i="205"/>
  <c r="H67" i="205"/>
  <c r="E67" i="205"/>
  <c r="AE66" i="205"/>
  <c r="AI66" i="205" s="1"/>
  <c r="Y66" i="205" s="1"/>
  <c r="AD66" i="205"/>
  <c r="AC66" i="205"/>
  <c r="AB66" i="205"/>
  <c r="Z66" i="205"/>
  <c r="X66" i="205"/>
  <c r="Q66" i="205"/>
  <c r="P66" i="205"/>
  <c r="H66" i="205"/>
  <c r="E66" i="205"/>
  <c r="I66" i="205" s="1"/>
  <c r="AD65" i="205"/>
  <c r="AC65" i="205"/>
  <c r="AB65" i="205"/>
  <c r="AE65" i="205" s="1"/>
  <c r="AI65" i="205" s="1"/>
  <c r="Y65" i="205" s="1"/>
  <c r="Z65" i="205"/>
  <c r="X65" i="205"/>
  <c r="Q65" i="205"/>
  <c r="P65" i="205"/>
  <c r="H65" i="205"/>
  <c r="E65" i="205"/>
  <c r="I65" i="205" s="1"/>
  <c r="AD64" i="205"/>
  <c r="AE64" i="205" s="1"/>
  <c r="AI64" i="205" s="1"/>
  <c r="Y64" i="205" s="1"/>
  <c r="AC64" i="205"/>
  <c r="AB64" i="205"/>
  <c r="Z64" i="205"/>
  <c r="X64" i="205"/>
  <c r="Q64" i="205"/>
  <c r="P64" i="205"/>
  <c r="I64" i="205"/>
  <c r="H64" i="205"/>
  <c r="E64" i="205"/>
  <c r="AD63" i="205"/>
  <c r="AC63" i="205"/>
  <c r="AE63" i="205" s="1"/>
  <c r="AI63" i="205" s="1"/>
  <c r="Y63" i="205" s="1"/>
  <c r="AB63" i="205"/>
  <c r="Z63" i="205"/>
  <c r="X63" i="205"/>
  <c r="Q63" i="205"/>
  <c r="P63" i="205"/>
  <c r="I63" i="205"/>
  <c r="H63" i="205"/>
  <c r="E63" i="205"/>
  <c r="AI62" i="205"/>
  <c r="Y62" i="205" s="1"/>
  <c r="AE62" i="205"/>
  <c r="AD62" i="205"/>
  <c r="AC62" i="205"/>
  <c r="AB62" i="205"/>
  <c r="Z62" i="205"/>
  <c r="X62" i="205"/>
  <c r="Q62" i="205"/>
  <c r="P62" i="205"/>
  <c r="H62" i="205"/>
  <c r="E62" i="205"/>
  <c r="I62" i="205" s="1"/>
  <c r="AC61" i="205"/>
  <c r="AB61" i="205"/>
  <c r="AE61" i="205" s="1"/>
  <c r="AI61" i="205" s="1"/>
  <c r="Y61" i="205" s="1"/>
  <c r="X61" i="205"/>
  <c r="Q61" i="205"/>
  <c r="P61" i="205"/>
  <c r="H61" i="205"/>
  <c r="E61" i="205"/>
  <c r="I61" i="205" s="1"/>
  <c r="AI60" i="205"/>
  <c r="Y60" i="205" s="1"/>
  <c r="AE60" i="205"/>
  <c r="X60" i="205"/>
  <c r="Q60" i="205"/>
  <c r="P60" i="205"/>
  <c r="H60" i="205"/>
  <c r="E60" i="205"/>
  <c r="I60" i="205" s="1"/>
  <c r="AC59" i="205"/>
  <c r="AB59" i="205"/>
  <c r="AE59" i="205" s="1"/>
  <c r="AI59" i="205" s="1"/>
  <c r="Y59" i="205" s="1"/>
  <c r="X59" i="205"/>
  <c r="Q59" i="205"/>
  <c r="P59" i="205"/>
  <c r="I59" i="205"/>
  <c r="H59" i="205"/>
  <c r="E59" i="205"/>
  <c r="AE58" i="205"/>
  <c r="AI58" i="205" s="1"/>
  <c r="Y58" i="205" s="1"/>
  <c r="AC58" i="205"/>
  <c r="AB58" i="205"/>
  <c r="X58" i="205"/>
  <c r="Q58" i="205"/>
  <c r="P58" i="205"/>
  <c r="I58" i="205"/>
  <c r="E58" i="205"/>
  <c r="AC57" i="205"/>
  <c r="AE57" i="205" s="1"/>
  <c r="AI57" i="205" s="1"/>
  <c r="Y57" i="205" s="1"/>
  <c r="AB57" i="205"/>
  <c r="X57" i="205"/>
  <c r="Q57" i="205"/>
  <c r="P57" i="205"/>
  <c r="H57" i="205"/>
  <c r="E57" i="205"/>
  <c r="I57" i="205" s="1"/>
  <c r="AD56" i="205"/>
  <c r="AC56" i="205"/>
  <c r="AB56" i="205"/>
  <c r="AE56" i="205" s="1"/>
  <c r="AI56" i="205" s="1"/>
  <c r="Y56" i="205" s="1"/>
  <c r="Z56" i="205"/>
  <c r="X56" i="205"/>
  <c r="Q56" i="205"/>
  <c r="P56" i="205"/>
  <c r="H56" i="205"/>
  <c r="E56" i="205"/>
  <c r="I56" i="205" s="1"/>
  <c r="AD55" i="205"/>
  <c r="AC55" i="205"/>
  <c r="AE55" i="205" s="1"/>
  <c r="AI55" i="205" s="1"/>
  <c r="Y55" i="205" s="1"/>
  <c r="AB55" i="205"/>
  <c r="Z55" i="205"/>
  <c r="X55" i="205"/>
  <c r="Q55" i="205"/>
  <c r="P55" i="205"/>
  <c r="I55" i="205"/>
  <c r="H55" i="205"/>
  <c r="E55" i="205"/>
  <c r="AD54" i="205"/>
  <c r="AE54" i="205" s="1"/>
  <c r="AI54" i="205" s="1"/>
  <c r="Y54" i="205" s="1"/>
  <c r="AC54" i="205"/>
  <c r="AB54" i="205"/>
  <c r="Z54" i="205"/>
  <c r="X54" i="205"/>
  <c r="Q54" i="205"/>
  <c r="P54" i="205"/>
  <c r="H54" i="205"/>
  <c r="E54" i="205"/>
  <c r="I54" i="205" s="1"/>
  <c r="AD53" i="205"/>
  <c r="AC53" i="205"/>
  <c r="AB53" i="205"/>
  <c r="AE53" i="205" s="1"/>
  <c r="AI53" i="205" s="1"/>
  <c r="Y53" i="205" s="1"/>
  <c r="Z53" i="205"/>
  <c r="X53" i="205"/>
  <c r="Q53" i="205"/>
  <c r="P53" i="205"/>
  <c r="H53" i="205"/>
  <c r="E53" i="205"/>
  <c r="I53" i="205" s="1"/>
  <c r="AE52" i="205"/>
  <c r="AI52" i="205" s="1"/>
  <c r="Y52" i="205" s="1"/>
  <c r="Z52" i="205"/>
  <c r="X52" i="205"/>
  <c r="Q52" i="205"/>
  <c r="P52" i="205"/>
  <c r="I52" i="205"/>
  <c r="H52" i="205"/>
  <c r="E52" i="205"/>
  <c r="AE51" i="205"/>
  <c r="AI51" i="205" s="1"/>
  <c r="Y51" i="205" s="1"/>
  <c r="AD51" i="205"/>
  <c r="AC51" i="205"/>
  <c r="AB51" i="205"/>
  <c r="Z51" i="205"/>
  <c r="X51" i="205"/>
  <c r="Q51" i="205"/>
  <c r="P51" i="205"/>
  <c r="I51" i="205"/>
  <c r="H51" i="205"/>
  <c r="E51" i="205"/>
  <c r="AE50" i="205"/>
  <c r="AI50" i="205" s="1"/>
  <c r="Y50" i="205" s="1"/>
  <c r="AD50" i="205"/>
  <c r="AC50" i="205"/>
  <c r="AB50" i="205"/>
  <c r="Z50" i="205"/>
  <c r="X50" i="205"/>
  <c r="Q50" i="205"/>
  <c r="P50" i="205"/>
  <c r="H50" i="205"/>
  <c r="E50" i="205"/>
  <c r="I50" i="205" s="1"/>
  <c r="AI49" i="205"/>
  <c r="AE49" i="205"/>
  <c r="Z49" i="205"/>
  <c r="Y49" i="205"/>
  <c r="X49" i="205"/>
  <c r="Q49" i="205"/>
  <c r="P49" i="205"/>
  <c r="I49" i="205"/>
  <c r="H49" i="205"/>
  <c r="E49" i="205"/>
  <c r="AE48" i="205"/>
  <c r="AI48" i="205" s="1"/>
  <c r="Y48" i="205" s="1"/>
  <c r="Z48" i="205"/>
  <c r="X48" i="205"/>
  <c r="Q48" i="205"/>
  <c r="P48" i="205"/>
  <c r="H48" i="205"/>
  <c r="E48" i="205"/>
  <c r="I48" i="205" s="1"/>
  <c r="AI47" i="205"/>
  <c r="Y47" i="205" s="1"/>
  <c r="AE47" i="205"/>
  <c r="Z47" i="205"/>
  <c r="X47" i="205"/>
  <c r="Q47" i="205"/>
  <c r="P47" i="205"/>
  <c r="H47" i="205"/>
  <c r="E47" i="205"/>
  <c r="I47" i="205" s="1"/>
  <c r="AE46" i="205"/>
  <c r="AI46" i="205" s="1"/>
  <c r="Y46" i="205" s="1"/>
  <c r="AD46" i="205"/>
  <c r="AC46" i="205"/>
  <c r="AB46" i="205"/>
  <c r="Z46" i="205"/>
  <c r="X46" i="205"/>
  <c r="Q46" i="205"/>
  <c r="P46" i="205"/>
  <c r="I46" i="205"/>
  <c r="H46" i="205"/>
  <c r="E46" i="205"/>
  <c r="AD45" i="205"/>
  <c r="AC45" i="205"/>
  <c r="AB45" i="205"/>
  <c r="AE45" i="205" s="1"/>
  <c r="AI45" i="205" s="1"/>
  <c r="Y45" i="205" s="1"/>
  <c r="Z45" i="205"/>
  <c r="X45" i="205"/>
  <c r="Q45" i="205"/>
  <c r="P45" i="205"/>
  <c r="H45" i="205"/>
  <c r="E45" i="205"/>
  <c r="I45" i="205" s="1"/>
  <c r="AD44" i="205"/>
  <c r="AC44" i="205"/>
  <c r="AB44" i="205"/>
  <c r="AE44" i="205" s="1"/>
  <c r="AI44" i="205" s="1"/>
  <c r="Y44" i="205" s="1"/>
  <c r="Z44" i="205"/>
  <c r="X44" i="205"/>
  <c r="Q44" i="205"/>
  <c r="P44" i="205"/>
  <c r="H44" i="205"/>
  <c r="E44" i="205"/>
  <c r="I44" i="205" s="1"/>
  <c r="AD43" i="205"/>
  <c r="AC43" i="205"/>
  <c r="AE43" i="205" s="1"/>
  <c r="AI43" i="205" s="1"/>
  <c r="Y43" i="205" s="1"/>
  <c r="AB43" i="205"/>
  <c r="Z43" i="205"/>
  <c r="X43" i="205"/>
  <c r="Q43" i="205"/>
  <c r="P43" i="205"/>
  <c r="I43" i="205"/>
  <c r="H43" i="205"/>
  <c r="E43" i="205"/>
  <c r="AD42" i="205"/>
  <c r="AE42" i="205" s="1"/>
  <c r="AI42" i="205" s="1"/>
  <c r="Y42" i="205" s="1"/>
  <c r="AC42" i="205"/>
  <c r="AB42" i="205"/>
  <c r="Z42" i="205"/>
  <c r="X42" i="205"/>
  <c r="Q42" i="205"/>
  <c r="P42" i="205"/>
  <c r="H42" i="205"/>
  <c r="E42" i="205"/>
  <c r="I42" i="205" s="1"/>
  <c r="AD41" i="205"/>
  <c r="AC41" i="205"/>
  <c r="AB41" i="205"/>
  <c r="AE41" i="205" s="1"/>
  <c r="AI41" i="205" s="1"/>
  <c r="Y41" i="205" s="1"/>
  <c r="Z41" i="205"/>
  <c r="X41" i="205"/>
  <c r="Q41" i="205"/>
  <c r="P41" i="205"/>
  <c r="H41" i="205"/>
  <c r="E41" i="205"/>
  <c r="I41" i="205" s="1"/>
  <c r="AD40" i="205"/>
  <c r="AC40" i="205"/>
  <c r="AE40" i="205" s="1"/>
  <c r="AI40" i="205" s="1"/>
  <c r="Y40" i="205" s="1"/>
  <c r="AB40" i="205"/>
  <c r="Z40" i="205"/>
  <c r="X40" i="205"/>
  <c r="Q40" i="205"/>
  <c r="P40" i="205"/>
  <c r="H40" i="205"/>
  <c r="E40" i="205"/>
  <c r="I40" i="205" s="1"/>
  <c r="AD39" i="205"/>
  <c r="AC39" i="205"/>
  <c r="AB39" i="205"/>
  <c r="AE39" i="205" s="1"/>
  <c r="AI39" i="205" s="1"/>
  <c r="Y39" i="205" s="1"/>
  <c r="Z39" i="205"/>
  <c r="X39" i="205"/>
  <c r="Q39" i="205"/>
  <c r="P39" i="205"/>
  <c r="I39" i="205"/>
  <c r="H39" i="205"/>
  <c r="E39" i="205"/>
  <c r="AD38" i="205"/>
  <c r="AE38" i="205" s="1"/>
  <c r="AI38" i="205" s="1"/>
  <c r="Y38" i="205" s="1"/>
  <c r="AC38" i="205"/>
  <c r="AB38" i="205"/>
  <c r="Z38" i="205"/>
  <c r="X38" i="205"/>
  <c r="Q38" i="205"/>
  <c r="P38" i="205"/>
  <c r="I38" i="205"/>
  <c r="H38" i="205"/>
  <c r="E38" i="205"/>
  <c r="AE37" i="205"/>
  <c r="AI37" i="205" s="1"/>
  <c r="Y37" i="205" s="1"/>
  <c r="AD37" i="205"/>
  <c r="AC37" i="205"/>
  <c r="AB37" i="205"/>
  <c r="Z37" i="205"/>
  <c r="X37" i="205"/>
  <c r="Q37" i="205"/>
  <c r="P37" i="205"/>
  <c r="H37" i="205"/>
  <c r="E37" i="205"/>
  <c r="I37" i="205" s="1"/>
  <c r="AD36" i="205"/>
  <c r="AC36" i="205"/>
  <c r="AB36" i="205"/>
  <c r="AE36" i="205" s="1"/>
  <c r="AI36" i="205" s="1"/>
  <c r="Y36" i="205" s="1"/>
  <c r="Z36" i="205"/>
  <c r="X36" i="205"/>
  <c r="Q36" i="205"/>
  <c r="P36" i="205"/>
  <c r="H36" i="205"/>
  <c r="E36" i="205"/>
  <c r="I36" i="205" s="1"/>
  <c r="AD35" i="205"/>
  <c r="AE35" i="205" s="1"/>
  <c r="AI35" i="205" s="1"/>
  <c r="Y35" i="205" s="1"/>
  <c r="AC35" i="205"/>
  <c r="AB35" i="205"/>
  <c r="Z35" i="205"/>
  <c r="X35" i="205"/>
  <c r="Q35" i="205"/>
  <c r="P35" i="205"/>
  <c r="I35" i="205"/>
  <c r="H35" i="205"/>
  <c r="E35" i="205"/>
  <c r="AD34" i="205"/>
  <c r="AC34" i="205"/>
  <c r="AE34" i="205" s="1"/>
  <c r="AI34" i="205" s="1"/>
  <c r="Y34" i="205" s="1"/>
  <c r="AB34" i="205"/>
  <c r="Z34" i="205"/>
  <c r="X34" i="205"/>
  <c r="Q34" i="205"/>
  <c r="P34" i="205"/>
  <c r="I34" i="205"/>
  <c r="H34" i="205"/>
  <c r="E34" i="205"/>
  <c r="AE33" i="205"/>
  <c r="AI33" i="205" s="1"/>
  <c r="Y33" i="205" s="1"/>
  <c r="AD33" i="205"/>
  <c r="AC33" i="205"/>
  <c r="AB33" i="205"/>
  <c r="Z33" i="205"/>
  <c r="X33" i="205"/>
  <c r="Q33" i="205"/>
  <c r="P33" i="205"/>
  <c r="H33" i="205"/>
  <c r="E33" i="205"/>
  <c r="I33" i="205" s="1"/>
  <c r="AD32" i="205"/>
  <c r="AC32" i="205"/>
  <c r="AB32" i="205"/>
  <c r="AE32" i="205" s="1"/>
  <c r="AI32" i="205" s="1"/>
  <c r="Y32" i="205" s="1"/>
  <c r="Z32" i="205"/>
  <c r="X32" i="205"/>
  <c r="Q32" i="205"/>
  <c r="P32" i="205"/>
  <c r="I32" i="205"/>
  <c r="H32" i="205"/>
  <c r="E32" i="205"/>
  <c r="AE31" i="205"/>
  <c r="AI31" i="205" s="1"/>
  <c r="Y31" i="205" s="1"/>
  <c r="Z31" i="205"/>
  <c r="X31" i="205"/>
  <c r="Q31" i="205"/>
  <c r="P31" i="205"/>
  <c r="I31" i="205"/>
  <c r="H31" i="205"/>
  <c r="E31" i="205"/>
  <c r="AD30" i="205"/>
  <c r="AC30" i="205"/>
  <c r="AB30" i="205"/>
  <c r="AE30" i="205" s="1"/>
  <c r="AI30" i="205" s="1"/>
  <c r="Y30" i="205" s="1"/>
  <c r="Z30" i="205"/>
  <c r="X30" i="205"/>
  <c r="Q30" i="205"/>
  <c r="P30" i="205"/>
  <c r="H30" i="205"/>
  <c r="E30" i="205"/>
  <c r="I30" i="205" s="1"/>
  <c r="AD29" i="205"/>
  <c r="AC29" i="205"/>
  <c r="AE29" i="205" s="1"/>
  <c r="AI29" i="205" s="1"/>
  <c r="Y29" i="205" s="1"/>
  <c r="AB29" i="205"/>
  <c r="Z29" i="205"/>
  <c r="X29" i="205"/>
  <c r="Q29" i="205"/>
  <c r="P29" i="205"/>
  <c r="H29" i="205"/>
  <c r="E29" i="205"/>
  <c r="I29" i="205" s="1"/>
  <c r="AD28" i="205"/>
  <c r="AC28" i="205"/>
  <c r="AE28" i="205" s="1"/>
  <c r="AI28" i="205" s="1"/>
  <c r="Y28" i="205" s="1"/>
  <c r="AB28" i="205"/>
  <c r="Z28" i="205"/>
  <c r="X28" i="205"/>
  <c r="Q28" i="205"/>
  <c r="P28" i="205"/>
  <c r="I28" i="205"/>
  <c r="H28" i="205"/>
  <c r="E28" i="205"/>
  <c r="AD27" i="205"/>
  <c r="AE27" i="205" s="1"/>
  <c r="AI27" i="205" s="1"/>
  <c r="Y27" i="205" s="1"/>
  <c r="AC27" i="205"/>
  <c r="AB27" i="205"/>
  <c r="Z27" i="205"/>
  <c r="X27" i="205"/>
  <c r="Q27" i="205"/>
  <c r="P27" i="205"/>
  <c r="H27" i="205"/>
  <c r="E27" i="205"/>
  <c r="I27" i="205" s="1"/>
  <c r="AD26" i="205"/>
  <c r="AC26" i="205"/>
  <c r="AB26" i="205"/>
  <c r="AE26" i="205" s="1"/>
  <c r="AI26" i="205" s="1"/>
  <c r="Y26" i="205" s="1"/>
  <c r="Z26" i="205"/>
  <c r="X26" i="205"/>
  <c r="Q26" i="205"/>
  <c r="P26" i="205"/>
  <c r="H26" i="205"/>
  <c r="E26" i="205"/>
  <c r="I26" i="205" s="1"/>
  <c r="AD25" i="205"/>
  <c r="AC25" i="205"/>
  <c r="AE25" i="205" s="1"/>
  <c r="AI25" i="205" s="1"/>
  <c r="Y25" i="205" s="1"/>
  <c r="AB25" i="205"/>
  <c r="Z25" i="205"/>
  <c r="X25" i="205"/>
  <c r="Q25" i="205"/>
  <c r="P25" i="205"/>
  <c r="H25" i="205"/>
  <c r="E25" i="205"/>
  <c r="I25" i="205" s="1"/>
  <c r="AD24" i="205"/>
  <c r="AC24" i="205"/>
  <c r="AB24" i="205"/>
  <c r="AE24" i="205" s="1"/>
  <c r="AI24" i="205" s="1"/>
  <c r="Y24" i="205" s="1"/>
  <c r="Z24" i="205"/>
  <c r="X24" i="205"/>
  <c r="Q24" i="205"/>
  <c r="P24" i="205"/>
  <c r="I24" i="205"/>
  <c r="H24" i="205"/>
  <c r="E24" i="205"/>
  <c r="AD23" i="205"/>
  <c r="AE23" i="205" s="1"/>
  <c r="AI23" i="205" s="1"/>
  <c r="Y23" i="205" s="1"/>
  <c r="AC23" i="205"/>
  <c r="AB23" i="205"/>
  <c r="Z23" i="205"/>
  <c r="X23" i="205"/>
  <c r="Q23" i="205"/>
  <c r="P23" i="205"/>
  <c r="I23" i="205"/>
  <c r="H23" i="205"/>
  <c r="E23" i="205"/>
  <c r="AE22" i="205"/>
  <c r="AI22" i="205" s="1"/>
  <c r="Y22" i="205" s="1"/>
  <c r="AD22" i="205"/>
  <c r="AC22" i="205"/>
  <c r="AB22" i="205"/>
  <c r="Z22" i="205"/>
  <c r="X22" i="205"/>
  <c r="Q22" i="205"/>
  <c r="P22" i="205"/>
  <c r="H22" i="205"/>
  <c r="E22" i="205"/>
  <c r="I22" i="205" s="1"/>
  <c r="AD21" i="205"/>
  <c r="AC21" i="205"/>
  <c r="AB21" i="205"/>
  <c r="AE21" i="205" s="1"/>
  <c r="AI21" i="205" s="1"/>
  <c r="Y21" i="205" s="1"/>
  <c r="Z21" i="205"/>
  <c r="X21" i="205"/>
  <c r="Q21" i="205"/>
  <c r="P21" i="205"/>
  <c r="H21" i="205"/>
  <c r="E21" i="205"/>
  <c r="I21" i="205" s="1"/>
  <c r="AD20" i="205"/>
  <c r="AE20" i="205" s="1"/>
  <c r="AI20" i="205" s="1"/>
  <c r="AC20" i="205"/>
  <c r="AB20" i="205"/>
  <c r="Z20" i="205"/>
  <c r="Q20" i="205"/>
  <c r="P20" i="205"/>
  <c r="I20" i="205"/>
  <c r="E20" i="205"/>
  <c r="AD19" i="205"/>
  <c r="AC19" i="205"/>
  <c r="AB19" i="205"/>
  <c r="AE19" i="205" s="1"/>
  <c r="AI19" i="205" s="1"/>
  <c r="Y19" i="205" s="1"/>
  <c r="Z19" i="205"/>
  <c r="X19" i="205"/>
  <c r="Q19" i="205"/>
  <c r="P19" i="205"/>
  <c r="I19" i="205"/>
  <c r="H19" i="205"/>
  <c r="E19" i="205"/>
  <c r="AE18" i="205"/>
  <c r="AI18" i="205" s="1"/>
  <c r="Y18" i="205" s="1"/>
  <c r="AD18" i="205"/>
  <c r="AC18" i="205"/>
  <c r="AB18" i="205"/>
  <c r="Z18" i="205"/>
  <c r="X18" i="205"/>
  <c r="Q18" i="205"/>
  <c r="P18" i="205"/>
  <c r="H18" i="205"/>
  <c r="E18" i="205"/>
  <c r="I18" i="205" s="1"/>
  <c r="AD17" i="205"/>
  <c r="AC17" i="205"/>
  <c r="AB17" i="205"/>
  <c r="AE17" i="205" s="1"/>
  <c r="AI17" i="205" s="1"/>
  <c r="Y17" i="205" s="1"/>
  <c r="Z17" i="205"/>
  <c r="X17" i="205"/>
  <c r="Q17" i="205"/>
  <c r="P17" i="205"/>
  <c r="I17" i="205"/>
  <c r="H17" i="205"/>
  <c r="E17" i="205"/>
  <c r="AD16" i="205"/>
  <c r="AC16" i="205"/>
  <c r="AB16" i="205"/>
  <c r="AE16" i="205" s="1"/>
  <c r="AI16" i="205" s="1"/>
  <c r="Y16" i="205" s="1"/>
  <c r="Z16" i="205"/>
  <c r="X16" i="205"/>
  <c r="Q16" i="205"/>
  <c r="P16" i="205"/>
  <c r="I16" i="205"/>
  <c r="E16" i="205"/>
  <c r="AD15" i="205"/>
  <c r="AE15" i="205" s="1"/>
  <c r="AI15" i="205" s="1"/>
  <c r="Y15" i="205" s="1"/>
  <c r="AC15" i="205"/>
  <c r="AB15" i="205"/>
  <c r="Z15" i="205"/>
  <c r="X15" i="205"/>
  <c r="Q15" i="205"/>
  <c r="P15" i="205"/>
  <c r="E15" i="205"/>
  <c r="I15" i="205" s="1"/>
  <c r="AD14" i="205"/>
  <c r="AC14" i="205"/>
  <c r="AB14" i="205"/>
  <c r="AE14" i="205" s="1"/>
  <c r="AI14" i="205" s="1"/>
  <c r="Y14" i="205" s="1"/>
  <c r="Z14" i="205"/>
  <c r="X14" i="205"/>
  <c r="Q14" i="205"/>
  <c r="P14" i="205"/>
  <c r="I14" i="205"/>
  <c r="H14" i="205"/>
  <c r="E14" i="205"/>
  <c r="AD13" i="205"/>
  <c r="AE13" i="205" s="1"/>
  <c r="AI13" i="205" s="1"/>
  <c r="Y13" i="205" s="1"/>
  <c r="AC13" i="205"/>
  <c r="AB13" i="205"/>
  <c r="Z13" i="205"/>
  <c r="X13" i="205"/>
  <c r="Q13" i="205"/>
  <c r="P13" i="205"/>
  <c r="H13" i="205"/>
  <c r="E13" i="205"/>
  <c r="I13" i="205" s="1"/>
  <c r="AD12" i="205"/>
  <c r="AC12" i="205"/>
  <c r="AB12" i="205"/>
  <c r="AE12" i="205" s="1"/>
  <c r="AI12" i="205" s="1"/>
  <c r="Y12" i="205" s="1"/>
  <c r="Z12" i="205"/>
  <c r="X12" i="205"/>
  <c r="Q12" i="205"/>
  <c r="P12" i="205"/>
  <c r="I12" i="205"/>
  <c r="H12" i="205"/>
  <c r="E12" i="205"/>
  <c r="T75" i="205" l="1"/>
  <c r="X20" i="205"/>
  <c r="T77" i="205" s="1"/>
  <c r="Y20" i="205"/>
  <c r="T73" i="205" s="1"/>
  <c r="H71" i="205"/>
  <c r="O75" i="205"/>
  <c r="O73" i="205"/>
  <c r="F73" i="205"/>
  <c r="F75" i="205"/>
  <c r="N13" i="204"/>
  <c r="M79" i="204"/>
  <c r="H71" i="204"/>
  <c r="Q70" i="204"/>
  <c r="P70" i="204"/>
  <c r="H70" i="204"/>
  <c r="E70" i="204"/>
  <c r="I70" i="204" s="1"/>
  <c r="Q69" i="204"/>
  <c r="P69" i="204"/>
  <c r="I69" i="204"/>
  <c r="H69" i="204"/>
  <c r="E69" i="204"/>
  <c r="AD68" i="204"/>
  <c r="AC68" i="204"/>
  <c r="AB68" i="204"/>
  <c r="AE68" i="204" s="1"/>
  <c r="AI68" i="204" s="1"/>
  <c r="Y68" i="204" s="1"/>
  <c r="Z68" i="204"/>
  <c r="X68" i="204"/>
  <c r="Q68" i="204"/>
  <c r="P68" i="204"/>
  <c r="I68" i="204"/>
  <c r="H68" i="204"/>
  <c r="E68" i="204"/>
  <c r="AI67" i="204"/>
  <c r="Y67" i="204" s="1"/>
  <c r="AE67" i="204"/>
  <c r="AD67" i="204"/>
  <c r="AC67" i="204"/>
  <c r="AB67" i="204"/>
  <c r="Z67" i="204"/>
  <c r="X67" i="204"/>
  <c r="Q67" i="204"/>
  <c r="P67" i="204"/>
  <c r="H67" i="204"/>
  <c r="E67" i="204"/>
  <c r="I67" i="204" s="1"/>
  <c r="AE66" i="204"/>
  <c r="AI66" i="204" s="1"/>
  <c r="Y66" i="204" s="1"/>
  <c r="AD66" i="204"/>
  <c r="AC66" i="204"/>
  <c r="AB66" i="204"/>
  <c r="Z66" i="204"/>
  <c r="X66" i="204"/>
  <c r="Q66" i="204"/>
  <c r="P66" i="204"/>
  <c r="H66" i="204"/>
  <c r="E66" i="204"/>
  <c r="I66" i="204" s="1"/>
  <c r="AE65" i="204"/>
  <c r="AI65" i="204" s="1"/>
  <c r="Y65" i="204" s="1"/>
  <c r="AD65" i="204"/>
  <c r="AC65" i="204"/>
  <c r="AB65" i="204"/>
  <c r="Z65" i="204"/>
  <c r="X65" i="204"/>
  <c r="Q65" i="204"/>
  <c r="P65" i="204"/>
  <c r="H65" i="204"/>
  <c r="E65" i="204"/>
  <c r="I65" i="204" s="1"/>
  <c r="AD64" i="204"/>
  <c r="AC64" i="204"/>
  <c r="AB64" i="204"/>
  <c r="AE64" i="204" s="1"/>
  <c r="AI64" i="204" s="1"/>
  <c r="Y64" i="204" s="1"/>
  <c r="Z64" i="204"/>
  <c r="X64" i="204"/>
  <c r="Q64" i="204"/>
  <c r="P64" i="204"/>
  <c r="H64" i="204"/>
  <c r="E64" i="204"/>
  <c r="I64" i="204" s="1"/>
  <c r="AE63" i="204"/>
  <c r="AI63" i="204" s="1"/>
  <c r="Y63" i="204" s="1"/>
  <c r="AD63" i="204"/>
  <c r="AC63" i="204"/>
  <c r="AB63" i="204"/>
  <c r="Z63" i="204"/>
  <c r="X63" i="204"/>
  <c r="Q63" i="204"/>
  <c r="P63" i="204"/>
  <c r="H63" i="204"/>
  <c r="E63" i="204"/>
  <c r="I63" i="204" s="1"/>
  <c r="AD62" i="204"/>
  <c r="AC62" i="204"/>
  <c r="AB62" i="204"/>
  <c r="AE62" i="204" s="1"/>
  <c r="AI62" i="204" s="1"/>
  <c r="Y62" i="204" s="1"/>
  <c r="Z62" i="204"/>
  <c r="X62" i="204"/>
  <c r="Q62" i="204"/>
  <c r="P62" i="204"/>
  <c r="I62" i="204"/>
  <c r="H62" i="204"/>
  <c r="E62" i="204"/>
  <c r="AC61" i="204"/>
  <c r="AE61" i="204" s="1"/>
  <c r="AI61" i="204" s="1"/>
  <c r="Y61" i="204" s="1"/>
  <c r="AB61" i="204"/>
  <c r="X61" i="204"/>
  <c r="Q61" i="204"/>
  <c r="P61" i="204"/>
  <c r="H61" i="204"/>
  <c r="E61" i="204"/>
  <c r="I61" i="204" s="1"/>
  <c r="AI60" i="204"/>
  <c r="AE60" i="204"/>
  <c r="Y60" i="204"/>
  <c r="X60" i="204"/>
  <c r="Q60" i="204"/>
  <c r="P60" i="204"/>
  <c r="I60" i="204"/>
  <c r="H60" i="204"/>
  <c r="E60" i="204"/>
  <c r="AC59" i="204"/>
  <c r="AB59" i="204"/>
  <c r="AE59" i="204" s="1"/>
  <c r="AI59" i="204" s="1"/>
  <c r="Y59" i="204" s="1"/>
  <c r="X59" i="204"/>
  <c r="Q59" i="204"/>
  <c r="P59" i="204"/>
  <c r="H59" i="204"/>
  <c r="E59" i="204"/>
  <c r="I59" i="204" s="1"/>
  <c r="AE58" i="204"/>
  <c r="AI58" i="204" s="1"/>
  <c r="Y58" i="204" s="1"/>
  <c r="AC58" i="204"/>
  <c r="AB58" i="204"/>
  <c r="X58" i="204"/>
  <c r="Q58" i="204"/>
  <c r="P58" i="204"/>
  <c r="I58" i="204"/>
  <c r="E58" i="204"/>
  <c r="AC57" i="204"/>
  <c r="AE57" i="204" s="1"/>
  <c r="AI57" i="204" s="1"/>
  <c r="Y57" i="204" s="1"/>
  <c r="AB57" i="204"/>
  <c r="X57" i="204"/>
  <c r="Q57" i="204"/>
  <c r="P57" i="204"/>
  <c r="I57" i="204"/>
  <c r="H57" i="204"/>
  <c r="E57" i="204"/>
  <c r="AD56" i="204"/>
  <c r="AC56" i="204"/>
  <c r="AE56" i="204" s="1"/>
  <c r="AI56" i="204" s="1"/>
  <c r="Y56" i="204" s="1"/>
  <c r="AB56" i="204"/>
  <c r="Z56" i="204"/>
  <c r="X56" i="204"/>
  <c r="Q56" i="204"/>
  <c r="P56" i="204"/>
  <c r="H56" i="204"/>
  <c r="E56" i="204"/>
  <c r="I56" i="204" s="1"/>
  <c r="AE55" i="204"/>
  <c r="AI55" i="204" s="1"/>
  <c r="Y55" i="204" s="1"/>
  <c r="AD55" i="204"/>
  <c r="AC55" i="204"/>
  <c r="AB55" i="204"/>
  <c r="Z55" i="204"/>
  <c r="X55" i="204"/>
  <c r="Q55" i="204"/>
  <c r="P55" i="204"/>
  <c r="H55" i="204"/>
  <c r="E55" i="204"/>
  <c r="I55" i="204" s="1"/>
  <c r="AD54" i="204"/>
  <c r="AE54" i="204" s="1"/>
  <c r="AI54" i="204" s="1"/>
  <c r="Y54" i="204" s="1"/>
  <c r="AC54" i="204"/>
  <c r="AB54" i="204"/>
  <c r="Z54" i="204"/>
  <c r="X54" i="204"/>
  <c r="Q54" i="204"/>
  <c r="P54" i="204"/>
  <c r="H54" i="204"/>
  <c r="E54" i="204"/>
  <c r="I54" i="204" s="1"/>
  <c r="AD53" i="204"/>
  <c r="AC53" i="204"/>
  <c r="AB53" i="204"/>
  <c r="AE53" i="204" s="1"/>
  <c r="AI53" i="204" s="1"/>
  <c r="Y53" i="204" s="1"/>
  <c r="Z53" i="204"/>
  <c r="X53" i="204"/>
  <c r="Q53" i="204"/>
  <c r="P53" i="204"/>
  <c r="H53" i="204"/>
  <c r="E53" i="204"/>
  <c r="I53" i="204" s="1"/>
  <c r="AE52" i="204"/>
  <c r="AI52" i="204" s="1"/>
  <c r="Y52" i="204" s="1"/>
  <c r="Z52" i="204"/>
  <c r="X52" i="204"/>
  <c r="Q52" i="204"/>
  <c r="P52" i="204"/>
  <c r="I52" i="204"/>
  <c r="H52" i="204"/>
  <c r="E52" i="204"/>
  <c r="AD51" i="204"/>
  <c r="AC51" i="204"/>
  <c r="AB51" i="204"/>
  <c r="AE51" i="204" s="1"/>
  <c r="AI51" i="204" s="1"/>
  <c r="Y51" i="204" s="1"/>
  <c r="Z51" i="204"/>
  <c r="X51" i="204"/>
  <c r="Q51" i="204"/>
  <c r="P51" i="204"/>
  <c r="H51" i="204"/>
  <c r="E51" i="204"/>
  <c r="I51" i="204" s="1"/>
  <c r="AE50" i="204"/>
  <c r="AI50" i="204" s="1"/>
  <c r="Y50" i="204" s="1"/>
  <c r="AD50" i="204"/>
  <c r="AC50" i="204"/>
  <c r="AB50" i="204"/>
  <c r="Z50" i="204"/>
  <c r="X50" i="204"/>
  <c r="Q50" i="204"/>
  <c r="P50" i="204"/>
  <c r="H50" i="204"/>
  <c r="E50" i="204"/>
  <c r="I50" i="204" s="1"/>
  <c r="AE49" i="204"/>
  <c r="AI49" i="204" s="1"/>
  <c r="Y49" i="204" s="1"/>
  <c r="Z49" i="204"/>
  <c r="X49" i="204"/>
  <c r="Q49" i="204"/>
  <c r="P49" i="204"/>
  <c r="H49" i="204"/>
  <c r="E49" i="204"/>
  <c r="I49" i="204" s="1"/>
  <c r="AE48" i="204"/>
  <c r="AI48" i="204" s="1"/>
  <c r="Y48" i="204" s="1"/>
  <c r="Z48" i="204"/>
  <c r="X48" i="204"/>
  <c r="Q48" i="204"/>
  <c r="P48" i="204"/>
  <c r="I48" i="204"/>
  <c r="H48" i="204"/>
  <c r="E48" i="204"/>
  <c r="AI47" i="204"/>
  <c r="Y47" i="204" s="1"/>
  <c r="AE47" i="204"/>
  <c r="Z47" i="204"/>
  <c r="X47" i="204"/>
  <c r="Q47" i="204"/>
  <c r="P47" i="204"/>
  <c r="I47" i="204"/>
  <c r="H47" i="204"/>
  <c r="E47" i="204"/>
  <c r="AD46" i="204"/>
  <c r="AC46" i="204"/>
  <c r="AB46" i="204"/>
  <c r="AE46" i="204" s="1"/>
  <c r="AI46" i="204" s="1"/>
  <c r="Y46" i="204" s="1"/>
  <c r="Z46" i="204"/>
  <c r="X46" i="204"/>
  <c r="Q46" i="204"/>
  <c r="P46" i="204"/>
  <c r="I46" i="204"/>
  <c r="H46" i="204"/>
  <c r="E46" i="204"/>
  <c r="AD45" i="204"/>
  <c r="AC45" i="204"/>
  <c r="AB45" i="204"/>
  <c r="AE45" i="204" s="1"/>
  <c r="AI45" i="204" s="1"/>
  <c r="Y45" i="204" s="1"/>
  <c r="Z45" i="204"/>
  <c r="X45" i="204"/>
  <c r="Q45" i="204"/>
  <c r="P45" i="204"/>
  <c r="I45" i="204"/>
  <c r="H45" i="204"/>
  <c r="E45" i="204"/>
  <c r="AD44" i="204"/>
  <c r="AC44" i="204"/>
  <c r="AE44" i="204" s="1"/>
  <c r="AI44" i="204" s="1"/>
  <c r="Y44" i="204" s="1"/>
  <c r="AB44" i="204"/>
  <c r="Z44" i="204"/>
  <c r="X44" i="204"/>
  <c r="Q44" i="204"/>
  <c r="P44" i="204"/>
  <c r="H44" i="204"/>
  <c r="E44" i="204"/>
  <c r="I44" i="204" s="1"/>
  <c r="AE43" i="204"/>
  <c r="AI43" i="204" s="1"/>
  <c r="Y43" i="204" s="1"/>
  <c r="AD43" i="204"/>
  <c r="AC43" i="204"/>
  <c r="AB43" i="204"/>
  <c r="Z43" i="204"/>
  <c r="X43" i="204"/>
  <c r="Q43" i="204"/>
  <c r="P43" i="204"/>
  <c r="H43" i="204"/>
  <c r="E43" i="204"/>
  <c r="I43" i="204" s="1"/>
  <c r="AD42" i="204"/>
  <c r="AC42" i="204"/>
  <c r="AB42" i="204"/>
  <c r="AE42" i="204" s="1"/>
  <c r="AI42" i="204" s="1"/>
  <c r="Y42" i="204" s="1"/>
  <c r="Z42" i="204"/>
  <c r="X42" i="204"/>
  <c r="Q42" i="204"/>
  <c r="P42" i="204"/>
  <c r="H42" i="204"/>
  <c r="E42" i="204"/>
  <c r="I42" i="204" s="1"/>
  <c r="AD41" i="204"/>
  <c r="AC41" i="204"/>
  <c r="AB41" i="204"/>
  <c r="AE41" i="204" s="1"/>
  <c r="AI41" i="204" s="1"/>
  <c r="Y41" i="204" s="1"/>
  <c r="Z41" i="204"/>
  <c r="X41" i="204"/>
  <c r="Q41" i="204"/>
  <c r="P41" i="204"/>
  <c r="H41" i="204"/>
  <c r="E41" i="204"/>
  <c r="I41" i="204" s="1"/>
  <c r="AD40" i="204"/>
  <c r="AC40" i="204"/>
  <c r="AE40" i="204" s="1"/>
  <c r="AI40" i="204" s="1"/>
  <c r="Y40" i="204" s="1"/>
  <c r="AB40" i="204"/>
  <c r="Z40" i="204"/>
  <c r="X40" i="204"/>
  <c r="Q40" i="204"/>
  <c r="P40" i="204"/>
  <c r="I40" i="204"/>
  <c r="H40" i="204"/>
  <c r="E40" i="204"/>
  <c r="AD39" i="204"/>
  <c r="AE39" i="204" s="1"/>
  <c r="AI39" i="204" s="1"/>
  <c r="Y39" i="204" s="1"/>
  <c r="AC39" i="204"/>
  <c r="AB39" i="204"/>
  <c r="Z39" i="204"/>
  <c r="X39" i="204"/>
  <c r="Q39" i="204"/>
  <c r="P39" i="204"/>
  <c r="I39" i="204"/>
  <c r="H39" i="204"/>
  <c r="E39" i="204"/>
  <c r="AD38" i="204"/>
  <c r="AC38" i="204"/>
  <c r="AB38" i="204"/>
  <c r="AE38" i="204" s="1"/>
  <c r="AI38" i="204" s="1"/>
  <c r="Y38" i="204" s="1"/>
  <c r="Z38" i="204"/>
  <c r="X38" i="204"/>
  <c r="Q38" i="204"/>
  <c r="P38" i="204"/>
  <c r="H38" i="204"/>
  <c r="E38" i="204"/>
  <c r="I38" i="204" s="1"/>
  <c r="AD37" i="204"/>
  <c r="AC37" i="204"/>
  <c r="AE37" i="204" s="1"/>
  <c r="AI37" i="204" s="1"/>
  <c r="Y37" i="204" s="1"/>
  <c r="AB37" i="204"/>
  <c r="Z37" i="204"/>
  <c r="X37" i="204"/>
  <c r="Q37" i="204"/>
  <c r="P37" i="204"/>
  <c r="H37" i="204"/>
  <c r="E37" i="204"/>
  <c r="I37" i="204" s="1"/>
  <c r="AE36" i="204"/>
  <c r="AI36" i="204" s="1"/>
  <c r="Y36" i="204" s="1"/>
  <c r="AD36" i="204"/>
  <c r="AC36" i="204"/>
  <c r="AB36" i="204"/>
  <c r="Z36" i="204"/>
  <c r="X36" i="204"/>
  <c r="Q36" i="204"/>
  <c r="P36" i="204"/>
  <c r="I36" i="204"/>
  <c r="H36" i="204"/>
  <c r="E36" i="204"/>
  <c r="AD35" i="204"/>
  <c r="AC35" i="204"/>
  <c r="AB35" i="204"/>
  <c r="AE35" i="204" s="1"/>
  <c r="AI35" i="204" s="1"/>
  <c r="Y35" i="204" s="1"/>
  <c r="Z35" i="204"/>
  <c r="X35" i="204"/>
  <c r="Q35" i="204"/>
  <c r="P35" i="204"/>
  <c r="H35" i="204"/>
  <c r="E35" i="204"/>
  <c r="I35" i="204" s="1"/>
  <c r="AE34" i="204"/>
  <c r="AI34" i="204" s="1"/>
  <c r="Y34" i="204" s="1"/>
  <c r="AD34" i="204"/>
  <c r="AC34" i="204"/>
  <c r="AB34" i="204"/>
  <c r="Z34" i="204"/>
  <c r="X34" i="204"/>
  <c r="Q34" i="204"/>
  <c r="P34" i="204"/>
  <c r="H34" i="204"/>
  <c r="E34" i="204"/>
  <c r="I34" i="204" s="1"/>
  <c r="AD33" i="204"/>
  <c r="AC33" i="204"/>
  <c r="AB33" i="204"/>
  <c r="AE33" i="204" s="1"/>
  <c r="AI33" i="204" s="1"/>
  <c r="Y33" i="204" s="1"/>
  <c r="Z33" i="204"/>
  <c r="X33" i="204"/>
  <c r="Q33" i="204"/>
  <c r="P33" i="204"/>
  <c r="I33" i="204"/>
  <c r="H33" i="204"/>
  <c r="E33" i="204"/>
  <c r="AD32" i="204"/>
  <c r="AC32" i="204"/>
  <c r="AB32" i="204"/>
  <c r="AE32" i="204" s="1"/>
  <c r="AI32" i="204" s="1"/>
  <c r="Y32" i="204" s="1"/>
  <c r="Z32" i="204"/>
  <c r="X32" i="204"/>
  <c r="Q32" i="204"/>
  <c r="P32" i="204"/>
  <c r="I32" i="204"/>
  <c r="H32" i="204"/>
  <c r="E32" i="204"/>
  <c r="AI31" i="204"/>
  <c r="Y31" i="204" s="1"/>
  <c r="AE31" i="204"/>
  <c r="Z31" i="204"/>
  <c r="X31" i="204"/>
  <c r="Q31" i="204"/>
  <c r="P31" i="204"/>
  <c r="I31" i="204"/>
  <c r="H31" i="204"/>
  <c r="E31" i="204"/>
  <c r="AD30" i="204"/>
  <c r="AC30" i="204"/>
  <c r="AB30" i="204"/>
  <c r="AE30" i="204" s="1"/>
  <c r="AI30" i="204" s="1"/>
  <c r="Y30" i="204" s="1"/>
  <c r="Z30" i="204"/>
  <c r="X30" i="204"/>
  <c r="Q30" i="204"/>
  <c r="P30" i="204"/>
  <c r="I30" i="204"/>
  <c r="H30" i="204"/>
  <c r="E30" i="204"/>
  <c r="AD29" i="204"/>
  <c r="AC29" i="204"/>
  <c r="AE29" i="204" s="1"/>
  <c r="AI29" i="204" s="1"/>
  <c r="Y29" i="204" s="1"/>
  <c r="AB29" i="204"/>
  <c r="Z29" i="204"/>
  <c r="X29" i="204"/>
  <c r="Q29" i="204"/>
  <c r="P29" i="204"/>
  <c r="H29" i="204"/>
  <c r="E29" i="204"/>
  <c r="I29" i="204" s="1"/>
  <c r="AE28" i="204"/>
  <c r="AI28" i="204" s="1"/>
  <c r="Y28" i="204" s="1"/>
  <c r="AD28" i="204"/>
  <c r="AC28" i="204"/>
  <c r="AB28" i="204"/>
  <c r="Z28" i="204"/>
  <c r="X28" i="204"/>
  <c r="Q28" i="204"/>
  <c r="P28" i="204"/>
  <c r="H28" i="204"/>
  <c r="E28" i="204"/>
  <c r="I28" i="204" s="1"/>
  <c r="AD27" i="204"/>
  <c r="AC27" i="204"/>
  <c r="AB27" i="204"/>
  <c r="AE27" i="204" s="1"/>
  <c r="AI27" i="204" s="1"/>
  <c r="Y27" i="204" s="1"/>
  <c r="Z27" i="204"/>
  <c r="X27" i="204"/>
  <c r="Q27" i="204"/>
  <c r="P27" i="204"/>
  <c r="H27" i="204"/>
  <c r="E27" i="204"/>
  <c r="I27" i="204" s="1"/>
  <c r="AD26" i="204"/>
  <c r="AC26" i="204"/>
  <c r="AB26" i="204"/>
  <c r="AE26" i="204" s="1"/>
  <c r="AI26" i="204" s="1"/>
  <c r="Y26" i="204" s="1"/>
  <c r="Z26" i="204"/>
  <c r="X26" i="204"/>
  <c r="Q26" i="204"/>
  <c r="P26" i="204"/>
  <c r="H26" i="204"/>
  <c r="E26" i="204"/>
  <c r="I26" i="204" s="1"/>
  <c r="AD25" i="204"/>
  <c r="AC25" i="204"/>
  <c r="AE25" i="204" s="1"/>
  <c r="AI25" i="204" s="1"/>
  <c r="Y25" i="204" s="1"/>
  <c r="AB25" i="204"/>
  <c r="Z25" i="204"/>
  <c r="X25" i="204"/>
  <c r="Q25" i="204"/>
  <c r="P25" i="204"/>
  <c r="I25" i="204"/>
  <c r="H25" i="204"/>
  <c r="E25" i="204"/>
  <c r="AD24" i="204"/>
  <c r="AE24" i="204" s="1"/>
  <c r="AI24" i="204" s="1"/>
  <c r="Y24" i="204" s="1"/>
  <c r="AC24" i="204"/>
  <c r="AB24" i="204"/>
  <c r="Z24" i="204"/>
  <c r="X24" i="204"/>
  <c r="Q24" i="204"/>
  <c r="P24" i="204"/>
  <c r="I24" i="204"/>
  <c r="H24" i="204"/>
  <c r="E24" i="204"/>
  <c r="AD23" i="204"/>
  <c r="AC23" i="204"/>
  <c r="AB23" i="204"/>
  <c r="AE23" i="204" s="1"/>
  <c r="AI23" i="204" s="1"/>
  <c r="Y23" i="204" s="1"/>
  <c r="Z23" i="204"/>
  <c r="X23" i="204"/>
  <c r="Q23" i="204"/>
  <c r="P23" i="204"/>
  <c r="H23" i="204"/>
  <c r="E23" i="204"/>
  <c r="I23" i="204" s="1"/>
  <c r="AE22" i="204"/>
  <c r="AI22" i="204" s="1"/>
  <c r="Y22" i="204" s="1"/>
  <c r="AD22" i="204"/>
  <c r="AC22" i="204"/>
  <c r="AB22" i="204"/>
  <c r="Z22" i="204"/>
  <c r="X22" i="204"/>
  <c r="Q22" i="204"/>
  <c r="P22" i="204"/>
  <c r="H22" i="204"/>
  <c r="E22" i="204"/>
  <c r="I22" i="204" s="1"/>
  <c r="AE21" i="204"/>
  <c r="AI21" i="204" s="1"/>
  <c r="Y21" i="204" s="1"/>
  <c r="AD21" i="204"/>
  <c r="AC21" i="204"/>
  <c r="AB21" i="204"/>
  <c r="Z21" i="204"/>
  <c r="X21" i="204"/>
  <c r="Q21" i="204"/>
  <c r="P21" i="204"/>
  <c r="I21" i="204"/>
  <c r="H21" i="204"/>
  <c r="E21" i="204"/>
  <c r="AD20" i="204"/>
  <c r="AC20" i="204"/>
  <c r="AB20" i="204"/>
  <c r="AE20" i="204" s="1"/>
  <c r="AI20" i="204" s="1"/>
  <c r="Y20" i="204" s="1"/>
  <c r="Z20" i="204"/>
  <c r="X20" i="204"/>
  <c r="Q20" i="204"/>
  <c r="P20" i="204"/>
  <c r="I20" i="204"/>
  <c r="H20" i="204"/>
  <c r="E20" i="204"/>
  <c r="AD19" i="204"/>
  <c r="AC19" i="204"/>
  <c r="AB19" i="204"/>
  <c r="AE19" i="204" s="1"/>
  <c r="AI19" i="204" s="1"/>
  <c r="Y19" i="204" s="1"/>
  <c r="Z19" i="204"/>
  <c r="X19" i="204"/>
  <c r="Q19" i="204"/>
  <c r="P19" i="204"/>
  <c r="I19" i="204"/>
  <c r="H19" i="204"/>
  <c r="E19" i="204"/>
  <c r="AD18" i="204"/>
  <c r="AC18" i="204"/>
  <c r="AE18" i="204" s="1"/>
  <c r="AI18" i="204" s="1"/>
  <c r="Y18" i="204" s="1"/>
  <c r="AB18" i="204"/>
  <c r="Z18" i="204"/>
  <c r="X18" i="204"/>
  <c r="Q18" i="204"/>
  <c r="P18" i="204"/>
  <c r="H18" i="204"/>
  <c r="E18" i="204"/>
  <c r="I18" i="204" s="1"/>
  <c r="AE17" i="204"/>
  <c r="AI17" i="204" s="1"/>
  <c r="Y17" i="204" s="1"/>
  <c r="AD17" i="204"/>
  <c r="AC17" i="204"/>
  <c r="AB17" i="204"/>
  <c r="Z17" i="204"/>
  <c r="X17" i="204"/>
  <c r="Q17" i="204"/>
  <c r="P17" i="204"/>
  <c r="H17" i="204"/>
  <c r="E17" i="204"/>
  <c r="I17" i="204" s="1"/>
  <c r="AD16" i="204"/>
  <c r="AC16" i="204"/>
  <c r="AB16" i="204"/>
  <c r="AE16" i="204" s="1"/>
  <c r="AI16" i="204" s="1"/>
  <c r="Y16" i="204" s="1"/>
  <c r="Z16" i="204"/>
  <c r="X16" i="204"/>
  <c r="Q16" i="204"/>
  <c r="P16" i="204"/>
  <c r="E16" i="204"/>
  <c r="I16" i="204" s="1"/>
  <c r="AD15" i="204"/>
  <c r="AC15" i="204"/>
  <c r="AB15" i="204"/>
  <c r="AE15" i="204" s="1"/>
  <c r="AI15" i="204" s="1"/>
  <c r="Y15" i="204" s="1"/>
  <c r="Z15" i="204"/>
  <c r="X15" i="204"/>
  <c r="Q15" i="204"/>
  <c r="P15" i="204"/>
  <c r="E15" i="204"/>
  <c r="I15" i="204" s="1"/>
  <c r="AE14" i="204"/>
  <c r="AI14" i="204" s="1"/>
  <c r="Y14" i="204" s="1"/>
  <c r="AD14" i="204"/>
  <c r="AC14" i="204"/>
  <c r="AB14" i="204"/>
  <c r="Z14" i="204"/>
  <c r="X14" i="204"/>
  <c r="Q14" i="204"/>
  <c r="P14" i="204"/>
  <c r="H14" i="204"/>
  <c r="E14" i="204"/>
  <c r="I14" i="204" s="1"/>
  <c r="AD13" i="204"/>
  <c r="AC13" i="204"/>
  <c r="AE13" i="204" s="1"/>
  <c r="AI13" i="204" s="1"/>
  <c r="Y13" i="204" s="1"/>
  <c r="AB13" i="204"/>
  <c r="Z13" i="204"/>
  <c r="X13" i="204"/>
  <c r="P13" i="204"/>
  <c r="P71" i="204"/>
  <c r="I13" i="204"/>
  <c r="H13" i="204"/>
  <c r="E13" i="204"/>
  <c r="AD12" i="204"/>
  <c r="AC12" i="204"/>
  <c r="AB12" i="204"/>
  <c r="AE12" i="204" s="1"/>
  <c r="AI12" i="204" s="1"/>
  <c r="Y12" i="204" s="1"/>
  <c r="Z12" i="204"/>
  <c r="X12" i="204"/>
  <c r="Q12" i="204"/>
  <c r="P12" i="204"/>
  <c r="H12" i="204"/>
  <c r="E12" i="204"/>
  <c r="I12" i="204" s="1"/>
  <c r="T79" i="205" l="1"/>
  <c r="F77" i="205" s="1"/>
  <c r="T77" i="204"/>
  <c r="T75" i="204"/>
  <c r="O75" i="204"/>
  <c r="F73" i="204"/>
  <c r="F75" i="204"/>
  <c r="T73" i="204"/>
  <c r="Q13" i="204"/>
  <c r="O73" i="204" s="1"/>
  <c r="M14" i="203"/>
  <c r="Q14" i="203" s="1"/>
  <c r="M13" i="203"/>
  <c r="Q13" i="203" s="1"/>
  <c r="M20" i="203"/>
  <c r="P71" i="203" s="1"/>
  <c r="M79" i="203"/>
  <c r="H71" i="203"/>
  <c r="Q70" i="203"/>
  <c r="P70" i="203"/>
  <c r="I70" i="203"/>
  <c r="H70" i="203"/>
  <c r="E70" i="203"/>
  <c r="Q69" i="203"/>
  <c r="P69" i="203"/>
  <c r="I69" i="203"/>
  <c r="H69" i="203"/>
  <c r="E69" i="203"/>
  <c r="AD68" i="203"/>
  <c r="AC68" i="203"/>
  <c r="AB68" i="203"/>
  <c r="AE68" i="203" s="1"/>
  <c r="AI68" i="203" s="1"/>
  <c r="Y68" i="203" s="1"/>
  <c r="Z68" i="203"/>
  <c r="X68" i="203"/>
  <c r="Q68" i="203"/>
  <c r="P68" i="203"/>
  <c r="I68" i="203"/>
  <c r="H68" i="203"/>
  <c r="E68" i="203"/>
  <c r="AD67" i="203"/>
  <c r="AC67" i="203"/>
  <c r="AE67" i="203" s="1"/>
  <c r="AI67" i="203" s="1"/>
  <c r="Y67" i="203" s="1"/>
  <c r="AB67" i="203"/>
  <c r="Z67" i="203"/>
  <c r="X67" i="203"/>
  <c r="Q67" i="203"/>
  <c r="P67" i="203"/>
  <c r="I67" i="203"/>
  <c r="H67" i="203"/>
  <c r="E67" i="203"/>
  <c r="AD66" i="203"/>
  <c r="AC66" i="203"/>
  <c r="AE66" i="203" s="1"/>
  <c r="AI66" i="203" s="1"/>
  <c r="Y66" i="203" s="1"/>
  <c r="AB66" i="203"/>
  <c r="Z66" i="203"/>
  <c r="X66" i="203"/>
  <c r="Q66" i="203"/>
  <c r="P66" i="203"/>
  <c r="I66" i="203"/>
  <c r="H66" i="203"/>
  <c r="E66" i="203"/>
  <c r="AE65" i="203"/>
  <c r="AI65" i="203" s="1"/>
  <c r="Y65" i="203" s="1"/>
  <c r="AD65" i="203"/>
  <c r="AC65" i="203"/>
  <c r="AB65" i="203"/>
  <c r="Z65" i="203"/>
  <c r="X65" i="203"/>
  <c r="Q65" i="203"/>
  <c r="P65" i="203"/>
  <c r="H65" i="203"/>
  <c r="E65" i="203"/>
  <c r="I65" i="203" s="1"/>
  <c r="AD64" i="203"/>
  <c r="AC64" i="203"/>
  <c r="AB64" i="203"/>
  <c r="AE64" i="203" s="1"/>
  <c r="AI64" i="203" s="1"/>
  <c r="Y64" i="203" s="1"/>
  <c r="Z64" i="203"/>
  <c r="X64" i="203"/>
  <c r="Q64" i="203"/>
  <c r="P64" i="203"/>
  <c r="H64" i="203"/>
  <c r="E64" i="203"/>
  <c r="I64" i="203" s="1"/>
  <c r="AE63" i="203"/>
  <c r="AI63" i="203" s="1"/>
  <c r="Y63" i="203" s="1"/>
  <c r="AD63" i="203"/>
  <c r="AC63" i="203"/>
  <c r="AB63" i="203"/>
  <c r="Z63" i="203"/>
  <c r="X63" i="203"/>
  <c r="Q63" i="203"/>
  <c r="P63" i="203"/>
  <c r="H63" i="203"/>
  <c r="E63" i="203"/>
  <c r="I63" i="203" s="1"/>
  <c r="AD62" i="203"/>
  <c r="AC62" i="203"/>
  <c r="AB62" i="203"/>
  <c r="AE62" i="203" s="1"/>
  <c r="AI62" i="203" s="1"/>
  <c r="Y62" i="203" s="1"/>
  <c r="Z62" i="203"/>
  <c r="X62" i="203"/>
  <c r="Q62" i="203"/>
  <c r="P62" i="203"/>
  <c r="I62" i="203"/>
  <c r="H62" i="203"/>
  <c r="E62" i="203"/>
  <c r="AC61" i="203"/>
  <c r="AE61" i="203" s="1"/>
  <c r="AI61" i="203" s="1"/>
  <c r="Y61" i="203" s="1"/>
  <c r="AB61" i="203"/>
  <c r="X61" i="203"/>
  <c r="Q61" i="203"/>
  <c r="P61" i="203"/>
  <c r="H61" i="203"/>
  <c r="E61" i="203"/>
  <c r="I61" i="203" s="1"/>
  <c r="AE60" i="203"/>
  <c r="AI60" i="203" s="1"/>
  <c r="Y60" i="203" s="1"/>
  <c r="X60" i="203"/>
  <c r="Q60" i="203"/>
  <c r="P60" i="203"/>
  <c r="I60" i="203"/>
  <c r="H60" i="203"/>
  <c r="E60" i="203"/>
  <c r="AC59" i="203"/>
  <c r="AB59" i="203"/>
  <c r="AE59" i="203" s="1"/>
  <c r="AI59" i="203" s="1"/>
  <c r="Y59" i="203" s="1"/>
  <c r="X59" i="203"/>
  <c r="Q59" i="203"/>
  <c r="P59" i="203"/>
  <c r="I59" i="203"/>
  <c r="H59" i="203"/>
  <c r="E59" i="203"/>
  <c r="AC58" i="203"/>
  <c r="AB58" i="203"/>
  <c r="AE58" i="203" s="1"/>
  <c r="AI58" i="203" s="1"/>
  <c r="Y58" i="203" s="1"/>
  <c r="X58" i="203"/>
  <c r="Q58" i="203"/>
  <c r="P58" i="203"/>
  <c r="I58" i="203"/>
  <c r="E58" i="203"/>
  <c r="AC57" i="203"/>
  <c r="AB57" i="203"/>
  <c r="AE57" i="203" s="1"/>
  <c r="AI57" i="203" s="1"/>
  <c r="Y57" i="203" s="1"/>
  <c r="X57" i="203"/>
  <c r="Q57" i="203"/>
  <c r="P57" i="203"/>
  <c r="I57" i="203"/>
  <c r="H57" i="203"/>
  <c r="E57" i="203"/>
  <c r="AD56" i="203"/>
  <c r="AC56" i="203"/>
  <c r="AE56" i="203" s="1"/>
  <c r="AI56" i="203" s="1"/>
  <c r="Y56" i="203" s="1"/>
  <c r="AB56" i="203"/>
  <c r="Z56" i="203"/>
  <c r="X56" i="203"/>
  <c r="Q56" i="203"/>
  <c r="P56" i="203"/>
  <c r="H56" i="203"/>
  <c r="E56" i="203"/>
  <c r="I56" i="203" s="1"/>
  <c r="AE55" i="203"/>
  <c r="AI55" i="203" s="1"/>
  <c r="Y55" i="203" s="1"/>
  <c r="AD55" i="203"/>
  <c r="AC55" i="203"/>
  <c r="AB55" i="203"/>
  <c r="Z55" i="203"/>
  <c r="X55" i="203"/>
  <c r="Q55" i="203"/>
  <c r="P55" i="203"/>
  <c r="H55" i="203"/>
  <c r="E55" i="203"/>
  <c r="I55" i="203" s="1"/>
  <c r="AD54" i="203"/>
  <c r="AC54" i="203"/>
  <c r="AB54" i="203"/>
  <c r="AE54" i="203" s="1"/>
  <c r="AI54" i="203" s="1"/>
  <c r="Y54" i="203" s="1"/>
  <c r="Z54" i="203"/>
  <c r="X54" i="203"/>
  <c r="Q54" i="203"/>
  <c r="P54" i="203"/>
  <c r="H54" i="203"/>
  <c r="E54" i="203"/>
  <c r="I54" i="203" s="1"/>
  <c r="AD53" i="203"/>
  <c r="AC53" i="203"/>
  <c r="AB53" i="203"/>
  <c r="AE53" i="203" s="1"/>
  <c r="AI53" i="203" s="1"/>
  <c r="Y53" i="203" s="1"/>
  <c r="Z53" i="203"/>
  <c r="X53" i="203"/>
  <c r="Q53" i="203"/>
  <c r="P53" i="203"/>
  <c r="H53" i="203"/>
  <c r="E53" i="203"/>
  <c r="I53" i="203" s="1"/>
  <c r="AE52" i="203"/>
  <c r="AI52" i="203" s="1"/>
  <c r="Y52" i="203" s="1"/>
  <c r="Z52" i="203"/>
  <c r="X52" i="203"/>
  <c r="Q52" i="203"/>
  <c r="P52" i="203"/>
  <c r="I52" i="203"/>
  <c r="H52" i="203"/>
  <c r="E52" i="203"/>
  <c r="AD51" i="203"/>
  <c r="AC51" i="203"/>
  <c r="AB51" i="203"/>
  <c r="AE51" i="203" s="1"/>
  <c r="AI51" i="203" s="1"/>
  <c r="Y51" i="203" s="1"/>
  <c r="Z51" i="203"/>
  <c r="X51" i="203"/>
  <c r="Q51" i="203"/>
  <c r="P51" i="203"/>
  <c r="I51" i="203"/>
  <c r="H51" i="203"/>
  <c r="E51" i="203"/>
  <c r="AD50" i="203"/>
  <c r="AC50" i="203"/>
  <c r="AE50" i="203" s="1"/>
  <c r="AI50" i="203" s="1"/>
  <c r="Y50" i="203" s="1"/>
  <c r="AB50" i="203"/>
  <c r="Z50" i="203"/>
  <c r="X50" i="203"/>
  <c r="Q50" i="203"/>
  <c r="P50" i="203"/>
  <c r="I50" i="203"/>
  <c r="H50" i="203"/>
  <c r="E50" i="203"/>
  <c r="AE49" i="203"/>
  <c r="AI49" i="203" s="1"/>
  <c r="Y49" i="203" s="1"/>
  <c r="Z49" i="203"/>
  <c r="X49" i="203"/>
  <c r="Q49" i="203"/>
  <c r="P49" i="203"/>
  <c r="H49" i="203"/>
  <c r="E49" i="203"/>
  <c r="I49" i="203" s="1"/>
  <c r="AE48" i="203"/>
  <c r="AI48" i="203" s="1"/>
  <c r="Y48" i="203" s="1"/>
  <c r="Z48" i="203"/>
  <c r="X48" i="203"/>
  <c r="Q48" i="203"/>
  <c r="P48" i="203"/>
  <c r="I48" i="203"/>
  <c r="H48" i="203"/>
  <c r="E48" i="203"/>
  <c r="AI47" i="203"/>
  <c r="Y47" i="203" s="1"/>
  <c r="AE47" i="203"/>
  <c r="Z47" i="203"/>
  <c r="X47" i="203"/>
  <c r="Q47" i="203"/>
  <c r="P47" i="203"/>
  <c r="I47" i="203"/>
  <c r="H47" i="203"/>
  <c r="E47" i="203"/>
  <c r="AD46" i="203"/>
  <c r="AC46" i="203"/>
  <c r="AB46" i="203"/>
  <c r="AE46" i="203" s="1"/>
  <c r="AI46" i="203" s="1"/>
  <c r="Y46" i="203" s="1"/>
  <c r="Z46" i="203"/>
  <c r="X46" i="203"/>
  <c r="Q46" i="203"/>
  <c r="P46" i="203"/>
  <c r="H46" i="203"/>
  <c r="E46" i="203"/>
  <c r="I46" i="203" s="1"/>
  <c r="AD45" i="203"/>
  <c r="AC45" i="203"/>
  <c r="AE45" i="203" s="1"/>
  <c r="AI45" i="203" s="1"/>
  <c r="Y45" i="203" s="1"/>
  <c r="AB45" i="203"/>
  <c r="Z45" i="203"/>
  <c r="X45" i="203"/>
  <c r="Q45" i="203"/>
  <c r="P45" i="203"/>
  <c r="I45" i="203"/>
  <c r="H45" i="203"/>
  <c r="E45" i="203"/>
  <c r="AD44" i="203"/>
  <c r="AC44" i="203"/>
  <c r="AE44" i="203" s="1"/>
  <c r="AI44" i="203" s="1"/>
  <c r="Y44" i="203" s="1"/>
  <c r="AB44" i="203"/>
  <c r="Z44" i="203"/>
  <c r="X44" i="203"/>
  <c r="Q44" i="203"/>
  <c r="P44" i="203"/>
  <c r="H44" i="203"/>
  <c r="E44" i="203"/>
  <c r="I44" i="203" s="1"/>
  <c r="AE43" i="203"/>
  <c r="AI43" i="203" s="1"/>
  <c r="Y43" i="203" s="1"/>
  <c r="AD43" i="203"/>
  <c r="AC43" i="203"/>
  <c r="AB43" i="203"/>
  <c r="Z43" i="203"/>
  <c r="X43" i="203"/>
  <c r="Q43" i="203"/>
  <c r="P43" i="203"/>
  <c r="H43" i="203"/>
  <c r="E43" i="203"/>
  <c r="I43" i="203" s="1"/>
  <c r="AD42" i="203"/>
  <c r="AC42" i="203"/>
  <c r="AB42" i="203"/>
  <c r="AE42" i="203" s="1"/>
  <c r="AI42" i="203" s="1"/>
  <c r="Y42" i="203" s="1"/>
  <c r="Z42" i="203"/>
  <c r="X42" i="203"/>
  <c r="Q42" i="203"/>
  <c r="P42" i="203"/>
  <c r="H42" i="203"/>
  <c r="E42" i="203"/>
  <c r="I42" i="203" s="1"/>
  <c r="AD41" i="203"/>
  <c r="AC41" i="203"/>
  <c r="AB41" i="203"/>
  <c r="AE41" i="203" s="1"/>
  <c r="AI41" i="203" s="1"/>
  <c r="Y41" i="203" s="1"/>
  <c r="Z41" i="203"/>
  <c r="X41" i="203"/>
  <c r="Q41" i="203"/>
  <c r="P41" i="203"/>
  <c r="H41" i="203"/>
  <c r="E41" i="203"/>
  <c r="I41" i="203" s="1"/>
  <c r="AD40" i="203"/>
  <c r="AC40" i="203"/>
  <c r="AB40" i="203"/>
  <c r="AE40" i="203" s="1"/>
  <c r="AI40" i="203" s="1"/>
  <c r="Y40" i="203" s="1"/>
  <c r="Z40" i="203"/>
  <c r="X40" i="203"/>
  <c r="Q40" i="203"/>
  <c r="P40" i="203"/>
  <c r="I40" i="203"/>
  <c r="H40" i="203"/>
  <c r="E40" i="203"/>
  <c r="AD39" i="203"/>
  <c r="AC39" i="203"/>
  <c r="AB39" i="203"/>
  <c r="AE39" i="203" s="1"/>
  <c r="AI39" i="203" s="1"/>
  <c r="Y39" i="203" s="1"/>
  <c r="Z39" i="203"/>
  <c r="X39" i="203"/>
  <c r="Q39" i="203"/>
  <c r="P39" i="203"/>
  <c r="I39" i="203"/>
  <c r="H39" i="203"/>
  <c r="E39" i="203"/>
  <c r="AD38" i="203"/>
  <c r="AC38" i="203"/>
  <c r="AB38" i="203"/>
  <c r="AE38" i="203" s="1"/>
  <c r="AI38" i="203" s="1"/>
  <c r="Y38" i="203" s="1"/>
  <c r="Z38" i="203"/>
  <c r="X38" i="203"/>
  <c r="Q38" i="203"/>
  <c r="P38" i="203"/>
  <c r="I38" i="203"/>
  <c r="H38" i="203"/>
  <c r="E38" i="203"/>
  <c r="AD37" i="203"/>
  <c r="AC37" i="203"/>
  <c r="AE37" i="203" s="1"/>
  <c r="AI37" i="203" s="1"/>
  <c r="Y37" i="203" s="1"/>
  <c r="AB37" i="203"/>
  <c r="Z37" i="203"/>
  <c r="X37" i="203"/>
  <c r="Q37" i="203"/>
  <c r="P37" i="203"/>
  <c r="I37" i="203"/>
  <c r="H37" i="203"/>
  <c r="E37" i="203"/>
  <c r="AD36" i="203"/>
  <c r="AC36" i="203"/>
  <c r="AB36" i="203"/>
  <c r="AE36" i="203" s="1"/>
  <c r="AI36" i="203" s="1"/>
  <c r="Y36" i="203" s="1"/>
  <c r="Z36" i="203"/>
  <c r="X36" i="203"/>
  <c r="Q36" i="203"/>
  <c r="P36" i="203"/>
  <c r="I36" i="203"/>
  <c r="H36" i="203"/>
  <c r="E36" i="203"/>
  <c r="AD35" i="203"/>
  <c r="AC35" i="203"/>
  <c r="AB35" i="203"/>
  <c r="AE35" i="203" s="1"/>
  <c r="AI35" i="203" s="1"/>
  <c r="Y35" i="203" s="1"/>
  <c r="Z35" i="203"/>
  <c r="X35" i="203"/>
  <c r="Q35" i="203"/>
  <c r="P35" i="203"/>
  <c r="H35" i="203"/>
  <c r="E35" i="203"/>
  <c r="I35" i="203" s="1"/>
  <c r="AE34" i="203"/>
  <c r="AI34" i="203" s="1"/>
  <c r="Y34" i="203" s="1"/>
  <c r="AD34" i="203"/>
  <c r="AC34" i="203"/>
  <c r="AB34" i="203"/>
  <c r="Z34" i="203"/>
  <c r="X34" i="203"/>
  <c r="Q34" i="203"/>
  <c r="P34" i="203"/>
  <c r="H34" i="203"/>
  <c r="E34" i="203"/>
  <c r="I34" i="203" s="1"/>
  <c r="AD33" i="203"/>
  <c r="AC33" i="203"/>
  <c r="AB33" i="203"/>
  <c r="AE33" i="203" s="1"/>
  <c r="AI33" i="203" s="1"/>
  <c r="Y33" i="203" s="1"/>
  <c r="Z33" i="203"/>
  <c r="X33" i="203"/>
  <c r="Q33" i="203"/>
  <c r="P33" i="203"/>
  <c r="I33" i="203"/>
  <c r="H33" i="203"/>
  <c r="E33" i="203"/>
  <c r="AD32" i="203"/>
  <c r="AE32" i="203" s="1"/>
  <c r="AI32" i="203" s="1"/>
  <c r="Y32" i="203" s="1"/>
  <c r="AC32" i="203"/>
  <c r="AB32" i="203"/>
  <c r="Z32" i="203"/>
  <c r="X32" i="203"/>
  <c r="Q32" i="203"/>
  <c r="P32" i="203"/>
  <c r="I32" i="203"/>
  <c r="H32" i="203"/>
  <c r="E32" i="203"/>
  <c r="AI31" i="203"/>
  <c r="AE31" i="203"/>
  <c r="Z31" i="203"/>
  <c r="Y31" i="203"/>
  <c r="X31" i="203"/>
  <c r="Q31" i="203"/>
  <c r="P31" i="203"/>
  <c r="H31" i="203"/>
  <c r="E31" i="203"/>
  <c r="I31" i="203" s="1"/>
  <c r="AD30" i="203"/>
  <c r="AC30" i="203"/>
  <c r="AB30" i="203"/>
  <c r="AE30" i="203" s="1"/>
  <c r="AI30" i="203" s="1"/>
  <c r="Y30" i="203" s="1"/>
  <c r="Z30" i="203"/>
  <c r="X30" i="203"/>
  <c r="Q30" i="203"/>
  <c r="P30" i="203"/>
  <c r="I30" i="203"/>
  <c r="H30" i="203"/>
  <c r="E30" i="203"/>
  <c r="AD29" i="203"/>
  <c r="AC29" i="203"/>
  <c r="AE29" i="203" s="1"/>
  <c r="AI29" i="203" s="1"/>
  <c r="Y29" i="203" s="1"/>
  <c r="AB29" i="203"/>
  <c r="Z29" i="203"/>
  <c r="X29" i="203"/>
  <c r="Q29" i="203"/>
  <c r="P29" i="203"/>
  <c r="H29" i="203"/>
  <c r="E29" i="203"/>
  <c r="I29" i="203" s="1"/>
  <c r="AE28" i="203"/>
  <c r="AI28" i="203" s="1"/>
  <c r="Y28" i="203" s="1"/>
  <c r="AD28" i="203"/>
  <c r="AC28" i="203"/>
  <c r="AB28" i="203"/>
  <c r="Z28" i="203"/>
  <c r="X28" i="203"/>
  <c r="Q28" i="203"/>
  <c r="P28" i="203"/>
  <c r="H28" i="203"/>
  <c r="E28" i="203"/>
  <c r="I28" i="203" s="1"/>
  <c r="AD27" i="203"/>
  <c r="AC27" i="203"/>
  <c r="AB27" i="203"/>
  <c r="AE27" i="203" s="1"/>
  <c r="AI27" i="203" s="1"/>
  <c r="Y27" i="203" s="1"/>
  <c r="Z27" i="203"/>
  <c r="X27" i="203"/>
  <c r="Q27" i="203"/>
  <c r="P27" i="203"/>
  <c r="H27" i="203"/>
  <c r="E27" i="203"/>
  <c r="I27" i="203" s="1"/>
  <c r="AD26" i="203"/>
  <c r="AC26" i="203"/>
  <c r="AB26" i="203"/>
  <c r="AE26" i="203" s="1"/>
  <c r="AI26" i="203" s="1"/>
  <c r="Y26" i="203" s="1"/>
  <c r="Z26" i="203"/>
  <c r="X26" i="203"/>
  <c r="Q26" i="203"/>
  <c r="P26" i="203"/>
  <c r="H26" i="203"/>
  <c r="E26" i="203"/>
  <c r="I26" i="203" s="1"/>
  <c r="AD25" i="203"/>
  <c r="AC25" i="203"/>
  <c r="AB25" i="203"/>
  <c r="AE25" i="203" s="1"/>
  <c r="AI25" i="203" s="1"/>
  <c r="Y25" i="203" s="1"/>
  <c r="Z25" i="203"/>
  <c r="X25" i="203"/>
  <c r="Q25" i="203"/>
  <c r="P25" i="203"/>
  <c r="I25" i="203"/>
  <c r="H25" i="203"/>
  <c r="E25" i="203"/>
  <c r="AD24" i="203"/>
  <c r="AC24" i="203"/>
  <c r="AB24" i="203"/>
  <c r="AE24" i="203" s="1"/>
  <c r="AI24" i="203" s="1"/>
  <c r="Y24" i="203" s="1"/>
  <c r="Z24" i="203"/>
  <c r="X24" i="203"/>
  <c r="Q24" i="203"/>
  <c r="P24" i="203"/>
  <c r="I24" i="203"/>
  <c r="H24" i="203"/>
  <c r="E24" i="203"/>
  <c r="AD23" i="203"/>
  <c r="AC23" i="203"/>
  <c r="AE23" i="203" s="1"/>
  <c r="AI23" i="203" s="1"/>
  <c r="Y23" i="203" s="1"/>
  <c r="AB23" i="203"/>
  <c r="Z23" i="203"/>
  <c r="X23" i="203"/>
  <c r="Q23" i="203"/>
  <c r="P23" i="203"/>
  <c r="I23" i="203"/>
  <c r="H23" i="203"/>
  <c r="E23" i="203"/>
  <c r="AD22" i="203"/>
  <c r="AC22" i="203"/>
  <c r="AE22" i="203" s="1"/>
  <c r="AI22" i="203" s="1"/>
  <c r="Y22" i="203" s="1"/>
  <c r="AB22" i="203"/>
  <c r="Z22" i="203"/>
  <c r="X22" i="203"/>
  <c r="Q22" i="203"/>
  <c r="P22" i="203"/>
  <c r="I22" i="203"/>
  <c r="H22" i="203"/>
  <c r="E22" i="203"/>
  <c r="AD21" i="203"/>
  <c r="AC21" i="203"/>
  <c r="AB21" i="203"/>
  <c r="AE21" i="203" s="1"/>
  <c r="AI21" i="203" s="1"/>
  <c r="Y21" i="203" s="1"/>
  <c r="Z21" i="203"/>
  <c r="X21" i="203"/>
  <c r="Q21" i="203"/>
  <c r="P21" i="203"/>
  <c r="H21" i="203"/>
  <c r="E21" i="203"/>
  <c r="I21" i="203" s="1"/>
  <c r="AD20" i="203"/>
  <c r="AC20" i="203"/>
  <c r="AB20" i="203"/>
  <c r="AE20" i="203" s="1"/>
  <c r="AI20" i="203" s="1"/>
  <c r="Y20" i="203" s="1"/>
  <c r="Z20" i="203"/>
  <c r="X20" i="203"/>
  <c r="P20" i="203"/>
  <c r="H20" i="203"/>
  <c r="E20" i="203"/>
  <c r="I20" i="203" s="1"/>
  <c r="AE19" i="203"/>
  <c r="AI19" i="203" s="1"/>
  <c r="Y19" i="203" s="1"/>
  <c r="AD19" i="203"/>
  <c r="AC19" i="203"/>
  <c r="AB19" i="203"/>
  <c r="Z19" i="203"/>
  <c r="X19" i="203"/>
  <c r="Q19" i="203"/>
  <c r="P19" i="203"/>
  <c r="H19" i="203"/>
  <c r="E19" i="203"/>
  <c r="I19" i="203" s="1"/>
  <c r="AD18" i="203"/>
  <c r="AC18" i="203"/>
  <c r="AB18" i="203"/>
  <c r="AE18" i="203" s="1"/>
  <c r="AI18" i="203" s="1"/>
  <c r="Y18" i="203" s="1"/>
  <c r="Z18" i="203"/>
  <c r="X18" i="203"/>
  <c r="Q18" i="203"/>
  <c r="P18" i="203"/>
  <c r="H18" i="203"/>
  <c r="E18" i="203"/>
  <c r="I18" i="203" s="1"/>
  <c r="AD17" i="203"/>
  <c r="AE17" i="203" s="1"/>
  <c r="AI17" i="203" s="1"/>
  <c r="Y17" i="203" s="1"/>
  <c r="AC17" i="203"/>
  <c r="AB17" i="203"/>
  <c r="Z17" i="203"/>
  <c r="X17" i="203"/>
  <c r="Q17" i="203"/>
  <c r="P17" i="203"/>
  <c r="H17" i="203"/>
  <c r="E17" i="203"/>
  <c r="I17" i="203" s="1"/>
  <c r="AD16" i="203"/>
  <c r="AC16" i="203"/>
  <c r="AB16" i="203"/>
  <c r="AE16" i="203" s="1"/>
  <c r="AI16" i="203" s="1"/>
  <c r="Y16" i="203" s="1"/>
  <c r="Z16" i="203"/>
  <c r="X16" i="203"/>
  <c r="Q16" i="203"/>
  <c r="P16" i="203"/>
  <c r="I16" i="203"/>
  <c r="E16" i="203"/>
  <c r="AD15" i="203"/>
  <c r="AC15" i="203"/>
  <c r="AB15" i="203"/>
  <c r="AE15" i="203" s="1"/>
  <c r="AI15" i="203" s="1"/>
  <c r="Y15" i="203" s="1"/>
  <c r="Z15" i="203"/>
  <c r="X15" i="203"/>
  <c r="Q15" i="203"/>
  <c r="P15" i="203"/>
  <c r="E15" i="203"/>
  <c r="I15" i="203" s="1"/>
  <c r="AD14" i="203"/>
  <c r="AC14" i="203"/>
  <c r="AB14" i="203"/>
  <c r="AE14" i="203" s="1"/>
  <c r="AI14" i="203" s="1"/>
  <c r="Y14" i="203" s="1"/>
  <c r="Z14" i="203"/>
  <c r="X14" i="203"/>
  <c r="I14" i="203"/>
  <c r="H14" i="203"/>
  <c r="E14" i="203"/>
  <c r="AD13" i="203"/>
  <c r="AC13" i="203"/>
  <c r="AB13" i="203"/>
  <c r="AE13" i="203" s="1"/>
  <c r="AI13" i="203" s="1"/>
  <c r="Y13" i="203" s="1"/>
  <c r="Z13" i="203"/>
  <c r="X13" i="203"/>
  <c r="P13" i="203"/>
  <c r="I13" i="203"/>
  <c r="H13" i="203"/>
  <c r="E13" i="203"/>
  <c r="AD12" i="203"/>
  <c r="AC12" i="203"/>
  <c r="AE12" i="203" s="1"/>
  <c r="AI12" i="203" s="1"/>
  <c r="Y12" i="203" s="1"/>
  <c r="AB12" i="203"/>
  <c r="Z12" i="203"/>
  <c r="T75" i="203" s="1"/>
  <c r="X12" i="203"/>
  <c r="T77" i="203" s="1"/>
  <c r="Q12" i="203"/>
  <c r="P12" i="203"/>
  <c r="I12" i="203"/>
  <c r="H12" i="203"/>
  <c r="E12" i="203"/>
  <c r="T79" i="204" l="1"/>
  <c r="F77" i="204"/>
  <c r="P14" i="203"/>
  <c r="Q20" i="203"/>
  <c r="O73" i="203" s="1"/>
  <c r="F73" i="203"/>
  <c r="T73" i="203"/>
  <c r="T79" i="203" s="1"/>
  <c r="F75" i="203"/>
  <c r="P71" i="202"/>
  <c r="P79" i="202"/>
  <c r="P77" i="202"/>
  <c r="M79" i="202"/>
  <c r="H71" i="202"/>
  <c r="Q70" i="202"/>
  <c r="P70" i="202"/>
  <c r="I70" i="202"/>
  <c r="H70" i="202"/>
  <c r="E70" i="202"/>
  <c r="Q69" i="202"/>
  <c r="P69" i="202"/>
  <c r="I69" i="202"/>
  <c r="H69" i="202"/>
  <c r="E69" i="202"/>
  <c r="AD68" i="202"/>
  <c r="AC68" i="202"/>
  <c r="AE68" i="202" s="1"/>
  <c r="AI68" i="202" s="1"/>
  <c r="Y68" i="202" s="1"/>
  <c r="AB68" i="202"/>
  <c r="Z68" i="202"/>
  <c r="X68" i="202"/>
  <c r="Q68" i="202"/>
  <c r="P68" i="202"/>
  <c r="I68" i="202"/>
  <c r="H68" i="202"/>
  <c r="E68" i="202"/>
  <c r="AD67" i="202"/>
  <c r="AC67" i="202"/>
  <c r="AB67" i="202"/>
  <c r="AE67" i="202" s="1"/>
  <c r="AI67" i="202" s="1"/>
  <c r="Y67" i="202" s="1"/>
  <c r="Z67" i="202"/>
  <c r="X67" i="202"/>
  <c r="Q67" i="202"/>
  <c r="P67" i="202"/>
  <c r="H67" i="202"/>
  <c r="E67" i="202"/>
  <c r="I67" i="202" s="1"/>
  <c r="AD66" i="202"/>
  <c r="AC66" i="202"/>
  <c r="AB66" i="202"/>
  <c r="AE66" i="202" s="1"/>
  <c r="AI66" i="202" s="1"/>
  <c r="Y66" i="202" s="1"/>
  <c r="Z66" i="202"/>
  <c r="X66" i="202"/>
  <c r="Q66" i="202"/>
  <c r="P66" i="202"/>
  <c r="H66" i="202"/>
  <c r="E66" i="202"/>
  <c r="I66" i="202" s="1"/>
  <c r="AD65" i="202"/>
  <c r="AC65" i="202"/>
  <c r="AE65" i="202" s="1"/>
  <c r="AI65" i="202" s="1"/>
  <c r="Y65" i="202" s="1"/>
  <c r="AB65" i="202"/>
  <c r="Z65" i="202"/>
  <c r="X65" i="202"/>
  <c r="Q65" i="202"/>
  <c r="P65" i="202"/>
  <c r="H65" i="202"/>
  <c r="E65" i="202"/>
  <c r="I65" i="202" s="1"/>
  <c r="AD64" i="202"/>
  <c r="AC64" i="202"/>
  <c r="AB64" i="202"/>
  <c r="AE64" i="202" s="1"/>
  <c r="AI64" i="202" s="1"/>
  <c r="Y64" i="202" s="1"/>
  <c r="Z64" i="202"/>
  <c r="X64" i="202"/>
  <c r="Q64" i="202"/>
  <c r="P64" i="202"/>
  <c r="H64" i="202"/>
  <c r="E64" i="202"/>
  <c r="I64" i="202" s="1"/>
  <c r="AD63" i="202"/>
  <c r="AE63" i="202" s="1"/>
  <c r="AI63" i="202" s="1"/>
  <c r="Y63" i="202" s="1"/>
  <c r="AC63" i="202"/>
  <c r="AB63" i="202"/>
  <c r="Z63" i="202"/>
  <c r="X63" i="202"/>
  <c r="Q63" i="202"/>
  <c r="P63" i="202"/>
  <c r="H63" i="202"/>
  <c r="E63" i="202"/>
  <c r="I63" i="202" s="1"/>
  <c r="AD62" i="202"/>
  <c r="AC62" i="202"/>
  <c r="AB62" i="202"/>
  <c r="AE62" i="202" s="1"/>
  <c r="AI62" i="202" s="1"/>
  <c r="Y62" i="202" s="1"/>
  <c r="Z62" i="202"/>
  <c r="X62" i="202"/>
  <c r="Q62" i="202"/>
  <c r="P62" i="202"/>
  <c r="H62" i="202"/>
  <c r="E62" i="202"/>
  <c r="I62" i="202" s="1"/>
  <c r="AC61" i="202"/>
  <c r="AE61" i="202" s="1"/>
  <c r="AI61" i="202" s="1"/>
  <c r="Y61" i="202" s="1"/>
  <c r="AB61" i="202"/>
  <c r="X61" i="202"/>
  <c r="Q61" i="202"/>
  <c r="P61" i="202"/>
  <c r="I61" i="202"/>
  <c r="H61" i="202"/>
  <c r="E61" i="202"/>
  <c r="AE60" i="202"/>
  <c r="AI60" i="202" s="1"/>
  <c r="Y60" i="202" s="1"/>
  <c r="X60" i="202"/>
  <c r="Q60" i="202"/>
  <c r="P60" i="202"/>
  <c r="I60" i="202"/>
  <c r="H60" i="202"/>
  <c r="E60" i="202"/>
  <c r="AC59" i="202"/>
  <c r="AB59" i="202"/>
  <c r="AE59" i="202" s="1"/>
  <c r="AI59" i="202" s="1"/>
  <c r="Y59" i="202" s="1"/>
  <c r="X59" i="202"/>
  <c r="Q59" i="202"/>
  <c r="P59" i="202"/>
  <c r="H59" i="202"/>
  <c r="E59" i="202"/>
  <c r="I59" i="202" s="1"/>
  <c r="AC58" i="202"/>
  <c r="AB58" i="202"/>
  <c r="AE58" i="202" s="1"/>
  <c r="AI58" i="202" s="1"/>
  <c r="Y58" i="202" s="1"/>
  <c r="X58" i="202"/>
  <c r="Q58" i="202"/>
  <c r="P58" i="202"/>
  <c r="E58" i="202"/>
  <c r="I58" i="202" s="1"/>
  <c r="AC57" i="202"/>
  <c r="AB57" i="202"/>
  <c r="AE57" i="202" s="1"/>
  <c r="AI57" i="202" s="1"/>
  <c r="Y57" i="202" s="1"/>
  <c r="X57" i="202"/>
  <c r="Q57" i="202"/>
  <c r="P57" i="202"/>
  <c r="I57" i="202"/>
  <c r="H57" i="202"/>
  <c r="E57" i="202"/>
  <c r="AD56" i="202"/>
  <c r="AC56" i="202"/>
  <c r="AB56" i="202"/>
  <c r="AE56" i="202" s="1"/>
  <c r="AI56" i="202" s="1"/>
  <c r="Y56" i="202" s="1"/>
  <c r="Z56" i="202"/>
  <c r="X56" i="202"/>
  <c r="Q56" i="202"/>
  <c r="P56" i="202"/>
  <c r="I56" i="202"/>
  <c r="H56" i="202"/>
  <c r="E56" i="202"/>
  <c r="AD55" i="202"/>
  <c r="AC55" i="202"/>
  <c r="AB55" i="202"/>
  <c r="AE55" i="202" s="1"/>
  <c r="AI55" i="202" s="1"/>
  <c r="Y55" i="202" s="1"/>
  <c r="Z55" i="202"/>
  <c r="X55" i="202"/>
  <c r="Q55" i="202"/>
  <c r="P55" i="202"/>
  <c r="H55" i="202"/>
  <c r="E55" i="202"/>
  <c r="I55" i="202" s="1"/>
  <c r="AE54" i="202"/>
  <c r="AI54" i="202" s="1"/>
  <c r="Y54" i="202" s="1"/>
  <c r="AD54" i="202"/>
  <c r="AC54" i="202"/>
  <c r="AB54" i="202"/>
  <c r="Z54" i="202"/>
  <c r="X54" i="202"/>
  <c r="Q54" i="202"/>
  <c r="P54" i="202"/>
  <c r="I54" i="202"/>
  <c r="H54" i="202"/>
  <c r="E54" i="202"/>
  <c r="AD53" i="202"/>
  <c r="AC53" i="202"/>
  <c r="AB53" i="202"/>
  <c r="AE53" i="202" s="1"/>
  <c r="AI53" i="202" s="1"/>
  <c r="Y53" i="202" s="1"/>
  <c r="Z53" i="202"/>
  <c r="X53" i="202"/>
  <c r="Q53" i="202"/>
  <c r="P53" i="202"/>
  <c r="H53" i="202"/>
  <c r="E53" i="202"/>
  <c r="I53" i="202" s="1"/>
  <c r="AI52" i="202"/>
  <c r="Y52" i="202" s="1"/>
  <c r="AE52" i="202"/>
  <c r="Z52" i="202"/>
  <c r="X52" i="202"/>
  <c r="Q52" i="202"/>
  <c r="P52" i="202"/>
  <c r="I52" i="202"/>
  <c r="H52" i="202"/>
  <c r="E52" i="202"/>
  <c r="AD51" i="202"/>
  <c r="AC51" i="202"/>
  <c r="AB51" i="202"/>
  <c r="AE51" i="202" s="1"/>
  <c r="AI51" i="202" s="1"/>
  <c r="Y51" i="202" s="1"/>
  <c r="Z51" i="202"/>
  <c r="X51" i="202"/>
  <c r="Q51" i="202"/>
  <c r="P51" i="202"/>
  <c r="H51" i="202"/>
  <c r="E51" i="202"/>
  <c r="I51" i="202" s="1"/>
  <c r="AD50" i="202"/>
  <c r="AC50" i="202"/>
  <c r="AB50" i="202"/>
  <c r="AE50" i="202" s="1"/>
  <c r="AI50" i="202" s="1"/>
  <c r="Y50" i="202" s="1"/>
  <c r="Z50" i="202"/>
  <c r="X50" i="202"/>
  <c r="Q50" i="202"/>
  <c r="P50" i="202"/>
  <c r="H50" i="202"/>
  <c r="E50" i="202"/>
  <c r="I50" i="202" s="1"/>
  <c r="AE49" i="202"/>
  <c r="AI49" i="202" s="1"/>
  <c r="Y49" i="202" s="1"/>
  <c r="Z49" i="202"/>
  <c r="X49" i="202"/>
  <c r="Q49" i="202"/>
  <c r="P49" i="202"/>
  <c r="H49" i="202"/>
  <c r="E49" i="202"/>
  <c r="I49" i="202" s="1"/>
  <c r="AE48" i="202"/>
  <c r="AI48" i="202" s="1"/>
  <c r="Y48" i="202" s="1"/>
  <c r="Z48" i="202"/>
  <c r="X48" i="202"/>
  <c r="Q48" i="202"/>
  <c r="P48" i="202"/>
  <c r="H48" i="202"/>
  <c r="E48" i="202"/>
  <c r="I48" i="202" s="1"/>
  <c r="AE47" i="202"/>
  <c r="AI47" i="202" s="1"/>
  <c r="Y47" i="202" s="1"/>
  <c r="Z47" i="202"/>
  <c r="X47" i="202"/>
  <c r="Q47" i="202"/>
  <c r="P47" i="202"/>
  <c r="I47" i="202"/>
  <c r="H47" i="202"/>
  <c r="E47" i="202"/>
  <c r="AD46" i="202"/>
  <c r="AC46" i="202"/>
  <c r="AB46" i="202"/>
  <c r="AE46" i="202" s="1"/>
  <c r="AI46" i="202" s="1"/>
  <c r="Y46" i="202" s="1"/>
  <c r="Z46" i="202"/>
  <c r="X46" i="202"/>
  <c r="Q46" i="202"/>
  <c r="P46" i="202"/>
  <c r="H46" i="202"/>
  <c r="E46" i="202"/>
  <c r="I46" i="202" s="1"/>
  <c r="AE45" i="202"/>
  <c r="AI45" i="202" s="1"/>
  <c r="Y45" i="202" s="1"/>
  <c r="AD45" i="202"/>
  <c r="AC45" i="202"/>
  <c r="AB45" i="202"/>
  <c r="Z45" i="202"/>
  <c r="X45" i="202"/>
  <c r="Q45" i="202"/>
  <c r="P45" i="202"/>
  <c r="H45" i="202"/>
  <c r="E45" i="202"/>
  <c r="I45" i="202" s="1"/>
  <c r="AD44" i="202"/>
  <c r="AC44" i="202"/>
  <c r="AB44" i="202"/>
  <c r="AE44" i="202" s="1"/>
  <c r="AI44" i="202" s="1"/>
  <c r="Y44" i="202" s="1"/>
  <c r="Z44" i="202"/>
  <c r="X44" i="202"/>
  <c r="Q44" i="202"/>
  <c r="P44" i="202"/>
  <c r="I44" i="202"/>
  <c r="H44" i="202"/>
  <c r="E44" i="202"/>
  <c r="AD43" i="202"/>
  <c r="AC43" i="202"/>
  <c r="AB43" i="202"/>
  <c r="AE43" i="202" s="1"/>
  <c r="AI43" i="202" s="1"/>
  <c r="Y43" i="202" s="1"/>
  <c r="Z43" i="202"/>
  <c r="X43" i="202"/>
  <c r="Q43" i="202"/>
  <c r="P43" i="202"/>
  <c r="H43" i="202"/>
  <c r="E43" i="202"/>
  <c r="I43" i="202" s="1"/>
  <c r="AE42" i="202"/>
  <c r="AI42" i="202" s="1"/>
  <c r="Y42" i="202" s="1"/>
  <c r="AD42" i="202"/>
  <c r="AC42" i="202"/>
  <c r="AB42" i="202"/>
  <c r="Z42" i="202"/>
  <c r="X42" i="202"/>
  <c r="Q42" i="202"/>
  <c r="P42" i="202"/>
  <c r="H42" i="202"/>
  <c r="E42" i="202"/>
  <c r="I42" i="202" s="1"/>
  <c r="AD41" i="202"/>
  <c r="AC41" i="202"/>
  <c r="AB41" i="202"/>
  <c r="AE41" i="202" s="1"/>
  <c r="AI41" i="202" s="1"/>
  <c r="Y41" i="202" s="1"/>
  <c r="Z41" i="202"/>
  <c r="X41" i="202"/>
  <c r="Q41" i="202"/>
  <c r="P41" i="202"/>
  <c r="H41" i="202"/>
  <c r="E41" i="202"/>
  <c r="I41" i="202" s="1"/>
  <c r="AD40" i="202"/>
  <c r="AC40" i="202"/>
  <c r="AB40" i="202"/>
  <c r="AE40" i="202" s="1"/>
  <c r="AI40" i="202" s="1"/>
  <c r="Y40" i="202" s="1"/>
  <c r="Z40" i="202"/>
  <c r="X40" i="202"/>
  <c r="Q40" i="202"/>
  <c r="P40" i="202"/>
  <c r="H40" i="202"/>
  <c r="E40" i="202"/>
  <c r="I40" i="202" s="1"/>
  <c r="AD39" i="202"/>
  <c r="AC39" i="202"/>
  <c r="AE39" i="202" s="1"/>
  <c r="AI39" i="202" s="1"/>
  <c r="Y39" i="202" s="1"/>
  <c r="AB39" i="202"/>
  <c r="Z39" i="202"/>
  <c r="X39" i="202"/>
  <c r="Q39" i="202"/>
  <c r="P39" i="202"/>
  <c r="I39" i="202"/>
  <c r="H39" i="202"/>
  <c r="E39" i="202"/>
  <c r="AD38" i="202"/>
  <c r="AC38" i="202"/>
  <c r="AB38" i="202"/>
  <c r="AE38" i="202" s="1"/>
  <c r="AI38" i="202" s="1"/>
  <c r="Y38" i="202" s="1"/>
  <c r="Z38" i="202"/>
  <c r="X38" i="202"/>
  <c r="Q38" i="202"/>
  <c r="P38" i="202"/>
  <c r="H38" i="202"/>
  <c r="E38" i="202"/>
  <c r="I38" i="202" s="1"/>
  <c r="AD37" i="202"/>
  <c r="AC37" i="202"/>
  <c r="AE37" i="202" s="1"/>
  <c r="AI37" i="202" s="1"/>
  <c r="Y37" i="202" s="1"/>
  <c r="AB37" i="202"/>
  <c r="Z37" i="202"/>
  <c r="X37" i="202"/>
  <c r="Q37" i="202"/>
  <c r="P37" i="202"/>
  <c r="H37" i="202"/>
  <c r="E37" i="202"/>
  <c r="I37" i="202" s="1"/>
  <c r="AD36" i="202"/>
  <c r="AC36" i="202"/>
  <c r="AE36" i="202" s="1"/>
  <c r="AI36" i="202" s="1"/>
  <c r="Y36" i="202" s="1"/>
  <c r="AB36" i="202"/>
  <c r="Z36" i="202"/>
  <c r="X36" i="202"/>
  <c r="Q36" i="202"/>
  <c r="P36" i="202"/>
  <c r="H36" i="202"/>
  <c r="E36" i="202"/>
  <c r="I36" i="202" s="1"/>
  <c r="AD35" i="202"/>
  <c r="AC35" i="202"/>
  <c r="AB35" i="202"/>
  <c r="AE35" i="202" s="1"/>
  <c r="AI35" i="202" s="1"/>
  <c r="Y35" i="202" s="1"/>
  <c r="Z35" i="202"/>
  <c r="X35" i="202"/>
  <c r="Q35" i="202"/>
  <c r="P35" i="202"/>
  <c r="H35" i="202"/>
  <c r="E35" i="202"/>
  <c r="I35" i="202" s="1"/>
  <c r="AD34" i="202"/>
  <c r="AE34" i="202" s="1"/>
  <c r="AI34" i="202" s="1"/>
  <c r="Y34" i="202" s="1"/>
  <c r="AC34" i="202"/>
  <c r="AB34" i="202"/>
  <c r="Z34" i="202"/>
  <c r="X34" i="202"/>
  <c r="Q34" i="202"/>
  <c r="P34" i="202"/>
  <c r="H34" i="202"/>
  <c r="E34" i="202"/>
  <c r="I34" i="202" s="1"/>
  <c r="AD33" i="202"/>
  <c r="AC33" i="202"/>
  <c r="AB33" i="202"/>
  <c r="AE33" i="202" s="1"/>
  <c r="AI33" i="202" s="1"/>
  <c r="Y33" i="202" s="1"/>
  <c r="Z33" i="202"/>
  <c r="X33" i="202"/>
  <c r="Q33" i="202"/>
  <c r="P33" i="202"/>
  <c r="H33" i="202"/>
  <c r="E33" i="202"/>
  <c r="I33" i="202" s="1"/>
  <c r="AD32" i="202"/>
  <c r="AC32" i="202"/>
  <c r="AB32" i="202"/>
  <c r="AE32" i="202" s="1"/>
  <c r="AI32" i="202" s="1"/>
  <c r="Y32" i="202" s="1"/>
  <c r="Z32" i="202"/>
  <c r="X32" i="202"/>
  <c r="Q32" i="202"/>
  <c r="P32" i="202"/>
  <c r="H32" i="202"/>
  <c r="E32" i="202"/>
  <c r="I32" i="202" s="1"/>
  <c r="AE31" i="202"/>
  <c r="AI31" i="202" s="1"/>
  <c r="Y31" i="202" s="1"/>
  <c r="Z31" i="202"/>
  <c r="X31" i="202"/>
  <c r="Q31" i="202"/>
  <c r="P31" i="202"/>
  <c r="H31" i="202"/>
  <c r="E31" i="202"/>
  <c r="I31" i="202" s="1"/>
  <c r="AE30" i="202"/>
  <c r="AI30" i="202" s="1"/>
  <c r="Y30" i="202" s="1"/>
  <c r="AD30" i="202"/>
  <c r="AC30" i="202"/>
  <c r="AB30" i="202"/>
  <c r="Z30" i="202"/>
  <c r="X30" i="202"/>
  <c r="Q30" i="202"/>
  <c r="P30" i="202"/>
  <c r="H30" i="202"/>
  <c r="E30" i="202"/>
  <c r="I30" i="202" s="1"/>
  <c r="AD29" i="202"/>
  <c r="AC29" i="202"/>
  <c r="AB29" i="202"/>
  <c r="AE29" i="202" s="1"/>
  <c r="AI29" i="202" s="1"/>
  <c r="Y29" i="202" s="1"/>
  <c r="Z29" i="202"/>
  <c r="X29" i="202"/>
  <c r="Q29" i="202"/>
  <c r="P29" i="202"/>
  <c r="I29" i="202"/>
  <c r="H29" i="202"/>
  <c r="E29" i="202"/>
  <c r="AD28" i="202"/>
  <c r="AC28" i="202"/>
  <c r="AB28" i="202"/>
  <c r="AE28" i="202" s="1"/>
  <c r="AI28" i="202" s="1"/>
  <c r="Y28" i="202" s="1"/>
  <c r="Z28" i="202"/>
  <c r="X28" i="202"/>
  <c r="Q28" i="202"/>
  <c r="P28" i="202"/>
  <c r="H28" i="202"/>
  <c r="E28" i="202"/>
  <c r="I28" i="202" s="1"/>
  <c r="AE27" i="202"/>
  <c r="AI27" i="202" s="1"/>
  <c r="Y27" i="202" s="1"/>
  <c r="AD27" i="202"/>
  <c r="AC27" i="202"/>
  <c r="AB27" i="202"/>
  <c r="Z27" i="202"/>
  <c r="X27" i="202"/>
  <c r="Q27" i="202"/>
  <c r="P27" i="202"/>
  <c r="I27" i="202"/>
  <c r="H27" i="202"/>
  <c r="E27" i="202"/>
  <c r="AD26" i="202"/>
  <c r="AC26" i="202"/>
  <c r="AB26" i="202"/>
  <c r="AE26" i="202" s="1"/>
  <c r="AI26" i="202" s="1"/>
  <c r="Y26" i="202" s="1"/>
  <c r="Z26" i="202"/>
  <c r="X26" i="202"/>
  <c r="Q26" i="202"/>
  <c r="P26" i="202"/>
  <c r="H26" i="202"/>
  <c r="E26" i="202"/>
  <c r="I26" i="202" s="1"/>
  <c r="AD25" i="202"/>
  <c r="AC25" i="202"/>
  <c r="AB25" i="202"/>
  <c r="AE25" i="202" s="1"/>
  <c r="AI25" i="202" s="1"/>
  <c r="Y25" i="202" s="1"/>
  <c r="Z25" i="202"/>
  <c r="X25" i="202"/>
  <c r="Q25" i="202"/>
  <c r="P25" i="202"/>
  <c r="H25" i="202"/>
  <c r="E25" i="202"/>
  <c r="I25" i="202" s="1"/>
  <c r="AD24" i="202"/>
  <c r="AC24" i="202"/>
  <c r="AE24" i="202" s="1"/>
  <c r="AI24" i="202" s="1"/>
  <c r="Y24" i="202" s="1"/>
  <c r="AB24" i="202"/>
  <c r="Z24" i="202"/>
  <c r="X24" i="202"/>
  <c r="Q24" i="202"/>
  <c r="P24" i="202"/>
  <c r="I24" i="202"/>
  <c r="H24" i="202"/>
  <c r="E24" i="202"/>
  <c r="AD23" i="202"/>
  <c r="AC23" i="202"/>
  <c r="AB23" i="202"/>
  <c r="AE23" i="202" s="1"/>
  <c r="AI23" i="202" s="1"/>
  <c r="Y23" i="202" s="1"/>
  <c r="Z23" i="202"/>
  <c r="X23" i="202"/>
  <c r="Q23" i="202"/>
  <c r="P23" i="202"/>
  <c r="H23" i="202"/>
  <c r="E23" i="202"/>
  <c r="I23" i="202" s="1"/>
  <c r="AD22" i="202"/>
  <c r="AC22" i="202"/>
  <c r="AE22" i="202" s="1"/>
  <c r="AI22" i="202" s="1"/>
  <c r="Y22" i="202" s="1"/>
  <c r="AB22" i="202"/>
  <c r="Z22" i="202"/>
  <c r="X22" i="202"/>
  <c r="Q22" i="202"/>
  <c r="P22" i="202"/>
  <c r="H22" i="202"/>
  <c r="E22" i="202"/>
  <c r="I22" i="202" s="1"/>
  <c r="AD21" i="202"/>
  <c r="AC21" i="202"/>
  <c r="AE21" i="202" s="1"/>
  <c r="AI21" i="202" s="1"/>
  <c r="Y21" i="202" s="1"/>
  <c r="AB21" i="202"/>
  <c r="Z21" i="202"/>
  <c r="X21" i="202"/>
  <c r="Q21" i="202"/>
  <c r="P21" i="202"/>
  <c r="H21" i="202"/>
  <c r="E21" i="202"/>
  <c r="I21" i="202" s="1"/>
  <c r="AD20" i="202"/>
  <c r="AC20" i="202"/>
  <c r="AB20" i="202"/>
  <c r="AE20" i="202" s="1"/>
  <c r="AI20" i="202" s="1"/>
  <c r="Y20" i="202" s="1"/>
  <c r="Z20" i="202"/>
  <c r="X20" i="202"/>
  <c r="Q20" i="202"/>
  <c r="P20" i="202"/>
  <c r="H20" i="202"/>
  <c r="E20" i="202"/>
  <c r="I20" i="202" s="1"/>
  <c r="AD19" i="202"/>
  <c r="AE19" i="202" s="1"/>
  <c r="AI19" i="202" s="1"/>
  <c r="Y19" i="202" s="1"/>
  <c r="AC19" i="202"/>
  <c r="AB19" i="202"/>
  <c r="Z19" i="202"/>
  <c r="X19" i="202"/>
  <c r="Q19" i="202"/>
  <c r="P19" i="202"/>
  <c r="H19" i="202"/>
  <c r="E19" i="202"/>
  <c r="I19" i="202" s="1"/>
  <c r="AD18" i="202"/>
  <c r="AC18" i="202"/>
  <c r="AB18" i="202"/>
  <c r="AE18" i="202" s="1"/>
  <c r="AI18" i="202" s="1"/>
  <c r="Y18" i="202" s="1"/>
  <c r="Z18" i="202"/>
  <c r="X18" i="202"/>
  <c r="Q18" i="202"/>
  <c r="P18" i="202"/>
  <c r="H18" i="202"/>
  <c r="E18" i="202"/>
  <c r="I18" i="202" s="1"/>
  <c r="AD17" i="202"/>
  <c r="AC17" i="202"/>
  <c r="AB17" i="202"/>
  <c r="AE17" i="202" s="1"/>
  <c r="AI17" i="202" s="1"/>
  <c r="Y17" i="202" s="1"/>
  <c r="Z17" i="202"/>
  <c r="X17" i="202"/>
  <c r="Q17" i="202"/>
  <c r="P17" i="202"/>
  <c r="H17" i="202"/>
  <c r="E17" i="202"/>
  <c r="I17" i="202" s="1"/>
  <c r="AD16" i="202"/>
  <c r="AE16" i="202" s="1"/>
  <c r="AI16" i="202" s="1"/>
  <c r="Y16" i="202" s="1"/>
  <c r="AC16" i="202"/>
  <c r="AB16" i="202"/>
  <c r="Z16" i="202"/>
  <c r="X16" i="202"/>
  <c r="Q16" i="202"/>
  <c r="E16" i="202"/>
  <c r="I16" i="202" s="1"/>
  <c r="AD15" i="202"/>
  <c r="AC15" i="202"/>
  <c r="AB15" i="202"/>
  <c r="AE15" i="202" s="1"/>
  <c r="AI15" i="202" s="1"/>
  <c r="Y15" i="202" s="1"/>
  <c r="Z15" i="202"/>
  <c r="X15" i="202"/>
  <c r="Q15" i="202"/>
  <c r="P15" i="202"/>
  <c r="E15" i="202"/>
  <c r="I15" i="202" s="1"/>
  <c r="AD14" i="202"/>
  <c r="AC14" i="202"/>
  <c r="AE14" i="202" s="1"/>
  <c r="AI14" i="202" s="1"/>
  <c r="Y14" i="202" s="1"/>
  <c r="AB14" i="202"/>
  <c r="Z14" i="202"/>
  <c r="X14" i="202"/>
  <c r="Q14" i="202"/>
  <c r="P14" i="202"/>
  <c r="I14" i="202"/>
  <c r="H14" i="202"/>
  <c r="E14" i="202"/>
  <c r="AD13" i="202"/>
  <c r="AC13" i="202"/>
  <c r="AB13" i="202"/>
  <c r="AE13" i="202" s="1"/>
  <c r="AI13" i="202" s="1"/>
  <c r="Y13" i="202" s="1"/>
  <c r="Z13" i="202"/>
  <c r="X13" i="202"/>
  <c r="Q13" i="202"/>
  <c r="P13" i="202"/>
  <c r="H13" i="202"/>
  <c r="E13" i="202"/>
  <c r="I13" i="202" s="1"/>
  <c r="AD12" i="202"/>
  <c r="AC12" i="202"/>
  <c r="AE12" i="202" s="1"/>
  <c r="AI12" i="202" s="1"/>
  <c r="Y12" i="202" s="1"/>
  <c r="AB12" i="202"/>
  <c r="Z12" i="202"/>
  <c r="X12" i="202"/>
  <c r="Q12" i="202"/>
  <c r="P12" i="202"/>
  <c r="H12" i="202"/>
  <c r="E12" i="202"/>
  <c r="I12" i="202" s="1"/>
  <c r="O75" i="203" l="1"/>
  <c r="F77" i="203"/>
  <c r="P16" i="202"/>
  <c r="O75" i="202"/>
  <c r="O73" i="202"/>
  <c r="T77" i="202"/>
  <c r="T75" i="202"/>
  <c r="F75" i="202"/>
  <c r="F73" i="202"/>
  <c r="T73" i="202"/>
  <c r="M79" i="201"/>
  <c r="P71" i="201"/>
  <c r="H71" i="201"/>
  <c r="Q70" i="201"/>
  <c r="P70" i="201"/>
  <c r="H70" i="201"/>
  <c r="E70" i="201"/>
  <c r="I70" i="201" s="1"/>
  <c r="Q69" i="201"/>
  <c r="P69" i="201"/>
  <c r="H69" i="201"/>
  <c r="E69" i="201"/>
  <c r="I69" i="201" s="1"/>
  <c r="AD68" i="201"/>
  <c r="AC68" i="201"/>
  <c r="AB68" i="201"/>
  <c r="AE68" i="201" s="1"/>
  <c r="AI68" i="201" s="1"/>
  <c r="Y68" i="201" s="1"/>
  <c r="Z68" i="201"/>
  <c r="X68" i="201"/>
  <c r="Q68" i="201"/>
  <c r="P68" i="201"/>
  <c r="H68" i="201"/>
  <c r="E68" i="201"/>
  <c r="I68" i="201" s="1"/>
  <c r="AD67" i="201"/>
  <c r="AE67" i="201" s="1"/>
  <c r="AI67" i="201" s="1"/>
  <c r="Y67" i="201" s="1"/>
  <c r="AC67" i="201"/>
  <c r="AB67" i="201"/>
  <c r="Z67" i="201"/>
  <c r="X67" i="201"/>
  <c r="Q67" i="201"/>
  <c r="P67" i="201"/>
  <c r="H67" i="201"/>
  <c r="E67" i="201"/>
  <c r="I67" i="201" s="1"/>
  <c r="AE66" i="201"/>
  <c r="AI66" i="201" s="1"/>
  <c r="Y66" i="201" s="1"/>
  <c r="AD66" i="201"/>
  <c r="AC66" i="201"/>
  <c r="AB66" i="201"/>
  <c r="Z66" i="201"/>
  <c r="X66" i="201"/>
  <c r="Q66" i="201"/>
  <c r="P66" i="201"/>
  <c r="I66" i="201"/>
  <c r="H66" i="201"/>
  <c r="E66" i="201"/>
  <c r="AD65" i="201"/>
  <c r="AC65" i="201"/>
  <c r="AB65" i="201"/>
  <c r="AE65" i="201" s="1"/>
  <c r="AI65" i="201" s="1"/>
  <c r="Y65" i="201" s="1"/>
  <c r="Z65" i="201"/>
  <c r="X65" i="201"/>
  <c r="Q65" i="201"/>
  <c r="P65" i="201"/>
  <c r="H65" i="201"/>
  <c r="E65" i="201"/>
  <c r="I65" i="201" s="1"/>
  <c r="AI64" i="201"/>
  <c r="Y64" i="201" s="1"/>
  <c r="AE64" i="201"/>
  <c r="AD64" i="201"/>
  <c r="AC64" i="201"/>
  <c r="AB64" i="201"/>
  <c r="Z64" i="201"/>
  <c r="X64" i="201"/>
  <c r="Q64" i="201"/>
  <c r="P64" i="201"/>
  <c r="I64" i="201"/>
  <c r="H64" i="201"/>
  <c r="E64" i="201"/>
  <c r="AD63" i="201"/>
  <c r="AC63" i="201"/>
  <c r="AB63" i="201"/>
  <c r="AE63" i="201" s="1"/>
  <c r="AI63" i="201" s="1"/>
  <c r="Y63" i="201" s="1"/>
  <c r="Z63" i="201"/>
  <c r="X63" i="201"/>
  <c r="Q63" i="201"/>
  <c r="P63" i="201"/>
  <c r="I63" i="201"/>
  <c r="H63" i="201"/>
  <c r="E63" i="201"/>
  <c r="AE62" i="201"/>
  <c r="AI62" i="201" s="1"/>
  <c r="Y62" i="201" s="1"/>
  <c r="AD62" i="201"/>
  <c r="AC62" i="201"/>
  <c r="AB62" i="201"/>
  <c r="Z62" i="201"/>
  <c r="X62" i="201"/>
  <c r="Q62" i="201"/>
  <c r="P62" i="201"/>
  <c r="H62" i="201"/>
  <c r="E62" i="201"/>
  <c r="I62" i="201" s="1"/>
  <c r="AC61" i="201"/>
  <c r="AB61" i="201"/>
  <c r="AE61" i="201" s="1"/>
  <c r="AI61" i="201" s="1"/>
  <c r="Y61" i="201" s="1"/>
  <c r="X61" i="201"/>
  <c r="Q61" i="201"/>
  <c r="P61" i="201"/>
  <c r="H61" i="201"/>
  <c r="E61" i="201"/>
  <c r="I61" i="201" s="1"/>
  <c r="AI60" i="201"/>
  <c r="Y60" i="201" s="1"/>
  <c r="AE60" i="201"/>
  <c r="X60" i="201"/>
  <c r="Q60" i="201"/>
  <c r="P60" i="201"/>
  <c r="H60" i="201"/>
  <c r="E60" i="201"/>
  <c r="I60" i="201" s="1"/>
  <c r="AI59" i="201"/>
  <c r="Y59" i="201" s="1"/>
  <c r="AE59" i="201"/>
  <c r="AC59" i="201"/>
  <c r="AB59" i="201"/>
  <c r="X59" i="201"/>
  <c r="Q59" i="201"/>
  <c r="P59" i="201"/>
  <c r="H59" i="201"/>
  <c r="E59" i="201"/>
  <c r="I59" i="201" s="1"/>
  <c r="AE58" i="201"/>
  <c r="AI58" i="201" s="1"/>
  <c r="Y58" i="201" s="1"/>
  <c r="AC58" i="201"/>
  <c r="AB58" i="201"/>
  <c r="X58" i="201"/>
  <c r="Q58" i="201"/>
  <c r="P58" i="201"/>
  <c r="I58" i="201"/>
  <c r="E58" i="201"/>
  <c r="AI57" i="201"/>
  <c r="Y57" i="201" s="1"/>
  <c r="AE57" i="201"/>
  <c r="AC57" i="201"/>
  <c r="AB57" i="201"/>
  <c r="X57" i="201"/>
  <c r="Q57" i="201"/>
  <c r="P57" i="201"/>
  <c r="H57" i="201"/>
  <c r="E57" i="201"/>
  <c r="I57" i="201" s="1"/>
  <c r="AI56" i="201"/>
  <c r="AE56" i="201"/>
  <c r="AD56" i="201"/>
  <c r="AC56" i="201"/>
  <c r="AB56" i="201"/>
  <c r="Z56" i="201"/>
  <c r="Y56" i="201"/>
  <c r="X56" i="201"/>
  <c r="Q56" i="201"/>
  <c r="P56" i="201"/>
  <c r="I56" i="201"/>
  <c r="H56" i="201"/>
  <c r="E56" i="201"/>
  <c r="AD55" i="201"/>
  <c r="AC55" i="201"/>
  <c r="AB55" i="201"/>
  <c r="AE55" i="201" s="1"/>
  <c r="AI55" i="201" s="1"/>
  <c r="Y55" i="201" s="1"/>
  <c r="Z55" i="201"/>
  <c r="X55" i="201"/>
  <c r="Q55" i="201"/>
  <c r="P55" i="201"/>
  <c r="I55" i="201"/>
  <c r="H55" i="201"/>
  <c r="E55" i="201"/>
  <c r="AD54" i="201"/>
  <c r="AC54" i="201"/>
  <c r="AB54" i="201"/>
  <c r="AE54" i="201" s="1"/>
  <c r="AI54" i="201" s="1"/>
  <c r="Y54" i="201" s="1"/>
  <c r="Z54" i="201"/>
  <c r="X54" i="201"/>
  <c r="Q54" i="201"/>
  <c r="P54" i="201"/>
  <c r="H54" i="201"/>
  <c r="E54" i="201"/>
  <c r="I54" i="201" s="1"/>
  <c r="AD53" i="201"/>
  <c r="AC53" i="201"/>
  <c r="AE53" i="201" s="1"/>
  <c r="AI53" i="201" s="1"/>
  <c r="Y53" i="201" s="1"/>
  <c r="AB53" i="201"/>
  <c r="Z53" i="201"/>
  <c r="X53" i="201"/>
  <c r="Q53" i="201"/>
  <c r="P53" i="201"/>
  <c r="I53" i="201"/>
  <c r="H53" i="201"/>
  <c r="E53" i="201"/>
  <c r="AE52" i="201"/>
  <c r="AI52" i="201" s="1"/>
  <c r="Y52" i="201" s="1"/>
  <c r="Z52" i="201"/>
  <c r="X52" i="201"/>
  <c r="Q52" i="201"/>
  <c r="P52" i="201"/>
  <c r="H52" i="201"/>
  <c r="E52" i="201"/>
  <c r="I52" i="201" s="1"/>
  <c r="AD51" i="201"/>
  <c r="AE51" i="201" s="1"/>
  <c r="AI51" i="201" s="1"/>
  <c r="Y51" i="201" s="1"/>
  <c r="AC51" i="201"/>
  <c r="AB51" i="201"/>
  <c r="Z51" i="201"/>
  <c r="X51" i="201"/>
  <c r="Q51" i="201"/>
  <c r="P51" i="201"/>
  <c r="H51" i="201"/>
  <c r="E51" i="201"/>
  <c r="I51" i="201" s="1"/>
  <c r="AE50" i="201"/>
  <c r="AI50" i="201" s="1"/>
  <c r="Y50" i="201" s="1"/>
  <c r="AD50" i="201"/>
  <c r="AC50" i="201"/>
  <c r="AB50" i="201"/>
  <c r="Z50" i="201"/>
  <c r="X50" i="201"/>
  <c r="Q50" i="201"/>
  <c r="P50" i="201"/>
  <c r="I50" i="201"/>
  <c r="H50" i="201"/>
  <c r="E50" i="201"/>
  <c r="AI49" i="201"/>
  <c r="Y49" i="201" s="1"/>
  <c r="AE49" i="201"/>
  <c r="Z49" i="201"/>
  <c r="X49" i="201"/>
  <c r="Q49" i="201"/>
  <c r="P49" i="201"/>
  <c r="I49" i="201"/>
  <c r="H49" i="201"/>
  <c r="E49" i="201"/>
  <c r="AE48" i="201"/>
  <c r="AI48" i="201" s="1"/>
  <c r="Y48" i="201" s="1"/>
  <c r="Z48" i="201"/>
  <c r="X48" i="201"/>
  <c r="Q48" i="201"/>
  <c r="P48" i="201"/>
  <c r="H48" i="201"/>
  <c r="E48" i="201"/>
  <c r="I48" i="201" s="1"/>
  <c r="AI47" i="201"/>
  <c r="Y47" i="201" s="1"/>
  <c r="AE47" i="201"/>
  <c r="Z47" i="201"/>
  <c r="X47" i="201"/>
  <c r="Q47" i="201"/>
  <c r="P47" i="201"/>
  <c r="H47" i="201"/>
  <c r="E47" i="201"/>
  <c r="I47" i="201" s="1"/>
  <c r="AD46" i="201"/>
  <c r="AC46" i="201"/>
  <c r="AB46" i="201"/>
  <c r="AE46" i="201" s="1"/>
  <c r="AI46" i="201" s="1"/>
  <c r="Y46" i="201" s="1"/>
  <c r="Z46" i="201"/>
  <c r="X46" i="201"/>
  <c r="Q46" i="201"/>
  <c r="P46" i="201"/>
  <c r="I46" i="201"/>
  <c r="H46" i="201"/>
  <c r="E46" i="201"/>
  <c r="AD45" i="201"/>
  <c r="AC45" i="201"/>
  <c r="AB45" i="201"/>
  <c r="AE45" i="201" s="1"/>
  <c r="AI45" i="201" s="1"/>
  <c r="Y45" i="201" s="1"/>
  <c r="Z45" i="201"/>
  <c r="X45" i="201"/>
  <c r="Q45" i="201"/>
  <c r="P45" i="201"/>
  <c r="H45" i="201"/>
  <c r="E45" i="201"/>
  <c r="I45" i="201" s="1"/>
  <c r="AI44" i="201"/>
  <c r="AE44" i="201"/>
  <c r="AD44" i="201"/>
  <c r="AC44" i="201"/>
  <c r="AB44" i="201"/>
  <c r="Z44" i="201"/>
  <c r="Y44" i="201"/>
  <c r="X44" i="201"/>
  <c r="Q44" i="201"/>
  <c r="P44" i="201"/>
  <c r="I44" i="201"/>
  <c r="H44" i="201"/>
  <c r="E44" i="201"/>
  <c r="AD43" i="201"/>
  <c r="AC43" i="201"/>
  <c r="AE43" i="201" s="1"/>
  <c r="AI43" i="201" s="1"/>
  <c r="Y43" i="201" s="1"/>
  <c r="AB43" i="201"/>
  <c r="Z43" i="201"/>
  <c r="X43" i="201"/>
  <c r="Q43" i="201"/>
  <c r="P43" i="201"/>
  <c r="I43" i="201"/>
  <c r="H43" i="201"/>
  <c r="E43" i="201"/>
  <c r="AD42" i="201"/>
  <c r="AC42" i="201"/>
  <c r="AB42" i="201"/>
  <c r="AE42" i="201" s="1"/>
  <c r="AI42" i="201" s="1"/>
  <c r="Y42" i="201" s="1"/>
  <c r="Z42" i="201"/>
  <c r="X42" i="201"/>
  <c r="Q42" i="201"/>
  <c r="P42" i="201"/>
  <c r="H42" i="201"/>
  <c r="E42" i="201"/>
  <c r="I42" i="201" s="1"/>
  <c r="AD41" i="201"/>
  <c r="AC41" i="201"/>
  <c r="AE41" i="201" s="1"/>
  <c r="AI41" i="201" s="1"/>
  <c r="Y41" i="201" s="1"/>
  <c r="AB41" i="201"/>
  <c r="Z41" i="201"/>
  <c r="X41" i="201"/>
  <c r="Q41" i="201"/>
  <c r="P41" i="201"/>
  <c r="H41" i="201"/>
  <c r="E41" i="201"/>
  <c r="I41" i="201" s="1"/>
  <c r="AE40" i="201"/>
  <c r="AI40" i="201" s="1"/>
  <c r="Y40" i="201" s="1"/>
  <c r="AD40" i="201"/>
  <c r="AC40" i="201"/>
  <c r="AB40" i="201"/>
  <c r="Z40" i="201"/>
  <c r="X40" i="201"/>
  <c r="Q40" i="201"/>
  <c r="P40" i="201"/>
  <c r="H40" i="201"/>
  <c r="E40" i="201"/>
  <c r="I40" i="201" s="1"/>
  <c r="AD39" i="201"/>
  <c r="AC39" i="201"/>
  <c r="AB39" i="201"/>
  <c r="AE39" i="201" s="1"/>
  <c r="AI39" i="201" s="1"/>
  <c r="Y39" i="201" s="1"/>
  <c r="Z39" i="201"/>
  <c r="X39" i="201"/>
  <c r="Q39" i="201"/>
  <c r="P39" i="201"/>
  <c r="H39" i="201"/>
  <c r="E39" i="201"/>
  <c r="I39" i="201" s="1"/>
  <c r="AD38" i="201"/>
  <c r="AE38" i="201" s="1"/>
  <c r="AI38" i="201" s="1"/>
  <c r="Y38" i="201" s="1"/>
  <c r="AC38" i="201"/>
  <c r="AB38" i="201"/>
  <c r="Z38" i="201"/>
  <c r="X38" i="201"/>
  <c r="Q38" i="201"/>
  <c r="P38" i="201"/>
  <c r="H38" i="201"/>
  <c r="E38" i="201"/>
  <c r="I38" i="201" s="1"/>
  <c r="AE37" i="201"/>
  <c r="AI37" i="201" s="1"/>
  <c r="Y37" i="201" s="1"/>
  <c r="AD37" i="201"/>
  <c r="AC37" i="201"/>
  <c r="AB37" i="201"/>
  <c r="Z37" i="201"/>
  <c r="X37" i="201"/>
  <c r="Q37" i="201"/>
  <c r="P37" i="201"/>
  <c r="I37" i="201"/>
  <c r="H37" i="201"/>
  <c r="E37" i="201"/>
  <c r="AD36" i="201"/>
  <c r="AC36" i="201"/>
  <c r="AB36" i="201"/>
  <c r="AE36" i="201" s="1"/>
  <c r="AI36" i="201" s="1"/>
  <c r="Y36" i="201" s="1"/>
  <c r="Z36" i="201"/>
  <c r="X36" i="201"/>
  <c r="Q36" i="201"/>
  <c r="P36" i="201"/>
  <c r="H36" i="201"/>
  <c r="E36" i="201"/>
  <c r="I36" i="201" s="1"/>
  <c r="AI35" i="201"/>
  <c r="Y35" i="201" s="1"/>
  <c r="AE35" i="201"/>
  <c r="AD35" i="201"/>
  <c r="AC35" i="201"/>
  <c r="AB35" i="201"/>
  <c r="Z35" i="201"/>
  <c r="X35" i="201"/>
  <c r="Q35" i="201"/>
  <c r="P35" i="201"/>
  <c r="I35" i="201"/>
  <c r="H35" i="201"/>
  <c r="E35" i="201"/>
  <c r="AD34" i="201"/>
  <c r="AC34" i="201"/>
  <c r="AB34" i="201"/>
  <c r="AE34" i="201" s="1"/>
  <c r="AI34" i="201" s="1"/>
  <c r="Y34" i="201" s="1"/>
  <c r="Z34" i="201"/>
  <c r="X34" i="201"/>
  <c r="Q34" i="201"/>
  <c r="P34" i="201"/>
  <c r="I34" i="201"/>
  <c r="H34" i="201"/>
  <c r="E34" i="201"/>
  <c r="AE33" i="201"/>
  <c r="AI33" i="201" s="1"/>
  <c r="Y33" i="201" s="1"/>
  <c r="AD33" i="201"/>
  <c r="AC33" i="201"/>
  <c r="AB33" i="201"/>
  <c r="Z33" i="201"/>
  <c r="X33" i="201"/>
  <c r="Q33" i="201"/>
  <c r="P33" i="201"/>
  <c r="H33" i="201"/>
  <c r="E33" i="201"/>
  <c r="I33" i="201" s="1"/>
  <c r="AD32" i="201"/>
  <c r="AC32" i="201"/>
  <c r="AB32" i="201"/>
  <c r="AE32" i="201" s="1"/>
  <c r="AI32" i="201" s="1"/>
  <c r="Y32" i="201" s="1"/>
  <c r="Z32" i="201"/>
  <c r="X32" i="201"/>
  <c r="Q32" i="201"/>
  <c r="P32" i="201"/>
  <c r="I32" i="201"/>
  <c r="H32" i="201"/>
  <c r="E32" i="201"/>
  <c r="AE31" i="201"/>
  <c r="AI31" i="201" s="1"/>
  <c r="Y31" i="201" s="1"/>
  <c r="Z31" i="201"/>
  <c r="X31" i="201"/>
  <c r="Q31" i="201"/>
  <c r="P31" i="201"/>
  <c r="I31" i="201"/>
  <c r="H31" i="201"/>
  <c r="E31" i="201"/>
  <c r="AD30" i="201"/>
  <c r="AC30" i="201"/>
  <c r="AB30" i="201"/>
  <c r="AE30" i="201" s="1"/>
  <c r="AI30" i="201" s="1"/>
  <c r="Y30" i="201" s="1"/>
  <c r="Z30" i="201"/>
  <c r="X30" i="201"/>
  <c r="Q30" i="201"/>
  <c r="P30" i="201"/>
  <c r="H30" i="201"/>
  <c r="E30" i="201"/>
  <c r="I30" i="201" s="1"/>
  <c r="AI29" i="201"/>
  <c r="AE29" i="201"/>
  <c r="AD29" i="201"/>
  <c r="AC29" i="201"/>
  <c r="AB29" i="201"/>
  <c r="Z29" i="201"/>
  <c r="Y29" i="201"/>
  <c r="X29" i="201"/>
  <c r="Q29" i="201"/>
  <c r="P29" i="201"/>
  <c r="I29" i="201"/>
  <c r="H29" i="201"/>
  <c r="E29" i="201"/>
  <c r="AD28" i="201"/>
  <c r="AC28" i="201"/>
  <c r="AB28" i="201"/>
  <c r="AE28" i="201" s="1"/>
  <c r="AI28" i="201" s="1"/>
  <c r="Y28" i="201" s="1"/>
  <c r="Z28" i="201"/>
  <c r="X28" i="201"/>
  <c r="Q28" i="201"/>
  <c r="P28" i="201"/>
  <c r="I28" i="201"/>
  <c r="H28" i="201"/>
  <c r="E28" i="201"/>
  <c r="AD27" i="201"/>
  <c r="AC27" i="201"/>
  <c r="AB27" i="201"/>
  <c r="AE27" i="201" s="1"/>
  <c r="AI27" i="201" s="1"/>
  <c r="Y27" i="201" s="1"/>
  <c r="Z27" i="201"/>
  <c r="X27" i="201"/>
  <c r="Q27" i="201"/>
  <c r="P27" i="201"/>
  <c r="H27" i="201"/>
  <c r="E27" i="201"/>
  <c r="I27" i="201" s="1"/>
  <c r="AD26" i="201"/>
  <c r="AC26" i="201"/>
  <c r="AE26" i="201" s="1"/>
  <c r="AI26" i="201" s="1"/>
  <c r="Y26" i="201" s="1"/>
  <c r="AB26" i="201"/>
  <c r="Z26" i="201"/>
  <c r="X26" i="201"/>
  <c r="Q26" i="201"/>
  <c r="P26" i="201"/>
  <c r="H26" i="201"/>
  <c r="E26" i="201"/>
  <c r="I26" i="201" s="1"/>
  <c r="AD25" i="201"/>
  <c r="AE25" i="201" s="1"/>
  <c r="AI25" i="201" s="1"/>
  <c r="Y25" i="201" s="1"/>
  <c r="AC25" i="201"/>
  <c r="AB25" i="201"/>
  <c r="Z25" i="201"/>
  <c r="X25" i="201"/>
  <c r="Q25" i="201"/>
  <c r="P25" i="201"/>
  <c r="H25" i="201"/>
  <c r="E25" i="201"/>
  <c r="I25" i="201" s="1"/>
  <c r="AD24" i="201"/>
  <c r="AC24" i="201"/>
  <c r="AB24" i="201"/>
  <c r="AE24" i="201" s="1"/>
  <c r="AI24" i="201" s="1"/>
  <c r="Y24" i="201" s="1"/>
  <c r="Z24" i="201"/>
  <c r="X24" i="201"/>
  <c r="Q24" i="201"/>
  <c r="P24" i="201"/>
  <c r="H24" i="201"/>
  <c r="E24" i="201"/>
  <c r="I24" i="201" s="1"/>
  <c r="AD23" i="201"/>
  <c r="AE23" i="201" s="1"/>
  <c r="AI23" i="201" s="1"/>
  <c r="Y23" i="201" s="1"/>
  <c r="AC23" i="201"/>
  <c r="AB23" i="201"/>
  <c r="Z23" i="201"/>
  <c r="X23" i="201"/>
  <c r="Q23" i="201"/>
  <c r="P23" i="201"/>
  <c r="H23" i="201"/>
  <c r="E23" i="201"/>
  <c r="I23" i="201" s="1"/>
  <c r="AE22" i="201"/>
  <c r="AI22" i="201" s="1"/>
  <c r="Y22" i="201" s="1"/>
  <c r="AD22" i="201"/>
  <c r="AC22" i="201"/>
  <c r="AB22" i="201"/>
  <c r="Z22" i="201"/>
  <c r="X22" i="201"/>
  <c r="Q22" i="201"/>
  <c r="P22" i="201"/>
  <c r="I22" i="201"/>
  <c r="H22" i="201"/>
  <c r="E22" i="201"/>
  <c r="AD21" i="201"/>
  <c r="AC21" i="201"/>
  <c r="AB21" i="201"/>
  <c r="AE21" i="201" s="1"/>
  <c r="AI21" i="201" s="1"/>
  <c r="Y21" i="201" s="1"/>
  <c r="Z21" i="201"/>
  <c r="X21" i="201"/>
  <c r="Q21" i="201"/>
  <c r="P21" i="201"/>
  <c r="H21" i="201"/>
  <c r="E21" i="201"/>
  <c r="I21" i="201" s="1"/>
  <c r="AE20" i="201"/>
  <c r="AI20" i="201" s="1"/>
  <c r="Y20" i="201" s="1"/>
  <c r="AD20" i="201"/>
  <c r="AC20" i="201"/>
  <c r="AB20" i="201"/>
  <c r="Z20" i="201"/>
  <c r="X20" i="201"/>
  <c r="Q20" i="201"/>
  <c r="P20" i="201"/>
  <c r="H20" i="201"/>
  <c r="E20" i="201"/>
  <c r="I20" i="201" s="1"/>
  <c r="AD19" i="201"/>
  <c r="AC19" i="201"/>
  <c r="AB19" i="201"/>
  <c r="AE19" i="201" s="1"/>
  <c r="AI19" i="201" s="1"/>
  <c r="Y19" i="201" s="1"/>
  <c r="Z19" i="201"/>
  <c r="X19" i="201"/>
  <c r="Q19" i="201"/>
  <c r="P19" i="201"/>
  <c r="H19" i="201"/>
  <c r="E19" i="201"/>
  <c r="I19" i="201" s="1"/>
  <c r="AE18" i="201"/>
  <c r="AI18" i="201" s="1"/>
  <c r="Y18" i="201" s="1"/>
  <c r="AD18" i="201"/>
  <c r="AC18" i="201"/>
  <c r="AB18" i="201"/>
  <c r="Z18" i="201"/>
  <c r="X18" i="201"/>
  <c r="Q18" i="201"/>
  <c r="P18" i="201"/>
  <c r="H18" i="201"/>
  <c r="E18" i="201"/>
  <c r="I18" i="201" s="1"/>
  <c r="AD17" i="201"/>
  <c r="AC17" i="201"/>
  <c r="AB17" i="201"/>
  <c r="AE17" i="201" s="1"/>
  <c r="AI17" i="201" s="1"/>
  <c r="Y17" i="201" s="1"/>
  <c r="Z17" i="201"/>
  <c r="X17" i="201"/>
  <c r="Q17" i="201"/>
  <c r="P17" i="201"/>
  <c r="I17" i="201"/>
  <c r="H17" i="201"/>
  <c r="E17" i="201"/>
  <c r="AE16" i="201"/>
  <c r="AI16" i="201" s="1"/>
  <c r="Y16" i="201" s="1"/>
  <c r="AD16" i="201"/>
  <c r="AC16" i="201"/>
  <c r="AB16" i="201"/>
  <c r="Z16" i="201"/>
  <c r="X16" i="201"/>
  <c r="Q16" i="201"/>
  <c r="P16" i="201"/>
  <c r="E16" i="201"/>
  <c r="I16" i="201" s="1"/>
  <c r="AE15" i="201"/>
  <c r="AI15" i="201" s="1"/>
  <c r="Y15" i="201" s="1"/>
  <c r="AD15" i="201"/>
  <c r="AC15" i="201"/>
  <c r="AB15" i="201"/>
  <c r="Z15" i="201"/>
  <c r="X15" i="201"/>
  <c r="Q15" i="201"/>
  <c r="P15" i="201"/>
  <c r="E15" i="201"/>
  <c r="I15" i="201" s="1"/>
  <c r="AD14" i="201"/>
  <c r="AC14" i="201"/>
  <c r="AB14" i="201"/>
  <c r="AE14" i="201" s="1"/>
  <c r="AI14" i="201" s="1"/>
  <c r="Y14" i="201" s="1"/>
  <c r="Z14" i="201"/>
  <c r="X14" i="201"/>
  <c r="Q14" i="201"/>
  <c r="O75" i="201" s="1"/>
  <c r="P14" i="201"/>
  <c r="H14" i="201"/>
  <c r="E14" i="201"/>
  <c r="I14" i="201" s="1"/>
  <c r="AD13" i="201"/>
  <c r="AC13" i="201"/>
  <c r="AE13" i="201" s="1"/>
  <c r="AI13" i="201" s="1"/>
  <c r="Y13" i="201" s="1"/>
  <c r="AB13" i="201"/>
  <c r="Z13" i="201"/>
  <c r="X13" i="201"/>
  <c r="Q13" i="201"/>
  <c r="P13" i="201"/>
  <c r="H13" i="201"/>
  <c r="E13" i="201"/>
  <c r="I13" i="201" s="1"/>
  <c r="AD12" i="201"/>
  <c r="AC12" i="201"/>
  <c r="AE12" i="201" s="1"/>
  <c r="AI12" i="201" s="1"/>
  <c r="Y12" i="201" s="1"/>
  <c r="AB12" i="201"/>
  <c r="Z12" i="201"/>
  <c r="T75" i="201" s="1"/>
  <c r="X12" i="201"/>
  <c r="T77" i="201" s="1"/>
  <c r="Q12" i="201"/>
  <c r="O73" i="201" s="1"/>
  <c r="P12" i="201"/>
  <c r="I12" i="201"/>
  <c r="H12" i="201"/>
  <c r="E12" i="201"/>
  <c r="T79" i="202" l="1"/>
  <c r="F77" i="202" s="1"/>
  <c r="F75" i="201"/>
  <c r="T73" i="201"/>
  <c r="T79" i="201" s="1"/>
  <c r="F73" i="201"/>
  <c r="Z36" i="200"/>
  <c r="X20" i="200"/>
  <c r="I39" i="200"/>
  <c r="M79" i="200"/>
  <c r="P71" i="200"/>
  <c r="Q70" i="200"/>
  <c r="P70" i="200"/>
  <c r="H70" i="200"/>
  <c r="E70" i="200"/>
  <c r="I70" i="200" s="1"/>
  <c r="Q69" i="200"/>
  <c r="P69" i="200"/>
  <c r="I69" i="200"/>
  <c r="H69" i="200"/>
  <c r="E69" i="200"/>
  <c r="AD68" i="200"/>
  <c r="AC68" i="200"/>
  <c r="AB68" i="200"/>
  <c r="AE68" i="200" s="1"/>
  <c r="AI68" i="200" s="1"/>
  <c r="Y68" i="200" s="1"/>
  <c r="Z68" i="200"/>
  <c r="X68" i="200"/>
  <c r="Q68" i="200"/>
  <c r="P68" i="200"/>
  <c r="H68" i="200"/>
  <c r="E68" i="200"/>
  <c r="I68" i="200" s="1"/>
  <c r="AI67" i="200"/>
  <c r="Y67" i="200" s="1"/>
  <c r="AE67" i="200"/>
  <c r="AD67" i="200"/>
  <c r="AC67" i="200"/>
  <c r="AB67" i="200"/>
  <c r="Z67" i="200"/>
  <c r="X67" i="200"/>
  <c r="Q67" i="200"/>
  <c r="P67" i="200"/>
  <c r="H67" i="200"/>
  <c r="E67" i="200"/>
  <c r="I67" i="200" s="1"/>
  <c r="AE66" i="200"/>
  <c r="AI66" i="200" s="1"/>
  <c r="Y66" i="200" s="1"/>
  <c r="AD66" i="200"/>
  <c r="AC66" i="200"/>
  <c r="AB66" i="200"/>
  <c r="Z66" i="200"/>
  <c r="X66" i="200"/>
  <c r="Q66" i="200"/>
  <c r="P66" i="200"/>
  <c r="H66" i="200"/>
  <c r="E66" i="200"/>
  <c r="I66" i="200" s="1"/>
  <c r="AE65" i="200"/>
  <c r="AI65" i="200" s="1"/>
  <c r="Y65" i="200" s="1"/>
  <c r="AD65" i="200"/>
  <c r="AC65" i="200"/>
  <c r="AB65" i="200"/>
  <c r="Z65" i="200"/>
  <c r="X65" i="200"/>
  <c r="Q65" i="200"/>
  <c r="P65" i="200"/>
  <c r="H65" i="200"/>
  <c r="E65" i="200"/>
  <c r="I65" i="200" s="1"/>
  <c r="AD64" i="200"/>
  <c r="AC64" i="200"/>
  <c r="AB64" i="200"/>
  <c r="AE64" i="200" s="1"/>
  <c r="AI64" i="200" s="1"/>
  <c r="Y64" i="200" s="1"/>
  <c r="Z64" i="200"/>
  <c r="X64" i="200"/>
  <c r="Q64" i="200"/>
  <c r="P64" i="200"/>
  <c r="H64" i="200"/>
  <c r="E64" i="200"/>
  <c r="I64" i="200" s="1"/>
  <c r="AE63" i="200"/>
  <c r="AI63" i="200" s="1"/>
  <c r="Y63" i="200" s="1"/>
  <c r="AD63" i="200"/>
  <c r="AC63" i="200"/>
  <c r="AB63" i="200"/>
  <c r="Z63" i="200"/>
  <c r="X63" i="200"/>
  <c r="Q63" i="200"/>
  <c r="P63" i="200"/>
  <c r="H63" i="200"/>
  <c r="E63" i="200"/>
  <c r="I63" i="200" s="1"/>
  <c r="AD62" i="200"/>
  <c r="AC62" i="200"/>
  <c r="AB62" i="200"/>
  <c r="AE62" i="200" s="1"/>
  <c r="AI62" i="200" s="1"/>
  <c r="Y62" i="200" s="1"/>
  <c r="Z62" i="200"/>
  <c r="X62" i="200"/>
  <c r="Q62" i="200"/>
  <c r="P62" i="200"/>
  <c r="H62" i="200"/>
  <c r="E62" i="200"/>
  <c r="I62" i="200" s="1"/>
  <c r="AC61" i="200"/>
  <c r="AE61" i="200" s="1"/>
  <c r="AI61" i="200" s="1"/>
  <c r="Y61" i="200" s="1"/>
  <c r="AB61" i="200"/>
  <c r="X61" i="200"/>
  <c r="Q61" i="200"/>
  <c r="P61" i="200"/>
  <c r="H61" i="200"/>
  <c r="E61" i="200"/>
  <c r="I61" i="200" s="1"/>
  <c r="AI60" i="200"/>
  <c r="Y60" i="200" s="1"/>
  <c r="AE60" i="200"/>
  <c r="X60" i="200"/>
  <c r="Q60" i="200"/>
  <c r="P60" i="200"/>
  <c r="I60" i="200"/>
  <c r="H60" i="200"/>
  <c r="E60" i="200"/>
  <c r="AC59" i="200"/>
  <c r="AB59" i="200"/>
  <c r="AE59" i="200" s="1"/>
  <c r="AI59" i="200" s="1"/>
  <c r="Y59" i="200" s="1"/>
  <c r="X59" i="200"/>
  <c r="Q59" i="200"/>
  <c r="P59" i="200"/>
  <c r="H59" i="200"/>
  <c r="E59" i="200"/>
  <c r="I59" i="200" s="1"/>
  <c r="AC58" i="200"/>
  <c r="AB58" i="200"/>
  <c r="AE58" i="200" s="1"/>
  <c r="AI58" i="200" s="1"/>
  <c r="Y58" i="200" s="1"/>
  <c r="X58" i="200"/>
  <c r="Q58" i="200"/>
  <c r="P58" i="200"/>
  <c r="I58" i="200"/>
  <c r="E58" i="200"/>
  <c r="AC57" i="200"/>
  <c r="AE57" i="200" s="1"/>
  <c r="AI57" i="200" s="1"/>
  <c r="Y57" i="200" s="1"/>
  <c r="AB57" i="200"/>
  <c r="X57" i="200"/>
  <c r="Q57" i="200"/>
  <c r="P57" i="200"/>
  <c r="I57" i="200"/>
  <c r="H57" i="200"/>
  <c r="E57" i="200"/>
  <c r="AD56" i="200"/>
  <c r="AC56" i="200"/>
  <c r="AE56" i="200" s="1"/>
  <c r="AI56" i="200" s="1"/>
  <c r="Y56" i="200" s="1"/>
  <c r="AB56" i="200"/>
  <c r="Z56" i="200"/>
  <c r="X56" i="200"/>
  <c r="Q56" i="200"/>
  <c r="P56" i="200"/>
  <c r="H56" i="200"/>
  <c r="E56" i="200"/>
  <c r="I56" i="200" s="1"/>
  <c r="AE55" i="200"/>
  <c r="AI55" i="200" s="1"/>
  <c r="Y55" i="200" s="1"/>
  <c r="AD55" i="200"/>
  <c r="AC55" i="200"/>
  <c r="AB55" i="200"/>
  <c r="Z55" i="200"/>
  <c r="X55" i="200"/>
  <c r="Q55" i="200"/>
  <c r="P55" i="200"/>
  <c r="I55" i="200"/>
  <c r="H55" i="200"/>
  <c r="E55" i="200"/>
  <c r="AD54" i="200"/>
  <c r="AC54" i="200"/>
  <c r="AB54" i="200"/>
  <c r="AE54" i="200" s="1"/>
  <c r="AI54" i="200" s="1"/>
  <c r="Y54" i="200" s="1"/>
  <c r="Z54" i="200"/>
  <c r="X54" i="200"/>
  <c r="Q54" i="200"/>
  <c r="P54" i="200"/>
  <c r="H54" i="200"/>
  <c r="E54" i="200"/>
  <c r="I54" i="200" s="1"/>
  <c r="AD53" i="200"/>
  <c r="AC53" i="200"/>
  <c r="AB53" i="200"/>
  <c r="AE53" i="200" s="1"/>
  <c r="AI53" i="200" s="1"/>
  <c r="Y53" i="200" s="1"/>
  <c r="Z53" i="200"/>
  <c r="X53" i="200"/>
  <c r="Q53" i="200"/>
  <c r="P53" i="200"/>
  <c r="H53" i="200"/>
  <c r="E53" i="200"/>
  <c r="I53" i="200" s="1"/>
  <c r="AE52" i="200"/>
  <c r="AI52" i="200" s="1"/>
  <c r="Y52" i="200" s="1"/>
  <c r="Z52" i="200"/>
  <c r="X52" i="200"/>
  <c r="Q52" i="200"/>
  <c r="P52" i="200"/>
  <c r="I52" i="200"/>
  <c r="H52" i="200"/>
  <c r="E52" i="200"/>
  <c r="AD51" i="200"/>
  <c r="AC51" i="200"/>
  <c r="AB51" i="200"/>
  <c r="AE51" i="200" s="1"/>
  <c r="AI51" i="200" s="1"/>
  <c r="Y51" i="200" s="1"/>
  <c r="Z51" i="200"/>
  <c r="X51" i="200"/>
  <c r="Q51" i="200"/>
  <c r="P51" i="200"/>
  <c r="H51" i="200"/>
  <c r="E51" i="200"/>
  <c r="I51" i="200" s="1"/>
  <c r="AD50" i="200"/>
  <c r="AC50" i="200"/>
  <c r="AE50" i="200" s="1"/>
  <c r="AI50" i="200" s="1"/>
  <c r="Y50" i="200" s="1"/>
  <c r="AB50" i="200"/>
  <c r="Z50" i="200"/>
  <c r="X50" i="200"/>
  <c r="Q50" i="200"/>
  <c r="P50" i="200"/>
  <c r="I50" i="200"/>
  <c r="H50" i="200"/>
  <c r="E50" i="200"/>
  <c r="AE49" i="200"/>
  <c r="AI49" i="200" s="1"/>
  <c r="Y49" i="200" s="1"/>
  <c r="Z49" i="200"/>
  <c r="X49" i="200"/>
  <c r="Q49" i="200"/>
  <c r="P49" i="200"/>
  <c r="H49" i="200"/>
  <c r="E49" i="200"/>
  <c r="I49" i="200" s="1"/>
  <c r="AE48" i="200"/>
  <c r="AI48" i="200" s="1"/>
  <c r="Y48" i="200" s="1"/>
  <c r="Z48" i="200"/>
  <c r="X48" i="200"/>
  <c r="Q48" i="200"/>
  <c r="P48" i="200"/>
  <c r="I48" i="200"/>
  <c r="H48" i="200"/>
  <c r="E48" i="200"/>
  <c r="AI47" i="200"/>
  <c r="Y47" i="200" s="1"/>
  <c r="AE47" i="200"/>
  <c r="Z47" i="200"/>
  <c r="X47" i="200"/>
  <c r="Q47" i="200"/>
  <c r="P47" i="200"/>
  <c r="I47" i="200"/>
  <c r="H47" i="200"/>
  <c r="E47" i="200"/>
  <c r="AE46" i="200"/>
  <c r="AI46" i="200" s="1"/>
  <c r="Y46" i="200" s="1"/>
  <c r="AD46" i="200"/>
  <c r="AC46" i="200"/>
  <c r="AB46" i="200"/>
  <c r="Z46" i="200"/>
  <c r="X46" i="200"/>
  <c r="Q46" i="200"/>
  <c r="P46" i="200"/>
  <c r="H46" i="200"/>
  <c r="E46" i="200"/>
  <c r="I46" i="200" s="1"/>
  <c r="AD45" i="200"/>
  <c r="AC45" i="200"/>
  <c r="AB45" i="200"/>
  <c r="AE45" i="200" s="1"/>
  <c r="AI45" i="200" s="1"/>
  <c r="Y45" i="200" s="1"/>
  <c r="Z45" i="200"/>
  <c r="X45" i="200"/>
  <c r="Q45" i="200"/>
  <c r="P45" i="200"/>
  <c r="H45" i="200"/>
  <c r="E45" i="200"/>
  <c r="I45" i="200" s="1"/>
  <c r="AD44" i="200"/>
  <c r="AC44" i="200"/>
  <c r="AB44" i="200"/>
  <c r="AE44" i="200" s="1"/>
  <c r="AI44" i="200" s="1"/>
  <c r="Y44" i="200" s="1"/>
  <c r="Z44" i="200"/>
  <c r="X44" i="200"/>
  <c r="Q44" i="200"/>
  <c r="P44" i="200"/>
  <c r="H44" i="200"/>
  <c r="E44" i="200"/>
  <c r="I44" i="200" s="1"/>
  <c r="AE43" i="200"/>
  <c r="AI43" i="200" s="1"/>
  <c r="Y43" i="200" s="1"/>
  <c r="AD43" i="200"/>
  <c r="AC43" i="200"/>
  <c r="AB43" i="200"/>
  <c r="Z43" i="200"/>
  <c r="X43" i="200"/>
  <c r="Q43" i="200"/>
  <c r="P43" i="200"/>
  <c r="I43" i="200"/>
  <c r="H43" i="200"/>
  <c r="E43" i="200"/>
  <c r="AD42" i="200"/>
  <c r="AC42" i="200"/>
  <c r="AB42" i="200"/>
  <c r="AE42" i="200" s="1"/>
  <c r="AI42" i="200" s="1"/>
  <c r="Y42" i="200" s="1"/>
  <c r="Z42" i="200"/>
  <c r="X42" i="200"/>
  <c r="Q42" i="200"/>
  <c r="P42" i="200"/>
  <c r="I42" i="200"/>
  <c r="H42" i="200"/>
  <c r="E42" i="200"/>
  <c r="AD41" i="200"/>
  <c r="AC41" i="200"/>
  <c r="AB41" i="200"/>
  <c r="AE41" i="200" s="1"/>
  <c r="AI41" i="200" s="1"/>
  <c r="Y41" i="200" s="1"/>
  <c r="Z41" i="200"/>
  <c r="X41" i="200"/>
  <c r="Q41" i="200"/>
  <c r="P41" i="200"/>
  <c r="H41" i="200"/>
  <c r="E41" i="200"/>
  <c r="I41" i="200" s="1"/>
  <c r="AE40" i="200"/>
  <c r="AI40" i="200" s="1"/>
  <c r="Y40" i="200" s="1"/>
  <c r="AD40" i="200"/>
  <c r="AC40" i="200"/>
  <c r="AB40" i="200"/>
  <c r="Z40" i="200"/>
  <c r="X40" i="200"/>
  <c r="Q40" i="200"/>
  <c r="P40" i="200"/>
  <c r="I40" i="200"/>
  <c r="H40" i="200"/>
  <c r="E40" i="200"/>
  <c r="AD39" i="200"/>
  <c r="AC39" i="200"/>
  <c r="AB39" i="200"/>
  <c r="AE39" i="200" s="1"/>
  <c r="AI39" i="200" s="1"/>
  <c r="Y39" i="200" s="1"/>
  <c r="Z39" i="200"/>
  <c r="X39" i="200"/>
  <c r="Q39" i="200"/>
  <c r="P39" i="200"/>
  <c r="H39" i="200"/>
  <c r="E39" i="200"/>
  <c r="AD38" i="200"/>
  <c r="AC38" i="200"/>
  <c r="AB38" i="200"/>
  <c r="AE38" i="200" s="1"/>
  <c r="AI38" i="200" s="1"/>
  <c r="Y38" i="200" s="1"/>
  <c r="Z38" i="200"/>
  <c r="X38" i="200"/>
  <c r="Q38" i="200"/>
  <c r="P38" i="200"/>
  <c r="I38" i="200"/>
  <c r="H38" i="200"/>
  <c r="E38" i="200"/>
  <c r="AD37" i="200"/>
  <c r="AC37" i="200"/>
  <c r="AE37" i="200" s="1"/>
  <c r="AI37" i="200" s="1"/>
  <c r="Y37" i="200" s="1"/>
  <c r="AB37" i="200"/>
  <c r="Z37" i="200"/>
  <c r="X37" i="200"/>
  <c r="Q37" i="200"/>
  <c r="P37" i="200"/>
  <c r="I37" i="200"/>
  <c r="H37" i="200"/>
  <c r="E37" i="200"/>
  <c r="AE36" i="200"/>
  <c r="AI36" i="200" s="1"/>
  <c r="Y36" i="200" s="1"/>
  <c r="AD36" i="200"/>
  <c r="AC36" i="200"/>
  <c r="AB36" i="200"/>
  <c r="Q36" i="200"/>
  <c r="P36" i="200"/>
  <c r="E36" i="200"/>
  <c r="AD35" i="200"/>
  <c r="AC35" i="200"/>
  <c r="AB35" i="200"/>
  <c r="AE35" i="200" s="1"/>
  <c r="AI35" i="200" s="1"/>
  <c r="Y35" i="200" s="1"/>
  <c r="Z35" i="200"/>
  <c r="X35" i="200"/>
  <c r="Q35" i="200"/>
  <c r="P35" i="200"/>
  <c r="I35" i="200"/>
  <c r="H35" i="200"/>
  <c r="E35" i="200"/>
  <c r="AD34" i="200"/>
  <c r="AC34" i="200"/>
  <c r="AE34" i="200" s="1"/>
  <c r="AI34" i="200" s="1"/>
  <c r="Y34" i="200" s="1"/>
  <c r="AB34" i="200"/>
  <c r="Z34" i="200"/>
  <c r="X34" i="200"/>
  <c r="Q34" i="200"/>
  <c r="P34" i="200"/>
  <c r="H34" i="200"/>
  <c r="E34" i="200"/>
  <c r="I34" i="200" s="1"/>
  <c r="AD33" i="200"/>
  <c r="AC33" i="200"/>
  <c r="AB33" i="200"/>
  <c r="AE33" i="200" s="1"/>
  <c r="AI33" i="200" s="1"/>
  <c r="Y33" i="200" s="1"/>
  <c r="Z33" i="200"/>
  <c r="X33" i="200"/>
  <c r="Q33" i="200"/>
  <c r="P33" i="200"/>
  <c r="I33" i="200"/>
  <c r="H33" i="200"/>
  <c r="E33" i="200"/>
  <c r="AD32" i="200"/>
  <c r="AC32" i="200"/>
  <c r="AB32" i="200"/>
  <c r="AE32" i="200" s="1"/>
  <c r="AI32" i="200" s="1"/>
  <c r="Y32" i="200" s="1"/>
  <c r="Z32" i="200"/>
  <c r="X32" i="200"/>
  <c r="Q32" i="200"/>
  <c r="P32" i="200"/>
  <c r="H32" i="200"/>
  <c r="E32" i="200"/>
  <c r="I32" i="200" s="1"/>
  <c r="AI31" i="200"/>
  <c r="Y31" i="200" s="1"/>
  <c r="AE31" i="200"/>
  <c r="Z31" i="200"/>
  <c r="X31" i="200"/>
  <c r="Q31" i="200"/>
  <c r="P31" i="200"/>
  <c r="I31" i="200"/>
  <c r="H31" i="200"/>
  <c r="E31" i="200"/>
  <c r="AD30" i="200"/>
  <c r="AC30" i="200"/>
  <c r="AB30" i="200"/>
  <c r="AE30" i="200" s="1"/>
  <c r="AI30" i="200" s="1"/>
  <c r="Y30" i="200" s="1"/>
  <c r="Z30" i="200"/>
  <c r="X30" i="200"/>
  <c r="Q30" i="200"/>
  <c r="P30" i="200"/>
  <c r="H30" i="200"/>
  <c r="E30" i="200"/>
  <c r="I30" i="200" s="1"/>
  <c r="AD29" i="200"/>
  <c r="AC29" i="200"/>
  <c r="AB29" i="200"/>
  <c r="AE29" i="200" s="1"/>
  <c r="AI29" i="200" s="1"/>
  <c r="Y29" i="200" s="1"/>
  <c r="Z29" i="200"/>
  <c r="X29" i="200"/>
  <c r="Q29" i="200"/>
  <c r="P29" i="200"/>
  <c r="H29" i="200"/>
  <c r="E29" i="200"/>
  <c r="I29" i="200" s="1"/>
  <c r="AE28" i="200"/>
  <c r="AI28" i="200" s="1"/>
  <c r="Y28" i="200" s="1"/>
  <c r="AD28" i="200"/>
  <c r="AC28" i="200"/>
  <c r="AB28" i="200"/>
  <c r="Z28" i="200"/>
  <c r="X28" i="200"/>
  <c r="Q28" i="200"/>
  <c r="P28" i="200"/>
  <c r="I28" i="200"/>
  <c r="H28" i="200"/>
  <c r="E28" i="200"/>
  <c r="AD27" i="200"/>
  <c r="AC27" i="200"/>
  <c r="AB27" i="200"/>
  <c r="AE27" i="200" s="1"/>
  <c r="AI27" i="200" s="1"/>
  <c r="Y27" i="200" s="1"/>
  <c r="Z27" i="200"/>
  <c r="X27" i="200"/>
  <c r="Q27" i="200"/>
  <c r="P27" i="200"/>
  <c r="I27" i="200"/>
  <c r="H27" i="200"/>
  <c r="E27" i="200"/>
  <c r="AD26" i="200"/>
  <c r="AC26" i="200"/>
  <c r="AB26" i="200"/>
  <c r="AE26" i="200" s="1"/>
  <c r="AI26" i="200" s="1"/>
  <c r="Y26" i="200" s="1"/>
  <c r="Z26" i="200"/>
  <c r="X26" i="200"/>
  <c r="Q26" i="200"/>
  <c r="P26" i="200"/>
  <c r="H26" i="200"/>
  <c r="E26" i="200"/>
  <c r="I26" i="200" s="1"/>
  <c r="AE25" i="200"/>
  <c r="AI25" i="200" s="1"/>
  <c r="Y25" i="200" s="1"/>
  <c r="AD25" i="200"/>
  <c r="AC25" i="200"/>
  <c r="AB25" i="200"/>
  <c r="Z25" i="200"/>
  <c r="X25" i="200"/>
  <c r="Q25" i="200"/>
  <c r="P25" i="200"/>
  <c r="I25" i="200"/>
  <c r="H25" i="200"/>
  <c r="E25" i="200"/>
  <c r="AD24" i="200"/>
  <c r="AC24" i="200"/>
  <c r="AB24" i="200"/>
  <c r="AE24" i="200" s="1"/>
  <c r="AI24" i="200" s="1"/>
  <c r="Y24" i="200" s="1"/>
  <c r="Z24" i="200"/>
  <c r="X24" i="200"/>
  <c r="Q24" i="200"/>
  <c r="P24" i="200"/>
  <c r="I24" i="200"/>
  <c r="H24" i="200"/>
  <c r="E24" i="200"/>
  <c r="AI23" i="200"/>
  <c r="Y23" i="200" s="1"/>
  <c r="AE23" i="200"/>
  <c r="AD23" i="200"/>
  <c r="AC23" i="200"/>
  <c r="AB23" i="200"/>
  <c r="Z23" i="200"/>
  <c r="X23" i="200"/>
  <c r="Q23" i="200"/>
  <c r="P23" i="200"/>
  <c r="I23" i="200"/>
  <c r="H23" i="200"/>
  <c r="E23" i="200"/>
  <c r="AD22" i="200"/>
  <c r="AC22" i="200"/>
  <c r="AE22" i="200" s="1"/>
  <c r="AI22" i="200" s="1"/>
  <c r="Y22" i="200" s="1"/>
  <c r="AB22" i="200"/>
  <c r="Z22" i="200"/>
  <c r="X22" i="200"/>
  <c r="Q22" i="200"/>
  <c r="P22" i="200"/>
  <c r="I22" i="200"/>
  <c r="H22" i="200"/>
  <c r="E22" i="200"/>
  <c r="AD21" i="200"/>
  <c r="AC21" i="200"/>
  <c r="AB21" i="200"/>
  <c r="AE21" i="200" s="1"/>
  <c r="AI21" i="200" s="1"/>
  <c r="Y21" i="200" s="1"/>
  <c r="Z21" i="200"/>
  <c r="X21" i="200"/>
  <c r="Q21" i="200"/>
  <c r="P21" i="200"/>
  <c r="H21" i="200"/>
  <c r="E21" i="200"/>
  <c r="I21" i="200" s="1"/>
  <c r="AD20" i="200"/>
  <c r="AC20" i="200"/>
  <c r="AB20" i="200"/>
  <c r="AE20" i="200" s="1"/>
  <c r="AI20" i="200" s="1"/>
  <c r="Y20" i="200" s="1"/>
  <c r="Z20" i="200"/>
  <c r="Q20" i="200"/>
  <c r="P20" i="200"/>
  <c r="E20" i="200"/>
  <c r="AD19" i="200"/>
  <c r="AC19" i="200"/>
  <c r="AE19" i="200" s="1"/>
  <c r="AI19" i="200" s="1"/>
  <c r="Y19" i="200" s="1"/>
  <c r="AB19" i="200"/>
  <c r="Z19" i="200"/>
  <c r="X19" i="200"/>
  <c r="Q19" i="200"/>
  <c r="P19" i="200"/>
  <c r="H19" i="200"/>
  <c r="E19" i="200"/>
  <c r="I19" i="200" s="1"/>
  <c r="AD18" i="200"/>
  <c r="AC18" i="200"/>
  <c r="AB18" i="200"/>
  <c r="AE18" i="200" s="1"/>
  <c r="AI18" i="200" s="1"/>
  <c r="Y18" i="200" s="1"/>
  <c r="Z18" i="200"/>
  <c r="X18" i="200"/>
  <c r="Q18" i="200"/>
  <c r="P18" i="200"/>
  <c r="H18" i="200"/>
  <c r="E18" i="200"/>
  <c r="I18" i="200" s="1"/>
  <c r="AD17" i="200"/>
  <c r="AC17" i="200"/>
  <c r="AB17" i="200"/>
  <c r="AE17" i="200" s="1"/>
  <c r="AI17" i="200" s="1"/>
  <c r="Y17" i="200" s="1"/>
  <c r="Z17" i="200"/>
  <c r="X17" i="200"/>
  <c r="Q17" i="200"/>
  <c r="P17" i="200"/>
  <c r="H17" i="200"/>
  <c r="E17" i="200"/>
  <c r="I17" i="200" s="1"/>
  <c r="AD16" i="200"/>
  <c r="AC16" i="200"/>
  <c r="AE16" i="200" s="1"/>
  <c r="AI16" i="200" s="1"/>
  <c r="Y16" i="200" s="1"/>
  <c r="AB16" i="200"/>
  <c r="Z16" i="200"/>
  <c r="X16" i="200"/>
  <c r="Q16" i="200"/>
  <c r="P16" i="200"/>
  <c r="I16" i="200"/>
  <c r="E16" i="200"/>
  <c r="AD15" i="200"/>
  <c r="AC15" i="200"/>
  <c r="AB15" i="200"/>
  <c r="AE15" i="200" s="1"/>
  <c r="AI15" i="200" s="1"/>
  <c r="Y15" i="200" s="1"/>
  <c r="Z15" i="200"/>
  <c r="X15" i="200"/>
  <c r="Q15" i="200"/>
  <c r="P15" i="200"/>
  <c r="I15" i="200"/>
  <c r="E15" i="200"/>
  <c r="AD14" i="200"/>
  <c r="AC14" i="200"/>
  <c r="AB14" i="200"/>
  <c r="AE14" i="200" s="1"/>
  <c r="AI14" i="200" s="1"/>
  <c r="Y14" i="200" s="1"/>
  <c r="Z14" i="200"/>
  <c r="X14" i="200"/>
  <c r="Q14" i="200"/>
  <c r="P14" i="200"/>
  <c r="I14" i="200"/>
  <c r="H14" i="200"/>
  <c r="E14" i="200"/>
  <c r="AD13" i="200"/>
  <c r="AC13" i="200"/>
  <c r="AB13" i="200"/>
  <c r="AE13" i="200" s="1"/>
  <c r="AI13" i="200" s="1"/>
  <c r="Y13" i="200" s="1"/>
  <c r="Z13" i="200"/>
  <c r="X13" i="200"/>
  <c r="Q13" i="200"/>
  <c r="P13" i="200"/>
  <c r="H13" i="200"/>
  <c r="E13" i="200"/>
  <c r="I13" i="200" s="1"/>
  <c r="AD12" i="200"/>
  <c r="AC12" i="200"/>
  <c r="AE12" i="200" s="1"/>
  <c r="AI12" i="200" s="1"/>
  <c r="Y12" i="200" s="1"/>
  <c r="AB12" i="200"/>
  <c r="Z12" i="200"/>
  <c r="X12" i="200"/>
  <c r="Q12" i="200"/>
  <c r="P12" i="200"/>
  <c r="I12" i="200"/>
  <c r="H12" i="200"/>
  <c r="E12" i="200"/>
  <c r="F77" i="201" l="1"/>
  <c r="O73" i="200"/>
  <c r="O75" i="200"/>
  <c r="I36" i="200"/>
  <c r="H36" i="200"/>
  <c r="X36" i="200"/>
  <c r="T77" i="200" s="1"/>
  <c r="H20" i="200"/>
  <c r="I20" i="200"/>
  <c r="H71" i="200"/>
  <c r="T75" i="200"/>
  <c r="T73" i="200"/>
  <c r="F73" i="200" l="1"/>
  <c r="T79" i="200"/>
  <c r="F77" i="200" s="1"/>
  <c r="F75" i="200"/>
</calcChain>
</file>

<file path=xl/sharedStrings.xml><?xml version="1.0" encoding="utf-8"?>
<sst xmlns="http://schemas.openxmlformats.org/spreadsheetml/2006/main" count="846" uniqueCount="134">
  <si>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</si>
  <si>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</si>
  <si>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</si>
  <si>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</si>
  <si>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</si>
  <si>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</si>
  <si>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</si>
  <si>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</si>
  <si>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</si>
  <si>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CAN</t>
  </si>
  <si>
    <t>TRIP NUMBER:</t>
  </si>
  <si>
    <t>CREDIT</t>
  </si>
  <si>
    <t>KIRIN</t>
  </si>
  <si>
    <t>500 can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</si>
  <si>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</si>
  <si>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</si>
  <si>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</si>
  <si>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</si>
  <si>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</si>
  <si>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</si>
  <si>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</si>
  <si>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</si>
  <si>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</si>
  <si>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</si>
  <si>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DL PRM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</si>
  <si>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</si>
  <si>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</si>
  <si>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</si>
  <si>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</si>
  <si>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</si>
  <si>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</si>
  <si>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</si>
  <si>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</si>
  <si>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</si>
  <si>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</si>
  <si>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</si>
  <si>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</si>
  <si>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</si>
  <si>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</si>
  <si>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</si>
  <si>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</si>
  <si>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</si>
  <si>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PP 320</t>
  </si>
  <si>
    <t>PP 1000</t>
  </si>
  <si>
    <t>RH 330</t>
  </si>
  <si>
    <t>RH 500</t>
  </si>
  <si>
    <t>RH 1000</t>
  </si>
  <si>
    <t>RH SUPER</t>
  </si>
  <si>
    <t>GE 1000</t>
  </si>
  <si>
    <t>SML 330</t>
  </si>
  <si>
    <t xml:space="preserve">FB APPLE </t>
  </si>
  <si>
    <t>FB LEMON</t>
  </si>
  <si>
    <t>FB LYCHEE</t>
  </si>
  <si>
    <t>PAM 330</t>
  </si>
  <si>
    <t>SD 330</t>
  </si>
  <si>
    <t>PP 330</t>
  </si>
  <si>
    <t>CN 330</t>
  </si>
  <si>
    <t>CERVESA BLANCA</t>
  </si>
  <si>
    <t>CALI 330</t>
  </si>
  <si>
    <t>CICE 330</t>
  </si>
  <si>
    <t>GE 320</t>
  </si>
  <si>
    <t>OKTO 330</t>
  </si>
  <si>
    <t>SMZero</t>
  </si>
  <si>
    <t>RH KING CAN 500</t>
  </si>
  <si>
    <t>PP Can</t>
  </si>
  <si>
    <t>RH Can</t>
  </si>
  <si>
    <t>SML Can</t>
  </si>
  <si>
    <t>PAM Can</t>
  </si>
  <si>
    <t>SD Can</t>
  </si>
  <si>
    <t>CALI Can</t>
  </si>
  <si>
    <t>CICE Can</t>
  </si>
  <si>
    <t>CALI 10</t>
  </si>
  <si>
    <t>FB App Can</t>
  </si>
  <si>
    <t>FB Lem Can</t>
  </si>
  <si>
    <t>FB Lyc Can</t>
  </si>
  <si>
    <t>KIRIN 330</t>
  </si>
  <si>
    <t>KIRIN Can</t>
  </si>
  <si>
    <t>DB30L PP</t>
  </si>
  <si>
    <t>PP DB 15L</t>
  </si>
  <si>
    <t>DB30L SML</t>
  </si>
  <si>
    <t>San Mig Free 330</t>
  </si>
  <si>
    <t>San Mig Free Can 330</t>
  </si>
  <si>
    <t>SMigCol250</t>
  </si>
  <si>
    <t>HS CITRUS MIX CAN</t>
  </si>
  <si>
    <t>CHOCO LAGER CAN</t>
  </si>
  <si>
    <t>CERVESA NEGRA CAN</t>
  </si>
  <si>
    <t>CERVESA BLANCA CAN</t>
  </si>
  <si>
    <t>HT Lemon</t>
  </si>
  <si>
    <t>HT Apple</t>
  </si>
  <si>
    <t>HT Strawberry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</si>
  <si>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</si>
  <si>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</si>
  <si>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</si>
  <si>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</si>
  <si>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</si>
  <si>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</si>
  <si>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</si>
  <si>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</si>
  <si>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</si>
  <si>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</si>
  <si>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</si>
  <si>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</si>
  <si>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</si>
  <si>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</si>
  <si>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</si>
  <si>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</si>
  <si>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</si>
  <si>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</si>
  <si>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</si>
  <si>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</si>
  <si>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</si>
  <si>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</si>
  <si>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</si>
  <si>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</si>
  <si>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</si>
  <si>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</si>
  <si>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</si>
  <si>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</si>
  <si>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</si>
  <si>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</si>
  <si>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</si>
  <si>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</si>
  <si>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</si>
  <si>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</si>
  <si>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</si>
  <si>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</si>
  <si>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</si>
  <si>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</si>
  <si>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CASH Discount</t>
  </si>
  <si>
    <t>CASH DISCOUNT</t>
  </si>
  <si>
    <t>GUILLERMO BEVERAGES DISTRIBUTION SERVICES</t>
  </si>
  <si>
    <t>x</t>
  </si>
  <si>
    <t>ROBERTO CHIONG</t>
  </si>
  <si>
    <t>NEILVIN BAGUIO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</si>
</sst>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 Narrow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95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4" fillId="0" borderId="0" xfId="1" applyFont="1" applyFill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2" borderId="1" xfId="2" applyFont="1" applyFill="1" applyBorder="1" applyAlignment="1" applyProtection="1">
      <alignment horizontal="center" vertical="center"/>
      <protection locked="0"/>
    </xf>
    <xf numFmtId="0" fontId="11" fillId="0" borderId="0" xfId="2" applyFont="1" applyAlignment="1">
      <alignment vertical="center"/>
    </xf>
    <xf numFmtId="164" fontId="11" fillId="0" borderId="0" xfId="1" applyFont="1" applyFill="1" applyAlignment="1" applyProtection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3" fillId="2" borderId="1" xfId="2" applyFont="1" applyFill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164" fontId="15" fillId="0" borderId="0" xfId="1" applyFont="1" applyFill="1" applyAlignment="1" applyProtection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166" fontId="17" fillId="0" borderId="27" xfId="3" applyNumberFormat="1" applyFont="1" applyFill="1" applyBorder="1" applyAlignment="1" applyProtection="1">
      <alignment horizontal="center" vertical="center"/>
    </xf>
    <xf numFmtId="166" fontId="17" fillId="0" borderId="28" xfId="3" applyNumberFormat="1" applyFont="1" applyFill="1" applyBorder="1" applyAlignment="1" applyProtection="1">
      <alignment horizontal="center" vertical="center"/>
    </xf>
    <xf numFmtId="164" fontId="17" fillId="0" borderId="29" xfId="1" applyFont="1" applyFill="1" applyBorder="1" applyAlignment="1" applyProtection="1">
      <alignment horizontal="center" vertical="center"/>
    </xf>
    <xf numFmtId="0" fontId="18" fillId="0" borderId="0" xfId="2" applyFont="1" applyAlignment="1">
      <alignment vertical="center"/>
    </xf>
    <xf numFmtId="166" fontId="17" fillId="0" borderId="29" xfId="3" applyNumberFormat="1" applyFont="1" applyFill="1" applyBorder="1" applyAlignment="1" applyProtection="1">
      <alignment horizontal="center" vertical="center"/>
    </xf>
    <xf numFmtId="0" fontId="12" fillId="0" borderId="36" xfId="2" applyFont="1" applyBorder="1" applyAlignment="1">
      <alignment vertical="center" wrapText="1"/>
    </xf>
    <xf numFmtId="164" fontId="11" fillId="0" borderId="36" xfId="1" applyFont="1" applyFill="1" applyBorder="1" applyAlignment="1" applyProtection="1">
      <alignment vertical="center"/>
    </xf>
    <xf numFmtId="167" fontId="19" fillId="2" borderId="10" xfId="1" applyNumberFormat="1" applyFont="1" applyFill="1" applyBorder="1" applyAlignment="1" applyProtection="1">
      <alignment horizontal="center" vertical="center"/>
      <protection locked="0"/>
    </xf>
    <xf numFmtId="167" fontId="20" fillId="0" borderId="37" xfId="1" applyNumberFormat="1" applyFont="1" applyFill="1" applyBorder="1" applyAlignment="1" applyProtection="1">
      <alignment horizontal="center" vertical="center"/>
    </xf>
    <xf numFmtId="164" fontId="21" fillId="0" borderId="37" xfId="1" applyFont="1" applyFill="1" applyBorder="1" applyAlignment="1" applyProtection="1">
      <alignment horizontal="center" vertical="center"/>
    </xf>
    <xf numFmtId="164" fontId="22" fillId="0" borderId="37" xfId="1" applyFont="1" applyFill="1" applyBorder="1" applyAlignment="1" applyProtection="1">
      <alignment horizontal="center" vertical="center"/>
    </xf>
    <xf numFmtId="164" fontId="20" fillId="0" borderId="37" xfId="1" applyFont="1" applyFill="1" applyBorder="1" applyAlignment="1" applyProtection="1">
      <alignment horizontal="center" vertical="center"/>
    </xf>
    <xf numFmtId="167" fontId="19" fillId="2" borderId="38" xfId="1" applyNumberFormat="1" applyFont="1" applyFill="1" applyBorder="1" applyAlignment="1" applyProtection="1">
      <alignment horizontal="center" vertical="center"/>
      <protection locked="0"/>
    </xf>
    <xf numFmtId="168" fontId="21" fillId="0" borderId="37" xfId="1" applyNumberFormat="1" applyFont="1" applyFill="1" applyBorder="1" applyAlignment="1" applyProtection="1">
      <alignment horizontal="center" vertical="center"/>
    </xf>
    <xf numFmtId="164" fontId="22" fillId="0" borderId="12" xfId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  <protection locked="0"/>
    </xf>
    <xf numFmtId="167" fontId="19" fillId="0" borderId="12" xfId="1" applyNumberFormat="1" applyFont="1" applyFill="1" applyBorder="1" applyAlignment="1" applyProtection="1">
      <alignment horizontal="center" vertical="center"/>
      <protection locked="0"/>
    </xf>
    <xf numFmtId="164" fontId="9" fillId="0" borderId="39" xfId="1" applyFont="1" applyBorder="1" applyAlignment="1">
      <alignment vertical="center"/>
    </xf>
    <xf numFmtId="164" fontId="9" fillId="0" borderId="40" xfId="1" applyFont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41" xfId="2" applyFont="1" applyBorder="1" applyAlignment="1">
      <alignment vertical="center"/>
    </xf>
    <xf numFmtId="0" fontId="9" fillId="3" borderId="42" xfId="2" applyFont="1" applyFill="1" applyBorder="1" applyAlignment="1" applyProtection="1">
      <alignment vertical="center"/>
      <protection locked="0"/>
    </xf>
    <xf numFmtId="43" fontId="9" fillId="0" borderId="41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2" xfId="1" applyFont="1" applyBorder="1" applyAlignment="1">
      <alignment vertical="center"/>
    </xf>
    <xf numFmtId="164" fontId="9" fillId="0" borderId="41" xfId="1" applyFont="1" applyFill="1" applyBorder="1" applyAlignment="1" applyProtection="1">
      <alignment vertical="center"/>
    </xf>
    <xf numFmtId="0" fontId="12" fillId="0" borderId="43" xfId="2" applyFont="1" applyBorder="1" applyAlignment="1">
      <alignment vertical="center" wrapText="1"/>
    </xf>
    <xf numFmtId="164" fontId="11" fillId="0" borderId="43" xfId="1" applyFont="1" applyFill="1" applyBorder="1" applyAlignment="1" applyProtection="1">
      <alignment vertical="center"/>
    </xf>
    <xf numFmtId="167" fontId="19" fillId="2" borderId="22" xfId="1" applyNumberFormat="1" applyFont="1" applyFill="1" applyBorder="1" applyAlignment="1" applyProtection="1">
      <alignment horizontal="center" vertical="center"/>
      <protection locked="0"/>
    </xf>
    <xf numFmtId="167" fontId="20" fillId="0" borderId="43" xfId="1" applyNumberFormat="1" applyFont="1" applyFill="1" applyBorder="1" applyAlignment="1" applyProtection="1">
      <alignment horizontal="center" vertical="center"/>
    </xf>
    <xf numFmtId="39" fontId="21" fillId="0" borderId="43" xfId="1" applyNumberFormat="1" applyFont="1" applyFill="1" applyBorder="1" applyAlignment="1" applyProtection="1">
      <alignment horizontal="center" vertical="center"/>
    </xf>
    <xf numFmtId="164" fontId="22" fillId="0" borderId="43" xfId="1" applyFont="1" applyFill="1" applyBorder="1" applyAlignment="1" applyProtection="1">
      <alignment horizontal="center" vertical="center"/>
    </xf>
    <xf numFmtId="164" fontId="20" fillId="0" borderId="43" xfId="1" applyFont="1" applyFill="1" applyBorder="1" applyAlignment="1" applyProtection="1">
      <alignment horizontal="center" vertical="center"/>
    </xf>
    <xf numFmtId="167" fontId="19" fillId="2" borderId="44" xfId="1" applyNumberFormat="1" applyFont="1" applyFill="1" applyBorder="1" applyAlignment="1" applyProtection="1">
      <alignment horizontal="center" vertical="center"/>
      <protection locked="0"/>
    </xf>
    <xf numFmtId="168" fontId="21" fillId="0" borderId="43" xfId="1" applyNumberFormat="1" applyFont="1" applyFill="1" applyBorder="1" applyAlignment="1" applyProtection="1">
      <alignment horizontal="center" vertical="center"/>
    </xf>
    <xf numFmtId="164" fontId="22" fillId="0" borderId="24" xfId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  <protection locked="0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4" fontId="9" fillId="0" borderId="22" xfId="1" applyFont="1" applyBorder="1" applyAlignment="1">
      <alignment vertical="center"/>
    </xf>
    <xf numFmtId="164" fontId="9" fillId="0" borderId="23" xfId="1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0" fontId="9" fillId="3" borderId="25" xfId="2" applyFont="1" applyFill="1" applyBorder="1" applyAlignment="1" applyProtection="1">
      <alignment vertical="center"/>
      <protection locked="0"/>
    </xf>
    <xf numFmtId="43" fontId="9" fillId="0" borderId="24" xfId="2" applyNumberFormat="1" applyFont="1" applyBorder="1" applyAlignment="1">
      <alignment vertical="center"/>
    </xf>
    <xf numFmtId="166" fontId="9" fillId="0" borderId="0" xfId="1" applyNumberFormat="1" applyFont="1" applyAlignment="1">
      <alignment vertical="center"/>
    </xf>
    <xf numFmtId="164" fontId="9" fillId="0" borderId="24" xfId="1" applyFont="1" applyBorder="1" applyAlignment="1">
      <alignment vertical="center"/>
    </xf>
    <xf numFmtId="164" fontId="9" fillId="0" borderId="24" xfId="1" applyFont="1" applyFill="1" applyBorder="1" applyAlignment="1" applyProtection="1">
      <alignment vertical="center"/>
    </xf>
    <xf numFmtId="164" fontId="21" fillId="0" borderId="43" xfId="1" applyFont="1" applyFill="1" applyBorder="1" applyAlignment="1" applyProtection="1">
      <alignment horizontal="center" vertical="center"/>
    </xf>
    <xf numFmtId="167" fontId="20" fillId="4" borderId="44" xfId="1" applyNumberFormat="1" applyFont="1" applyFill="1" applyBorder="1" applyAlignment="1" applyProtection="1">
      <alignment horizontal="center" vertical="center"/>
    </xf>
    <xf numFmtId="167" fontId="19" fillId="4" borderId="44" xfId="1" applyNumberFormat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</xf>
    <xf numFmtId="0" fontId="12" fillId="0" borderId="45" xfId="2" applyFont="1" applyBorder="1" applyAlignment="1">
      <alignment vertical="center" wrapText="1"/>
    </xf>
    <xf numFmtId="164" fontId="11" fillId="0" borderId="45" xfId="1" applyFont="1" applyFill="1" applyBorder="1" applyAlignment="1" applyProtection="1">
      <alignment vertical="center"/>
    </xf>
    <xf numFmtId="167" fontId="19" fillId="2" borderId="46" xfId="1" applyNumberFormat="1" applyFont="1" applyFill="1" applyBorder="1" applyAlignment="1" applyProtection="1">
      <alignment horizontal="center" vertical="center"/>
      <protection locked="0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4" borderId="47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  <protection locked="0"/>
    </xf>
    <xf numFmtId="167" fontId="19" fillId="4" borderId="47" xfId="1" applyNumberFormat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48" xfId="1" applyFont="1" applyFill="1" applyBorder="1" applyAlignment="1" applyProtection="1">
      <alignment horizontal="center" vertical="center"/>
    </xf>
    <xf numFmtId="167" fontId="19" fillId="0" borderId="47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  <protection locked="0"/>
    </xf>
    <xf numFmtId="164" fontId="9" fillId="0" borderId="48" xfId="1" applyFont="1" applyFill="1" applyBorder="1" applyAlignment="1" applyProtection="1">
      <alignment vertical="center"/>
    </xf>
    <xf numFmtId="164" fontId="20" fillId="4" borderId="43" xfId="1" applyFont="1" applyFill="1" applyBorder="1" applyAlignment="1" applyProtection="1">
      <alignment horizontal="center" vertical="center"/>
    </xf>
    <xf numFmtId="167" fontId="19" fillId="0" borderId="24" xfId="1" applyNumberFormat="1" applyFont="1" applyFill="1" applyBorder="1" applyAlignment="1" applyProtection="1">
      <alignment horizontal="center" vertical="center"/>
    </xf>
    <xf numFmtId="167" fontId="19" fillId="2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36" xfId="1" applyNumberFormat="1" applyFont="1" applyFill="1" applyBorder="1" applyAlignment="1" applyProtection="1">
      <alignment horizontal="center" vertical="center"/>
    </xf>
    <xf numFmtId="164" fontId="21" fillId="0" borderId="36" xfId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7" fontId="20" fillId="4" borderId="49" xfId="1" applyNumberFormat="1" applyFont="1" applyFill="1" applyBorder="1" applyAlignment="1" applyProtection="1">
      <alignment horizontal="center" vertical="center"/>
    </xf>
    <xf numFmtId="167" fontId="19" fillId="2" borderId="49" xfId="1" applyNumberFormat="1" applyFont="1" applyFill="1" applyBorder="1" applyAlignment="1" applyProtection="1">
      <alignment horizontal="center" vertical="center"/>
      <protection locked="0"/>
    </xf>
    <xf numFmtId="167" fontId="19" fillId="4" borderId="49" xfId="1" applyNumberFormat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9" xfId="1" applyNumberFormat="1" applyFont="1" applyFill="1" applyBorder="1" applyAlignment="1" applyProtection="1">
      <alignment horizontal="center" vertical="center"/>
      <protection locked="0"/>
    </xf>
    <xf numFmtId="167" fontId="19" fillId="0" borderId="49" xfId="1" applyNumberFormat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4" fontId="23" fillId="0" borderId="45" xfId="1" applyFont="1" applyFill="1" applyBorder="1" applyAlignment="1" applyProtection="1">
      <alignment vertical="center"/>
    </xf>
    <xf numFmtId="164" fontId="20" fillId="4" borderId="45" xfId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</xf>
    <xf numFmtId="164" fontId="20" fillId="4" borderId="36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</xf>
    <xf numFmtId="164" fontId="23" fillId="0" borderId="43" xfId="1" applyFont="1" applyFill="1" applyBorder="1" applyAlignment="1" applyProtection="1">
      <alignment vertical="center"/>
    </xf>
    <xf numFmtId="0" fontId="12" fillId="0" borderId="50" xfId="2" applyFont="1" applyBorder="1" applyAlignment="1">
      <alignment vertical="center" wrapText="1"/>
    </xf>
    <xf numFmtId="164" fontId="11" fillId="0" borderId="50" xfId="1" applyFont="1" applyFill="1" applyBorder="1" applyAlignment="1" applyProtection="1">
      <alignment vertical="center"/>
    </xf>
    <xf numFmtId="164" fontId="9" fillId="0" borderId="3" xfId="1" applyFont="1" applyFill="1" applyBorder="1" applyAlignment="1" applyProtection="1">
      <alignment vertical="center"/>
    </xf>
    <xf numFmtId="0" fontId="12" fillId="0" borderId="51" xfId="2" applyFont="1" applyBorder="1" applyAlignment="1">
      <alignment vertical="center" wrapText="1"/>
    </xf>
    <xf numFmtId="164" fontId="11" fillId="0" borderId="51" xfId="1" applyFont="1" applyFill="1" applyBorder="1" applyAlignment="1" applyProtection="1">
      <alignment vertical="center"/>
    </xf>
    <xf numFmtId="164" fontId="9" fillId="0" borderId="35" xfId="1" applyFont="1" applyFill="1" applyBorder="1" applyAlignment="1" applyProtection="1">
      <alignment vertical="center"/>
    </xf>
    <xf numFmtId="164" fontId="23" fillId="0" borderId="51" xfId="1" applyFont="1" applyFill="1" applyBorder="1" applyAlignment="1" applyProtection="1">
      <alignment vertical="center"/>
    </xf>
    <xf numFmtId="0" fontId="12" fillId="0" borderId="52" xfId="2" applyFont="1" applyBorder="1" applyAlignment="1">
      <alignment vertical="center" wrapText="1"/>
    </xf>
    <xf numFmtId="164" fontId="11" fillId="0" borderId="52" xfId="1" applyFont="1" applyFill="1" applyBorder="1" applyAlignment="1" applyProtection="1">
      <alignment vertical="center"/>
    </xf>
    <xf numFmtId="167" fontId="19" fillId="2" borderId="30" xfId="1" applyNumberFormat="1" applyFont="1" applyFill="1" applyBorder="1" applyAlignment="1" applyProtection="1">
      <alignment horizontal="center" vertical="center"/>
      <protection locked="0"/>
    </xf>
    <xf numFmtId="167" fontId="20" fillId="0" borderId="52" xfId="1" applyNumberFormat="1" applyFont="1" applyFill="1" applyBorder="1" applyAlignment="1" applyProtection="1">
      <alignment horizontal="center" vertical="center"/>
    </xf>
    <xf numFmtId="164" fontId="21" fillId="0" borderId="52" xfId="1" applyFont="1" applyFill="1" applyBorder="1" applyAlignment="1" applyProtection="1">
      <alignment horizontal="center" vertical="center"/>
    </xf>
    <xf numFmtId="164" fontId="22" fillId="0" borderId="52" xfId="1" applyFont="1" applyFill="1" applyBorder="1" applyAlignment="1" applyProtection="1">
      <alignment horizontal="center" vertical="center"/>
    </xf>
    <xf numFmtId="164" fontId="20" fillId="4" borderId="52" xfId="1" applyFont="1" applyFill="1" applyBorder="1" applyAlignment="1" applyProtection="1">
      <alignment horizontal="center" vertical="center"/>
    </xf>
    <xf numFmtId="167" fontId="20" fillId="4" borderId="53" xfId="1" applyNumberFormat="1" applyFont="1" applyFill="1" applyBorder="1" applyAlignment="1" applyProtection="1">
      <alignment horizontal="center" vertical="center"/>
    </xf>
    <xf numFmtId="167" fontId="19" fillId="4" borderId="53" xfId="1" applyNumberFormat="1" applyFont="1" applyFill="1" applyBorder="1" applyAlignment="1" applyProtection="1">
      <alignment horizontal="center" vertical="center"/>
    </xf>
    <xf numFmtId="168" fontId="21" fillId="0" borderId="52" xfId="1" applyNumberFormat="1" applyFont="1" applyFill="1" applyBorder="1" applyAlignment="1" applyProtection="1">
      <alignment horizontal="center" vertical="center"/>
    </xf>
    <xf numFmtId="164" fontId="22" fillId="0" borderId="32" xfId="1" applyFont="1" applyFill="1" applyBorder="1" applyAlignment="1" applyProtection="1">
      <alignment horizontal="center" vertical="center"/>
    </xf>
    <xf numFmtId="167" fontId="19" fillId="0" borderId="53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</xf>
    <xf numFmtId="164" fontId="9" fillId="0" borderId="32" xfId="1" applyFont="1" applyFill="1" applyBorder="1" applyAlignment="1" applyProtection="1">
      <alignment vertical="center"/>
    </xf>
    <xf numFmtId="167" fontId="20" fillId="0" borderId="44" xfId="1" applyNumberFormat="1" applyFont="1" applyFill="1" applyBorder="1" applyAlignment="1" applyProtection="1">
      <alignment horizontal="center" vertical="center"/>
    </xf>
    <xf numFmtId="167" fontId="19" fillId="4" borderId="54" xfId="1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</xf>
    <xf numFmtId="164" fontId="9" fillId="0" borderId="30" xfId="1" applyFont="1" applyBorder="1" applyAlignment="1">
      <alignment vertical="center"/>
    </xf>
    <xf numFmtId="164" fontId="9" fillId="0" borderId="31" xfId="1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3" borderId="33" xfId="2" applyFont="1" applyFill="1" applyBorder="1" applyAlignment="1" applyProtection="1">
      <alignment vertical="center"/>
      <protection locked="0"/>
    </xf>
    <xf numFmtId="43" fontId="9" fillId="0" borderId="32" xfId="2" applyNumberFormat="1" applyFont="1" applyBorder="1" applyAlignment="1">
      <alignment vertical="center"/>
    </xf>
    <xf numFmtId="164" fontId="9" fillId="0" borderId="32" xfId="1" applyFont="1" applyBorder="1" applyAlignment="1">
      <alignment vertical="center"/>
    </xf>
    <xf numFmtId="0" fontId="11" fillId="0" borderId="36" xfId="2" applyFont="1" applyBorder="1" applyAlignment="1">
      <alignment vertical="center"/>
    </xf>
    <xf numFmtId="167" fontId="20" fillId="0" borderId="39" xfId="1" applyNumberFormat="1" applyFont="1" applyFill="1" applyBorder="1" applyAlignment="1" applyProtection="1">
      <alignment horizontal="center" vertical="center"/>
    </xf>
    <xf numFmtId="168" fontId="20" fillId="0" borderId="36" xfId="1" applyNumberFormat="1" applyFont="1" applyFill="1" applyBorder="1" applyAlignment="1" applyProtection="1">
      <alignment horizontal="center" vertical="center"/>
    </xf>
    <xf numFmtId="167" fontId="20" fillId="0" borderId="49" xfId="1" applyNumberFormat="1" applyFont="1" applyFill="1" applyBorder="1" applyAlignment="1" applyProtection="1">
      <alignment horizontal="center" vertical="center"/>
    </xf>
    <xf numFmtId="164" fontId="20" fillId="0" borderId="41" xfId="1" applyFont="1" applyFill="1" applyBorder="1" applyAlignment="1" applyProtection="1">
      <alignment horizontal="center" vertical="center"/>
    </xf>
    <xf numFmtId="0" fontId="24" fillId="0" borderId="52" xfId="2" applyFont="1" applyBorder="1" applyAlignment="1">
      <alignment vertical="center"/>
    </xf>
    <xf numFmtId="164" fontId="24" fillId="0" borderId="52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8" fontId="20" fillId="0" borderId="52" xfId="1" applyNumberFormat="1" applyFont="1" applyFill="1" applyBorder="1" applyAlignment="1" applyProtection="1">
      <alignment horizontal="center" vertical="center"/>
    </xf>
    <xf numFmtId="164" fontId="20" fillId="0" borderId="52" xfId="1" applyFont="1" applyFill="1" applyBorder="1" applyAlignment="1" applyProtection="1">
      <alignment horizontal="center" vertical="center"/>
    </xf>
    <xf numFmtId="167" fontId="20" fillId="0" borderId="53" xfId="1" applyNumberFormat="1" applyFont="1" applyFill="1" applyBorder="1" applyAlignment="1" applyProtection="1">
      <alignment horizontal="center" vertical="center"/>
    </xf>
    <xf numFmtId="164" fontId="20" fillId="0" borderId="32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4" fontId="20" fillId="4" borderId="0" xfId="1" applyFont="1" applyFill="1" applyBorder="1" applyAlignment="1" applyProtection="1">
      <alignment horizontal="center" vertical="center"/>
    </xf>
    <xf numFmtId="167" fontId="20" fillId="4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0" fontId="10" fillId="0" borderId="0" xfId="2" applyFont="1" applyAlignment="1">
      <alignment vertical="center"/>
    </xf>
    <xf numFmtId="164" fontId="10" fillId="0" borderId="0" xfId="1" applyFont="1" applyFill="1" applyAlignment="1" applyProtection="1">
      <alignment vertical="center"/>
    </xf>
    <xf numFmtId="0" fontId="24" fillId="0" borderId="0" xfId="2" applyFont="1" applyAlignment="1">
      <alignment vertical="center"/>
    </xf>
    <xf numFmtId="164" fontId="24" fillId="0" borderId="0" xfId="1" applyFont="1" applyFill="1" applyBorder="1" applyAlignment="1" applyProtection="1">
      <alignment vertical="center"/>
    </xf>
    <xf numFmtId="0" fontId="8" fillId="0" borderId="56" xfId="2" applyFont="1" applyBorder="1" applyAlignment="1">
      <alignment vertical="center"/>
    </xf>
    <xf numFmtId="0" fontId="25" fillId="0" borderId="57" xfId="2" applyFont="1" applyBorder="1" applyAlignment="1">
      <alignment vertical="center"/>
    </xf>
    <xf numFmtId="164" fontId="25" fillId="0" borderId="57" xfId="1" applyFont="1" applyFill="1" applyBorder="1" applyAlignment="1" applyProtection="1">
      <alignment vertical="center"/>
    </xf>
    <xf numFmtId="0" fontId="10" fillId="0" borderId="56" xfId="2" applyFont="1" applyBorder="1" applyAlignment="1">
      <alignment vertical="center"/>
    </xf>
    <xf numFmtId="169" fontId="25" fillId="0" borderId="0" xfId="1" applyNumberFormat="1" applyFont="1" applyFill="1" applyAlignment="1" applyProtection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0" fontId="13" fillId="0" borderId="0" xfId="2" applyFont="1" applyAlignment="1">
      <alignment horizontal="center"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0" fontId="26" fillId="0" borderId="56" xfId="2" applyFont="1" applyBorder="1" applyAlignment="1">
      <alignment vertical="center" wrapText="1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0" fontId="9" fillId="0" borderId="0" xfId="2" applyFont="1" applyAlignment="1">
      <alignment horizontal="center" vertical="center" wrapText="1"/>
    </xf>
    <xf numFmtId="0" fontId="4" fillId="0" borderId="5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26" fillId="0" borderId="59" xfId="2" applyFont="1" applyBorder="1" applyAlignment="1">
      <alignment vertical="center"/>
    </xf>
    <xf numFmtId="0" fontId="26" fillId="0" borderId="55" xfId="2" applyFont="1" applyBorder="1" applyAlignment="1">
      <alignment vertical="center"/>
    </xf>
    <xf numFmtId="164" fontId="26" fillId="0" borderId="14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0" fontId="26" fillId="0" borderId="14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50" xfId="2" applyFont="1" applyBorder="1" applyAlignment="1">
      <alignment vertical="center"/>
    </xf>
    <xf numFmtId="164" fontId="4" fillId="0" borderId="26" xfId="1" applyFont="1" applyFill="1" applyBorder="1" applyAlignment="1" applyProtection="1">
      <alignment vertical="center"/>
    </xf>
    <xf numFmtId="0" fontId="4" fillId="0" borderId="26" xfId="2" applyFont="1" applyBorder="1" applyAlignment="1">
      <alignment vertical="center"/>
    </xf>
    <xf numFmtId="0" fontId="13" fillId="0" borderId="50" xfId="2" applyFont="1" applyBorder="1" applyAlignment="1">
      <alignment vertical="center"/>
    </xf>
    <xf numFmtId="0" fontId="13" fillId="0" borderId="0" xfId="2" applyFont="1" applyAlignment="1">
      <alignment vertical="center"/>
    </xf>
    <xf numFmtId="164" fontId="13" fillId="0" borderId="26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0" fontId="13" fillId="0" borderId="26" xfId="2" applyFont="1" applyBorder="1" applyAlignment="1">
      <alignment vertical="center"/>
    </xf>
    <xf numFmtId="0" fontId="13" fillId="0" borderId="62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63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164" fontId="4" fillId="0" borderId="34" xfId="1" applyFont="1" applyFill="1" applyBorder="1" applyAlignment="1" applyProtection="1">
      <alignment vertical="center"/>
    </xf>
    <xf numFmtId="0" fontId="4" fillId="0" borderId="34" xfId="2" applyFont="1" applyBorder="1" applyAlignment="1">
      <alignment vertical="center"/>
    </xf>
    <xf numFmtId="167" fontId="19" fillId="2" borderId="44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10" fillId="2" borderId="4" xfId="2" applyFont="1" applyFill="1" applyBorder="1" applyAlignment="1" applyProtection="1">
      <alignment horizontal="center" vertical="center"/>
      <protection locked="0"/>
    </xf>
    <xf numFmtId="165" fontId="8" fillId="2" borderId="4" xfId="2" applyNumberFormat="1" applyFont="1" applyFill="1" applyBorder="1" applyAlignment="1" applyProtection="1">
      <alignment horizontal="center" vertical="center"/>
      <protection locked="0"/>
    </xf>
    <xf numFmtId="0" fontId="10" fillId="2" borderId="6" xfId="2" applyFont="1" applyFill="1" applyBorder="1" applyAlignment="1" applyProtection="1">
      <alignment horizontal="center" vertical="center"/>
      <protection locked="0"/>
    </xf>
    <xf numFmtId="0" fontId="8" fillId="0" borderId="12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164" fontId="12" fillId="0" borderId="15" xfId="1" applyFont="1" applyFill="1" applyBorder="1" applyAlignment="1" applyProtection="1">
      <alignment horizontal="center" vertical="center" wrapText="1"/>
    </xf>
    <xf numFmtId="164" fontId="12" fillId="0" borderId="5" xfId="1" applyFont="1" applyFill="1" applyBorder="1" applyAlignment="1" applyProtection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169" fontId="25" fillId="0" borderId="57" xfId="1" applyNumberFormat="1" applyFont="1" applyFill="1" applyBorder="1" applyAlignment="1" applyProtection="1">
      <alignment horizontal="center" vertical="center"/>
    </xf>
    <xf numFmtId="169" fontId="25" fillId="0" borderId="58" xfId="1" applyNumberFormat="1" applyFont="1" applyFill="1" applyBorder="1" applyAlignment="1" applyProtection="1">
      <alignment horizontal="center" vertical="center"/>
    </xf>
    <xf numFmtId="0" fontId="13" fillId="0" borderId="56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170" fontId="25" fillId="0" borderId="57" xfId="1" applyNumberFormat="1" applyFont="1" applyBorder="1" applyAlignment="1">
      <alignment horizontal="center" vertical="center"/>
    </xf>
    <xf numFmtId="170" fontId="25" fillId="0" borderId="58" xfId="1" applyNumberFormat="1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5" borderId="55" xfId="2" applyFont="1" applyFill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165" fontId="26" fillId="0" borderId="56" xfId="2" applyNumberFormat="1" applyFont="1" applyBorder="1" applyAlignment="1">
      <alignment horizontal="center" vertical="center"/>
    </xf>
    <xf numFmtId="0" fontId="26" fillId="0" borderId="58" xfId="2" applyFont="1" applyBorder="1" applyAlignment="1">
      <alignment horizontal="center" vertical="center"/>
    </xf>
    <xf numFmtId="169" fontId="25" fillId="3" borderId="56" xfId="1" applyNumberFormat="1" applyFont="1" applyFill="1" applyBorder="1" applyAlignment="1" applyProtection="1">
      <alignment horizontal="center" vertical="center"/>
    </xf>
    <xf numFmtId="169" fontId="25" fillId="3" borderId="58" xfId="1" applyNumberFormat="1" applyFont="1" applyFill="1" applyBorder="1" applyAlignment="1" applyProtection="1">
      <alignment horizontal="center" vertical="center"/>
    </xf>
    <xf numFmtId="0" fontId="12" fillId="0" borderId="59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0" fontId="27" fillId="0" borderId="0" xfId="2" applyFont="1" applyAlignment="1">
      <alignment horizontal="center" vertical="center"/>
    </xf>
    <xf numFmtId="0" fontId="13" fillId="2" borderId="62" xfId="2" applyFont="1" applyFill="1" applyBorder="1" applyAlignment="1" applyProtection="1">
      <alignment horizontal="center" vertical="center"/>
      <protection locked="0"/>
    </xf>
    <xf numFmtId="0" fontId="13" fillId="2" borderId="4" xfId="2" applyFont="1" applyFill="1" applyBorder="1" applyAlignment="1" applyProtection="1">
      <alignment horizontal="center" vertical="center"/>
      <protection locked="0"/>
    </xf>
    <xf numFmtId="0" fontId="13" fillId="2" borderId="63" xfId="2" applyFont="1" applyFill="1" applyBorder="1" applyAlignment="1" applyProtection="1">
      <alignment horizontal="center" vertical="center"/>
      <protection locked="0"/>
    </xf>
    <xf numFmtId="0" fontId="26" fillId="0" borderId="50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/>
      <protection locked="0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8" fillId="2" borderId="3" xfId="2" applyFont="1" applyFill="1" applyBorder="1" applyAlignment="1" applyProtection="1">
      <alignment horizontal="center" vertical="center"/>
      <protection locked="0"/>
    </xf>
    <xf numFmtId="0" fontId="8" fillId="2" borderId="5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50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0" borderId="61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/>
    </xf>
    <xf numFmtId="0" fontId="12" fillId="0" borderId="59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8" fillId="2" borderId="14" xfId="2" applyFont="1" applyFill="1" applyBorder="1" applyAlignment="1" applyProtection="1">
      <alignment horizontal="center" vertical="center"/>
      <protection locked="0"/>
    </xf>
    <xf numFmtId="0" fontId="8" fillId="2" borderId="26" xfId="2" applyFont="1" applyFill="1" applyBorder="1" applyAlignment="1" applyProtection="1">
      <alignment horizontal="center" vertical="center"/>
      <protection locked="0"/>
    </xf>
    <xf numFmtId="0" fontId="8" fillId="2" borderId="34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 wrapText="1"/>
    </xf>
    <xf numFmtId="0" fontId="8" fillId="0" borderId="50" xfId="2" applyFont="1" applyBorder="1" applyAlignment="1">
      <alignment horizontal="center" vertical="center" wrapText="1"/>
    </xf>
    <xf numFmtId="0" fontId="8" fillId="0" borderId="60" xfId="2" applyFont="1" applyBorder="1" applyAlignment="1">
      <alignment horizontal="center" vertical="center" wrapText="1"/>
    </xf>
    <xf numFmtId="0" fontId="8" fillId="2" borderId="59" xfId="2" applyFont="1" applyFill="1" applyBorder="1" applyAlignment="1" applyProtection="1">
      <alignment horizontal="center" vertical="center"/>
      <protection locked="0"/>
    </xf>
    <xf numFmtId="0" fontId="8" fillId="2" borderId="50" xfId="2" applyFont="1" applyFill="1" applyBorder="1" applyAlignment="1" applyProtection="1">
      <alignment horizontal="center" vertical="center"/>
      <protection locked="0"/>
    </xf>
    <xf numFmtId="0" fontId="8" fillId="2" borderId="60" xfId="2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DA9FC9C0-E097-4EB2-A3A5-8E7516ECA6E7}"/>
    <cellStyle name="Normal" xfId="0" builtinId="0"/>
    <cellStyle name="Normal 2" xfId="2" xr:uid="{87C0751E-310A-4E7A-A08F-FC5D2CB48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6637-F6B8-4380-9BBF-8CF05746FE7C}">
  <sheetPr>
    <tabColor rgb="FF00B050"/>
    <pageSetUpPr fitToPage="1"/>
  </sheetPr>
  <dimension ref="A1:AJ100"/>
  <sheetViews>
    <sheetView showGridLines="0" topLeftCell="A25" zoomScale="85" zoomScaleNormal="85" workbookViewId="0">
      <pane xSplit="2" topLeftCell="C1" activePane="topRight" state="frozen"/>
      <selection activeCell="P79" sqref="P79:Q79"/>
      <selection pane="topRight" activeCell="C12" sqref="C12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4" t="s">
        <v>130</v>
      </c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6" t="s">
        <v>1</v>
      </c>
      <c r="U2" s="7"/>
      <c r="W2" s="20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8"/>
      <c r="G4" s="208"/>
      <c r="H4" s="208"/>
      <c r="I4" s="208"/>
      <c r="J4" s="208"/>
      <c r="K4" s="208"/>
      <c r="L4" s="208"/>
      <c r="M4" s="208"/>
      <c r="S4" s="2" t="s">
        <v>4</v>
      </c>
      <c r="T4" s="209"/>
      <c r="U4" s="209"/>
      <c r="W4" s="20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0"/>
      <c r="G6" s="210"/>
      <c r="H6" s="210"/>
      <c r="I6" s="210"/>
      <c r="J6" s="210"/>
      <c r="K6" s="210"/>
      <c r="L6" s="210"/>
      <c r="M6" s="210"/>
      <c r="S6" s="11" t="s">
        <v>6</v>
      </c>
      <c r="T6" s="195" t="s">
        <v>7</v>
      </c>
      <c r="U6" s="12" t="s">
        <v>131</v>
      </c>
      <c r="W6" s="205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0"/>
      <c r="G7" s="210"/>
      <c r="H7" s="210"/>
      <c r="I7" s="210"/>
      <c r="J7" s="210"/>
      <c r="K7" s="210"/>
      <c r="L7" s="210"/>
      <c r="M7" s="210"/>
      <c r="N7" s="14"/>
      <c r="O7" s="14"/>
      <c r="P7" s="14"/>
      <c r="Q7" s="15"/>
      <c r="S7" s="14"/>
      <c r="T7" s="195" t="s">
        <v>11</v>
      </c>
      <c r="U7" s="12"/>
      <c r="W7" s="207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44" t="s">
        <v>14</v>
      </c>
      <c r="C9" s="247" t="s">
        <v>15</v>
      </c>
      <c r="D9" s="247" t="s">
        <v>16</v>
      </c>
      <c r="E9" s="247" t="s">
        <v>17</v>
      </c>
      <c r="F9" s="231" t="s">
        <v>18</v>
      </c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3"/>
      <c r="S9" s="231" t="s">
        <v>19</v>
      </c>
      <c r="T9" s="232"/>
      <c r="U9" s="233"/>
      <c r="X9" s="219" t="s">
        <v>20</v>
      </c>
      <c r="Y9" s="222" t="s">
        <v>21</v>
      </c>
      <c r="Z9" s="222" t="s">
        <v>128</v>
      </c>
      <c r="AA9" s="17"/>
      <c r="AB9" s="211" t="s">
        <v>22</v>
      </c>
      <c r="AC9" s="225" t="s">
        <v>23</v>
      </c>
      <c r="AD9" s="228" t="s">
        <v>24</v>
      </c>
      <c r="AE9" s="211" t="s">
        <v>25</v>
      </c>
      <c r="AG9" s="211" t="s">
        <v>26</v>
      </c>
      <c r="AH9" s="17"/>
      <c r="AI9" s="211" t="s">
        <v>27</v>
      </c>
    </row>
    <row r="10" spans="2:35" s="16" customFormat="1" ht="20.25" customHeight="1" x14ac:dyDescent="0.25">
      <c r="B10" s="245"/>
      <c r="C10" s="248"/>
      <c r="D10" s="248"/>
      <c r="E10" s="248"/>
      <c r="F10" s="215" t="s">
        <v>28</v>
      </c>
      <c r="G10" s="215" t="s">
        <v>29</v>
      </c>
      <c r="H10" s="215" t="s">
        <v>30</v>
      </c>
      <c r="I10" s="217" t="s">
        <v>31</v>
      </c>
      <c r="J10" s="217" t="s">
        <v>32</v>
      </c>
      <c r="K10" s="217" t="s">
        <v>33</v>
      </c>
      <c r="L10" s="217" t="s">
        <v>34</v>
      </c>
      <c r="M10" s="201" t="s">
        <v>35</v>
      </c>
      <c r="N10" s="202"/>
      <c r="O10" s="202"/>
      <c r="P10" s="202"/>
      <c r="Q10" s="203"/>
      <c r="S10" s="240" t="s">
        <v>36</v>
      </c>
      <c r="T10" s="241"/>
      <c r="U10" s="242"/>
      <c r="X10" s="220"/>
      <c r="Y10" s="223"/>
      <c r="Z10" s="223"/>
      <c r="AA10" s="17"/>
      <c r="AB10" s="212"/>
      <c r="AC10" s="226"/>
      <c r="AD10" s="229"/>
      <c r="AE10" s="212"/>
      <c r="AG10" s="212"/>
      <c r="AH10" s="17"/>
      <c r="AI10" s="212"/>
    </row>
    <row r="11" spans="2:35" s="21" customFormat="1" ht="12.75" customHeight="1" thickBot="1" x14ac:dyDescent="0.3">
      <c r="B11" s="246"/>
      <c r="C11" s="216"/>
      <c r="D11" s="216"/>
      <c r="E11" s="216"/>
      <c r="F11" s="216"/>
      <c r="G11" s="216"/>
      <c r="H11" s="216"/>
      <c r="I11" s="218"/>
      <c r="J11" s="218"/>
      <c r="K11" s="218"/>
      <c r="L11" s="218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1"/>
      <c r="Y11" s="224"/>
      <c r="Z11" s="224"/>
      <c r="AA11" s="17"/>
      <c r="AB11" s="214"/>
      <c r="AC11" s="227"/>
      <c r="AD11" s="230"/>
      <c r="AE11" s="214"/>
      <c r="AG11" s="213"/>
      <c r="AH11" s="17"/>
      <c r="AI11" s="214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3" t="s">
        <v>101</v>
      </c>
      <c r="C71" s="243"/>
      <c r="D71" s="243"/>
      <c r="E71" s="243"/>
      <c r="F71" s="243"/>
      <c r="G71" s="243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4">
        <f>SUM(I12:I70)</f>
        <v>0</v>
      </c>
      <c r="G73" s="234"/>
      <c r="H73" s="234"/>
      <c r="I73" s="235"/>
      <c r="J73" s="158"/>
      <c r="K73" s="158"/>
      <c r="L73" s="158"/>
      <c r="M73" s="236" t="s">
        <v>103</v>
      </c>
      <c r="N73" s="237"/>
      <c r="O73" s="234">
        <f>SUM(Q12:Q70)</f>
        <v>0</v>
      </c>
      <c r="P73" s="234"/>
      <c r="Q73" s="235"/>
      <c r="R73" s="152"/>
      <c r="S73" s="159" t="s">
        <v>104</v>
      </c>
      <c r="T73" s="238">
        <f>SUM(Y12:Y68)</f>
        <v>0</v>
      </c>
      <c r="U73" s="239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4">
        <f>SUM(I14:I72)</f>
        <v>0</v>
      </c>
      <c r="G75" s="234"/>
      <c r="H75" s="234"/>
      <c r="I75" s="235"/>
      <c r="J75" s="158"/>
      <c r="K75" s="158"/>
      <c r="L75" s="158"/>
      <c r="M75" s="236" t="s">
        <v>103</v>
      </c>
      <c r="N75" s="237"/>
      <c r="O75" s="234">
        <f>SUM(Q14:Q72)</f>
        <v>0</v>
      </c>
      <c r="P75" s="234"/>
      <c r="Q75" s="235"/>
      <c r="R75" s="152"/>
      <c r="S75" s="159" t="s">
        <v>129</v>
      </c>
      <c r="T75" s="238">
        <f>SUM(Z12:Z70)</f>
        <v>0</v>
      </c>
      <c r="U75" s="239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4">
        <f>IF(U7&gt;0,"",(F73-O73-T79-P79))</f>
        <v>0</v>
      </c>
      <c r="G77" s="234"/>
      <c r="H77" s="234"/>
      <c r="I77" s="235"/>
      <c r="J77" s="164"/>
      <c r="K77" s="164"/>
      <c r="L77" s="164"/>
      <c r="M77" s="259" t="s">
        <v>106</v>
      </c>
      <c r="N77" s="259"/>
      <c r="O77" s="168" t="s">
        <v>107</v>
      </c>
      <c r="P77" s="251"/>
      <c r="Q77" s="252"/>
      <c r="R77" s="152"/>
      <c r="S77" s="159" t="s">
        <v>108</v>
      </c>
      <c r="T77" s="238">
        <f>IF(SUM(X12:X68)*0.15&gt;P77,P77,SUM(X12:X68)*0.15)</f>
        <v>0</v>
      </c>
      <c r="U77" s="239"/>
      <c r="V77" s="160"/>
      <c r="W77" s="205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6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4"/>
      <c r="G79" s="234"/>
      <c r="H79" s="234"/>
      <c r="I79" s="235"/>
      <c r="J79" s="164"/>
      <c r="K79" s="164"/>
      <c r="L79" s="164"/>
      <c r="M79" s="249" t="str">
        <f>IF(U6&gt;0,"",T4+30)</f>
        <v/>
      </c>
      <c r="N79" s="250"/>
      <c r="O79" s="168" t="s">
        <v>111</v>
      </c>
      <c r="P79" s="251"/>
      <c r="Q79" s="252"/>
      <c r="R79" s="152"/>
      <c r="S79" s="159" t="s">
        <v>112</v>
      </c>
      <c r="T79" s="238">
        <f>T77+T73+T75</f>
        <v>0</v>
      </c>
      <c r="U79" s="239"/>
      <c r="V79" s="160"/>
      <c r="W79" s="207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5" t="s">
        <v>113</v>
      </c>
      <c r="C81" s="276"/>
      <c r="D81" s="276"/>
      <c r="E81" s="276"/>
      <c r="F81" s="276"/>
      <c r="G81" s="276"/>
      <c r="H81" s="277"/>
      <c r="I81" s="284" t="s">
        <v>114</v>
      </c>
      <c r="J81" s="171"/>
      <c r="K81" s="171"/>
      <c r="L81" s="171"/>
      <c r="M81" s="286"/>
      <c r="N81" s="289" t="s">
        <v>115</v>
      </c>
      <c r="O81" s="292"/>
      <c r="P81" s="286"/>
      <c r="Q81" s="253" t="s">
        <v>116</v>
      </c>
      <c r="R81" s="254"/>
      <c r="S81" s="269"/>
      <c r="T81" s="253" t="s">
        <v>117</v>
      </c>
      <c r="U81" s="272"/>
    </row>
    <row r="82" spans="2:21" ht="15" customHeight="1" x14ac:dyDescent="0.25">
      <c r="B82" s="278"/>
      <c r="C82" s="279"/>
      <c r="D82" s="279"/>
      <c r="E82" s="279"/>
      <c r="F82" s="279"/>
      <c r="G82" s="279"/>
      <c r="H82" s="280"/>
      <c r="I82" s="266"/>
      <c r="J82" s="2"/>
      <c r="K82" s="2"/>
      <c r="L82" s="2"/>
      <c r="M82" s="287"/>
      <c r="N82" s="290"/>
      <c r="O82" s="293"/>
      <c r="P82" s="287"/>
      <c r="Q82" s="255"/>
      <c r="R82" s="256"/>
      <c r="S82" s="270"/>
      <c r="T82" s="255"/>
      <c r="U82" s="273"/>
    </row>
    <row r="83" spans="2:21" ht="15.75" customHeight="1" thickBot="1" x14ac:dyDescent="0.3">
      <c r="B83" s="281"/>
      <c r="C83" s="282"/>
      <c r="D83" s="282"/>
      <c r="E83" s="282"/>
      <c r="F83" s="282"/>
      <c r="G83" s="282"/>
      <c r="H83" s="283"/>
      <c r="I83" s="285"/>
      <c r="J83" s="172"/>
      <c r="K83" s="172"/>
      <c r="L83" s="172"/>
      <c r="M83" s="288"/>
      <c r="N83" s="291"/>
      <c r="O83" s="294"/>
      <c r="P83" s="288"/>
      <c r="Q83" s="257"/>
      <c r="R83" s="258"/>
      <c r="S83" s="271"/>
      <c r="T83" s="257"/>
      <c r="U83" s="274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0" t="s">
        <v>132</v>
      </c>
      <c r="C88" s="261"/>
      <c r="D88" s="261"/>
      <c r="E88" s="261"/>
      <c r="F88" s="261"/>
      <c r="G88" s="261"/>
      <c r="H88" s="261"/>
      <c r="I88" s="262"/>
      <c r="J88" s="185"/>
      <c r="K88" s="185"/>
      <c r="L88" s="185"/>
      <c r="M88" s="260"/>
      <c r="N88" s="261"/>
      <c r="O88" s="261"/>
      <c r="P88" s="261"/>
      <c r="Q88" s="262"/>
      <c r="R88" s="187"/>
      <c r="S88" s="188"/>
      <c r="T88" s="188"/>
      <c r="U88" s="189"/>
    </row>
    <row r="89" spans="2:21" ht="18" x14ac:dyDescent="0.25">
      <c r="B89" s="263" t="s">
        <v>122</v>
      </c>
      <c r="C89" s="264"/>
      <c r="D89" s="264"/>
      <c r="E89" s="264"/>
      <c r="F89" s="264"/>
      <c r="G89" s="264"/>
      <c r="H89" s="264"/>
      <c r="I89" s="265"/>
      <c r="M89" s="263" t="s">
        <v>122</v>
      </c>
      <c r="N89" s="264"/>
      <c r="O89" s="264"/>
      <c r="P89" s="264"/>
      <c r="Q89" s="265"/>
      <c r="R89" s="266" t="s">
        <v>123</v>
      </c>
      <c r="S89" s="267"/>
      <c r="T89" s="267"/>
      <c r="U89" s="268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0" t="s">
        <v>133</v>
      </c>
      <c r="C93" s="261"/>
      <c r="D93" s="261"/>
      <c r="E93" s="261"/>
      <c r="F93" s="261"/>
      <c r="G93" s="261"/>
      <c r="H93" s="261"/>
      <c r="I93" s="262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3" t="s">
        <v>126</v>
      </c>
      <c r="C94" s="264"/>
      <c r="D94" s="264"/>
      <c r="E94" s="264"/>
      <c r="F94" s="264"/>
      <c r="G94" s="264"/>
      <c r="H94" s="264"/>
      <c r="I94" s="265"/>
      <c r="M94" s="179"/>
      <c r="Q94" s="180"/>
      <c r="R94" s="266" t="s">
        <v>127</v>
      </c>
      <c r="S94" s="267"/>
      <c r="T94" s="267"/>
      <c r="U94" s="268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59D6-7ACB-4403-A2C1-457D38248551}">
  <sheetPr>
    <tabColor rgb="FF00B050"/>
    <pageSetUpPr fitToPage="1"/>
  </sheetPr>
  <dimension ref="A1:AJ100"/>
  <sheetViews>
    <sheetView showGridLines="0" topLeftCell="A40" zoomScale="85" zoomScaleNormal="85" workbookViewId="0">
      <pane xSplit="2" topLeftCell="F1" activePane="topRight" state="frozen"/>
      <selection activeCell="P79" sqref="P79:Q79"/>
      <selection pane="topRight" activeCell="F17" sqref="F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4" t="s">
        <v>130</v>
      </c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6" t="s">
        <v>1</v>
      </c>
      <c r="U2" s="7"/>
      <c r="W2" s="20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8"/>
      <c r="G4" s="208"/>
      <c r="H4" s="208"/>
      <c r="I4" s="208"/>
      <c r="J4" s="208"/>
      <c r="K4" s="208"/>
      <c r="L4" s="208"/>
      <c r="M4" s="208"/>
      <c r="S4" s="2" t="s">
        <v>4</v>
      </c>
      <c r="T4" s="209"/>
      <c r="U4" s="209"/>
      <c r="W4" s="20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0"/>
      <c r="G6" s="210"/>
      <c r="H6" s="210"/>
      <c r="I6" s="210"/>
      <c r="J6" s="210"/>
      <c r="K6" s="210"/>
      <c r="L6" s="210"/>
      <c r="M6" s="210"/>
      <c r="S6" s="11" t="s">
        <v>6</v>
      </c>
      <c r="T6" s="196" t="s">
        <v>7</v>
      </c>
      <c r="U6" s="12" t="s">
        <v>131</v>
      </c>
      <c r="W6" s="205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0"/>
      <c r="G7" s="210"/>
      <c r="H7" s="210"/>
      <c r="I7" s="210"/>
      <c r="J7" s="210"/>
      <c r="K7" s="210"/>
      <c r="L7" s="210"/>
      <c r="M7" s="210"/>
      <c r="N7" s="14"/>
      <c r="O7" s="14"/>
      <c r="P7" s="14"/>
      <c r="Q7" s="15"/>
      <c r="S7" s="14"/>
      <c r="T7" s="196" t="s">
        <v>11</v>
      </c>
      <c r="U7" s="12"/>
      <c r="W7" s="207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44" t="s">
        <v>14</v>
      </c>
      <c r="C9" s="247" t="s">
        <v>15</v>
      </c>
      <c r="D9" s="247" t="s">
        <v>16</v>
      </c>
      <c r="E9" s="247" t="s">
        <v>17</v>
      </c>
      <c r="F9" s="231" t="s">
        <v>18</v>
      </c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3"/>
      <c r="S9" s="231" t="s">
        <v>19</v>
      </c>
      <c r="T9" s="232"/>
      <c r="U9" s="233"/>
      <c r="X9" s="219" t="s">
        <v>20</v>
      </c>
      <c r="Y9" s="222" t="s">
        <v>21</v>
      </c>
      <c r="Z9" s="222" t="s">
        <v>128</v>
      </c>
      <c r="AA9" s="17"/>
      <c r="AB9" s="211" t="s">
        <v>22</v>
      </c>
      <c r="AC9" s="225" t="s">
        <v>23</v>
      </c>
      <c r="AD9" s="228" t="s">
        <v>24</v>
      </c>
      <c r="AE9" s="211" t="s">
        <v>25</v>
      </c>
      <c r="AG9" s="211" t="s">
        <v>26</v>
      </c>
      <c r="AH9" s="17"/>
      <c r="AI9" s="211" t="s">
        <v>27</v>
      </c>
    </row>
    <row r="10" spans="2:35" s="16" customFormat="1" ht="20.25" customHeight="1" x14ac:dyDescent="0.25">
      <c r="B10" s="245"/>
      <c r="C10" s="248"/>
      <c r="D10" s="248"/>
      <c r="E10" s="248"/>
      <c r="F10" s="215" t="s">
        <v>28</v>
      </c>
      <c r="G10" s="215" t="s">
        <v>29</v>
      </c>
      <c r="H10" s="215" t="s">
        <v>30</v>
      </c>
      <c r="I10" s="217" t="s">
        <v>31</v>
      </c>
      <c r="J10" s="217" t="s">
        <v>32</v>
      </c>
      <c r="K10" s="217" t="s">
        <v>33</v>
      </c>
      <c r="L10" s="217" t="s">
        <v>34</v>
      </c>
      <c r="M10" s="201" t="s">
        <v>35</v>
      </c>
      <c r="N10" s="202"/>
      <c r="O10" s="202"/>
      <c r="P10" s="202"/>
      <c r="Q10" s="203"/>
      <c r="S10" s="240" t="s">
        <v>36</v>
      </c>
      <c r="T10" s="241"/>
      <c r="U10" s="242"/>
      <c r="X10" s="220"/>
      <c r="Y10" s="223"/>
      <c r="Z10" s="223"/>
      <c r="AA10" s="17"/>
      <c r="AB10" s="212"/>
      <c r="AC10" s="226"/>
      <c r="AD10" s="229"/>
      <c r="AE10" s="212"/>
      <c r="AG10" s="212"/>
      <c r="AH10" s="17"/>
      <c r="AI10" s="212"/>
    </row>
    <row r="11" spans="2:35" s="21" customFormat="1" ht="12.75" customHeight="1" thickBot="1" x14ac:dyDescent="0.3">
      <c r="B11" s="246"/>
      <c r="C11" s="216"/>
      <c r="D11" s="216"/>
      <c r="E11" s="216"/>
      <c r="F11" s="216"/>
      <c r="G11" s="216"/>
      <c r="H11" s="216"/>
      <c r="I11" s="218"/>
      <c r="J11" s="218"/>
      <c r="K11" s="218"/>
      <c r="L11" s="218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1"/>
      <c r="Y11" s="224"/>
      <c r="Z11" s="224"/>
      <c r="AA11" s="17"/>
      <c r="AB11" s="214"/>
      <c r="AC11" s="227"/>
      <c r="AD11" s="230"/>
      <c r="AE11" s="214"/>
      <c r="AG11" s="213"/>
      <c r="AH11" s="17"/>
      <c r="AI11" s="214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3" t="s">
        <v>101</v>
      </c>
      <c r="C71" s="243"/>
      <c r="D71" s="243"/>
      <c r="E71" s="243"/>
      <c r="F71" s="243"/>
      <c r="G71" s="243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4">
        <f>SUM(I12:I70)</f>
        <v>1397196</v>
      </c>
      <c r="G73" s="234"/>
      <c r="H73" s="234"/>
      <c r="I73" s="235"/>
      <c r="J73" s="158"/>
      <c r="K73" s="158"/>
      <c r="L73" s="158"/>
      <c r="M73" s="236" t="s">
        <v>103</v>
      </c>
      <c r="N73" s="237"/>
      <c r="O73" s="234">
        <f>SUM(Q12:Q70)</f>
        <v>203796</v>
      </c>
      <c r="P73" s="234"/>
      <c r="Q73" s="235"/>
      <c r="R73" s="152"/>
      <c r="S73" s="159" t="s">
        <v>104</v>
      </c>
      <c r="T73" s="238">
        <f>SUM(Y12:Y68)</f>
        <v>54419.040000000001</v>
      </c>
      <c r="U73" s="239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4">
        <f>SUM(I14:I72)</f>
        <v>1397196</v>
      </c>
      <c r="G75" s="234"/>
      <c r="H75" s="234"/>
      <c r="I75" s="235"/>
      <c r="J75" s="158"/>
      <c r="K75" s="158"/>
      <c r="L75" s="158"/>
      <c r="M75" s="236" t="s">
        <v>103</v>
      </c>
      <c r="N75" s="237"/>
      <c r="O75" s="234">
        <f>SUM(Q14:Q72)</f>
        <v>203796</v>
      </c>
      <c r="P75" s="234"/>
      <c r="Q75" s="235"/>
      <c r="R75" s="152"/>
      <c r="S75" s="159" t="s">
        <v>129</v>
      </c>
      <c r="T75" s="238">
        <f>SUM(Z12:Z70)</f>
        <v>6426</v>
      </c>
      <c r="U75" s="239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4">
        <f>IF(U7&gt;0,"",(F73-O73-T79-P79))</f>
        <v>1132554.96</v>
      </c>
      <c r="G77" s="234"/>
      <c r="H77" s="234"/>
      <c r="I77" s="235"/>
      <c r="J77" s="164"/>
      <c r="K77" s="164"/>
      <c r="L77" s="164"/>
      <c r="M77" s="259" t="s">
        <v>106</v>
      </c>
      <c r="N77" s="259"/>
      <c r="O77" s="168" t="s">
        <v>107</v>
      </c>
      <c r="P77" s="251"/>
      <c r="Q77" s="252"/>
      <c r="R77" s="152"/>
      <c r="S77" s="159" t="s">
        <v>108</v>
      </c>
      <c r="T77" s="238">
        <f>IF(SUM(X12:X68)*0.15&gt;P77,P77,SUM(X12:X68)*0.15)</f>
        <v>0</v>
      </c>
      <c r="U77" s="239"/>
      <c r="V77" s="160"/>
      <c r="W77" s="205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6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4"/>
      <c r="G79" s="234"/>
      <c r="H79" s="234"/>
      <c r="I79" s="235"/>
      <c r="J79" s="164"/>
      <c r="K79" s="164"/>
      <c r="L79" s="164"/>
      <c r="M79" s="249" t="str">
        <f>IF(U6&gt;0,"",T4+30)</f>
        <v/>
      </c>
      <c r="N79" s="250"/>
      <c r="O79" s="168" t="s">
        <v>111</v>
      </c>
      <c r="P79" s="251"/>
      <c r="Q79" s="252"/>
      <c r="R79" s="152"/>
      <c r="S79" s="159" t="s">
        <v>112</v>
      </c>
      <c r="T79" s="238">
        <f>T77+T73+T75</f>
        <v>60845.04</v>
      </c>
      <c r="U79" s="239"/>
      <c r="V79" s="160"/>
      <c r="W79" s="207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5" t="s">
        <v>113</v>
      </c>
      <c r="C81" s="276"/>
      <c r="D81" s="276"/>
      <c r="E81" s="276"/>
      <c r="F81" s="276"/>
      <c r="G81" s="276"/>
      <c r="H81" s="277"/>
      <c r="I81" s="284" t="s">
        <v>114</v>
      </c>
      <c r="J81" s="171"/>
      <c r="K81" s="171"/>
      <c r="L81" s="171"/>
      <c r="M81" s="286"/>
      <c r="N81" s="289" t="s">
        <v>115</v>
      </c>
      <c r="O81" s="292"/>
      <c r="P81" s="286"/>
      <c r="Q81" s="253" t="s">
        <v>116</v>
      </c>
      <c r="R81" s="254"/>
      <c r="S81" s="269"/>
      <c r="T81" s="253" t="s">
        <v>117</v>
      </c>
      <c r="U81" s="272"/>
    </row>
    <row r="82" spans="2:21" ht="15" customHeight="1" x14ac:dyDescent="0.25">
      <c r="B82" s="278"/>
      <c r="C82" s="279"/>
      <c r="D82" s="279"/>
      <c r="E82" s="279"/>
      <c r="F82" s="279"/>
      <c r="G82" s="279"/>
      <c r="H82" s="280"/>
      <c r="I82" s="266"/>
      <c r="J82" s="2"/>
      <c r="K82" s="2"/>
      <c r="L82" s="2"/>
      <c r="M82" s="287"/>
      <c r="N82" s="290"/>
      <c r="O82" s="293"/>
      <c r="P82" s="287"/>
      <c r="Q82" s="255"/>
      <c r="R82" s="256"/>
      <c r="S82" s="270"/>
      <c r="T82" s="255"/>
      <c r="U82" s="273"/>
    </row>
    <row r="83" spans="2:21" ht="15.75" customHeight="1" thickBot="1" x14ac:dyDescent="0.3">
      <c r="B83" s="281"/>
      <c r="C83" s="282"/>
      <c r="D83" s="282"/>
      <c r="E83" s="282"/>
      <c r="F83" s="282"/>
      <c r="G83" s="282"/>
      <c r="H83" s="283"/>
      <c r="I83" s="285"/>
      <c r="J83" s="172"/>
      <c r="K83" s="172"/>
      <c r="L83" s="172"/>
      <c r="M83" s="288"/>
      <c r="N83" s="291"/>
      <c r="O83" s="294"/>
      <c r="P83" s="288"/>
      <c r="Q83" s="257"/>
      <c r="R83" s="258"/>
      <c r="S83" s="271"/>
      <c r="T83" s="257"/>
      <c r="U83" s="274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0" t="s">
        <v>132</v>
      </c>
      <c r="C88" s="261"/>
      <c r="D88" s="261"/>
      <c r="E88" s="261"/>
      <c r="F88" s="261"/>
      <c r="G88" s="261"/>
      <c r="H88" s="261"/>
      <c r="I88" s="262"/>
      <c r="J88" s="185"/>
      <c r="K88" s="185"/>
      <c r="L88" s="185"/>
      <c r="M88" s="260"/>
      <c r="N88" s="261"/>
      <c r="O88" s="261"/>
      <c r="P88" s="261"/>
      <c r="Q88" s="262"/>
      <c r="R88" s="187"/>
      <c r="S88" s="188"/>
      <c r="T88" s="188"/>
      <c r="U88" s="189"/>
    </row>
    <row r="89" spans="2:21" ht="18" x14ac:dyDescent="0.25">
      <c r="B89" s="263" t="s">
        <v>122</v>
      </c>
      <c r="C89" s="264"/>
      <c r="D89" s="264"/>
      <c r="E89" s="264"/>
      <c r="F89" s="264"/>
      <c r="G89" s="264"/>
      <c r="H89" s="264"/>
      <c r="I89" s="265"/>
      <c r="M89" s="263" t="s">
        <v>122</v>
      </c>
      <c r="N89" s="264"/>
      <c r="O89" s="264"/>
      <c r="P89" s="264"/>
      <c r="Q89" s="265"/>
      <c r="R89" s="266" t="s">
        <v>123</v>
      </c>
      <c r="S89" s="267"/>
      <c r="T89" s="267"/>
      <c r="U89" s="268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0" t="s">
        <v>133</v>
      </c>
      <c r="C93" s="261"/>
      <c r="D93" s="261"/>
      <c r="E93" s="261"/>
      <c r="F93" s="261"/>
      <c r="G93" s="261"/>
      <c r="H93" s="261"/>
      <c r="I93" s="262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3" t="s">
        <v>126</v>
      </c>
      <c r="C94" s="264"/>
      <c r="D94" s="264"/>
      <c r="E94" s="264"/>
      <c r="F94" s="264"/>
      <c r="G94" s="264"/>
      <c r="H94" s="264"/>
      <c r="I94" s="265"/>
      <c r="M94" s="179"/>
      <c r="Q94" s="180"/>
      <c r="R94" s="266" t="s">
        <v>127</v>
      </c>
      <c r="S94" s="267"/>
      <c r="T94" s="267"/>
      <c r="U94" s="268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67A4-D3CE-47CC-BB2E-9D2050266FC6}">
  <sheetPr>
    <tabColor rgb="FF00B050"/>
    <pageSetUpPr fitToPage="1"/>
  </sheetPr>
  <dimension ref="A1:AJ100"/>
  <sheetViews>
    <sheetView showGridLines="0" zoomScale="85" zoomScaleNormal="85" workbookViewId="0">
      <pane xSplit="2" topLeftCell="C1" activePane="topRight" state="frozen"/>
      <selection activeCell="P79" sqref="P79:Q79"/>
      <selection pane="topRight" activeCell="M16" sqref="M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4" t="s">
        <v>130</v>
      </c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6" t="s">
        <v>1</v>
      </c>
      <c r="U2" s="7"/>
      <c r="W2" s="20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8"/>
      <c r="G4" s="208"/>
      <c r="H4" s="208"/>
      <c r="I4" s="208"/>
      <c r="J4" s="208"/>
      <c r="K4" s="208"/>
      <c r="L4" s="208"/>
      <c r="M4" s="208"/>
      <c r="S4" s="2" t="s">
        <v>4</v>
      </c>
      <c r="T4" s="209"/>
      <c r="U4" s="209"/>
      <c r="W4" s="20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0"/>
      <c r="G6" s="210"/>
      <c r="H6" s="210"/>
      <c r="I6" s="210"/>
      <c r="J6" s="210"/>
      <c r="K6" s="210"/>
      <c r="L6" s="210"/>
      <c r="M6" s="210"/>
      <c r="S6" s="11" t="s">
        <v>6</v>
      </c>
      <c r="T6" s="197" t="s">
        <v>7</v>
      </c>
      <c r="U6" s="12" t="s">
        <v>131</v>
      </c>
      <c r="W6" s="205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0"/>
      <c r="G7" s="210"/>
      <c r="H7" s="210"/>
      <c r="I7" s="210"/>
      <c r="J7" s="210"/>
      <c r="K7" s="210"/>
      <c r="L7" s="210"/>
      <c r="M7" s="210"/>
      <c r="N7" s="14"/>
      <c r="O7" s="14"/>
      <c r="P7" s="14"/>
      <c r="Q7" s="15"/>
      <c r="S7" s="14"/>
      <c r="T7" s="197" t="s">
        <v>11</v>
      </c>
      <c r="U7" s="12"/>
      <c r="W7" s="207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44" t="s">
        <v>14</v>
      </c>
      <c r="C9" s="247" t="s">
        <v>15</v>
      </c>
      <c r="D9" s="247" t="s">
        <v>16</v>
      </c>
      <c r="E9" s="247" t="s">
        <v>17</v>
      </c>
      <c r="F9" s="231" t="s">
        <v>18</v>
      </c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3"/>
      <c r="S9" s="231" t="s">
        <v>19</v>
      </c>
      <c r="T9" s="232"/>
      <c r="U9" s="233"/>
      <c r="X9" s="219" t="s">
        <v>20</v>
      </c>
      <c r="Y9" s="222" t="s">
        <v>21</v>
      </c>
      <c r="Z9" s="222" t="s">
        <v>128</v>
      </c>
      <c r="AA9" s="17"/>
      <c r="AB9" s="211" t="s">
        <v>22</v>
      </c>
      <c r="AC9" s="225" t="s">
        <v>23</v>
      </c>
      <c r="AD9" s="228" t="s">
        <v>24</v>
      </c>
      <c r="AE9" s="211" t="s">
        <v>25</v>
      </c>
      <c r="AG9" s="211" t="s">
        <v>26</v>
      </c>
      <c r="AH9" s="17"/>
      <c r="AI9" s="211" t="s">
        <v>27</v>
      </c>
    </row>
    <row r="10" spans="2:35" s="16" customFormat="1" ht="20.25" customHeight="1" x14ac:dyDescent="0.25">
      <c r="B10" s="245"/>
      <c r="C10" s="248"/>
      <c r="D10" s="248"/>
      <c r="E10" s="248"/>
      <c r="F10" s="215" t="s">
        <v>28</v>
      </c>
      <c r="G10" s="215" t="s">
        <v>29</v>
      </c>
      <c r="H10" s="215" t="s">
        <v>30</v>
      </c>
      <c r="I10" s="217" t="s">
        <v>31</v>
      </c>
      <c r="J10" s="217" t="s">
        <v>32</v>
      </c>
      <c r="K10" s="217" t="s">
        <v>33</v>
      </c>
      <c r="L10" s="217" t="s">
        <v>34</v>
      </c>
      <c r="M10" s="201" t="s">
        <v>35</v>
      </c>
      <c r="N10" s="202"/>
      <c r="O10" s="202"/>
      <c r="P10" s="202"/>
      <c r="Q10" s="203"/>
      <c r="S10" s="240" t="s">
        <v>36</v>
      </c>
      <c r="T10" s="241"/>
      <c r="U10" s="242"/>
      <c r="X10" s="220"/>
      <c r="Y10" s="223"/>
      <c r="Z10" s="223"/>
      <c r="AA10" s="17"/>
      <c r="AB10" s="212"/>
      <c r="AC10" s="226"/>
      <c r="AD10" s="229"/>
      <c r="AE10" s="212"/>
      <c r="AG10" s="212"/>
      <c r="AH10" s="17"/>
      <c r="AI10" s="212"/>
    </row>
    <row r="11" spans="2:35" s="21" customFormat="1" ht="12.75" customHeight="1" thickBot="1" x14ac:dyDescent="0.3">
      <c r="B11" s="246"/>
      <c r="C11" s="216"/>
      <c r="D11" s="216"/>
      <c r="E11" s="216"/>
      <c r="F11" s="216"/>
      <c r="G11" s="216"/>
      <c r="H11" s="216"/>
      <c r="I11" s="218"/>
      <c r="J11" s="218"/>
      <c r="K11" s="218"/>
      <c r="L11" s="218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1"/>
      <c r="Y11" s="224"/>
      <c r="Z11" s="224"/>
      <c r="AA11" s="17"/>
      <c r="AB11" s="214"/>
      <c r="AC11" s="227"/>
      <c r="AD11" s="230"/>
      <c r="AE11" s="214"/>
      <c r="AG11" s="213"/>
      <c r="AH11" s="17"/>
      <c r="AI11" s="214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>
        <v>108</v>
      </c>
      <c r="N17" s="193"/>
      <c r="O17" s="51"/>
      <c r="P17" s="52" t="str">
        <f t="shared" si="5"/>
        <v>1 pallets</v>
      </c>
      <c r="Q17" s="53">
        <f t="shared" si="6"/>
        <v>11988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>
        <v>63</v>
      </c>
      <c r="N27" s="77"/>
      <c r="O27" s="76"/>
      <c r="P27" s="78" t="str">
        <f t="shared" si="5"/>
        <v>1 pallets</v>
      </c>
      <c r="Q27" s="79">
        <f t="shared" si="6"/>
        <v>7560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3" t="s">
        <v>101</v>
      </c>
      <c r="C71" s="243"/>
      <c r="D71" s="243"/>
      <c r="E71" s="243"/>
      <c r="F71" s="243"/>
      <c r="G71" s="243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7" t="str">
        <f>ROUND((((M12+N12+M30+M57+M58+M59+M60+M61+N57)/72+(M13+N13+M16+M18)/108+(M15+N15)/96+SUM(M14,M19:M29,M31:M32,M50,N14)/63)),1)&amp;" pallets"</f>
        <v>16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4">
        <f>SUM(I12:I70)</f>
        <v>1397196</v>
      </c>
      <c r="G73" s="234"/>
      <c r="H73" s="234"/>
      <c r="I73" s="235"/>
      <c r="J73" s="158"/>
      <c r="K73" s="158"/>
      <c r="L73" s="158"/>
      <c r="M73" s="236" t="s">
        <v>103</v>
      </c>
      <c r="N73" s="237"/>
      <c r="O73" s="234">
        <f>SUM(Q12:Q70)</f>
        <v>199368</v>
      </c>
      <c r="P73" s="234"/>
      <c r="Q73" s="235"/>
      <c r="R73" s="152"/>
      <c r="S73" s="159" t="s">
        <v>104</v>
      </c>
      <c r="T73" s="238">
        <f>SUM(Y12:Y68)</f>
        <v>54419.040000000001</v>
      </c>
      <c r="U73" s="239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4">
        <f>SUM(I14:I72)</f>
        <v>1397196</v>
      </c>
      <c r="G75" s="234"/>
      <c r="H75" s="234"/>
      <c r="I75" s="235"/>
      <c r="J75" s="158"/>
      <c r="K75" s="158"/>
      <c r="L75" s="158"/>
      <c r="M75" s="236" t="s">
        <v>103</v>
      </c>
      <c r="N75" s="237"/>
      <c r="O75" s="234">
        <f>SUM(Q14:Q72)</f>
        <v>199368</v>
      </c>
      <c r="P75" s="234"/>
      <c r="Q75" s="235"/>
      <c r="R75" s="152"/>
      <c r="S75" s="159" t="s">
        <v>129</v>
      </c>
      <c r="T75" s="238">
        <f>SUM(Z12:Z70)</f>
        <v>6426</v>
      </c>
      <c r="U75" s="239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4">
        <f>IF(U7&gt;0,"",(F73-O73-T79-P79))</f>
        <v>947987.07</v>
      </c>
      <c r="G77" s="234"/>
      <c r="H77" s="234"/>
      <c r="I77" s="235"/>
      <c r="J77" s="164"/>
      <c r="K77" s="164"/>
      <c r="L77" s="164"/>
      <c r="M77" s="259" t="s">
        <v>106</v>
      </c>
      <c r="N77" s="259"/>
      <c r="O77" s="168" t="s">
        <v>107</v>
      </c>
      <c r="P77" s="251">
        <f>183996</f>
        <v>183996</v>
      </c>
      <c r="Q77" s="252"/>
      <c r="R77" s="152"/>
      <c r="S77" s="159" t="s">
        <v>108</v>
      </c>
      <c r="T77" s="238">
        <f>IF(SUM(X12:X68)*0.15&gt;P77,P77,SUM(X12:X68)*0.15)</f>
        <v>179010</v>
      </c>
      <c r="U77" s="239"/>
      <c r="V77" s="160"/>
      <c r="W77" s="205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6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4"/>
      <c r="G79" s="234"/>
      <c r="H79" s="234"/>
      <c r="I79" s="235"/>
      <c r="J79" s="164"/>
      <c r="K79" s="164"/>
      <c r="L79" s="164"/>
      <c r="M79" s="249" t="str">
        <f>IF(U6&gt;0,"",T4+30)</f>
        <v/>
      </c>
      <c r="N79" s="250"/>
      <c r="O79" s="168" t="s">
        <v>111</v>
      </c>
      <c r="P79" s="251">
        <f>414.48+9571.41</f>
        <v>9985.89</v>
      </c>
      <c r="Q79" s="252"/>
      <c r="R79" s="152"/>
      <c r="S79" s="159" t="s">
        <v>112</v>
      </c>
      <c r="T79" s="238">
        <f>T77+T73+T75</f>
        <v>239855.04</v>
      </c>
      <c r="U79" s="239"/>
      <c r="V79" s="160"/>
      <c r="W79" s="207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5" t="s">
        <v>113</v>
      </c>
      <c r="C81" s="276"/>
      <c r="D81" s="276"/>
      <c r="E81" s="276"/>
      <c r="F81" s="276"/>
      <c r="G81" s="276"/>
      <c r="H81" s="277"/>
      <c r="I81" s="284" t="s">
        <v>114</v>
      </c>
      <c r="J81" s="171"/>
      <c r="K81" s="171"/>
      <c r="L81" s="171"/>
      <c r="M81" s="286"/>
      <c r="N81" s="289" t="s">
        <v>115</v>
      </c>
      <c r="O81" s="292"/>
      <c r="P81" s="286"/>
      <c r="Q81" s="253" t="s">
        <v>116</v>
      </c>
      <c r="R81" s="254"/>
      <c r="S81" s="269"/>
      <c r="T81" s="253" t="s">
        <v>117</v>
      </c>
      <c r="U81" s="272"/>
    </row>
    <row r="82" spans="2:21" ht="15" customHeight="1" x14ac:dyDescent="0.25">
      <c r="B82" s="278"/>
      <c r="C82" s="279"/>
      <c r="D82" s="279"/>
      <c r="E82" s="279"/>
      <c r="F82" s="279"/>
      <c r="G82" s="279"/>
      <c r="H82" s="280"/>
      <c r="I82" s="266"/>
      <c r="J82" s="2"/>
      <c r="K82" s="2"/>
      <c r="L82" s="2"/>
      <c r="M82" s="287"/>
      <c r="N82" s="290"/>
      <c r="O82" s="293"/>
      <c r="P82" s="287"/>
      <c r="Q82" s="255"/>
      <c r="R82" s="256"/>
      <c r="S82" s="270"/>
      <c r="T82" s="255"/>
      <c r="U82" s="273"/>
    </row>
    <row r="83" spans="2:21" ht="15.75" customHeight="1" thickBot="1" x14ac:dyDescent="0.3">
      <c r="B83" s="281"/>
      <c r="C83" s="282"/>
      <c r="D83" s="282"/>
      <c r="E83" s="282"/>
      <c r="F83" s="282"/>
      <c r="G83" s="282"/>
      <c r="H83" s="283"/>
      <c r="I83" s="285"/>
      <c r="J83" s="172"/>
      <c r="K83" s="172"/>
      <c r="L83" s="172"/>
      <c r="M83" s="288"/>
      <c r="N83" s="291"/>
      <c r="O83" s="294"/>
      <c r="P83" s="288"/>
      <c r="Q83" s="257"/>
      <c r="R83" s="258"/>
      <c r="S83" s="271"/>
      <c r="T83" s="257"/>
      <c r="U83" s="274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0" t="s">
        <v>132</v>
      </c>
      <c r="C88" s="261"/>
      <c r="D88" s="261"/>
      <c r="E88" s="261"/>
      <c r="F88" s="261"/>
      <c r="G88" s="261"/>
      <c r="H88" s="261"/>
      <c r="I88" s="262"/>
      <c r="J88" s="185"/>
      <c r="K88" s="185"/>
      <c r="L88" s="185"/>
      <c r="M88" s="260"/>
      <c r="N88" s="261"/>
      <c r="O88" s="261"/>
      <c r="P88" s="261"/>
      <c r="Q88" s="262"/>
      <c r="R88" s="187"/>
      <c r="S88" s="188"/>
      <c r="T88" s="188"/>
      <c r="U88" s="189"/>
    </row>
    <row r="89" spans="2:21" ht="18" x14ac:dyDescent="0.25">
      <c r="B89" s="263" t="s">
        <v>122</v>
      </c>
      <c r="C89" s="264"/>
      <c r="D89" s="264"/>
      <c r="E89" s="264"/>
      <c r="F89" s="264"/>
      <c r="G89" s="264"/>
      <c r="H89" s="264"/>
      <c r="I89" s="265"/>
      <c r="M89" s="263" t="s">
        <v>122</v>
      </c>
      <c r="N89" s="264"/>
      <c r="O89" s="264"/>
      <c r="P89" s="264"/>
      <c r="Q89" s="265"/>
      <c r="R89" s="266" t="s">
        <v>123</v>
      </c>
      <c r="S89" s="267"/>
      <c r="T89" s="267"/>
      <c r="U89" s="268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0" t="s">
        <v>133</v>
      </c>
      <c r="C93" s="261"/>
      <c r="D93" s="261"/>
      <c r="E93" s="261"/>
      <c r="F93" s="261"/>
      <c r="G93" s="261"/>
      <c r="H93" s="261"/>
      <c r="I93" s="262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3" t="s">
        <v>126</v>
      </c>
      <c r="C94" s="264"/>
      <c r="D94" s="264"/>
      <c r="E94" s="264"/>
      <c r="F94" s="264"/>
      <c r="G94" s="264"/>
      <c r="H94" s="264"/>
      <c r="I94" s="265"/>
      <c r="M94" s="179"/>
      <c r="Q94" s="180"/>
      <c r="R94" s="266" t="s">
        <v>127</v>
      </c>
      <c r="S94" s="267"/>
      <c r="T94" s="267"/>
      <c r="U94" s="268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0A64-EAB8-4605-A76B-83E2E76BD532}">
  <sheetPr>
    <tabColor rgb="FF00B050"/>
    <pageSetUpPr fitToPage="1"/>
  </sheetPr>
  <dimension ref="A1:AJ100"/>
  <sheetViews>
    <sheetView showGridLines="0" zoomScale="85" zoomScaleNormal="85" workbookViewId="0">
      <pane xSplit="2" topLeftCell="E1" activePane="topRight" state="frozen"/>
      <selection activeCell="P79" sqref="P79:Q79"/>
      <selection pane="topRight" activeCell="M16" sqref="M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4" t="s">
        <v>130</v>
      </c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6" t="s">
        <v>1</v>
      </c>
      <c r="U2" s="7"/>
      <c r="W2" s="20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8"/>
      <c r="G4" s="208"/>
      <c r="H4" s="208"/>
      <c r="I4" s="208"/>
      <c r="J4" s="208"/>
      <c r="K4" s="208"/>
      <c r="L4" s="208"/>
      <c r="M4" s="208"/>
      <c r="S4" s="2" t="s">
        <v>4</v>
      </c>
      <c r="T4" s="209"/>
      <c r="U4" s="209"/>
      <c r="W4" s="20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0"/>
      <c r="G6" s="210"/>
      <c r="H6" s="210"/>
      <c r="I6" s="210"/>
      <c r="J6" s="210"/>
      <c r="K6" s="210"/>
      <c r="L6" s="210"/>
      <c r="M6" s="210"/>
      <c r="S6" s="11" t="s">
        <v>6</v>
      </c>
      <c r="T6" s="198" t="s">
        <v>7</v>
      </c>
      <c r="U6" s="12" t="s">
        <v>131</v>
      </c>
      <c r="W6" s="205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0"/>
      <c r="G7" s="210"/>
      <c r="H7" s="210"/>
      <c r="I7" s="210"/>
      <c r="J7" s="210"/>
      <c r="K7" s="210"/>
      <c r="L7" s="210"/>
      <c r="M7" s="210"/>
      <c r="N7" s="14"/>
      <c r="O7" s="14"/>
      <c r="P7" s="14"/>
      <c r="Q7" s="15"/>
      <c r="S7" s="14"/>
      <c r="T7" s="198" t="s">
        <v>11</v>
      </c>
      <c r="U7" s="12"/>
      <c r="W7" s="207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44" t="s">
        <v>14</v>
      </c>
      <c r="C9" s="247" t="s">
        <v>15</v>
      </c>
      <c r="D9" s="247" t="s">
        <v>16</v>
      </c>
      <c r="E9" s="247" t="s">
        <v>17</v>
      </c>
      <c r="F9" s="231" t="s">
        <v>18</v>
      </c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3"/>
      <c r="S9" s="231" t="s">
        <v>19</v>
      </c>
      <c r="T9" s="232"/>
      <c r="U9" s="233"/>
      <c r="X9" s="219" t="s">
        <v>20</v>
      </c>
      <c r="Y9" s="222" t="s">
        <v>21</v>
      </c>
      <c r="Z9" s="222" t="s">
        <v>128</v>
      </c>
      <c r="AA9" s="17"/>
      <c r="AB9" s="211" t="s">
        <v>22</v>
      </c>
      <c r="AC9" s="225" t="s">
        <v>23</v>
      </c>
      <c r="AD9" s="228" t="s">
        <v>24</v>
      </c>
      <c r="AE9" s="211" t="s">
        <v>25</v>
      </c>
      <c r="AG9" s="211" t="s">
        <v>26</v>
      </c>
      <c r="AH9" s="17"/>
      <c r="AI9" s="211" t="s">
        <v>27</v>
      </c>
    </row>
    <row r="10" spans="2:35" s="16" customFormat="1" ht="20.25" customHeight="1" x14ac:dyDescent="0.25">
      <c r="B10" s="245"/>
      <c r="C10" s="248"/>
      <c r="D10" s="248"/>
      <c r="E10" s="248"/>
      <c r="F10" s="215" t="s">
        <v>28</v>
      </c>
      <c r="G10" s="215" t="s">
        <v>29</v>
      </c>
      <c r="H10" s="215" t="s">
        <v>30</v>
      </c>
      <c r="I10" s="217" t="s">
        <v>31</v>
      </c>
      <c r="J10" s="217" t="s">
        <v>32</v>
      </c>
      <c r="K10" s="217" t="s">
        <v>33</v>
      </c>
      <c r="L10" s="217" t="s">
        <v>34</v>
      </c>
      <c r="M10" s="201" t="s">
        <v>35</v>
      </c>
      <c r="N10" s="202"/>
      <c r="O10" s="202"/>
      <c r="P10" s="202"/>
      <c r="Q10" s="203"/>
      <c r="S10" s="240" t="s">
        <v>36</v>
      </c>
      <c r="T10" s="241"/>
      <c r="U10" s="242"/>
      <c r="X10" s="220"/>
      <c r="Y10" s="223"/>
      <c r="Z10" s="223"/>
      <c r="AA10" s="17"/>
      <c r="AB10" s="212"/>
      <c r="AC10" s="226"/>
      <c r="AD10" s="229"/>
      <c r="AE10" s="212"/>
      <c r="AG10" s="212"/>
      <c r="AH10" s="17"/>
      <c r="AI10" s="212"/>
    </row>
    <row r="11" spans="2:35" s="21" customFormat="1" ht="12.75" customHeight="1" thickBot="1" x14ac:dyDescent="0.3">
      <c r="B11" s="246"/>
      <c r="C11" s="216"/>
      <c r="D11" s="216"/>
      <c r="E11" s="216"/>
      <c r="F11" s="216"/>
      <c r="G11" s="216"/>
      <c r="H11" s="216"/>
      <c r="I11" s="218"/>
      <c r="J11" s="218"/>
      <c r="K11" s="218"/>
      <c r="L11" s="218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1"/>
      <c r="Y11" s="224"/>
      <c r="Z11" s="224"/>
      <c r="AA11" s="17"/>
      <c r="AB11" s="214"/>
      <c r="AC11" s="227"/>
      <c r="AD11" s="230"/>
      <c r="AE11" s="214"/>
      <c r="AG11" s="213"/>
      <c r="AH11" s="17"/>
      <c r="AI11" s="214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f>108</f>
        <v>108</v>
      </c>
      <c r="N13" s="51"/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11988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>
        <f>315</f>
        <v>315</v>
      </c>
      <c r="N14" s="51"/>
      <c r="O14" s="51"/>
      <c r="P14" s="52" t="str">
        <f t="shared" si="5"/>
        <v>5 pallets</v>
      </c>
      <c r="Q14" s="53">
        <f t="shared" si="6"/>
        <v>37800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756</v>
      </c>
      <c r="N16" s="193"/>
      <c r="O16" s="51"/>
      <c r="P16" s="52" t="str">
        <f t="shared" si="5"/>
        <v>7 pallets</v>
      </c>
      <c r="Q16" s="53">
        <f t="shared" si="6"/>
        <v>83916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>
        <f>126+63</f>
        <v>189</v>
      </c>
      <c r="N20" s="66"/>
      <c r="O20" s="51"/>
      <c r="P20" s="52" t="str">
        <f t="shared" si="5"/>
        <v>3 pallets</v>
      </c>
      <c r="Q20" s="53">
        <f t="shared" si="6"/>
        <v>22680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3" t="s">
        <v>101</v>
      </c>
      <c r="C71" s="243"/>
      <c r="D71" s="243"/>
      <c r="E71" s="243"/>
      <c r="F71" s="243"/>
      <c r="G71" s="243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8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4">
        <f>SUM(I12:I70)</f>
        <v>1397196</v>
      </c>
      <c r="G73" s="234"/>
      <c r="H73" s="234"/>
      <c r="I73" s="235"/>
      <c r="J73" s="158"/>
      <c r="K73" s="158"/>
      <c r="L73" s="158"/>
      <c r="M73" s="236" t="s">
        <v>103</v>
      </c>
      <c r="N73" s="237"/>
      <c r="O73" s="234">
        <f>SUM(Q12:Q70)</f>
        <v>167040</v>
      </c>
      <c r="P73" s="234"/>
      <c r="Q73" s="235"/>
      <c r="R73" s="152"/>
      <c r="S73" s="159" t="s">
        <v>104</v>
      </c>
      <c r="T73" s="238">
        <f>SUM(Y12:Y68)</f>
        <v>54419.040000000001</v>
      </c>
      <c r="U73" s="239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4">
        <f>SUM(I14:I72)</f>
        <v>1397196</v>
      </c>
      <c r="G75" s="234"/>
      <c r="H75" s="234"/>
      <c r="I75" s="235"/>
      <c r="J75" s="158"/>
      <c r="K75" s="158"/>
      <c r="L75" s="158"/>
      <c r="M75" s="236" t="s">
        <v>103</v>
      </c>
      <c r="N75" s="237"/>
      <c r="O75" s="234">
        <f>SUM(Q14:Q72)</f>
        <v>155052</v>
      </c>
      <c r="P75" s="234"/>
      <c r="Q75" s="235"/>
      <c r="R75" s="152"/>
      <c r="S75" s="159" t="s">
        <v>129</v>
      </c>
      <c r="T75" s="238">
        <f>SUM(Z12:Z70)</f>
        <v>6426</v>
      </c>
      <c r="U75" s="239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4">
        <f>IF(U7&gt;0,"",(F73-O73-T79-P79))</f>
        <v>1169310.96</v>
      </c>
      <c r="G77" s="234"/>
      <c r="H77" s="234"/>
      <c r="I77" s="235"/>
      <c r="J77" s="164"/>
      <c r="K77" s="164"/>
      <c r="L77" s="164"/>
      <c r="M77" s="259" t="s">
        <v>106</v>
      </c>
      <c r="N77" s="259"/>
      <c r="O77" s="168" t="s">
        <v>107</v>
      </c>
      <c r="P77" s="251"/>
      <c r="Q77" s="252"/>
      <c r="R77" s="152"/>
      <c r="S77" s="159" t="s">
        <v>108</v>
      </c>
      <c r="T77" s="238">
        <f>IF(SUM(X12:X68)*0.15&gt;P77,P77,SUM(X12:X68)*0.15)</f>
        <v>0</v>
      </c>
      <c r="U77" s="239"/>
      <c r="V77" s="160"/>
      <c r="W77" s="205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6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4"/>
      <c r="G79" s="234"/>
      <c r="H79" s="234"/>
      <c r="I79" s="235"/>
      <c r="J79" s="164"/>
      <c r="K79" s="164"/>
      <c r="L79" s="164"/>
      <c r="M79" s="249" t="str">
        <f>IF(U6&gt;0,"",T4+30)</f>
        <v/>
      </c>
      <c r="N79" s="250"/>
      <c r="O79" s="168" t="s">
        <v>111</v>
      </c>
      <c r="P79" s="251"/>
      <c r="Q79" s="252"/>
      <c r="R79" s="152"/>
      <c r="S79" s="159" t="s">
        <v>112</v>
      </c>
      <c r="T79" s="238">
        <f>T77+T73+T75</f>
        <v>60845.04</v>
      </c>
      <c r="U79" s="239"/>
      <c r="V79" s="160"/>
      <c r="W79" s="207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5" t="s">
        <v>113</v>
      </c>
      <c r="C81" s="276"/>
      <c r="D81" s="276"/>
      <c r="E81" s="276"/>
      <c r="F81" s="276"/>
      <c r="G81" s="276"/>
      <c r="H81" s="277"/>
      <c r="I81" s="284" t="s">
        <v>114</v>
      </c>
      <c r="J81" s="171"/>
      <c r="K81" s="171"/>
      <c r="L81" s="171"/>
      <c r="M81" s="286"/>
      <c r="N81" s="289" t="s">
        <v>115</v>
      </c>
      <c r="O81" s="292"/>
      <c r="P81" s="286"/>
      <c r="Q81" s="253" t="s">
        <v>116</v>
      </c>
      <c r="R81" s="254"/>
      <c r="S81" s="269"/>
      <c r="T81" s="253" t="s">
        <v>117</v>
      </c>
      <c r="U81" s="272"/>
    </row>
    <row r="82" spans="2:21" ht="15" customHeight="1" x14ac:dyDescent="0.25">
      <c r="B82" s="278"/>
      <c r="C82" s="279"/>
      <c r="D82" s="279"/>
      <c r="E82" s="279"/>
      <c r="F82" s="279"/>
      <c r="G82" s="279"/>
      <c r="H82" s="280"/>
      <c r="I82" s="266"/>
      <c r="J82" s="2"/>
      <c r="K82" s="2"/>
      <c r="L82" s="2"/>
      <c r="M82" s="287"/>
      <c r="N82" s="290"/>
      <c r="O82" s="293"/>
      <c r="P82" s="287"/>
      <c r="Q82" s="255"/>
      <c r="R82" s="256"/>
      <c r="S82" s="270"/>
      <c r="T82" s="255"/>
      <c r="U82" s="273"/>
    </row>
    <row r="83" spans="2:21" ht="15.75" customHeight="1" thickBot="1" x14ac:dyDescent="0.3">
      <c r="B83" s="281"/>
      <c r="C83" s="282"/>
      <c r="D83" s="282"/>
      <c r="E83" s="282"/>
      <c r="F83" s="282"/>
      <c r="G83" s="282"/>
      <c r="H83" s="283"/>
      <c r="I83" s="285"/>
      <c r="J83" s="172"/>
      <c r="K83" s="172"/>
      <c r="L83" s="172"/>
      <c r="M83" s="288"/>
      <c r="N83" s="291"/>
      <c r="O83" s="294"/>
      <c r="P83" s="288"/>
      <c r="Q83" s="257"/>
      <c r="R83" s="258"/>
      <c r="S83" s="271"/>
      <c r="T83" s="257"/>
      <c r="U83" s="274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0" t="s">
        <v>132</v>
      </c>
      <c r="C88" s="261"/>
      <c r="D88" s="261"/>
      <c r="E88" s="261"/>
      <c r="F88" s="261"/>
      <c r="G88" s="261"/>
      <c r="H88" s="261"/>
      <c r="I88" s="262"/>
      <c r="J88" s="185"/>
      <c r="K88" s="185"/>
      <c r="L88" s="185"/>
      <c r="M88" s="260"/>
      <c r="N88" s="261"/>
      <c r="O88" s="261"/>
      <c r="P88" s="261"/>
      <c r="Q88" s="262"/>
      <c r="R88" s="187"/>
      <c r="S88" s="188"/>
      <c r="T88" s="188"/>
      <c r="U88" s="189"/>
    </row>
    <row r="89" spans="2:21" ht="18" x14ac:dyDescent="0.25">
      <c r="B89" s="263" t="s">
        <v>122</v>
      </c>
      <c r="C89" s="264"/>
      <c r="D89" s="264"/>
      <c r="E89" s="264"/>
      <c r="F89" s="264"/>
      <c r="G89" s="264"/>
      <c r="H89" s="264"/>
      <c r="I89" s="265"/>
      <c r="M89" s="263" t="s">
        <v>122</v>
      </c>
      <c r="N89" s="264"/>
      <c r="O89" s="264"/>
      <c r="P89" s="264"/>
      <c r="Q89" s="265"/>
      <c r="R89" s="266" t="s">
        <v>123</v>
      </c>
      <c r="S89" s="267"/>
      <c r="T89" s="267"/>
      <c r="U89" s="268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0" t="s">
        <v>133</v>
      </c>
      <c r="C93" s="261"/>
      <c r="D93" s="261"/>
      <c r="E93" s="261"/>
      <c r="F93" s="261"/>
      <c r="G93" s="261"/>
      <c r="H93" s="261"/>
      <c r="I93" s="262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3" t="s">
        <v>126</v>
      </c>
      <c r="C94" s="264"/>
      <c r="D94" s="264"/>
      <c r="E94" s="264"/>
      <c r="F94" s="264"/>
      <c r="G94" s="264"/>
      <c r="H94" s="264"/>
      <c r="I94" s="265"/>
      <c r="M94" s="179"/>
      <c r="Q94" s="180"/>
      <c r="R94" s="266" t="s">
        <v>127</v>
      </c>
      <c r="S94" s="267"/>
      <c r="T94" s="267"/>
      <c r="U94" s="268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537D-70D2-4B8F-BA77-E458CD6FF862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E1" activePane="topRight" state="frozen"/>
      <selection activeCell="P79" sqref="P79:Q79"/>
      <selection pane="topRight" activeCell="F77" sqref="F77:I7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4" t="s">
        <v>130</v>
      </c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6" t="s">
        <v>1</v>
      </c>
      <c r="U2" s="7"/>
      <c r="W2" s="20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8"/>
      <c r="G4" s="208"/>
      <c r="H4" s="208"/>
      <c r="I4" s="208"/>
      <c r="J4" s="208"/>
      <c r="K4" s="208"/>
      <c r="L4" s="208"/>
      <c r="M4" s="208"/>
      <c r="S4" s="2" t="s">
        <v>4</v>
      </c>
      <c r="T4" s="209"/>
      <c r="U4" s="209"/>
      <c r="W4" s="20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0"/>
      <c r="G6" s="210"/>
      <c r="H6" s="210"/>
      <c r="I6" s="210"/>
      <c r="J6" s="210"/>
      <c r="K6" s="210"/>
      <c r="L6" s="210"/>
      <c r="M6" s="210"/>
      <c r="S6" s="11" t="s">
        <v>6</v>
      </c>
      <c r="T6" s="199" t="s">
        <v>7</v>
      </c>
      <c r="U6" s="12" t="s">
        <v>131</v>
      </c>
      <c r="W6" s="205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0"/>
      <c r="G7" s="210"/>
      <c r="H7" s="210"/>
      <c r="I7" s="210"/>
      <c r="J7" s="210"/>
      <c r="K7" s="210"/>
      <c r="L7" s="210"/>
      <c r="M7" s="210"/>
      <c r="N7" s="14"/>
      <c r="O7" s="14"/>
      <c r="P7" s="14"/>
      <c r="Q7" s="15"/>
      <c r="S7" s="14"/>
      <c r="T7" s="199" t="s">
        <v>11</v>
      </c>
      <c r="U7" s="12"/>
      <c r="W7" s="207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44" t="s">
        <v>14</v>
      </c>
      <c r="C9" s="247" t="s">
        <v>15</v>
      </c>
      <c r="D9" s="247" t="s">
        <v>16</v>
      </c>
      <c r="E9" s="247" t="s">
        <v>17</v>
      </c>
      <c r="F9" s="231" t="s">
        <v>18</v>
      </c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3"/>
      <c r="S9" s="231" t="s">
        <v>19</v>
      </c>
      <c r="T9" s="232"/>
      <c r="U9" s="233"/>
      <c r="X9" s="219" t="s">
        <v>20</v>
      </c>
      <c r="Y9" s="222" t="s">
        <v>21</v>
      </c>
      <c r="Z9" s="222" t="s">
        <v>128</v>
      </c>
      <c r="AA9" s="17"/>
      <c r="AB9" s="211" t="s">
        <v>22</v>
      </c>
      <c r="AC9" s="225" t="s">
        <v>23</v>
      </c>
      <c r="AD9" s="228" t="s">
        <v>24</v>
      </c>
      <c r="AE9" s="211" t="s">
        <v>25</v>
      </c>
      <c r="AG9" s="211" t="s">
        <v>26</v>
      </c>
      <c r="AH9" s="17"/>
      <c r="AI9" s="211" t="s">
        <v>27</v>
      </c>
    </row>
    <row r="10" spans="2:35" s="16" customFormat="1" ht="20.25" customHeight="1" x14ac:dyDescent="0.25">
      <c r="B10" s="245"/>
      <c r="C10" s="248"/>
      <c r="D10" s="248"/>
      <c r="E10" s="248"/>
      <c r="F10" s="215" t="s">
        <v>28</v>
      </c>
      <c r="G10" s="215" t="s">
        <v>29</v>
      </c>
      <c r="H10" s="215" t="s">
        <v>30</v>
      </c>
      <c r="I10" s="217" t="s">
        <v>31</v>
      </c>
      <c r="J10" s="217" t="s">
        <v>32</v>
      </c>
      <c r="K10" s="217" t="s">
        <v>33</v>
      </c>
      <c r="L10" s="217" t="s">
        <v>34</v>
      </c>
      <c r="M10" s="201" t="s">
        <v>35</v>
      </c>
      <c r="N10" s="202"/>
      <c r="O10" s="202"/>
      <c r="P10" s="202"/>
      <c r="Q10" s="203"/>
      <c r="S10" s="240" t="s">
        <v>36</v>
      </c>
      <c r="T10" s="241"/>
      <c r="U10" s="242"/>
      <c r="X10" s="220"/>
      <c r="Y10" s="223"/>
      <c r="Z10" s="223"/>
      <c r="AA10" s="17"/>
      <c r="AB10" s="212"/>
      <c r="AC10" s="226"/>
      <c r="AD10" s="229"/>
      <c r="AE10" s="212"/>
      <c r="AG10" s="212"/>
      <c r="AH10" s="17"/>
      <c r="AI10" s="212"/>
    </row>
    <row r="11" spans="2:35" s="21" customFormat="1" ht="12.75" customHeight="1" thickBot="1" x14ac:dyDescent="0.3">
      <c r="B11" s="246"/>
      <c r="C11" s="216"/>
      <c r="D11" s="216"/>
      <c r="E11" s="216"/>
      <c r="F11" s="216"/>
      <c r="G11" s="216"/>
      <c r="H11" s="216"/>
      <c r="I11" s="218"/>
      <c r="J11" s="218"/>
      <c r="K11" s="218"/>
      <c r="L11" s="218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1"/>
      <c r="Y11" s="224"/>
      <c r="Z11" s="224"/>
      <c r="AA11" s="17"/>
      <c r="AB11" s="214"/>
      <c r="AC11" s="227"/>
      <c r="AD11" s="230"/>
      <c r="AE11" s="214"/>
      <c r="AG11" s="213"/>
      <c r="AH11" s="17"/>
      <c r="AI11" s="214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>
        <f>108+23</f>
        <v>131</v>
      </c>
      <c r="O13" s="51"/>
      <c r="P13" s="52" t="str">
        <f t="shared" ref="P13:P68" si="5">IF(M13&amp;N13="","",ROUND(((M13+N13)/G13),1)&amp;" pallets")</f>
        <v>2.2 pallets</v>
      </c>
      <c r="Q13" s="53">
        <f t="shared" ref="Q13:Q70" si="6">(J13*M13)+(K13*N13)+(O13*L13)</f>
        <v>22992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3" t="s">
        <v>101</v>
      </c>
      <c r="C71" s="243"/>
      <c r="D71" s="243"/>
      <c r="E71" s="243"/>
      <c r="F71" s="243"/>
      <c r="G71" s="243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9" t="str">
        <f>ROUND((((M12+N12+M30+M57+M58+M59+M60+M61+N57)/72+(M13+N13+M16+M18)/108+(M15+N15)/96+SUM(M14,M19:M29,M31:M32,M50,N14)/63)),1)&amp;" pallets"</f>
        <v>17.2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4">
        <f>SUM(I12:I70)</f>
        <v>1397196</v>
      </c>
      <c r="G73" s="234"/>
      <c r="H73" s="234"/>
      <c r="I73" s="235"/>
      <c r="J73" s="158"/>
      <c r="K73" s="158"/>
      <c r="L73" s="158"/>
      <c r="M73" s="236" t="s">
        <v>103</v>
      </c>
      <c r="N73" s="237"/>
      <c r="O73" s="234">
        <f>SUM(Q12:Q70)</f>
        <v>202812</v>
      </c>
      <c r="P73" s="234"/>
      <c r="Q73" s="235"/>
      <c r="R73" s="152"/>
      <c r="S73" s="159" t="s">
        <v>104</v>
      </c>
      <c r="T73" s="238">
        <f>SUM(Y12:Y68)</f>
        <v>54419.040000000001</v>
      </c>
      <c r="U73" s="239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4">
        <f>SUM(I14:I72)</f>
        <v>1397196</v>
      </c>
      <c r="G75" s="234"/>
      <c r="H75" s="234"/>
      <c r="I75" s="235"/>
      <c r="J75" s="158"/>
      <c r="K75" s="158"/>
      <c r="L75" s="158"/>
      <c r="M75" s="236" t="s">
        <v>103</v>
      </c>
      <c r="N75" s="237"/>
      <c r="O75" s="234">
        <f>SUM(Q14:Q72)</f>
        <v>179820</v>
      </c>
      <c r="P75" s="234"/>
      <c r="Q75" s="235"/>
      <c r="R75" s="152"/>
      <c r="S75" s="159" t="s">
        <v>129</v>
      </c>
      <c r="T75" s="238">
        <f>SUM(Z12:Z70)</f>
        <v>6426</v>
      </c>
      <c r="U75" s="239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4">
        <f>IF(U7&gt;0,"",(F73-O73-T79-P79))</f>
        <v>1133538.96</v>
      </c>
      <c r="G77" s="234"/>
      <c r="H77" s="234"/>
      <c r="I77" s="235"/>
      <c r="J77" s="164"/>
      <c r="K77" s="164"/>
      <c r="L77" s="164"/>
      <c r="M77" s="259" t="s">
        <v>106</v>
      </c>
      <c r="N77" s="259"/>
      <c r="O77" s="168" t="s">
        <v>107</v>
      </c>
      <c r="P77" s="251"/>
      <c r="Q77" s="252"/>
      <c r="R77" s="152"/>
      <c r="S77" s="159" t="s">
        <v>108</v>
      </c>
      <c r="T77" s="238">
        <f>IF(SUM(X12:X68)*0.15&gt;P77,P77,SUM(X12:X68)*0.15)</f>
        <v>0</v>
      </c>
      <c r="U77" s="239"/>
      <c r="V77" s="160"/>
      <c r="W77" s="205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6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4"/>
      <c r="G79" s="234"/>
      <c r="H79" s="234"/>
      <c r="I79" s="235"/>
      <c r="J79" s="164"/>
      <c r="K79" s="164"/>
      <c r="L79" s="164"/>
      <c r="M79" s="249" t="str">
        <f>IF(U6&gt;0,"",T4+30)</f>
        <v/>
      </c>
      <c r="N79" s="250"/>
      <c r="O79" s="168" t="s">
        <v>111</v>
      </c>
      <c r="P79" s="251"/>
      <c r="Q79" s="252"/>
      <c r="R79" s="152"/>
      <c r="S79" s="159" t="s">
        <v>112</v>
      </c>
      <c r="T79" s="238">
        <f>T77+T73+T75</f>
        <v>60845.04</v>
      </c>
      <c r="U79" s="239"/>
      <c r="V79" s="160"/>
      <c r="W79" s="207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5" t="s">
        <v>113</v>
      </c>
      <c r="C81" s="276"/>
      <c r="D81" s="276"/>
      <c r="E81" s="276"/>
      <c r="F81" s="276"/>
      <c r="G81" s="276"/>
      <c r="H81" s="277"/>
      <c r="I81" s="284" t="s">
        <v>114</v>
      </c>
      <c r="J81" s="171"/>
      <c r="K81" s="171"/>
      <c r="L81" s="171"/>
      <c r="M81" s="286"/>
      <c r="N81" s="289" t="s">
        <v>115</v>
      </c>
      <c r="O81" s="292"/>
      <c r="P81" s="286"/>
      <c r="Q81" s="253" t="s">
        <v>116</v>
      </c>
      <c r="R81" s="254"/>
      <c r="S81" s="269"/>
      <c r="T81" s="253" t="s">
        <v>117</v>
      </c>
      <c r="U81" s="272"/>
    </row>
    <row r="82" spans="2:21" ht="15" customHeight="1" x14ac:dyDescent="0.25">
      <c r="B82" s="278"/>
      <c r="C82" s="279"/>
      <c r="D82" s="279"/>
      <c r="E82" s="279"/>
      <c r="F82" s="279"/>
      <c r="G82" s="279"/>
      <c r="H82" s="280"/>
      <c r="I82" s="266"/>
      <c r="J82" s="2"/>
      <c r="K82" s="2"/>
      <c r="L82" s="2"/>
      <c r="M82" s="287"/>
      <c r="N82" s="290"/>
      <c r="O82" s="293"/>
      <c r="P82" s="287"/>
      <c r="Q82" s="255"/>
      <c r="R82" s="256"/>
      <c r="S82" s="270"/>
      <c r="T82" s="255"/>
      <c r="U82" s="273"/>
    </row>
    <row r="83" spans="2:21" ht="15.75" customHeight="1" thickBot="1" x14ac:dyDescent="0.3">
      <c r="B83" s="281"/>
      <c r="C83" s="282"/>
      <c r="D83" s="282"/>
      <c r="E83" s="282"/>
      <c r="F83" s="282"/>
      <c r="G83" s="282"/>
      <c r="H83" s="283"/>
      <c r="I83" s="285"/>
      <c r="J83" s="172"/>
      <c r="K83" s="172"/>
      <c r="L83" s="172"/>
      <c r="M83" s="288"/>
      <c r="N83" s="291"/>
      <c r="O83" s="294"/>
      <c r="P83" s="288"/>
      <c r="Q83" s="257"/>
      <c r="R83" s="258"/>
      <c r="S83" s="271"/>
      <c r="T83" s="257"/>
      <c r="U83" s="274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0" t="s">
        <v>132</v>
      </c>
      <c r="C88" s="261"/>
      <c r="D88" s="261"/>
      <c r="E88" s="261"/>
      <c r="F88" s="261"/>
      <c r="G88" s="261"/>
      <c r="H88" s="261"/>
      <c r="I88" s="262"/>
      <c r="J88" s="185"/>
      <c r="K88" s="185"/>
      <c r="L88" s="185"/>
      <c r="M88" s="260"/>
      <c r="N88" s="261"/>
      <c r="O88" s="261"/>
      <c r="P88" s="261"/>
      <c r="Q88" s="262"/>
      <c r="R88" s="187"/>
      <c r="S88" s="188"/>
      <c r="T88" s="188"/>
      <c r="U88" s="189"/>
    </row>
    <row r="89" spans="2:21" ht="18" x14ac:dyDescent="0.25">
      <c r="B89" s="263" t="s">
        <v>122</v>
      </c>
      <c r="C89" s="264"/>
      <c r="D89" s="264"/>
      <c r="E89" s="264"/>
      <c r="F89" s="264"/>
      <c r="G89" s="264"/>
      <c r="H89" s="264"/>
      <c r="I89" s="265"/>
      <c r="M89" s="263" t="s">
        <v>122</v>
      </c>
      <c r="N89" s="264"/>
      <c r="O89" s="264"/>
      <c r="P89" s="264"/>
      <c r="Q89" s="265"/>
      <c r="R89" s="266" t="s">
        <v>123</v>
      </c>
      <c r="S89" s="267"/>
      <c r="T89" s="267"/>
      <c r="U89" s="268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0" t="s">
        <v>133</v>
      </c>
      <c r="C93" s="261"/>
      <c r="D93" s="261"/>
      <c r="E93" s="261"/>
      <c r="F93" s="261"/>
      <c r="G93" s="261"/>
      <c r="H93" s="261"/>
      <c r="I93" s="262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3" t="s">
        <v>126</v>
      </c>
      <c r="C94" s="264"/>
      <c r="D94" s="264"/>
      <c r="E94" s="264"/>
      <c r="F94" s="264"/>
      <c r="G94" s="264"/>
      <c r="H94" s="264"/>
      <c r="I94" s="265"/>
      <c r="M94" s="179"/>
      <c r="Q94" s="180"/>
      <c r="R94" s="266" t="s">
        <v>127</v>
      </c>
      <c r="S94" s="267"/>
      <c r="T94" s="267"/>
      <c r="U94" s="268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B9:B11"/>
    <mergeCell ref="C9:C11"/>
    <mergeCell ref="D9:D11"/>
    <mergeCell ref="E9:E11"/>
    <mergeCell ref="F9:Q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0848-49EE-483E-9A4F-214BCA4BD702}">
  <sheetPr>
    <tabColor rgb="FF00B050"/>
    <pageSetUpPr fitToPage="1"/>
  </sheetPr>
  <dimension ref="A1:AJ100"/>
  <sheetViews>
    <sheetView showGridLines="0" tabSelected="1" topLeftCell="A62" zoomScale="85" zoomScaleNormal="85" workbookViewId="0">
      <pane xSplit="2" topLeftCell="F1" activePane="topRight" state="frozen"/>
      <selection activeCell="P79" sqref="P79:Q79"/>
      <selection pane="topRight" activeCell="P79" sqref="P79:Q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4" t="s">
        <v>130</v>
      </c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6" t="s">
        <v>1</v>
      </c>
      <c r="U2" s="7"/>
      <c r="W2" s="20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8"/>
      <c r="G4" s="208"/>
      <c r="H4" s="208"/>
      <c r="I4" s="208"/>
      <c r="J4" s="208"/>
      <c r="K4" s="208"/>
      <c r="L4" s="208"/>
      <c r="M4" s="208"/>
      <c r="S4" s="2" t="s">
        <v>4</v>
      </c>
      <c r="T4" s="209"/>
      <c r="U4" s="209"/>
      <c r="W4" s="20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0"/>
      <c r="G6" s="210"/>
      <c r="H6" s="210"/>
      <c r="I6" s="210"/>
      <c r="J6" s="210"/>
      <c r="K6" s="210"/>
      <c r="L6" s="210"/>
      <c r="M6" s="210"/>
      <c r="S6" s="11" t="s">
        <v>6</v>
      </c>
      <c r="T6" s="200" t="s">
        <v>7</v>
      </c>
      <c r="U6" s="12" t="s">
        <v>131</v>
      </c>
      <c r="W6" s="205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0"/>
      <c r="G7" s="210"/>
      <c r="H7" s="210"/>
      <c r="I7" s="210"/>
      <c r="J7" s="210"/>
      <c r="K7" s="210"/>
      <c r="L7" s="210"/>
      <c r="M7" s="210"/>
      <c r="N7" s="14"/>
      <c r="O7" s="14"/>
      <c r="P7" s="14"/>
      <c r="Q7" s="15"/>
      <c r="S7" s="14"/>
      <c r="T7" s="200" t="s">
        <v>11</v>
      </c>
      <c r="U7" s="12"/>
      <c r="W7" s="207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44" t="s">
        <v>14</v>
      </c>
      <c r="C9" s="247" t="s">
        <v>15</v>
      </c>
      <c r="D9" s="247" t="s">
        <v>16</v>
      </c>
      <c r="E9" s="247" t="s">
        <v>17</v>
      </c>
      <c r="F9" s="231" t="s">
        <v>18</v>
      </c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3"/>
      <c r="S9" s="231" t="s">
        <v>19</v>
      </c>
      <c r="T9" s="232"/>
      <c r="U9" s="233"/>
      <c r="X9" s="219" t="s">
        <v>20</v>
      </c>
      <c r="Y9" s="222" t="s">
        <v>21</v>
      </c>
      <c r="Z9" s="222" t="s">
        <v>128</v>
      </c>
      <c r="AA9" s="17"/>
      <c r="AB9" s="211" t="s">
        <v>22</v>
      </c>
      <c r="AC9" s="225" t="s">
        <v>23</v>
      </c>
      <c r="AD9" s="228" t="s">
        <v>24</v>
      </c>
      <c r="AE9" s="211" t="s">
        <v>25</v>
      </c>
      <c r="AG9" s="211" t="s">
        <v>26</v>
      </c>
      <c r="AH9" s="17"/>
      <c r="AI9" s="211" t="s">
        <v>27</v>
      </c>
    </row>
    <row r="10" spans="2:35" s="16" customFormat="1" ht="20.25" customHeight="1" x14ac:dyDescent="0.25">
      <c r="B10" s="245"/>
      <c r="C10" s="248"/>
      <c r="D10" s="248"/>
      <c r="E10" s="248"/>
      <c r="F10" s="215" t="s">
        <v>28</v>
      </c>
      <c r="G10" s="215" t="s">
        <v>29</v>
      </c>
      <c r="H10" s="215" t="s">
        <v>30</v>
      </c>
      <c r="I10" s="217" t="s">
        <v>31</v>
      </c>
      <c r="J10" s="217" t="s">
        <v>32</v>
      </c>
      <c r="K10" s="217" t="s">
        <v>33</v>
      </c>
      <c r="L10" s="217" t="s">
        <v>34</v>
      </c>
      <c r="M10" s="201" t="s">
        <v>35</v>
      </c>
      <c r="N10" s="202"/>
      <c r="O10" s="202"/>
      <c r="P10" s="202"/>
      <c r="Q10" s="203"/>
      <c r="S10" s="240" t="s">
        <v>36</v>
      </c>
      <c r="T10" s="241"/>
      <c r="U10" s="242"/>
      <c r="X10" s="220"/>
      <c r="Y10" s="223"/>
      <c r="Z10" s="223"/>
      <c r="AA10" s="17"/>
      <c r="AB10" s="212"/>
      <c r="AC10" s="226"/>
      <c r="AD10" s="229"/>
      <c r="AE10" s="212"/>
      <c r="AG10" s="212"/>
      <c r="AH10" s="17"/>
      <c r="AI10" s="212"/>
    </row>
    <row r="11" spans="2:35" s="21" customFormat="1" ht="12.75" customHeight="1" thickBot="1" x14ac:dyDescent="0.3">
      <c r="B11" s="246"/>
      <c r="C11" s="216"/>
      <c r="D11" s="216"/>
      <c r="E11" s="216"/>
      <c r="F11" s="216"/>
      <c r="G11" s="216"/>
      <c r="H11" s="216"/>
      <c r="I11" s="218"/>
      <c r="J11" s="218"/>
      <c r="K11" s="218"/>
      <c r="L11" s="218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1"/>
      <c r="Y11" s="224"/>
      <c r="Z11" s="224"/>
      <c r="AA11" s="17"/>
      <c r="AB11" s="214"/>
      <c r="AC11" s="227"/>
      <c r="AD11" s="230"/>
      <c r="AE11" s="214"/>
      <c r="AG11" s="213"/>
      <c r="AH11" s="17"/>
      <c r="AI11" s="214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>
        <v>72</v>
      </c>
      <c r="G12" s="26">
        <v>72</v>
      </c>
      <c r="H12" s="27" t="str">
        <f>IF(F12="","",(ROUND((F12/G12),1)&amp;" pallets"))</f>
        <v>1 pallets</v>
      </c>
      <c r="I12" s="28">
        <f>E12*F12</f>
        <v>74304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65664</v>
      </c>
      <c r="Y12" s="36">
        <f t="shared" ref="Y12:Y68" si="0">F12*AI12</f>
        <v>2258.64</v>
      </c>
      <c r="Z12" s="36">
        <f>IF($U$6="x",(F12*3.5),"")</f>
        <v>252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/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11988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>
        <v>189</v>
      </c>
      <c r="N14" s="51"/>
      <c r="O14" s="51"/>
      <c r="P14" s="52" t="str">
        <f t="shared" si="5"/>
        <v>3 pallets</v>
      </c>
      <c r="Q14" s="53">
        <f t="shared" si="6"/>
        <v>22680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1512</v>
      </c>
      <c r="G16" s="47">
        <v>108</v>
      </c>
      <c r="H16" s="64"/>
      <c r="I16" s="49">
        <f t="shared" si="4"/>
        <v>1150632</v>
      </c>
      <c r="J16" s="50">
        <v>111</v>
      </c>
      <c r="K16" s="65"/>
      <c r="L16" s="50">
        <v>4.5</v>
      </c>
      <c r="M16" s="51">
        <v>1296</v>
      </c>
      <c r="N16" s="193"/>
      <c r="O16" s="51"/>
      <c r="P16" s="52" t="str">
        <f t="shared" si="5"/>
        <v>12 pallets</v>
      </c>
      <c r="Q16" s="53">
        <f t="shared" si="6"/>
        <v>143856</v>
      </c>
      <c r="S16" s="54"/>
      <c r="T16" s="67"/>
      <c r="U16" s="55"/>
      <c r="X16" s="56">
        <f t="shared" si="7"/>
        <v>982800</v>
      </c>
      <c r="Y16" s="57">
        <f>F16*AI16</f>
        <v>44815.68</v>
      </c>
      <c r="Z16" s="36">
        <f t="shared" si="8"/>
        <v>5292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>
        <f>63+64</f>
        <v>127</v>
      </c>
      <c r="G20" s="47">
        <v>63</v>
      </c>
      <c r="H20" s="64" t="str">
        <f t="shared" si="11"/>
        <v>2 pallets</v>
      </c>
      <c r="I20" s="49">
        <f t="shared" si="4"/>
        <v>125984</v>
      </c>
      <c r="J20" s="50">
        <v>120</v>
      </c>
      <c r="K20" s="65"/>
      <c r="L20" s="50">
        <v>1.5</v>
      </c>
      <c r="M20" s="51">
        <v>63</v>
      </c>
      <c r="N20" s="66"/>
      <c r="O20" s="51"/>
      <c r="P20" s="52" t="str">
        <f t="shared" si="5"/>
        <v>1 pallets</v>
      </c>
      <c r="Q20" s="53">
        <f t="shared" si="6"/>
        <v>7560</v>
      </c>
      <c r="S20" s="54"/>
      <c r="T20" s="67"/>
      <c r="U20" s="55"/>
      <c r="X20" s="56">
        <f t="shared" si="7"/>
        <v>110744</v>
      </c>
      <c r="Y20" s="57">
        <f t="shared" si="0"/>
        <v>4072.89</v>
      </c>
      <c r="Z20" s="36">
        <f t="shared" si="8"/>
        <v>444.5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3" t="s">
        <v>101</v>
      </c>
      <c r="C71" s="243"/>
      <c r="D71" s="243"/>
      <c r="E71" s="243"/>
      <c r="F71" s="243"/>
      <c r="G71" s="243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0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4">
        <f>SUM(I12:I70)</f>
        <v>1350920</v>
      </c>
      <c r="G73" s="234"/>
      <c r="H73" s="234"/>
      <c r="I73" s="235"/>
      <c r="J73" s="158"/>
      <c r="K73" s="158"/>
      <c r="L73" s="158"/>
      <c r="M73" s="236" t="s">
        <v>103</v>
      </c>
      <c r="N73" s="237"/>
      <c r="O73" s="234">
        <f>SUM(Q12:Q70)</f>
        <v>186084</v>
      </c>
      <c r="P73" s="234"/>
      <c r="Q73" s="235"/>
      <c r="R73" s="152"/>
      <c r="S73" s="159" t="s">
        <v>104</v>
      </c>
      <c r="T73" s="238">
        <f>SUM(Y12:Y68)</f>
        <v>51147.21</v>
      </c>
      <c r="U73" s="239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4">
        <f>SUM(I14:I72)</f>
        <v>1276616</v>
      </c>
      <c r="G75" s="234"/>
      <c r="H75" s="234"/>
      <c r="I75" s="235"/>
      <c r="J75" s="158"/>
      <c r="K75" s="158"/>
      <c r="L75" s="158"/>
      <c r="M75" s="236" t="s">
        <v>103</v>
      </c>
      <c r="N75" s="237"/>
      <c r="O75" s="234">
        <f>SUM(Q14:Q72)</f>
        <v>174096</v>
      </c>
      <c r="P75" s="234"/>
      <c r="Q75" s="235"/>
      <c r="R75" s="152"/>
      <c r="S75" s="159" t="s">
        <v>129</v>
      </c>
      <c r="T75" s="238">
        <f>SUM(Z12:Z70)</f>
        <v>5988.5</v>
      </c>
      <c r="U75" s="239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4">
        <f>IF(U7&gt;0,"",(F73-O73-T79-P79))</f>
        <v>1107700.29</v>
      </c>
      <c r="G77" s="234"/>
      <c r="H77" s="234"/>
      <c r="I77" s="235"/>
      <c r="J77" s="164"/>
      <c r="K77" s="164"/>
      <c r="L77" s="164"/>
      <c r="M77" s="259" t="s">
        <v>106</v>
      </c>
      <c r="N77" s="259"/>
      <c r="O77" s="168" t="s">
        <v>107</v>
      </c>
      <c r="P77" s="251"/>
      <c r="Q77" s="252"/>
      <c r="R77" s="152"/>
      <c r="S77" s="159" t="s">
        <v>108</v>
      </c>
      <c r="T77" s="238">
        <f>IF(SUM(X12:X68)*0.15&gt;P77,P77,SUM(X12:X68)*0.15)</f>
        <v>0</v>
      </c>
      <c r="U77" s="239"/>
      <c r="V77" s="160"/>
      <c r="W77" s="205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6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4"/>
      <c r="G79" s="234"/>
      <c r="H79" s="234"/>
      <c r="I79" s="235"/>
      <c r="J79" s="164"/>
      <c r="K79" s="164"/>
      <c r="L79" s="164"/>
      <c r="M79" s="249" t="str">
        <f>IF(U6&gt;0,"",T4+30)</f>
        <v/>
      </c>
      <c r="N79" s="250"/>
      <c r="O79" s="168" t="s">
        <v>111</v>
      </c>
      <c r="P79" s="251"/>
      <c r="Q79" s="252"/>
      <c r="R79" s="152"/>
      <c r="S79" s="159" t="s">
        <v>112</v>
      </c>
      <c r="T79" s="238">
        <f>T77+T73+T75</f>
        <v>57135.71</v>
      </c>
      <c r="U79" s="239"/>
      <c r="V79" s="160"/>
      <c r="W79" s="207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5" t="s">
        <v>113</v>
      </c>
      <c r="C81" s="276"/>
      <c r="D81" s="276"/>
      <c r="E81" s="276"/>
      <c r="F81" s="276"/>
      <c r="G81" s="276"/>
      <c r="H81" s="277"/>
      <c r="I81" s="284" t="s">
        <v>114</v>
      </c>
      <c r="J81" s="171"/>
      <c r="K81" s="171"/>
      <c r="L81" s="171"/>
      <c r="M81" s="286"/>
      <c r="N81" s="289" t="s">
        <v>115</v>
      </c>
      <c r="O81" s="292"/>
      <c r="P81" s="286"/>
      <c r="Q81" s="253" t="s">
        <v>116</v>
      </c>
      <c r="R81" s="254"/>
      <c r="S81" s="269"/>
      <c r="T81" s="253" t="s">
        <v>117</v>
      </c>
      <c r="U81" s="272"/>
    </row>
    <row r="82" spans="2:21" ht="15" customHeight="1" x14ac:dyDescent="0.25">
      <c r="B82" s="278"/>
      <c r="C82" s="279"/>
      <c r="D82" s="279"/>
      <c r="E82" s="279"/>
      <c r="F82" s="279"/>
      <c r="G82" s="279"/>
      <c r="H82" s="280"/>
      <c r="I82" s="266"/>
      <c r="J82" s="2"/>
      <c r="K82" s="2"/>
      <c r="L82" s="2"/>
      <c r="M82" s="287"/>
      <c r="N82" s="290"/>
      <c r="O82" s="293"/>
      <c r="P82" s="287"/>
      <c r="Q82" s="255"/>
      <c r="R82" s="256"/>
      <c r="S82" s="270"/>
      <c r="T82" s="255"/>
      <c r="U82" s="273"/>
    </row>
    <row r="83" spans="2:21" ht="15.75" customHeight="1" thickBot="1" x14ac:dyDescent="0.3">
      <c r="B83" s="281"/>
      <c r="C83" s="282"/>
      <c r="D83" s="282"/>
      <c r="E83" s="282"/>
      <c r="F83" s="282"/>
      <c r="G83" s="282"/>
      <c r="H83" s="283"/>
      <c r="I83" s="285"/>
      <c r="J83" s="172"/>
      <c r="K83" s="172"/>
      <c r="L83" s="172"/>
      <c r="M83" s="288"/>
      <c r="N83" s="291"/>
      <c r="O83" s="294"/>
      <c r="P83" s="288"/>
      <c r="Q83" s="257"/>
      <c r="R83" s="258"/>
      <c r="S83" s="271"/>
      <c r="T83" s="257"/>
      <c r="U83" s="274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0" t="s">
        <v>132</v>
      </c>
      <c r="C88" s="261"/>
      <c r="D88" s="261"/>
      <c r="E88" s="261"/>
      <c r="F88" s="261"/>
      <c r="G88" s="261"/>
      <c r="H88" s="261"/>
      <c r="I88" s="262"/>
      <c r="J88" s="185"/>
      <c r="K88" s="185"/>
      <c r="L88" s="185"/>
      <c r="M88" s="260"/>
      <c r="N88" s="261"/>
      <c r="O88" s="261"/>
      <c r="P88" s="261"/>
      <c r="Q88" s="262"/>
      <c r="R88" s="187"/>
      <c r="S88" s="188"/>
      <c r="T88" s="188"/>
      <c r="U88" s="189"/>
    </row>
    <row r="89" spans="2:21" ht="18" x14ac:dyDescent="0.25">
      <c r="B89" s="263" t="s">
        <v>122</v>
      </c>
      <c r="C89" s="264"/>
      <c r="D89" s="264"/>
      <c r="E89" s="264"/>
      <c r="F89" s="264"/>
      <c r="G89" s="264"/>
      <c r="H89" s="264"/>
      <c r="I89" s="265"/>
      <c r="M89" s="263" t="s">
        <v>122</v>
      </c>
      <c r="N89" s="264"/>
      <c r="O89" s="264"/>
      <c r="P89" s="264"/>
      <c r="Q89" s="265"/>
      <c r="R89" s="266" t="s">
        <v>123</v>
      </c>
      <c r="S89" s="267"/>
      <c r="T89" s="267"/>
      <c r="U89" s="268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0" t="s">
        <v>133</v>
      </c>
      <c r="C93" s="261"/>
      <c r="D93" s="261"/>
      <c r="E93" s="261"/>
      <c r="F93" s="261"/>
      <c r="G93" s="261"/>
      <c r="H93" s="261"/>
      <c r="I93" s="262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3" t="s">
        <v>126</v>
      </c>
      <c r="C94" s="264"/>
      <c r="D94" s="264"/>
      <c r="E94" s="264"/>
      <c r="F94" s="264"/>
      <c r="G94" s="264"/>
      <c r="H94" s="264"/>
      <c r="I94" s="265"/>
      <c r="M94" s="179"/>
      <c r="Q94" s="180"/>
      <c r="R94" s="266" t="s">
        <v>127</v>
      </c>
      <c r="S94" s="267"/>
      <c r="T94" s="267"/>
      <c r="U94" s="268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05-12-2026</vt:lpstr>
      <vt:lpstr>05-19-2026 </vt:lpstr>
      <vt:lpstr>05-21-2026</vt:lpstr>
      <vt:lpstr>05-25-2026</vt:lpstr>
      <vt:lpstr>05-26-2026</vt:lpstr>
      <vt:lpstr>05-27-2026</vt:lpstr>
      <vt:lpstr>'05-12-2026'!Print_Area</vt:lpstr>
      <vt:lpstr>'05-19-2026 '!Print_Area</vt:lpstr>
      <vt:lpstr>'05-21-2026'!Print_Area</vt:lpstr>
      <vt:lpstr>'05-25-2026'!Print_Area</vt:lpstr>
      <vt:lpstr>'05-26-2026'!Print_Area</vt:lpstr>
      <vt:lpstr>'05-27-2026'!Print_Area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2025-09-25T07:06:23Z</cp:lastPrinted>
  <dcterms:created xsi:type="dcterms:W3CDTF">2025-03-06T18:27:26Z</dcterms:created>
  <dcterms:modified xsi:type="dcterms:W3CDTF">2026-05-27T03:39:50Z</dcterms:modified>
</cp:coreProperties>
</file>