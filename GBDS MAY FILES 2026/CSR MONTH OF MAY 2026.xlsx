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CF9CD62C-0D0F-4C70-9E89-6D7434E5BAF0}" xr6:coauthVersionLast="45" xr6:coauthVersionMax="47" xr10:uidLastSave="{00000000-0000-0000-0000-000000000000}"/>
  <bookViews>
    <workbookView xWindow="-120" yWindow="-120" windowWidth="29040" windowHeight="15840" firstSheet="72" activeTab="80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  <sheet name="(25)" sheetId="1723" r:id="rId80"/>
    <sheet name="05-25 R1" sheetId="1724" r:id="rId81"/>
    <sheet name="05-25 R2" sheetId="1725" r:id="rId82"/>
    <sheet name="05-25 R3" sheetId="1726" r:id="rId83"/>
    <sheet name="(26)" sheetId="1727" r:id="rId84"/>
    <sheet name="05-26 R1" sheetId="1728" r:id="rId85"/>
    <sheet name="05-26 R2" sheetId="1729" r:id="rId86"/>
    <sheet name="05-26 R3" sheetId="1730" r:id="rId87"/>
    <sheet name="(27)" sheetId="1731" r:id="rId88"/>
    <sheet name="05-27 R1" sheetId="1732" r:id="rId89"/>
    <sheet name="05-27 R2" sheetId="1733" r:id="rId90"/>
    <sheet name="05-27 R3" sheetId="1734" r:id="rId91"/>
    <sheet name="(28)" sheetId="1735" r:id="rId92"/>
    <sheet name="05-28 R1" sheetId="1736" r:id="rId93"/>
    <sheet name="05-28 R2" sheetId="1737" r:id="rId94"/>
    <sheet name="05-28 R3" sheetId="1738" r:id="rId95"/>
    <sheet name="(29)" sheetId="1739" r:id="rId96"/>
    <sheet name="05-29 R1" sheetId="1740" r:id="rId97"/>
    <sheet name="05-29 R2" sheetId="1741" r:id="rId98"/>
    <sheet name="05-29 R3" sheetId="1742" r:id="rId99"/>
    <sheet name="(30)" sheetId="1743" r:id="rId100"/>
    <sheet name="05-30 R1" sheetId="1744" r:id="rId101"/>
    <sheet name="05-30 R2" sheetId="1745" r:id="rId102"/>
    <sheet name="05-30 R3" sheetId="1746" r:id="rId103"/>
  </sheets>
  <externalReferences>
    <externalReference r:id="rId104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9">'(25)'!$A$1:$Z$44</definedName>
    <definedName name="_xlnm.Print_Area" localSheetId="83">'(26)'!$A$1:$Z$44</definedName>
    <definedName name="_xlnm.Print_Area" localSheetId="87">'(27)'!$A$1:$Z$44</definedName>
    <definedName name="_xlnm.Print_Area" localSheetId="91">'(28)'!$A$1:$Z$44</definedName>
    <definedName name="_xlnm.Print_Area" localSheetId="95">'(29)'!$A$1:$Z$44</definedName>
    <definedName name="_xlnm.Print_Area" localSheetId="99">'(30)'!$A$1:$Z$44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  <definedName name="_xlnm.Print_Area" localSheetId="80">'05-25 R1'!$A$1:$Z$43</definedName>
    <definedName name="_xlnm.Print_Area" localSheetId="81">'05-25 R2'!$A$1:$V$44</definedName>
    <definedName name="_xlnm.Print_Area" localSheetId="82">'05-25 R3'!$A$1:$V$44</definedName>
    <definedName name="_xlnm.Print_Area" localSheetId="84">'05-26 R1'!$A$1:$Z$43</definedName>
    <definedName name="_xlnm.Print_Area" localSheetId="85">'05-26 R2'!$A$1:$V$44</definedName>
    <definedName name="_xlnm.Print_Area" localSheetId="86">'05-26 R3'!$A$1:$V$44</definedName>
    <definedName name="_xlnm.Print_Area" localSheetId="88">'05-27 R1'!$A$1:$Z$43</definedName>
    <definedName name="_xlnm.Print_Area" localSheetId="89">'05-27 R2'!$A$1:$V$44</definedName>
    <definedName name="_xlnm.Print_Area" localSheetId="90">'05-27 R3'!$A$1:$V$44</definedName>
    <definedName name="_xlnm.Print_Area" localSheetId="92">'05-28 R1'!$A$1:$Z$43</definedName>
    <definedName name="_xlnm.Print_Area" localSheetId="93">'05-28 R2'!$A$1:$V$44</definedName>
    <definedName name="_xlnm.Print_Area" localSheetId="94">'05-28 R3'!$A$1:$V$44</definedName>
    <definedName name="_xlnm.Print_Area" localSheetId="96">'05-29 R1'!$A$1:$Z$43</definedName>
    <definedName name="_xlnm.Print_Area" localSheetId="97">'05-29 R2'!$A$1:$V$44</definedName>
    <definedName name="_xlnm.Print_Area" localSheetId="98">'05-29 R3'!$A$1:$V$44</definedName>
    <definedName name="_xlnm.Print_Area" localSheetId="100">'05-30 R1'!$A$1:$Z$43</definedName>
    <definedName name="_xlnm.Print_Area" localSheetId="101">'05-30 R2'!$A$1:$V$44</definedName>
    <definedName name="_xlnm.Print_Area" localSheetId="102">'05-30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<sst xmlns="http://schemas.openxmlformats.org/spreadsheetml/2006/main" count="9227" uniqueCount="199">
  <si>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</si>
  <si>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</si>
  <si>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</si>
  <si>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</si>
  <si>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</si>
  <si>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</si>
  <si>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</si>
  <si>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</si>
  <si>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</si>
  <si>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</si>
  <si>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</si>
  <si>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</si>
  <si>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</si>
  <si>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</si>
  <si>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</si>
  <si>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</si>
  <si>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</si>
  <si>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</si>
  <si>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</si>
  <si>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</si>
  <si>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</si>
  <si>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</si>
  <si>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</si>
  <si>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</si>
  <si>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</si>
  <si>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</si>
  <si>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</si>
  <si>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</si>
  <si>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</si>
  <si>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</si>
  <si>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</si>
  <si>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</si>
  <si>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</si>
  <si>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</si>
  <si>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</si>
  <si>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</si>
  <si>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</si>
  <si>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</si>
  <si>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</si>
  <si>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</si>
  <si>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</si>
  <si>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</si>
  <si>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</si>
  <si>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</si>
  <si>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</si>
  <si>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</si>
  <si>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</si>
  <si>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</si>
  <si>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</si>
  <si>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</si>
  <si>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</si>
  <si>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</si>
  <si>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</si>
  <si>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</si>
  <si>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</si>
  <si>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</si>
  <si>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</si>
  <si>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</si>
  <si>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</si>
  <si>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</si>
  <si>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</si>
  <si>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</si>
  <si>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</si>
  <si>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</si>
  <si>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</si>
  <si>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</si>
  <si>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</si>
  <si>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</si>
  <si>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</si>
  <si>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</si>
  <si>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</si>
  <si>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</si>
  <si>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</si>
  <si>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</si>
  <si>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</si>
  <si>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</si>
  <si>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</si>
  <si>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</si>
  <si>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</si>
  <si>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</si>
  <si>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</si>
  <si>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</si>
  <si>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</si>
  <si>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</si>
  <si>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</si>
  <si>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</si>
  <si>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</si>
  <si>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</si>
  <si>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</si>
  <si>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</si>
  <si>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</si>
  <si>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</si>
  <si>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</si>
  <si>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</si>
  <si>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</si>
  <si>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</si>
  <si>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</si>
  <si>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</si>
  <si>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</si>
  <si>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</si>
  <si>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</si>
  <si>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</si>
  <si>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</si>
  <si>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</si>
  <si>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</si>
  <si>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</si>
  <si>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</si>
  <si>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</si>
  <si>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</si>
  <si>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</si>
  <si>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</si>
  <si>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</si>
  <si>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</si>
  <si>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</si>
  <si>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</si>
  <si>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</si>
  <si>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</si>
  <si>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</si>
  <si>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</si>
  <si>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</si>
  <si>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</si>
  <si>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</si>
  <si>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</si>
  <si>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</si>
  <si>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</si>
  <si>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</si>
  <si>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</si>
  <si>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</si>
  <si>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</si>
  <si>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</si>
  <si>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</si>
  <si>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</si>
  <si>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</si>
  <si>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</si>
  <si>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</si>
  <si>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</si>
  <si>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</si>
  <si>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</si>
  <si>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</si>
  <si>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</si>
  <si>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</si>
  <si>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</si>
  <si>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</si>
  <si>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</si>
  <si>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</si>
  <si>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</si>
  <si>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</si>
  <si>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</si>
  <si>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</si>
  <si>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</si>
  <si>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</si>
  <si>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</si>
  <si>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</si>
  <si>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</si>
  <si>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</si>
  <si>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</si>
  <si>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</si>
  <si>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</si>
  <si>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</si>
  <si>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</si>
  <si>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</si>
  <si>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</si>
  <si>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</si>
  <si>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</si>
  <si>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</si>
  <si>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</si>
  <si>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</si>
  <si>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</si>
  <si>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</si>
  <si>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</si>
  <si>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</si>
  <si>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</si>
  <si>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</si>
  <si>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</si>
  <si>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</si>
  <si>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</si>
  <si>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</si>
  <si>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</si>
  <si>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</si>
  <si>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</si>
  <si>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</si>
  <si>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</si>
  <si>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</si>
  <si>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</si>
  <si>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</si>
  <si>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</si>
  <si>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</si>
  <si>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</si>
  <si>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</si>
  <si>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</si>
  <si>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</si>
  <si>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</si>
  <si>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</si>
  <si>
    <t>DATE ___________05/25/2026___________</t>
  </si>
  <si>
    <t>DATE ___________05/26/2026___________</t>
  </si>
  <si>
    <t>DATE ___________05/27/2026___________</t>
  </si>
  <si>
    <t>DATE ___________05/28/2026___________</t>
  </si>
  <si>
    <t>DATE ___________05/29/2026___________</t>
  </si>
  <si>
    <t>DATE ___________05/30/2026___________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</si>
</sst>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25+3+704</f>
        <v>732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1+7+1+7+6+272+1</f>
        <v>295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1+1+19+56+7+530</f>
        <v>614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2+5+22+15+2+2+7+2+786</f>
        <v>843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3+2+25+9+344</f>
        <v>383</v>
      </c>
      <c r="D44" s="96"/>
      <c r="E44" s="96"/>
    </row>
    <row r="45" spans="2:25" x14ac:dyDescent="0.25">
      <c r="B45" s="76" t="s">
        <v>69</v>
      </c>
      <c r="C45" s="96">
        <v>23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12+21+5+344</f>
        <v>382</v>
      </c>
      <c r="D44" s="96"/>
      <c r="E44" s="96"/>
    </row>
    <row r="45" spans="2:25" x14ac:dyDescent="0.25">
      <c r="B45" s="76" t="s">
        <v>69</v>
      </c>
      <c r="C45" s="96">
        <f>22</f>
        <v>22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16+2+58+11+484</f>
        <v>571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1+2+1+5+6+5+2+7+128+12+458+1+8+1</f>
        <v>637</v>
      </c>
      <c r="D44" s="96"/>
      <c r="E44" s="96"/>
    </row>
    <row r="45" spans="2:25" x14ac:dyDescent="0.25">
      <c r="B45" s="76" t="s">
        <v>69</v>
      </c>
      <c r="C45" s="96">
        <v>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1+12+59+11+414</f>
        <v>497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5+5+22+23+21+2+72+12+542</f>
        <v>704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1+1+1+1+3+31+4+22+67+10+253</f>
        <v>394</v>
      </c>
      <c r="D44" s="96"/>
      <c r="E44" s="96"/>
    </row>
    <row r="45" spans="2:25" x14ac:dyDescent="0.25">
      <c r="B45" s="76" t="s">
        <v>69</v>
      </c>
      <c r="C45" s="96">
        <f>18+11</f>
        <v>29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13+54+10+368</f>
        <v>445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3+3+11+2+1+1+6+58+1+10+331+3</f>
        <v>430</v>
      </c>
      <c r="D44" s="96"/>
      <c r="E44" s="96"/>
    </row>
    <row r="45" spans="2:25" x14ac:dyDescent="0.25">
      <c r="B45" s="76" t="s">
        <v>69</v>
      </c>
      <c r="C45" s="96">
        <f>15</f>
        <v>15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5+15+48+467</f>
        <v>535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1+10+23+9+283</f>
        <v>326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3+3+17+1+1+10+42+399</f>
        <v>476</v>
      </c>
      <c r="D44" s="96"/>
      <c r="E44" s="96"/>
    </row>
    <row r="45" spans="2:25" x14ac:dyDescent="0.25">
      <c r="B45" s="76" t="s">
        <v>69</v>
      </c>
      <c r="C45" s="96">
        <f>19</f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2+2+9+1+1+1+24+3+298+2</f>
        <v>343</v>
      </c>
      <c r="D44" s="96"/>
      <c r="E44" s="96"/>
    </row>
    <row r="45" spans="2:25" x14ac:dyDescent="0.25">
      <c r="B45" s="76" t="s">
        <v>69</v>
      </c>
      <c r="C45" s="96">
        <f>9</f>
        <v>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15+2+40+1+20+471</f>
        <v>549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1+2+1+30+1+10+365</f>
        <v>410</v>
      </c>
      <c r="D44" s="96"/>
      <c r="E44" s="96"/>
    </row>
    <row r="45" spans="2:25" x14ac:dyDescent="0.25">
      <c r="B45" s="76" t="s">
        <v>69</v>
      </c>
      <c r="C45" s="96">
        <f>22+10</f>
        <v>32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130+375+15</f>
        <v>520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3+4+2+95+9+295</f>
        <v>408</v>
      </c>
      <c r="D44" s="96"/>
      <c r="E44" s="96"/>
    </row>
    <row r="45" spans="2:25" x14ac:dyDescent="0.25">
      <c r="B45" s="76" t="s">
        <v>69</v>
      </c>
      <c r="C45" s="96">
        <v>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10+14+5+20+352</f>
        <v>401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8+12+60+12+6+310</f>
        <v>408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5+5+22+5+69+4+527</f>
        <v>637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2+9+4+3+24+62+6+321</f>
        <v>431</v>
      </c>
      <c r="D44" s="96"/>
      <c r="E44" s="96"/>
    </row>
    <row r="45" spans="2:25" x14ac:dyDescent="0.25">
      <c r="B45" s="76" t="s">
        <v>69</v>
      </c>
      <c r="C45" s="96"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2+12+1+10+343</f>
        <v>368</v>
      </c>
      <c r="D44" s="96"/>
      <c r="E44" s="96"/>
    </row>
    <row r="45" spans="2:25" x14ac:dyDescent="0.25">
      <c r="B45" s="76" t="s">
        <v>69</v>
      </c>
      <c r="C45" s="96">
        <v>16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1+25+43+1+5+675+6</f>
        <v>756</v>
      </c>
      <c r="D44" s="96"/>
      <c r="E44" s="96"/>
    </row>
    <row r="45" spans="2:25" x14ac:dyDescent="0.25">
      <c r="B45" s="76" t="s">
        <v>69</v>
      </c>
      <c r="C45" s="96">
        <v>13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14+1+92+20+336</f>
        <v>463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5+10+2+432</f>
        <v>449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10+41+6+347</f>
        <v>404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21+1+108+1+554+1</f>
        <v>686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1+11+20+15+316</f>
        <v>363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1+25+5+43+585+1</f>
        <v>660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1+1+16+7+1+162+15+524</f>
        <v>727</v>
      </c>
      <c r="D44" s="96"/>
      <c r="E44" s="96"/>
    </row>
    <row r="45" spans="2:25" x14ac:dyDescent="0.25">
      <c r="B45" s="76" t="s">
        <v>69</v>
      </c>
      <c r="C45" s="96"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19+5+10+10+116+7+421</f>
        <v>588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10+42+1+5+370</f>
        <v>428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2+1+1+5+3+40+15+453</f>
        <v>520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12+1+19+2+360</f>
        <v>394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15+16+11+1+3+1+93+25+210</f>
        <v>375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2+2+4+3+3+7+6+1+2+17+1+52+9+143+3</f>
        <v>255</v>
      </c>
      <c r="D44" s="96"/>
      <c r="E44" s="96"/>
    </row>
    <row r="45" spans="2:25" x14ac:dyDescent="0.25">
      <c r="B45" s="76" t="s">
        <v>69</v>
      </c>
      <c r="C45" s="96">
        <f>12+16+23</f>
        <v>51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1+1+7+3+1+22+2+276+1+1</f>
        <v>315</v>
      </c>
      <c r="D44" s="96"/>
      <c r="E44" s="96"/>
    </row>
    <row r="45" spans="2:25" x14ac:dyDescent="0.25">
      <c r="B45" s="76" t="s">
        <v>69</v>
      </c>
      <c r="C45" s="96">
        <f>12+12</f>
        <v>24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15+2+3+3+83+21+423</f>
        <v>550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14+446</f>
        <v>460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2+11+33+3+294</f>
        <v>343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2+5+1+20+3+364</f>
        <v>395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10+2+12+11+274</f>
        <v>309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E23" sqref="E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19+5+8+1+20+665</f>
        <v>718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96550-EB90-4D47-A95B-91C7742B3FD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EA52-431F-4B9D-B13D-E523F38382F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4D14-D0F5-42D9-9E41-8A474CF86EA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4F2B-3E68-4D7F-BA00-DC43FEBD4E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5FBD-5888-4A2A-88C3-9412E423FA2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24BC-3C53-41A8-9C5B-864C097A44A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FE6-108D-427E-9FE6-04129C213A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1FA1-0A4A-4DCF-B2C5-70F31C973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6732-CD39-443A-BE2D-89C06D0D09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4792-65BE-4EF4-9F2B-6E16F6F966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8C4D-4B2F-40B4-B511-28540CD2CC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04F1F-71C7-407C-99EE-0B5168089F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40BA-A4E0-455A-B600-AC7C306019D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3F81-FE5F-4542-A93B-530B27EF8D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E874-AC76-4FAF-BEFC-D6FCE54047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0631-4873-44B5-93E5-EA6EA2D945C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FD12-EF6C-47D9-96AC-7AB36096B59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D856-16A6-441E-953F-CB60AA5BF3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01C3-0806-4AD3-A449-DA3CE05A8F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E3F3-0040-4B3B-A1EF-B9C0BB7799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1039-509C-4250-8987-5E98275BA0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B19E-7C20-4F2F-9143-BA6FC582B8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AEF66-2F94-4B45-B3BA-926BC772CE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881-0F65-4453-AE41-2C1B6C6EE3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(25)</vt:lpstr>
      <vt:lpstr>05-25 R1</vt:lpstr>
      <vt:lpstr>05-25 R2</vt:lpstr>
      <vt:lpstr>05-25 R3</vt:lpstr>
      <vt:lpstr>(26)</vt:lpstr>
      <vt:lpstr>05-26 R1</vt:lpstr>
      <vt:lpstr>05-26 R2</vt:lpstr>
      <vt:lpstr>05-26 R3</vt:lpstr>
      <vt:lpstr>(27)</vt:lpstr>
      <vt:lpstr>05-27 R1</vt:lpstr>
      <vt:lpstr>05-27 R2</vt:lpstr>
      <vt:lpstr>05-27 R3</vt:lpstr>
      <vt:lpstr>(28)</vt:lpstr>
      <vt:lpstr>05-28 R1</vt:lpstr>
      <vt:lpstr>05-28 R2</vt:lpstr>
      <vt:lpstr>05-28 R3</vt:lpstr>
      <vt:lpstr>(29)</vt:lpstr>
      <vt:lpstr>05-29 R1</vt:lpstr>
      <vt:lpstr>05-29 R2</vt:lpstr>
      <vt:lpstr>05-29 R3</vt:lpstr>
      <vt:lpstr>(30)</vt:lpstr>
      <vt:lpstr>05-30 R1</vt:lpstr>
      <vt:lpstr>05-30 R2</vt:lpstr>
      <vt:lpstr>05-30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  <vt:lpstr>'05-25 R1'!Print_Area</vt:lpstr>
      <vt:lpstr>'05-25 R2'!Print_Area</vt:lpstr>
      <vt:lpstr>'05-25 R3'!Print_Area</vt:lpstr>
      <vt:lpstr>'05-26 R1'!Print_Area</vt:lpstr>
      <vt:lpstr>'05-26 R2'!Print_Area</vt:lpstr>
      <vt:lpstr>'05-26 R3'!Print_Area</vt:lpstr>
      <vt:lpstr>'05-27 R1'!Print_Area</vt:lpstr>
      <vt:lpstr>'05-27 R2'!Print_Area</vt:lpstr>
      <vt:lpstr>'05-27 R3'!Print_Area</vt:lpstr>
      <vt:lpstr>'05-28 R1'!Print_Area</vt:lpstr>
      <vt:lpstr>'05-28 R2'!Print_Area</vt:lpstr>
      <vt:lpstr>'05-28 R3'!Print_Area</vt:lpstr>
      <vt:lpstr>'05-29 R1'!Print_Area</vt:lpstr>
      <vt:lpstr>'05-29 R2'!Print_Area</vt:lpstr>
      <vt:lpstr>'05-29 R3'!Print_Area</vt:lpstr>
      <vt:lpstr>'05-30 R1'!Print_Area</vt:lpstr>
      <vt:lpstr>'05-30 R2'!Print_Area</vt:lpstr>
      <vt:lpstr>'05-30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2026-05-21T08:34:54Z</cp:lastPrinted>
  <dcterms:created xsi:type="dcterms:W3CDTF">2024-09-01T22:48:10Z</dcterms:created>
  <dcterms:modified xsi:type="dcterms:W3CDTF">2026-05-25T00:44:58Z</dcterms:modified>
</cp:coreProperties>
</file>