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C0DAB8A-BC8D-42CB-85AA-8C1E1E376F8F}" xr6:coauthVersionLast="45" xr6:coauthVersionMax="47" xr10:uidLastSave="{00000000-0000-0000-0000-000000000000}"/>
  <bookViews>
    <workbookView xWindow="-120" yWindow="-120" windowWidth="29040" windowHeight="15840" firstSheet="58" activeTab="66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" sheetId="1718" r:id="rId75"/>
    <sheet name="(23)" sheetId="1719" r:id="rId76"/>
    <sheet name="05-23 R1" sheetId="1720" r:id="rId77"/>
    <sheet name="05-23 R2" sheetId="1721" r:id="rId78"/>
    <sheet name="05-23 R3" sheetId="1722" r:id="rId79"/>
  </sheets>
  <externalReferences>
    <externalReference r:id="rId80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<sst xmlns="http://schemas.openxmlformats.org/spreadsheetml/2006/main" count="7065" uniqueCount="178">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</sst>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25+3+704</f>
        <v>732</v>
      </c>
      <c r="D44" s="100"/>
      <c r="E44" s="100"/>
    </row>
    <row r="45" spans="2:25" x14ac:dyDescent="0.25">
      <c r="B45" s="76" t="s">
        <v>69</v>
      </c>
      <c r="C45" s="100">
        <v>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1+7+1+7+6+272+1</f>
        <v>295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0">
        <f>1+1+19+56+7+530</f>
        <v>614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0">
        <f>2+5+22+15+2+2+7+2+786</f>
        <v>843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3+2+25+9+344</f>
        <v>383</v>
      </c>
      <c r="D44" s="100"/>
      <c r="E44" s="100"/>
    </row>
    <row r="45" spans="2:25" x14ac:dyDescent="0.25">
      <c r="B45" s="76" t="s">
        <v>69</v>
      </c>
      <c r="C45" s="100">
        <v>23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12+21+5+344</f>
        <v>382</v>
      </c>
      <c r="D44" s="100"/>
      <c r="E44" s="100"/>
    </row>
    <row r="45" spans="2:25" x14ac:dyDescent="0.25">
      <c r="B45" s="76" t="s">
        <v>69</v>
      </c>
      <c r="C45" s="100">
        <f>22</f>
        <v>22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16+2+58+11+484</f>
        <v>571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1+2+1+5+6+5+2+7+128+12+458+1+8+1</f>
        <v>637</v>
      </c>
      <c r="D44" s="100"/>
      <c r="E44" s="100"/>
    </row>
    <row r="45" spans="2:25" x14ac:dyDescent="0.25">
      <c r="B45" s="76" t="s">
        <v>69</v>
      </c>
      <c r="C45" s="100">
        <v>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1+12+59+11+414</f>
        <v>497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80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5+5+22+23+21+2+72+12+542</f>
        <v>704</v>
      </c>
      <c r="D44" s="100"/>
      <c r="E44" s="100"/>
    </row>
    <row r="45" spans="2:25" x14ac:dyDescent="0.25">
      <c r="B45" s="76" t="s">
        <v>69</v>
      </c>
      <c r="C45" s="100">
        <f>12</f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1+1+1+1+3+31+4+22+67+10+253</f>
        <v>394</v>
      </c>
      <c r="D44" s="100"/>
      <c r="E44" s="100"/>
    </row>
    <row r="45" spans="2:25" x14ac:dyDescent="0.25">
      <c r="B45" s="76" t="s">
        <v>69</v>
      </c>
      <c r="C45" s="100">
        <f>18+11</f>
        <v>29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13+54+10+368</f>
        <v>445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3+3+11+2+1+1+6+58+1+10+331+3</f>
        <v>430</v>
      </c>
      <c r="D44" s="100"/>
      <c r="E44" s="100"/>
    </row>
    <row r="45" spans="2:25" x14ac:dyDescent="0.25">
      <c r="B45" s="76" t="s">
        <v>69</v>
      </c>
      <c r="C45" s="100">
        <f>15</f>
        <v>15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5+15+48+467</f>
        <v>535</v>
      </c>
      <c r="D44" s="100"/>
      <c r="E44" s="100"/>
    </row>
    <row r="45" spans="2:25" x14ac:dyDescent="0.25">
      <c r="B45" s="76" t="s">
        <v>69</v>
      </c>
      <c r="C45" s="100">
        <v>4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1+10+23+9+283</f>
        <v>326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3+3+17+1+1+10+42+399</f>
        <v>476</v>
      </c>
      <c r="D44" s="100"/>
      <c r="E44" s="100"/>
    </row>
    <row r="45" spans="2:25" x14ac:dyDescent="0.25">
      <c r="B45" s="76" t="s">
        <v>69</v>
      </c>
      <c r="C45" s="100">
        <f>19</f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2+2+9+1+1+1+24+3+298+2</f>
        <v>343</v>
      </c>
      <c r="D44" s="100"/>
      <c r="E44" s="100"/>
    </row>
    <row r="45" spans="2:25" x14ac:dyDescent="0.25">
      <c r="B45" s="76" t="s">
        <v>69</v>
      </c>
      <c r="C45" s="100">
        <f>9</f>
        <v>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82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15+2+40+1+20+471</f>
        <v>549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1+2+1+30+1+10+365</f>
        <v>410</v>
      </c>
      <c r="D44" s="100"/>
      <c r="E44" s="100"/>
    </row>
    <row r="45" spans="2:25" x14ac:dyDescent="0.25">
      <c r="B45" s="76" t="s">
        <v>69</v>
      </c>
      <c r="C45" s="100">
        <f>22+10</f>
        <v>32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130+375+15</f>
        <v>520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0">
        <f>3+4+2+95+9+295</f>
        <v>408</v>
      </c>
      <c r="D44" s="100"/>
      <c r="E44" s="100"/>
    </row>
    <row r="45" spans="2:25" x14ac:dyDescent="0.25">
      <c r="B45" s="76" t="s">
        <v>69</v>
      </c>
      <c r="C45" s="100">
        <v>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10+14+5+20+352</f>
        <v>401</v>
      </c>
      <c r="D44" s="100"/>
      <c r="E44" s="100"/>
    </row>
    <row r="45" spans="2:25" x14ac:dyDescent="0.25">
      <c r="B45" s="76" t="s">
        <v>69</v>
      </c>
      <c r="C45" s="100">
        <v>10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82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8+12+60+12+6+310</f>
        <v>408</v>
      </c>
      <c r="D44" s="100"/>
      <c r="E44" s="100"/>
    </row>
    <row r="45" spans="2:25" x14ac:dyDescent="0.25">
      <c r="B45" s="76" t="s">
        <v>69</v>
      </c>
      <c r="C45" s="100">
        <v>5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5+5+22+5+69+4+527</f>
        <v>637</v>
      </c>
      <c r="D44" s="100"/>
      <c r="E44" s="100"/>
    </row>
    <row r="45" spans="2:25" x14ac:dyDescent="0.25">
      <c r="B45" s="76" t="s">
        <v>69</v>
      </c>
      <c r="C45" s="100">
        <v>7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3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2+9+4+3+24+62+6+321</f>
        <v>431</v>
      </c>
      <c r="D44" s="100"/>
      <c r="E44" s="100"/>
    </row>
    <row r="45" spans="2:25" x14ac:dyDescent="0.25">
      <c r="B45" s="76" t="s">
        <v>69</v>
      </c>
      <c r="C45" s="100">
        <v>19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2+12+1+10+343</f>
        <v>368</v>
      </c>
      <c r="D44" s="100"/>
      <c r="E44" s="100"/>
    </row>
    <row r="45" spans="2:25" x14ac:dyDescent="0.25">
      <c r="B45" s="76" t="s">
        <v>69</v>
      </c>
      <c r="C45" s="100">
        <v>16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1+25+43+1+5+675+6</f>
        <v>756</v>
      </c>
      <c r="D44" s="100"/>
      <c r="E44" s="100"/>
    </row>
    <row r="45" spans="2:25" x14ac:dyDescent="0.25">
      <c r="B45" s="76" t="s">
        <v>69</v>
      </c>
      <c r="C45" s="100">
        <v>13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14+1+92+20+336</f>
        <v>463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5+10+2+432</f>
        <v>449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4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4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10+41+6+347</f>
        <v>404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21+1+108+1+554+1</f>
        <v>686</v>
      </c>
      <c r="D44" s="100"/>
      <c r="E44" s="100"/>
    </row>
    <row r="45" spans="2:25" x14ac:dyDescent="0.25">
      <c r="B45" s="76" t="s">
        <v>69</v>
      </c>
      <c r="C45" s="100">
        <v>11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>
        <f>1+11+20+15+316</f>
        <v>363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1+25+5+43+585+1</f>
        <v>660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1+1+16+7+1+162+15+524</f>
        <v>727</v>
      </c>
      <c r="D44" s="100"/>
      <c r="E44" s="100"/>
    </row>
    <row r="45" spans="2:25" x14ac:dyDescent="0.25">
      <c r="B45" s="76" t="s">
        <v>69</v>
      </c>
      <c r="C45" s="100">
        <v>8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6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19+5+10+10+116+7+421</f>
        <v>588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10+42+1+5+370</f>
        <v>428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29" zoomScale="160" zoomScaleNormal="160" workbookViewId="0">
      <selection activeCell="N43" sqref="N4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1+1+26+15+15+3+5+62+2+10+551</f>
        <v>691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26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2+1+1+5+3+40+15+453</f>
        <v>520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12+1+19+2+360</f>
        <v>394</v>
      </c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tabSelected="1" topLeftCell="A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0">
        <f>15+16+11+1+3+1+93+25+210</f>
        <v>375</v>
      </c>
      <c r="D44" s="100"/>
      <c r="E44" s="100"/>
    </row>
    <row r="45" spans="2:25" x14ac:dyDescent="0.25">
      <c r="B45" s="76" t="s">
        <v>69</v>
      </c>
      <c r="C45" s="100">
        <v>12</v>
      </c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4" t="s">
        <v>43</v>
      </c>
      <c r="C34" s="96" t="s">
        <v>21</v>
      </c>
      <c r="D34" s="96"/>
      <c r="E34" s="97"/>
      <c r="F34" s="98" t="s">
        <v>44</v>
      </c>
      <c r="G34" s="96"/>
      <c r="H34" s="97"/>
      <c r="I34" s="98" t="s">
        <v>45</v>
      </c>
      <c r="J34" s="96"/>
      <c r="K34" s="97"/>
      <c r="L34" s="98" t="s">
        <v>46</v>
      </c>
      <c r="M34" s="96"/>
      <c r="N34" s="97"/>
      <c r="O34" s="99" t="s">
        <v>47</v>
      </c>
      <c r="P34" s="99"/>
      <c r="Q34" s="99"/>
      <c r="R34" s="89" t="s">
        <v>48</v>
      </c>
      <c r="S34" s="90"/>
      <c r="T34" s="90"/>
      <c r="U34" s="91"/>
      <c r="V34" s="66"/>
      <c r="W34" s="3"/>
      <c r="X34" s="3"/>
      <c r="Y34" s="3"/>
    </row>
    <row r="35" spans="2:25" ht="18" customHeight="1" thickBot="1" x14ac:dyDescent="0.3">
      <c r="B35" s="95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2" t="s">
        <v>54</v>
      </c>
      <c r="S42" s="93"/>
      <c r="T42" s="93"/>
      <c r="U42" s="93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  <row r="44" spans="2:25" x14ac:dyDescent="0.25">
      <c r="B44" s="76" t="s">
        <v>68</v>
      </c>
      <c r="C44" s="100"/>
      <c r="D44" s="100"/>
      <c r="E44" s="100"/>
    </row>
    <row r="45" spans="2:25" x14ac:dyDescent="0.25">
      <c r="B45" s="76" t="s">
        <v>69</v>
      </c>
      <c r="C45" s="100"/>
      <c r="D45" s="100"/>
      <c r="E45" s="10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</vt:lpstr>
      <vt:lpstr>(23)</vt:lpstr>
      <vt:lpstr>05-23 R1</vt:lpstr>
      <vt:lpstr>05-23 R2</vt:lpstr>
      <vt:lpstr>05-23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R3'!Print_Area</vt:lpstr>
      <vt:lpstr>'05-23 R1'!Print_Area</vt:lpstr>
      <vt:lpstr>'05-23 R2'!Print_Area</vt:lpstr>
      <vt:lpstr>'05-23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2026-05-21T00:24:32Z</dcterms:modified>
</cp:coreProperties>
</file>