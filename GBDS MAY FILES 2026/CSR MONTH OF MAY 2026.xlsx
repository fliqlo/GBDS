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User\Desktop\GBDS MAY FILES 2026\"/>
    </mc:Choice>
  </mc:AlternateContent>
  <xr:revisionPtr revIDLastSave="0" documentId="13_ncr:1_{E284527D-12B2-4601-830A-D9BE5E7C26A3}" xr6:coauthVersionLast="45" xr6:coauthVersionMax="47" xr10:uidLastSave="{00000000-0000-0000-0000-000000000000}"/>
  <bookViews>
    <workbookView xWindow="-120" yWindow="-120" windowWidth="29040" windowHeight="15840" firstSheet="21" activeTab="30" xr2:uid="{67C3A74A-A57E-4AB5-8CD3-31B592A14032}"/>
  </bookViews>
  <sheets>
    <sheet name="CSR | MAY" sheetId="902" r:id="rId1"/>
    <sheet name="(01)" sheetId="1640" r:id="rId2"/>
    <sheet name="05-01 R1" sheetId="1641" r:id="rId3"/>
    <sheet name="05-01 R2" sheetId="1642" r:id="rId4"/>
    <sheet name="05-01 R3" sheetId="1643" r:id="rId5"/>
    <sheet name="(2)" sheetId="1668" r:id="rId6"/>
    <sheet name="05-02 R3" sheetId="1669" r:id="rId7"/>
    <sheet name="(4)" sheetId="1644" r:id="rId8"/>
    <sheet name="05-04 R1" sheetId="1645" r:id="rId9"/>
    <sheet name="05-04 R2" sheetId="1646" r:id="rId10"/>
    <sheet name="05-04 R3" sheetId="1647" r:id="rId11"/>
    <sheet name="(5)" sheetId="1648" r:id="rId12"/>
    <sheet name="05-05 R1" sheetId="1649" r:id="rId13"/>
    <sheet name="05-05 R2" sheetId="1650" r:id="rId14"/>
    <sheet name="05-05 R3" sheetId="1651" r:id="rId15"/>
    <sheet name="(6)" sheetId="1652" r:id="rId16"/>
    <sheet name="05-06 R1" sheetId="1653" r:id="rId17"/>
    <sheet name="05-06 R2" sheetId="1654" r:id="rId18"/>
    <sheet name="05-06 R3" sheetId="1655" r:id="rId19"/>
    <sheet name="(7)" sheetId="1656" r:id="rId20"/>
    <sheet name="05-07 R1" sheetId="1657" r:id="rId21"/>
    <sheet name="05-07 R2" sheetId="1658" r:id="rId22"/>
    <sheet name="05-07 R3" sheetId="1659" r:id="rId23"/>
    <sheet name="(8)" sheetId="1660" r:id="rId24"/>
    <sheet name="05-08 R1 NO TRIP" sheetId="1661" r:id="rId25"/>
    <sheet name="05-08 R2" sheetId="1662" r:id="rId26"/>
    <sheet name="05-08 R3" sheetId="1663" r:id="rId27"/>
    <sheet name="(11)" sheetId="1664" r:id="rId28"/>
    <sheet name="05-11 R1" sheetId="1665" r:id="rId29"/>
    <sheet name="05-11 R2" sheetId="1666" r:id="rId30"/>
    <sheet name="05-11 R3" sheetId="1667" r:id="rId31"/>
    <sheet name="(12)" sheetId="1670" r:id="rId32"/>
    <sheet name="05-12 R1" sheetId="1671" r:id="rId33"/>
    <sheet name="05-12 R2" sheetId="1672" r:id="rId34"/>
    <sheet name="05-12 R3" sheetId="1673" r:id="rId35"/>
    <sheet name="(13)" sheetId="1674" r:id="rId36"/>
    <sheet name="05-13 R1" sheetId="1675" r:id="rId37"/>
    <sheet name="05-13 R2" sheetId="1676" r:id="rId38"/>
    <sheet name="05-13 R3" sheetId="1677" r:id="rId39"/>
    <sheet name="(14)" sheetId="1678" r:id="rId40"/>
    <sheet name="05-14 R1" sheetId="1679" r:id="rId41"/>
    <sheet name="05-14 R2" sheetId="1680" r:id="rId42"/>
    <sheet name="05-14 R3" sheetId="1681" r:id="rId43"/>
    <sheet name="(15)" sheetId="1682" r:id="rId44"/>
    <sheet name="05-15 R1" sheetId="1683" r:id="rId45"/>
    <sheet name="05-15 R2" sheetId="1684" r:id="rId46"/>
    <sheet name="05-15 R3" sheetId="1685" r:id="rId47"/>
    <sheet name="(16)" sheetId="1686" r:id="rId48"/>
    <sheet name="05-16 R1" sheetId="1687" r:id="rId49"/>
    <sheet name="05-16 R2" sheetId="1688" r:id="rId50"/>
    <sheet name="05-16 R3" sheetId="1689" r:id="rId51"/>
  </sheets>
  <externalReferences>
    <externalReference r:id="rId52"/>
  </externalReferences>
  <definedNames>
    <definedName name="_xlnm.Print_Area" localSheetId="1">'(01)'!$A$1:$Z$44</definedName>
    <definedName name="_xlnm.Print_Area" localSheetId="27">'(11)'!$A$1:$Z$44</definedName>
    <definedName name="_xlnm.Print_Area" localSheetId="31">'(12)'!$A$1:$Z$44</definedName>
    <definedName name="_xlnm.Print_Area" localSheetId="35">'(13)'!$A$1:$Z$44</definedName>
    <definedName name="_xlnm.Print_Area" localSheetId="39">'(14)'!$A$1:$Z$44</definedName>
    <definedName name="_xlnm.Print_Area" localSheetId="43">'(15)'!$A$1:$Z$44</definedName>
    <definedName name="_xlnm.Print_Area" localSheetId="47">'(16)'!$A$1:$Z$44</definedName>
    <definedName name="_xlnm.Print_Area" localSheetId="5">'(2)'!$A$1:$Z$44</definedName>
    <definedName name="_xlnm.Print_Area" localSheetId="7">'(4)'!$A$1:$Z$44</definedName>
    <definedName name="_xlnm.Print_Area" localSheetId="11">'(5)'!$A$1:$Z$44</definedName>
    <definedName name="_xlnm.Print_Area" localSheetId="15">'(6)'!$A$1:$Z$44</definedName>
    <definedName name="_xlnm.Print_Area" localSheetId="19">'(7)'!$A$1:$Z$44</definedName>
    <definedName name="_xlnm.Print_Area" localSheetId="23">'(8)'!$A$1:$Z$44</definedName>
    <definedName name="_xlnm.Print_Area" localSheetId="2">'05-01 R1'!$A$1:$Z$43</definedName>
    <definedName name="_xlnm.Print_Area" localSheetId="3">'05-01 R2'!$A$1:$V$44</definedName>
    <definedName name="_xlnm.Print_Area" localSheetId="4">'05-01 R3'!$A$1:$V$44</definedName>
    <definedName name="_xlnm.Print_Area" localSheetId="6">'05-02 R3'!$A$1:$V$44</definedName>
    <definedName name="_xlnm.Print_Area" localSheetId="8">'05-04 R1'!$A$1:$Z$43</definedName>
    <definedName name="_xlnm.Print_Area" localSheetId="9">'05-04 R2'!$A$1:$V$44</definedName>
    <definedName name="_xlnm.Print_Area" localSheetId="10">'05-04 R3'!$A$1:$V$44</definedName>
    <definedName name="_xlnm.Print_Area" localSheetId="12">'05-05 R1'!$A$1:$Z$46</definedName>
    <definedName name="_xlnm.Print_Area" localSheetId="13">'05-05 R2'!$A$1:$Z$46</definedName>
    <definedName name="_xlnm.Print_Area" localSheetId="14">'05-05 R3'!$A$1:$Z$46</definedName>
    <definedName name="_xlnm.Print_Area" localSheetId="16">'05-06 R1'!$A$1:$Z$43</definedName>
    <definedName name="_xlnm.Print_Area" localSheetId="17">'05-06 R2'!$A$1:$V$44</definedName>
    <definedName name="_xlnm.Print_Area" localSheetId="18">'05-06 R3'!$A$1:$V$44</definedName>
    <definedName name="_xlnm.Print_Area" localSheetId="20">'05-07 R1'!$A$1:$Z$43</definedName>
    <definedName name="_xlnm.Print_Area" localSheetId="21">'05-07 R2'!$A$1:$V$44</definedName>
    <definedName name="_xlnm.Print_Area" localSheetId="22">'05-07 R3'!$A$1:$V$44</definedName>
    <definedName name="_xlnm.Print_Area" localSheetId="24">'05-08 R1 NO TRIP'!$A$1:$Z$43</definedName>
    <definedName name="_xlnm.Print_Area" localSheetId="25">'05-08 R2'!$A$1:$V$44</definedName>
    <definedName name="_xlnm.Print_Area" localSheetId="26">'05-08 R3'!$A$1:$V$44</definedName>
    <definedName name="_xlnm.Print_Area" localSheetId="28">'05-11 R1'!$A$1:$Z$43</definedName>
    <definedName name="_xlnm.Print_Area" localSheetId="29">'05-11 R2'!$A$1:$V$44</definedName>
    <definedName name="_xlnm.Print_Area" localSheetId="30">'05-11 R3'!$A$1:$V$44</definedName>
    <definedName name="_xlnm.Print_Area" localSheetId="32">'05-12 R1'!$A$1:$Z$43</definedName>
    <definedName name="_xlnm.Print_Area" localSheetId="33">'05-12 R2'!$A$1:$V$44</definedName>
    <definedName name="_xlnm.Print_Area" localSheetId="34">'05-12 R3'!$A$1:$V$44</definedName>
    <definedName name="_xlnm.Print_Area" localSheetId="36">'05-13 R1'!$A$1:$Z$43</definedName>
    <definedName name="_xlnm.Print_Area" localSheetId="37">'05-13 R2'!$A$1:$V$44</definedName>
    <definedName name="_xlnm.Print_Area" localSheetId="38">'05-13 R3'!$A$1:$V$44</definedName>
    <definedName name="_xlnm.Print_Area" localSheetId="40">'05-14 R1'!$A$1:$Z$43</definedName>
    <definedName name="_xlnm.Print_Area" localSheetId="41">'05-14 R2'!$A$1:$V$44</definedName>
    <definedName name="_xlnm.Print_Area" localSheetId="42">'05-14 R3'!$A$1:$V$44</definedName>
    <definedName name="_xlnm.Print_Area" localSheetId="44">'05-15 R1'!$A$1:$Z$43</definedName>
    <definedName name="_xlnm.Print_Area" localSheetId="45">'05-15 R2'!$A$1:$V$44</definedName>
    <definedName name="_xlnm.Print_Area" localSheetId="46">'05-15 R3'!$A$1:$V$44</definedName>
    <definedName name="_xlnm.Print_Area" localSheetId="48">'05-16 R1'!$A$1:$Z$43</definedName>
    <definedName name="_xlnm.Print_Area" localSheetId="49">'05-16 R2'!$A$1:$V$44</definedName>
    <definedName name="_xlnm.Print_Area" localSheetId="50">'05-16 R3'!$A$1:$V$44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C44" i="1667" l="1"/>
  <c r="C44" i="1666"/>
  <c r="C45" i="1665"/>
  <c r="C44" i="1665"/>
  <c r="C45" i="1662" l="1"/>
  <c r="C44" i="1662"/>
  <c r="C44" i="1663"/>
  <c r="C44" i="1657" l="1"/>
  <c r="C44" i="1658"/>
  <c r="C45" i="1659"/>
  <c r="C44" i="1659"/>
  <c r="F21" i="1689" l="1"/>
  <c r="Y19" i="1689"/>
  <c r="W19" i="1689"/>
  <c r="V19" i="1689"/>
  <c r="U19" i="1689"/>
  <c r="T19" i="1689"/>
  <c r="P19" i="1689"/>
  <c r="O19" i="1689"/>
  <c r="N19" i="1689"/>
  <c r="M19" i="1689"/>
  <c r="L19" i="1689"/>
  <c r="K19" i="1689"/>
  <c r="J19" i="1689"/>
  <c r="I19" i="1689"/>
  <c r="H19" i="1689"/>
  <c r="G19" i="1689"/>
  <c r="F19" i="1689"/>
  <c r="E19" i="1689"/>
  <c r="D19" i="1689"/>
  <c r="C19" i="1689"/>
  <c r="Y18" i="1689"/>
  <c r="W18" i="1689"/>
  <c r="V18" i="1689"/>
  <c r="U18" i="1689"/>
  <c r="T18" i="1689"/>
  <c r="P18" i="1689"/>
  <c r="O18" i="1689"/>
  <c r="N18" i="1689"/>
  <c r="M18" i="1689"/>
  <c r="L18" i="1689"/>
  <c r="K18" i="1689"/>
  <c r="J18" i="1689"/>
  <c r="I18" i="1689"/>
  <c r="H18" i="1689"/>
  <c r="G18" i="1689"/>
  <c r="F18" i="1689"/>
  <c r="E18" i="1689"/>
  <c r="D18" i="1689"/>
  <c r="C18" i="1689"/>
  <c r="Y4" i="1689"/>
  <c r="W4" i="1689"/>
  <c r="V4" i="1689"/>
  <c r="U4" i="1689"/>
  <c r="T4" i="1689"/>
  <c r="P4" i="1689"/>
  <c r="O4" i="1689"/>
  <c r="N4" i="1689"/>
  <c r="M4" i="1689"/>
  <c r="L4" i="1689"/>
  <c r="K4" i="1689"/>
  <c r="J4" i="1689"/>
  <c r="I4" i="1689"/>
  <c r="H4" i="1689"/>
  <c r="G4" i="1689"/>
  <c r="F4" i="1689"/>
  <c r="E4" i="1689"/>
  <c r="D4" i="1689"/>
  <c r="C4" i="1689"/>
  <c r="Y3" i="1689"/>
  <c r="W3" i="1689"/>
  <c r="V3" i="1689"/>
  <c r="U3" i="1689"/>
  <c r="T3" i="1689"/>
  <c r="P3" i="1689"/>
  <c r="O3" i="1689"/>
  <c r="N3" i="1689"/>
  <c r="M3" i="1689"/>
  <c r="L3" i="1689"/>
  <c r="K3" i="1689"/>
  <c r="J3" i="1689"/>
  <c r="I3" i="1689"/>
  <c r="H3" i="1689"/>
  <c r="G3" i="1689"/>
  <c r="F3" i="1689"/>
  <c r="E3" i="1689"/>
  <c r="D3" i="1689"/>
  <c r="C3" i="1689"/>
  <c r="F21" i="1688"/>
  <c r="Y19" i="1688"/>
  <c r="W19" i="1688"/>
  <c r="V19" i="1688"/>
  <c r="U19" i="1688"/>
  <c r="T19" i="1688"/>
  <c r="P19" i="1688"/>
  <c r="O19" i="1688"/>
  <c r="N19" i="1688"/>
  <c r="M19" i="1688"/>
  <c r="L19" i="1688"/>
  <c r="K19" i="1688"/>
  <c r="J19" i="1688"/>
  <c r="I19" i="1688"/>
  <c r="H19" i="1688"/>
  <c r="G19" i="1688"/>
  <c r="F19" i="1688"/>
  <c r="E19" i="1688"/>
  <c r="D19" i="1688"/>
  <c r="C19" i="1688"/>
  <c r="Y18" i="1688"/>
  <c r="W18" i="1688"/>
  <c r="V18" i="1688"/>
  <c r="U18" i="1688"/>
  <c r="T18" i="1688"/>
  <c r="P18" i="1688"/>
  <c r="O18" i="1688"/>
  <c r="N18" i="1688"/>
  <c r="M18" i="1688"/>
  <c r="L18" i="1688"/>
  <c r="K18" i="1688"/>
  <c r="J18" i="1688"/>
  <c r="I18" i="1688"/>
  <c r="H18" i="1688"/>
  <c r="G18" i="1688"/>
  <c r="F18" i="1688"/>
  <c r="E18" i="1688"/>
  <c r="D18" i="1688"/>
  <c r="C18" i="1688"/>
  <c r="Y4" i="1688"/>
  <c r="W4" i="1688"/>
  <c r="V4" i="1688"/>
  <c r="U4" i="1688"/>
  <c r="T4" i="1688"/>
  <c r="P4" i="1688"/>
  <c r="O4" i="1688"/>
  <c r="N4" i="1688"/>
  <c r="M4" i="1688"/>
  <c r="L4" i="1688"/>
  <c r="K4" i="1688"/>
  <c r="J4" i="1688"/>
  <c r="I4" i="1688"/>
  <c r="H4" i="1688"/>
  <c r="G4" i="1688"/>
  <c r="F4" i="1688"/>
  <c r="E4" i="1688"/>
  <c r="D4" i="1688"/>
  <c r="C4" i="1688"/>
  <c r="Y3" i="1688"/>
  <c r="W3" i="1688"/>
  <c r="V3" i="1688"/>
  <c r="U3" i="1688"/>
  <c r="T3" i="1688"/>
  <c r="P3" i="1688"/>
  <c r="O3" i="1688"/>
  <c r="N3" i="1688"/>
  <c r="M3" i="1688"/>
  <c r="L3" i="1688"/>
  <c r="K3" i="1688"/>
  <c r="J3" i="1688"/>
  <c r="I3" i="1688"/>
  <c r="H3" i="1688"/>
  <c r="G3" i="1688"/>
  <c r="F3" i="1688"/>
  <c r="E3" i="1688"/>
  <c r="D3" i="1688"/>
  <c r="C3" i="1688"/>
  <c r="F21" i="1687"/>
  <c r="Y19" i="1687"/>
  <c r="W19" i="1687"/>
  <c r="V19" i="1687"/>
  <c r="U19" i="1687"/>
  <c r="T19" i="1687"/>
  <c r="P19" i="1687"/>
  <c r="O19" i="1687"/>
  <c r="N19" i="1687"/>
  <c r="M19" i="1687"/>
  <c r="L19" i="1687"/>
  <c r="K19" i="1687"/>
  <c r="J19" i="1687"/>
  <c r="I19" i="1687"/>
  <c r="H19" i="1687"/>
  <c r="G19" i="1687"/>
  <c r="F19" i="1687"/>
  <c r="E19" i="1687"/>
  <c r="D19" i="1687"/>
  <c r="C19" i="1687"/>
  <c r="Y18" i="1687"/>
  <c r="W18" i="1687"/>
  <c r="V18" i="1687"/>
  <c r="U18" i="1687"/>
  <c r="T18" i="1687"/>
  <c r="P18" i="1687"/>
  <c r="O18" i="1687"/>
  <c r="N18" i="1687"/>
  <c r="M18" i="1687"/>
  <c r="L18" i="1687"/>
  <c r="K18" i="1687"/>
  <c r="J18" i="1687"/>
  <c r="I18" i="1687"/>
  <c r="H18" i="1687"/>
  <c r="G18" i="1687"/>
  <c r="F18" i="1687"/>
  <c r="E18" i="1687"/>
  <c r="D18" i="1687"/>
  <c r="C18" i="1687"/>
  <c r="Y4" i="1687"/>
  <c r="W4" i="1687"/>
  <c r="V4" i="1687"/>
  <c r="U4" i="1687"/>
  <c r="T4" i="1687"/>
  <c r="P4" i="1687"/>
  <c r="O4" i="1687"/>
  <c r="N4" i="1687"/>
  <c r="M4" i="1687"/>
  <c r="L4" i="1687"/>
  <c r="K4" i="1687"/>
  <c r="J4" i="1687"/>
  <c r="I4" i="1687"/>
  <c r="H4" i="1687"/>
  <c r="G4" i="1687"/>
  <c r="F4" i="1687"/>
  <c r="E4" i="1687"/>
  <c r="D4" i="1687"/>
  <c r="C4" i="1687"/>
  <c r="Y3" i="1687"/>
  <c r="W3" i="1687"/>
  <c r="V3" i="1687"/>
  <c r="U3" i="1687"/>
  <c r="T3" i="1687"/>
  <c r="P3" i="1687"/>
  <c r="O3" i="1687"/>
  <c r="N3" i="1687"/>
  <c r="M3" i="1687"/>
  <c r="L3" i="1687"/>
  <c r="K3" i="1687"/>
  <c r="J3" i="1687"/>
  <c r="I3" i="1687"/>
  <c r="H3" i="1687"/>
  <c r="G3" i="1687"/>
  <c r="F3" i="1687"/>
  <c r="E3" i="1687"/>
  <c r="D3" i="1687"/>
  <c r="C3" i="1687"/>
  <c r="F21" i="1686"/>
  <c r="Y19" i="1686"/>
  <c r="W19" i="1686"/>
  <c r="V19" i="1686"/>
  <c r="U19" i="1686"/>
  <c r="T19" i="1686"/>
  <c r="P19" i="1686"/>
  <c r="O19" i="1686"/>
  <c r="N19" i="1686"/>
  <c r="M19" i="1686"/>
  <c r="L19" i="1686"/>
  <c r="K19" i="1686"/>
  <c r="J19" i="1686"/>
  <c r="I19" i="1686"/>
  <c r="H19" i="1686"/>
  <c r="G19" i="1686"/>
  <c r="F19" i="1686"/>
  <c r="E19" i="1686"/>
  <c r="D19" i="1686"/>
  <c r="C19" i="1686"/>
  <c r="Y18" i="1686"/>
  <c r="W18" i="1686"/>
  <c r="V18" i="1686"/>
  <c r="U18" i="1686"/>
  <c r="T18" i="1686"/>
  <c r="P18" i="1686"/>
  <c r="O18" i="1686"/>
  <c r="N18" i="1686"/>
  <c r="M18" i="1686"/>
  <c r="L18" i="1686"/>
  <c r="K18" i="1686"/>
  <c r="J18" i="1686"/>
  <c r="I18" i="1686"/>
  <c r="H18" i="1686"/>
  <c r="G18" i="1686"/>
  <c r="F18" i="1686"/>
  <c r="E18" i="1686"/>
  <c r="D18" i="1686"/>
  <c r="C18" i="1686"/>
  <c r="Y4" i="1686"/>
  <c r="W4" i="1686"/>
  <c r="V4" i="1686"/>
  <c r="U4" i="1686"/>
  <c r="T4" i="1686"/>
  <c r="P4" i="1686"/>
  <c r="O4" i="1686"/>
  <c r="N4" i="1686"/>
  <c r="M4" i="1686"/>
  <c r="L4" i="1686"/>
  <c r="K4" i="1686"/>
  <c r="J4" i="1686"/>
  <c r="I4" i="1686"/>
  <c r="H4" i="1686"/>
  <c r="G4" i="1686"/>
  <c r="F4" i="1686"/>
  <c r="E4" i="1686"/>
  <c r="D4" i="1686"/>
  <c r="C4" i="1686"/>
  <c r="Y3" i="1686"/>
  <c r="W3" i="1686"/>
  <c r="V3" i="1686"/>
  <c r="U3" i="1686"/>
  <c r="T3" i="1686"/>
  <c r="P3" i="1686"/>
  <c r="O3" i="1686"/>
  <c r="N3" i="1686"/>
  <c r="M3" i="1686"/>
  <c r="L3" i="1686"/>
  <c r="K3" i="1686"/>
  <c r="J3" i="1686"/>
  <c r="I3" i="1686"/>
  <c r="H3" i="1686"/>
  <c r="G3" i="1686"/>
  <c r="F3" i="1686"/>
  <c r="E3" i="1686"/>
  <c r="D3" i="1686"/>
  <c r="C3" i="1686"/>
  <c r="F21" i="1685"/>
  <c r="Y19" i="1685"/>
  <c r="W19" i="1685"/>
  <c r="V19" i="1685"/>
  <c r="U19" i="1685"/>
  <c r="T19" i="1685"/>
  <c r="P19" i="1685"/>
  <c r="O19" i="1685"/>
  <c r="N19" i="1685"/>
  <c r="M19" i="1685"/>
  <c r="L19" i="1685"/>
  <c r="K19" i="1685"/>
  <c r="J19" i="1685"/>
  <c r="I19" i="1685"/>
  <c r="H19" i="1685"/>
  <c r="G19" i="1685"/>
  <c r="F19" i="1685"/>
  <c r="E19" i="1685"/>
  <c r="D19" i="1685"/>
  <c r="C19" i="1685"/>
  <c r="Y18" i="1685"/>
  <c r="W18" i="1685"/>
  <c r="V18" i="1685"/>
  <c r="U18" i="1685"/>
  <c r="T18" i="1685"/>
  <c r="P18" i="1685"/>
  <c r="O18" i="1685"/>
  <c r="N18" i="1685"/>
  <c r="M18" i="1685"/>
  <c r="L18" i="1685"/>
  <c r="K18" i="1685"/>
  <c r="J18" i="1685"/>
  <c r="I18" i="1685"/>
  <c r="H18" i="1685"/>
  <c r="G18" i="1685"/>
  <c r="F18" i="1685"/>
  <c r="E18" i="1685"/>
  <c r="D18" i="1685"/>
  <c r="C18" i="1685"/>
  <c r="Y4" i="1685"/>
  <c r="W4" i="1685"/>
  <c r="V4" i="1685"/>
  <c r="U4" i="1685"/>
  <c r="T4" i="1685"/>
  <c r="P4" i="1685"/>
  <c r="O4" i="1685"/>
  <c r="N4" i="1685"/>
  <c r="M4" i="1685"/>
  <c r="L4" i="1685"/>
  <c r="K4" i="1685"/>
  <c r="J4" i="1685"/>
  <c r="I4" i="1685"/>
  <c r="H4" i="1685"/>
  <c r="G4" i="1685"/>
  <c r="F4" i="1685"/>
  <c r="E4" i="1685"/>
  <c r="D4" i="1685"/>
  <c r="C4" i="1685"/>
  <c r="Y3" i="1685"/>
  <c r="W3" i="1685"/>
  <c r="V3" i="1685"/>
  <c r="U3" i="1685"/>
  <c r="T3" i="1685"/>
  <c r="P3" i="1685"/>
  <c r="O3" i="1685"/>
  <c r="N3" i="1685"/>
  <c r="M3" i="1685"/>
  <c r="L3" i="1685"/>
  <c r="K3" i="1685"/>
  <c r="J3" i="1685"/>
  <c r="I3" i="1685"/>
  <c r="H3" i="1685"/>
  <c r="G3" i="1685"/>
  <c r="F3" i="1685"/>
  <c r="E3" i="1685"/>
  <c r="D3" i="1685"/>
  <c r="C3" i="1685"/>
  <c r="F21" i="1684"/>
  <c r="Y19" i="1684"/>
  <c r="W19" i="1684"/>
  <c r="V19" i="1684"/>
  <c r="U19" i="1684"/>
  <c r="T19" i="1684"/>
  <c r="P19" i="1684"/>
  <c r="O19" i="1684"/>
  <c r="N19" i="1684"/>
  <c r="M19" i="1684"/>
  <c r="L19" i="1684"/>
  <c r="K19" i="1684"/>
  <c r="J19" i="1684"/>
  <c r="I19" i="1684"/>
  <c r="H19" i="1684"/>
  <c r="G19" i="1684"/>
  <c r="F19" i="1684"/>
  <c r="E19" i="1684"/>
  <c r="D19" i="1684"/>
  <c r="C19" i="1684"/>
  <c r="Y18" i="1684"/>
  <c r="W18" i="1684"/>
  <c r="V18" i="1684"/>
  <c r="U18" i="1684"/>
  <c r="T18" i="1684"/>
  <c r="P18" i="1684"/>
  <c r="O18" i="1684"/>
  <c r="N18" i="1684"/>
  <c r="M18" i="1684"/>
  <c r="L18" i="1684"/>
  <c r="K18" i="1684"/>
  <c r="J18" i="1684"/>
  <c r="I18" i="1684"/>
  <c r="H18" i="1684"/>
  <c r="G18" i="1684"/>
  <c r="F18" i="1684"/>
  <c r="E18" i="1684"/>
  <c r="D18" i="1684"/>
  <c r="C18" i="1684"/>
  <c r="Y4" i="1684"/>
  <c r="W4" i="1684"/>
  <c r="V4" i="1684"/>
  <c r="U4" i="1684"/>
  <c r="T4" i="1684"/>
  <c r="P4" i="1684"/>
  <c r="O4" i="1684"/>
  <c r="N4" i="1684"/>
  <c r="M4" i="1684"/>
  <c r="L4" i="1684"/>
  <c r="K4" i="1684"/>
  <c r="J4" i="1684"/>
  <c r="I4" i="1684"/>
  <c r="H4" i="1684"/>
  <c r="G4" i="1684"/>
  <c r="F4" i="1684"/>
  <c r="E4" i="1684"/>
  <c r="D4" i="1684"/>
  <c r="C4" i="1684"/>
  <c r="Y3" i="1684"/>
  <c r="W3" i="1684"/>
  <c r="V3" i="1684"/>
  <c r="U3" i="1684"/>
  <c r="T3" i="1684"/>
  <c r="P3" i="1684"/>
  <c r="O3" i="1684"/>
  <c r="N3" i="1684"/>
  <c r="M3" i="1684"/>
  <c r="L3" i="1684"/>
  <c r="K3" i="1684"/>
  <c r="J3" i="1684"/>
  <c r="I3" i="1684"/>
  <c r="H3" i="1684"/>
  <c r="G3" i="1684"/>
  <c r="F3" i="1684"/>
  <c r="E3" i="1684"/>
  <c r="D3" i="1684"/>
  <c r="C3" i="1684"/>
  <c r="F21" i="1683"/>
  <c r="Y19" i="1683"/>
  <c r="W19" i="1683"/>
  <c r="V19" i="1683"/>
  <c r="U19" i="1683"/>
  <c r="T19" i="1683"/>
  <c r="P19" i="1683"/>
  <c r="O19" i="1683"/>
  <c r="N19" i="1683"/>
  <c r="M19" i="1683"/>
  <c r="L19" i="1683"/>
  <c r="K19" i="1683"/>
  <c r="J19" i="1683"/>
  <c r="I19" i="1683"/>
  <c r="H19" i="1683"/>
  <c r="G19" i="1683"/>
  <c r="F19" i="1683"/>
  <c r="E19" i="1683"/>
  <c r="D19" i="1683"/>
  <c r="C19" i="1683"/>
  <c r="Y18" i="1683"/>
  <c r="W18" i="1683"/>
  <c r="V18" i="1683"/>
  <c r="U18" i="1683"/>
  <c r="T18" i="1683"/>
  <c r="P18" i="1683"/>
  <c r="O18" i="1683"/>
  <c r="N18" i="1683"/>
  <c r="M18" i="1683"/>
  <c r="L18" i="1683"/>
  <c r="K18" i="1683"/>
  <c r="J18" i="1683"/>
  <c r="I18" i="1683"/>
  <c r="H18" i="1683"/>
  <c r="G18" i="1683"/>
  <c r="F18" i="1683"/>
  <c r="E18" i="1683"/>
  <c r="D18" i="1683"/>
  <c r="C18" i="1683"/>
  <c r="Y4" i="1683"/>
  <c r="W4" i="1683"/>
  <c r="V4" i="1683"/>
  <c r="U4" i="1683"/>
  <c r="T4" i="1683"/>
  <c r="P4" i="1683"/>
  <c r="O4" i="1683"/>
  <c r="N4" i="1683"/>
  <c r="M4" i="1683"/>
  <c r="L4" i="1683"/>
  <c r="K4" i="1683"/>
  <c r="J4" i="1683"/>
  <c r="I4" i="1683"/>
  <c r="H4" i="1683"/>
  <c r="G4" i="1683"/>
  <c r="F4" i="1683"/>
  <c r="E4" i="1683"/>
  <c r="D4" i="1683"/>
  <c r="C4" i="1683"/>
  <c r="Y3" i="1683"/>
  <c r="W3" i="1683"/>
  <c r="V3" i="1683"/>
  <c r="U3" i="1683"/>
  <c r="T3" i="1683"/>
  <c r="P3" i="1683"/>
  <c r="O3" i="1683"/>
  <c r="N3" i="1683"/>
  <c r="M3" i="1683"/>
  <c r="L3" i="1683"/>
  <c r="K3" i="1683"/>
  <c r="J3" i="1683"/>
  <c r="I3" i="1683"/>
  <c r="H3" i="1683"/>
  <c r="G3" i="1683"/>
  <c r="F3" i="1683"/>
  <c r="E3" i="1683"/>
  <c r="D3" i="1683"/>
  <c r="C3" i="1683"/>
  <c r="F21" i="1682"/>
  <c r="Y19" i="1682"/>
  <c r="W19" i="1682"/>
  <c r="V19" i="1682"/>
  <c r="U19" i="1682"/>
  <c r="T19" i="1682"/>
  <c r="P19" i="1682"/>
  <c r="O19" i="1682"/>
  <c r="N19" i="1682"/>
  <c r="M19" i="1682"/>
  <c r="L19" i="1682"/>
  <c r="K19" i="1682"/>
  <c r="J19" i="1682"/>
  <c r="I19" i="1682"/>
  <c r="H19" i="1682"/>
  <c r="G19" i="1682"/>
  <c r="F19" i="1682"/>
  <c r="E19" i="1682"/>
  <c r="D19" i="1682"/>
  <c r="C19" i="1682"/>
  <c r="Y18" i="1682"/>
  <c r="W18" i="1682"/>
  <c r="V18" i="1682"/>
  <c r="U18" i="1682"/>
  <c r="T18" i="1682"/>
  <c r="P18" i="1682"/>
  <c r="O18" i="1682"/>
  <c r="N18" i="1682"/>
  <c r="M18" i="1682"/>
  <c r="L18" i="1682"/>
  <c r="K18" i="1682"/>
  <c r="J18" i="1682"/>
  <c r="I18" i="1682"/>
  <c r="H18" i="1682"/>
  <c r="G18" i="1682"/>
  <c r="F18" i="1682"/>
  <c r="E18" i="1682"/>
  <c r="D18" i="1682"/>
  <c r="C18" i="1682"/>
  <c r="Y4" i="1682"/>
  <c r="W4" i="1682"/>
  <c r="V4" i="1682"/>
  <c r="U4" i="1682"/>
  <c r="T4" i="1682"/>
  <c r="P4" i="1682"/>
  <c r="O4" i="1682"/>
  <c r="N4" i="1682"/>
  <c r="M4" i="1682"/>
  <c r="L4" i="1682"/>
  <c r="K4" i="1682"/>
  <c r="J4" i="1682"/>
  <c r="I4" i="1682"/>
  <c r="H4" i="1682"/>
  <c r="G4" i="1682"/>
  <c r="F4" i="1682"/>
  <c r="E4" i="1682"/>
  <c r="D4" i="1682"/>
  <c r="C4" i="1682"/>
  <c r="Y3" i="1682"/>
  <c r="W3" i="1682"/>
  <c r="V3" i="1682"/>
  <c r="U3" i="1682"/>
  <c r="T3" i="1682"/>
  <c r="P3" i="1682"/>
  <c r="O3" i="1682"/>
  <c r="N3" i="1682"/>
  <c r="M3" i="1682"/>
  <c r="L3" i="1682"/>
  <c r="K3" i="1682"/>
  <c r="J3" i="1682"/>
  <c r="I3" i="1682"/>
  <c r="H3" i="1682"/>
  <c r="G3" i="1682"/>
  <c r="F3" i="1682"/>
  <c r="E3" i="1682"/>
  <c r="D3" i="1682"/>
  <c r="C3" i="1682"/>
  <c r="F21" i="1681"/>
  <c r="Y19" i="1681"/>
  <c r="W19" i="1681"/>
  <c r="V19" i="1681"/>
  <c r="U19" i="1681"/>
  <c r="T19" i="1681"/>
  <c r="P19" i="1681"/>
  <c r="O19" i="1681"/>
  <c r="N19" i="1681"/>
  <c r="M19" i="1681"/>
  <c r="L19" i="1681"/>
  <c r="K19" i="1681"/>
  <c r="J19" i="1681"/>
  <c r="I19" i="1681"/>
  <c r="H19" i="1681"/>
  <c r="G19" i="1681"/>
  <c r="F19" i="1681"/>
  <c r="E19" i="1681"/>
  <c r="D19" i="1681"/>
  <c r="C19" i="1681"/>
  <c r="Y18" i="1681"/>
  <c r="W18" i="1681"/>
  <c r="V18" i="1681"/>
  <c r="U18" i="1681"/>
  <c r="T18" i="1681"/>
  <c r="P18" i="1681"/>
  <c r="O18" i="1681"/>
  <c r="N18" i="1681"/>
  <c r="M18" i="1681"/>
  <c r="L18" i="1681"/>
  <c r="K18" i="1681"/>
  <c r="J18" i="1681"/>
  <c r="I18" i="1681"/>
  <c r="H18" i="1681"/>
  <c r="G18" i="1681"/>
  <c r="F18" i="1681"/>
  <c r="E18" i="1681"/>
  <c r="D18" i="1681"/>
  <c r="C18" i="1681"/>
  <c r="Y4" i="1681"/>
  <c r="W4" i="1681"/>
  <c r="V4" i="1681"/>
  <c r="U4" i="1681"/>
  <c r="T4" i="1681"/>
  <c r="P4" i="1681"/>
  <c r="O4" i="1681"/>
  <c r="N4" i="1681"/>
  <c r="M4" i="1681"/>
  <c r="L4" i="1681"/>
  <c r="K4" i="1681"/>
  <c r="J4" i="1681"/>
  <c r="I4" i="1681"/>
  <c r="H4" i="1681"/>
  <c r="G4" i="1681"/>
  <c r="F4" i="1681"/>
  <c r="E4" i="1681"/>
  <c r="D4" i="1681"/>
  <c r="C4" i="1681"/>
  <c r="Y3" i="1681"/>
  <c r="W3" i="1681"/>
  <c r="V3" i="1681"/>
  <c r="U3" i="1681"/>
  <c r="T3" i="1681"/>
  <c r="P3" i="1681"/>
  <c r="O3" i="1681"/>
  <c r="N3" i="1681"/>
  <c r="M3" i="1681"/>
  <c r="L3" i="1681"/>
  <c r="K3" i="1681"/>
  <c r="J3" i="1681"/>
  <c r="I3" i="1681"/>
  <c r="H3" i="1681"/>
  <c r="G3" i="1681"/>
  <c r="F3" i="1681"/>
  <c r="E3" i="1681"/>
  <c r="D3" i="1681"/>
  <c r="C3" i="1681"/>
  <c r="F21" i="1680"/>
  <c r="Y19" i="1680"/>
  <c r="W19" i="1680"/>
  <c r="V19" i="1680"/>
  <c r="U19" i="1680"/>
  <c r="T19" i="1680"/>
  <c r="P19" i="1680"/>
  <c r="O19" i="1680"/>
  <c r="N19" i="1680"/>
  <c r="M19" i="1680"/>
  <c r="L19" i="1680"/>
  <c r="K19" i="1680"/>
  <c r="J19" i="1680"/>
  <c r="I19" i="1680"/>
  <c r="H19" i="1680"/>
  <c r="G19" i="1680"/>
  <c r="F19" i="1680"/>
  <c r="E19" i="1680"/>
  <c r="D19" i="1680"/>
  <c r="C19" i="1680"/>
  <c r="Y18" i="1680"/>
  <c r="W18" i="1680"/>
  <c r="V18" i="1680"/>
  <c r="U18" i="1680"/>
  <c r="T18" i="1680"/>
  <c r="P18" i="1680"/>
  <c r="O18" i="1680"/>
  <c r="N18" i="1680"/>
  <c r="M18" i="1680"/>
  <c r="L18" i="1680"/>
  <c r="K18" i="1680"/>
  <c r="J18" i="1680"/>
  <c r="I18" i="1680"/>
  <c r="H18" i="1680"/>
  <c r="G18" i="1680"/>
  <c r="F18" i="1680"/>
  <c r="E18" i="1680"/>
  <c r="D18" i="1680"/>
  <c r="C18" i="1680"/>
  <c r="Y4" i="1680"/>
  <c r="W4" i="1680"/>
  <c r="V4" i="1680"/>
  <c r="U4" i="1680"/>
  <c r="T4" i="1680"/>
  <c r="P4" i="1680"/>
  <c r="O4" i="1680"/>
  <c r="N4" i="1680"/>
  <c r="M4" i="1680"/>
  <c r="L4" i="1680"/>
  <c r="K4" i="1680"/>
  <c r="J4" i="1680"/>
  <c r="I4" i="1680"/>
  <c r="H4" i="1680"/>
  <c r="G4" i="1680"/>
  <c r="F4" i="1680"/>
  <c r="E4" i="1680"/>
  <c r="D4" i="1680"/>
  <c r="C4" i="1680"/>
  <c r="Y3" i="1680"/>
  <c r="W3" i="1680"/>
  <c r="V3" i="1680"/>
  <c r="U3" i="1680"/>
  <c r="T3" i="1680"/>
  <c r="P3" i="1680"/>
  <c r="O3" i="1680"/>
  <c r="N3" i="1680"/>
  <c r="M3" i="1680"/>
  <c r="L3" i="1680"/>
  <c r="K3" i="1680"/>
  <c r="J3" i="1680"/>
  <c r="I3" i="1680"/>
  <c r="H3" i="1680"/>
  <c r="G3" i="1680"/>
  <c r="F3" i="1680"/>
  <c r="E3" i="1680"/>
  <c r="D3" i="1680"/>
  <c r="C3" i="1680"/>
  <c r="F21" i="1679"/>
  <c r="Y19" i="1679"/>
  <c r="W19" i="1679"/>
  <c r="V19" i="1679"/>
  <c r="U19" i="1679"/>
  <c r="T19" i="1679"/>
  <c r="P19" i="1679"/>
  <c r="O19" i="1679"/>
  <c r="N19" i="1679"/>
  <c r="M19" i="1679"/>
  <c r="L19" i="1679"/>
  <c r="K19" i="1679"/>
  <c r="J19" i="1679"/>
  <c r="I19" i="1679"/>
  <c r="H19" i="1679"/>
  <c r="G19" i="1679"/>
  <c r="F19" i="1679"/>
  <c r="E19" i="1679"/>
  <c r="D19" i="1679"/>
  <c r="C19" i="1679"/>
  <c r="Y18" i="1679"/>
  <c r="W18" i="1679"/>
  <c r="V18" i="1679"/>
  <c r="U18" i="1679"/>
  <c r="T18" i="1679"/>
  <c r="P18" i="1679"/>
  <c r="O18" i="1679"/>
  <c r="N18" i="1679"/>
  <c r="M18" i="1679"/>
  <c r="L18" i="1679"/>
  <c r="K18" i="1679"/>
  <c r="J18" i="1679"/>
  <c r="I18" i="1679"/>
  <c r="H18" i="1679"/>
  <c r="G18" i="1679"/>
  <c r="F18" i="1679"/>
  <c r="E18" i="1679"/>
  <c r="D18" i="1679"/>
  <c r="C18" i="1679"/>
  <c r="Y4" i="1679"/>
  <c r="W4" i="1679"/>
  <c r="V4" i="1679"/>
  <c r="U4" i="1679"/>
  <c r="T4" i="1679"/>
  <c r="P4" i="1679"/>
  <c r="O4" i="1679"/>
  <c r="N4" i="1679"/>
  <c r="M4" i="1679"/>
  <c r="L4" i="1679"/>
  <c r="K4" i="1679"/>
  <c r="J4" i="1679"/>
  <c r="I4" i="1679"/>
  <c r="H4" i="1679"/>
  <c r="G4" i="1679"/>
  <c r="F4" i="1679"/>
  <c r="E4" i="1679"/>
  <c r="D4" i="1679"/>
  <c r="C4" i="1679"/>
  <c r="Y3" i="1679"/>
  <c r="W3" i="1679"/>
  <c r="V3" i="1679"/>
  <c r="U3" i="1679"/>
  <c r="T3" i="1679"/>
  <c r="P3" i="1679"/>
  <c r="O3" i="1679"/>
  <c r="N3" i="1679"/>
  <c r="M3" i="1679"/>
  <c r="L3" i="1679"/>
  <c r="K3" i="1679"/>
  <c r="J3" i="1679"/>
  <c r="I3" i="1679"/>
  <c r="H3" i="1679"/>
  <c r="G3" i="1679"/>
  <c r="F3" i="1679"/>
  <c r="E3" i="1679"/>
  <c r="D3" i="1679"/>
  <c r="C3" i="1679"/>
  <c r="F21" i="1678"/>
  <c r="Y19" i="1678"/>
  <c r="W19" i="1678"/>
  <c r="V19" i="1678"/>
  <c r="U19" i="1678"/>
  <c r="T19" i="1678"/>
  <c r="P19" i="1678"/>
  <c r="O19" i="1678"/>
  <c r="N19" i="1678"/>
  <c r="M19" i="1678"/>
  <c r="L19" i="1678"/>
  <c r="K19" i="1678"/>
  <c r="J19" i="1678"/>
  <c r="I19" i="1678"/>
  <c r="H19" i="1678"/>
  <c r="G19" i="1678"/>
  <c r="F19" i="1678"/>
  <c r="E19" i="1678"/>
  <c r="D19" i="1678"/>
  <c r="C19" i="1678"/>
  <c r="Y18" i="1678"/>
  <c r="W18" i="1678"/>
  <c r="V18" i="1678"/>
  <c r="U18" i="1678"/>
  <c r="T18" i="1678"/>
  <c r="P18" i="1678"/>
  <c r="O18" i="1678"/>
  <c r="N18" i="1678"/>
  <c r="M18" i="1678"/>
  <c r="L18" i="1678"/>
  <c r="K18" i="1678"/>
  <c r="J18" i="1678"/>
  <c r="I18" i="1678"/>
  <c r="H18" i="1678"/>
  <c r="G18" i="1678"/>
  <c r="F18" i="1678"/>
  <c r="E18" i="1678"/>
  <c r="D18" i="1678"/>
  <c r="C18" i="1678"/>
  <c r="Y4" i="1678"/>
  <c r="W4" i="1678"/>
  <c r="V4" i="1678"/>
  <c r="U4" i="1678"/>
  <c r="T4" i="1678"/>
  <c r="P4" i="1678"/>
  <c r="O4" i="1678"/>
  <c r="N4" i="1678"/>
  <c r="M4" i="1678"/>
  <c r="L4" i="1678"/>
  <c r="K4" i="1678"/>
  <c r="J4" i="1678"/>
  <c r="I4" i="1678"/>
  <c r="H4" i="1678"/>
  <c r="G4" i="1678"/>
  <c r="F4" i="1678"/>
  <c r="E4" i="1678"/>
  <c r="D4" i="1678"/>
  <c r="C4" i="1678"/>
  <c r="Y3" i="1678"/>
  <c r="W3" i="1678"/>
  <c r="V3" i="1678"/>
  <c r="U3" i="1678"/>
  <c r="T3" i="1678"/>
  <c r="P3" i="1678"/>
  <c r="O3" i="1678"/>
  <c r="N3" i="1678"/>
  <c r="M3" i="1678"/>
  <c r="L3" i="1678"/>
  <c r="K3" i="1678"/>
  <c r="J3" i="1678"/>
  <c r="I3" i="1678"/>
  <c r="H3" i="1678"/>
  <c r="G3" i="1678"/>
  <c r="F3" i="1678"/>
  <c r="E3" i="1678"/>
  <c r="D3" i="1678"/>
  <c r="C3" i="1678"/>
  <c r="F21" i="1677"/>
  <c r="Y19" i="1677"/>
  <c r="W19" i="1677"/>
  <c r="V19" i="1677"/>
  <c r="U19" i="1677"/>
  <c r="T19" i="1677"/>
  <c r="P19" i="1677"/>
  <c r="O19" i="1677"/>
  <c r="N19" i="1677"/>
  <c r="M19" i="1677"/>
  <c r="L19" i="1677"/>
  <c r="K19" i="1677"/>
  <c r="J19" i="1677"/>
  <c r="I19" i="1677"/>
  <c r="H19" i="1677"/>
  <c r="G19" i="1677"/>
  <c r="F19" i="1677"/>
  <c r="E19" i="1677"/>
  <c r="D19" i="1677"/>
  <c r="C19" i="1677"/>
  <c r="Y18" i="1677"/>
  <c r="W18" i="1677"/>
  <c r="V18" i="1677"/>
  <c r="U18" i="1677"/>
  <c r="T18" i="1677"/>
  <c r="P18" i="1677"/>
  <c r="O18" i="1677"/>
  <c r="N18" i="1677"/>
  <c r="M18" i="1677"/>
  <c r="L18" i="1677"/>
  <c r="K18" i="1677"/>
  <c r="J18" i="1677"/>
  <c r="I18" i="1677"/>
  <c r="H18" i="1677"/>
  <c r="G18" i="1677"/>
  <c r="F18" i="1677"/>
  <c r="E18" i="1677"/>
  <c r="D18" i="1677"/>
  <c r="C18" i="1677"/>
  <c r="Y4" i="1677"/>
  <c r="W4" i="1677"/>
  <c r="V4" i="1677"/>
  <c r="U4" i="1677"/>
  <c r="T4" i="1677"/>
  <c r="P4" i="1677"/>
  <c r="O4" i="1677"/>
  <c r="N4" i="1677"/>
  <c r="M4" i="1677"/>
  <c r="L4" i="1677"/>
  <c r="K4" i="1677"/>
  <c r="J4" i="1677"/>
  <c r="I4" i="1677"/>
  <c r="H4" i="1677"/>
  <c r="G4" i="1677"/>
  <c r="F4" i="1677"/>
  <c r="E4" i="1677"/>
  <c r="D4" i="1677"/>
  <c r="C4" i="1677"/>
  <c r="Y3" i="1677"/>
  <c r="W3" i="1677"/>
  <c r="V3" i="1677"/>
  <c r="U3" i="1677"/>
  <c r="T3" i="1677"/>
  <c r="P3" i="1677"/>
  <c r="O3" i="1677"/>
  <c r="N3" i="1677"/>
  <c r="M3" i="1677"/>
  <c r="L3" i="1677"/>
  <c r="K3" i="1677"/>
  <c r="J3" i="1677"/>
  <c r="I3" i="1677"/>
  <c r="H3" i="1677"/>
  <c r="G3" i="1677"/>
  <c r="F3" i="1677"/>
  <c r="E3" i="1677"/>
  <c r="D3" i="1677"/>
  <c r="C3" i="1677"/>
  <c r="F21" i="1676"/>
  <c r="Y19" i="1676"/>
  <c r="W19" i="1676"/>
  <c r="V19" i="1676"/>
  <c r="U19" i="1676"/>
  <c r="T19" i="1676"/>
  <c r="P19" i="1676"/>
  <c r="O19" i="1676"/>
  <c r="N19" i="1676"/>
  <c r="M19" i="1676"/>
  <c r="L19" i="1676"/>
  <c r="K19" i="1676"/>
  <c r="J19" i="1676"/>
  <c r="I19" i="1676"/>
  <c r="H19" i="1676"/>
  <c r="G19" i="1676"/>
  <c r="F19" i="1676"/>
  <c r="E19" i="1676"/>
  <c r="D19" i="1676"/>
  <c r="C19" i="1676"/>
  <c r="Y18" i="1676"/>
  <c r="W18" i="1676"/>
  <c r="V18" i="1676"/>
  <c r="U18" i="1676"/>
  <c r="T18" i="1676"/>
  <c r="P18" i="1676"/>
  <c r="O18" i="1676"/>
  <c r="N18" i="1676"/>
  <c r="M18" i="1676"/>
  <c r="L18" i="1676"/>
  <c r="K18" i="1676"/>
  <c r="J18" i="1676"/>
  <c r="I18" i="1676"/>
  <c r="H18" i="1676"/>
  <c r="G18" i="1676"/>
  <c r="F18" i="1676"/>
  <c r="E18" i="1676"/>
  <c r="D18" i="1676"/>
  <c r="C18" i="1676"/>
  <c r="Y4" i="1676"/>
  <c r="W4" i="1676"/>
  <c r="V4" i="1676"/>
  <c r="U4" i="1676"/>
  <c r="T4" i="1676"/>
  <c r="P4" i="1676"/>
  <c r="O4" i="1676"/>
  <c r="N4" i="1676"/>
  <c r="M4" i="1676"/>
  <c r="L4" i="1676"/>
  <c r="K4" i="1676"/>
  <c r="J4" i="1676"/>
  <c r="I4" i="1676"/>
  <c r="H4" i="1676"/>
  <c r="G4" i="1676"/>
  <c r="F4" i="1676"/>
  <c r="E4" i="1676"/>
  <c r="D4" i="1676"/>
  <c r="C4" i="1676"/>
  <c r="Y3" i="1676"/>
  <c r="W3" i="1676"/>
  <c r="V3" i="1676"/>
  <c r="U3" i="1676"/>
  <c r="T3" i="1676"/>
  <c r="P3" i="1676"/>
  <c r="O3" i="1676"/>
  <c r="N3" i="1676"/>
  <c r="M3" i="1676"/>
  <c r="L3" i="1676"/>
  <c r="K3" i="1676"/>
  <c r="J3" i="1676"/>
  <c r="I3" i="1676"/>
  <c r="H3" i="1676"/>
  <c r="G3" i="1676"/>
  <c r="F3" i="1676"/>
  <c r="E3" i="1676"/>
  <c r="D3" i="1676"/>
  <c r="C3" i="1676"/>
  <c r="F21" i="1675"/>
  <c r="Y19" i="1675"/>
  <c r="W19" i="1675"/>
  <c r="V19" i="1675"/>
  <c r="U19" i="1675"/>
  <c r="T19" i="1675"/>
  <c r="P19" i="1675"/>
  <c r="O19" i="1675"/>
  <c r="N19" i="1675"/>
  <c r="M19" i="1675"/>
  <c r="L19" i="1675"/>
  <c r="K19" i="1675"/>
  <c r="J19" i="1675"/>
  <c r="I19" i="1675"/>
  <c r="H19" i="1675"/>
  <c r="G19" i="1675"/>
  <c r="F19" i="1675"/>
  <c r="E19" i="1675"/>
  <c r="D19" i="1675"/>
  <c r="C19" i="1675"/>
  <c r="Y18" i="1675"/>
  <c r="W18" i="1675"/>
  <c r="V18" i="1675"/>
  <c r="U18" i="1675"/>
  <c r="T18" i="1675"/>
  <c r="P18" i="1675"/>
  <c r="O18" i="1675"/>
  <c r="N18" i="1675"/>
  <c r="M18" i="1675"/>
  <c r="L18" i="1675"/>
  <c r="K18" i="1675"/>
  <c r="J18" i="1675"/>
  <c r="I18" i="1675"/>
  <c r="H18" i="1675"/>
  <c r="G18" i="1675"/>
  <c r="F18" i="1675"/>
  <c r="E18" i="1675"/>
  <c r="D18" i="1675"/>
  <c r="C18" i="1675"/>
  <c r="Y4" i="1675"/>
  <c r="W4" i="1675"/>
  <c r="V4" i="1675"/>
  <c r="U4" i="1675"/>
  <c r="T4" i="1675"/>
  <c r="P4" i="1675"/>
  <c r="O4" i="1675"/>
  <c r="N4" i="1675"/>
  <c r="M4" i="1675"/>
  <c r="L4" i="1675"/>
  <c r="K4" i="1675"/>
  <c r="J4" i="1675"/>
  <c r="I4" i="1675"/>
  <c r="H4" i="1675"/>
  <c r="G4" i="1675"/>
  <c r="F4" i="1675"/>
  <c r="E4" i="1675"/>
  <c r="D4" i="1675"/>
  <c r="C4" i="1675"/>
  <c r="Y3" i="1675"/>
  <c r="W3" i="1675"/>
  <c r="V3" i="1675"/>
  <c r="U3" i="1675"/>
  <c r="T3" i="1675"/>
  <c r="P3" i="1675"/>
  <c r="O3" i="1675"/>
  <c r="N3" i="1675"/>
  <c r="M3" i="1675"/>
  <c r="L3" i="1675"/>
  <c r="K3" i="1675"/>
  <c r="J3" i="1675"/>
  <c r="I3" i="1675"/>
  <c r="H3" i="1675"/>
  <c r="G3" i="1675"/>
  <c r="F3" i="1675"/>
  <c r="E3" i="1675"/>
  <c r="D3" i="1675"/>
  <c r="C3" i="1675"/>
  <c r="F21" i="1674"/>
  <c r="Y19" i="1674"/>
  <c r="W19" i="1674"/>
  <c r="V19" i="1674"/>
  <c r="U19" i="1674"/>
  <c r="T19" i="1674"/>
  <c r="P19" i="1674"/>
  <c r="O19" i="1674"/>
  <c r="N19" i="1674"/>
  <c r="M19" i="1674"/>
  <c r="L19" i="1674"/>
  <c r="K19" i="1674"/>
  <c r="J19" i="1674"/>
  <c r="I19" i="1674"/>
  <c r="H19" i="1674"/>
  <c r="G19" i="1674"/>
  <c r="F19" i="1674"/>
  <c r="E19" i="1674"/>
  <c r="D19" i="1674"/>
  <c r="C19" i="1674"/>
  <c r="Y18" i="1674"/>
  <c r="W18" i="1674"/>
  <c r="V18" i="1674"/>
  <c r="U18" i="1674"/>
  <c r="T18" i="1674"/>
  <c r="P18" i="1674"/>
  <c r="O18" i="1674"/>
  <c r="N18" i="1674"/>
  <c r="M18" i="1674"/>
  <c r="L18" i="1674"/>
  <c r="K18" i="1674"/>
  <c r="J18" i="1674"/>
  <c r="I18" i="1674"/>
  <c r="H18" i="1674"/>
  <c r="G18" i="1674"/>
  <c r="F18" i="1674"/>
  <c r="E18" i="1674"/>
  <c r="D18" i="1674"/>
  <c r="C18" i="1674"/>
  <c r="Y4" i="1674"/>
  <c r="W4" i="1674"/>
  <c r="V4" i="1674"/>
  <c r="U4" i="1674"/>
  <c r="T4" i="1674"/>
  <c r="P4" i="1674"/>
  <c r="O4" i="1674"/>
  <c r="N4" i="1674"/>
  <c r="M4" i="1674"/>
  <c r="L4" i="1674"/>
  <c r="K4" i="1674"/>
  <c r="J4" i="1674"/>
  <c r="I4" i="1674"/>
  <c r="H4" i="1674"/>
  <c r="G4" i="1674"/>
  <c r="F4" i="1674"/>
  <c r="E4" i="1674"/>
  <c r="D4" i="1674"/>
  <c r="C4" i="1674"/>
  <c r="Y3" i="1674"/>
  <c r="W3" i="1674"/>
  <c r="V3" i="1674"/>
  <c r="U3" i="1674"/>
  <c r="T3" i="1674"/>
  <c r="P3" i="1674"/>
  <c r="O3" i="1674"/>
  <c r="N3" i="1674"/>
  <c r="M3" i="1674"/>
  <c r="L3" i="1674"/>
  <c r="K3" i="1674"/>
  <c r="J3" i="1674"/>
  <c r="I3" i="1674"/>
  <c r="H3" i="1674"/>
  <c r="G3" i="1674"/>
  <c r="F3" i="1674"/>
  <c r="E3" i="1674"/>
  <c r="D3" i="1674"/>
  <c r="C3" i="1674"/>
  <c r="F21" i="1673"/>
  <c r="Y19" i="1673"/>
  <c r="W19" i="1673"/>
  <c r="V19" i="1673"/>
  <c r="U19" i="1673"/>
  <c r="T19" i="1673"/>
  <c r="P19" i="1673"/>
  <c r="O19" i="1673"/>
  <c r="N19" i="1673"/>
  <c r="M19" i="1673"/>
  <c r="L19" i="1673"/>
  <c r="K19" i="1673"/>
  <c r="J19" i="1673"/>
  <c r="I19" i="1673"/>
  <c r="H19" i="1673"/>
  <c r="G19" i="1673"/>
  <c r="F19" i="1673"/>
  <c r="E19" i="1673"/>
  <c r="D19" i="1673"/>
  <c r="C19" i="1673"/>
  <c r="Y18" i="1673"/>
  <c r="W18" i="1673"/>
  <c r="V18" i="1673"/>
  <c r="U18" i="1673"/>
  <c r="T18" i="1673"/>
  <c r="P18" i="1673"/>
  <c r="O18" i="1673"/>
  <c r="N18" i="1673"/>
  <c r="M18" i="1673"/>
  <c r="L18" i="1673"/>
  <c r="K18" i="1673"/>
  <c r="J18" i="1673"/>
  <c r="I18" i="1673"/>
  <c r="H18" i="1673"/>
  <c r="G18" i="1673"/>
  <c r="F18" i="1673"/>
  <c r="E18" i="1673"/>
  <c r="D18" i="1673"/>
  <c r="C18" i="1673"/>
  <c r="Y4" i="1673"/>
  <c r="W4" i="1673"/>
  <c r="V4" i="1673"/>
  <c r="U4" i="1673"/>
  <c r="T4" i="1673"/>
  <c r="P4" i="1673"/>
  <c r="O4" i="1673"/>
  <c r="N4" i="1673"/>
  <c r="M4" i="1673"/>
  <c r="L4" i="1673"/>
  <c r="K4" i="1673"/>
  <c r="J4" i="1673"/>
  <c r="I4" i="1673"/>
  <c r="H4" i="1673"/>
  <c r="G4" i="1673"/>
  <c r="F4" i="1673"/>
  <c r="E4" i="1673"/>
  <c r="D4" i="1673"/>
  <c r="C4" i="1673"/>
  <c r="Y3" i="1673"/>
  <c r="W3" i="1673"/>
  <c r="V3" i="1673"/>
  <c r="U3" i="1673"/>
  <c r="T3" i="1673"/>
  <c r="P3" i="1673"/>
  <c r="O3" i="1673"/>
  <c r="N3" i="1673"/>
  <c r="M3" i="1673"/>
  <c r="L3" i="1673"/>
  <c r="K3" i="1673"/>
  <c r="J3" i="1673"/>
  <c r="I3" i="1673"/>
  <c r="H3" i="1673"/>
  <c r="G3" i="1673"/>
  <c r="F3" i="1673"/>
  <c r="E3" i="1673"/>
  <c r="D3" i="1673"/>
  <c r="C3" i="1673"/>
  <c r="F21" i="1672"/>
  <c r="Y19" i="1672"/>
  <c r="W19" i="1672"/>
  <c r="V19" i="1672"/>
  <c r="U19" i="1672"/>
  <c r="T19" i="1672"/>
  <c r="P19" i="1672"/>
  <c r="O19" i="1672"/>
  <c r="N19" i="1672"/>
  <c r="M19" i="1672"/>
  <c r="L19" i="1672"/>
  <c r="K19" i="1672"/>
  <c r="J19" i="1672"/>
  <c r="I19" i="1672"/>
  <c r="H19" i="1672"/>
  <c r="G19" i="1672"/>
  <c r="F19" i="1672"/>
  <c r="E19" i="1672"/>
  <c r="D19" i="1672"/>
  <c r="C19" i="1672"/>
  <c r="Y18" i="1672"/>
  <c r="W18" i="1672"/>
  <c r="V18" i="1672"/>
  <c r="U18" i="1672"/>
  <c r="T18" i="1672"/>
  <c r="P18" i="1672"/>
  <c r="O18" i="1672"/>
  <c r="N18" i="1672"/>
  <c r="M18" i="1672"/>
  <c r="L18" i="1672"/>
  <c r="K18" i="1672"/>
  <c r="J18" i="1672"/>
  <c r="I18" i="1672"/>
  <c r="H18" i="1672"/>
  <c r="G18" i="1672"/>
  <c r="F18" i="1672"/>
  <c r="E18" i="1672"/>
  <c r="D18" i="1672"/>
  <c r="C18" i="1672"/>
  <c r="Y4" i="1672"/>
  <c r="W4" i="1672"/>
  <c r="V4" i="1672"/>
  <c r="U4" i="1672"/>
  <c r="T4" i="1672"/>
  <c r="P4" i="1672"/>
  <c r="O4" i="1672"/>
  <c r="N4" i="1672"/>
  <c r="M4" i="1672"/>
  <c r="L4" i="1672"/>
  <c r="K4" i="1672"/>
  <c r="J4" i="1672"/>
  <c r="I4" i="1672"/>
  <c r="H4" i="1672"/>
  <c r="G4" i="1672"/>
  <c r="F4" i="1672"/>
  <c r="E4" i="1672"/>
  <c r="D4" i="1672"/>
  <c r="C4" i="1672"/>
  <c r="Y3" i="1672"/>
  <c r="W3" i="1672"/>
  <c r="V3" i="1672"/>
  <c r="U3" i="1672"/>
  <c r="T3" i="1672"/>
  <c r="P3" i="1672"/>
  <c r="O3" i="1672"/>
  <c r="N3" i="1672"/>
  <c r="M3" i="1672"/>
  <c r="L3" i="1672"/>
  <c r="K3" i="1672"/>
  <c r="J3" i="1672"/>
  <c r="I3" i="1672"/>
  <c r="H3" i="1672"/>
  <c r="G3" i="1672"/>
  <c r="F3" i="1672"/>
  <c r="E3" i="1672"/>
  <c r="D3" i="1672"/>
  <c r="C3" i="1672"/>
  <c r="F21" i="1671"/>
  <c r="Y19" i="1671"/>
  <c r="W19" i="1671"/>
  <c r="V19" i="1671"/>
  <c r="U19" i="1671"/>
  <c r="T19" i="1671"/>
  <c r="P19" i="1671"/>
  <c r="O19" i="1671"/>
  <c r="N19" i="1671"/>
  <c r="M19" i="1671"/>
  <c r="L19" i="1671"/>
  <c r="K19" i="1671"/>
  <c r="J19" i="1671"/>
  <c r="I19" i="1671"/>
  <c r="H19" i="1671"/>
  <c r="G19" i="1671"/>
  <c r="F19" i="1671"/>
  <c r="E19" i="1671"/>
  <c r="D19" i="1671"/>
  <c r="C19" i="1671"/>
  <c r="Y18" i="1671"/>
  <c r="W18" i="1671"/>
  <c r="V18" i="1671"/>
  <c r="U18" i="1671"/>
  <c r="T18" i="1671"/>
  <c r="P18" i="1671"/>
  <c r="O18" i="1671"/>
  <c r="N18" i="1671"/>
  <c r="M18" i="1671"/>
  <c r="L18" i="1671"/>
  <c r="K18" i="1671"/>
  <c r="J18" i="1671"/>
  <c r="I18" i="1671"/>
  <c r="H18" i="1671"/>
  <c r="G18" i="1671"/>
  <c r="F18" i="1671"/>
  <c r="E18" i="1671"/>
  <c r="D18" i="1671"/>
  <c r="C18" i="1671"/>
  <c r="Y4" i="1671"/>
  <c r="W4" i="1671"/>
  <c r="V4" i="1671"/>
  <c r="U4" i="1671"/>
  <c r="T4" i="1671"/>
  <c r="P4" i="1671"/>
  <c r="O4" i="1671"/>
  <c r="N4" i="1671"/>
  <c r="M4" i="1671"/>
  <c r="L4" i="1671"/>
  <c r="K4" i="1671"/>
  <c r="J4" i="1671"/>
  <c r="I4" i="1671"/>
  <c r="H4" i="1671"/>
  <c r="G4" i="1671"/>
  <c r="F4" i="1671"/>
  <c r="E4" i="1671"/>
  <c r="D4" i="1671"/>
  <c r="C4" i="1671"/>
  <c r="Y3" i="1671"/>
  <c r="W3" i="1671"/>
  <c r="V3" i="1671"/>
  <c r="U3" i="1671"/>
  <c r="T3" i="1671"/>
  <c r="P3" i="1671"/>
  <c r="O3" i="1671"/>
  <c r="N3" i="1671"/>
  <c r="M3" i="1671"/>
  <c r="L3" i="1671"/>
  <c r="K3" i="1671"/>
  <c r="J3" i="1671"/>
  <c r="I3" i="1671"/>
  <c r="H3" i="1671"/>
  <c r="G3" i="1671"/>
  <c r="F3" i="1671"/>
  <c r="E3" i="1671"/>
  <c r="D3" i="1671"/>
  <c r="C3" i="1671"/>
  <c r="F21" i="1670"/>
  <c r="Y19" i="1670"/>
  <c r="W19" i="1670"/>
  <c r="V19" i="1670"/>
  <c r="U19" i="1670"/>
  <c r="T19" i="1670"/>
  <c r="P19" i="1670"/>
  <c r="O19" i="1670"/>
  <c r="N19" i="1670"/>
  <c r="M19" i="1670"/>
  <c r="L19" i="1670"/>
  <c r="K19" i="1670"/>
  <c r="J19" i="1670"/>
  <c r="I19" i="1670"/>
  <c r="H19" i="1670"/>
  <c r="G19" i="1670"/>
  <c r="F19" i="1670"/>
  <c r="E19" i="1670"/>
  <c r="D19" i="1670"/>
  <c r="C19" i="1670"/>
  <c r="Y18" i="1670"/>
  <c r="W18" i="1670"/>
  <c r="V18" i="1670"/>
  <c r="U18" i="1670"/>
  <c r="T18" i="1670"/>
  <c r="P18" i="1670"/>
  <c r="O18" i="1670"/>
  <c r="N18" i="1670"/>
  <c r="M18" i="1670"/>
  <c r="L18" i="1670"/>
  <c r="K18" i="1670"/>
  <c r="J18" i="1670"/>
  <c r="I18" i="1670"/>
  <c r="H18" i="1670"/>
  <c r="G18" i="1670"/>
  <c r="F18" i="1670"/>
  <c r="E18" i="1670"/>
  <c r="D18" i="1670"/>
  <c r="C18" i="1670"/>
  <c r="Y4" i="1670"/>
  <c r="W4" i="1670"/>
  <c r="V4" i="1670"/>
  <c r="U4" i="1670"/>
  <c r="T4" i="1670"/>
  <c r="P4" i="1670"/>
  <c r="O4" i="1670"/>
  <c r="N4" i="1670"/>
  <c r="M4" i="1670"/>
  <c r="L4" i="1670"/>
  <c r="K4" i="1670"/>
  <c r="J4" i="1670"/>
  <c r="I4" i="1670"/>
  <c r="H4" i="1670"/>
  <c r="G4" i="1670"/>
  <c r="F4" i="1670"/>
  <c r="E4" i="1670"/>
  <c r="D4" i="1670"/>
  <c r="C4" i="1670"/>
  <c r="Y3" i="1670"/>
  <c r="W3" i="1670"/>
  <c r="V3" i="1670"/>
  <c r="U3" i="1670"/>
  <c r="T3" i="1670"/>
  <c r="P3" i="1670"/>
  <c r="O3" i="1670"/>
  <c r="N3" i="1670"/>
  <c r="M3" i="1670"/>
  <c r="L3" i="1670"/>
  <c r="K3" i="1670"/>
  <c r="J3" i="1670"/>
  <c r="I3" i="1670"/>
  <c r="H3" i="1670"/>
  <c r="G3" i="1670"/>
  <c r="F3" i="1670"/>
  <c r="E3" i="1670"/>
  <c r="D3" i="1670"/>
  <c r="C3" i="1670"/>
  <c r="C45" i="1653" l="1"/>
  <c r="C44" i="1653"/>
  <c r="C45" i="1655"/>
  <c r="C44" i="1655"/>
  <c r="C44" i="1654"/>
  <c r="C44" i="1650" l="1"/>
  <c r="C44" i="1649"/>
  <c r="C45" i="1651"/>
  <c r="C44" i="1651"/>
  <c r="C44" i="1647" l="1"/>
  <c r="C45" i="1646"/>
  <c r="C44" i="1646"/>
  <c r="C44" i="1645"/>
  <c r="C44" i="1669" l="1"/>
  <c r="F21" i="1669" l="1"/>
  <c r="Y19" i="1669"/>
  <c r="W19" i="1669"/>
  <c r="V19" i="1669"/>
  <c r="U19" i="1669"/>
  <c r="T19" i="1669"/>
  <c r="P19" i="1669"/>
  <c r="O19" i="1669"/>
  <c r="N19" i="1669"/>
  <c r="M19" i="1669"/>
  <c r="L19" i="1669"/>
  <c r="K19" i="1669"/>
  <c r="J19" i="1669"/>
  <c r="I19" i="1669"/>
  <c r="H19" i="1669"/>
  <c r="G19" i="1669"/>
  <c r="F19" i="1669"/>
  <c r="E19" i="1669"/>
  <c r="D19" i="1669"/>
  <c r="C19" i="1669"/>
  <c r="Y18" i="1669"/>
  <c r="W18" i="1669"/>
  <c r="V18" i="1669"/>
  <c r="U18" i="1669"/>
  <c r="T18" i="1669"/>
  <c r="P18" i="1669"/>
  <c r="O18" i="1669"/>
  <c r="N18" i="1669"/>
  <c r="M18" i="1669"/>
  <c r="L18" i="1669"/>
  <c r="K18" i="1669"/>
  <c r="J18" i="1669"/>
  <c r="I18" i="1669"/>
  <c r="H18" i="1669"/>
  <c r="G18" i="1669"/>
  <c r="F18" i="1669"/>
  <c r="E18" i="1669"/>
  <c r="D18" i="1669"/>
  <c r="C18" i="1669"/>
  <c r="Y4" i="1669"/>
  <c r="W4" i="1669"/>
  <c r="V4" i="1669"/>
  <c r="U4" i="1669"/>
  <c r="T4" i="1669"/>
  <c r="P4" i="1669"/>
  <c r="O4" i="1669"/>
  <c r="N4" i="1669"/>
  <c r="M4" i="1669"/>
  <c r="L4" i="1669"/>
  <c r="K4" i="1669"/>
  <c r="J4" i="1669"/>
  <c r="I4" i="1669"/>
  <c r="H4" i="1669"/>
  <c r="G4" i="1669"/>
  <c r="F4" i="1669"/>
  <c r="E4" i="1669"/>
  <c r="D4" i="1669"/>
  <c r="C4" i="1669"/>
  <c r="Y3" i="1669"/>
  <c r="W3" i="1669"/>
  <c r="V3" i="1669"/>
  <c r="U3" i="1669"/>
  <c r="T3" i="1669"/>
  <c r="P3" i="1669"/>
  <c r="O3" i="1669"/>
  <c r="N3" i="1669"/>
  <c r="M3" i="1669"/>
  <c r="L3" i="1669"/>
  <c r="K3" i="1669"/>
  <c r="J3" i="1669"/>
  <c r="I3" i="1669"/>
  <c r="H3" i="1669"/>
  <c r="G3" i="1669"/>
  <c r="F3" i="1669"/>
  <c r="E3" i="1669"/>
  <c r="D3" i="1669"/>
  <c r="C3" i="1669"/>
  <c r="F21" i="1668"/>
  <c r="Y19" i="1668"/>
  <c r="W19" i="1668"/>
  <c r="V19" i="1668"/>
  <c r="U19" i="1668"/>
  <c r="T19" i="1668"/>
  <c r="P19" i="1668"/>
  <c r="O19" i="1668"/>
  <c r="N19" i="1668"/>
  <c r="M19" i="1668"/>
  <c r="L19" i="1668"/>
  <c r="K19" i="1668"/>
  <c r="J19" i="1668"/>
  <c r="I19" i="1668"/>
  <c r="H19" i="1668"/>
  <c r="G19" i="1668"/>
  <c r="F19" i="1668"/>
  <c r="E19" i="1668"/>
  <c r="D19" i="1668"/>
  <c r="C19" i="1668"/>
  <c r="Y18" i="1668"/>
  <c r="W18" i="1668"/>
  <c r="V18" i="1668"/>
  <c r="U18" i="1668"/>
  <c r="T18" i="1668"/>
  <c r="P18" i="1668"/>
  <c r="O18" i="1668"/>
  <c r="N18" i="1668"/>
  <c r="M18" i="1668"/>
  <c r="L18" i="1668"/>
  <c r="K18" i="1668"/>
  <c r="J18" i="1668"/>
  <c r="I18" i="1668"/>
  <c r="H18" i="1668"/>
  <c r="G18" i="1668"/>
  <c r="F18" i="1668"/>
  <c r="E18" i="1668"/>
  <c r="D18" i="1668"/>
  <c r="C18" i="1668"/>
  <c r="Y4" i="1668"/>
  <c r="W4" i="1668"/>
  <c r="V4" i="1668"/>
  <c r="U4" i="1668"/>
  <c r="T4" i="1668"/>
  <c r="P4" i="1668"/>
  <c r="O4" i="1668"/>
  <c r="N4" i="1668"/>
  <c r="M4" i="1668"/>
  <c r="L4" i="1668"/>
  <c r="K4" i="1668"/>
  <c r="J4" i="1668"/>
  <c r="I4" i="1668"/>
  <c r="H4" i="1668"/>
  <c r="G4" i="1668"/>
  <c r="F4" i="1668"/>
  <c r="E4" i="1668"/>
  <c r="D4" i="1668"/>
  <c r="C4" i="1668"/>
  <c r="Y3" i="1668"/>
  <c r="W3" i="1668"/>
  <c r="V3" i="1668"/>
  <c r="U3" i="1668"/>
  <c r="T3" i="1668"/>
  <c r="P3" i="1668"/>
  <c r="O3" i="1668"/>
  <c r="N3" i="1668"/>
  <c r="M3" i="1668"/>
  <c r="L3" i="1668"/>
  <c r="K3" i="1668"/>
  <c r="J3" i="1668"/>
  <c r="I3" i="1668"/>
  <c r="H3" i="1668"/>
  <c r="G3" i="1668"/>
  <c r="F3" i="1668"/>
  <c r="E3" i="1668"/>
  <c r="D3" i="1668"/>
  <c r="C3" i="1668"/>
  <c r="C44" i="1642"/>
  <c r="C44" i="1643"/>
  <c r="C44" i="1641"/>
  <c r="F21" i="1667" l="1"/>
  <c r="Y19" i="1667"/>
  <c r="W19" i="1667"/>
  <c r="V19" i="1667"/>
  <c r="U19" i="1667"/>
  <c r="T19" i="1667"/>
  <c r="P19" i="1667"/>
  <c r="O19" i="1667"/>
  <c r="N19" i="1667"/>
  <c r="M19" i="1667"/>
  <c r="L19" i="1667"/>
  <c r="K19" i="1667"/>
  <c r="J19" i="1667"/>
  <c r="I19" i="1667"/>
  <c r="H19" i="1667"/>
  <c r="G19" i="1667"/>
  <c r="F19" i="1667"/>
  <c r="E19" i="1667"/>
  <c r="D19" i="1667"/>
  <c r="C19" i="1667"/>
  <c r="Y18" i="1667"/>
  <c r="W18" i="1667"/>
  <c r="V18" i="1667"/>
  <c r="U18" i="1667"/>
  <c r="T18" i="1667"/>
  <c r="P18" i="1667"/>
  <c r="O18" i="1667"/>
  <c r="N18" i="1667"/>
  <c r="M18" i="1667"/>
  <c r="L18" i="1667"/>
  <c r="K18" i="1667"/>
  <c r="J18" i="1667"/>
  <c r="I18" i="1667"/>
  <c r="H18" i="1667"/>
  <c r="G18" i="1667"/>
  <c r="F18" i="1667"/>
  <c r="E18" i="1667"/>
  <c r="D18" i="1667"/>
  <c r="C18" i="1667"/>
  <c r="Y4" i="1667"/>
  <c r="W4" i="1667"/>
  <c r="V4" i="1667"/>
  <c r="U4" i="1667"/>
  <c r="T4" i="1667"/>
  <c r="P4" i="1667"/>
  <c r="O4" i="1667"/>
  <c r="N4" i="1667"/>
  <c r="M4" i="1667"/>
  <c r="L4" i="1667"/>
  <c r="K4" i="1667"/>
  <c r="J4" i="1667"/>
  <c r="I4" i="1667"/>
  <c r="H4" i="1667"/>
  <c r="G4" i="1667"/>
  <c r="F4" i="1667"/>
  <c r="E4" i="1667"/>
  <c r="D4" i="1667"/>
  <c r="C4" i="1667"/>
  <c r="Y3" i="1667"/>
  <c r="W3" i="1667"/>
  <c r="V3" i="1667"/>
  <c r="U3" i="1667"/>
  <c r="T3" i="1667"/>
  <c r="P3" i="1667"/>
  <c r="O3" i="1667"/>
  <c r="N3" i="1667"/>
  <c r="M3" i="1667"/>
  <c r="L3" i="1667"/>
  <c r="K3" i="1667"/>
  <c r="J3" i="1667"/>
  <c r="I3" i="1667"/>
  <c r="H3" i="1667"/>
  <c r="G3" i="1667"/>
  <c r="F3" i="1667"/>
  <c r="E3" i="1667"/>
  <c r="D3" i="1667"/>
  <c r="C3" i="1667"/>
  <c r="F21" i="1666"/>
  <c r="Y19" i="1666"/>
  <c r="W19" i="1666"/>
  <c r="V19" i="1666"/>
  <c r="U19" i="1666"/>
  <c r="T19" i="1666"/>
  <c r="P19" i="1666"/>
  <c r="O19" i="1666"/>
  <c r="N19" i="1666"/>
  <c r="M19" i="1666"/>
  <c r="L19" i="1666"/>
  <c r="K19" i="1666"/>
  <c r="J19" i="1666"/>
  <c r="I19" i="1666"/>
  <c r="H19" i="1666"/>
  <c r="G19" i="1666"/>
  <c r="F19" i="1666"/>
  <c r="E19" i="1666"/>
  <c r="D19" i="1666"/>
  <c r="C19" i="1666"/>
  <c r="Y18" i="1666"/>
  <c r="W18" i="1666"/>
  <c r="V18" i="1666"/>
  <c r="U18" i="1666"/>
  <c r="T18" i="1666"/>
  <c r="P18" i="1666"/>
  <c r="O18" i="1666"/>
  <c r="N18" i="1666"/>
  <c r="M18" i="1666"/>
  <c r="L18" i="1666"/>
  <c r="K18" i="1666"/>
  <c r="J18" i="1666"/>
  <c r="I18" i="1666"/>
  <c r="H18" i="1666"/>
  <c r="G18" i="1666"/>
  <c r="F18" i="1666"/>
  <c r="E18" i="1666"/>
  <c r="D18" i="1666"/>
  <c r="C18" i="1666"/>
  <c r="Y4" i="1666"/>
  <c r="W4" i="1666"/>
  <c r="V4" i="1666"/>
  <c r="U4" i="1666"/>
  <c r="T4" i="1666"/>
  <c r="P4" i="1666"/>
  <c r="O4" i="1666"/>
  <c r="N4" i="1666"/>
  <c r="M4" i="1666"/>
  <c r="L4" i="1666"/>
  <c r="K4" i="1666"/>
  <c r="J4" i="1666"/>
  <c r="I4" i="1666"/>
  <c r="H4" i="1666"/>
  <c r="G4" i="1666"/>
  <c r="F4" i="1666"/>
  <c r="E4" i="1666"/>
  <c r="D4" i="1666"/>
  <c r="C4" i="1666"/>
  <c r="Y3" i="1666"/>
  <c r="W3" i="1666"/>
  <c r="V3" i="1666"/>
  <c r="U3" i="1666"/>
  <c r="T3" i="1666"/>
  <c r="P3" i="1666"/>
  <c r="O3" i="1666"/>
  <c r="N3" i="1666"/>
  <c r="M3" i="1666"/>
  <c r="L3" i="1666"/>
  <c r="K3" i="1666"/>
  <c r="J3" i="1666"/>
  <c r="I3" i="1666"/>
  <c r="H3" i="1666"/>
  <c r="G3" i="1666"/>
  <c r="F3" i="1666"/>
  <c r="E3" i="1666"/>
  <c r="D3" i="1666"/>
  <c r="C3" i="1666"/>
  <c r="F21" i="1665"/>
  <c r="Y19" i="1665"/>
  <c r="W19" i="1665"/>
  <c r="V19" i="1665"/>
  <c r="U19" i="1665"/>
  <c r="T19" i="1665"/>
  <c r="P19" i="1665"/>
  <c r="O19" i="1665"/>
  <c r="N19" i="1665"/>
  <c r="M19" i="1665"/>
  <c r="L19" i="1665"/>
  <c r="K19" i="1665"/>
  <c r="J19" i="1665"/>
  <c r="I19" i="1665"/>
  <c r="H19" i="1665"/>
  <c r="G19" i="1665"/>
  <c r="F19" i="1665"/>
  <c r="E19" i="1665"/>
  <c r="D19" i="1665"/>
  <c r="C19" i="1665"/>
  <c r="Y18" i="1665"/>
  <c r="W18" i="1665"/>
  <c r="V18" i="1665"/>
  <c r="U18" i="1665"/>
  <c r="T18" i="1665"/>
  <c r="P18" i="1665"/>
  <c r="O18" i="1665"/>
  <c r="N18" i="1665"/>
  <c r="M18" i="1665"/>
  <c r="L18" i="1665"/>
  <c r="K18" i="1665"/>
  <c r="J18" i="1665"/>
  <c r="I18" i="1665"/>
  <c r="H18" i="1665"/>
  <c r="G18" i="1665"/>
  <c r="F18" i="1665"/>
  <c r="E18" i="1665"/>
  <c r="D18" i="1665"/>
  <c r="C18" i="1665"/>
  <c r="Y4" i="1665"/>
  <c r="W4" i="1665"/>
  <c r="V4" i="1665"/>
  <c r="U4" i="1665"/>
  <c r="T4" i="1665"/>
  <c r="P4" i="1665"/>
  <c r="O4" i="1665"/>
  <c r="N4" i="1665"/>
  <c r="M4" i="1665"/>
  <c r="L4" i="1665"/>
  <c r="K4" i="1665"/>
  <c r="J4" i="1665"/>
  <c r="I4" i="1665"/>
  <c r="H4" i="1665"/>
  <c r="G4" i="1665"/>
  <c r="F4" i="1665"/>
  <c r="E4" i="1665"/>
  <c r="D4" i="1665"/>
  <c r="C4" i="1665"/>
  <c r="Y3" i="1665"/>
  <c r="W3" i="1665"/>
  <c r="V3" i="1665"/>
  <c r="U3" i="1665"/>
  <c r="T3" i="1665"/>
  <c r="P3" i="1665"/>
  <c r="O3" i="1665"/>
  <c r="N3" i="1665"/>
  <c r="M3" i="1665"/>
  <c r="L3" i="1665"/>
  <c r="K3" i="1665"/>
  <c r="J3" i="1665"/>
  <c r="I3" i="1665"/>
  <c r="H3" i="1665"/>
  <c r="G3" i="1665"/>
  <c r="F3" i="1665"/>
  <c r="E3" i="1665"/>
  <c r="D3" i="1665"/>
  <c r="C3" i="1665"/>
  <c r="F21" i="1664"/>
  <c r="Y19" i="1664"/>
  <c r="W19" i="1664"/>
  <c r="V19" i="1664"/>
  <c r="U19" i="1664"/>
  <c r="T19" i="1664"/>
  <c r="P19" i="1664"/>
  <c r="O19" i="1664"/>
  <c r="N19" i="1664"/>
  <c r="M19" i="1664"/>
  <c r="L19" i="1664"/>
  <c r="K19" i="1664"/>
  <c r="J19" i="1664"/>
  <c r="I19" i="1664"/>
  <c r="H19" i="1664"/>
  <c r="G19" i="1664"/>
  <c r="F19" i="1664"/>
  <c r="E19" i="1664"/>
  <c r="D19" i="1664"/>
  <c r="C19" i="1664"/>
  <c r="Y18" i="1664"/>
  <c r="W18" i="1664"/>
  <c r="V18" i="1664"/>
  <c r="U18" i="1664"/>
  <c r="T18" i="1664"/>
  <c r="P18" i="1664"/>
  <c r="O18" i="1664"/>
  <c r="N18" i="1664"/>
  <c r="M18" i="1664"/>
  <c r="L18" i="1664"/>
  <c r="K18" i="1664"/>
  <c r="J18" i="1664"/>
  <c r="I18" i="1664"/>
  <c r="H18" i="1664"/>
  <c r="G18" i="1664"/>
  <c r="F18" i="1664"/>
  <c r="E18" i="1664"/>
  <c r="D18" i="1664"/>
  <c r="C18" i="1664"/>
  <c r="Y4" i="1664"/>
  <c r="W4" i="1664"/>
  <c r="V4" i="1664"/>
  <c r="U4" i="1664"/>
  <c r="T4" i="1664"/>
  <c r="P4" i="1664"/>
  <c r="O4" i="1664"/>
  <c r="N4" i="1664"/>
  <c r="M4" i="1664"/>
  <c r="L4" i="1664"/>
  <c r="K4" i="1664"/>
  <c r="J4" i="1664"/>
  <c r="I4" i="1664"/>
  <c r="H4" i="1664"/>
  <c r="G4" i="1664"/>
  <c r="F4" i="1664"/>
  <c r="E4" i="1664"/>
  <c r="D4" i="1664"/>
  <c r="C4" i="1664"/>
  <c r="Y3" i="1664"/>
  <c r="W3" i="1664"/>
  <c r="V3" i="1664"/>
  <c r="U3" i="1664"/>
  <c r="T3" i="1664"/>
  <c r="P3" i="1664"/>
  <c r="O3" i="1664"/>
  <c r="N3" i="1664"/>
  <c r="M3" i="1664"/>
  <c r="L3" i="1664"/>
  <c r="K3" i="1664"/>
  <c r="J3" i="1664"/>
  <c r="I3" i="1664"/>
  <c r="H3" i="1664"/>
  <c r="G3" i="1664"/>
  <c r="F3" i="1664"/>
  <c r="E3" i="1664"/>
  <c r="D3" i="1664"/>
  <c r="C3" i="1664"/>
  <c r="F21" i="1663"/>
  <c r="Y19" i="1663"/>
  <c r="W19" i="1663"/>
  <c r="V19" i="1663"/>
  <c r="U19" i="1663"/>
  <c r="T19" i="1663"/>
  <c r="P19" i="1663"/>
  <c r="O19" i="1663"/>
  <c r="N19" i="1663"/>
  <c r="M19" i="1663"/>
  <c r="L19" i="1663"/>
  <c r="K19" i="1663"/>
  <c r="J19" i="1663"/>
  <c r="I19" i="1663"/>
  <c r="H19" i="1663"/>
  <c r="G19" i="1663"/>
  <c r="F19" i="1663"/>
  <c r="E19" i="1663"/>
  <c r="D19" i="1663"/>
  <c r="C19" i="1663"/>
  <c r="Y18" i="1663"/>
  <c r="W18" i="1663"/>
  <c r="V18" i="1663"/>
  <c r="U18" i="1663"/>
  <c r="T18" i="1663"/>
  <c r="P18" i="1663"/>
  <c r="O18" i="1663"/>
  <c r="N18" i="1663"/>
  <c r="M18" i="1663"/>
  <c r="L18" i="1663"/>
  <c r="K18" i="1663"/>
  <c r="J18" i="1663"/>
  <c r="I18" i="1663"/>
  <c r="H18" i="1663"/>
  <c r="G18" i="1663"/>
  <c r="F18" i="1663"/>
  <c r="E18" i="1663"/>
  <c r="D18" i="1663"/>
  <c r="C18" i="1663"/>
  <c r="Y4" i="1663"/>
  <c r="W4" i="1663"/>
  <c r="V4" i="1663"/>
  <c r="U4" i="1663"/>
  <c r="T4" i="1663"/>
  <c r="P4" i="1663"/>
  <c r="O4" i="1663"/>
  <c r="N4" i="1663"/>
  <c r="M4" i="1663"/>
  <c r="L4" i="1663"/>
  <c r="K4" i="1663"/>
  <c r="J4" i="1663"/>
  <c r="I4" i="1663"/>
  <c r="H4" i="1663"/>
  <c r="G4" i="1663"/>
  <c r="F4" i="1663"/>
  <c r="E4" i="1663"/>
  <c r="D4" i="1663"/>
  <c r="C4" i="1663"/>
  <c r="Y3" i="1663"/>
  <c r="W3" i="1663"/>
  <c r="V3" i="1663"/>
  <c r="U3" i="1663"/>
  <c r="T3" i="1663"/>
  <c r="P3" i="1663"/>
  <c r="O3" i="1663"/>
  <c r="N3" i="1663"/>
  <c r="M3" i="1663"/>
  <c r="L3" i="1663"/>
  <c r="K3" i="1663"/>
  <c r="J3" i="1663"/>
  <c r="I3" i="1663"/>
  <c r="H3" i="1663"/>
  <c r="G3" i="1663"/>
  <c r="F3" i="1663"/>
  <c r="E3" i="1663"/>
  <c r="D3" i="1663"/>
  <c r="C3" i="1663"/>
  <c r="F21" i="1662"/>
  <c r="Y19" i="1662"/>
  <c r="W19" i="1662"/>
  <c r="V19" i="1662"/>
  <c r="U19" i="1662"/>
  <c r="T19" i="1662"/>
  <c r="P19" i="1662"/>
  <c r="O19" i="1662"/>
  <c r="N19" i="1662"/>
  <c r="M19" i="1662"/>
  <c r="L19" i="1662"/>
  <c r="K19" i="1662"/>
  <c r="J19" i="1662"/>
  <c r="I19" i="1662"/>
  <c r="H19" i="1662"/>
  <c r="G19" i="1662"/>
  <c r="F19" i="1662"/>
  <c r="E19" i="1662"/>
  <c r="D19" i="1662"/>
  <c r="C19" i="1662"/>
  <c r="Y18" i="1662"/>
  <c r="W18" i="1662"/>
  <c r="V18" i="1662"/>
  <c r="U18" i="1662"/>
  <c r="T18" i="1662"/>
  <c r="P18" i="1662"/>
  <c r="O18" i="1662"/>
  <c r="N18" i="1662"/>
  <c r="M18" i="1662"/>
  <c r="L18" i="1662"/>
  <c r="K18" i="1662"/>
  <c r="J18" i="1662"/>
  <c r="I18" i="1662"/>
  <c r="H18" i="1662"/>
  <c r="G18" i="1662"/>
  <c r="F18" i="1662"/>
  <c r="E18" i="1662"/>
  <c r="D18" i="1662"/>
  <c r="C18" i="1662"/>
  <c r="Y4" i="1662"/>
  <c r="W4" i="1662"/>
  <c r="V4" i="1662"/>
  <c r="U4" i="1662"/>
  <c r="T4" i="1662"/>
  <c r="P4" i="1662"/>
  <c r="O4" i="1662"/>
  <c r="N4" i="1662"/>
  <c r="M4" i="1662"/>
  <c r="L4" i="1662"/>
  <c r="K4" i="1662"/>
  <c r="J4" i="1662"/>
  <c r="I4" i="1662"/>
  <c r="H4" i="1662"/>
  <c r="G4" i="1662"/>
  <c r="F4" i="1662"/>
  <c r="E4" i="1662"/>
  <c r="D4" i="1662"/>
  <c r="C4" i="1662"/>
  <c r="Y3" i="1662"/>
  <c r="W3" i="1662"/>
  <c r="V3" i="1662"/>
  <c r="U3" i="1662"/>
  <c r="T3" i="1662"/>
  <c r="P3" i="1662"/>
  <c r="O3" i="1662"/>
  <c r="N3" i="1662"/>
  <c r="M3" i="1662"/>
  <c r="L3" i="1662"/>
  <c r="K3" i="1662"/>
  <c r="J3" i="1662"/>
  <c r="I3" i="1662"/>
  <c r="H3" i="1662"/>
  <c r="G3" i="1662"/>
  <c r="F3" i="1662"/>
  <c r="E3" i="1662"/>
  <c r="D3" i="1662"/>
  <c r="C3" i="1662"/>
  <c r="F21" i="1661"/>
  <c r="Y19" i="1661"/>
  <c r="W19" i="1661"/>
  <c r="V19" i="1661"/>
  <c r="U19" i="1661"/>
  <c r="T19" i="1661"/>
  <c r="P19" i="1661"/>
  <c r="O19" i="1661"/>
  <c r="N19" i="1661"/>
  <c r="M19" i="1661"/>
  <c r="L19" i="1661"/>
  <c r="K19" i="1661"/>
  <c r="J19" i="1661"/>
  <c r="I19" i="1661"/>
  <c r="H19" i="1661"/>
  <c r="G19" i="1661"/>
  <c r="F19" i="1661"/>
  <c r="E19" i="1661"/>
  <c r="D19" i="1661"/>
  <c r="C19" i="1661"/>
  <c r="Y18" i="1661"/>
  <c r="W18" i="1661"/>
  <c r="V18" i="1661"/>
  <c r="U18" i="1661"/>
  <c r="T18" i="1661"/>
  <c r="P18" i="1661"/>
  <c r="O18" i="1661"/>
  <c r="N18" i="1661"/>
  <c r="M18" i="1661"/>
  <c r="L18" i="1661"/>
  <c r="K18" i="1661"/>
  <c r="J18" i="1661"/>
  <c r="I18" i="1661"/>
  <c r="H18" i="1661"/>
  <c r="G18" i="1661"/>
  <c r="F18" i="1661"/>
  <c r="E18" i="1661"/>
  <c r="D18" i="1661"/>
  <c r="C18" i="1661"/>
  <c r="Y4" i="1661"/>
  <c r="W4" i="1661"/>
  <c r="V4" i="1661"/>
  <c r="U4" i="1661"/>
  <c r="T4" i="1661"/>
  <c r="P4" i="1661"/>
  <c r="O4" i="1661"/>
  <c r="N4" i="1661"/>
  <c r="M4" i="1661"/>
  <c r="L4" i="1661"/>
  <c r="K4" i="1661"/>
  <c r="J4" i="1661"/>
  <c r="I4" i="1661"/>
  <c r="H4" i="1661"/>
  <c r="G4" i="1661"/>
  <c r="F4" i="1661"/>
  <c r="E4" i="1661"/>
  <c r="D4" i="1661"/>
  <c r="C4" i="1661"/>
  <c r="Y3" i="1661"/>
  <c r="W3" i="1661"/>
  <c r="V3" i="1661"/>
  <c r="U3" i="1661"/>
  <c r="T3" i="1661"/>
  <c r="P3" i="1661"/>
  <c r="O3" i="1661"/>
  <c r="N3" i="1661"/>
  <c r="M3" i="1661"/>
  <c r="L3" i="1661"/>
  <c r="K3" i="1661"/>
  <c r="J3" i="1661"/>
  <c r="I3" i="1661"/>
  <c r="H3" i="1661"/>
  <c r="G3" i="1661"/>
  <c r="F3" i="1661"/>
  <c r="E3" i="1661"/>
  <c r="D3" i="1661"/>
  <c r="C3" i="1661"/>
  <c r="F21" i="1660"/>
  <c r="Y19" i="1660"/>
  <c r="W19" i="1660"/>
  <c r="V19" i="1660"/>
  <c r="U19" i="1660"/>
  <c r="T19" i="1660"/>
  <c r="P19" i="1660"/>
  <c r="O19" i="1660"/>
  <c r="N19" i="1660"/>
  <c r="M19" i="1660"/>
  <c r="L19" i="1660"/>
  <c r="K19" i="1660"/>
  <c r="J19" i="1660"/>
  <c r="I19" i="1660"/>
  <c r="H19" i="1660"/>
  <c r="G19" i="1660"/>
  <c r="F19" i="1660"/>
  <c r="E19" i="1660"/>
  <c r="D19" i="1660"/>
  <c r="C19" i="1660"/>
  <c r="Y18" i="1660"/>
  <c r="W18" i="1660"/>
  <c r="V18" i="1660"/>
  <c r="U18" i="1660"/>
  <c r="T18" i="1660"/>
  <c r="P18" i="1660"/>
  <c r="O18" i="1660"/>
  <c r="N18" i="1660"/>
  <c r="M18" i="1660"/>
  <c r="L18" i="1660"/>
  <c r="K18" i="1660"/>
  <c r="J18" i="1660"/>
  <c r="I18" i="1660"/>
  <c r="H18" i="1660"/>
  <c r="G18" i="1660"/>
  <c r="F18" i="1660"/>
  <c r="E18" i="1660"/>
  <c r="D18" i="1660"/>
  <c r="C18" i="1660"/>
  <c r="Y4" i="1660"/>
  <c r="W4" i="1660"/>
  <c r="V4" i="1660"/>
  <c r="U4" i="1660"/>
  <c r="T4" i="1660"/>
  <c r="P4" i="1660"/>
  <c r="O4" i="1660"/>
  <c r="N4" i="1660"/>
  <c r="M4" i="1660"/>
  <c r="L4" i="1660"/>
  <c r="K4" i="1660"/>
  <c r="J4" i="1660"/>
  <c r="I4" i="1660"/>
  <c r="H4" i="1660"/>
  <c r="G4" i="1660"/>
  <c r="F4" i="1660"/>
  <c r="E4" i="1660"/>
  <c r="D4" i="1660"/>
  <c r="C4" i="1660"/>
  <c r="Y3" i="1660"/>
  <c r="W3" i="1660"/>
  <c r="V3" i="1660"/>
  <c r="U3" i="1660"/>
  <c r="T3" i="1660"/>
  <c r="P3" i="1660"/>
  <c r="O3" i="1660"/>
  <c r="N3" i="1660"/>
  <c r="M3" i="1660"/>
  <c r="L3" i="1660"/>
  <c r="K3" i="1660"/>
  <c r="J3" i="1660"/>
  <c r="I3" i="1660"/>
  <c r="H3" i="1660"/>
  <c r="G3" i="1660"/>
  <c r="F3" i="1660"/>
  <c r="E3" i="1660"/>
  <c r="D3" i="1660"/>
  <c r="C3" i="1660"/>
  <c r="F21" i="1659"/>
  <c r="Y19" i="1659"/>
  <c r="W19" i="1659"/>
  <c r="V19" i="1659"/>
  <c r="U19" i="1659"/>
  <c r="T19" i="1659"/>
  <c r="P19" i="1659"/>
  <c r="O19" i="1659"/>
  <c r="N19" i="1659"/>
  <c r="M19" i="1659"/>
  <c r="L19" i="1659"/>
  <c r="K19" i="1659"/>
  <c r="J19" i="1659"/>
  <c r="I19" i="1659"/>
  <c r="H19" i="1659"/>
  <c r="G19" i="1659"/>
  <c r="F19" i="1659"/>
  <c r="E19" i="1659"/>
  <c r="D19" i="1659"/>
  <c r="C19" i="1659"/>
  <c r="Y18" i="1659"/>
  <c r="W18" i="1659"/>
  <c r="V18" i="1659"/>
  <c r="U18" i="1659"/>
  <c r="T18" i="1659"/>
  <c r="P18" i="1659"/>
  <c r="O18" i="1659"/>
  <c r="N18" i="1659"/>
  <c r="M18" i="1659"/>
  <c r="L18" i="1659"/>
  <c r="K18" i="1659"/>
  <c r="J18" i="1659"/>
  <c r="I18" i="1659"/>
  <c r="H18" i="1659"/>
  <c r="G18" i="1659"/>
  <c r="F18" i="1659"/>
  <c r="E18" i="1659"/>
  <c r="D18" i="1659"/>
  <c r="C18" i="1659"/>
  <c r="Y4" i="1659"/>
  <c r="W4" i="1659"/>
  <c r="V4" i="1659"/>
  <c r="U4" i="1659"/>
  <c r="T4" i="1659"/>
  <c r="P4" i="1659"/>
  <c r="O4" i="1659"/>
  <c r="N4" i="1659"/>
  <c r="M4" i="1659"/>
  <c r="L4" i="1659"/>
  <c r="K4" i="1659"/>
  <c r="J4" i="1659"/>
  <c r="I4" i="1659"/>
  <c r="H4" i="1659"/>
  <c r="G4" i="1659"/>
  <c r="F4" i="1659"/>
  <c r="E4" i="1659"/>
  <c r="D4" i="1659"/>
  <c r="C4" i="1659"/>
  <c r="Y3" i="1659"/>
  <c r="W3" i="1659"/>
  <c r="V3" i="1659"/>
  <c r="U3" i="1659"/>
  <c r="T3" i="1659"/>
  <c r="P3" i="1659"/>
  <c r="O3" i="1659"/>
  <c r="N3" i="1659"/>
  <c r="M3" i="1659"/>
  <c r="L3" i="1659"/>
  <c r="K3" i="1659"/>
  <c r="J3" i="1659"/>
  <c r="I3" i="1659"/>
  <c r="H3" i="1659"/>
  <c r="G3" i="1659"/>
  <c r="F3" i="1659"/>
  <c r="E3" i="1659"/>
  <c r="D3" i="1659"/>
  <c r="C3" i="1659"/>
  <c r="F21" i="1658"/>
  <c r="Y19" i="1658"/>
  <c r="W19" i="1658"/>
  <c r="V19" i="1658"/>
  <c r="U19" i="1658"/>
  <c r="T19" i="1658"/>
  <c r="P19" i="1658"/>
  <c r="O19" i="1658"/>
  <c r="N19" i="1658"/>
  <c r="M19" i="1658"/>
  <c r="L19" i="1658"/>
  <c r="K19" i="1658"/>
  <c r="J19" i="1658"/>
  <c r="I19" i="1658"/>
  <c r="H19" i="1658"/>
  <c r="G19" i="1658"/>
  <c r="F19" i="1658"/>
  <c r="E19" i="1658"/>
  <c r="D19" i="1658"/>
  <c r="C19" i="1658"/>
  <c r="Y18" i="1658"/>
  <c r="W18" i="1658"/>
  <c r="V18" i="1658"/>
  <c r="U18" i="1658"/>
  <c r="T18" i="1658"/>
  <c r="P18" i="1658"/>
  <c r="O18" i="1658"/>
  <c r="N18" i="1658"/>
  <c r="M18" i="1658"/>
  <c r="L18" i="1658"/>
  <c r="K18" i="1658"/>
  <c r="J18" i="1658"/>
  <c r="I18" i="1658"/>
  <c r="H18" i="1658"/>
  <c r="G18" i="1658"/>
  <c r="F18" i="1658"/>
  <c r="E18" i="1658"/>
  <c r="D18" i="1658"/>
  <c r="C18" i="1658"/>
  <c r="Y4" i="1658"/>
  <c r="W4" i="1658"/>
  <c r="V4" i="1658"/>
  <c r="U4" i="1658"/>
  <c r="T4" i="1658"/>
  <c r="P4" i="1658"/>
  <c r="O4" i="1658"/>
  <c r="N4" i="1658"/>
  <c r="M4" i="1658"/>
  <c r="L4" i="1658"/>
  <c r="K4" i="1658"/>
  <c r="J4" i="1658"/>
  <c r="I4" i="1658"/>
  <c r="H4" i="1658"/>
  <c r="G4" i="1658"/>
  <c r="F4" i="1658"/>
  <c r="E4" i="1658"/>
  <c r="D4" i="1658"/>
  <c r="C4" i="1658"/>
  <c r="Y3" i="1658"/>
  <c r="W3" i="1658"/>
  <c r="V3" i="1658"/>
  <c r="U3" i="1658"/>
  <c r="T3" i="1658"/>
  <c r="P3" i="1658"/>
  <c r="O3" i="1658"/>
  <c r="N3" i="1658"/>
  <c r="M3" i="1658"/>
  <c r="L3" i="1658"/>
  <c r="K3" i="1658"/>
  <c r="J3" i="1658"/>
  <c r="I3" i="1658"/>
  <c r="H3" i="1658"/>
  <c r="G3" i="1658"/>
  <c r="F3" i="1658"/>
  <c r="E3" i="1658"/>
  <c r="D3" i="1658"/>
  <c r="C3" i="1658"/>
  <c r="F21" i="1657"/>
  <c r="Y19" i="1657"/>
  <c r="W19" i="1657"/>
  <c r="V19" i="1657"/>
  <c r="U19" i="1657"/>
  <c r="T19" i="1657"/>
  <c r="P19" i="1657"/>
  <c r="O19" i="1657"/>
  <c r="N19" i="1657"/>
  <c r="M19" i="1657"/>
  <c r="L19" i="1657"/>
  <c r="K19" i="1657"/>
  <c r="J19" i="1657"/>
  <c r="I19" i="1657"/>
  <c r="H19" i="1657"/>
  <c r="G19" i="1657"/>
  <c r="F19" i="1657"/>
  <c r="E19" i="1657"/>
  <c r="D19" i="1657"/>
  <c r="C19" i="1657"/>
  <c r="Y18" i="1657"/>
  <c r="W18" i="1657"/>
  <c r="V18" i="1657"/>
  <c r="U18" i="1657"/>
  <c r="T18" i="1657"/>
  <c r="P18" i="1657"/>
  <c r="O18" i="1657"/>
  <c r="N18" i="1657"/>
  <c r="M18" i="1657"/>
  <c r="L18" i="1657"/>
  <c r="K18" i="1657"/>
  <c r="J18" i="1657"/>
  <c r="I18" i="1657"/>
  <c r="H18" i="1657"/>
  <c r="G18" i="1657"/>
  <c r="F18" i="1657"/>
  <c r="E18" i="1657"/>
  <c r="D18" i="1657"/>
  <c r="C18" i="1657"/>
  <c r="Y4" i="1657"/>
  <c r="W4" i="1657"/>
  <c r="V4" i="1657"/>
  <c r="U4" i="1657"/>
  <c r="T4" i="1657"/>
  <c r="P4" i="1657"/>
  <c r="O4" i="1657"/>
  <c r="N4" i="1657"/>
  <c r="M4" i="1657"/>
  <c r="L4" i="1657"/>
  <c r="K4" i="1657"/>
  <c r="J4" i="1657"/>
  <c r="I4" i="1657"/>
  <c r="H4" i="1657"/>
  <c r="G4" i="1657"/>
  <c r="F4" i="1657"/>
  <c r="E4" i="1657"/>
  <c r="D4" i="1657"/>
  <c r="C4" i="1657"/>
  <c r="Y3" i="1657"/>
  <c r="W3" i="1657"/>
  <c r="V3" i="1657"/>
  <c r="U3" i="1657"/>
  <c r="T3" i="1657"/>
  <c r="P3" i="1657"/>
  <c r="O3" i="1657"/>
  <c r="N3" i="1657"/>
  <c r="M3" i="1657"/>
  <c r="L3" i="1657"/>
  <c r="K3" i="1657"/>
  <c r="J3" i="1657"/>
  <c r="I3" i="1657"/>
  <c r="H3" i="1657"/>
  <c r="G3" i="1657"/>
  <c r="F3" i="1657"/>
  <c r="E3" i="1657"/>
  <c r="D3" i="1657"/>
  <c r="C3" i="1657"/>
  <c r="F21" i="1656"/>
  <c r="Y19" i="1656"/>
  <c r="W19" i="1656"/>
  <c r="V19" i="1656"/>
  <c r="U19" i="1656"/>
  <c r="T19" i="1656"/>
  <c r="P19" i="1656"/>
  <c r="O19" i="1656"/>
  <c r="N19" i="1656"/>
  <c r="M19" i="1656"/>
  <c r="L19" i="1656"/>
  <c r="K19" i="1656"/>
  <c r="J19" i="1656"/>
  <c r="I19" i="1656"/>
  <c r="H19" i="1656"/>
  <c r="G19" i="1656"/>
  <c r="F19" i="1656"/>
  <c r="E19" i="1656"/>
  <c r="D19" i="1656"/>
  <c r="C19" i="1656"/>
  <c r="Y18" i="1656"/>
  <c r="W18" i="1656"/>
  <c r="V18" i="1656"/>
  <c r="U18" i="1656"/>
  <c r="T18" i="1656"/>
  <c r="P18" i="1656"/>
  <c r="O18" i="1656"/>
  <c r="N18" i="1656"/>
  <c r="M18" i="1656"/>
  <c r="L18" i="1656"/>
  <c r="K18" i="1656"/>
  <c r="J18" i="1656"/>
  <c r="I18" i="1656"/>
  <c r="H18" i="1656"/>
  <c r="G18" i="1656"/>
  <c r="F18" i="1656"/>
  <c r="E18" i="1656"/>
  <c r="D18" i="1656"/>
  <c r="C18" i="1656"/>
  <c r="Y4" i="1656"/>
  <c r="W4" i="1656"/>
  <c r="V4" i="1656"/>
  <c r="U4" i="1656"/>
  <c r="T4" i="1656"/>
  <c r="P4" i="1656"/>
  <c r="O4" i="1656"/>
  <c r="N4" i="1656"/>
  <c r="M4" i="1656"/>
  <c r="L4" i="1656"/>
  <c r="K4" i="1656"/>
  <c r="J4" i="1656"/>
  <c r="I4" i="1656"/>
  <c r="H4" i="1656"/>
  <c r="G4" i="1656"/>
  <c r="F4" i="1656"/>
  <c r="E4" i="1656"/>
  <c r="D4" i="1656"/>
  <c r="C4" i="1656"/>
  <c r="Y3" i="1656"/>
  <c r="W3" i="1656"/>
  <c r="V3" i="1656"/>
  <c r="U3" i="1656"/>
  <c r="T3" i="1656"/>
  <c r="P3" i="1656"/>
  <c r="O3" i="1656"/>
  <c r="N3" i="1656"/>
  <c r="M3" i="1656"/>
  <c r="L3" i="1656"/>
  <c r="K3" i="1656"/>
  <c r="J3" i="1656"/>
  <c r="I3" i="1656"/>
  <c r="H3" i="1656"/>
  <c r="G3" i="1656"/>
  <c r="F3" i="1656"/>
  <c r="E3" i="1656"/>
  <c r="D3" i="1656"/>
  <c r="C3" i="1656"/>
  <c r="F21" i="1655"/>
  <c r="Y19" i="1655"/>
  <c r="W19" i="1655"/>
  <c r="V19" i="1655"/>
  <c r="U19" i="1655"/>
  <c r="T19" i="1655"/>
  <c r="P19" i="1655"/>
  <c r="O19" i="1655"/>
  <c r="N19" i="1655"/>
  <c r="M19" i="1655"/>
  <c r="L19" i="1655"/>
  <c r="K19" i="1655"/>
  <c r="J19" i="1655"/>
  <c r="I19" i="1655"/>
  <c r="H19" i="1655"/>
  <c r="G19" i="1655"/>
  <c r="F19" i="1655"/>
  <c r="E19" i="1655"/>
  <c r="D19" i="1655"/>
  <c r="C19" i="1655"/>
  <c r="Y18" i="1655"/>
  <c r="W18" i="1655"/>
  <c r="V18" i="1655"/>
  <c r="U18" i="1655"/>
  <c r="T18" i="1655"/>
  <c r="P18" i="1655"/>
  <c r="O18" i="1655"/>
  <c r="N18" i="1655"/>
  <c r="M18" i="1655"/>
  <c r="L18" i="1655"/>
  <c r="K18" i="1655"/>
  <c r="J18" i="1655"/>
  <c r="I18" i="1655"/>
  <c r="H18" i="1655"/>
  <c r="G18" i="1655"/>
  <c r="F18" i="1655"/>
  <c r="E18" i="1655"/>
  <c r="D18" i="1655"/>
  <c r="C18" i="1655"/>
  <c r="Y4" i="1655"/>
  <c r="W4" i="1655"/>
  <c r="V4" i="1655"/>
  <c r="U4" i="1655"/>
  <c r="T4" i="1655"/>
  <c r="P4" i="1655"/>
  <c r="O4" i="1655"/>
  <c r="N4" i="1655"/>
  <c r="M4" i="1655"/>
  <c r="L4" i="1655"/>
  <c r="K4" i="1655"/>
  <c r="J4" i="1655"/>
  <c r="I4" i="1655"/>
  <c r="H4" i="1655"/>
  <c r="G4" i="1655"/>
  <c r="F4" i="1655"/>
  <c r="E4" i="1655"/>
  <c r="D4" i="1655"/>
  <c r="C4" i="1655"/>
  <c r="Y3" i="1655"/>
  <c r="W3" i="1655"/>
  <c r="V3" i="1655"/>
  <c r="U3" i="1655"/>
  <c r="T3" i="1655"/>
  <c r="P3" i="1655"/>
  <c r="O3" i="1655"/>
  <c r="N3" i="1655"/>
  <c r="M3" i="1655"/>
  <c r="L3" i="1655"/>
  <c r="K3" i="1655"/>
  <c r="J3" i="1655"/>
  <c r="I3" i="1655"/>
  <c r="H3" i="1655"/>
  <c r="G3" i="1655"/>
  <c r="F3" i="1655"/>
  <c r="E3" i="1655"/>
  <c r="D3" i="1655"/>
  <c r="C3" i="1655"/>
  <c r="F21" i="1654"/>
  <c r="Y19" i="1654"/>
  <c r="W19" i="1654"/>
  <c r="V19" i="1654"/>
  <c r="U19" i="1654"/>
  <c r="T19" i="1654"/>
  <c r="P19" i="1654"/>
  <c r="O19" i="1654"/>
  <c r="N19" i="1654"/>
  <c r="M19" i="1654"/>
  <c r="L19" i="1654"/>
  <c r="K19" i="1654"/>
  <c r="J19" i="1654"/>
  <c r="I19" i="1654"/>
  <c r="H19" i="1654"/>
  <c r="G19" i="1654"/>
  <c r="F19" i="1654"/>
  <c r="E19" i="1654"/>
  <c r="D19" i="1654"/>
  <c r="C19" i="1654"/>
  <c r="Y18" i="1654"/>
  <c r="W18" i="1654"/>
  <c r="V18" i="1654"/>
  <c r="U18" i="1654"/>
  <c r="T18" i="1654"/>
  <c r="P18" i="1654"/>
  <c r="O18" i="1654"/>
  <c r="N18" i="1654"/>
  <c r="M18" i="1654"/>
  <c r="L18" i="1654"/>
  <c r="K18" i="1654"/>
  <c r="J18" i="1654"/>
  <c r="I18" i="1654"/>
  <c r="H18" i="1654"/>
  <c r="G18" i="1654"/>
  <c r="F18" i="1654"/>
  <c r="E18" i="1654"/>
  <c r="D18" i="1654"/>
  <c r="C18" i="1654"/>
  <c r="Y4" i="1654"/>
  <c r="W4" i="1654"/>
  <c r="V4" i="1654"/>
  <c r="U4" i="1654"/>
  <c r="T4" i="1654"/>
  <c r="P4" i="1654"/>
  <c r="O4" i="1654"/>
  <c r="N4" i="1654"/>
  <c r="M4" i="1654"/>
  <c r="L4" i="1654"/>
  <c r="K4" i="1654"/>
  <c r="J4" i="1654"/>
  <c r="I4" i="1654"/>
  <c r="H4" i="1654"/>
  <c r="G4" i="1654"/>
  <c r="F4" i="1654"/>
  <c r="E4" i="1654"/>
  <c r="D4" i="1654"/>
  <c r="C4" i="1654"/>
  <c r="Y3" i="1654"/>
  <c r="W3" i="1654"/>
  <c r="V3" i="1654"/>
  <c r="U3" i="1654"/>
  <c r="T3" i="1654"/>
  <c r="P3" i="1654"/>
  <c r="O3" i="1654"/>
  <c r="N3" i="1654"/>
  <c r="M3" i="1654"/>
  <c r="L3" i="1654"/>
  <c r="K3" i="1654"/>
  <c r="J3" i="1654"/>
  <c r="I3" i="1654"/>
  <c r="H3" i="1654"/>
  <c r="G3" i="1654"/>
  <c r="F3" i="1654"/>
  <c r="E3" i="1654"/>
  <c r="D3" i="1654"/>
  <c r="C3" i="1654"/>
  <c r="F21" i="1653"/>
  <c r="Y19" i="1653"/>
  <c r="W19" i="1653"/>
  <c r="V19" i="1653"/>
  <c r="U19" i="1653"/>
  <c r="T19" i="1653"/>
  <c r="P19" i="1653"/>
  <c r="O19" i="1653"/>
  <c r="N19" i="1653"/>
  <c r="M19" i="1653"/>
  <c r="L19" i="1653"/>
  <c r="K19" i="1653"/>
  <c r="J19" i="1653"/>
  <c r="I19" i="1653"/>
  <c r="H19" i="1653"/>
  <c r="G19" i="1653"/>
  <c r="F19" i="1653"/>
  <c r="E19" i="1653"/>
  <c r="D19" i="1653"/>
  <c r="C19" i="1653"/>
  <c r="Y18" i="1653"/>
  <c r="W18" i="1653"/>
  <c r="V18" i="1653"/>
  <c r="U18" i="1653"/>
  <c r="T18" i="1653"/>
  <c r="P18" i="1653"/>
  <c r="O18" i="1653"/>
  <c r="N18" i="1653"/>
  <c r="M18" i="1653"/>
  <c r="L18" i="1653"/>
  <c r="K18" i="1653"/>
  <c r="J18" i="1653"/>
  <c r="I18" i="1653"/>
  <c r="H18" i="1653"/>
  <c r="G18" i="1653"/>
  <c r="F18" i="1653"/>
  <c r="E18" i="1653"/>
  <c r="D18" i="1653"/>
  <c r="C18" i="1653"/>
  <c r="Y4" i="1653"/>
  <c r="W4" i="1653"/>
  <c r="V4" i="1653"/>
  <c r="U4" i="1653"/>
  <c r="T4" i="1653"/>
  <c r="P4" i="1653"/>
  <c r="O4" i="1653"/>
  <c r="N4" i="1653"/>
  <c r="M4" i="1653"/>
  <c r="L4" i="1653"/>
  <c r="K4" i="1653"/>
  <c r="J4" i="1653"/>
  <c r="I4" i="1653"/>
  <c r="H4" i="1653"/>
  <c r="G4" i="1653"/>
  <c r="F4" i="1653"/>
  <c r="E4" i="1653"/>
  <c r="D4" i="1653"/>
  <c r="C4" i="1653"/>
  <c r="Y3" i="1653"/>
  <c r="W3" i="1653"/>
  <c r="V3" i="1653"/>
  <c r="U3" i="1653"/>
  <c r="T3" i="1653"/>
  <c r="P3" i="1653"/>
  <c r="O3" i="1653"/>
  <c r="N3" i="1653"/>
  <c r="M3" i="1653"/>
  <c r="L3" i="1653"/>
  <c r="K3" i="1653"/>
  <c r="J3" i="1653"/>
  <c r="I3" i="1653"/>
  <c r="H3" i="1653"/>
  <c r="G3" i="1653"/>
  <c r="F3" i="1653"/>
  <c r="E3" i="1653"/>
  <c r="D3" i="1653"/>
  <c r="C3" i="1653"/>
  <c r="F21" i="1652"/>
  <c r="Y19" i="1652"/>
  <c r="W19" i="1652"/>
  <c r="V19" i="1652"/>
  <c r="U19" i="1652"/>
  <c r="T19" i="1652"/>
  <c r="P19" i="1652"/>
  <c r="O19" i="1652"/>
  <c r="N19" i="1652"/>
  <c r="M19" i="1652"/>
  <c r="L19" i="1652"/>
  <c r="K19" i="1652"/>
  <c r="J19" i="1652"/>
  <c r="I19" i="1652"/>
  <c r="H19" i="1652"/>
  <c r="G19" i="1652"/>
  <c r="F19" i="1652"/>
  <c r="E19" i="1652"/>
  <c r="D19" i="1652"/>
  <c r="C19" i="1652"/>
  <c r="Y18" i="1652"/>
  <c r="W18" i="1652"/>
  <c r="V18" i="1652"/>
  <c r="U18" i="1652"/>
  <c r="T18" i="1652"/>
  <c r="P18" i="1652"/>
  <c r="O18" i="1652"/>
  <c r="N18" i="1652"/>
  <c r="M18" i="1652"/>
  <c r="L18" i="1652"/>
  <c r="K18" i="1652"/>
  <c r="J18" i="1652"/>
  <c r="I18" i="1652"/>
  <c r="H18" i="1652"/>
  <c r="G18" i="1652"/>
  <c r="F18" i="1652"/>
  <c r="E18" i="1652"/>
  <c r="D18" i="1652"/>
  <c r="C18" i="1652"/>
  <c r="Y4" i="1652"/>
  <c r="W4" i="1652"/>
  <c r="V4" i="1652"/>
  <c r="U4" i="1652"/>
  <c r="T4" i="1652"/>
  <c r="P4" i="1652"/>
  <c r="O4" i="1652"/>
  <c r="N4" i="1652"/>
  <c r="M4" i="1652"/>
  <c r="L4" i="1652"/>
  <c r="K4" i="1652"/>
  <c r="J4" i="1652"/>
  <c r="I4" i="1652"/>
  <c r="H4" i="1652"/>
  <c r="G4" i="1652"/>
  <c r="F4" i="1652"/>
  <c r="E4" i="1652"/>
  <c r="D4" i="1652"/>
  <c r="C4" i="1652"/>
  <c r="Y3" i="1652"/>
  <c r="W3" i="1652"/>
  <c r="V3" i="1652"/>
  <c r="U3" i="1652"/>
  <c r="T3" i="1652"/>
  <c r="P3" i="1652"/>
  <c r="O3" i="1652"/>
  <c r="N3" i="1652"/>
  <c r="M3" i="1652"/>
  <c r="L3" i="1652"/>
  <c r="K3" i="1652"/>
  <c r="J3" i="1652"/>
  <c r="I3" i="1652"/>
  <c r="H3" i="1652"/>
  <c r="G3" i="1652"/>
  <c r="F3" i="1652"/>
  <c r="E3" i="1652"/>
  <c r="D3" i="1652"/>
  <c r="C3" i="1652"/>
  <c r="F21" i="1651"/>
  <c r="Y19" i="1651"/>
  <c r="W19" i="1651"/>
  <c r="V19" i="1651"/>
  <c r="U19" i="1651"/>
  <c r="T19" i="1651"/>
  <c r="P19" i="1651"/>
  <c r="O19" i="1651"/>
  <c r="N19" i="1651"/>
  <c r="M19" i="1651"/>
  <c r="L19" i="1651"/>
  <c r="K19" i="1651"/>
  <c r="J19" i="1651"/>
  <c r="I19" i="1651"/>
  <c r="H19" i="1651"/>
  <c r="G19" i="1651"/>
  <c r="F19" i="1651"/>
  <c r="E19" i="1651"/>
  <c r="D19" i="1651"/>
  <c r="C19" i="1651"/>
  <c r="Y18" i="1651"/>
  <c r="W18" i="1651"/>
  <c r="V18" i="1651"/>
  <c r="U18" i="1651"/>
  <c r="T18" i="1651"/>
  <c r="P18" i="1651"/>
  <c r="O18" i="1651"/>
  <c r="N18" i="1651"/>
  <c r="M18" i="1651"/>
  <c r="L18" i="1651"/>
  <c r="K18" i="1651"/>
  <c r="J18" i="1651"/>
  <c r="I18" i="1651"/>
  <c r="H18" i="1651"/>
  <c r="G18" i="1651"/>
  <c r="F18" i="1651"/>
  <c r="E18" i="1651"/>
  <c r="D18" i="1651"/>
  <c r="C18" i="1651"/>
  <c r="Y4" i="1651"/>
  <c r="W4" i="1651"/>
  <c r="V4" i="1651"/>
  <c r="U4" i="1651"/>
  <c r="T4" i="1651"/>
  <c r="P4" i="1651"/>
  <c r="O4" i="1651"/>
  <c r="N4" i="1651"/>
  <c r="M4" i="1651"/>
  <c r="L4" i="1651"/>
  <c r="K4" i="1651"/>
  <c r="J4" i="1651"/>
  <c r="I4" i="1651"/>
  <c r="H4" i="1651"/>
  <c r="G4" i="1651"/>
  <c r="F4" i="1651"/>
  <c r="E4" i="1651"/>
  <c r="D4" i="1651"/>
  <c r="C4" i="1651"/>
  <c r="Y3" i="1651"/>
  <c r="W3" i="1651"/>
  <c r="V3" i="1651"/>
  <c r="U3" i="1651"/>
  <c r="T3" i="1651"/>
  <c r="P3" i="1651"/>
  <c r="O3" i="1651"/>
  <c r="N3" i="1651"/>
  <c r="M3" i="1651"/>
  <c r="L3" i="1651"/>
  <c r="K3" i="1651"/>
  <c r="J3" i="1651"/>
  <c r="I3" i="1651"/>
  <c r="H3" i="1651"/>
  <c r="G3" i="1651"/>
  <c r="F3" i="1651"/>
  <c r="E3" i="1651"/>
  <c r="D3" i="1651"/>
  <c r="C3" i="1651"/>
  <c r="F21" i="1650"/>
  <c r="Y19" i="1650"/>
  <c r="W19" i="1650"/>
  <c r="V19" i="1650"/>
  <c r="U19" i="1650"/>
  <c r="T19" i="1650"/>
  <c r="P19" i="1650"/>
  <c r="O19" i="1650"/>
  <c r="N19" i="1650"/>
  <c r="M19" i="1650"/>
  <c r="L19" i="1650"/>
  <c r="K19" i="1650"/>
  <c r="J19" i="1650"/>
  <c r="I19" i="1650"/>
  <c r="H19" i="1650"/>
  <c r="G19" i="1650"/>
  <c r="F19" i="1650"/>
  <c r="E19" i="1650"/>
  <c r="D19" i="1650"/>
  <c r="C19" i="1650"/>
  <c r="Y18" i="1650"/>
  <c r="W18" i="1650"/>
  <c r="V18" i="1650"/>
  <c r="U18" i="1650"/>
  <c r="T18" i="1650"/>
  <c r="P18" i="1650"/>
  <c r="O18" i="1650"/>
  <c r="N18" i="1650"/>
  <c r="M18" i="1650"/>
  <c r="L18" i="1650"/>
  <c r="K18" i="1650"/>
  <c r="J18" i="1650"/>
  <c r="I18" i="1650"/>
  <c r="H18" i="1650"/>
  <c r="G18" i="1650"/>
  <c r="F18" i="1650"/>
  <c r="E18" i="1650"/>
  <c r="D18" i="1650"/>
  <c r="C18" i="1650"/>
  <c r="Y4" i="1650"/>
  <c r="W4" i="1650"/>
  <c r="V4" i="1650"/>
  <c r="U4" i="1650"/>
  <c r="T4" i="1650"/>
  <c r="P4" i="1650"/>
  <c r="O4" i="1650"/>
  <c r="N4" i="1650"/>
  <c r="M4" i="1650"/>
  <c r="L4" i="1650"/>
  <c r="K4" i="1650"/>
  <c r="J4" i="1650"/>
  <c r="I4" i="1650"/>
  <c r="H4" i="1650"/>
  <c r="G4" i="1650"/>
  <c r="F4" i="1650"/>
  <c r="E4" i="1650"/>
  <c r="D4" i="1650"/>
  <c r="C4" i="1650"/>
  <c r="Y3" i="1650"/>
  <c r="W3" i="1650"/>
  <c r="V3" i="1650"/>
  <c r="U3" i="1650"/>
  <c r="T3" i="1650"/>
  <c r="P3" i="1650"/>
  <c r="O3" i="1650"/>
  <c r="N3" i="1650"/>
  <c r="M3" i="1650"/>
  <c r="L3" i="1650"/>
  <c r="K3" i="1650"/>
  <c r="J3" i="1650"/>
  <c r="I3" i="1650"/>
  <c r="H3" i="1650"/>
  <c r="G3" i="1650"/>
  <c r="F3" i="1650"/>
  <c r="E3" i="1650"/>
  <c r="D3" i="1650"/>
  <c r="C3" i="1650"/>
  <c r="F21" i="1649"/>
  <c r="Y19" i="1649"/>
  <c r="W19" i="1649"/>
  <c r="V19" i="1649"/>
  <c r="U19" i="1649"/>
  <c r="T19" i="1649"/>
  <c r="P19" i="1649"/>
  <c r="O19" i="1649"/>
  <c r="N19" i="1649"/>
  <c r="M19" i="1649"/>
  <c r="L19" i="1649"/>
  <c r="K19" i="1649"/>
  <c r="J19" i="1649"/>
  <c r="I19" i="1649"/>
  <c r="H19" i="1649"/>
  <c r="G19" i="1649"/>
  <c r="F19" i="1649"/>
  <c r="E19" i="1649"/>
  <c r="D19" i="1649"/>
  <c r="C19" i="1649"/>
  <c r="Y18" i="1649"/>
  <c r="W18" i="1649"/>
  <c r="V18" i="1649"/>
  <c r="U18" i="1649"/>
  <c r="T18" i="1649"/>
  <c r="P18" i="1649"/>
  <c r="O18" i="1649"/>
  <c r="N18" i="1649"/>
  <c r="M18" i="1649"/>
  <c r="L18" i="1649"/>
  <c r="K18" i="1649"/>
  <c r="J18" i="1649"/>
  <c r="I18" i="1649"/>
  <c r="H18" i="1649"/>
  <c r="G18" i="1649"/>
  <c r="F18" i="1649"/>
  <c r="E18" i="1649"/>
  <c r="D18" i="1649"/>
  <c r="C18" i="1649"/>
  <c r="Y4" i="1649"/>
  <c r="W4" i="1649"/>
  <c r="V4" i="1649"/>
  <c r="U4" i="1649"/>
  <c r="T4" i="1649"/>
  <c r="P4" i="1649"/>
  <c r="O4" i="1649"/>
  <c r="N4" i="1649"/>
  <c r="M4" i="1649"/>
  <c r="L4" i="1649"/>
  <c r="K4" i="1649"/>
  <c r="J4" i="1649"/>
  <c r="I4" i="1649"/>
  <c r="H4" i="1649"/>
  <c r="G4" i="1649"/>
  <c r="F4" i="1649"/>
  <c r="E4" i="1649"/>
  <c r="D4" i="1649"/>
  <c r="C4" i="1649"/>
  <c r="Y3" i="1649"/>
  <c r="W3" i="1649"/>
  <c r="V3" i="1649"/>
  <c r="U3" i="1649"/>
  <c r="T3" i="1649"/>
  <c r="P3" i="1649"/>
  <c r="O3" i="1649"/>
  <c r="N3" i="1649"/>
  <c r="M3" i="1649"/>
  <c r="L3" i="1649"/>
  <c r="K3" i="1649"/>
  <c r="J3" i="1649"/>
  <c r="I3" i="1649"/>
  <c r="H3" i="1649"/>
  <c r="G3" i="1649"/>
  <c r="F3" i="1649"/>
  <c r="E3" i="1649"/>
  <c r="D3" i="1649"/>
  <c r="C3" i="1649"/>
  <c r="F21" i="1648"/>
  <c r="Y19" i="1648"/>
  <c r="W19" i="1648"/>
  <c r="V19" i="1648"/>
  <c r="U19" i="1648"/>
  <c r="T19" i="1648"/>
  <c r="P19" i="1648"/>
  <c r="O19" i="1648"/>
  <c r="N19" i="1648"/>
  <c r="M19" i="1648"/>
  <c r="L19" i="1648"/>
  <c r="K19" i="1648"/>
  <c r="J19" i="1648"/>
  <c r="I19" i="1648"/>
  <c r="H19" i="1648"/>
  <c r="G19" i="1648"/>
  <c r="F19" i="1648"/>
  <c r="E19" i="1648"/>
  <c r="D19" i="1648"/>
  <c r="C19" i="1648"/>
  <c r="Y18" i="1648"/>
  <c r="W18" i="1648"/>
  <c r="V18" i="1648"/>
  <c r="U18" i="1648"/>
  <c r="T18" i="1648"/>
  <c r="P18" i="1648"/>
  <c r="O18" i="1648"/>
  <c r="N18" i="1648"/>
  <c r="M18" i="1648"/>
  <c r="L18" i="1648"/>
  <c r="K18" i="1648"/>
  <c r="J18" i="1648"/>
  <c r="I18" i="1648"/>
  <c r="H18" i="1648"/>
  <c r="G18" i="1648"/>
  <c r="F18" i="1648"/>
  <c r="E18" i="1648"/>
  <c r="D18" i="1648"/>
  <c r="C18" i="1648"/>
  <c r="Y4" i="1648"/>
  <c r="W4" i="1648"/>
  <c r="V4" i="1648"/>
  <c r="U4" i="1648"/>
  <c r="T4" i="1648"/>
  <c r="P4" i="1648"/>
  <c r="O4" i="1648"/>
  <c r="N4" i="1648"/>
  <c r="M4" i="1648"/>
  <c r="L4" i="1648"/>
  <c r="K4" i="1648"/>
  <c r="J4" i="1648"/>
  <c r="I4" i="1648"/>
  <c r="H4" i="1648"/>
  <c r="G4" i="1648"/>
  <c r="F4" i="1648"/>
  <c r="E4" i="1648"/>
  <c r="D4" i="1648"/>
  <c r="C4" i="1648"/>
  <c r="Y3" i="1648"/>
  <c r="W3" i="1648"/>
  <c r="V3" i="1648"/>
  <c r="U3" i="1648"/>
  <c r="T3" i="1648"/>
  <c r="P3" i="1648"/>
  <c r="O3" i="1648"/>
  <c r="N3" i="1648"/>
  <c r="M3" i="1648"/>
  <c r="L3" i="1648"/>
  <c r="K3" i="1648"/>
  <c r="J3" i="1648"/>
  <c r="I3" i="1648"/>
  <c r="H3" i="1648"/>
  <c r="G3" i="1648"/>
  <c r="F3" i="1648"/>
  <c r="E3" i="1648"/>
  <c r="D3" i="1648"/>
  <c r="C3" i="1648"/>
  <c r="F21" i="1647"/>
  <c r="Y19" i="1647"/>
  <c r="W19" i="1647"/>
  <c r="V19" i="1647"/>
  <c r="U19" i="1647"/>
  <c r="T19" i="1647"/>
  <c r="P19" i="1647"/>
  <c r="O19" i="1647"/>
  <c r="N19" i="1647"/>
  <c r="M19" i="1647"/>
  <c r="L19" i="1647"/>
  <c r="K19" i="1647"/>
  <c r="J19" i="1647"/>
  <c r="I19" i="1647"/>
  <c r="H19" i="1647"/>
  <c r="G19" i="1647"/>
  <c r="F19" i="1647"/>
  <c r="E19" i="1647"/>
  <c r="D19" i="1647"/>
  <c r="C19" i="1647"/>
  <c r="Y18" i="1647"/>
  <c r="W18" i="1647"/>
  <c r="V18" i="1647"/>
  <c r="U18" i="1647"/>
  <c r="T18" i="1647"/>
  <c r="P18" i="1647"/>
  <c r="O18" i="1647"/>
  <c r="N18" i="1647"/>
  <c r="M18" i="1647"/>
  <c r="L18" i="1647"/>
  <c r="K18" i="1647"/>
  <c r="J18" i="1647"/>
  <c r="I18" i="1647"/>
  <c r="H18" i="1647"/>
  <c r="G18" i="1647"/>
  <c r="F18" i="1647"/>
  <c r="E18" i="1647"/>
  <c r="D18" i="1647"/>
  <c r="C18" i="1647"/>
  <c r="Y4" i="1647"/>
  <c r="W4" i="1647"/>
  <c r="V4" i="1647"/>
  <c r="U4" i="1647"/>
  <c r="T4" i="1647"/>
  <c r="P4" i="1647"/>
  <c r="O4" i="1647"/>
  <c r="N4" i="1647"/>
  <c r="M4" i="1647"/>
  <c r="L4" i="1647"/>
  <c r="K4" i="1647"/>
  <c r="J4" i="1647"/>
  <c r="I4" i="1647"/>
  <c r="H4" i="1647"/>
  <c r="G4" i="1647"/>
  <c r="F4" i="1647"/>
  <c r="E4" i="1647"/>
  <c r="D4" i="1647"/>
  <c r="C4" i="1647"/>
  <c r="Y3" i="1647"/>
  <c r="W3" i="1647"/>
  <c r="V3" i="1647"/>
  <c r="U3" i="1647"/>
  <c r="T3" i="1647"/>
  <c r="P3" i="1647"/>
  <c r="O3" i="1647"/>
  <c r="N3" i="1647"/>
  <c r="M3" i="1647"/>
  <c r="L3" i="1647"/>
  <c r="K3" i="1647"/>
  <c r="J3" i="1647"/>
  <c r="I3" i="1647"/>
  <c r="H3" i="1647"/>
  <c r="G3" i="1647"/>
  <c r="F3" i="1647"/>
  <c r="E3" i="1647"/>
  <c r="D3" i="1647"/>
  <c r="C3" i="1647"/>
  <c r="F21" i="1646"/>
  <c r="Y19" i="1646"/>
  <c r="W19" i="1646"/>
  <c r="V19" i="1646"/>
  <c r="U19" i="1646"/>
  <c r="T19" i="1646"/>
  <c r="P19" i="1646"/>
  <c r="O19" i="1646"/>
  <c r="N19" i="1646"/>
  <c r="M19" i="1646"/>
  <c r="L19" i="1646"/>
  <c r="K19" i="1646"/>
  <c r="J19" i="1646"/>
  <c r="I19" i="1646"/>
  <c r="H19" i="1646"/>
  <c r="G19" i="1646"/>
  <c r="F19" i="1646"/>
  <c r="E19" i="1646"/>
  <c r="D19" i="1646"/>
  <c r="C19" i="1646"/>
  <c r="Y18" i="1646"/>
  <c r="W18" i="1646"/>
  <c r="V18" i="1646"/>
  <c r="U18" i="1646"/>
  <c r="T18" i="1646"/>
  <c r="P18" i="1646"/>
  <c r="O18" i="1646"/>
  <c r="N18" i="1646"/>
  <c r="M18" i="1646"/>
  <c r="L18" i="1646"/>
  <c r="K18" i="1646"/>
  <c r="J18" i="1646"/>
  <c r="I18" i="1646"/>
  <c r="H18" i="1646"/>
  <c r="G18" i="1646"/>
  <c r="F18" i="1646"/>
  <c r="E18" i="1646"/>
  <c r="D18" i="1646"/>
  <c r="C18" i="1646"/>
  <c r="Y4" i="1646"/>
  <c r="W4" i="1646"/>
  <c r="V4" i="1646"/>
  <c r="U4" i="1646"/>
  <c r="T4" i="1646"/>
  <c r="P4" i="1646"/>
  <c r="O4" i="1646"/>
  <c r="N4" i="1646"/>
  <c r="M4" i="1646"/>
  <c r="L4" i="1646"/>
  <c r="K4" i="1646"/>
  <c r="J4" i="1646"/>
  <c r="I4" i="1646"/>
  <c r="H4" i="1646"/>
  <c r="G4" i="1646"/>
  <c r="F4" i="1646"/>
  <c r="E4" i="1646"/>
  <c r="D4" i="1646"/>
  <c r="C4" i="1646"/>
  <c r="Y3" i="1646"/>
  <c r="W3" i="1646"/>
  <c r="V3" i="1646"/>
  <c r="U3" i="1646"/>
  <c r="T3" i="1646"/>
  <c r="P3" i="1646"/>
  <c r="O3" i="1646"/>
  <c r="N3" i="1646"/>
  <c r="M3" i="1646"/>
  <c r="L3" i="1646"/>
  <c r="K3" i="1646"/>
  <c r="J3" i="1646"/>
  <c r="I3" i="1646"/>
  <c r="H3" i="1646"/>
  <c r="G3" i="1646"/>
  <c r="F3" i="1646"/>
  <c r="E3" i="1646"/>
  <c r="D3" i="1646"/>
  <c r="C3" i="1646"/>
  <c r="F21" i="1645"/>
  <c r="Y19" i="1645"/>
  <c r="W19" i="1645"/>
  <c r="V19" i="1645"/>
  <c r="U19" i="1645"/>
  <c r="T19" i="1645"/>
  <c r="P19" i="1645"/>
  <c r="O19" i="1645"/>
  <c r="N19" i="1645"/>
  <c r="M19" i="1645"/>
  <c r="L19" i="1645"/>
  <c r="K19" i="1645"/>
  <c r="J19" i="1645"/>
  <c r="I19" i="1645"/>
  <c r="H19" i="1645"/>
  <c r="G19" i="1645"/>
  <c r="F19" i="1645"/>
  <c r="E19" i="1645"/>
  <c r="D19" i="1645"/>
  <c r="C19" i="1645"/>
  <c r="Y18" i="1645"/>
  <c r="W18" i="1645"/>
  <c r="V18" i="1645"/>
  <c r="U18" i="1645"/>
  <c r="T18" i="1645"/>
  <c r="P18" i="1645"/>
  <c r="O18" i="1645"/>
  <c r="N18" i="1645"/>
  <c r="M18" i="1645"/>
  <c r="L18" i="1645"/>
  <c r="K18" i="1645"/>
  <c r="J18" i="1645"/>
  <c r="I18" i="1645"/>
  <c r="H18" i="1645"/>
  <c r="G18" i="1645"/>
  <c r="F18" i="1645"/>
  <c r="E18" i="1645"/>
  <c r="D18" i="1645"/>
  <c r="C18" i="1645"/>
  <c r="Y4" i="1645"/>
  <c r="W4" i="1645"/>
  <c r="V4" i="1645"/>
  <c r="U4" i="1645"/>
  <c r="T4" i="1645"/>
  <c r="P4" i="1645"/>
  <c r="O4" i="1645"/>
  <c r="N4" i="1645"/>
  <c r="M4" i="1645"/>
  <c r="L4" i="1645"/>
  <c r="K4" i="1645"/>
  <c r="J4" i="1645"/>
  <c r="I4" i="1645"/>
  <c r="H4" i="1645"/>
  <c r="G4" i="1645"/>
  <c r="F4" i="1645"/>
  <c r="E4" i="1645"/>
  <c r="D4" i="1645"/>
  <c r="C4" i="1645"/>
  <c r="Y3" i="1645"/>
  <c r="W3" i="1645"/>
  <c r="V3" i="1645"/>
  <c r="U3" i="1645"/>
  <c r="T3" i="1645"/>
  <c r="P3" i="1645"/>
  <c r="O3" i="1645"/>
  <c r="N3" i="1645"/>
  <c r="M3" i="1645"/>
  <c r="L3" i="1645"/>
  <c r="K3" i="1645"/>
  <c r="J3" i="1645"/>
  <c r="I3" i="1645"/>
  <c r="H3" i="1645"/>
  <c r="G3" i="1645"/>
  <c r="F3" i="1645"/>
  <c r="E3" i="1645"/>
  <c r="D3" i="1645"/>
  <c r="C3" i="1645"/>
  <c r="F21" i="1644"/>
  <c r="Y19" i="1644"/>
  <c r="W19" i="1644"/>
  <c r="V19" i="1644"/>
  <c r="U19" i="1644"/>
  <c r="T19" i="1644"/>
  <c r="P19" i="1644"/>
  <c r="O19" i="1644"/>
  <c r="N19" i="1644"/>
  <c r="M19" i="1644"/>
  <c r="L19" i="1644"/>
  <c r="K19" i="1644"/>
  <c r="J19" i="1644"/>
  <c r="I19" i="1644"/>
  <c r="H19" i="1644"/>
  <c r="G19" i="1644"/>
  <c r="F19" i="1644"/>
  <c r="E19" i="1644"/>
  <c r="D19" i="1644"/>
  <c r="C19" i="1644"/>
  <c r="Y18" i="1644"/>
  <c r="W18" i="1644"/>
  <c r="V18" i="1644"/>
  <c r="U18" i="1644"/>
  <c r="T18" i="1644"/>
  <c r="P18" i="1644"/>
  <c r="O18" i="1644"/>
  <c r="N18" i="1644"/>
  <c r="M18" i="1644"/>
  <c r="L18" i="1644"/>
  <c r="K18" i="1644"/>
  <c r="J18" i="1644"/>
  <c r="I18" i="1644"/>
  <c r="H18" i="1644"/>
  <c r="G18" i="1644"/>
  <c r="F18" i="1644"/>
  <c r="E18" i="1644"/>
  <c r="D18" i="1644"/>
  <c r="C18" i="1644"/>
  <c r="Y4" i="1644"/>
  <c r="W4" i="1644"/>
  <c r="V4" i="1644"/>
  <c r="U4" i="1644"/>
  <c r="T4" i="1644"/>
  <c r="P4" i="1644"/>
  <c r="O4" i="1644"/>
  <c r="N4" i="1644"/>
  <c r="M4" i="1644"/>
  <c r="L4" i="1644"/>
  <c r="K4" i="1644"/>
  <c r="J4" i="1644"/>
  <c r="I4" i="1644"/>
  <c r="H4" i="1644"/>
  <c r="G4" i="1644"/>
  <c r="F4" i="1644"/>
  <c r="E4" i="1644"/>
  <c r="D4" i="1644"/>
  <c r="C4" i="1644"/>
  <c r="Y3" i="1644"/>
  <c r="W3" i="1644"/>
  <c r="V3" i="1644"/>
  <c r="U3" i="1644"/>
  <c r="T3" i="1644"/>
  <c r="P3" i="1644"/>
  <c r="O3" i="1644"/>
  <c r="N3" i="1644"/>
  <c r="M3" i="1644"/>
  <c r="L3" i="1644"/>
  <c r="K3" i="1644"/>
  <c r="J3" i="1644"/>
  <c r="I3" i="1644"/>
  <c r="H3" i="1644"/>
  <c r="G3" i="1644"/>
  <c r="F3" i="1644"/>
  <c r="E3" i="1644"/>
  <c r="D3" i="1644"/>
  <c r="C3" i="1644"/>
  <c r="F21" i="1643" l="1"/>
  <c r="Y19" i="1643"/>
  <c r="W19" i="1643"/>
  <c r="V19" i="1643"/>
  <c r="U19" i="1643"/>
  <c r="T19" i="1643"/>
  <c r="P19" i="1643"/>
  <c r="O19" i="1643"/>
  <c r="N19" i="1643"/>
  <c r="M19" i="1643"/>
  <c r="L19" i="1643"/>
  <c r="K19" i="1643"/>
  <c r="J19" i="1643"/>
  <c r="I19" i="1643"/>
  <c r="H19" i="1643"/>
  <c r="G19" i="1643"/>
  <c r="F19" i="1643"/>
  <c r="E19" i="1643"/>
  <c r="D19" i="1643"/>
  <c r="C19" i="1643"/>
  <c r="Y18" i="1643"/>
  <c r="W18" i="1643"/>
  <c r="V18" i="1643"/>
  <c r="U18" i="1643"/>
  <c r="T18" i="1643"/>
  <c r="P18" i="1643"/>
  <c r="O18" i="1643"/>
  <c r="N18" i="1643"/>
  <c r="M18" i="1643"/>
  <c r="L18" i="1643"/>
  <c r="K18" i="1643"/>
  <c r="J18" i="1643"/>
  <c r="I18" i="1643"/>
  <c r="H18" i="1643"/>
  <c r="G18" i="1643"/>
  <c r="F18" i="1643"/>
  <c r="E18" i="1643"/>
  <c r="D18" i="1643"/>
  <c r="C18" i="1643"/>
  <c r="Y4" i="1643"/>
  <c r="W4" i="1643"/>
  <c r="V4" i="1643"/>
  <c r="U4" i="1643"/>
  <c r="T4" i="1643"/>
  <c r="P4" i="1643"/>
  <c r="O4" i="1643"/>
  <c r="N4" i="1643"/>
  <c r="M4" i="1643"/>
  <c r="L4" i="1643"/>
  <c r="K4" i="1643"/>
  <c r="J4" i="1643"/>
  <c r="I4" i="1643"/>
  <c r="H4" i="1643"/>
  <c r="G4" i="1643"/>
  <c r="F4" i="1643"/>
  <c r="E4" i="1643"/>
  <c r="D4" i="1643"/>
  <c r="C4" i="1643"/>
  <c r="Y3" i="1643"/>
  <c r="W3" i="1643"/>
  <c r="V3" i="1643"/>
  <c r="U3" i="1643"/>
  <c r="T3" i="1643"/>
  <c r="P3" i="1643"/>
  <c r="O3" i="1643"/>
  <c r="N3" i="1643"/>
  <c r="M3" i="1643"/>
  <c r="L3" i="1643"/>
  <c r="K3" i="1643"/>
  <c r="J3" i="1643"/>
  <c r="I3" i="1643"/>
  <c r="H3" i="1643"/>
  <c r="G3" i="1643"/>
  <c r="F3" i="1643"/>
  <c r="E3" i="1643"/>
  <c r="D3" i="1643"/>
  <c r="C3" i="1643"/>
  <c r="F21" i="1642"/>
  <c r="Y19" i="1642"/>
  <c r="W19" i="1642"/>
  <c r="V19" i="1642"/>
  <c r="U19" i="1642"/>
  <c r="T19" i="1642"/>
  <c r="P19" i="1642"/>
  <c r="O19" i="1642"/>
  <c r="N19" i="1642"/>
  <c r="M19" i="1642"/>
  <c r="L19" i="1642"/>
  <c r="K19" i="1642"/>
  <c r="J19" i="1642"/>
  <c r="I19" i="1642"/>
  <c r="H19" i="1642"/>
  <c r="G19" i="1642"/>
  <c r="F19" i="1642"/>
  <c r="E19" i="1642"/>
  <c r="D19" i="1642"/>
  <c r="C19" i="1642"/>
  <c r="Y18" i="1642"/>
  <c r="W18" i="1642"/>
  <c r="V18" i="1642"/>
  <c r="U18" i="1642"/>
  <c r="T18" i="1642"/>
  <c r="P18" i="1642"/>
  <c r="O18" i="1642"/>
  <c r="N18" i="1642"/>
  <c r="M18" i="1642"/>
  <c r="L18" i="1642"/>
  <c r="K18" i="1642"/>
  <c r="J18" i="1642"/>
  <c r="I18" i="1642"/>
  <c r="H18" i="1642"/>
  <c r="G18" i="1642"/>
  <c r="F18" i="1642"/>
  <c r="E18" i="1642"/>
  <c r="D18" i="1642"/>
  <c r="C18" i="1642"/>
  <c r="Y4" i="1642"/>
  <c r="W4" i="1642"/>
  <c r="V4" i="1642"/>
  <c r="U4" i="1642"/>
  <c r="T4" i="1642"/>
  <c r="P4" i="1642"/>
  <c r="O4" i="1642"/>
  <c r="N4" i="1642"/>
  <c r="M4" i="1642"/>
  <c r="L4" i="1642"/>
  <c r="K4" i="1642"/>
  <c r="J4" i="1642"/>
  <c r="I4" i="1642"/>
  <c r="H4" i="1642"/>
  <c r="G4" i="1642"/>
  <c r="F4" i="1642"/>
  <c r="E4" i="1642"/>
  <c r="D4" i="1642"/>
  <c r="C4" i="1642"/>
  <c r="Y3" i="1642"/>
  <c r="W3" i="1642"/>
  <c r="V3" i="1642"/>
  <c r="U3" i="1642"/>
  <c r="T3" i="1642"/>
  <c r="P3" i="1642"/>
  <c r="O3" i="1642"/>
  <c r="N3" i="1642"/>
  <c r="M3" i="1642"/>
  <c r="L3" i="1642"/>
  <c r="K3" i="1642"/>
  <c r="J3" i="1642"/>
  <c r="I3" i="1642"/>
  <c r="H3" i="1642"/>
  <c r="G3" i="1642"/>
  <c r="F3" i="1642"/>
  <c r="E3" i="1642"/>
  <c r="D3" i="1642"/>
  <c r="C3" i="1642"/>
  <c r="F21" i="1641"/>
  <c r="Y19" i="1641"/>
  <c r="W19" i="1641"/>
  <c r="V19" i="1641"/>
  <c r="U19" i="1641"/>
  <c r="T19" i="1641"/>
  <c r="P19" i="1641"/>
  <c r="O19" i="1641"/>
  <c r="N19" i="1641"/>
  <c r="M19" i="1641"/>
  <c r="L19" i="1641"/>
  <c r="K19" i="1641"/>
  <c r="J19" i="1641"/>
  <c r="I19" i="1641"/>
  <c r="H19" i="1641"/>
  <c r="G19" i="1641"/>
  <c r="F19" i="1641"/>
  <c r="E19" i="1641"/>
  <c r="D19" i="1641"/>
  <c r="C19" i="1641"/>
  <c r="Y18" i="1641"/>
  <c r="W18" i="1641"/>
  <c r="V18" i="1641"/>
  <c r="U18" i="1641"/>
  <c r="T18" i="1641"/>
  <c r="P18" i="1641"/>
  <c r="O18" i="1641"/>
  <c r="N18" i="1641"/>
  <c r="M18" i="1641"/>
  <c r="L18" i="1641"/>
  <c r="K18" i="1641"/>
  <c r="J18" i="1641"/>
  <c r="I18" i="1641"/>
  <c r="H18" i="1641"/>
  <c r="G18" i="1641"/>
  <c r="F18" i="1641"/>
  <c r="E18" i="1641"/>
  <c r="D18" i="1641"/>
  <c r="C18" i="1641"/>
  <c r="Y4" i="1641"/>
  <c r="W4" i="1641"/>
  <c r="V4" i="1641"/>
  <c r="U4" i="1641"/>
  <c r="T4" i="1641"/>
  <c r="P4" i="1641"/>
  <c r="O4" i="1641"/>
  <c r="N4" i="1641"/>
  <c r="M4" i="1641"/>
  <c r="L4" i="1641"/>
  <c r="K4" i="1641"/>
  <c r="J4" i="1641"/>
  <c r="I4" i="1641"/>
  <c r="H4" i="1641"/>
  <c r="G4" i="1641"/>
  <c r="F4" i="1641"/>
  <c r="E4" i="1641"/>
  <c r="D4" i="1641"/>
  <c r="C4" i="1641"/>
  <c r="Y3" i="1641"/>
  <c r="W3" i="1641"/>
  <c r="V3" i="1641"/>
  <c r="U3" i="1641"/>
  <c r="T3" i="1641"/>
  <c r="P3" i="1641"/>
  <c r="O3" i="1641"/>
  <c r="N3" i="1641"/>
  <c r="M3" i="1641"/>
  <c r="L3" i="1641"/>
  <c r="K3" i="1641"/>
  <c r="J3" i="1641"/>
  <c r="I3" i="1641"/>
  <c r="H3" i="1641"/>
  <c r="G3" i="1641"/>
  <c r="F3" i="1641"/>
  <c r="E3" i="1641"/>
  <c r="D3" i="1641"/>
  <c r="C3" i="1641"/>
  <c r="F21" i="1640"/>
  <c r="Y19" i="1640"/>
  <c r="W19" i="1640"/>
  <c r="V19" i="1640"/>
  <c r="U19" i="1640"/>
  <c r="T19" i="1640"/>
  <c r="P19" i="1640"/>
  <c r="O19" i="1640"/>
  <c r="N19" i="1640"/>
  <c r="M19" i="1640"/>
  <c r="L19" i="1640"/>
  <c r="K19" i="1640"/>
  <c r="J19" i="1640"/>
  <c r="I19" i="1640"/>
  <c r="H19" i="1640"/>
  <c r="G19" i="1640"/>
  <c r="F19" i="1640"/>
  <c r="E19" i="1640"/>
  <c r="D19" i="1640"/>
  <c r="C19" i="1640"/>
  <c r="Y18" i="1640"/>
  <c r="W18" i="1640"/>
  <c r="V18" i="1640"/>
  <c r="U18" i="1640"/>
  <c r="T18" i="1640"/>
  <c r="P18" i="1640"/>
  <c r="O18" i="1640"/>
  <c r="N18" i="1640"/>
  <c r="M18" i="1640"/>
  <c r="L18" i="1640"/>
  <c r="K18" i="1640"/>
  <c r="J18" i="1640"/>
  <c r="I18" i="1640"/>
  <c r="H18" i="1640"/>
  <c r="G18" i="1640"/>
  <c r="F18" i="1640"/>
  <c r="E18" i="1640"/>
  <c r="D18" i="1640"/>
  <c r="C18" i="1640"/>
  <c r="Y4" i="1640"/>
  <c r="W4" i="1640"/>
  <c r="V4" i="1640"/>
  <c r="U4" i="1640"/>
  <c r="T4" i="1640"/>
  <c r="P4" i="1640"/>
  <c r="O4" i="1640"/>
  <c r="N4" i="1640"/>
  <c r="M4" i="1640"/>
  <c r="L4" i="1640"/>
  <c r="K4" i="1640"/>
  <c r="J4" i="1640"/>
  <c r="I4" i="1640"/>
  <c r="H4" i="1640"/>
  <c r="G4" i="1640"/>
  <c r="F4" i="1640"/>
  <c r="E4" i="1640"/>
  <c r="D4" i="1640"/>
  <c r="C4" i="1640"/>
  <c r="Y3" i="1640"/>
  <c r="W3" i="1640"/>
  <c r="V3" i="1640"/>
  <c r="U3" i="1640"/>
  <c r="T3" i="1640"/>
  <c r="P3" i="1640"/>
  <c r="O3" i="1640"/>
  <c r="N3" i="1640"/>
  <c r="M3" i="1640"/>
  <c r="L3" i="1640"/>
  <c r="K3" i="1640"/>
  <c r="J3" i="1640"/>
  <c r="I3" i="1640"/>
  <c r="H3" i="1640"/>
  <c r="G3" i="1640"/>
  <c r="F3" i="1640"/>
  <c r="E3" i="1640"/>
  <c r="D3" i="1640"/>
  <c r="C3" i="1640"/>
</calcChain>
</file>

<file path=xl/sharedStrings.xml><?xml version="1.0" encoding="utf-8"?>
<sst xmlns="http://schemas.openxmlformats.org/spreadsheetml/2006/main" count="4492" uniqueCount="137">
  <si>
    <t>CHECKER STOCK REPORT</t>
  </si>
  <si>
    <t>UPDATE PRICE FGS</t>
  </si>
  <si>
    <t>UPDATE PRICE CMTS</t>
  </si>
  <si>
    <t>UPDATE PRICE LS</t>
  </si>
  <si>
    <t>UPDATE PRICE LB</t>
  </si>
  <si>
    <t>ROUTE 1</t>
  </si>
  <si>
    <t>PAMB</t>
  </si>
  <si>
    <t>PAMC</t>
  </si>
  <si>
    <t>KRB</t>
  </si>
  <si>
    <t>KRC</t>
  </si>
  <si>
    <t>CBC</t>
  </si>
  <si>
    <t>SDB</t>
  </si>
  <si>
    <t>SDC</t>
  </si>
  <si>
    <t>SMLB</t>
  </si>
  <si>
    <t>SMLC</t>
  </si>
  <si>
    <t>FBA</t>
  </si>
  <si>
    <t>FBAC</t>
  </si>
  <si>
    <t>FBL</t>
  </si>
  <si>
    <t>FBLC</t>
  </si>
  <si>
    <t>FBLY</t>
  </si>
  <si>
    <t>FBLYC</t>
  </si>
  <si>
    <t>PP</t>
  </si>
  <si>
    <t>PPG</t>
  </si>
  <si>
    <t>1ST LOAD</t>
  </si>
  <si>
    <t>2ND LOAD</t>
  </si>
  <si>
    <t>FGS RETURNED</t>
  </si>
  <si>
    <t>TOTAL SALES</t>
  </si>
  <si>
    <t>PL</t>
  </si>
  <si>
    <t>PPC</t>
  </si>
  <si>
    <t>RHS</t>
  </si>
  <si>
    <t>RHP</t>
  </si>
  <si>
    <t>RHL</t>
  </si>
  <si>
    <t>RHC</t>
  </si>
  <si>
    <t>RHSL</t>
  </si>
  <si>
    <t>SMFC</t>
  </si>
  <si>
    <t>GEK</t>
  </si>
  <si>
    <t>HSC</t>
  </si>
  <si>
    <t>HTA</t>
  </si>
  <si>
    <t>CB</t>
  </si>
  <si>
    <t>CC</t>
  </si>
  <si>
    <t>C10C</t>
  </si>
  <si>
    <t>CIB</t>
  </si>
  <si>
    <t>CIC</t>
  </si>
  <si>
    <t>EMPTIES</t>
  </si>
  <si>
    <t>RHL/PL</t>
  </si>
  <si>
    <t>RH5</t>
  </si>
  <si>
    <t>FBA/SML/RHS</t>
  </si>
  <si>
    <t>MHT</t>
  </si>
  <si>
    <t>REMARKS</t>
  </si>
  <si>
    <t>COMPLETE</t>
  </si>
  <si>
    <t>SHELL</t>
  </si>
  <si>
    <t>BOTTLE</t>
  </si>
  <si>
    <t>RETURNED</t>
  </si>
  <si>
    <t>TOTAL</t>
  </si>
  <si>
    <t>SIGNATURE</t>
  </si>
  <si>
    <t>ROUTE 2</t>
  </si>
  <si>
    <t>ROUTE 3</t>
  </si>
  <si>
    <t>RH500C</t>
  </si>
  <si>
    <t>CBB</t>
  </si>
  <si>
    <t>CNB</t>
  </si>
  <si>
    <t>CLC</t>
  </si>
  <si>
    <t>SMZB</t>
  </si>
  <si>
    <t>SMFB</t>
  </si>
  <si>
    <t>GE320</t>
  </si>
  <si>
    <t>PP500C</t>
  </si>
  <si>
    <t>SML500C</t>
  </si>
  <si>
    <t>MGYZ</t>
  </si>
  <si>
    <t>DATE _______________________________</t>
  </si>
  <si>
    <t>TOTAL SALES:</t>
  </si>
  <si>
    <t>TOTAL BOTTLES:</t>
  </si>
  <si>
    <t>DATE ___________05/01/2026___________</t>
  </si>
  <si>
    <t>DATE ___________05/04/2026___________</t>
  </si>
  <si>
    <t>DATE ___________05/05/2026___________</t>
  </si>
  <si>
    <t>DATE ___________05/06/2026___________</t>
  </si>
  <si>
    <t>DATE ___________05/07/2026___________</t>
  </si>
  <si>
    <t>DATE ___________05/08/2026___________</t>
  </si>
  <si>
    <t>DATE ___________05/11/2026___________</t>
  </si>
  <si>
    <t>33/17B</t>
  </si>
  <si>
    <t>8/14B</t>
  </si>
  <si>
    <t>25/3B</t>
  </si>
  <si>
    <t>3/12B</t>
  </si>
  <si>
    <t>12/3B</t>
  </si>
  <si>
    <t>4/23B</t>
  </si>
  <si>
    <t>7/5B</t>
  </si>
  <si>
    <t>1/4B</t>
  </si>
  <si>
    <t>4B</t>
  </si>
  <si>
    <t>DATE ___________05/02/2026___________</t>
  </si>
  <si>
    <t>3/23b</t>
  </si>
  <si>
    <t>9/15b</t>
  </si>
  <si>
    <t>13/14b</t>
  </si>
  <si>
    <t>3/12b</t>
  </si>
  <si>
    <t>12/22b</t>
  </si>
  <si>
    <t>13/22b</t>
  </si>
  <si>
    <t>2/4b</t>
  </si>
  <si>
    <t>16/12b</t>
  </si>
  <si>
    <t>23/12B</t>
  </si>
  <si>
    <t>21/12B</t>
  </si>
  <si>
    <t>5/6B</t>
  </si>
  <si>
    <t>14/9B</t>
  </si>
  <si>
    <t>19/15B</t>
  </si>
  <si>
    <t>3/2B</t>
  </si>
  <si>
    <t>5/4B</t>
  </si>
  <si>
    <t>11/15B</t>
  </si>
  <si>
    <t>10/9B</t>
  </si>
  <si>
    <t>3/18B</t>
  </si>
  <si>
    <t>20B</t>
  </si>
  <si>
    <t>3/20B</t>
  </si>
  <si>
    <t>10/11B</t>
  </si>
  <si>
    <t>DATE ___________05/12/2026___________</t>
  </si>
  <si>
    <t>DATE ___________05/13/2026___________</t>
  </si>
  <si>
    <t>DATE ___________05/14/2026___________</t>
  </si>
  <si>
    <t>DATE ___________05/15/2026___________</t>
  </si>
  <si>
    <t>DATE ___________05/16/2026___________</t>
  </si>
  <si>
    <t>20/9B</t>
  </si>
  <si>
    <t>2/19B</t>
  </si>
  <si>
    <t>17/19B</t>
  </si>
  <si>
    <t>4/20B</t>
  </si>
  <si>
    <t>15/10B</t>
  </si>
  <si>
    <t>7/4B</t>
  </si>
  <si>
    <t>22/14B</t>
  </si>
  <si>
    <t>9/9B</t>
  </si>
  <si>
    <t>2/15B</t>
  </si>
  <si>
    <t>1/22b</t>
  </si>
  <si>
    <t>22b</t>
  </si>
  <si>
    <t>16/11b</t>
  </si>
  <si>
    <t>15/1b</t>
  </si>
  <si>
    <t>1/10b</t>
  </si>
  <si>
    <t>2/19b</t>
  </si>
  <si>
    <t>19b</t>
  </si>
  <si>
    <t>1/23b</t>
  </si>
  <si>
    <t>23b</t>
  </si>
  <si>
    <t>15/15b</t>
  </si>
  <si>
    <t>15/7b</t>
  </si>
  <si>
    <t>5/4b</t>
  </si>
  <si>
    <t>22/4b</t>
  </si>
  <si>
    <t>18/2b</t>
  </si>
  <si>
    <t>4/2b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</si>
</sst>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3" formatCode="_-* #,##0.00_-;\-* #,##0.00_-;_-* &quot;-&quot;??_-;_-@_-"/>
    <numFmt numFmtId="164" formatCode="_(* #,##0.00_);_(* \(#,##0.00\);_(* &quot;-&quot;??_);_(@_)"/>
    <numFmt numFmtId="165" formatCode="_(* #,##0.0_);_(* \(#,##0.0\);_(* &quot;-&quot;??_);_(@_)"/>
  </numFmts>
  <fonts count="10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2"/>
      <name val="Calibri"/>
      <family val="2"/>
      <scheme val="minor"/>
    </font>
    <font>
      <sz val="10"/>
      <name val="Calibri"/>
      <family val="2"/>
      <scheme val="minor"/>
    </font>
    <font>
      <b/>
      <sz val="10"/>
      <name val="Calibri"/>
      <family val="2"/>
      <scheme val="minor"/>
    </font>
    <font>
      <b/>
      <sz val="11"/>
      <name val="Calibri"/>
      <family val="2"/>
      <scheme val="minor"/>
    </font>
    <font>
      <sz val="8"/>
      <name val="Calibri"/>
      <family val="2"/>
      <scheme val="minor"/>
    </font>
    <font>
      <b/>
      <sz val="8"/>
      <name val="Calibri"/>
      <family val="2"/>
      <scheme val="minor"/>
    </font>
    <font>
      <sz val="11"/>
      <color indexed="8"/>
      <name val="Calibri"/>
      <family val="2"/>
    </font>
    <font>
      <sz val="10"/>
      <name val="Arial"/>
      <family val="2"/>
    </font>
  </fonts>
  <fills count="3">
    <fill>
      <patternFill patternType="none"/>
    </fill>
    <fill>
      <patternFill patternType="gray125"/>
    </fill>
    <fill>
      <patternFill patternType="solid">
        <fgColor theme="9" tint="0.39997558519241921"/>
        <bgColor indexed="64"/>
      </patternFill>
    </fill>
  </fills>
  <borders count="42">
    <border>
      <left/>
      <right/>
      <top/>
      <bottom/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 style="medium">
        <color indexed="64"/>
      </left>
      <right style="thin">
        <color auto="1"/>
      </right>
      <top style="medium">
        <color auto="1"/>
      </top>
      <bottom style="medium">
        <color indexed="64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medium">
        <color indexed="64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medium">
        <color indexed="64"/>
      </bottom>
      <diagonal/>
    </border>
    <border>
      <left style="medium">
        <color auto="1"/>
      </left>
      <right/>
      <top/>
      <bottom style="thin">
        <color auto="1"/>
      </bottom>
      <diagonal/>
    </border>
    <border>
      <left style="medium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medium">
        <color indexed="64"/>
      </right>
      <top/>
      <bottom/>
      <diagonal/>
    </border>
    <border>
      <left style="medium">
        <color auto="1"/>
      </left>
      <right/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 style="thin">
        <color auto="1"/>
      </bottom>
      <diagonal/>
    </border>
    <border>
      <left style="medium">
        <color auto="1"/>
      </left>
      <right/>
      <top style="thin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/>
      <bottom style="medium">
        <color auto="1"/>
      </bottom>
      <diagonal/>
    </border>
    <border>
      <left style="thin">
        <color auto="1"/>
      </left>
      <right style="thin">
        <color auto="1"/>
      </right>
      <top/>
      <bottom style="medium">
        <color auto="1"/>
      </bottom>
      <diagonal/>
    </border>
    <border>
      <left style="thin">
        <color auto="1"/>
      </left>
      <right style="medium">
        <color indexed="64"/>
      </right>
      <top/>
      <bottom style="medium">
        <color auto="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auto="1"/>
      </left>
      <right/>
      <top/>
      <bottom/>
      <diagonal/>
    </border>
    <border>
      <left style="medium">
        <color auto="1"/>
      </left>
      <right/>
      <top/>
      <bottom style="medium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/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 style="medium">
        <color indexed="64"/>
      </left>
      <right style="medium">
        <color indexed="64"/>
      </right>
      <top style="thin">
        <color auto="1"/>
      </top>
      <bottom style="thin">
        <color auto="1"/>
      </bottom>
      <diagonal/>
    </border>
    <border>
      <left style="medium">
        <color indexed="64"/>
      </left>
      <right style="medium">
        <color indexed="64"/>
      </right>
      <top style="thin">
        <color auto="1"/>
      </top>
      <bottom style="medium">
        <color indexed="64"/>
      </bottom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auto="1"/>
      </left>
      <right/>
      <top/>
      <bottom style="medium">
        <color auto="1"/>
      </bottom>
      <diagonal/>
    </border>
    <border>
      <left style="thin">
        <color auto="1"/>
      </left>
      <right style="medium">
        <color indexed="64"/>
      </right>
      <top style="medium">
        <color indexed="64"/>
      </top>
      <bottom style="thin">
        <color auto="1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indexed="64"/>
      </right>
      <top style="medium">
        <color auto="1"/>
      </top>
      <bottom/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/>
      <bottom style="medium">
        <color indexed="64"/>
      </bottom>
      <diagonal/>
    </border>
  </borders>
  <cellStyleXfs count="4">
    <xf numFmtId="0" fontId="0" fillId="0" borderId="0"/>
    <xf numFmtId="43" fontId="1" fillId="0" borderId="0" applyFont="0" applyFill="0" applyBorder="0" applyAlignment="0" applyProtection="0"/>
    <xf numFmtId="164" fontId="8" fillId="0" borderId="0" applyFont="0" applyFill="0" applyBorder="0" applyAlignment="0" applyProtection="0"/>
    <xf numFmtId="0" fontId="9" fillId="0" borderId="0"/>
  </cellStyleXfs>
  <cellXfs count="95">
    <xf numFmtId="0" fontId="0" fillId="0" borderId="0" xfId="0"/>
    <xf numFmtId="0" fontId="2" fillId="0" borderId="0" xfId="0" applyFont="1" applyAlignment="1">
      <alignment vertical="center"/>
    </xf>
    <xf numFmtId="0" fontId="3" fillId="0" borderId="0" xfId="0" applyFont="1" applyAlignment="1">
      <alignment vertical="center"/>
    </xf>
    <xf numFmtId="0" fontId="4" fillId="0" borderId="0" xfId="0" applyFont="1" applyAlignment="1">
      <alignment vertical="center"/>
    </xf>
    <xf numFmtId="0" fontId="5" fillId="0" borderId="0" xfId="0" applyFont="1" applyAlignment="1">
      <alignment vertical="center"/>
    </xf>
    <xf numFmtId="0" fontId="6" fillId="0" borderId="0" xfId="0" applyFont="1" applyAlignment="1">
      <alignment vertical="center"/>
    </xf>
    <xf numFmtId="165" fontId="6" fillId="0" borderId="0" xfId="1" applyNumberFormat="1" applyFont="1" applyFill="1" applyAlignment="1">
      <alignment vertical="center"/>
    </xf>
    <xf numFmtId="165" fontId="6" fillId="0" borderId="0" xfId="1" applyNumberFormat="1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4" fillId="0" borderId="2" xfId="0" applyFont="1" applyBorder="1" applyAlignment="1">
      <alignment horizontal="center" vertical="center"/>
    </xf>
    <xf numFmtId="0" fontId="4" fillId="0" borderId="3" xfId="0" applyFont="1" applyBorder="1" applyAlignment="1">
      <alignment horizontal="center" vertical="center"/>
    </xf>
    <xf numFmtId="0" fontId="4" fillId="0" borderId="4" xfId="0" applyFont="1" applyBorder="1" applyAlignment="1">
      <alignment horizontal="center" vertical="center"/>
    </xf>
    <xf numFmtId="0" fontId="4" fillId="0" borderId="5" xfId="0" applyFont="1" applyBorder="1" applyAlignment="1">
      <alignment horizontal="left" vertical="center"/>
    </xf>
    <xf numFmtId="0" fontId="3" fillId="0" borderId="6" xfId="0" applyFont="1" applyBorder="1" applyAlignment="1" applyProtection="1">
      <alignment horizontal="center" vertical="center"/>
      <protection locked="0"/>
    </xf>
    <xf numFmtId="0" fontId="3" fillId="0" borderId="7" xfId="0" applyFont="1" applyBorder="1" applyAlignment="1" applyProtection="1">
      <alignment horizontal="center" vertical="center"/>
      <protection locked="0"/>
    </xf>
    <xf numFmtId="0" fontId="3" fillId="0" borderId="8" xfId="0" applyFont="1" applyBorder="1" applyAlignment="1" applyProtection="1">
      <alignment horizontal="center" vertical="center"/>
      <protection locked="0"/>
    </xf>
    <xf numFmtId="0" fontId="4" fillId="0" borderId="9" xfId="0" applyFont="1" applyBorder="1" applyAlignment="1">
      <alignment horizontal="left" vertical="center"/>
    </xf>
    <xf numFmtId="3" fontId="3" fillId="0" borderId="10" xfId="0" applyNumberFormat="1" applyFont="1" applyBorder="1" applyAlignment="1">
      <alignment horizontal="center" vertical="center"/>
    </xf>
    <xf numFmtId="3" fontId="3" fillId="0" borderId="11" xfId="0" applyNumberFormat="1" applyFont="1" applyBorder="1" applyAlignment="1">
      <alignment horizontal="center" vertical="center"/>
    </xf>
    <xf numFmtId="0" fontId="3" fillId="0" borderId="11" xfId="0" applyFont="1" applyBorder="1" applyAlignment="1">
      <alignment horizontal="center" vertical="center"/>
    </xf>
    <xf numFmtId="0" fontId="3" fillId="0" borderId="12" xfId="0" applyFont="1" applyBorder="1" applyAlignment="1">
      <alignment horizontal="center" vertical="center"/>
    </xf>
    <xf numFmtId="0" fontId="4" fillId="0" borderId="13" xfId="0" applyFont="1" applyBorder="1" applyAlignment="1">
      <alignment horizontal="left" vertical="center"/>
    </xf>
    <xf numFmtId="3" fontId="3" fillId="0" borderId="14" xfId="0" applyNumberFormat="1" applyFont="1" applyBorder="1" applyAlignment="1" applyProtection="1">
      <alignment horizontal="center" vertical="center"/>
      <protection locked="0"/>
    </xf>
    <xf numFmtId="3" fontId="3" fillId="0" borderId="15" xfId="0" applyNumberFormat="1" applyFont="1" applyBorder="1" applyAlignment="1" applyProtection="1">
      <alignment horizontal="center" vertical="center"/>
      <protection locked="0"/>
    </xf>
    <xf numFmtId="3" fontId="3" fillId="0" borderId="16" xfId="0" applyNumberFormat="1" applyFont="1" applyBorder="1" applyAlignment="1" applyProtection="1">
      <alignment horizontal="center" vertical="center"/>
      <protection locked="0"/>
    </xf>
    <xf numFmtId="0" fontId="4" fillId="0" borderId="17" xfId="0" applyFont="1" applyBorder="1" applyAlignment="1">
      <alignment horizontal="left" vertical="center"/>
    </xf>
    <xf numFmtId="0" fontId="4" fillId="0" borderId="14" xfId="0" applyFont="1" applyBorder="1" applyAlignment="1">
      <alignment horizontal="center" vertical="center"/>
    </xf>
    <xf numFmtId="0" fontId="4" fillId="0" borderId="15" xfId="0" applyFont="1" applyBorder="1" applyAlignment="1">
      <alignment horizontal="center" vertical="center" wrapText="1"/>
    </xf>
    <xf numFmtId="0" fontId="4" fillId="0" borderId="15" xfId="0" applyFont="1" applyBorder="1" applyAlignment="1">
      <alignment horizontal="center" vertical="center"/>
    </xf>
    <xf numFmtId="0" fontId="4" fillId="0" borderId="16" xfId="0" applyFont="1" applyBorder="1" applyAlignment="1">
      <alignment horizontal="center" vertical="center"/>
    </xf>
    <xf numFmtId="0" fontId="7" fillId="0" borderId="18" xfId="0" applyFont="1" applyBorder="1" applyAlignment="1">
      <alignment horizontal="left" vertical="center"/>
    </xf>
    <xf numFmtId="164" fontId="6" fillId="0" borderId="0" xfId="2" applyFont="1" applyFill="1" applyBorder="1" applyAlignment="1">
      <alignment horizontal="center" vertical="center"/>
    </xf>
    <xf numFmtId="164" fontId="6" fillId="0" borderId="19" xfId="2" applyFont="1" applyFill="1" applyBorder="1" applyAlignment="1">
      <alignment horizontal="center" vertical="center"/>
    </xf>
    <xf numFmtId="0" fontId="6" fillId="0" borderId="20" xfId="0" applyFont="1" applyBorder="1" applyAlignment="1">
      <alignment vertical="center"/>
    </xf>
    <xf numFmtId="165" fontId="6" fillId="0" borderId="0" xfId="1" applyNumberFormat="1" applyFont="1" applyFill="1" applyBorder="1" applyAlignment="1">
      <alignment horizontal="center" vertical="center"/>
    </xf>
    <xf numFmtId="165" fontId="6" fillId="0" borderId="19" xfId="1" applyNumberFormat="1" applyFont="1" applyFill="1" applyBorder="1" applyAlignment="1">
      <alignment horizontal="center" vertical="center"/>
    </xf>
    <xf numFmtId="43" fontId="6" fillId="0" borderId="0" xfId="1" applyFont="1" applyFill="1" applyBorder="1" applyAlignment="1">
      <alignment horizontal="center" vertical="center"/>
    </xf>
    <xf numFmtId="0" fontId="4" fillId="0" borderId="1" xfId="0" applyFont="1" applyBorder="1" applyAlignment="1">
      <alignment vertical="center"/>
    </xf>
    <xf numFmtId="0" fontId="4" fillId="0" borderId="21" xfId="0" applyFont="1" applyBorder="1" applyAlignment="1">
      <alignment horizontal="left" vertical="center"/>
    </xf>
    <xf numFmtId="3" fontId="3" fillId="0" borderId="26" xfId="0" applyNumberFormat="1" applyFont="1" applyBorder="1" applyAlignment="1">
      <alignment horizontal="center" vertical="center"/>
    </xf>
    <xf numFmtId="0" fontId="3" fillId="0" borderId="26" xfId="0" applyFont="1" applyBorder="1" applyAlignment="1">
      <alignment horizontal="center" vertical="center"/>
    </xf>
    <xf numFmtId="3" fontId="3" fillId="0" borderId="3" xfId="0" applyNumberFormat="1" applyFont="1" applyBorder="1" applyAlignment="1">
      <alignment horizontal="center" vertical="center"/>
    </xf>
    <xf numFmtId="0" fontId="3" fillId="0" borderId="3" xfId="0" applyFont="1" applyBorder="1" applyAlignment="1">
      <alignment horizontal="center" vertical="center"/>
    </xf>
    <xf numFmtId="0" fontId="3" fillId="0" borderId="4" xfId="0" applyFont="1" applyBorder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4" fillId="0" borderId="1" xfId="0" applyFont="1" applyBorder="1" applyAlignment="1">
      <alignment horizontal="left" vertical="center"/>
    </xf>
    <xf numFmtId="3" fontId="3" fillId="0" borderId="2" xfId="0" applyNumberFormat="1" applyFont="1" applyBorder="1" applyAlignment="1">
      <alignment horizontal="center" vertical="center"/>
    </xf>
    <xf numFmtId="0" fontId="7" fillId="0" borderId="27" xfId="3" applyFont="1" applyBorder="1" applyAlignment="1">
      <alignment horizontal="center" vertical="center"/>
    </xf>
    <xf numFmtId="0" fontId="3" fillId="0" borderId="27" xfId="0" applyFont="1" applyBorder="1" applyAlignment="1">
      <alignment horizontal="center" vertical="center"/>
    </xf>
    <xf numFmtId="3" fontId="3" fillId="0" borderId="28" xfId="0" applyNumberFormat="1" applyFont="1" applyBorder="1" applyAlignment="1">
      <alignment horizontal="center" vertical="center"/>
    </xf>
    <xf numFmtId="0" fontId="7" fillId="0" borderId="29" xfId="3" applyFont="1" applyBorder="1" applyAlignment="1">
      <alignment horizontal="center" vertical="center"/>
    </xf>
    <xf numFmtId="3" fontId="3" fillId="0" borderId="30" xfId="0" applyNumberFormat="1" applyFont="1" applyBorder="1" applyAlignment="1">
      <alignment horizontal="center" vertical="center"/>
    </xf>
    <xf numFmtId="0" fontId="4" fillId="0" borderId="25" xfId="0" applyFont="1" applyBorder="1" applyAlignment="1">
      <alignment horizontal="left" vertical="center"/>
    </xf>
    <xf numFmtId="0" fontId="4" fillId="0" borderId="31" xfId="0" applyFont="1" applyBorder="1" applyAlignment="1">
      <alignment horizontal="left" vertical="center"/>
    </xf>
    <xf numFmtId="0" fontId="4" fillId="0" borderId="32" xfId="0" applyFont="1" applyBorder="1" applyAlignment="1">
      <alignment horizontal="left" vertical="center"/>
    </xf>
    <xf numFmtId="0" fontId="7" fillId="0" borderId="7" xfId="3" applyFont="1" applyBorder="1" applyAlignment="1">
      <alignment horizontal="center" vertical="center"/>
    </xf>
    <xf numFmtId="3" fontId="4" fillId="0" borderId="15" xfId="0" applyNumberFormat="1" applyFont="1" applyBorder="1" applyAlignment="1">
      <alignment horizontal="center" vertical="center"/>
    </xf>
    <xf numFmtId="3" fontId="4" fillId="0" borderId="14" xfId="0" applyNumberFormat="1" applyFont="1" applyBorder="1" applyAlignment="1">
      <alignment horizontal="center" vertical="center"/>
    </xf>
    <xf numFmtId="3" fontId="4" fillId="0" borderId="15" xfId="0" applyNumberFormat="1" applyFont="1" applyBorder="1" applyAlignment="1">
      <alignment horizontal="center" vertical="center" wrapText="1"/>
    </xf>
    <xf numFmtId="0" fontId="3" fillId="0" borderId="33" xfId="0" applyFont="1" applyBorder="1" applyAlignment="1" applyProtection="1">
      <alignment horizontal="center" vertical="center"/>
      <protection locked="0"/>
    </xf>
    <xf numFmtId="0" fontId="3" fillId="0" borderId="34" xfId="0" applyFont="1" applyBorder="1" applyAlignment="1">
      <alignment horizontal="center" vertical="center"/>
    </xf>
    <xf numFmtId="3" fontId="3" fillId="0" borderId="35" xfId="0" applyNumberFormat="1" applyFont="1" applyBorder="1" applyAlignment="1" applyProtection="1">
      <alignment horizontal="center" vertical="center"/>
      <protection locked="0"/>
    </xf>
    <xf numFmtId="3" fontId="4" fillId="0" borderId="35" xfId="0" applyNumberFormat="1" applyFont="1" applyBorder="1" applyAlignment="1">
      <alignment horizontal="center" vertical="center"/>
    </xf>
    <xf numFmtId="0" fontId="4" fillId="0" borderId="35" xfId="0" applyFont="1" applyBorder="1" applyAlignment="1">
      <alignment horizontal="center" vertical="center"/>
    </xf>
    <xf numFmtId="0" fontId="3" fillId="0" borderId="36" xfId="0" applyFont="1" applyBorder="1" applyAlignment="1">
      <alignment horizontal="center" vertical="center"/>
    </xf>
    <xf numFmtId="0" fontId="3" fillId="0" borderId="37" xfId="0" applyFont="1" applyBorder="1" applyAlignment="1">
      <alignment horizontal="center" vertical="center"/>
    </xf>
    <xf numFmtId="0" fontId="4" fillId="0" borderId="20" xfId="0" applyFont="1" applyBorder="1" applyAlignment="1">
      <alignment vertical="center"/>
    </xf>
    <xf numFmtId="0" fontId="7" fillId="0" borderId="38" xfId="3" applyFont="1" applyBorder="1" applyAlignment="1">
      <alignment horizontal="center" vertical="center"/>
    </xf>
    <xf numFmtId="164" fontId="6" fillId="0" borderId="23" xfId="2" applyFont="1" applyFill="1" applyBorder="1" applyAlignment="1">
      <alignment horizontal="center" vertical="center"/>
    </xf>
    <xf numFmtId="0" fontId="7" fillId="0" borderId="40" xfId="3" applyFont="1" applyBorder="1" applyAlignment="1">
      <alignment horizontal="center" vertical="center"/>
    </xf>
    <xf numFmtId="0" fontId="7" fillId="0" borderId="39" xfId="3" applyFont="1" applyBorder="1" applyAlignment="1">
      <alignment horizontal="center" vertical="center"/>
    </xf>
    <xf numFmtId="0" fontId="4" fillId="0" borderId="39" xfId="0" applyFont="1" applyBorder="1" applyAlignment="1">
      <alignment horizontal="center" vertical="center"/>
    </xf>
    <xf numFmtId="0" fontId="3" fillId="0" borderId="20" xfId="0" applyFont="1" applyBorder="1" applyAlignment="1">
      <alignment horizontal="center" vertical="center"/>
    </xf>
    <xf numFmtId="0" fontId="3" fillId="0" borderId="21" xfId="0" applyFont="1" applyBorder="1" applyAlignment="1">
      <alignment horizontal="center" vertical="center"/>
    </xf>
    <xf numFmtId="0" fontId="3" fillId="0" borderId="41" xfId="0" applyFont="1" applyBorder="1" applyAlignment="1">
      <alignment horizontal="center" vertical="center"/>
    </xf>
    <xf numFmtId="0" fontId="4" fillId="0" borderId="41" xfId="0" applyFont="1" applyBorder="1" applyAlignment="1">
      <alignment horizontal="center" vertical="center"/>
    </xf>
    <xf numFmtId="0" fontId="4" fillId="2" borderId="0" xfId="0" applyFont="1" applyFill="1" applyAlignment="1">
      <alignment vertical="center"/>
    </xf>
    <xf numFmtId="0" fontId="4" fillId="0" borderId="0" xfId="0" applyFont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4" fillId="0" borderId="0" xfId="0" applyFont="1" applyAlignment="1">
      <alignment horizontal="center" vertical="center"/>
    </xf>
    <xf numFmtId="16" fontId="3" fillId="0" borderId="7" xfId="0" applyNumberFormat="1" applyFont="1" applyBorder="1" applyAlignment="1" applyProtection="1">
      <alignment horizontal="center" vertical="center"/>
      <protection locked="0"/>
    </xf>
    <xf numFmtId="0" fontId="4" fillId="0" borderId="0" xfId="0" applyFont="1" applyAlignment="1">
      <alignment horizontal="center" vertical="center"/>
    </xf>
    <xf numFmtId="16" fontId="4" fillId="0" borderId="15" xfId="0" applyNumberFormat="1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0" fontId="4" fillId="0" borderId="23" xfId="0" applyFont="1" applyBorder="1" applyAlignment="1">
      <alignment horizontal="center" vertical="center"/>
    </xf>
    <xf numFmtId="0" fontId="4" fillId="0" borderId="24" xfId="0" applyFont="1" applyBorder="1" applyAlignment="1">
      <alignment horizontal="center" vertical="center"/>
    </xf>
    <xf numFmtId="0" fontId="4" fillId="0" borderId="20" xfId="0" applyFont="1" applyBorder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4" fillId="0" borderId="22" xfId="0" applyFont="1" applyBorder="1" applyAlignment="1">
      <alignment horizontal="center" vertical="center"/>
    </xf>
    <xf numFmtId="0" fontId="4" fillId="0" borderId="25" xfId="0" applyFont="1" applyBorder="1" applyAlignment="1">
      <alignment horizontal="center" vertical="center"/>
    </xf>
    <xf numFmtId="0" fontId="4" fillId="0" borderId="23" xfId="3" applyFont="1" applyBorder="1" applyAlignment="1">
      <alignment horizontal="center" vertical="center"/>
    </xf>
    <xf numFmtId="0" fontId="4" fillId="0" borderId="24" xfId="3" applyFont="1" applyBorder="1" applyAlignment="1">
      <alignment horizontal="center" vertical="center"/>
    </xf>
    <xf numFmtId="0" fontId="4" fillId="0" borderId="1" xfId="3" applyFont="1" applyBorder="1" applyAlignment="1">
      <alignment horizontal="center" vertical="center"/>
    </xf>
    <xf numFmtId="0" fontId="4" fillId="0" borderId="17" xfId="3" applyFont="1" applyBorder="1" applyAlignment="1">
      <alignment horizontal="center" vertical="center"/>
    </xf>
    <xf numFmtId="0" fontId="4" fillId="2" borderId="0" xfId="0" applyFont="1" applyFill="1" applyAlignment="1">
      <alignment horizontal="center" vertical="center"/>
    </xf>
  </cellXfs>
  <cellStyles count="4">
    <cellStyle name="Comma" xfId="1" builtinId="3"/>
    <cellStyle name="Comma 2" xfId="2" xr:uid="{38233363-A84A-45E9-A936-15838938B2C9}"/>
    <cellStyle name="Normal" xfId="0" builtinId="0"/>
    <cellStyle name="Normal 2" xfId="3" xr:uid="{C44E70A0-C100-4105-8DF8-F24B0B53F054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9" Type="http://schemas.openxmlformats.org/officeDocument/2006/relationships/worksheet" Target="worksheets/sheet39.xml"/><Relationship Id="rId21" Type="http://schemas.openxmlformats.org/officeDocument/2006/relationships/worksheet" Target="worksheets/sheet21.xml"/><Relationship Id="rId34" Type="http://schemas.openxmlformats.org/officeDocument/2006/relationships/worksheet" Target="worksheets/sheet34.xml"/><Relationship Id="rId42" Type="http://schemas.openxmlformats.org/officeDocument/2006/relationships/worksheet" Target="worksheets/sheet42.xml"/><Relationship Id="rId47" Type="http://schemas.openxmlformats.org/officeDocument/2006/relationships/worksheet" Target="worksheets/sheet47.xml"/><Relationship Id="rId50" Type="http://schemas.openxmlformats.org/officeDocument/2006/relationships/worksheet" Target="worksheets/sheet50.xml"/><Relationship Id="rId55" Type="http://schemas.openxmlformats.org/officeDocument/2006/relationships/sharedStrings" Target="sharedStrings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9" Type="http://schemas.openxmlformats.org/officeDocument/2006/relationships/worksheet" Target="worksheets/sheet29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40" Type="http://schemas.openxmlformats.org/officeDocument/2006/relationships/worksheet" Target="worksheets/sheet40.xml"/><Relationship Id="rId45" Type="http://schemas.openxmlformats.org/officeDocument/2006/relationships/worksheet" Target="worksheets/sheet45.xml"/><Relationship Id="rId53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4" Type="http://schemas.openxmlformats.org/officeDocument/2006/relationships/worksheet" Target="worksheets/sheet44.xml"/><Relationship Id="rId52" Type="http://schemas.openxmlformats.org/officeDocument/2006/relationships/externalLink" Target="externalLinks/externalLink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43" Type="http://schemas.openxmlformats.org/officeDocument/2006/relationships/worksheet" Target="worksheets/sheet43.xml"/><Relationship Id="rId48" Type="http://schemas.openxmlformats.org/officeDocument/2006/relationships/worksheet" Target="worksheets/sheet48.xml"/><Relationship Id="rId56" Type="http://schemas.openxmlformats.org/officeDocument/2006/relationships/calcChain" Target="calcChain.xml"/><Relationship Id="rId8" Type="http://schemas.openxmlformats.org/officeDocument/2006/relationships/worksheet" Target="worksheets/sheet8.xml"/><Relationship Id="rId51" Type="http://schemas.openxmlformats.org/officeDocument/2006/relationships/worksheet" Target="worksheets/sheet51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46" Type="http://schemas.openxmlformats.org/officeDocument/2006/relationships/worksheet" Target="worksheets/sheet46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54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49" Type="http://schemas.openxmlformats.org/officeDocument/2006/relationships/worksheet" Target="worksheets/sheet49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Documents\GBDS\GBDS%20Documents\DAILY%20SALES,%20STOCK%20ISSUANCE%20AND%20RECEIPT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DSSR"/>
      <sheetName val="WW Monitoring"/>
      <sheetName val="Route Sales MTD"/>
      <sheetName val="Checker Stock Report"/>
      <sheetName val="Production Date"/>
      <sheetName val="RET-WS"/>
    </sheetNames>
    <sheetDataSet>
      <sheetData sheetId="0" refreshError="1">
        <row r="4">
          <cell r="B4">
            <v>1300</v>
          </cell>
          <cell r="C4">
            <v>1534</v>
          </cell>
          <cell r="D4">
            <v>1728</v>
          </cell>
          <cell r="E4">
            <v>1728</v>
          </cell>
          <cell r="F4">
            <v>1452</v>
          </cell>
          <cell r="G4">
            <v>1240</v>
          </cell>
          <cell r="H4">
            <v>1520</v>
          </cell>
          <cell r="I4">
            <v>978</v>
          </cell>
          <cell r="J4">
            <v>945</v>
          </cell>
          <cell r="K4"/>
          <cell r="L4">
            <v>1127</v>
          </cell>
          <cell r="M4">
            <v>773</v>
          </cell>
          <cell r="N4">
            <v>1038</v>
          </cell>
          <cell r="O4">
            <v>773</v>
          </cell>
          <cell r="P4">
            <v>1038</v>
          </cell>
          <cell r="Q4">
            <v>773</v>
          </cell>
          <cell r="R4">
            <v>1038</v>
          </cell>
          <cell r="S4">
            <v>792</v>
          </cell>
          <cell r="T4">
            <v>948</v>
          </cell>
        </row>
        <row r="5">
          <cell r="B5">
            <v>120</v>
          </cell>
          <cell r="C5"/>
          <cell r="D5"/>
          <cell r="E5"/>
          <cell r="F5"/>
          <cell r="G5">
            <v>120</v>
          </cell>
          <cell r="H5"/>
          <cell r="I5">
            <v>120</v>
          </cell>
          <cell r="J5">
            <v>120</v>
          </cell>
          <cell r="K5">
            <v>111</v>
          </cell>
          <cell r="L5"/>
          <cell r="M5">
            <v>120</v>
          </cell>
          <cell r="N5"/>
          <cell r="O5">
            <v>120</v>
          </cell>
          <cell r="P5"/>
          <cell r="Q5">
            <v>120</v>
          </cell>
          <cell r="R5"/>
          <cell r="S5">
            <v>120</v>
          </cell>
          <cell r="T5">
            <v>120</v>
          </cell>
        </row>
        <row r="24">
          <cell r="B24">
            <v>544</v>
          </cell>
          <cell r="C24">
            <v>1127</v>
          </cell>
          <cell r="D24">
            <v>853</v>
          </cell>
          <cell r="E24">
            <v>563</v>
          </cell>
          <cell r="F24">
            <v>575</v>
          </cell>
          <cell r="G24">
            <v>1175</v>
          </cell>
          <cell r="H24"/>
          <cell r="I24">
            <v>791</v>
          </cell>
          <cell r="J24">
            <v>1102</v>
          </cell>
          <cell r="K24">
            <v>520</v>
          </cell>
          <cell r="L24">
            <v>1142</v>
          </cell>
          <cell r="M24">
            <v>205</v>
          </cell>
          <cell r="N24">
            <v>205</v>
          </cell>
          <cell r="O24">
            <v>205</v>
          </cell>
          <cell r="P24">
            <v>500</v>
          </cell>
          <cell r="Q24">
            <v>650</v>
          </cell>
          <cell r="R24">
            <v>650</v>
          </cell>
          <cell r="S24">
            <v>500</v>
          </cell>
          <cell r="T24">
            <v>650</v>
          </cell>
        </row>
        <row r="25">
          <cell r="B25">
            <v>111</v>
          </cell>
          <cell r="C25"/>
          <cell r="D25">
            <v>120</v>
          </cell>
          <cell r="E25">
            <v>111</v>
          </cell>
          <cell r="F25">
            <v>111</v>
          </cell>
          <cell r="G25"/>
          <cell r="H25">
            <v>111</v>
          </cell>
          <cell r="I25">
            <v>120</v>
          </cell>
          <cell r="J25"/>
          <cell r="K25">
            <v>111</v>
          </cell>
          <cell r="L25"/>
          <cell r="M25">
            <v>78</v>
          </cell>
          <cell r="N25">
            <v>78</v>
          </cell>
          <cell r="O25">
            <v>78</v>
          </cell>
          <cell r="P25">
            <v>120</v>
          </cell>
          <cell r="Q25"/>
          <cell r="R25"/>
          <cell r="S25">
            <v>120</v>
          </cell>
          <cell r="T25"/>
        </row>
      </sheetData>
      <sheetData sheetId="1" refreshError="1"/>
      <sheetData sheetId="2" refreshError="1"/>
      <sheetData sheetId="3" refreshError="1"/>
      <sheetData sheetId="4" refreshError="1"/>
      <sheetData sheetId="5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8.bin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9.bin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0.bin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1.bin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2.bin"/></Relationships>
</file>

<file path=xl/worksheets/_rels/sheet2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3.bin"/></Relationships>
</file>

<file path=xl/worksheets/_rels/sheet2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4.bin"/></Relationships>
</file>

<file path=xl/worksheets/_rels/sheet2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5.bin"/></Relationships>
</file>

<file path=xl/worksheets/_rels/sheet2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6.bin"/></Relationships>
</file>

<file path=xl/worksheets/_rels/sheet2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7.bin"/></Relationships>
</file>

<file path=xl/worksheets/_rels/sheet2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8.bin"/></Relationships>
</file>

<file path=xl/worksheets/_rels/sheet3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9.bin"/></Relationships>
</file>

<file path=xl/worksheets/_rels/sheet3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0.bin"/></Relationships>
</file>

<file path=xl/worksheets/_rels/sheet3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1.bin"/></Relationships>
</file>

<file path=xl/worksheets/_rels/sheet3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2.bin"/></Relationships>
</file>

<file path=xl/worksheets/_rels/sheet3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3.bin"/></Relationships>
</file>

<file path=xl/worksheets/_rels/sheet3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4.bin"/></Relationships>
</file>

<file path=xl/worksheets/_rels/sheet3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5.bin"/></Relationships>
</file>

<file path=xl/worksheets/_rels/sheet3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6.bin"/></Relationships>
</file>

<file path=xl/worksheets/_rels/sheet3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7.bin"/></Relationships>
</file>

<file path=xl/worksheets/_rels/sheet3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8.bin"/></Relationships>
</file>

<file path=xl/worksheets/_rels/sheet4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9.bin"/></Relationships>
</file>

<file path=xl/worksheets/_rels/sheet4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0.bin"/></Relationships>
</file>

<file path=xl/worksheets/_rels/sheet4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1.bin"/></Relationships>
</file>

<file path=xl/worksheets/_rels/sheet4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2.bin"/></Relationships>
</file>

<file path=xl/worksheets/_rels/sheet4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3.bin"/></Relationships>
</file>

<file path=xl/worksheets/_rels/sheet4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4.bin"/></Relationships>
</file>

<file path=xl/worksheets/_rels/sheet4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5.bin"/></Relationships>
</file>

<file path=xl/worksheets/_rels/sheet4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6.bin"/></Relationships>
</file>

<file path=xl/worksheets/_rels/sheet4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7.bin"/></Relationships>
</file>

<file path=xl/worksheets/_rels/sheet4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8.bin"/></Relationships>
</file>

<file path=xl/worksheets/_rels/sheet5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9.bin"/></Relationships>
</file>

<file path=xl/worksheets/_rels/sheet5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0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C51392-3164-4BBB-8DB5-0BA6861E83AD}">
  <dimension ref="A1"/>
  <sheetViews>
    <sheetView workbookViewId="0">
      <selection activeCell="B2" sqref="B2"/>
    </sheetView>
  </sheetViews>
  <sheetFormatPr defaultRowHeight="15" x14ac:dyDescent="0.25"/>
  <sheetData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0471487-5AF3-47BC-82C3-768439BCC08F}">
  <dimension ref="B1:AA43"/>
  <sheetViews>
    <sheetView showGridLines="0" view="pageBreakPreview" zoomScale="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88" t="s">
        <v>43</v>
      </c>
      <c r="C34" s="90" t="s">
        <v>21</v>
      </c>
      <c r="D34" s="90"/>
      <c r="E34" s="91"/>
      <c r="F34" s="92" t="s">
        <v>44</v>
      </c>
      <c r="G34" s="90"/>
      <c r="H34" s="91"/>
      <c r="I34" s="92" t="s">
        <v>45</v>
      </c>
      <c r="J34" s="90"/>
      <c r="K34" s="91"/>
      <c r="L34" s="92" t="s">
        <v>46</v>
      </c>
      <c r="M34" s="90"/>
      <c r="N34" s="91"/>
      <c r="O34" s="93" t="s">
        <v>47</v>
      </c>
      <c r="P34" s="93"/>
      <c r="Q34" s="93"/>
      <c r="R34" s="83" t="s">
        <v>48</v>
      </c>
      <c r="S34" s="84"/>
      <c r="T34" s="84"/>
      <c r="U34" s="85"/>
      <c r="V34" s="66"/>
      <c r="W34" s="3"/>
      <c r="X34" s="3"/>
      <c r="Y34" s="3"/>
    </row>
    <row r="35" spans="2:25" ht="18" customHeight="1" thickBot="1" x14ac:dyDescent="0.3">
      <c r="B35" s="89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7"/>
      <c r="W35" s="77"/>
      <c r="X35" s="77"/>
      <c r="Y35" s="77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77"/>
      <c r="V36" s="77"/>
      <c r="W36" s="77"/>
      <c r="X36" s="77"/>
      <c r="Y36" s="77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7"/>
      <c r="V37" s="77"/>
      <c r="W37" s="77"/>
      <c r="X37" s="77"/>
      <c r="Y37" s="77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7"/>
      <c r="V38" s="77"/>
      <c r="W38" s="77"/>
      <c r="X38" s="77"/>
      <c r="Y38" s="77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7"/>
      <c r="V39" s="77"/>
      <c r="W39" s="77"/>
      <c r="X39" s="77"/>
      <c r="Y39" s="77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7"/>
      <c r="V40" s="77"/>
      <c r="W40" s="77"/>
      <c r="X40" s="77"/>
      <c r="Y40" s="77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7"/>
      <c r="W41" s="77"/>
      <c r="X41" s="77"/>
      <c r="Y41" s="77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86" t="s">
        <v>54</v>
      </c>
      <c r="S42" s="87"/>
      <c r="T42" s="87"/>
      <c r="U42" s="87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7"/>
      <c r="V43" s="77"/>
      <c r="W43" s="77"/>
      <c r="X43" s="77"/>
      <c r="Y43" s="77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BD232D-52F7-428D-B08E-FDFF23E21DF3}">
  <dimension ref="B1:AA45"/>
  <sheetViews>
    <sheetView showGridLines="0" topLeftCell="A13" zoomScale="160" zoomScaleNormal="160" workbookViewId="0">
      <selection activeCell="F37" sqref="F37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70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 t="s">
        <v>77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 t="s">
        <v>78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 t="s">
        <v>79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>
        <v>9</v>
      </c>
      <c r="I24" s="14"/>
      <c r="J24" s="14"/>
      <c r="K24" s="14"/>
      <c r="L24" s="14">
        <v>2</v>
      </c>
      <c r="M24" s="14">
        <v>776</v>
      </c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>
        <v>6</v>
      </c>
      <c r="I31" s="23"/>
      <c r="J31" s="23"/>
      <c r="K31" s="23"/>
      <c r="L31" s="23">
        <v>2</v>
      </c>
      <c r="M31" s="23">
        <v>72</v>
      </c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>
        <v>3</v>
      </c>
      <c r="I32" s="28"/>
      <c r="J32" s="28"/>
      <c r="K32" s="28"/>
      <c r="L32" s="28">
        <v>0</v>
      </c>
      <c r="M32" s="28">
        <v>704</v>
      </c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88" t="s">
        <v>43</v>
      </c>
      <c r="C34" s="90" t="s">
        <v>21</v>
      </c>
      <c r="D34" s="90"/>
      <c r="E34" s="91"/>
      <c r="F34" s="92" t="s">
        <v>44</v>
      </c>
      <c r="G34" s="90"/>
      <c r="H34" s="91"/>
      <c r="I34" s="92" t="s">
        <v>45</v>
      </c>
      <c r="J34" s="90"/>
      <c r="K34" s="91"/>
      <c r="L34" s="92" t="s">
        <v>46</v>
      </c>
      <c r="M34" s="90"/>
      <c r="N34" s="91"/>
      <c r="O34" s="93" t="s">
        <v>47</v>
      </c>
      <c r="P34" s="93"/>
      <c r="Q34" s="93"/>
      <c r="R34" s="83" t="s">
        <v>48</v>
      </c>
      <c r="S34" s="84"/>
      <c r="T34" s="84"/>
      <c r="U34" s="85"/>
      <c r="V34" s="66"/>
      <c r="W34" s="3"/>
      <c r="X34" s="3"/>
      <c r="Y34" s="3"/>
    </row>
    <row r="35" spans="2:25" ht="18" customHeight="1" thickBot="1" x14ac:dyDescent="0.3">
      <c r="B35" s="89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7"/>
      <c r="W35" s="77"/>
      <c r="X35" s="77"/>
      <c r="Y35" s="77"/>
    </row>
    <row r="36" spans="2:25" ht="18" customHeight="1" thickBot="1" x14ac:dyDescent="0.3">
      <c r="B36" s="52" t="s">
        <v>52</v>
      </c>
      <c r="C36" s="46"/>
      <c r="D36" s="41"/>
      <c r="E36" s="42"/>
      <c r="F36" s="42">
        <v>890</v>
      </c>
      <c r="G36" s="42">
        <v>1</v>
      </c>
      <c r="H36" s="42">
        <v>5</v>
      </c>
      <c r="I36" s="42">
        <v>1</v>
      </c>
      <c r="J36" s="42"/>
      <c r="K36" s="42"/>
      <c r="L36" s="42"/>
      <c r="M36" s="42"/>
      <c r="N36" s="42">
        <v>4</v>
      </c>
      <c r="O36" s="42">
        <v>15</v>
      </c>
      <c r="P36" s="42">
        <v>11</v>
      </c>
      <c r="Q36" s="43">
        <v>22</v>
      </c>
      <c r="R36" s="72"/>
      <c r="S36" s="44"/>
      <c r="T36" s="44"/>
      <c r="U36" s="77"/>
      <c r="V36" s="77"/>
      <c r="W36" s="77"/>
      <c r="X36" s="77"/>
      <c r="Y36" s="77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7"/>
      <c r="V37" s="77"/>
      <c r="W37" s="77"/>
      <c r="X37" s="77"/>
      <c r="Y37" s="77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7"/>
      <c r="V38" s="77"/>
      <c r="W38" s="77"/>
      <c r="X38" s="77"/>
      <c r="Y38" s="77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7"/>
      <c r="V39" s="77"/>
      <c r="W39" s="77"/>
      <c r="X39" s="77"/>
      <c r="Y39" s="77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7"/>
      <c r="V40" s="77"/>
      <c r="W40" s="77"/>
      <c r="X40" s="77"/>
      <c r="Y40" s="77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7"/>
      <c r="W41" s="77"/>
      <c r="X41" s="77"/>
      <c r="Y41" s="77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>
        <v>890</v>
      </c>
      <c r="G42" s="42">
        <v>1</v>
      </c>
      <c r="H42" s="42">
        <v>5</v>
      </c>
      <c r="I42" s="42">
        <v>1</v>
      </c>
      <c r="J42" s="42"/>
      <c r="K42" s="42"/>
      <c r="L42" s="42"/>
      <c r="M42" s="42"/>
      <c r="N42" s="42">
        <v>4</v>
      </c>
      <c r="O42" s="42">
        <v>15</v>
      </c>
      <c r="P42" s="42">
        <v>11</v>
      </c>
      <c r="Q42" s="43">
        <v>22</v>
      </c>
      <c r="R42" s="86" t="s">
        <v>54</v>
      </c>
      <c r="S42" s="87"/>
      <c r="T42" s="87"/>
      <c r="U42" s="87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7"/>
      <c r="V43" s="77"/>
      <c r="W43" s="77"/>
      <c r="X43" s="77"/>
      <c r="Y43" s="77"/>
    </row>
    <row r="44" spans="2:25" x14ac:dyDescent="0.25">
      <c r="B44" s="76" t="s">
        <v>68</v>
      </c>
      <c r="C44" s="94">
        <f>25+3+704</f>
        <v>732</v>
      </c>
      <c r="D44" s="94"/>
      <c r="E44" s="94"/>
    </row>
    <row r="45" spans="2:25" x14ac:dyDescent="0.25">
      <c r="B45" s="76" t="s">
        <v>69</v>
      </c>
      <c r="C45" s="94">
        <v>3</v>
      </c>
      <c r="D45" s="94"/>
      <c r="E45" s="94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775055-8255-4085-AC6B-17B28EEEC4CD}">
  <dimension ref="B1:AA45"/>
  <sheetViews>
    <sheetView showGridLines="0" topLeftCell="A13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70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 t="s">
        <v>80</v>
      </c>
      <c r="D8" s="14">
        <v>1</v>
      </c>
      <c r="E8" s="14">
        <v>1</v>
      </c>
      <c r="F8" s="14">
        <v>1</v>
      </c>
      <c r="G8" s="14"/>
      <c r="H8" s="14" t="s">
        <v>81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>
        <v>1</v>
      </c>
      <c r="Y8" s="15">
        <v>1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 t="s">
        <v>80</v>
      </c>
      <c r="D15" s="23">
        <v>1</v>
      </c>
      <c r="E15" s="23">
        <v>0</v>
      </c>
      <c r="F15" s="23">
        <v>1</v>
      </c>
      <c r="G15" s="23"/>
      <c r="H15" s="23" t="s">
        <v>82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>
        <v>1</v>
      </c>
      <c r="Y15" s="24">
        <v>1</v>
      </c>
    </row>
    <row r="16" spans="2:27" ht="18" customHeight="1" thickBot="1" x14ac:dyDescent="0.3">
      <c r="B16" s="25" t="s">
        <v>26</v>
      </c>
      <c r="C16" s="57">
        <v>0</v>
      </c>
      <c r="D16" s="58">
        <v>0</v>
      </c>
      <c r="E16" s="27">
        <v>1</v>
      </c>
      <c r="F16" s="27">
        <v>0</v>
      </c>
      <c r="G16" s="28"/>
      <c r="H16" s="28" t="s">
        <v>83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>
        <v>0</v>
      </c>
      <c r="Y16" s="29">
        <v>0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>
        <v>1</v>
      </c>
      <c r="D24" s="14"/>
      <c r="E24" s="14"/>
      <c r="F24" s="14">
        <v>2</v>
      </c>
      <c r="G24" s="14"/>
      <c r="H24" s="14">
        <v>30</v>
      </c>
      <c r="I24" s="14"/>
      <c r="J24" s="14"/>
      <c r="K24" s="14">
        <v>1</v>
      </c>
      <c r="L24" s="14">
        <v>7</v>
      </c>
      <c r="M24" s="14">
        <v>386</v>
      </c>
      <c r="N24" s="14"/>
      <c r="O24" s="14"/>
      <c r="P24" s="14" t="s">
        <v>84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>
        <v>0</v>
      </c>
      <c r="D31" s="23"/>
      <c r="E31" s="23"/>
      <c r="F31" s="23">
        <v>2</v>
      </c>
      <c r="G31" s="23"/>
      <c r="H31" s="23">
        <v>23</v>
      </c>
      <c r="I31" s="23"/>
      <c r="J31" s="23"/>
      <c r="K31" s="23">
        <v>1</v>
      </c>
      <c r="L31" s="23">
        <v>1</v>
      </c>
      <c r="M31" s="23">
        <v>94</v>
      </c>
      <c r="N31" s="23"/>
      <c r="O31" s="23"/>
      <c r="P31" s="23" t="s">
        <v>85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>
        <v>1</v>
      </c>
      <c r="D32" s="27"/>
      <c r="E32" s="27"/>
      <c r="F32" s="27">
        <v>0</v>
      </c>
      <c r="G32" s="28"/>
      <c r="H32" s="28">
        <v>7</v>
      </c>
      <c r="I32" s="28"/>
      <c r="J32" s="28"/>
      <c r="K32" s="28">
        <v>0</v>
      </c>
      <c r="L32" s="28">
        <v>6</v>
      </c>
      <c r="M32" s="28">
        <v>272</v>
      </c>
      <c r="N32" s="28"/>
      <c r="O32" s="23"/>
      <c r="P32" s="28">
        <v>1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88" t="s">
        <v>43</v>
      </c>
      <c r="C34" s="90" t="s">
        <v>21</v>
      </c>
      <c r="D34" s="90"/>
      <c r="E34" s="91"/>
      <c r="F34" s="92" t="s">
        <v>44</v>
      </c>
      <c r="G34" s="90"/>
      <c r="H34" s="91"/>
      <c r="I34" s="92" t="s">
        <v>45</v>
      </c>
      <c r="J34" s="90"/>
      <c r="K34" s="91"/>
      <c r="L34" s="92" t="s">
        <v>46</v>
      </c>
      <c r="M34" s="90"/>
      <c r="N34" s="91"/>
      <c r="O34" s="93" t="s">
        <v>47</v>
      </c>
      <c r="P34" s="93"/>
      <c r="Q34" s="93"/>
      <c r="R34" s="83" t="s">
        <v>48</v>
      </c>
      <c r="S34" s="84"/>
      <c r="T34" s="84"/>
      <c r="U34" s="85"/>
      <c r="V34" s="66"/>
      <c r="W34" s="3"/>
      <c r="X34" s="3"/>
      <c r="Y34" s="3"/>
    </row>
    <row r="35" spans="2:25" ht="18" customHeight="1" thickBot="1" x14ac:dyDescent="0.3">
      <c r="B35" s="89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7"/>
      <c r="W35" s="77"/>
      <c r="X35" s="77"/>
      <c r="Y35" s="77"/>
    </row>
    <row r="36" spans="2:25" ht="18" customHeight="1" thickBot="1" x14ac:dyDescent="0.3">
      <c r="B36" s="52" t="s">
        <v>52</v>
      </c>
      <c r="C36" s="46"/>
      <c r="D36" s="41"/>
      <c r="E36" s="42"/>
      <c r="F36" s="42">
        <v>338</v>
      </c>
      <c r="G36" s="42">
        <v>2</v>
      </c>
      <c r="H36" s="42">
        <v>5</v>
      </c>
      <c r="I36" s="42">
        <v>2</v>
      </c>
      <c r="J36" s="42"/>
      <c r="K36" s="42">
        <v>4</v>
      </c>
      <c r="L36" s="42"/>
      <c r="M36" s="42"/>
      <c r="N36" s="42"/>
      <c r="O36" s="42">
        <v>1</v>
      </c>
      <c r="P36" s="42">
        <v>12</v>
      </c>
      <c r="Q36" s="43">
        <v>16</v>
      </c>
      <c r="R36" s="72"/>
      <c r="S36" s="44"/>
      <c r="T36" s="44"/>
      <c r="U36" s="77"/>
      <c r="V36" s="77"/>
      <c r="W36" s="77"/>
      <c r="X36" s="77"/>
      <c r="Y36" s="77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7"/>
      <c r="V37" s="77"/>
      <c r="W37" s="77"/>
      <c r="X37" s="77"/>
      <c r="Y37" s="77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7"/>
      <c r="V38" s="77"/>
      <c r="W38" s="77"/>
      <c r="X38" s="77"/>
      <c r="Y38" s="77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7"/>
      <c r="V39" s="77"/>
      <c r="W39" s="77"/>
      <c r="X39" s="77"/>
      <c r="Y39" s="77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7"/>
      <c r="V40" s="77"/>
      <c r="W40" s="77"/>
      <c r="X40" s="77"/>
      <c r="Y40" s="77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7"/>
      <c r="W41" s="77"/>
      <c r="X41" s="77"/>
      <c r="Y41" s="77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>
        <v>338</v>
      </c>
      <c r="G42" s="42">
        <v>2</v>
      </c>
      <c r="H42" s="42">
        <v>5</v>
      </c>
      <c r="I42" s="42">
        <v>2</v>
      </c>
      <c r="J42" s="42"/>
      <c r="K42" s="42">
        <v>4</v>
      </c>
      <c r="L42" s="42"/>
      <c r="M42" s="42"/>
      <c r="N42" s="42"/>
      <c r="O42" s="42">
        <v>1</v>
      </c>
      <c r="P42" s="42">
        <v>12</v>
      </c>
      <c r="Q42" s="43">
        <v>16</v>
      </c>
      <c r="R42" s="86" t="s">
        <v>54</v>
      </c>
      <c r="S42" s="87"/>
      <c r="T42" s="87"/>
      <c r="U42" s="87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7"/>
      <c r="V43" s="77"/>
      <c r="W43" s="77"/>
      <c r="X43" s="77"/>
      <c r="Y43" s="77"/>
    </row>
    <row r="44" spans="2:25" x14ac:dyDescent="0.25">
      <c r="B44" s="76" t="s">
        <v>68</v>
      </c>
      <c r="C44" s="94">
        <f>1+7+1+7+6+272+1</f>
        <v>295</v>
      </c>
      <c r="D44" s="94"/>
      <c r="E44" s="94"/>
    </row>
    <row r="45" spans="2:25" x14ac:dyDescent="0.25">
      <c r="B45" s="76" t="s">
        <v>69</v>
      </c>
      <c r="C45" s="94">
        <v>5</v>
      </c>
      <c r="D45" s="94"/>
      <c r="E45" s="94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60D4E6-3F4A-4A2D-AA9F-A1291BEE6880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70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2</v>
      </c>
      <c r="D8" s="14"/>
      <c r="E8" s="14">
        <v>1</v>
      </c>
      <c r="F8" s="14">
        <v>1</v>
      </c>
      <c r="G8" s="14"/>
      <c r="H8" s="14">
        <v>20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>
        <v>5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2</v>
      </c>
      <c r="D15" s="23"/>
      <c r="E15" s="23">
        <v>0</v>
      </c>
      <c r="F15" s="23">
        <v>0</v>
      </c>
      <c r="G15" s="23"/>
      <c r="H15" s="23">
        <v>1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>
        <v>5</v>
      </c>
    </row>
    <row r="16" spans="2:27" ht="18" customHeight="1" thickBot="1" x14ac:dyDescent="0.3">
      <c r="B16" s="25" t="s">
        <v>26</v>
      </c>
      <c r="C16" s="57">
        <v>0</v>
      </c>
      <c r="D16" s="58"/>
      <c r="E16" s="27">
        <v>1</v>
      </c>
      <c r="F16" s="27">
        <v>1</v>
      </c>
      <c r="G16" s="28"/>
      <c r="H16" s="28">
        <v>19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>
        <v>0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2</v>
      </c>
      <c r="G24" s="14"/>
      <c r="H24" s="14">
        <v>110</v>
      </c>
      <c r="I24" s="14"/>
      <c r="J24" s="14"/>
      <c r="K24" s="14">
        <v>2</v>
      </c>
      <c r="L24" s="14">
        <v>21</v>
      </c>
      <c r="M24" s="14">
        <v>562</v>
      </c>
      <c r="N24" s="14"/>
      <c r="O24" s="14"/>
      <c r="P24" s="14">
        <v>10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2</v>
      </c>
      <c r="G31" s="23"/>
      <c r="H31" s="23">
        <v>54</v>
      </c>
      <c r="I31" s="23"/>
      <c r="J31" s="23"/>
      <c r="K31" s="23">
        <v>2</v>
      </c>
      <c r="L31" s="23">
        <v>14</v>
      </c>
      <c r="M31" s="23">
        <v>32</v>
      </c>
      <c r="N31" s="23"/>
      <c r="O31" s="23"/>
      <c r="P31" s="23">
        <v>10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56</v>
      </c>
      <c r="I32" s="28"/>
      <c r="J32" s="28"/>
      <c r="K32" s="28">
        <v>0</v>
      </c>
      <c r="L32" s="28">
        <v>7</v>
      </c>
      <c r="M32" s="28">
        <v>530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88" t="s">
        <v>43</v>
      </c>
      <c r="C34" s="90" t="s">
        <v>21</v>
      </c>
      <c r="D34" s="90"/>
      <c r="E34" s="91"/>
      <c r="F34" s="92" t="s">
        <v>44</v>
      </c>
      <c r="G34" s="90"/>
      <c r="H34" s="91"/>
      <c r="I34" s="92" t="s">
        <v>45</v>
      </c>
      <c r="J34" s="90"/>
      <c r="K34" s="91"/>
      <c r="L34" s="92" t="s">
        <v>46</v>
      </c>
      <c r="M34" s="90"/>
      <c r="N34" s="91"/>
      <c r="O34" s="93" t="s">
        <v>47</v>
      </c>
      <c r="P34" s="93"/>
      <c r="Q34" s="93"/>
      <c r="R34" s="83" t="s">
        <v>48</v>
      </c>
      <c r="S34" s="84"/>
      <c r="T34" s="84"/>
      <c r="U34" s="85"/>
      <c r="V34" s="66"/>
      <c r="W34" s="3"/>
      <c r="X34" s="3"/>
      <c r="Y34" s="3"/>
    </row>
    <row r="35" spans="2:25" ht="18" customHeight="1" thickBot="1" x14ac:dyDescent="0.3">
      <c r="B35" s="89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7"/>
      <c r="W35" s="77"/>
      <c r="X35" s="77"/>
      <c r="Y35" s="77"/>
    </row>
    <row r="36" spans="2:25" ht="18" customHeight="1" thickBot="1" x14ac:dyDescent="0.3">
      <c r="B36" s="52" t="s">
        <v>52</v>
      </c>
      <c r="C36" s="46"/>
      <c r="D36" s="41"/>
      <c r="E36" s="42"/>
      <c r="F36" s="42">
        <v>601</v>
      </c>
      <c r="G36" s="42">
        <v>4</v>
      </c>
      <c r="H36" s="42"/>
      <c r="I36" s="42">
        <v>4</v>
      </c>
      <c r="J36" s="42"/>
      <c r="K36" s="42"/>
      <c r="L36" s="42"/>
      <c r="M36" s="42"/>
      <c r="N36" s="42"/>
      <c r="O36" s="42">
        <v>17</v>
      </c>
      <c r="P36" s="42">
        <v>2</v>
      </c>
      <c r="Q36" s="43"/>
      <c r="R36" s="72"/>
      <c r="S36" s="44"/>
      <c r="T36" s="44"/>
      <c r="U36" s="77"/>
      <c r="V36" s="77"/>
      <c r="W36" s="77"/>
      <c r="X36" s="77"/>
      <c r="Y36" s="77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7"/>
      <c r="V37" s="77"/>
      <c r="W37" s="77"/>
      <c r="X37" s="77"/>
      <c r="Y37" s="77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7"/>
      <c r="V38" s="77"/>
      <c r="W38" s="77"/>
      <c r="X38" s="77"/>
      <c r="Y38" s="77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7"/>
      <c r="V39" s="77"/>
      <c r="W39" s="77"/>
      <c r="X39" s="77"/>
      <c r="Y39" s="77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7"/>
      <c r="V40" s="77"/>
      <c r="W40" s="77"/>
      <c r="X40" s="77"/>
      <c r="Y40" s="77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7"/>
      <c r="W41" s="77"/>
      <c r="X41" s="77"/>
      <c r="Y41" s="77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>
        <v>601</v>
      </c>
      <c r="G42" s="42">
        <v>4</v>
      </c>
      <c r="H42" s="42"/>
      <c r="I42" s="42">
        <v>4</v>
      </c>
      <c r="J42" s="42"/>
      <c r="K42" s="42"/>
      <c r="L42" s="42"/>
      <c r="M42" s="42"/>
      <c r="N42" s="42"/>
      <c r="O42" s="42">
        <v>17</v>
      </c>
      <c r="P42" s="42">
        <v>2</v>
      </c>
      <c r="Q42" s="43"/>
      <c r="R42" s="86" t="s">
        <v>54</v>
      </c>
      <c r="S42" s="87"/>
      <c r="T42" s="87"/>
      <c r="U42" s="87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7"/>
      <c r="V43" s="77"/>
      <c r="W43" s="77"/>
      <c r="X43" s="77"/>
      <c r="Y43" s="77"/>
    </row>
    <row r="44" spans="2:25" x14ac:dyDescent="0.25">
      <c r="B44" s="76" t="s">
        <v>68</v>
      </c>
      <c r="C44" s="94">
        <f>1+1+19+56+7+530</f>
        <v>614</v>
      </c>
      <c r="D44" s="94"/>
      <c r="E44" s="94"/>
    </row>
    <row r="45" spans="2:25" x14ac:dyDescent="0.25">
      <c r="B45" s="76" t="s">
        <v>69</v>
      </c>
      <c r="C45" s="94"/>
      <c r="D45" s="94"/>
      <c r="E45" s="94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A38EFE-5ACE-4F55-920D-E3AE83C3229B}">
  <dimension ref="B1:AA43"/>
  <sheetViews>
    <sheetView showGridLines="0" view="pageBreakPreview" zoomScale="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88" t="s">
        <v>43</v>
      </c>
      <c r="C34" s="90" t="s">
        <v>21</v>
      </c>
      <c r="D34" s="90"/>
      <c r="E34" s="91"/>
      <c r="F34" s="92" t="s">
        <v>44</v>
      </c>
      <c r="G34" s="90"/>
      <c r="H34" s="91"/>
      <c r="I34" s="92" t="s">
        <v>45</v>
      </c>
      <c r="J34" s="90"/>
      <c r="K34" s="91"/>
      <c r="L34" s="92" t="s">
        <v>46</v>
      </c>
      <c r="M34" s="90"/>
      <c r="N34" s="91"/>
      <c r="O34" s="93" t="s">
        <v>47</v>
      </c>
      <c r="P34" s="93"/>
      <c r="Q34" s="93"/>
      <c r="R34" s="83" t="s">
        <v>48</v>
      </c>
      <c r="S34" s="84"/>
      <c r="T34" s="84"/>
      <c r="U34" s="85"/>
      <c r="V34" s="66"/>
      <c r="W34" s="3"/>
      <c r="X34" s="3"/>
      <c r="Y34" s="3"/>
    </row>
    <row r="35" spans="2:25" ht="18" customHeight="1" thickBot="1" x14ac:dyDescent="0.3">
      <c r="B35" s="89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9"/>
      <c r="W35" s="79"/>
      <c r="X35" s="79"/>
      <c r="Y35" s="79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79"/>
      <c r="V36" s="79"/>
      <c r="W36" s="79"/>
      <c r="X36" s="79"/>
      <c r="Y36" s="79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9"/>
      <c r="V37" s="79"/>
      <c r="W37" s="79"/>
      <c r="X37" s="79"/>
      <c r="Y37" s="79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9"/>
      <c r="V38" s="79"/>
      <c r="W38" s="79"/>
      <c r="X38" s="79"/>
      <c r="Y38" s="79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9"/>
      <c r="V39" s="79"/>
      <c r="W39" s="79"/>
      <c r="X39" s="79"/>
      <c r="Y39" s="79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9"/>
      <c r="V40" s="79"/>
      <c r="W40" s="79"/>
      <c r="X40" s="79"/>
      <c r="Y40" s="79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9"/>
      <c r="W41" s="79"/>
      <c r="X41" s="79"/>
      <c r="Y41" s="79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86" t="s">
        <v>54</v>
      </c>
      <c r="S42" s="87"/>
      <c r="T42" s="87"/>
      <c r="U42" s="87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9"/>
      <c r="V43" s="79"/>
      <c r="W43" s="79"/>
      <c r="X43" s="79"/>
      <c r="Y43" s="79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61C83A-DC85-4CBD-A20D-3A6F1FF10142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86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2</v>
      </c>
      <c r="D8" s="14"/>
      <c r="E8" s="14"/>
      <c r="F8" s="14">
        <v>5</v>
      </c>
      <c r="G8" s="14"/>
      <c r="H8" s="14">
        <v>32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>
        <v>15</v>
      </c>
      <c r="X8" s="59">
        <v>2</v>
      </c>
      <c r="Y8" s="15">
        <v>5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0</v>
      </c>
      <c r="D15" s="23"/>
      <c r="E15" s="23"/>
      <c r="F15" s="23">
        <v>0</v>
      </c>
      <c r="G15" s="23"/>
      <c r="H15" s="23">
        <v>10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>
        <v>0</v>
      </c>
      <c r="X15" s="61">
        <v>0</v>
      </c>
      <c r="Y15" s="24">
        <v>5</v>
      </c>
    </row>
    <row r="16" spans="2:27" ht="18" customHeight="1" thickBot="1" x14ac:dyDescent="0.3">
      <c r="B16" s="25" t="s">
        <v>26</v>
      </c>
      <c r="C16" s="57">
        <v>2</v>
      </c>
      <c r="D16" s="58"/>
      <c r="E16" s="27"/>
      <c r="F16" s="27">
        <v>5</v>
      </c>
      <c r="G16" s="28"/>
      <c r="H16" s="28">
        <v>22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>
        <v>15</v>
      </c>
      <c r="X16" s="62">
        <v>2</v>
      </c>
      <c r="Y16" s="29">
        <v>0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2</v>
      </c>
      <c r="G24" s="14"/>
      <c r="H24" s="14">
        <v>54</v>
      </c>
      <c r="I24" s="14"/>
      <c r="J24" s="14"/>
      <c r="K24" s="14">
        <v>2</v>
      </c>
      <c r="L24" s="14">
        <v>14</v>
      </c>
      <c r="M24" s="14">
        <v>790</v>
      </c>
      <c r="N24" s="14"/>
      <c r="O24" s="14"/>
      <c r="P24" s="14">
        <v>10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0</v>
      </c>
      <c r="G31" s="23"/>
      <c r="H31" s="23">
        <v>47</v>
      </c>
      <c r="I31" s="23"/>
      <c r="J31" s="23"/>
      <c r="K31" s="23">
        <v>2</v>
      </c>
      <c r="L31" s="23">
        <v>12</v>
      </c>
      <c r="M31" s="23">
        <v>4</v>
      </c>
      <c r="N31" s="23"/>
      <c r="O31" s="23"/>
      <c r="P31" s="23">
        <v>10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2</v>
      </c>
      <c r="G32" s="28"/>
      <c r="H32" s="28">
        <v>7</v>
      </c>
      <c r="I32" s="28"/>
      <c r="J32" s="28"/>
      <c r="K32" s="28">
        <v>0</v>
      </c>
      <c r="L32" s="28">
        <v>2</v>
      </c>
      <c r="M32" s="28">
        <v>786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88" t="s">
        <v>43</v>
      </c>
      <c r="C34" s="90" t="s">
        <v>21</v>
      </c>
      <c r="D34" s="90"/>
      <c r="E34" s="91"/>
      <c r="F34" s="92" t="s">
        <v>44</v>
      </c>
      <c r="G34" s="90"/>
      <c r="H34" s="91"/>
      <c r="I34" s="92" t="s">
        <v>45</v>
      </c>
      <c r="J34" s="90"/>
      <c r="K34" s="91"/>
      <c r="L34" s="92" t="s">
        <v>46</v>
      </c>
      <c r="M34" s="90"/>
      <c r="N34" s="91"/>
      <c r="O34" s="93" t="s">
        <v>47</v>
      </c>
      <c r="P34" s="93"/>
      <c r="Q34" s="93"/>
      <c r="R34" s="83" t="s">
        <v>48</v>
      </c>
      <c r="S34" s="84"/>
      <c r="T34" s="84"/>
      <c r="U34" s="85"/>
      <c r="V34" s="66"/>
      <c r="W34" s="3"/>
      <c r="X34" s="3"/>
      <c r="Y34" s="3"/>
    </row>
    <row r="35" spans="2:25" ht="18" customHeight="1" thickBot="1" x14ac:dyDescent="0.3">
      <c r="B35" s="89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9"/>
      <c r="W35" s="79"/>
      <c r="X35" s="79"/>
      <c r="Y35" s="79"/>
    </row>
    <row r="36" spans="2:25" ht="18" customHeight="1" thickBot="1" x14ac:dyDescent="0.3">
      <c r="B36" s="52" t="s">
        <v>52</v>
      </c>
      <c r="C36" s="46">
        <v>6</v>
      </c>
      <c r="D36" s="41"/>
      <c r="E36" s="42">
        <v>21</v>
      </c>
      <c r="F36" s="42">
        <v>677</v>
      </c>
      <c r="G36" s="42">
        <v>23</v>
      </c>
      <c r="H36" s="42"/>
      <c r="I36" s="42">
        <v>28</v>
      </c>
      <c r="J36" s="42">
        <v>2</v>
      </c>
      <c r="K36" s="42"/>
      <c r="L36" s="42">
        <v>15</v>
      </c>
      <c r="M36" s="42">
        <v>11</v>
      </c>
      <c r="N36" s="42">
        <v>21</v>
      </c>
      <c r="O36" s="42">
        <v>7</v>
      </c>
      <c r="P36" s="42">
        <v>14</v>
      </c>
      <c r="Q36" s="43"/>
      <c r="R36" s="72"/>
      <c r="S36" s="44"/>
      <c r="T36" s="44"/>
      <c r="U36" s="79"/>
      <c r="V36" s="79"/>
      <c r="W36" s="79"/>
      <c r="X36" s="79"/>
      <c r="Y36" s="79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9"/>
      <c r="V37" s="79"/>
      <c r="W37" s="79"/>
      <c r="X37" s="79"/>
      <c r="Y37" s="79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9"/>
      <c r="V38" s="79"/>
      <c r="W38" s="79"/>
      <c r="X38" s="79"/>
      <c r="Y38" s="79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9"/>
      <c r="V39" s="79"/>
      <c r="W39" s="79"/>
      <c r="X39" s="79"/>
      <c r="Y39" s="79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9"/>
      <c r="V40" s="79"/>
      <c r="W40" s="79"/>
      <c r="X40" s="79"/>
      <c r="Y40" s="79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9"/>
      <c r="W41" s="79"/>
      <c r="X41" s="79"/>
      <c r="Y41" s="79"/>
    </row>
    <row r="42" spans="2:25" s="5" customFormat="1" ht="18" customHeight="1" thickBot="1" x14ac:dyDescent="0.3">
      <c r="B42" s="45" t="s">
        <v>53</v>
      </c>
      <c r="C42" s="46">
        <v>6</v>
      </c>
      <c r="D42" s="41"/>
      <c r="E42" s="42">
        <v>21</v>
      </c>
      <c r="F42" s="42">
        <v>677</v>
      </c>
      <c r="G42" s="42">
        <v>23</v>
      </c>
      <c r="H42" s="42"/>
      <c r="I42" s="42">
        <v>28</v>
      </c>
      <c r="J42" s="42">
        <v>2</v>
      </c>
      <c r="K42" s="42"/>
      <c r="L42" s="42">
        <v>15</v>
      </c>
      <c r="M42" s="42">
        <v>11</v>
      </c>
      <c r="N42" s="42">
        <v>21</v>
      </c>
      <c r="O42" s="42">
        <v>7</v>
      </c>
      <c r="P42" s="42">
        <v>14</v>
      </c>
      <c r="Q42" s="43"/>
      <c r="R42" s="86" t="s">
        <v>54</v>
      </c>
      <c r="S42" s="87"/>
      <c r="T42" s="87"/>
      <c r="U42" s="87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9"/>
      <c r="V43" s="79"/>
      <c r="W43" s="79"/>
      <c r="X43" s="79"/>
      <c r="Y43" s="79"/>
    </row>
    <row r="44" spans="2:25" x14ac:dyDescent="0.25">
      <c r="B44" s="76" t="s">
        <v>68</v>
      </c>
      <c r="C44" s="94">
        <f>2+5+22+15+2+2+7+2+786</f>
        <v>843</v>
      </c>
      <c r="D44" s="94"/>
      <c r="E44" s="94"/>
    </row>
    <row r="45" spans="2:25" x14ac:dyDescent="0.25">
      <c r="B45" s="76" t="s">
        <v>69</v>
      </c>
      <c r="C45" s="94"/>
      <c r="D45" s="94"/>
      <c r="E45" s="94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D4CE14-B56D-4F97-8167-51DF96CB2CA3}">
  <dimension ref="B1:AA43"/>
  <sheetViews>
    <sheetView showGridLines="0" view="pageBreakPreview" zoomScale="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88" t="s">
        <v>43</v>
      </c>
      <c r="C34" s="90" t="s">
        <v>21</v>
      </c>
      <c r="D34" s="90"/>
      <c r="E34" s="91"/>
      <c r="F34" s="92" t="s">
        <v>44</v>
      </c>
      <c r="G34" s="90"/>
      <c r="H34" s="91"/>
      <c r="I34" s="92" t="s">
        <v>45</v>
      </c>
      <c r="J34" s="90"/>
      <c r="K34" s="91"/>
      <c r="L34" s="92" t="s">
        <v>46</v>
      </c>
      <c r="M34" s="90"/>
      <c r="N34" s="91"/>
      <c r="O34" s="93" t="s">
        <v>47</v>
      </c>
      <c r="P34" s="93"/>
      <c r="Q34" s="93"/>
      <c r="R34" s="83" t="s">
        <v>48</v>
      </c>
      <c r="S34" s="84"/>
      <c r="T34" s="84"/>
      <c r="U34" s="85"/>
      <c r="V34" s="66"/>
      <c r="W34" s="3"/>
      <c r="X34" s="3"/>
      <c r="Y34" s="3"/>
    </row>
    <row r="35" spans="2:25" ht="18" customHeight="1" thickBot="1" x14ac:dyDescent="0.3">
      <c r="B35" s="89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8"/>
      <c r="W35" s="78"/>
      <c r="X35" s="78"/>
      <c r="Y35" s="78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78"/>
      <c r="V36" s="78"/>
      <c r="W36" s="78"/>
      <c r="X36" s="78"/>
      <c r="Y36" s="78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8"/>
      <c r="V37" s="78"/>
      <c r="W37" s="78"/>
      <c r="X37" s="78"/>
      <c r="Y37" s="78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8"/>
      <c r="V38" s="78"/>
      <c r="W38" s="78"/>
      <c r="X38" s="78"/>
      <c r="Y38" s="78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8"/>
      <c r="V39" s="78"/>
      <c r="W39" s="78"/>
      <c r="X39" s="78"/>
      <c r="Y39" s="78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8"/>
      <c r="V40" s="78"/>
      <c r="W40" s="78"/>
      <c r="X40" s="78"/>
      <c r="Y40" s="78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8"/>
      <c r="W41" s="78"/>
      <c r="X41" s="78"/>
      <c r="Y41" s="78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86" t="s">
        <v>54</v>
      </c>
      <c r="S42" s="87"/>
      <c r="T42" s="87"/>
      <c r="U42" s="87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8"/>
      <c r="V43" s="78"/>
      <c r="W43" s="78"/>
      <c r="X43" s="78"/>
      <c r="Y43" s="78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A40DB2-9B4B-4A01-927F-293573055B79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71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1</v>
      </c>
      <c r="D8" s="14"/>
      <c r="E8" s="14"/>
      <c r="F8" s="14"/>
      <c r="G8" s="14"/>
      <c r="H8" s="14" t="s">
        <v>89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>
        <v>4</v>
      </c>
      <c r="X8" s="59">
        <v>1</v>
      </c>
      <c r="Y8" s="15">
        <v>1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1</v>
      </c>
      <c r="D15" s="23"/>
      <c r="E15" s="23"/>
      <c r="F15" s="23"/>
      <c r="G15" s="23"/>
      <c r="H15" s="23" t="s">
        <v>88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>
        <v>2</v>
      </c>
      <c r="X15" s="61">
        <v>1</v>
      </c>
      <c r="Y15" s="24">
        <v>1</v>
      </c>
    </row>
    <row r="16" spans="2:27" ht="18" customHeight="1" thickBot="1" x14ac:dyDescent="0.3">
      <c r="B16" s="25" t="s">
        <v>26</v>
      </c>
      <c r="C16" s="57">
        <v>0</v>
      </c>
      <c r="D16" s="58"/>
      <c r="E16" s="27"/>
      <c r="F16" s="27"/>
      <c r="G16" s="28"/>
      <c r="H16" s="28" t="s">
        <v>87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>
        <v>2</v>
      </c>
      <c r="X16" s="62">
        <v>0</v>
      </c>
      <c r="Y16" s="29">
        <v>0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2</v>
      </c>
      <c r="G24" s="14"/>
      <c r="H24" s="14">
        <v>26</v>
      </c>
      <c r="I24" s="14"/>
      <c r="J24" s="14"/>
      <c r="K24" s="14">
        <v>1</v>
      </c>
      <c r="L24" s="14">
        <v>11</v>
      </c>
      <c r="M24" s="14">
        <v>370</v>
      </c>
      <c r="N24" s="14"/>
      <c r="O24" s="14"/>
      <c r="P24" s="14">
        <v>3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2</v>
      </c>
      <c r="G31" s="23"/>
      <c r="H31" s="23">
        <v>1</v>
      </c>
      <c r="I31" s="23"/>
      <c r="J31" s="23"/>
      <c r="K31" s="23">
        <v>1</v>
      </c>
      <c r="L31" s="23">
        <v>2</v>
      </c>
      <c r="M31" s="23">
        <v>26</v>
      </c>
      <c r="N31" s="23"/>
      <c r="O31" s="23"/>
      <c r="P31" s="23">
        <v>3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25</v>
      </c>
      <c r="I32" s="28"/>
      <c r="J32" s="28"/>
      <c r="K32" s="28">
        <v>0</v>
      </c>
      <c r="L32" s="28">
        <v>9</v>
      </c>
      <c r="M32" s="28">
        <v>344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88" t="s">
        <v>43</v>
      </c>
      <c r="C34" s="90" t="s">
        <v>21</v>
      </c>
      <c r="D34" s="90"/>
      <c r="E34" s="91"/>
      <c r="F34" s="92" t="s">
        <v>44</v>
      </c>
      <c r="G34" s="90"/>
      <c r="H34" s="91"/>
      <c r="I34" s="92" t="s">
        <v>45</v>
      </c>
      <c r="J34" s="90"/>
      <c r="K34" s="91"/>
      <c r="L34" s="92" t="s">
        <v>46</v>
      </c>
      <c r="M34" s="90"/>
      <c r="N34" s="91"/>
      <c r="O34" s="93" t="s">
        <v>47</v>
      </c>
      <c r="P34" s="93"/>
      <c r="Q34" s="93"/>
      <c r="R34" s="83" t="s">
        <v>48</v>
      </c>
      <c r="S34" s="84"/>
      <c r="T34" s="84"/>
      <c r="U34" s="85"/>
      <c r="V34" s="66"/>
      <c r="W34" s="3"/>
      <c r="X34" s="3"/>
      <c r="Y34" s="3"/>
    </row>
    <row r="35" spans="2:25" ht="18" customHeight="1" thickBot="1" x14ac:dyDescent="0.3">
      <c r="B35" s="89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8"/>
      <c r="W35" s="78"/>
      <c r="X35" s="78"/>
      <c r="Y35" s="78"/>
    </row>
    <row r="36" spans="2:25" ht="18" customHeight="1" thickBot="1" x14ac:dyDescent="0.3">
      <c r="B36" s="52" t="s">
        <v>52</v>
      </c>
      <c r="C36" s="46"/>
      <c r="D36" s="41"/>
      <c r="E36" s="42">
        <v>1</v>
      </c>
      <c r="F36" s="42">
        <v>358</v>
      </c>
      <c r="G36" s="42">
        <v>3</v>
      </c>
      <c r="H36" s="42">
        <v>7</v>
      </c>
      <c r="I36" s="42">
        <v>7</v>
      </c>
      <c r="J36" s="42">
        <v>8</v>
      </c>
      <c r="K36" s="42">
        <v>9</v>
      </c>
      <c r="L36" s="42">
        <v>1</v>
      </c>
      <c r="M36" s="42">
        <v>1</v>
      </c>
      <c r="N36" s="42">
        <v>8</v>
      </c>
      <c r="O36" s="42">
        <v>3</v>
      </c>
      <c r="P36" s="42">
        <v>1</v>
      </c>
      <c r="Q36" s="43">
        <v>22</v>
      </c>
      <c r="R36" s="72"/>
      <c r="S36" s="44"/>
      <c r="T36" s="44"/>
      <c r="U36" s="78"/>
      <c r="V36" s="78"/>
      <c r="W36" s="78"/>
      <c r="X36" s="78"/>
      <c r="Y36" s="78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8"/>
      <c r="V37" s="78"/>
      <c r="W37" s="78"/>
      <c r="X37" s="78"/>
      <c r="Y37" s="78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8"/>
      <c r="V38" s="78"/>
      <c r="W38" s="78"/>
      <c r="X38" s="78"/>
      <c r="Y38" s="78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8"/>
      <c r="V39" s="78"/>
      <c r="W39" s="78"/>
      <c r="X39" s="78"/>
      <c r="Y39" s="78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8"/>
      <c r="V40" s="78"/>
      <c r="W40" s="78"/>
      <c r="X40" s="78"/>
      <c r="Y40" s="78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8"/>
      <c r="W41" s="78"/>
      <c r="X41" s="78"/>
      <c r="Y41" s="78"/>
    </row>
    <row r="42" spans="2:25" s="5" customFormat="1" ht="18" customHeight="1" thickBot="1" x14ac:dyDescent="0.3">
      <c r="B42" s="45" t="s">
        <v>53</v>
      </c>
      <c r="C42" s="46"/>
      <c r="D42" s="41"/>
      <c r="E42" s="42">
        <v>1</v>
      </c>
      <c r="F42" s="42">
        <v>358</v>
      </c>
      <c r="G42" s="42">
        <v>3</v>
      </c>
      <c r="H42" s="42">
        <v>7</v>
      </c>
      <c r="I42" s="42">
        <v>7</v>
      </c>
      <c r="J42" s="42">
        <v>8</v>
      </c>
      <c r="K42" s="42">
        <v>9</v>
      </c>
      <c r="L42" s="42">
        <v>1</v>
      </c>
      <c r="M42" s="42">
        <v>1</v>
      </c>
      <c r="N42" s="42">
        <v>8</v>
      </c>
      <c r="O42" s="42">
        <v>3</v>
      </c>
      <c r="P42" s="42">
        <v>1</v>
      </c>
      <c r="Q42" s="43">
        <v>22</v>
      </c>
      <c r="R42" s="86" t="s">
        <v>54</v>
      </c>
      <c r="S42" s="87"/>
      <c r="T42" s="87"/>
      <c r="U42" s="87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8"/>
      <c r="V43" s="78"/>
      <c r="W43" s="78"/>
      <c r="X43" s="78"/>
      <c r="Y43" s="78"/>
    </row>
    <row r="44" spans="2:25" x14ac:dyDescent="0.25">
      <c r="B44" s="76" t="s">
        <v>68</v>
      </c>
      <c r="C44" s="94">
        <f>3+2+25+9+344</f>
        <v>383</v>
      </c>
      <c r="D44" s="94"/>
      <c r="E44" s="94"/>
    </row>
    <row r="45" spans="2:25" x14ac:dyDescent="0.25">
      <c r="B45" s="76" t="s">
        <v>69</v>
      </c>
      <c r="C45" s="94">
        <v>23</v>
      </c>
      <c r="D45" s="94"/>
      <c r="E45" s="94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38684D-B9D4-4810-8E43-8436AF8EB367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71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 t="s">
        <v>90</v>
      </c>
      <c r="D8" s="14">
        <v>1</v>
      </c>
      <c r="E8" s="14"/>
      <c r="F8" s="14">
        <v>1</v>
      </c>
      <c r="G8" s="14"/>
      <c r="H8" s="14" t="s">
        <v>92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>
        <v>1</v>
      </c>
      <c r="Y8" s="15">
        <v>1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 t="s">
        <v>90</v>
      </c>
      <c r="D15" s="23">
        <v>1</v>
      </c>
      <c r="E15" s="23"/>
      <c r="F15" s="23">
        <v>1</v>
      </c>
      <c r="G15" s="23"/>
      <c r="H15" s="23">
        <v>1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>
        <v>1</v>
      </c>
      <c r="Y15" s="24">
        <v>1</v>
      </c>
    </row>
    <row r="16" spans="2:27" ht="18" customHeight="1" thickBot="1" x14ac:dyDescent="0.3">
      <c r="B16" s="25" t="s">
        <v>26</v>
      </c>
      <c r="C16" s="57">
        <v>0</v>
      </c>
      <c r="D16" s="58">
        <v>0</v>
      </c>
      <c r="E16" s="27"/>
      <c r="F16" s="27">
        <v>0</v>
      </c>
      <c r="G16" s="28"/>
      <c r="H16" s="28" t="s">
        <v>91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>
        <v>0</v>
      </c>
      <c r="Y16" s="29">
        <v>0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2</v>
      </c>
      <c r="G24" s="14"/>
      <c r="H24" s="14">
        <v>30</v>
      </c>
      <c r="I24" s="14"/>
      <c r="J24" s="14"/>
      <c r="K24" s="14">
        <v>1</v>
      </c>
      <c r="L24" s="14">
        <v>6</v>
      </c>
      <c r="M24" s="14">
        <v>382</v>
      </c>
      <c r="N24" s="14"/>
      <c r="O24" s="14"/>
      <c r="P24" s="14" t="s">
        <v>93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2</v>
      </c>
      <c r="G31" s="23"/>
      <c r="H31" s="23">
        <v>9</v>
      </c>
      <c r="I31" s="23"/>
      <c r="J31" s="23"/>
      <c r="K31" s="23">
        <v>1</v>
      </c>
      <c r="L31" s="23">
        <v>1</v>
      </c>
      <c r="M31" s="23">
        <v>38</v>
      </c>
      <c r="N31" s="23"/>
      <c r="O31" s="23"/>
      <c r="P31" s="23" t="s">
        <v>93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21</v>
      </c>
      <c r="I32" s="28"/>
      <c r="J32" s="28"/>
      <c r="K32" s="28">
        <v>0</v>
      </c>
      <c r="L32" s="28">
        <v>5</v>
      </c>
      <c r="M32" s="28">
        <v>344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88" t="s">
        <v>43</v>
      </c>
      <c r="C34" s="90" t="s">
        <v>21</v>
      </c>
      <c r="D34" s="90"/>
      <c r="E34" s="91"/>
      <c r="F34" s="92" t="s">
        <v>44</v>
      </c>
      <c r="G34" s="90"/>
      <c r="H34" s="91"/>
      <c r="I34" s="92" t="s">
        <v>45</v>
      </c>
      <c r="J34" s="90"/>
      <c r="K34" s="91"/>
      <c r="L34" s="92" t="s">
        <v>46</v>
      </c>
      <c r="M34" s="90"/>
      <c r="N34" s="91"/>
      <c r="O34" s="93" t="s">
        <v>47</v>
      </c>
      <c r="P34" s="93"/>
      <c r="Q34" s="93"/>
      <c r="R34" s="83" t="s">
        <v>48</v>
      </c>
      <c r="S34" s="84"/>
      <c r="T34" s="84"/>
      <c r="U34" s="85"/>
      <c r="V34" s="66"/>
      <c r="W34" s="3"/>
      <c r="X34" s="3"/>
      <c r="Y34" s="3"/>
    </row>
    <row r="35" spans="2:25" ht="18" customHeight="1" thickBot="1" x14ac:dyDescent="0.3">
      <c r="B35" s="89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8"/>
      <c r="W35" s="78"/>
      <c r="X35" s="78"/>
      <c r="Y35" s="78"/>
    </row>
    <row r="36" spans="2:25" ht="18" customHeight="1" thickBot="1" x14ac:dyDescent="0.3">
      <c r="B36" s="52" t="s">
        <v>52</v>
      </c>
      <c r="C36" s="46"/>
      <c r="D36" s="41"/>
      <c r="E36" s="42"/>
      <c r="F36" s="42">
        <v>369</v>
      </c>
      <c r="G36" s="42">
        <v>1</v>
      </c>
      <c r="H36" s="42">
        <v>4</v>
      </c>
      <c r="I36" s="42">
        <v>5</v>
      </c>
      <c r="J36" s="42"/>
      <c r="K36" s="42"/>
      <c r="L36" s="42"/>
      <c r="M36" s="42"/>
      <c r="N36" s="42"/>
      <c r="O36" s="42">
        <v>7</v>
      </c>
      <c r="P36" s="42">
        <v>11</v>
      </c>
      <c r="Q36" s="43">
        <v>3</v>
      </c>
      <c r="R36" s="72"/>
      <c r="S36" s="44"/>
      <c r="T36" s="44"/>
      <c r="U36" s="78"/>
      <c r="V36" s="78"/>
      <c r="W36" s="78"/>
      <c r="X36" s="78"/>
      <c r="Y36" s="78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8"/>
      <c r="V37" s="78"/>
      <c r="W37" s="78"/>
      <c r="X37" s="78"/>
      <c r="Y37" s="78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8"/>
      <c r="V38" s="78"/>
      <c r="W38" s="78"/>
      <c r="X38" s="78"/>
      <c r="Y38" s="78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8"/>
      <c r="V39" s="78"/>
      <c r="W39" s="78"/>
      <c r="X39" s="78"/>
      <c r="Y39" s="78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8"/>
      <c r="V40" s="78"/>
      <c r="W40" s="78"/>
      <c r="X40" s="78"/>
      <c r="Y40" s="78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8"/>
      <c r="W41" s="78"/>
      <c r="X41" s="78"/>
      <c r="Y41" s="78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>
        <v>369</v>
      </c>
      <c r="G42" s="42">
        <v>1</v>
      </c>
      <c r="H42" s="42">
        <v>4</v>
      </c>
      <c r="I42" s="42">
        <v>5</v>
      </c>
      <c r="J42" s="42"/>
      <c r="K42" s="42"/>
      <c r="L42" s="42"/>
      <c r="M42" s="42"/>
      <c r="N42" s="42"/>
      <c r="O42" s="42">
        <v>7</v>
      </c>
      <c r="P42" s="42">
        <v>11</v>
      </c>
      <c r="Q42" s="43">
        <v>3</v>
      </c>
      <c r="R42" s="86" t="s">
        <v>54</v>
      </c>
      <c r="S42" s="87"/>
      <c r="T42" s="87"/>
      <c r="U42" s="87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8"/>
      <c r="V43" s="78"/>
      <c r="W43" s="78"/>
      <c r="X43" s="78"/>
      <c r="Y43" s="78"/>
    </row>
    <row r="44" spans="2:25" x14ac:dyDescent="0.25">
      <c r="B44" s="76" t="s">
        <v>68</v>
      </c>
      <c r="C44" s="94">
        <f>12+21+5+344</f>
        <v>382</v>
      </c>
      <c r="D44" s="94"/>
      <c r="E44" s="94"/>
    </row>
    <row r="45" spans="2:25" x14ac:dyDescent="0.25">
      <c r="B45" s="76" t="s">
        <v>69</v>
      </c>
      <c r="C45" s="94">
        <f>22</f>
        <v>22</v>
      </c>
      <c r="D45" s="94"/>
      <c r="E45" s="94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421451-4279-4605-8A8F-CFD36DD28647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71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2</v>
      </c>
      <c r="D8" s="14"/>
      <c r="E8" s="14"/>
      <c r="F8" s="14"/>
      <c r="G8" s="14"/>
      <c r="H8" s="14">
        <v>20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>
        <v>2</v>
      </c>
      <c r="Y8" s="15">
        <v>5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2</v>
      </c>
      <c r="D15" s="23"/>
      <c r="E15" s="23"/>
      <c r="F15" s="23"/>
      <c r="G15" s="23"/>
      <c r="H15" s="23" t="s">
        <v>90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>
        <v>2</v>
      </c>
      <c r="Y15" s="24">
        <v>5</v>
      </c>
    </row>
    <row r="16" spans="2:27" ht="18" customHeight="1" thickBot="1" x14ac:dyDescent="0.3">
      <c r="B16" s="25" t="s">
        <v>26</v>
      </c>
      <c r="C16" s="57">
        <v>0</v>
      </c>
      <c r="D16" s="58"/>
      <c r="E16" s="27"/>
      <c r="F16" s="27"/>
      <c r="G16" s="28"/>
      <c r="H16" s="28" t="s">
        <v>94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>
        <v>0</v>
      </c>
      <c r="Y16" s="29">
        <v>0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2</v>
      </c>
      <c r="G24" s="14"/>
      <c r="H24" s="14">
        <v>60</v>
      </c>
      <c r="I24" s="14"/>
      <c r="J24" s="14"/>
      <c r="K24" s="14">
        <v>2</v>
      </c>
      <c r="L24" s="14">
        <v>20</v>
      </c>
      <c r="M24" s="14">
        <v>544</v>
      </c>
      <c r="N24" s="14"/>
      <c r="O24" s="14"/>
      <c r="P24" s="14">
        <v>10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0</v>
      </c>
      <c r="G31" s="23"/>
      <c r="H31" s="23">
        <v>2</v>
      </c>
      <c r="I31" s="23"/>
      <c r="J31" s="23"/>
      <c r="K31" s="23">
        <v>2</v>
      </c>
      <c r="L31" s="23">
        <v>9</v>
      </c>
      <c r="M31" s="23">
        <v>60</v>
      </c>
      <c r="N31" s="23"/>
      <c r="O31" s="23"/>
      <c r="P31" s="23">
        <v>10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2</v>
      </c>
      <c r="G32" s="28"/>
      <c r="H32" s="28">
        <v>58</v>
      </c>
      <c r="I32" s="28"/>
      <c r="J32" s="28"/>
      <c r="K32" s="28">
        <v>0</v>
      </c>
      <c r="L32" s="28">
        <v>11</v>
      </c>
      <c r="M32" s="28">
        <v>484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88" t="s">
        <v>43</v>
      </c>
      <c r="C34" s="90" t="s">
        <v>21</v>
      </c>
      <c r="D34" s="90"/>
      <c r="E34" s="91"/>
      <c r="F34" s="92" t="s">
        <v>44</v>
      </c>
      <c r="G34" s="90"/>
      <c r="H34" s="91"/>
      <c r="I34" s="92" t="s">
        <v>45</v>
      </c>
      <c r="J34" s="90"/>
      <c r="K34" s="91"/>
      <c r="L34" s="92" t="s">
        <v>46</v>
      </c>
      <c r="M34" s="90"/>
      <c r="N34" s="91"/>
      <c r="O34" s="93" t="s">
        <v>47</v>
      </c>
      <c r="P34" s="93"/>
      <c r="Q34" s="93"/>
      <c r="R34" s="83" t="s">
        <v>48</v>
      </c>
      <c r="S34" s="84"/>
      <c r="T34" s="84"/>
      <c r="U34" s="85"/>
      <c r="V34" s="66"/>
      <c r="W34" s="3"/>
      <c r="X34" s="3"/>
      <c r="Y34" s="3"/>
    </row>
    <row r="35" spans="2:25" ht="18" customHeight="1" thickBot="1" x14ac:dyDescent="0.3">
      <c r="B35" s="89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8"/>
      <c r="W35" s="78"/>
      <c r="X35" s="78"/>
      <c r="Y35" s="78"/>
    </row>
    <row r="36" spans="2:25" ht="18" customHeight="1" thickBot="1" x14ac:dyDescent="0.3">
      <c r="B36" s="52" t="s">
        <v>52</v>
      </c>
      <c r="C36" s="46"/>
      <c r="D36" s="41"/>
      <c r="E36" s="42"/>
      <c r="F36" s="42">
        <v>529</v>
      </c>
      <c r="G36" s="42">
        <v>22</v>
      </c>
      <c r="H36" s="42">
        <v>5</v>
      </c>
      <c r="I36" s="42">
        <v>10</v>
      </c>
      <c r="J36" s="42">
        <v>3</v>
      </c>
      <c r="K36" s="42">
        <v>8</v>
      </c>
      <c r="L36" s="42">
        <v>2</v>
      </c>
      <c r="M36" s="42"/>
      <c r="N36" s="42"/>
      <c r="O36" s="42">
        <v>13</v>
      </c>
      <c r="P36" s="42">
        <v>1</v>
      </c>
      <c r="Q36" s="43">
        <v>13</v>
      </c>
      <c r="R36" s="72"/>
      <c r="S36" s="44"/>
      <c r="T36" s="44"/>
      <c r="U36" s="78"/>
      <c r="V36" s="78"/>
      <c r="W36" s="78"/>
      <c r="X36" s="78"/>
      <c r="Y36" s="78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8"/>
      <c r="V37" s="78"/>
      <c r="W37" s="78"/>
      <c r="X37" s="78"/>
      <c r="Y37" s="78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8"/>
      <c r="V38" s="78"/>
      <c r="W38" s="78"/>
      <c r="X38" s="78"/>
      <c r="Y38" s="78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8"/>
      <c r="V39" s="78"/>
      <c r="W39" s="78"/>
      <c r="X39" s="78"/>
      <c r="Y39" s="78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8"/>
      <c r="V40" s="78"/>
      <c r="W40" s="78"/>
      <c r="X40" s="78"/>
      <c r="Y40" s="78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8"/>
      <c r="W41" s="78"/>
      <c r="X41" s="78"/>
      <c r="Y41" s="78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>
        <v>529</v>
      </c>
      <c r="G42" s="42">
        <v>22</v>
      </c>
      <c r="H42" s="42">
        <v>5</v>
      </c>
      <c r="I42" s="42">
        <v>10</v>
      </c>
      <c r="J42" s="42">
        <v>3</v>
      </c>
      <c r="K42" s="42">
        <v>8</v>
      </c>
      <c r="L42" s="42">
        <v>2</v>
      </c>
      <c r="M42" s="42"/>
      <c r="N42" s="42"/>
      <c r="O42" s="42">
        <v>13</v>
      </c>
      <c r="P42" s="42">
        <v>1</v>
      </c>
      <c r="Q42" s="43">
        <v>13</v>
      </c>
      <c r="R42" s="86" t="s">
        <v>54</v>
      </c>
      <c r="S42" s="87"/>
      <c r="T42" s="87"/>
      <c r="U42" s="87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8"/>
      <c r="V43" s="78"/>
      <c r="W43" s="78"/>
      <c r="X43" s="78"/>
      <c r="Y43" s="78"/>
    </row>
    <row r="44" spans="2:25" x14ac:dyDescent="0.25">
      <c r="B44" s="76" t="s">
        <v>68</v>
      </c>
      <c r="C44" s="94">
        <f>16+2+58+11+484</f>
        <v>571</v>
      </c>
      <c r="D44" s="94"/>
      <c r="E44" s="94"/>
    </row>
    <row r="45" spans="2:25" x14ac:dyDescent="0.25">
      <c r="B45" s="76" t="s">
        <v>69</v>
      </c>
      <c r="C45" s="94">
        <v>12</v>
      </c>
      <c r="D45" s="94"/>
      <c r="E45" s="94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74B04A-0CDB-4253-ACD3-9774D5F3B072}">
  <dimension ref="B1:AA43"/>
  <sheetViews>
    <sheetView showGridLines="0" view="pageBreakPreview" zoomScale="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88" t="s">
        <v>43</v>
      </c>
      <c r="C34" s="90" t="s">
        <v>21</v>
      </c>
      <c r="D34" s="90"/>
      <c r="E34" s="91"/>
      <c r="F34" s="92" t="s">
        <v>44</v>
      </c>
      <c r="G34" s="90"/>
      <c r="H34" s="91"/>
      <c r="I34" s="92" t="s">
        <v>45</v>
      </c>
      <c r="J34" s="90"/>
      <c r="K34" s="91"/>
      <c r="L34" s="92" t="s">
        <v>46</v>
      </c>
      <c r="M34" s="90"/>
      <c r="N34" s="91"/>
      <c r="O34" s="93" t="s">
        <v>47</v>
      </c>
      <c r="P34" s="93"/>
      <c r="Q34" s="93"/>
      <c r="R34" s="83" t="s">
        <v>48</v>
      </c>
      <c r="S34" s="84"/>
      <c r="T34" s="84"/>
      <c r="U34" s="85"/>
      <c r="V34" s="66"/>
      <c r="W34" s="3"/>
      <c r="X34" s="3"/>
      <c r="Y34" s="3"/>
    </row>
    <row r="35" spans="2:25" ht="18" customHeight="1" thickBot="1" x14ac:dyDescent="0.3">
      <c r="B35" s="89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8"/>
      <c r="W35" s="78"/>
      <c r="X35" s="78"/>
      <c r="Y35" s="78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78"/>
      <c r="V36" s="78"/>
      <c r="W36" s="78"/>
      <c r="X36" s="78"/>
      <c r="Y36" s="78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8"/>
      <c r="V37" s="78"/>
      <c r="W37" s="78"/>
      <c r="X37" s="78"/>
      <c r="Y37" s="78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8"/>
      <c r="V38" s="78"/>
      <c r="W38" s="78"/>
      <c r="X38" s="78"/>
      <c r="Y38" s="78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8"/>
      <c r="V39" s="78"/>
      <c r="W39" s="78"/>
      <c r="X39" s="78"/>
      <c r="Y39" s="78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8"/>
      <c r="V40" s="78"/>
      <c r="W40" s="78"/>
      <c r="X40" s="78"/>
      <c r="Y40" s="78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8"/>
      <c r="W41" s="78"/>
      <c r="X41" s="78"/>
      <c r="Y41" s="78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86" t="s">
        <v>54</v>
      </c>
      <c r="S42" s="87"/>
      <c r="T42" s="87"/>
      <c r="U42" s="87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8"/>
      <c r="V43" s="78"/>
      <c r="W43" s="78"/>
      <c r="X43" s="78"/>
      <c r="Y43" s="78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EE220F-4A95-4510-A581-9E59D01C3F4F}">
  <dimension ref="B1:AA45"/>
  <sheetViews>
    <sheetView showGridLines="0" topLeftCell="A1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72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1</v>
      </c>
      <c r="D8" s="14"/>
      <c r="E8" s="14">
        <v>2</v>
      </c>
      <c r="F8" s="14">
        <v>1</v>
      </c>
      <c r="G8" s="14"/>
      <c r="H8" s="14" t="s">
        <v>99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>
        <v>6</v>
      </c>
      <c r="X8" s="59">
        <v>7</v>
      </c>
      <c r="Y8" s="15">
        <v>2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0</v>
      </c>
      <c r="D15" s="23"/>
      <c r="E15" s="23">
        <v>0</v>
      </c>
      <c r="F15" s="23">
        <v>0</v>
      </c>
      <c r="G15" s="23"/>
      <c r="H15" s="23" t="s">
        <v>98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>
        <v>0</v>
      </c>
      <c r="X15" s="61">
        <v>2</v>
      </c>
      <c r="Y15" s="24">
        <v>0</v>
      </c>
    </row>
    <row r="16" spans="2:27" ht="18" customHeight="1" thickBot="1" x14ac:dyDescent="0.3">
      <c r="B16" s="25" t="s">
        <v>26</v>
      </c>
      <c r="C16" s="57">
        <v>1</v>
      </c>
      <c r="D16" s="58"/>
      <c r="E16" s="27">
        <v>2</v>
      </c>
      <c r="F16" s="27">
        <v>1</v>
      </c>
      <c r="G16" s="28"/>
      <c r="H16" s="28" t="s">
        <v>97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>
        <v>6</v>
      </c>
      <c r="X16" s="62">
        <v>5</v>
      </c>
      <c r="Y16" s="29">
        <v>2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7</v>
      </c>
      <c r="G24" s="14"/>
      <c r="H24" s="14">
        <v>109</v>
      </c>
      <c r="I24" s="14"/>
      <c r="J24" s="14"/>
      <c r="K24" s="14">
        <v>1</v>
      </c>
      <c r="L24" s="14">
        <v>12</v>
      </c>
      <c r="M24" s="14">
        <v>566</v>
      </c>
      <c r="N24" s="14">
        <v>1</v>
      </c>
      <c r="O24" s="14"/>
      <c r="P24" s="14">
        <v>8</v>
      </c>
      <c r="Q24" s="14"/>
      <c r="R24" s="14"/>
      <c r="S24" s="14"/>
      <c r="T24" s="14"/>
      <c r="U24" s="14"/>
      <c r="V24" s="14">
        <v>1</v>
      </c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0</v>
      </c>
      <c r="G31" s="23"/>
      <c r="H31" s="23">
        <v>1</v>
      </c>
      <c r="I31" s="23"/>
      <c r="J31" s="23"/>
      <c r="K31" s="23">
        <v>1</v>
      </c>
      <c r="L31" s="23">
        <v>0</v>
      </c>
      <c r="M31" s="23">
        <v>108</v>
      </c>
      <c r="N31" s="23">
        <v>0</v>
      </c>
      <c r="O31" s="23"/>
      <c r="P31" s="23">
        <v>0</v>
      </c>
      <c r="Q31" s="23"/>
      <c r="R31" s="23"/>
      <c r="S31" s="23"/>
      <c r="T31" s="23"/>
      <c r="U31" s="23"/>
      <c r="V31" s="23">
        <v>0</v>
      </c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7</v>
      </c>
      <c r="G32" s="28"/>
      <c r="H32" s="28">
        <v>128</v>
      </c>
      <c r="I32" s="28"/>
      <c r="J32" s="28"/>
      <c r="K32" s="28">
        <v>0</v>
      </c>
      <c r="L32" s="28">
        <v>12</v>
      </c>
      <c r="M32" s="28">
        <v>458</v>
      </c>
      <c r="N32" s="28">
        <v>1</v>
      </c>
      <c r="O32" s="23"/>
      <c r="P32" s="28">
        <v>8</v>
      </c>
      <c r="Q32" s="28"/>
      <c r="R32" s="28"/>
      <c r="S32" s="28"/>
      <c r="T32" s="28"/>
      <c r="U32" s="28"/>
      <c r="V32" s="28">
        <v>1</v>
      </c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88" t="s">
        <v>43</v>
      </c>
      <c r="C34" s="90" t="s">
        <v>21</v>
      </c>
      <c r="D34" s="90"/>
      <c r="E34" s="91"/>
      <c r="F34" s="92" t="s">
        <v>44</v>
      </c>
      <c r="G34" s="90"/>
      <c r="H34" s="91"/>
      <c r="I34" s="92" t="s">
        <v>45</v>
      </c>
      <c r="J34" s="90"/>
      <c r="K34" s="91"/>
      <c r="L34" s="92" t="s">
        <v>46</v>
      </c>
      <c r="M34" s="90"/>
      <c r="N34" s="91"/>
      <c r="O34" s="93" t="s">
        <v>47</v>
      </c>
      <c r="P34" s="93"/>
      <c r="Q34" s="93"/>
      <c r="R34" s="83" t="s">
        <v>48</v>
      </c>
      <c r="S34" s="84"/>
      <c r="T34" s="84"/>
      <c r="U34" s="85"/>
      <c r="V34" s="66"/>
      <c r="W34" s="3"/>
      <c r="X34" s="3"/>
      <c r="Y34" s="3"/>
    </row>
    <row r="35" spans="2:25" ht="18" customHeight="1" thickBot="1" x14ac:dyDescent="0.3">
      <c r="B35" s="89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8"/>
      <c r="W35" s="78"/>
      <c r="X35" s="78"/>
      <c r="Y35" s="78"/>
    </row>
    <row r="36" spans="2:25" ht="18" customHeight="1" thickBot="1" x14ac:dyDescent="0.3">
      <c r="B36" s="52" t="s">
        <v>52</v>
      </c>
      <c r="C36" s="46">
        <v>4</v>
      </c>
      <c r="D36" s="41">
        <v>2</v>
      </c>
      <c r="E36" s="42">
        <v>22</v>
      </c>
      <c r="F36" s="42">
        <v>585</v>
      </c>
      <c r="G36" s="42">
        <v>12</v>
      </c>
      <c r="H36" s="42">
        <v>7</v>
      </c>
      <c r="I36" s="42">
        <v>14</v>
      </c>
      <c r="J36" s="42">
        <v>1</v>
      </c>
      <c r="K36" s="42">
        <v>11</v>
      </c>
      <c r="L36" s="42">
        <v>8</v>
      </c>
      <c r="M36" s="42">
        <v>5</v>
      </c>
      <c r="N36" s="42">
        <v>17</v>
      </c>
      <c r="O36" s="42">
        <v>3</v>
      </c>
      <c r="P36" s="42"/>
      <c r="Q36" s="43">
        <v>6</v>
      </c>
      <c r="R36" s="72"/>
      <c r="S36" s="44"/>
      <c r="T36" s="44"/>
      <c r="U36" s="78"/>
      <c r="V36" s="78"/>
      <c r="W36" s="78"/>
      <c r="X36" s="78"/>
      <c r="Y36" s="78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8"/>
      <c r="V37" s="78"/>
      <c r="W37" s="78"/>
      <c r="X37" s="78"/>
      <c r="Y37" s="78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8"/>
      <c r="V38" s="78"/>
      <c r="W38" s="78"/>
      <c r="X38" s="78"/>
      <c r="Y38" s="78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8"/>
      <c r="V39" s="78"/>
      <c r="W39" s="78"/>
      <c r="X39" s="78"/>
      <c r="Y39" s="78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8"/>
      <c r="V40" s="78"/>
      <c r="W40" s="78"/>
      <c r="X40" s="78"/>
      <c r="Y40" s="78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8"/>
      <c r="W41" s="78"/>
      <c r="X41" s="78"/>
      <c r="Y41" s="78"/>
    </row>
    <row r="42" spans="2:25" s="5" customFormat="1" ht="18" customHeight="1" thickBot="1" x14ac:dyDescent="0.3">
      <c r="B42" s="45" t="s">
        <v>53</v>
      </c>
      <c r="C42" s="46">
        <v>4</v>
      </c>
      <c r="D42" s="41">
        <v>2</v>
      </c>
      <c r="E42" s="42">
        <v>22</v>
      </c>
      <c r="F42" s="42">
        <v>585</v>
      </c>
      <c r="G42" s="42">
        <v>12</v>
      </c>
      <c r="H42" s="42">
        <v>7</v>
      </c>
      <c r="I42" s="42">
        <v>14</v>
      </c>
      <c r="J42" s="42">
        <v>1</v>
      </c>
      <c r="K42" s="42">
        <v>11</v>
      </c>
      <c r="L42" s="42">
        <v>8</v>
      </c>
      <c r="M42" s="42">
        <v>5</v>
      </c>
      <c r="N42" s="42">
        <v>17</v>
      </c>
      <c r="O42" s="42">
        <v>3</v>
      </c>
      <c r="P42" s="42"/>
      <c r="Q42" s="43">
        <v>6</v>
      </c>
      <c r="R42" s="86" t="s">
        <v>54</v>
      </c>
      <c r="S42" s="87"/>
      <c r="T42" s="87"/>
      <c r="U42" s="87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8"/>
      <c r="V43" s="78"/>
      <c r="W43" s="78"/>
      <c r="X43" s="78"/>
      <c r="Y43" s="78"/>
    </row>
    <row r="44" spans="2:25" x14ac:dyDescent="0.25">
      <c r="B44" s="76" t="s">
        <v>68</v>
      </c>
      <c r="C44" s="94">
        <f>1+2+1+5+6+5+2+7+128+12+458+1+8+1</f>
        <v>637</v>
      </c>
      <c r="D44" s="94"/>
      <c r="E44" s="94"/>
    </row>
    <row r="45" spans="2:25" x14ac:dyDescent="0.25">
      <c r="B45" s="76" t="s">
        <v>69</v>
      </c>
      <c r="C45" s="94">
        <v>6</v>
      </c>
      <c r="D45" s="94"/>
      <c r="E45" s="94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11923D-3911-4971-A7C4-27FAA0636312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72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 t="s">
        <v>100</v>
      </c>
      <c r="D8" s="14">
        <v>1</v>
      </c>
      <c r="E8" s="14"/>
      <c r="F8" s="14">
        <v>1</v>
      </c>
      <c r="G8" s="14"/>
      <c r="H8" s="14">
        <v>12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>
        <v>1</v>
      </c>
      <c r="Y8" s="15">
        <v>1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 t="s">
        <v>100</v>
      </c>
      <c r="D15" s="23">
        <v>1</v>
      </c>
      <c r="E15" s="23"/>
      <c r="F15" s="23">
        <v>0</v>
      </c>
      <c r="G15" s="23"/>
      <c r="H15" s="23">
        <v>0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>
        <v>1</v>
      </c>
      <c r="Y15" s="24">
        <v>1</v>
      </c>
    </row>
    <row r="16" spans="2:27" ht="18" customHeight="1" thickBot="1" x14ac:dyDescent="0.3">
      <c r="B16" s="25" t="s">
        <v>26</v>
      </c>
      <c r="C16" s="57">
        <v>0</v>
      </c>
      <c r="D16" s="58">
        <v>0</v>
      </c>
      <c r="E16" s="27"/>
      <c r="F16" s="27">
        <v>1</v>
      </c>
      <c r="G16" s="28"/>
      <c r="H16" s="28">
        <v>12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>
        <v>0</v>
      </c>
      <c r="Y16" s="29">
        <v>0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2</v>
      </c>
      <c r="G24" s="14"/>
      <c r="H24" s="14">
        <v>72</v>
      </c>
      <c r="I24" s="14"/>
      <c r="J24" s="14"/>
      <c r="K24" s="14">
        <v>1</v>
      </c>
      <c r="L24" s="14">
        <v>11</v>
      </c>
      <c r="M24" s="14">
        <v>524</v>
      </c>
      <c r="N24" s="14"/>
      <c r="O24" s="14"/>
      <c r="P24" s="14" t="s">
        <v>101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2</v>
      </c>
      <c r="G31" s="23"/>
      <c r="H31" s="23">
        <v>13</v>
      </c>
      <c r="I31" s="23"/>
      <c r="J31" s="23"/>
      <c r="K31" s="23">
        <v>1</v>
      </c>
      <c r="L31" s="23">
        <v>0</v>
      </c>
      <c r="M31" s="23">
        <v>110</v>
      </c>
      <c r="N31" s="23"/>
      <c r="O31" s="23"/>
      <c r="P31" s="23" t="s">
        <v>101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59</v>
      </c>
      <c r="I32" s="28"/>
      <c r="J32" s="28"/>
      <c r="K32" s="28">
        <v>0</v>
      </c>
      <c r="L32" s="28">
        <v>11</v>
      </c>
      <c r="M32" s="28">
        <v>414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88" t="s">
        <v>43</v>
      </c>
      <c r="C34" s="90" t="s">
        <v>21</v>
      </c>
      <c r="D34" s="90"/>
      <c r="E34" s="91"/>
      <c r="F34" s="92" t="s">
        <v>44</v>
      </c>
      <c r="G34" s="90"/>
      <c r="H34" s="91"/>
      <c r="I34" s="92" t="s">
        <v>45</v>
      </c>
      <c r="J34" s="90"/>
      <c r="K34" s="91"/>
      <c r="L34" s="92" t="s">
        <v>46</v>
      </c>
      <c r="M34" s="90"/>
      <c r="N34" s="91"/>
      <c r="O34" s="93" t="s">
        <v>47</v>
      </c>
      <c r="P34" s="93"/>
      <c r="Q34" s="93"/>
      <c r="R34" s="83" t="s">
        <v>48</v>
      </c>
      <c r="S34" s="84"/>
      <c r="T34" s="84"/>
      <c r="U34" s="85"/>
      <c r="V34" s="66"/>
      <c r="W34" s="3"/>
      <c r="X34" s="3"/>
      <c r="Y34" s="3"/>
    </row>
    <row r="35" spans="2:25" ht="18" customHeight="1" thickBot="1" x14ac:dyDescent="0.3">
      <c r="B35" s="89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8"/>
      <c r="W35" s="78"/>
      <c r="X35" s="78"/>
      <c r="Y35" s="78"/>
    </row>
    <row r="36" spans="2:25" ht="18" customHeight="1" thickBot="1" x14ac:dyDescent="0.3">
      <c r="B36" s="52" t="s">
        <v>52</v>
      </c>
      <c r="C36" s="46">
        <v>1</v>
      </c>
      <c r="D36" s="41"/>
      <c r="E36" s="42"/>
      <c r="F36" s="42">
        <v>487</v>
      </c>
      <c r="G36" s="42">
        <v>14</v>
      </c>
      <c r="H36" s="42">
        <v>3</v>
      </c>
      <c r="I36" s="42">
        <v>16</v>
      </c>
      <c r="J36" s="42"/>
      <c r="K36" s="42">
        <v>4</v>
      </c>
      <c r="L36" s="42"/>
      <c r="M36" s="42"/>
      <c r="N36" s="42"/>
      <c r="O36" s="42">
        <v>7</v>
      </c>
      <c r="P36" s="42">
        <v>4</v>
      </c>
      <c r="Q36" s="43">
        <v>11</v>
      </c>
      <c r="R36" s="72"/>
      <c r="S36" s="44"/>
      <c r="T36" s="44"/>
      <c r="U36" s="78"/>
      <c r="V36" s="78"/>
      <c r="W36" s="78"/>
      <c r="X36" s="78"/>
      <c r="Y36" s="78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8"/>
      <c r="V37" s="78"/>
      <c r="W37" s="78"/>
      <c r="X37" s="78"/>
      <c r="Y37" s="78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8"/>
      <c r="V38" s="78"/>
      <c r="W38" s="78"/>
      <c r="X38" s="78"/>
      <c r="Y38" s="78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8"/>
      <c r="V39" s="78"/>
      <c r="W39" s="78"/>
      <c r="X39" s="78"/>
      <c r="Y39" s="78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8"/>
      <c r="V40" s="78"/>
      <c r="W40" s="78"/>
      <c r="X40" s="78"/>
      <c r="Y40" s="78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8"/>
      <c r="W41" s="78"/>
      <c r="X41" s="78"/>
      <c r="Y41" s="78"/>
    </row>
    <row r="42" spans="2:25" s="5" customFormat="1" ht="18" customHeight="1" thickBot="1" x14ac:dyDescent="0.3">
      <c r="B42" s="45" t="s">
        <v>53</v>
      </c>
      <c r="C42" s="46">
        <v>1</v>
      </c>
      <c r="D42" s="41"/>
      <c r="E42" s="42"/>
      <c r="F42" s="42">
        <v>487</v>
      </c>
      <c r="G42" s="42">
        <v>14</v>
      </c>
      <c r="H42" s="42">
        <v>3</v>
      </c>
      <c r="I42" s="42">
        <v>16</v>
      </c>
      <c r="J42" s="42"/>
      <c r="K42" s="42">
        <v>4</v>
      </c>
      <c r="L42" s="42"/>
      <c r="M42" s="42"/>
      <c r="N42" s="42"/>
      <c r="O42" s="42">
        <v>7</v>
      </c>
      <c r="P42" s="42">
        <v>4</v>
      </c>
      <c r="Q42" s="43">
        <v>11</v>
      </c>
      <c r="R42" s="86" t="s">
        <v>54</v>
      </c>
      <c r="S42" s="87"/>
      <c r="T42" s="87"/>
      <c r="U42" s="87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8"/>
      <c r="V43" s="78"/>
      <c r="W43" s="78"/>
      <c r="X43" s="78"/>
      <c r="Y43" s="78"/>
    </row>
    <row r="44" spans="2:25" x14ac:dyDescent="0.25">
      <c r="B44" s="76" t="s">
        <v>68</v>
      </c>
      <c r="C44" s="94">
        <f>1+12+59+11+414</f>
        <v>497</v>
      </c>
      <c r="D44" s="94"/>
      <c r="E44" s="94"/>
    </row>
    <row r="45" spans="2:25" x14ac:dyDescent="0.25">
      <c r="B45" s="76" t="s">
        <v>69</v>
      </c>
      <c r="C45" s="94"/>
      <c r="D45" s="94"/>
      <c r="E45" s="94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0A23F9-2875-4321-9D49-8A2E5232100D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72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5</v>
      </c>
      <c r="D8" s="14">
        <v>5</v>
      </c>
      <c r="E8" s="14">
        <v>22</v>
      </c>
      <c r="F8" s="14">
        <v>23</v>
      </c>
      <c r="G8" s="14"/>
      <c r="H8" s="80" t="s">
        <v>95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>
        <v>2</v>
      </c>
      <c r="Y8" s="15">
        <v>5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0</v>
      </c>
      <c r="D15" s="23">
        <v>0</v>
      </c>
      <c r="E15" s="23">
        <v>0</v>
      </c>
      <c r="F15" s="23">
        <v>0</v>
      </c>
      <c r="G15" s="23"/>
      <c r="H15" s="23">
        <v>2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>
        <v>2</v>
      </c>
      <c r="Y15" s="24">
        <v>5</v>
      </c>
    </row>
    <row r="16" spans="2:27" ht="18" customHeight="1" thickBot="1" x14ac:dyDescent="0.3">
      <c r="B16" s="25" t="s">
        <v>26</v>
      </c>
      <c r="C16" s="57">
        <v>5</v>
      </c>
      <c r="D16" s="58">
        <v>5</v>
      </c>
      <c r="E16" s="27">
        <v>22</v>
      </c>
      <c r="F16" s="27">
        <v>23</v>
      </c>
      <c r="G16" s="28"/>
      <c r="H16" s="28" t="s">
        <v>96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>
        <v>0</v>
      </c>
      <c r="Y16" s="29">
        <v>0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3</v>
      </c>
      <c r="G24" s="14"/>
      <c r="H24" s="14">
        <v>74</v>
      </c>
      <c r="I24" s="14"/>
      <c r="J24" s="14"/>
      <c r="K24" s="14">
        <v>2</v>
      </c>
      <c r="L24" s="14">
        <v>20</v>
      </c>
      <c r="M24" s="14">
        <v>545</v>
      </c>
      <c r="N24" s="14"/>
      <c r="O24" s="14"/>
      <c r="P24" s="14">
        <v>10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1</v>
      </c>
      <c r="G31" s="23"/>
      <c r="H31" s="23">
        <v>2</v>
      </c>
      <c r="I31" s="23"/>
      <c r="J31" s="23"/>
      <c r="K31" s="23">
        <v>2</v>
      </c>
      <c r="L31" s="23">
        <v>8</v>
      </c>
      <c r="M31" s="23">
        <v>3</v>
      </c>
      <c r="N31" s="23"/>
      <c r="O31" s="23"/>
      <c r="P31" s="23">
        <v>10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2</v>
      </c>
      <c r="G32" s="28"/>
      <c r="H32" s="28">
        <v>72</v>
      </c>
      <c r="I32" s="28"/>
      <c r="J32" s="28"/>
      <c r="K32" s="28">
        <v>0</v>
      </c>
      <c r="L32" s="28">
        <v>12</v>
      </c>
      <c r="M32" s="28">
        <v>542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88" t="s">
        <v>43</v>
      </c>
      <c r="C34" s="90" t="s">
        <v>21</v>
      </c>
      <c r="D34" s="90"/>
      <c r="E34" s="91"/>
      <c r="F34" s="92" t="s">
        <v>44</v>
      </c>
      <c r="G34" s="90"/>
      <c r="H34" s="91"/>
      <c r="I34" s="92" t="s">
        <v>45</v>
      </c>
      <c r="J34" s="90"/>
      <c r="K34" s="91"/>
      <c r="L34" s="92" t="s">
        <v>46</v>
      </c>
      <c r="M34" s="90"/>
      <c r="N34" s="91"/>
      <c r="O34" s="93" t="s">
        <v>47</v>
      </c>
      <c r="P34" s="93"/>
      <c r="Q34" s="93"/>
      <c r="R34" s="83" t="s">
        <v>48</v>
      </c>
      <c r="S34" s="84"/>
      <c r="T34" s="84"/>
      <c r="U34" s="85"/>
      <c r="V34" s="66"/>
      <c r="W34" s="3"/>
      <c r="X34" s="3"/>
      <c r="Y34" s="3"/>
    </row>
    <row r="35" spans="2:25" ht="18" customHeight="1" thickBot="1" x14ac:dyDescent="0.3">
      <c r="B35" s="89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8"/>
      <c r="W35" s="78"/>
      <c r="X35" s="78"/>
      <c r="Y35" s="78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78"/>
      <c r="V36" s="78"/>
      <c r="W36" s="78"/>
      <c r="X36" s="78"/>
      <c r="Y36" s="78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8"/>
      <c r="V37" s="78"/>
      <c r="W37" s="78"/>
      <c r="X37" s="78"/>
      <c r="Y37" s="78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8"/>
      <c r="V38" s="78"/>
      <c r="W38" s="78"/>
      <c r="X38" s="78"/>
      <c r="Y38" s="78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8"/>
      <c r="V39" s="78"/>
      <c r="W39" s="78"/>
      <c r="X39" s="78"/>
      <c r="Y39" s="78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8"/>
      <c r="V40" s="78"/>
      <c r="W40" s="78"/>
      <c r="X40" s="78"/>
      <c r="Y40" s="78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8"/>
      <c r="W41" s="78"/>
      <c r="X41" s="78"/>
      <c r="Y41" s="78"/>
    </row>
    <row r="42" spans="2:25" s="5" customFormat="1" ht="18" customHeight="1" thickBot="1" x14ac:dyDescent="0.3">
      <c r="B42" s="45" t="s">
        <v>53</v>
      </c>
      <c r="C42" s="46">
        <v>1</v>
      </c>
      <c r="D42" s="41"/>
      <c r="E42" s="42"/>
      <c r="F42" s="42">
        <v>688</v>
      </c>
      <c r="G42" s="42"/>
      <c r="H42" s="42"/>
      <c r="I42" s="42"/>
      <c r="J42" s="42"/>
      <c r="K42" s="42"/>
      <c r="L42" s="42"/>
      <c r="M42" s="42">
        <v>1</v>
      </c>
      <c r="N42" s="42">
        <v>13</v>
      </c>
      <c r="O42" s="42">
        <v>11</v>
      </c>
      <c r="P42" s="42"/>
      <c r="Q42" s="43"/>
      <c r="R42" s="86" t="s">
        <v>54</v>
      </c>
      <c r="S42" s="87"/>
      <c r="T42" s="87"/>
      <c r="U42" s="87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8"/>
      <c r="V43" s="78"/>
      <c r="W43" s="78"/>
      <c r="X43" s="78"/>
      <c r="Y43" s="78"/>
    </row>
    <row r="44" spans="2:25" x14ac:dyDescent="0.25">
      <c r="B44" s="76" t="s">
        <v>68</v>
      </c>
      <c r="C44" s="94">
        <f>5+5+22+23+21+2+72+12+542</f>
        <v>704</v>
      </c>
      <c r="D44" s="94"/>
      <c r="E44" s="94"/>
    </row>
    <row r="45" spans="2:25" x14ac:dyDescent="0.25">
      <c r="B45" s="76" t="s">
        <v>69</v>
      </c>
      <c r="C45" s="94">
        <f>12</f>
        <v>12</v>
      </c>
      <c r="D45" s="94"/>
      <c r="E45" s="94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2" orientation="landscape" horizontalDpi="0" verticalDpi="0"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38C67E-D299-4EA4-8942-4EC9F22F4ABD}">
  <dimension ref="B1:AA43"/>
  <sheetViews>
    <sheetView showGridLines="0" view="pageBreakPreview" zoomScale="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88" t="s">
        <v>43</v>
      </c>
      <c r="C34" s="90" t="s">
        <v>21</v>
      </c>
      <c r="D34" s="90"/>
      <c r="E34" s="91"/>
      <c r="F34" s="92" t="s">
        <v>44</v>
      </c>
      <c r="G34" s="90"/>
      <c r="H34" s="91"/>
      <c r="I34" s="92" t="s">
        <v>45</v>
      </c>
      <c r="J34" s="90"/>
      <c r="K34" s="91"/>
      <c r="L34" s="92" t="s">
        <v>46</v>
      </c>
      <c r="M34" s="90"/>
      <c r="N34" s="91"/>
      <c r="O34" s="93" t="s">
        <v>47</v>
      </c>
      <c r="P34" s="93"/>
      <c r="Q34" s="93"/>
      <c r="R34" s="83" t="s">
        <v>48</v>
      </c>
      <c r="S34" s="84"/>
      <c r="T34" s="84"/>
      <c r="U34" s="85"/>
      <c r="V34" s="66"/>
      <c r="W34" s="3"/>
      <c r="X34" s="3"/>
      <c r="Y34" s="3"/>
    </row>
    <row r="35" spans="2:25" ht="18" customHeight="1" thickBot="1" x14ac:dyDescent="0.3">
      <c r="B35" s="89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8"/>
      <c r="W35" s="78"/>
      <c r="X35" s="78"/>
      <c r="Y35" s="78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78"/>
      <c r="V36" s="78"/>
      <c r="W36" s="78"/>
      <c r="X36" s="78"/>
      <c r="Y36" s="78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8"/>
      <c r="V37" s="78"/>
      <c r="W37" s="78"/>
      <c r="X37" s="78"/>
      <c r="Y37" s="78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8"/>
      <c r="V38" s="78"/>
      <c r="W38" s="78"/>
      <c r="X38" s="78"/>
      <c r="Y38" s="78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8"/>
      <c r="V39" s="78"/>
      <c r="W39" s="78"/>
      <c r="X39" s="78"/>
      <c r="Y39" s="78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8"/>
      <c r="V40" s="78"/>
      <c r="W40" s="78"/>
      <c r="X40" s="78"/>
      <c r="Y40" s="78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8"/>
      <c r="W41" s="78"/>
      <c r="X41" s="78"/>
      <c r="Y41" s="78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86" t="s">
        <v>54</v>
      </c>
      <c r="S42" s="87"/>
      <c r="T42" s="87"/>
      <c r="U42" s="87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8"/>
      <c r="V43" s="78"/>
      <c r="W43" s="78"/>
      <c r="X43" s="78"/>
      <c r="Y43" s="78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13080B-3910-494E-A086-3E9F30A2B0BB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1" width="5.7109375" style="2" customWidth="1"/>
    <col min="12" max="12" width="8" style="2" bestFit="1" customWidth="1"/>
    <col min="13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73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1</v>
      </c>
      <c r="D8" s="14">
        <v>1</v>
      </c>
      <c r="E8" s="14">
        <v>1</v>
      </c>
      <c r="F8" s="14">
        <v>1</v>
      </c>
      <c r="G8" s="14"/>
      <c r="H8" s="14" t="s">
        <v>98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 t="s">
        <v>106</v>
      </c>
      <c r="Y8" s="15">
        <v>1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0</v>
      </c>
      <c r="D15" s="23">
        <v>0</v>
      </c>
      <c r="E15" s="23">
        <v>0</v>
      </c>
      <c r="F15" s="23">
        <v>0</v>
      </c>
      <c r="G15" s="23"/>
      <c r="H15" s="23" t="s">
        <v>102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 t="s">
        <v>105</v>
      </c>
      <c r="Y15" s="24">
        <v>0</v>
      </c>
    </row>
    <row r="16" spans="2:27" ht="18" customHeight="1" thickBot="1" x14ac:dyDescent="0.3">
      <c r="B16" s="25" t="s">
        <v>26</v>
      </c>
      <c r="C16" s="57">
        <v>1</v>
      </c>
      <c r="D16" s="58">
        <v>1</v>
      </c>
      <c r="E16" s="27">
        <v>1</v>
      </c>
      <c r="F16" s="27">
        <v>1</v>
      </c>
      <c r="G16" s="28"/>
      <c r="H16" s="28" t="s">
        <v>104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>
        <v>3</v>
      </c>
      <c r="Y16" s="29">
        <v>1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4</v>
      </c>
      <c r="G24" s="14"/>
      <c r="H24" s="14">
        <v>23</v>
      </c>
      <c r="I24" s="14"/>
      <c r="J24" s="14"/>
      <c r="K24" s="14">
        <v>67</v>
      </c>
      <c r="L24" s="14" t="s">
        <v>107</v>
      </c>
      <c r="M24" s="14">
        <v>324</v>
      </c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0</v>
      </c>
      <c r="G31" s="23"/>
      <c r="H31" s="23">
        <v>1</v>
      </c>
      <c r="I31" s="23"/>
      <c r="J31" s="23"/>
      <c r="K31" s="23">
        <v>0</v>
      </c>
      <c r="L31" s="23">
        <v>0</v>
      </c>
      <c r="M31" s="23">
        <v>71</v>
      </c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4</v>
      </c>
      <c r="G32" s="28"/>
      <c r="H32" s="28">
        <v>22</v>
      </c>
      <c r="I32" s="28"/>
      <c r="J32" s="28"/>
      <c r="K32" s="28">
        <v>67</v>
      </c>
      <c r="L32" s="28" t="s">
        <v>107</v>
      </c>
      <c r="M32" s="28">
        <v>253</v>
      </c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88" t="s">
        <v>43</v>
      </c>
      <c r="C34" s="90" t="s">
        <v>21</v>
      </c>
      <c r="D34" s="90"/>
      <c r="E34" s="91"/>
      <c r="F34" s="92" t="s">
        <v>44</v>
      </c>
      <c r="G34" s="90"/>
      <c r="H34" s="91"/>
      <c r="I34" s="92" t="s">
        <v>45</v>
      </c>
      <c r="J34" s="90"/>
      <c r="K34" s="91"/>
      <c r="L34" s="92" t="s">
        <v>46</v>
      </c>
      <c r="M34" s="90"/>
      <c r="N34" s="91"/>
      <c r="O34" s="93" t="s">
        <v>47</v>
      </c>
      <c r="P34" s="93"/>
      <c r="Q34" s="93"/>
      <c r="R34" s="83" t="s">
        <v>48</v>
      </c>
      <c r="S34" s="84"/>
      <c r="T34" s="84"/>
      <c r="U34" s="85"/>
      <c r="V34" s="66"/>
      <c r="W34" s="3"/>
      <c r="X34" s="3"/>
      <c r="Y34" s="3"/>
    </row>
    <row r="35" spans="2:25" ht="18" customHeight="1" thickBot="1" x14ac:dyDescent="0.3">
      <c r="B35" s="89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8"/>
      <c r="W35" s="78"/>
      <c r="X35" s="78"/>
      <c r="Y35" s="78"/>
    </row>
    <row r="36" spans="2:25" ht="18" customHeight="1" thickBot="1" x14ac:dyDescent="0.3">
      <c r="B36" s="52" t="s">
        <v>52</v>
      </c>
      <c r="C36" s="46"/>
      <c r="D36" s="41"/>
      <c r="E36" s="42">
        <v>1</v>
      </c>
      <c r="F36" s="42">
        <v>273</v>
      </c>
      <c r="G36" s="42">
        <v>5</v>
      </c>
      <c r="H36" s="42">
        <v>3</v>
      </c>
      <c r="I36" s="42">
        <v>3</v>
      </c>
      <c r="J36" s="42">
        <v>3</v>
      </c>
      <c r="K36" s="42">
        <v>6</v>
      </c>
      <c r="L36" s="42">
        <v>77</v>
      </c>
      <c r="M36" s="42"/>
      <c r="N36" s="42"/>
      <c r="O36" s="42">
        <v>3</v>
      </c>
      <c r="P36" s="42"/>
      <c r="Q36" s="43">
        <v>6</v>
      </c>
      <c r="R36" s="72"/>
      <c r="S36" s="44"/>
      <c r="T36" s="44"/>
      <c r="U36" s="78"/>
      <c r="V36" s="78"/>
      <c r="W36" s="78"/>
      <c r="X36" s="78"/>
      <c r="Y36" s="78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8"/>
      <c r="V37" s="78"/>
      <c r="W37" s="78"/>
      <c r="X37" s="78"/>
      <c r="Y37" s="78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8"/>
      <c r="V38" s="78"/>
      <c r="W38" s="78"/>
      <c r="X38" s="78"/>
      <c r="Y38" s="78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8"/>
      <c r="V39" s="78"/>
      <c r="W39" s="78"/>
      <c r="X39" s="78"/>
      <c r="Y39" s="78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8"/>
      <c r="V40" s="78"/>
      <c r="W40" s="78"/>
      <c r="X40" s="78"/>
      <c r="Y40" s="78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8"/>
      <c r="W41" s="78"/>
      <c r="X41" s="78"/>
      <c r="Y41" s="78"/>
    </row>
    <row r="42" spans="2:25" s="5" customFormat="1" ht="18" customHeight="1" thickBot="1" x14ac:dyDescent="0.3">
      <c r="B42" s="45" t="s">
        <v>53</v>
      </c>
      <c r="C42" s="46"/>
      <c r="D42" s="41"/>
      <c r="E42" s="42">
        <v>1</v>
      </c>
      <c r="F42" s="42">
        <v>273</v>
      </c>
      <c r="G42" s="42">
        <v>5</v>
      </c>
      <c r="H42" s="42">
        <v>3</v>
      </c>
      <c r="I42" s="42">
        <v>3</v>
      </c>
      <c r="J42" s="42">
        <v>3</v>
      </c>
      <c r="K42" s="42">
        <v>6</v>
      </c>
      <c r="L42" s="42">
        <v>77</v>
      </c>
      <c r="M42" s="42"/>
      <c r="N42" s="42"/>
      <c r="O42" s="42">
        <v>3</v>
      </c>
      <c r="P42" s="42"/>
      <c r="Q42" s="43">
        <v>6</v>
      </c>
      <c r="R42" s="86" t="s">
        <v>54</v>
      </c>
      <c r="S42" s="87"/>
      <c r="T42" s="87"/>
      <c r="U42" s="87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8"/>
      <c r="V43" s="78"/>
      <c r="W43" s="78"/>
      <c r="X43" s="78"/>
      <c r="Y43" s="78"/>
    </row>
    <row r="44" spans="2:25" x14ac:dyDescent="0.25">
      <c r="B44" s="76" t="s">
        <v>68</v>
      </c>
      <c r="C44" s="94">
        <f>1+1+1+1+3+31+4+22+67+10+253</f>
        <v>394</v>
      </c>
      <c r="D44" s="94"/>
      <c r="E44" s="94"/>
    </row>
    <row r="45" spans="2:25" x14ac:dyDescent="0.25">
      <c r="B45" s="76" t="s">
        <v>69</v>
      </c>
      <c r="C45" s="94">
        <f>18+11</f>
        <v>29</v>
      </c>
      <c r="D45" s="94"/>
      <c r="E45" s="94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B8731B-6EC8-4A70-80B3-8A264894F7F9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73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 t="s">
        <v>80</v>
      </c>
      <c r="D8" s="14">
        <v>1</v>
      </c>
      <c r="E8" s="14"/>
      <c r="F8" s="14"/>
      <c r="G8" s="14"/>
      <c r="H8" s="14">
        <v>13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>
        <v>1</v>
      </c>
      <c r="Y8" s="15">
        <v>1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 t="s">
        <v>80</v>
      </c>
      <c r="D15" s="23">
        <v>1</v>
      </c>
      <c r="E15" s="23"/>
      <c r="F15" s="23"/>
      <c r="G15" s="23"/>
      <c r="H15" s="23">
        <v>0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>
        <v>1</v>
      </c>
      <c r="Y15" s="24">
        <v>1</v>
      </c>
    </row>
    <row r="16" spans="2:27" ht="18" customHeight="1" thickBot="1" x14ac:dyDescent="0.3">
      <c r="B16" s="25" t="s">
        <v>26</v>
      </c>
      <c r="C16" s="57">
        <v>0</v>
      </c>
      <c r="D16" s="58">
        <v>0</v>
      </c>
      <c r="E16" s="27"/>
      <c r="F16" s="27"/>
      <c r="G16" s="28"/>
      <c r="H16" s="28">
        <v>13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>
        <v>0</v>
      </c>
      <c r="Y16" s="29">
        <v>0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2</v>
      </c>
      <c r="G24" s="14"/>
      <c r="H24" s="14">
        <v>67</v>
      </c>
      <c r="I24" s="14"/>
      <c r="J24" s="14"/>
      <c r="K24" s="14">
        <v>1</v>
      </c>
      <c r="L24" s="14">
        <v>10</v>
      </c>
      <c r="M24" s="14">
        <v>465</v>
      </c>
      <c r="N24" s="14"/>
      <c r="O24" s="14"/>
      <c r="P24" s="14" t="s">
        <v>101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2</v>
      </c>
      <c r="G31" s="23"/>
      <c r="H31" s="23">
        <v>13</v>
      </c>
      <c r="I31" s="23"/>
      <c r="J31" s="23"/>
      <c r="K31" s="23">
        <v>1</v>
      </c>
      <c r="L31" s="23">
        <v>0</v>
      </c>
      <c r="M31" s="23">
        <v>97</v>
      </c>
      <c r="N31" s="23"/>
      <c r="O31" s="23"/>
      <c r="P31" s="23" t="s">
        <v>101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54</v>
      </c>
      <c r="I32" s="28"/>
      <c r="J32" s="28"/>
      <c r="K32" s="28">
        <v>0</v>
      </c>
      <c r="L32" s="28">
        <v>10</v>
      </c>
      <c r="M32" s="28">
        <v>368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88" t="s">
        <v>43</v>
      </c>
      <c r="C34" s="90" t="s">
        <v>21</v>
      </c>
      <c r="D34" s="90"/>
      <c r="E34" s="91"/>
      <c r="F34" s="92" t="s">
        <v>44</v>
      </c>
      <c r="G34" s="90"/>
      <c r="H34" s="91"/>
      <c r="I34" s="92" t="s">
        <v>45</v>
      </c>
      <c r="J34" s="90"/>
      <c r="K34" s="91"/>
      <c r="L34" s="92" t="s">
        <v>46</v>
      </c>
      <c r="M34" s="90"/>
      <c r="N34" s="91"/>
      <c r="O34" s="93" t="s">
        <v>47</v>
      </c>
      <c r="P34" s="93"/>
      <c r="Q34" s="93"/>
      <c r="R34" s="83" t="s">
        <v>48</v>
      </c>
      <c r="S34" s="84"/>
      <c r="T34" s="84"/>
      <c r="U34" s="85"/>
      <c r="V34" s="66"/>
      <c r="W34" s="3"/>
      <c r="X34" s="3"/>
      <c r="Y34" s="3"/>
    </row>
    <row r="35" spans="2:25" ht="18" customHeight="1" thickBot="1" x14ac:dyDescent="0.3">
      <c r="B35" s="89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8"/>
      <c r="W35" s="78"/>
      <c r="X35" s="78"/>
      <c r="Y35" s="78"/>
    </row>
    <row r="36" spans="2:25" ht="18" customHeight="1" thickBot="1" x14ac:dyDescent="0.3">
      <c r="B36" s="52" t="s">
        <v>52</v>
      </c>
      <c r="C36" s="46"/>
      <c r="D36" s="41"/>
      <c r="E36" s="42"/>
      <c r="F36" s="42">
        <v>430</v>
      </c>
      <c r="G36" s="42">
        <v>4</v>
      </c>
      <c r="H36" s="42"/>
      <c r="I36" s="42"/>
      <c r="J36" s="42">
        <v>1</v>
      </c>
      <c r="K36" s="42">
        <v>11</v>
      </c>
      <c r="L36" s="42"/>
      <c r="M36" s="42"/>
      <c r="N36" s="42"/>
      <c r="O36" s="42"/>
      <c r="P36" s="42">
        <v>10</v>
      </c>
      <c r="Q36" s="43"/>
      <c r="R36" s="72"/>
      <c r="S36" s="44"/>
      <c r="T36" s="44"/>
      <c r="U36" s="78"/>
      <c r="V36" s="78"/>
      <c r="W36" s="78"/>
      <c r="X36" s="78"/>
      <c r="Y36" s="78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8"/>
      <c r="V37" s="78"/>
      <c r="W37" s="78"/>
      <c r="X37" s="78"/>
      <c r="Y37" s="78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8"/>
      <c r="V38" s="78"/>
      <c r="W38" s="78"/>
      <c r="X38" s="78"/>
      <c r="Y38" s="78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8"/>
      <c r="V39" s="78"/>
      <c r="W39" s="78"/>
      <c r="X39" s="78"/>
      <c r="Y39" s="78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8"/>
      <c r="V40" s="78"/>
      <c r="W40" s="78"/>
      <c r="X40" s="78"/>
      <c r="Y40" s="78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8"/>
      <c r="W41" s="78"/>
      <c r="X41" s="78"/>
      <c r="Y41" s="78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>
        <v>430</v>
      </c>
      <c r="G42" s="42">
        <v>4</v>
      </c>
      <c r="H42" s="42"/>
      <c r="I42" s="42"/>
      <c r="J42" s="42">
        <v>1</v>
      </c>
      <c r="K42" s="42">
        <v>11</v>
      </c>
      <c r="L42" s="42"/>
      <c r="M42" s="42"/>
      <c r="N42" s="42"/>
      <c r="O42" s="42"/>
      <c r="P42" s="42">
        <v>10</v>
      </c>
      <c r="Q42" s="43"/>
      <c r="R42" s="86" t="s">
        <v>54</v>
      </c>
      <c r="S42" s="87"/>
      <c r="T42" s="87"/>
      <c r="U42" s="87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8"/>
      <c r="V43" s="78"/>
      <c r="W43" s="78"/>
      <c r="X43" s="78"/>
      <c r="Y43" s="78"/>
    </row>
    <row r="44" spans="2:25" x14ac:dyDescent="0.25">
      <c r="B44" s="76" t="s">
        <v>68</v>
      </c>
      <c r="C44" s="94">
        <f>13+54+10+368</f>
        <v>445</v>
      </c>
      <c r="D44" s="94"/>
      <c r="E44" s="94"/>
    </row>
    <row r="45" spans="2:25" x14ac:dyDescent="0.25">
      <c r="B45" s="76" t="s">
        <v>69</v>
      </c>
      <c r="C45" s="94"/>
      <c r="D45" s="94"/>
      <c r="E45" s="94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821424-DC1A-4283-B6E3-D30B01811845}">
  <dimension ref="B1:AA45"/>
  <sheetViews>
    <sheetView showGridLines="0" topLeftCell="A16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73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>
        <v>2</v>
      </c>
      <c r="E8" s="14">
        <v>3</v>
      </c>
      <c r="F8" s="14">
        <v>3</v>
      </c>
      <c r="G8" s="14"/>
      <c r="H8" s="14">
        <v>22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>
        <v>2</v>
      </c>
      <c r="Y8" s="15">
        <v>5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>
        <v>2</v>
      </c>
      <c r="E15" s="23">
        <v>0</v>
      </c>
      <c r="F15" s="23">
        <v>0</v>
      </c>
      <c r="G15" s="23"/>
      <c r="H15" s="23" t="s">
        <v>103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>
        <v>0</v>
      </c>
      <c r="Y15" s="24">
        <v>5</v>
      </c>
    </row>
    <row r="16" spans="2:27" ht="18" customHeight="1" thickBot="1" x14ac:dyDescent="0.3">
      <c r="B16" s="25" t="s">
        <v>26</v>
      </c>
      <c r="C16" s="57"/>
      <c r="D16" s="58">
        <v>0</v>
      </c>
      <c r="E16" s="27">
        <v>3</v>
      </c>
      <c r="F16" s="27">
        <v>3</v>
      </c>
      <c r="G16" s="28"/>
      <c r="H16" s="28" t="s">
        <v>102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>
        <v>2</v>
      </c>
      <c r="Y16" s="29">
        <v>0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>
        <v>1</v>
      </c>
      <c r="D24" s="14">
        <v>1</v>
      </c>
      <c r="E24" s="14"/>
      <c r="F24" s="14">
        <v>6</v>
      </c>
      <c r="G24" s="14"/>
      <c r="H24" s="14">
        <v>110</v>
      </c>
      <c r="I24" s="14">
        <v>1</v>
      </c>
      <c r="J24" s="14"/>
      <c r="K24" s="14">
        <v>2</v>
      </c>
      <c r="L24" s="14">
        <v>20</v>
      </c>
      <c r="M24" s="14">
        <v>543</v>
      </c>
      <c r="N24" s="14">
        <v>3</v>
      </c>
      <c r="O24" s="14"/>
      <c r="P24" s="14">
        <v>10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>
        <v>0</v>
      </c>
      <c r="D31" s="23">
        <v>0</v>
      </c>
      <c r="E31" s="23"/>
      <c r="F31" s="23">
        <v>0</v>
      </c>
      <c r="G31" s="23"/>
      <c r="H31" s="23">
        <v>52</v>
      </c>
      <c r="I31" s="23">
        <v>0</v>
      </c>
      <c r="J31" s="23"/>
      <c r="K31" s="23">
        <v>2</v>
      </c>
      <c r="L31" s="23">
        <v>10</v>
      </c>
      <c r="M31" s="23">
        <v>212</v>
      </c>
      <c r="N31" s="23">
        <v>0</v>
      </c>
      <c r="O31" s="23"/>
      <c r="P31" s="23">
        <v>10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>
        <v>1</v>
      </c>
      <c r="D32" s="27">
        <v>1</v>
      </c>
      <c r="E32" s="27"/>
      <c r="F32" s="27">
        <v>6</v>
      </c>
      <c r="G32" s="28"/>
      <c r="H32" s="28">
        <v>58</v>
      </c>
      <c r="I32" s="28">
        <v>1</v>
      </c>
      <c r="J32" s="28"/>
      <c r="K32" s="28">
        <v>0</v>
      </c>
      <c r="L32" s="28">
        <v>10</v>
      </c>
      <c r="M32" s="28">
        <v>331</v>
      </c>
      <c r="N32" s="28">
        <v>3</v>
      </c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88" t="s">
        <v>43</v>
      </c>
      <c r="C34" s="90" t="s">
        <v>21</v>
      </c>
      <c r="D34" s="90"/>
      <c r="E34" s="91"/>
      <c r="F34" s="92" t="s">
        <v>44</v>
      </c>
      <c r="G34" s="90"/>
      <c r="H34" s="91"/>
      <c r="I34" s="92" t="s">
        <v>45</v>
      </c>
      <c r="J34" s="90"/>
      <c r="K34" s="91"/>
      <c r="L34" s="92" t="s">
        <v>46</v>
      </c>
      <c r="M34" s="90"/>
      <c r="N34" s="91"/>
      <c r="O34" s="93" t="s">
        <v>47</v>
      </c>
      <c r="P34" s="93"/>
      <c r="Q34" s="93"/>
      <c r="R34" s="83" t="s">
        <v>48</v>
      </c>
      <c r="S34" s="84"/>
      <c r="T34" s="84"/>
      <c r="U34" s="85"/>
      <c r="V34" s="66"/>
      <c r="W34" s="3"/>
      <c r="X34" s="3"/>
      <c r="Y34" s="3"/>
    </row>
    <row r="35" spans="2:25" ht="18" customHeight="1" thickBot="1" x14ac:dyDescent="0.3">
      <c r="B35" s="89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8"/>
      <c r="W35" s="78"/>
      <c r="X35" s="78"/>
      <c r="Y35" s="78"/>
    </row>
    <row r="36" spans="2:25" ht="18" customHeight="1" thickBot="1" x14ac:dyDescent="0.3">
      <c r="B36" s="52" t="s">
        <v>52</v>
      </c>
      <c r="C36" s="46">
        <v>3</v>
      </c>
      <c r="D36" s="41"/>
      <c r="E36" s="42"/>
      <c r="F36" s="42">
        <v>408</v>
      </c>
      <c r="G36" s="42"/>
      <c r="H36" s="42"/>
      <c r="I36" s="42">
        <v>17</v>
      </c>
      <c r="J36" s="42"/>
      <c r="K36" s="42"/>
      <c r="L36" s="42">
        <v>5</v>
      </c>
      <c r="M36" s="42"/>
      <c r="N36" s="42"/>
      <c r="O36" s="42">
        <v>4</v>
      </c>
      <c r="P36" s="42"/>
      <c r="Q36" s="43">
        <v>8</v>
      </c>
      <c r="R36" s="72"/>
      <c r="S36" s="44"/>
      <c r="T36" s="44"/>
      <c r="U36" s="78"/>
      <c r="V36" s="78"/>
      <c r="W36" s="78"/>
      <c r="X36" s="78"/>
      <c r="Y36" s="78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8"/>
      <c r="V37" s="78"/>
      <c r="W37" s="78"/>
      <c r="X37" s="78"/>
      <c r="Y37" s="78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8"/>
      <c r="V38" s="78"/>
      <c r="W38" s="78"/>
      <c r="X38" s="78"/>
      <c r="Y38" s="78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8"/>
      <c r="V39" s="78"/>
      <c r="W39" s="78"/>
      <c r="X39" s="78"/>
      <c r="Y39" s="78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8"/>
      <c r="V40" s="78"/>
      <c r="W40" s="78"/>
      <c r="X40" s="78"/>
      <c r="Y40" s="78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8"/>
      <c r="W41" s="78"/>
      <c r="X41" s="78"/>
      <c r="Y41" s="78"/>
    </row>
    <row r="42" spans="2:25" s="5" customFormat="1" ht="18" customHeight="1" thickBot="1" x14ac:dyDescent="0.3">
      <c r="B42" s="45" t="s">
        <v>53</v>
      </c>
      <c r="C42" s="46">
        <v>3</v>
      </c>
      <c r="D42" s="41"/>
      <c r="E42" s="42"/>
      <c r="F42" s="42">
        <v>408</v>
      </c>
      <c r="G42" s="42"/>
      <c r="H42" s="42"/>
      <c r="I42" s="42">
        <v>17</v>
      </c>
      <c r="J42" s="42"/>
      <c r="K42" s="42"/>
      <c r="L42" s="42">
        <v>5</v>
      </c>
      <c r="M42" s="42"/>
      <c r="N42" s="42"/>
      <c r="O42" s="42">
        <v>4</v>
      </c>
      <c r="P42" s="42"/>
      <c r="Q42" s="43">
        <v>8</v>
      </c>
      <c r="R42" s="86" t="s">
        <v>54</v>
      </c>
      <c r="S42" s="87"/>
      <c r="T42" s="87"/>
      <c r="U42" s="87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8"/>
      <c r="V43" s="78"/>
      <c r="W43" s="78"/>
      <c r="X43" s="78"/>
      <c r="Y43" s="78"/>
    </row>
    <row r="44" spans="2:25" x14ac:dyDescent="0.25">
      <c r="B44" s="76" t="s">
        <v>68</v>
      </c>
      <c r="C44" s="94">
        <f>3+3+11+2+1+1+6+58+1+10+331+3</f>
        <v>430</v>
      </c>
      <c r="D44" s="94"/>
      <c r="E44" s="94"/>
    </row>
    <row r="45" spans="2:25" x14ac:dyDescent="0.25">
      <c r="B45" s="76" t="s">
        <v>69</v>
      </c>
      <c r="C45" s="94">
        <f>15</f>
        <v>15</v>
      </c>
      <c r="D45" s="94"/>
      <c r="E45" s="94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BBAFCD-986B-407F-BD74-B0E647C49D67}">
  <dimension ref="B1:AA43"/>
  <sheetViews>
    <sheetView showGridLines="0" view="pageBreakPreview" zoomScale="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88" t="s">
        <v>43</v>
      </c>
      <c r="C34" s="90" t="s">
        <v>21</v>
      </c>
      <c r="D34" s="90"/>
      <c r="E34" s="91"/>
      <c r="F34" s="92" t="s">
        <v>44</v>
      </c>
      <c r="G34" s="90"/>
      <c r="H34" s="91"/>
      <c r="I34" s="92" t="s">
        <v>45</v>
      </c>
      <c r="J34" s="90"/>
      <c r="K34" s="91"/>
      <c r="L34" s="92" t="s">
        <v>46</v>
      </c>
      <c r="M34" s="90"/>
      <c r="N34" s="91"/>
      <c r="O34" s="93" t="s">
        <v>47</v>
      </c>
      <c r="P34" s="93"/>
      <c r="Q34" s="93"/>
      <c r="R34" s="83" t="s">
        <v>48</v>
      </c>
      <c r="S34" s="84"/>
      <c r="T34" s="84"/>
      <c r="U34" s="85"/>
      <c r="V34" s="66"/>
      <c r="W34" s="3"/>
      <c r="X34" s="3"/>
      <c r="Y34" s="3"/>
    </row>
    <row r="35" spans="2:25" ht="18" customHeight="1" thickBot="1" x14ac:dyDescent="0.3">
      <c r="B35" s="89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8"/>
      <c r="W35" s="78"/>
      <c r="X35" s="78"/>
      <c r="Y35" s="78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78"/>
      <c r="V36" s="78"/>
      <c r="W36" s="78"/>
      <c r="X36" s="78"/>
      <c r="Y36" s="78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8"/>
      <c r="V37" s="78"/>
      <c r="W37" s="78"/>
      <c r="X37" s="78"/>
      <c r="Y37" s="78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8"/>
      <c r="V38" s="78"/>
      <c r="W38" s="78"/>
      <c r="X38" s="78"/>
      <c r="Y38" s="78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8"/>
      <c r="V39" s="78"/>
      <c r="W39" s="78"/>
      <c r="X39" s="78"/>
      <c r="Y39" s="78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8"/>
      <c r="V40" s="78"/>
      <c r="W40" s="78"/>
      <c r="X40" s="78"/>
      <c r="Y40" s="78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8"/>
      <c r="W41" s="78"/>
      <c r="X41" s="78"/>
      <c r="Y41" s="78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86" t="s">
        <v>54</v>
      </c>
      <c r="S42" s="87"/>
      <c r="T42" s="87"/>
      <c r="U42" s="87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8"/>
      <c r="V43" s="78"/>
      <c r="W43" s="78"/>
      <c r="X43" s="78"/>
      <c r="Y43" s="78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F0DE28-8C56-41E4-B9F1-C4F04215B5D1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>
        <v>10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 t="s">
        <v>116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 t="s">
        <v>101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>
        <v>25</v>
      </c>
      <c r="I24" s="14"/>
      <c r="J24" s="14"/>
      <c r="K24" s="14"/>
      <c r="L24" s="14">
        <v>48</v>
      </c>
      <c r="M24" s="14">
        <v>468</v>
      </c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>
        <v>10</v>
      </c>
      <c r="I31" s="23"/>
      <c r="J31" s="23"/>
      <c r="K31" s="23"/>
      <c r="L31" s="23">
        <v>0</v>
      </c>
      <c r="M31" s="23">
        <v>1</v>
      </c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>
        <v>15</v>
      </c>
      <c r="I32" s="28"/>
      <c r="J32" s="28"/>
      <c r="K32" s="28"/>
      <c r="L32" s="28">
        <v>48</v>
      </c>
      <c r="M32" s="28">
        <v>467</v>
      </c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88" t="s">
        <v>43</v>
      </c>
      <c r="C34" s="90" t="s">
        <v>21</v>
      </c>
      <c r="D34" s="90"/>
      <c r="E34" s="91"/>
      <c r="F34" s="92" t="s">
        <v>44</v>
      </c>
      <c r="G34" s="90"/>
      <c r="H34" s="91"/>
      <c r="I34" s="92" t="s">
        <v>45</v>
      </c>
      <c r="J34" s="90"/>
      <c r="K34" s="91"/>
      <c r="L34" s="92" t="s">
        <v>46</v>
      </c>
      <c r="M34" s="90"/>
      <c r="N34" s="91"/>
      <c r="O34" s="93" t="s">
        <v>47</v>
      </c>
      <c r="P34" s="93"/>
      <c r="Q34" s="93"/>
      <c r="R34" s="83" t="s">
        <v>48</v>
      </c>
      <c r="S34" s="84"/>
      <c r="T34" s="84"/>
      <c r="U34" s="85"/>
      <c r="V34" s="66"/>
      <c r="W34" s="3"/>
      <c r="X34" s="3"/>
      <c r="Y34" s="3"/>
    </row>
    <row r="35" spans="2:25" ht="18" customHeight="1" thickBot="1" x14ac:dyDescent="0.3">
      <c r="B35" s="89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8"/>
      <c r="W35" s="78"/>
      <c r="X35" s="78"/>
      <c r="Y35" s="78"/>
    </row>
    <row r="36" spans="2:25" ht="18" customHeight="1" thickBot="1" x14ac:dyDescent="0.3">
      <c r="B36" s="52" t="s">
        <v>52</v>
      </c>
      <c r="C36" s="46">
        <v>3</v>
      </c>
      <c r="D36" s="41">
        <v>1</v>
      </c>
      <c r="E36" s="42"/>
      <c r="F36" s="42">
        <v>559</v>
      </c>
      <c r="G36" s="42">
        <v>20</v>
      </c>
      <c r="H36" s="42">
        <v>3</v>
      </c>
      <c r="I36" s="42">
        <v>18</v>
      </c>
      <c r="J36" s="42">
        <v>1</v>
      </c>
      <c r="K36" s="42">
        <v>11</v>
      </c>
      <c r="L36" s="42">
        <v>9</v>
      </c>
      <c r="M36" s="42"/>
      <c r="N36" s="42"/>
      <c r="O36" s="42">
        <v>7</v>
      </c>
      <c r="P36" s="42">
        <v>69</v>
      </c>
      <c r="Q36" s="43"/>
      <c r="R36" s="72"/>
      <c r="S36" s="44"/>
      <c r="T36" s="44"/>
      <c r="U36" s="78"/>
      <c r="V36" s="78"/>
      <c r="W36" s="78"/>
      <c r="X36" s="78"/>
      <c r="Y36" s="78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8"/>
      <c r="V37" s="78"/>
      <c r="W37" s="78"/>
      <c r="X37" s="78"/>
      <c r="Y37" s="78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8"/>
      <c r="V38" s="78"/>
      <c r="W38" s="78"/>
      <c r="X38" s="78"/>
      <c r="Y38" s="78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8"/>
      <c r="V39" s="78"/>
      <c r="W39" s="78"/>
      <c r="X39" s="78"/>
      <c r="Y39" s="78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8"/>
      <c r="V40" s="78"/>
      <c r="W40" s="78"/>
      <c r="X40" s="78"/>
      <c r="Y40" s="78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8"/>
      <c r="W41" s="78"/>
      <c r="X41" s="78"/>
      <c r="Y41" s="78"/>
    </row>
    <row r="42" spans="2:25" s="5" customFormat="1" ht="18" customHeight="1" thickBot="1" x14ac:dyDescent="0.3">
      <c r="B42" s="45" t="s">
        <v>53</v>
      </c>
      <c r="C42" s="46">
        <v>3</v>
      </c>
      <c r="D42" s="41">
        <v>1</v>
      </c>
      <c r="E42" s="42"/>
      <c r="F42" s="42">
        <v>559</v>
      </c>
      <c r="G42" s="42">
        <v>20</v>
      </c>
      <c r="H42" s="42">
        <v>3</v>
      </c>
      <c r="I42" s="42">
        <v>18</v>
      </c>
      <c r="J42" s="42">
        <v>1</v>
      </c>
      <c r="K42" s="42">
        <v>11</v>
      </c>
      <c r="L42" s="42">
        <v>9</v>
      </c>
      <c r="M42" s="42"/>
      <c r="N42" s="42"/>
      <c r="O42" s="42">
        <v>7</v>
      </c>
      <c r="P42" s="42">
        <v>69</v>
      </c>
      <c r="Q42" s="43"/>
      <c r="R42" s="86" t="s">
        <v>54</v>
      </c>
      <c r="S42" s="87"/>
      <c r="T42" s="87"/>
      <c r="U42" s="87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8"/>
      <c r="V43" s="78"/>
      <c r="W43" s="78"/>
      <c r="X43" s="78"/>
      <c r="Y43" s="78"/>
    </row>
    <row r="44" spans="2:25" x14ac:dyDescent="0.25">
      <c r="B44" s="76" t="s">
        <v>68</v>
      </c>
      <c r="C44" s="94">
        <f>5+15+48+467</f>
        <v>535</v>
      </c>
      <c r="D44" s="94"/>
      <c r="E44" s="94"/>
    </row>
    <row r="45" spans="2:25" x14ac:dyDescent="0.25">
      <c r="B45" s="76" t="s">
        <v>69</v>
      </c>
      <c r="C45" s="94">
        <v>4</v>
      </c>
      <c r="D45" s="94"/>
      <c r="E45" s="94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E4AA66-6D42-4A6A-8740-06567A2090CD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 t="s">
        <v>80</v>
      </c>
      <c r="D8" s="14">
        <v>1</v>
      </c>
      <c r="E8" s="14"/>
      <c r="F8" s="14"/>
      <c r="G8" s="14"/>
      <c r="H8" s="14">
        <v>12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>
        <v>1</v>
      </c>
      <c r="Y8" s="15">
        <v>1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 t="s">
        <v>80</v>
      </c>
      <c r="D15" s="23">
        <v>0</v>
      </c>
      <c r="E15" s="23"/>
      <c r="F15" s="23"/>
      <c r="G15" s="23"/>
      <c r="H15" s="23">
        <v>2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>
        <v>1</v>
      </c>
      <c r="Y15" s="24">
        <v>1</v>
      </c>
    </row>
    <row r="16" spans="2:27" ht="18" customHeight="1" thickBot="1" x14ac:dyDescent="0.3">
      <c r="B16" s="25" t="s">
        <v>26</v>
      </c>
      <c r="C16" s="57">
        <v>0</v>
      </c>
      <c r="D16" s="58">
        <v>1</v>
      </c>
      <c r="E16" s="27"/>
      <c r="F16" s="27"/>
      <c r="G16" s="28"/>
      <c r="H16" s="28">
        <v>10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>
        <v>0</v>
      </c>
      <c r="Y16" s="29">
        <v>0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2</v>
      </c>
      <c r="G24" s="14"/>
      <c r="H24" s="14">
        <v>23</v>
      </c>
      <c r="I24" s="14"/>
      <c r="J24" s="14"/>
      <c r="K24" s="14">
        <v>1</v>
      </c>
      <c r="L24" s="14">
        <v>9</v>
      </c>
      <c r="M24" s="14">
        <v>390</v>
      </c>
      <c r="N24" s="14"/>
      <c r="O24" s="14"/>
      <c r="P24" s="14" t="s">
        <v>101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2</v>
      </c>
      <c r="G31" s="23"/>
      <c r="H31" s="23">
        <v>0</v>
      </c>
      <c r="I31" s="23"/>
      <c r="J31" s="23"/>
      <c r="K31" s="23">
        <v>1</v>
      </c>
      <c r="L31" s="23">
        <v>0</v>
      </c>
      <c r="M31" s="23">
        <v>107</v>
      </c>
      <c r="N31" s="23"/>
      <c r="O31" s="23"/>
      <c r="P31" s="23" t="s">
        <v>101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23</v>
      </c>
      <c r="I32" s="28"/>
      <c r="J32" s="28"/>
      <c r="K32" s="28">
        <v>0</v>
      </c>
      <c r="L32" s="28">
        <v>9</v>
      </c>
      <c r="M32" s="28">
        <v>283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88" t="s">
        <v>43</v>
      </c>
      <c r="C34" s="90" t="s">
        <v>21</v>
      </c>
      <c r="D34" s="90"/>
      <c r="E34" s="91"/>
      <c r="F34" s="92" t="s">
        <v>44</v>
      </c>
      <c r="G34" s="90"/>
      <c r="H34" s="91"/>
      <c r="I34" s="92" t="s">
        <v>45</v>
      </c>
      <c r="J34" s="90"/>
      <c r="K34" s="91"/>
      <c r="L34" s="92" t="s">
        <v>46</v>
      </c>
      <c r="M34" s="90"/>
      <c r="N34" s="91"/>
      <c r="O34" s="93" t="s">
        <v>47</v>
      </c>
      <c r="P34" s="93"/>
      <c r="Q34" s="93"/>
      <c r="R34" s="83" t="s">
        <v>48</v>
      </c>
      <c r="S34" s="84"/>
      <c r="T34" s="84"/>
      <c r="U34" s="85"/>
      <c r="V34" s="66"/>
      <c r="W34" s="3"/>
      <c r="X34" s="3"/>
      <c r="Y34" s="3"/>
    </row>
    <row r="35" spans="2:25" ht="18" customHeight="1" thickBot="1" x14ac:dyDescent="0.3">
      <c r="B35" s="89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8"/>
      <c r="W35" s="78"/>
      <c r="X35" s="78"/>
      <c r="Y35" s="78"/>
    </row>
    <row r="36" spans="2:25" ht="18" customHeight="1" thickBot="1" x14ac:dyDescent="0.3">
      <c r="B36" s="52" t="s">
        <v>52</v>
      </c>
      <c r="C36" s="46"/>
      <c r="D36" s="41"/>
      <c r="E36" s="42"/>
      <c r="F36" s="42">
        <v>287</v>
      </c>
      <c r="G36" s="42">
        <v>15</v>
      </c>
      <c r="H36" s="42">
        <v>2</v>
      </c>
      <c r="I36" s="42"/>
      <c r="J36" s="42"/>
      <c r="K36" s="42">
        <v>6</v>
      </c>
      <c r="L36" s="42"/>
      <c r="M36" s="42"/>
      <c r="N36" s="42"/>
      <c r="O36" s="42"/>
      <c r="P36" s="42"/>
      <c r="Q36" s="43">
        <v>8</v>
      </c>
      <c r="R36" s="72"/>
      <c r="S36" s="44"/>
      <c r="T36" s="44"/>
      <c r="U36" s="78"/>
      <c r="V36" s="78"/>
      <c r="W36" s="78"/>
      <c r="X36" s="78"/>
      <c r="Y36" s="78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8"/>
      <c r="V37" s="78"/>
      <c r="W37" s="78"/>
      <c r="X37" s="78"/>
      <c r="Y37" s="78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8"/>
      <c r="V38" s="78"/>
      <c r="W38" s="78"/>
      <c r="X38" s="78"/>
      <c r="Y38" s="78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8"/>
      <c r="V39" s="78"/>
      <c r="W39" s="78"/>
      <c r="X39" s="78"/>
      <c r="Y39" s="78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8"/>
      <c r="V40" s="78"/>
      <c r="W40" s="78"/>
      <c r="X40" s="78"/>
      <c r="Y40" s="78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8"/>
      <c r="W41" s="78"/>
      <c r="X41" s="78"/>
      <c r="Y41" s="78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>
        <v>287</v>
      </c>
      <c r="G42" s="42">
        <v>15</v>
      </c>
      <c r="H42" s="42">
        <v>2</v>
      </c>
      <c r="I42" s="42"/>
      <c r="J42" s="42"/>
      <c r="K42" s="42">
        <v>6</v>
      </c>
      <c r="L42" s="42"/>
      <c r="M42" s="42"/>
      <c r="N42" s="42"/>
      <c r="O42" s="42"/>
      <c r="P42" s="42"/>
      <c r="Q42" s="43">
        <v>8</v>
      </c>
      <c r="R42" s="86" t="s">
        <v>54</v>
      </c>
      <c r="S42" s="87"/>
      <c r="T42" s="87"/>
      <c r="U42" s="87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8"/>
      <c r="V43" s="78"/>
      <c r="W43" s="78"/>
      <c r="X43" s="78"/>
      <c r="Y43" s="78"/>
    </row>
    <row r="44" spans="2:25" x14ac:dyDescent="0.25">
      <c r="B44" s="76" t="s">
        <v>68</v>
      </c>
      <c r="C44" s="94">
        <f>1+10+23+9+283</f>
        <v>326</v>
      </c>
      <c r="D44" s="94"/>
      <c r="E44" s="94"/>
    </row>
    <row r="45" spans="2:25" x14ac:dyDescent="0.25">
      <c r="B45" s="76" t="s">
        <v>69</v>
      </c>
      <c r="C45" s="94"/>
      <c r="D45" s="94"/>
      <c r="E45" s="94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F66E93-B9D0-4EA3-8D50-857D5989BD10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3</v>
      </c>
      <c r="D8" s="14">
        <v>3</v>
      </c>
      <c r="E8" s="14"/>
      <c r="F8" s="14"/>
      <c r="G8" s="14"/>
      <c r="H8" s="14" t="s">
        <v>113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>
        <v>5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0</v>
      </c>
      <c r="D15" s="23">
        <v>0</v>
      </c>
      <c r="E15" s="23"/>
      <c r="F15" s="23"/>
      <c r="G15" s="23"/>
      <c r="H15" s="23" t="s">
        <v>114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>
        <v>5</v>
      </c>
    </row>
    <row r="16" spans="2:27" ht="18" customHeight="1" thickBot="1" x14ac:dyDescent="0.3">
      <c r="B16" s="25" t="s">
        <v>26</v>
      </c>
      <c r="C16" s="57">
        <v>3</v>
      </c>
      <c r="D16" s="58">
        <v>3</v>
      </c>
      <c r="E16" s="27"/>
      <c r="F16" s="27"/>
      <c r="G16" s="28"/>
      <c r="H16" s="28" t="s">
        <v>115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>
        <v>0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>
        <v>1</v>
      </c>
      <c r="D24" s="14"/>
      <c r="E24" s="14"/>
      <c r="F24" s="14">
        <v>2</v>
      </c>
      <c r="G24" s="14"/>
      <c r="H24" s="14">
        <v>52</v>
      </c>
      <c r="I24" s="14"/>
      <c r="J24" s="14"/>
      <c r="K24" s="14">
        <v>2</v>
      </c>
      <c r="L24" s="14">
        <v>43</v>
      </c>
      <c r="M24" s="14">
        <v>536</v>
      </c>
      <c r="N24" s="14"/>
      <c r="O24" s="14"/>
      <c r="P24" s="14">
        <v>10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>
        <v>0</v>
      </c>
      <c r="D31" s="23"/>
      <c r="E31" s="23"/>
      <c r="F31" s="23">
        <v>1</v>
      </c>
      <c r="G31" s="23"/>
      <c r="H31" s="23">
        <v>42</v>
      </c>
      <c r="I31" s="23"/>
      <c r="J31" s="23"/>
      <c r="K31" s="23">
        <v>2</v>
      </c>
      <c r="L31" s="23">
        <v>1</v>
      </c>
      <c r="M31" s="23">
        <v>137</v>
      </c>
      <c r="N31" s="23"/>
      <c r="O31" s="23"/>
      <c r="P31" s="23">
        <v>10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>
        <v>1</v>
      </c>
      <c r="D32" s="27"/>
      <c r="E32" s="27"/>
      <c r="F32" s="27">
        <v>1</v>
      </c>
      <c r="G32" s="28"/>
      <c r="H32" s="28">
        <v>10</v>
      </c>
      <c r="I32" s="28"/>
      <c r="J32" s="28"/>
      <c r="K32" s="28">
        <v>0</v>
      </c>
      <c r="L32" s="28">
        <v>42</v>
      </c>
      <c r="M32" s="28">
        <v>399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88" t="s">
        <v>43</v>
      </c>
      <c r="C34" s="90" t="s">
        <v>21</v>
      </c>
      <c r="D34" s="90"/>
      <c r="E34" s="91"/>
      <c r="F34" s="92" t="s">
        <v>44</v>
      </c>
      <c r="G34" s="90"/>
      <c r="H34" s="91"/>
      <c r="I34" s="92" t="s">
        <v>45</v>
      </c>
      <c r="J34" s="90"/>
      <c r="K34" s="91"/>
      <c r="L34" s="92" t="s">
        <v>46</v>
      </c>
      <c r="M34" s="90"/>
      <c r="N34" s="91"/>
      <c r="O34" s="93" t="s">
        <v>47</v>
      </c>
      <c r="P34" s="93"/>
      <c r="Q34" s="93"/>
      <c r="R34" s="83" t="s">
        <v>48</v>
      </c>
      <c r="S34" s="84"/>
      <c r="T34" s="84"/>
      <c r="U34" s="85"/>
      <c r="V34" s="66"/>
      <c r="W34" s="3"/>
      <c r="X34" s="3"/>
      <c r="Y34" s="3"/>
    </row>
    <row r="35" spans="2:25" ht="18" customHeight="1" thickBot="1" x14ac:dyDescent="0.3">
      <c r="B35" s="89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8"/>
      <c r="W35" s="78"/>
      <c r="X35" s="78"/>
      <c r="Y35" s="78"/>
    </row>
    <row r="36" spans="2:25" ht="18" customHeight="1" thickBot="1" x14ac:dyDescent="0.3">
      <c r="B36" s="52" t="s">
        <v>52</v>
      </c>
      <c r="C36" s="46">
        <v>1</v>
      </c>
      <c r="D36" s="41"/>
      <c r="E36" s="42"/>
      <c r="F36" s="42">
        <v>366</v>
      </c>
      <c r="G36" s="42">
        <v>23</v>
      </c>
      <c r="H36" s="42">
        <v>6</v>
      </c>
      <c r="I36" s="42">
        <v>51</v>
      </c>
      <c r="J36" s="42">
        <v>7</v>
      </c>
      <c r="K36" s="42">
        <v>5</v>
      </c>
      <c r="L36" s="42">
        <v>7</v>
      </c>
      <c r="M36" s="42"/>
      <c r="N36" s="42">
        <v>9</v>
      </c>
      <c r="O36" s="42">
        <v>21</v>
      </c>
      <c r="P36" s="42">
        <v>1</v>
      </c>
      <c r="Q36" s="43">
        <v>12</v>
      </c>
      <c r="R36" s="72"/>
      <c r="S36" s="44"/>
      <c r="T36" s="44"/>
      <c r="U36" s="78"/>
      <c r="V36" s="78"/>
      <c r="W36" s="78"/>
      <c r="X36" s="78"/>
      <c r="Y36" s="78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8"/>
      <c r="V37" s="78"/>
      <c r="W37" s="78"/>
      <c r="X37" s="78"/>
      <c r="Y37" s="78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8"/>
      <c r="V38" s="78"/>
      <c r="W38" s="78"/>
      <c r="X38" s="78"/>
      <c r="Y38" s="78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8"/>
      <c r="V39" s="78"/>
      <c r="W39" s="78"/>
      <c r="X39" s="78"/>
      <c r="Y39" s="78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8"/>
      <c r="V40" s="78"/>
      <c r="W40" s="78"/>
      <c r="X40" s="78"/>
      <c r="Y40" s="78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8"/>
      <c r="W41" s="78"/>
      <c r="X41" s="78"/>
      <c r="Y41" s="78"/>
    </row>
    <row r="42" spans="2:25" s="5" customFormat="1" ht="18" customHeight="1" thickBot="1" x14ac:dyDescent="0.3">
      <c r="B42" s="45" t="s">
        <v>53</v>
      </c>
      <c r="C42" s="46">
        <v>1</v>
      </c>
      <c r="D42" s="41"/>
      <c r="E42" s="42"/>
      <c r="F42" s="42">
        <v>366</v>
      </c>
      <c r="G42" s="42">
        <v>23</v>
      </c>
      <c r="H42" s="42">
        <v>6</v>
      </c>
      <c r="I42" s="42">
        <v>51</v>
      </c>
      <c r="J42" s="42">
        <v>7</v>
      </c>
      <c r="K42" s="42">
        <v>5</v>
      </c>
      <c r="L42" s="42">
        <v>7</v>
      </c>
      <c r="M42" s="42"/>
      <c r="N42" s="42">
        <v>9</v>
      </c>
      <c r="O42" s="42">
        <v>21</v>
      </c>
      <c r="P42" s="42">
        <v>1</v>
      </c>
      <c r="Q42" s="43">
        <v>12</v>
      </c>
      <c r="R42" s="86" t="s">
        <v>54</v>
      </c>
      <c r="S42" s="87"/>
      <c r="T42" s="87"/>
      <c r="U42" s="87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8"/>
      <c r="V43" s="78"/>
      <c r="W43" s="78"/>
      <c r="X43" s="78"/>
      <c r="Y43" s="78"/>
    </row>
    <row r="44" spans="2:25" x14ac:dyDescent="0.25">
      <c r="B44" s="76" t="s">
        <v>68</v>
      </c>
      <c r="C44" s="94">
        <f>3+3+17+1+1+10+42+399</f>
        <v>476</v>
      </c>
      <c r="D44" s="94"/>
      <c r="E44" s="94"/>
    </row>
    <row r="45" spans="2:25" x14ac:dyDescent="0.25">
      <c r="B45" s="76" t="s">
        <v>69</v>
      </c>
      <c r="C45" s="94">
        <f>19</f>
        <v>19</v>
      </c>
      <c r="D45" s="94"/>
      <c r="E45" s="94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E0E6A4-C466-4FA2-ABD5-0D7DCEAF57A5}">
  <dimension ref="B1:AA43"/>
  <sheetViews>
    <sheetView showGridLines="0" view="pageBreakPreview" zoomScale="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88" t="s">
        <v>43</v>
      </c>
      <c r="C34" s="90" t="s">
        <v>21</v>
      </c>
      <c r="D34" s="90"/>
      <c r="E34" s="91"/>
      <c r="F34" s="92" t="s">
        <v>44</v>
      </c>
      <c r="G34" s="90"/>
      <c r="H34" s="91"/>
      <c r="I34" s="92" t="s">
        <v>45</v>
      </c>
      <c r="J34" s="90"/>
      <c r="K34" s="91"/>
      <c r="L34" s="92" t="s">
        <v>46</v>
      </c>
      <c r="M34" s="90"/>
      <c r="N34" s="91"/>
      <c r="O34" s="93" t="s">
        <v>47</v>
      </c>
      <c r="P34" s="93"/>
      <c r="Q34" s="93"/>
      <c r="R34" s="83" t="s">
        <v>48</v>
      </c>
      <c r="S34" s="84"/>
      <c r="T34" s="84"/>
      <c r="U34" s="85"/>
      <c r="V34" s="66"/>
      <c r="W34" s="3"/>
      <c r="X34" s="3"/>
      <c r="Y34" s="3"/>
    </row>
    <row r="35" spans="2:25" ht="18" customHeight="1" thickBot="1" x14ac:dyDescent="0.3">
      <c r="B35" s="89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8"/>
      <c r="W35" s="78"/>
      <c r="X35" s="78"/>
      <c r="Y35" s="78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78"/>
      <c r="V36" s="78"/>
      <c r="W36" s="78"/>
      <c r="X36" s="78"/>
      <c r="Y36" s="78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8"/>
      <c r="V37" s="78"/>
      <c r="W37" s="78"/>
      <c r="X37" s="78"/>
      <c r="Y37" s="78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8"/>
      <c r="V38" s="78"/>
      <c r="W38" s="78"/>
      <c r="X38" s="78"/>
      <c r="Y38" s="78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8"/>
      <c r="V39" s="78"/>
      <c r="W39" s="78"/>
      <c r="X39" s="78"/>
      <c r="Y39" s="78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8"/>
      <c r="V40" s="78"/>
      <c r="W40" s="78"/>
      <c r="X40" s="78"/>
      <c r="Y40" s="78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8"/>
      <c r="W41" s="78"/>
      <c r="X41" s="78"/>
      <c r="Y41" s="78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86" t="s">
        <v>54</v>
      </c>
      <c r="S42" s="87"/>
      <c r="T42" s="87"/>
      <c r="U42" s="87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8"/>
      <c r="V43" s="78"/>
      <c r="W43" s="78"/>
      <c r="X43" s="78"/>
      <c r="Y43" s="78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C7F930-DF99-44A7-B907-1FC935B850C6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75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88" t="s">
        <v>43</v>
      </c>
      <c r="C34" s="90" t="s">
        <v>21</v>
      </c>
      <c r="D34" s="90"/>
      <c r="E34" s="91"/>
      <c r="F34" s="92" t="s">
        <v>44</v>
      </c>
      <c r="G34" s="90"/>
      <c r="H34" s="91"/>
      <c r="I34" s="92" t="s">
        <v>45</v>
      </c>
      <c r="J34" s="90"/>
      <c r="K34" s="91"/>
      <c r="L34" s="92" t="s">
        <v>46</v>
      </c>
      <c r="M34" s="90"/>
      <c r="N34" s="91"/>
      <c r="O34" s="93" t="s">
        <v>47</v>
      </c>
      <c r="P34" s="93"/>
      <c r="Q34" s="93"/>
      <c r="R34" s="83" t="s">
        <v>48</v>
      </c>
      <c r="S34" s="84"/>
      <c r="T34" s="84"/>
      <c r="U34" s="85"/>
      <c r="V34" s="66"/>
      <c r="W34" s="3"/>
      <c r="X34" s="3"/>
      <c r="Y34" s="3"/>
    </row>
    <row r="35" spans="2:25" ht="18" customHeight="1" thickBot="1" x14ac:dyDescent="0.3">
      <c r="B35" s="89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8"/>
      <c r="W35" s="78"/>
      <c r="X35" s="78"/>
      <c r="Y35" s="78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78"/>
      <c r="V36" s="78"/>
      <c r="W36" s="78"/>
      <c r="X36" s="78"/>
      <c r="Y36" s="78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8"/>
      <c r="V37" s="78"/>
      <c r="W37" s="78"/>
      <c r="X37" s="78"/>
      <c r="Y37" s="78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8"/>
      <c r="V38" s="78"/>
      <c r="W38" s="78"/>
      <c r="X38" s="78"/>
      <c r="Y38" s="78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8"/>
      <c r="V39" s="78"/>
      <c r="W39" s="78"/>
      <c r="X39" s="78"/>
      <c r="Y39" s="78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8"/>
      <c r="V40" s="78"/>
      <c r="W40" s="78"/>
      <c r="X40" s="78"/>
      <c r="Y40" s="78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8"/>
      <c r="W41" s="78"/>
      <c r="X41" s="78"/>
      <c r="Y41" s="78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86" t="s">
        <v>54</v>
      </c>
      <c r="S42" s="87"/>
      <c r="T42" s="87"/>
      <c r="U42" s="87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8"/>
      <c r="V43" s="78"/>
      <c r="W43" s="78"/>
      <c r="X43" s="78"/>
      <c r="Y43" s="78"/>
    </row>
    <row r="44" spans="2:25" x14ac:dyDescent="0.25">
      <c r="B44" s="76" t="s">
        <v>68</v>
      </c>
      <c r="C44" s="94"/>
      <c r="D44" s="94"/>
      <c r="E44" s="94"/>
    </row>
    <row r="45" spans="2:25" x14ac:dyDescent="0.25">
      <c r="B45" s="76" t="s">
        <v>69</v>
      </c>
      <c r="C45" s="94"/>
      <c r="D45" s="94"/>
      <c r="E45" s="94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E86360-9FC2-4EBF-A268-CD3D0A142963}">
  <dimension ref="B1:AA45"/>
  <sheetViews>
    <sheetView showGridLines="0" topLeftCell="A1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75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 t="s">
        <v>80</v>
      </c>
      <c r="D8" s="14"/>
      <c r="E8" s="14">
        <v>2</v>
      </c>
      <c r="F8" s="14">
        <v>2</v>
      </c>
      <c r="G8" s="14"/>
      <c r="H8" s="14">
        <v>12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>
        <v>1</v>
      </c>
      <c r="Y8" s="15">
        <v>1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 t="s">
        <v>80</v>
      </c>
      <c r="D15" s="23"/>
      <c r="E15" s="23">
        <v>0</v>
      </c>
      <c r="F15" s="23">
        <v>0</v>
      </c>
      <c r="G15" s="23"/>
      <c r="H15" s="23" t="s">
        <v>121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>
        <v>0</v>
      </c>
      <c r="Y15" s="24">
        <v>1</v>
      </c>
    </row>
    <row r="16" spans="2:27" ht="18" customHeight="1" thickBot="1" x14ac:dyDescent="0.3">
      <c r="B16" s="25" t="s">
        <v>26</v>
      </c>
      <c r="C16" s="57">
        <v>0</v>
      </c>
      <c r="D16" s="58"/>
      <c r="E16" s="27">
        <v>2</v>
      </c>
      <c r="F16" s="27">
        <v>2</v>
      </c>
      <c r="G16" s="28"/>
      <c r="H16" s="28" t="s">
        <v>120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>
        <v>1</v>
      </c>
      <c r="Y16" s="29">
        <v>0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>
        <v>1</v>
      </c>
      <c r="E24" s="14">
        <v>1</v>
      </c>
      <c r="F24" s="14">
        <v>2</v>
      </c>
      <c r="G24" s="14"/>
      <c r="H24" s="14">
        <v>30</v>
      </c>
      <c r="I24" s="14"/>
      <c r="J24" s="14"/>
      <c r="K24" s="14">
        <v>2</v>
      </c>
      <c r="L24" s="14">
        <v>8</v>
      </c>
      <c r="M24" s="14">
        <v>395</v>
      </c>
      <c r="N24" s="14">
        <v>2</v>
      </c>
      <c r="O24" s="14"/>
      <c r="P24" s="14" t="s">
        <v>101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>
        <v>0</v>
      </c>
      <c r="E31" s="23">
        <v>0</v>
      </c>
      <c r="F31" s="23">
        <v>2</v>
      </c>
      <c r="G31" s="23"/>
      <c r="H31" s="23">
        <v>6</v>
      </c>
      <c r="I31" s="23"/>
      <c r="J31" s="23"/>
      <c r="K31" s="23">
        <v>2</v>
      </c>
      <c r="L31" s="23">
        <v>5</v>
      </c>
      <c r="M31" s="23">
        <v>97</v>
      </c>
      <c r="N31" s="23">
        <v>0</v>
      </c>
      <c r="O31" s="23"/>
      <c r="P31" s="23" t="s">
        <v>101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>
        <v>1</v>
      </c>
      <c r="E32" s="27">
        <v>1</v>
      </c>
      <c r="F32" s="27">
        <v>0</v>
      </c>
      <c r="G32" s="28"/>
      <c r="H32" s="28">
        <v>24</v>
      </c>
      <c r="I32" s="28"/>
      <c r="J32" s="28"/>
      <c r="K32" s="28">
        <v>0</v>
      </c>
      <c r="L32" s="28">
        <v>3</v>
      </c>
      <c r="M32" s="28">
        <v>298</v>
      </c>
      <c r="N32" s="28">
        <v>2</v>
      </c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88" t="s">
        <v>43</v>
      </c>
      <c r="C34" s="90" t="s">
        <v>21</v>
      </c>
      <c r="D34" s="90"/>
      <c r="E34" s="91"/>
      <c r="F34" s="92" t="s">
        <v>44</v>
      </c>
      <c r="G34" s="90"/>
      <c r="H34" s="91"/>
      <c r="I34" s="92" t="s">
        <v>45</v>
      </c>
      <c r="J34" s="90"/>
      <c r="K34" s="91"/>
      <c r="L34" s="92" t="s">
        <v>46</v>
      </c>
      <c r="M34" s="90"/>
      <c r="N34" s="91"/>
      <c r="O34" s="93" t="s">
        <v>47</v>
      </c>
      <c r="P34" s="93"/>
      <c r="Q34" s="93"/>
      <c r="R34" s="83" t="s">
        <v>48</v>
      </c>
      <c r="S34" s="84"/>
      <c r="T34" s="84"/>
      <c r="U34" s="85"/>
      <c r="V34" s="66"/>
      <c r="W34" s="3"/>
      <c r="X34" s="3"/>
      <c r="Y34" s="3"/>
    </row>
    <row r="35" spans="2:25" ht="18" customHeight="1" thickBot="1" x14ac:dyDescent="0.3">
      <c r="B35" s="89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8"/>
      <c r="W35" s="78"/>
      <c r="X35" s="78"/>
      <c r="Y35" s="78"/>
    </row>
    <row r="36" spans="2:25" ht="18" customHeight="1" thickBot="1" x14ac:dyDescent="0.3">
      <c r="B36" s="52" t="s">
        <v>52</v>
      </c>
      <c r="C36" s="46"/>
      <c r="D36" s="41">
        <v>2</v>
      </c>
      <c r="E36" s="42">
        <v>20</v>
      </c>
      <c r="F36" s="42">
        <v>207</v>
      </c>
      <c r="G36" s="42"/>
      <c r="H36" s="42">
        <v>14</v>
      </c>
      <c r="I36" s="42">
        <v>4</v>
      </c>
      <c r="J36" s="42"/>
      <c r="K36" s="42">
        <v>24</v>
      </c>
      <c r="L36" s="42">
        <v>2</v>
      </c>
      <c r="M36" s="42"/>
      <c r="N36" s="42">
        <v>6</v>
      </c>
      <c r="O36" s="42">
        <v>5</v>
      </c>
      <c r="P36" s="42">
        <v>7</v>
      </c>
      <c r="Q36" s="43">
        <v>10</v>
      </c>
      <c r="R36" s="72"/>
      <c r="S36" s="44"/>
      <c r="T36" s="44"/>
      <c r="U36" s="78"/>
      <c r="V36" s="78"/>
      <c r="W36" s="78"/>
      <c r="X36" s="78"/>
      <c r="Y36" s="78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8"/>
      <c r="V37" s="78"/>
      <c r="W37" s="78"/>
      <c r="X37" s="78"/>
      <c r="Y37" s="78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8"/>
      <c r="V38" s="78"/>
      <c r="W38" s="78"/>
      <c r="X38" s="78"/>
      <c r="Y38" s="78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8"/>
      <c r="V39" s="78"/>
      <c r="W39" s="78"/>
      <c r="X39" s="78"/>
      <c r="Y39" s="78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8"/>
      <c r="V40" s="78"/>
      <c r="W40" s="78"/>
      <c r="X40" s="78"/>
      <c r="Y40" s="78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8"/>
      <c r="W41" s="78"/>
      <c r="X41" s="78"/>
      <c r="Y41" s="78"/>
    </row>
    <row r="42" spans="2:25" s="5" customFormat="1" ht="18" customHeight="1" thickBot="1" x14ac:dyDescent="0.3">
      <c r="B42" s="45" t="s">
        <v>53</v>
      </c>
      <c r="C42" s="46"/>
      <c r="D42" s="41">
        <v>2</v>
      </c>
      <c r="E42" s="42">
        <v>20</v>
      </c>
      <c r="F42" s="42">
        <v>207</v>
      </c>
      <c r="G42" s="42"/>
      <c r="H42" s="42">
        <v>14</v>
      </c>
      <c r="I42" s="42">
        <v>4</v>
      </c>
      <c r="J42" s="42"/>
      <c r="K42" s="42">
        <v>24</v>
      </c>
      <c r="L42" s="42">
        <v>2</v>
      </c>
      <c r="M42" s="42"/>
      <c r="N42" s="42">
        <v>6</v>
      </c>
      <c r="O42" s="42">
        <v>5</v>
      </c>
      <c r="P42" s="42">
        <v>7</v>
      </c>
      <c r="Q42" s="43">
        <v>10</v>
      </c>
      <c r="R42" s="86" t="s">
        <v>54</v>
      </c>
      <c r="S42" s="87"/>
      <c r="T42" s="87"/>
      <c r="U42" s="87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8"/>
      <c r="V43" s="78"/>
      <c r="W43" s="78"/>
      <c r="X43" s="78"/>
      <c r="Y43" s="78"/>
    </row>
    <row r="44" spans="2:25" x14ac:dyDescent="0.25">
      <c r="B44" s="76" t="s">
        <v>68</v>
      </c>
      <c r="C44" s="94">
        <f>2+2+9+1+1+1+24+3+298+2</f>
        <v>343</v>
      </c>
      <c r="D44" s="94"/>
      <c r="E44" s="94"/>
    </row>
    <row r="45" spans="2:25" x14ac:dyDescent="0.25">
      <c r="B45" s="76" t="s">
        <v>69</v>
      </c>
      <c r="C45" s="94">
        <f>9</f>
        <v>9</v>
      </c>
      <c r="D45" s="94"/>
      <c r="E45" s="94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BC1760D-4C86-4E8F-B94F-D23C21DA1C21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6.4257812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75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1</v>
      </c>
      <c r="D8" s="14">
        <v>1</v>
      </c>
      <c r="E8" s="14"/>
      <c r="F8" s="14"/>
      <c r="G8" s="14"/>
      <c r="H8" s="14" t="s">
        <v>119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>
        <v>2</v>
      </c>
      <c r="Y8" s="15">
        <v>5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1</v>
      </c>
      <c r="D15" s="23">
        <v>1</v>
      </c>
      <c r="E15" s="23"/>
      <c r="F15" s="23"/>
      <c r="G15" s="23"/>
      <c r="H15" s="23" t="s">
        <v>118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>
        <v>2</v>
      </c>
      <c r="Y15" s="24">
        <v>5</v>
      </c>
    </row>
    <row r="16" spans="2:27" ht="18" customHeight="1" thickBot="1" x14ac:dyDescent="0.3">
      <c r="B16" s="25" t="s">
        <v>26</v>
      </c>
      <c r="C16" s="57">
        <v>0</v>
      </c>
      <c r="D16" s="58">
        <v>0</v>
      </c>
      <c r="E16" s="27"/>
      <c r="F16" s="27"/>
      <c r="G16" s="28"/>
      <c r="H16" s="82" t="s">
        <v>117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>
        <v>0</v>
      </c>
      <c r="Y16" s="29">
        <v>0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3</v>
      </c>
      <c r="G24" s="14"/>
      <c r="H24" s="14">
        <v>42</v>
      </c>
      <c r="I24" s="14"/>
      <c r="J24" s="14"/>
      <c r="K24" s="14">
        <v>2</v>
      </c>
      <c r="L24" s="14">
        <v>21</v>
      </c>
      <c r="M24" s="14">
        <v>569</v>
      </c>
      <c r="N24" s="14"/>
      <c r="O24" s="14"/>
      <c r="P24" s="14">
        <v>10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1</v>
      </c>
      <c r="G31" s="23"/>
      <c r="H31" s="23">
        <v>2</v>
      </c>
      <c r="I31" s="23"/>
      <c r="J31" s="23"/>
      <c r="K31" s="23">
        <v>1</v>
      </c>
      <c r="L31" s="23">
        <v>1</v>
      </c>
      <c r="M31" s="23">
        <v>98</v>
      </c>
      <c r="N31" s="23"/>
      <c r="O31" s="23"/>
      <c r="P31" s="23">
        <v>10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2</v>
      </c>
      <c r="G32" s="28"/>
      <c r="H32" s="28">
        <v>40</v>
      </c>
      <c r="I32" s="28"/>
      <c r="J32" s="28"/>
      <c r="K32" s="28">
        <v>1</v>
      </c>
      <c r="L32" s="28">
        <v>20</v>
      </c>
      <c r="M32" s="28">
        <v>471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88" t="s">
        <v>43</v>
      </c>
      <c r="C34" s="90" t="s">
        <v>21</v>
      </c>
      <c r="D34" s="90"/>
      <c r="E34" s="91"/>
      <c r="F34" s="92" t="s">
        <v>44</v>
      </c>
      <c r="G34" s="90"/>
      <c r="H34" s="91"/>
      <c r="I34" s="92" t="s">
        <v>45</v>
      </c>
      <c r="J34" s="90"/>
      <c r="K34" s="91"/>
      <c r="L34" s="92" t="s">
        <v>46</v>
      </c>
      <c r="M34" s="90"/>
      <c r="N34" s="91"/>
      <c r="O34" s="93" t="s">
        <v>47</v>
      </c>
      <c r="P34" s="93"/>
      <c r="Q34" s="93"/>
      <c r="R34" s="83" t="s">
        <v>48</v>
      </c>
      <c r="S34" s="84"/>
      <c r="T34" s="84"/>
      <c r="U34" s="85"/>
      <c r="V34" s="66"/>
      <c r="W34" s="3"/>
      <c r="X34" s="3"/>
      <c r="Y34" s="3"/>
    </row>
    <row r="35" spans="2:25" ht="18" customHeight="1" thickBot="1" x14ac:dyDescent="0.3">
      <c r="B35" s="89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8"/>
      <c r="W35" s="78"/>
      <c r="X35" s="78"/>
      <c r="Y35" s="78"/>
    </row>
    <row r="36" spans="2:25" ht="18" customHeight="1" thickBot="1" x14ac:dyDescent="0.3">
      <c r="B36" s="52" t="s">
        <v>52</v>
      </c>
      <c r="C36" s="46">
        <v>1</v>
      </c>
      <c r="D36" s="41">
        <v>1</v>
      </c>
      <c r="E36" s="42">
        <v>18</v>
      </c>
      <c r="F36" s="42">
        <v>518</v>
      </c>
      <c r="G36" s="42">
        <v>9</v>
      </c>
      <c r="H36" s="42">
        <v>5</v>
      </c>
      <c r="I36" s="42">
        <v>16</v>
      </c>
      <c r="J36" s="42">
        <v>2</v>
      </c>
      <c r="K36" s="42">
        <v>5</v>
      </c>
      <c r="L36" s="42">
        <v>1</v>
      </c>
      <c r="M36" s="42"/>
      <c r="N36" s="42">
        <v>8</v>
      </c>
      <c r="O36" s="42">
        <v>7</v>
      </c>
      <c r="P36" s="42">
        <v>34</v>
      </c>
      <c r="Q36" s="43">
        <v>7</v>
      </c>
      <c r="R36" s="72"/>
      <c r="S36" s="44"/>
      <c r="T36" s="44"/>
      <c r="U36" s="78"/>
      <c r="V36" s="78"/>
      <c r="W36" s="78"/>
      <c r="X36" s="78"/>
      <c r="Y36" s="78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8"/>
      <c r="V37" s="78"/>
      <c r="W37" s="78"/>
      <c r="X37" s="78"/>
      <c r="Y37" s="78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8"/>
      <c r="V38" s="78"/>
      <c r="W38" s="78"/>
      <c r="X38" s="78"/>
      <c r="Y38" s="78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8"/>
      <c r="V39" s="78"/>
      <c r="W39" s="78"/>
      <c r="X39" s="78"/>
      <c r="Y39" s="78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8"/>
      <c r="V40" s="78"/>
      <c r="W40" s="78"/>
      <c r="X40" s="78"/>
      <c r="Y40" s="78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8"/>
      <c r="W41" s="78"/>
      <c r="X41" s="78"/>
      <c r="Y41" s="78"/>
    </row>
    <row r="42" spans="2:25" s="5" customFormat="1" ht="18" customHeight="1" thickBot="1" x14ac:dyDescent="0.3">
      <c r="B42" s="45" t="s">
        <v>53</v>
      </c>
      <c r="C42" s="46">
        <v>1</v>
      </c>
      <c r="D42" s="41">
        <v>1</v>
      </c>
      <c r="E42" s="42">
        <v>18</v>
      </c>
      <c r="F42" s="42">
        <v>518</v>
      </c>
      <c r="G42" s="42">
        <v>9</v>
      </c>
      <c r="H42" s="42">
        <v>5</v>
      </c>
      <c r="I42" s="42">
        <v>16</v>
      </c>
      <c r="J42" s="42">
        <v>2</v>
      </c>
      <c r="K42" s="42">
        <v>5</v>
      </c>
      <c r="L42" s="42">
        <v>1</v>
      </c>
      <c r="M42" s="42"/>
      <c r="N42" s="42">
        <v>8</v>
      </c>
      <c r="O42" s="42">
        <v>7</v>
      </c>
      <c r="P42" s="42">
        <v>34</v>
      </c>
      <c r="Q42" s="43">
        <v>7</v>
      </c>
      <c r="R42" s="86" t="s">
        <v>54</v>
      </c>
      <c r="S42" s="87"/>
      <c r="T42" s="87"/>
      <c r="U42" s="87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8"/>
      <c r="V43" s="78"/>
      <c r="W43" s="78"/>
      <c r="X43" s="78"/>
      <c r="Y43" s="78"/>
    </row>
    <row r="44" spans="2:25" x14ac:dyDescent="0.25">
      <c r="B44" s="76" t="s">
        <v>68</v>
      </c>
      <c r="C44" s="94">
        <f>15+2+40+1+20+471</f>
        <v>549</v>
      </c>
      <c r="D44" s="94"/>
      <c r="E44" s="94"/>
    </row>
    <row r="45" spans="2:25" x14ac:dyDescent="0.25">
      <c r="B45" s="76" t="s">
        <v>69</v>
      </c>
      <c r="C45" s="94">
        <v>10</v>
      </c>
      <c r="D45" s="94"/>
      <c r="E45" s="94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8E00E9-F0ED-46F4-9589-1BAEF68277C9}">
  <dimension ref="B1:AA43"/>
  <sheetViews>
    <sheetView showGridLines="0" view="pageBreakPreview" zoomScale="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88" t="s">
        <v>43</v>
      </c>
      <c r="C34" s="90" t="s">
        <v>21</v>
      </c>
      <c r="D34" s="90"/>
      <c r="E34" s="91"/>
      <c r="F34" s="92" t="s">
        <v>44</v>
      </c>
      <c r="G34" s="90"/>
      <c r="H34" s="91"/>
      <c r="I34" s="92" t="s">
        <v>45</v>
      </c>
      <c r="J34" s="90"/>
      <c r="K34" s="91"/>
      <c r="L34" s="92" t="s">
        <v>46</v>
      </c>
      <c r="M34" s="90"/>
      <c r="N34" s="91"/>
      <c r="O34" s="93" t="s">
        <v>47</v>
      </c>
      <c r="P34" s="93"/>
      <c r="Q34" s="93"/>
      <c r="R34" s="83" t="s">
        <v>48</v>
      </c>
      <c r="S34" s="84"/>
      <c r="T34" s="84"/>
      <c r="U34" s="85"/>
      <c r="V34" s="66"/>
      <c r="W34" s="3"/>
      <c r="X34" s="3"/>
      <c r="Y34" s="3"/>
    </row>
    <row r="35" spans="2:25" ht="18" customHeight="1" thickBot="1" x14ac:dyDescent="0.3">
      <c r="B35" s="89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8"/>
      <c r="W35" s="78"/>
      <c r="X35" s="78"/>
      <c r="Y35" s="78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78"/>
      <c r="V36" s="78"/>
      <c r="W36" s="78"/>
      <c r="X36" s="78"/>
      <c r="Y36" s="78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8"/>
      <c r="V37" s="78"/>
      <c r="W37" s="78"/>
      <c r="X37" s="78"/>
      <c r="Y37" s="78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8"/>
      <c r="V38" s="78"/>
      <c r="W38" s="78"/>
      <c r="X38" s="78"/>
      <c r="Y38" s="78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8"/>
      <c r="V39" s="78"/>
      <c r="W39" s="78"/>
      <c r="X39" s="78"/>
      <c r="Y39" s="78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8"/>
      <c r="V40" s="78"/>
      <c r="W40" s="78"/>
      <c r="X40" s="78"/>
      <c r="Y40" s="78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8"/>
      <c r="W41" s="78"/>
      <c r="X41" s="78"/>
      <c r="Y41" s="78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86" t="s">
        <v>54</v>
      </c>
      <c r="S42" s="87"/>
      <c r="T42" s="87"/>
      <c r="U42" s="87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8"/>
      <c r="V43" s="78"/>
      <c r="W43" s="78"/>
      <c r="X43" s="78"/>
      <c r="Y43" s="78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DE849A-C43C-4C9D-A588-4E7C2202EE6C}">
  <dimension ref="B1:AA45"/>
  <sheetViews>
    <sheetView showGridLines="0" topLeftCell="A29" zoomScale="160" zoomScaleNormal="160" workbookViewId="0">
      <selection activeCell="G46" sqref="G46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76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 t="s">
        <v>122</v>
      </c>
      <c r="D8" s="14"/>
      <c r="E8" s="14"/>
      <c r="F8" s="14"/>
      <c r="G8" s="14" t="s">
        <v>123</v>
      </c>
      <c r="H8" s="14" t="s">
        <v>124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 t="s">
        <v>127</v>
      </c>
      <c r="Y8" s="15">
        <v>1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 t="s">
        <v>122</v>
      </c>
      <c r="D15" s="23"/>
      <c r="E15" s="23"/>
      <c r="F15" s="23"/>
      <c r="G15" s="23">
        <v>0</v>
      </c>
      <c r="H15" s="23" t="s">
        <v>125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 t="s">
        <v>128</v>
      </c>
      <c r="Y15" s="24">
        <v>1</v>
      </c>
    </row>
    <row r="16" spans="2:27" ht="18" customHeight="1" thickBot="1" x14ac:dyDescent="0.3">
      <c r="B16" s="25" t="s">
        <v>26</v>
      </c>
      <c r="C16" s="57">
        <v>0</v>
      </c>
      <c r="D16" s="58"/>
      <c r="E16" s="27"/>
      <c r="F16" s="27"/>
      <c r="G16" s="28" t="s">
        <v>123</v>
      </c>
      <c r="H16" s="28" t="s">
        <v>126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>
        <v>2</v>
      </c>
      <c r="Y16" s="29">
        <v>0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 t="s">
        <v>129</v>
      </c>
      <c r="G24" s="14"/>
      <c r="H24" s="14">
        <v>31</v>
      </c>
      <c r="I24" s="14"/>
      <c r="J24" s="14"/>
      <c r="K24" s="14">
        <v>2</v>
      </c>
      <c r="L24" s="14">
        <v>10</v>
      </c>
      <c r="M24" s="14">
        <v>395</v>
      </c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 t="s">
        <v>130</v>
      </c>
      <c r="G31" s="23"/>
      <c r="H31" s="23">
        <v>1</v>
      </c>
      <c r="I31" s="23"/>
      <c r="J31" s="23"/>
      <c r="K31" s="23">
        <v>1</v>
      </c>
      <c r="L31" s="23">
        <v>0</v>
      </c>
      <c r="M31" s="23">
        <v>30</v>
      </c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1</v>
      </c>
      <c r="G32" s="28"/>
      <c r="H32" s="28">
        <v>30</v>
      </c>
      <c r="I32" s="28"/>
      <c r="J32" s="28"/>
      <c r="K32" s="28">
        <v>1</v>
      </c>
      <c r="L32" s="28">
        <v>10</v>
      </c>
      <c r="M32" s="28">
        <v>365</v>
      </c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88" t="s">
        <v>43</v>
      </c>
      <c r="C34" s="90" t="s">
        <v>21</v>
      </c>
      <c r="D34" s="90"/>
      <c r="E34" s="91"/>
      <c r="F34" s="92" t="s">
        <v>44</v>
      </c>
      <c r="G34" s="90"/>
      <c r="H34" s="91"/>
      <c r="I34" s="92" t="s">
        <v>45</v>
      </c>
      <c r="J34" s="90"/>
      <c r="K34" s="91"/>
      <c r="L34" s="92" t="s">
        <v>46</v>
      </c>
      <c r="M34" s="90"/>
      <c r="N34" s="91"/>
      <c r="O34" s="93" t="s">
        <v>47</v>
      </c>
      <c r="P34" s="93"/>
      <c r="Q34" s="93"/>
      <c r="R34" s="83" t="s">
        <v>48</v>
      </c>
      <c r="S34" s="84"/>
      <c r="T34" s="84"/>
      <c r="U34" s="85"/>
      <c r="V34" s="66"/>
      <c r="W34" s="3"/>
      <c r="X34" s="3"/>
      <c r="Y34" s="3"/>
    </row>
    <row r="35" spans="2:25" ht="18" customHeight="1" thickBot="1" x14ac:dyDescent="0.3">
      <c r="B35" s="89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8"/>
      <c r="W35" s="78"/>
      <c r="X35" s="78"/>
      <c r="Y35" s="78"/>
    </row>
    <row r="36" spans="2:25" ht="18" customHeight="1" thickBot="1" x14ac:dyDescent="0.3">
      <c r="B36" s="52" t="s">
        <v>52</v>
      </c>
      <c r="C36" s="46">
        <v>1</v>
      </c>
      <c r="D36" s="41"/>
      <c r="E36" s="42"/>
      <c r="F36" s="42">
        <v>356</v>
      </c>
      <c r="G36" s="42">
        <v>12</v>
      </c>
      <c r="H36" s="42"/>
      <c r="I36" s="42">
        <v>10</v>
      </c>
      <c r="J36" s="42"/>
      <c r="K36" s="42">
        <v>8</v>
      </c>
      <c r="L36" s="42">
        <v>3</v>
      </c>
      <c r="M36" s="42"/>
      <c r="N36" s="42"/>
      <c r="O36" s="42">
        <v>1</v>
      </c>
      <c r="P36" s="42">
        <v>1</v>
      </c>
      <c r="Q36" s="43">
        <v>7</v>
      </c>
      <c r="R36" s="72"/>
      <c r="S36" s="44"/>
      <c r="T36" s="44"/>
      <c r="U36" s="78"/>
      <c r="V36" s="78"/>
      <c r="W36" s="78"/>
      <c r="X36" s="78"/>
      <c r="Y36" s="78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8"/>
      <c r="V37" s="78"/>
      <c r="W37" s="78"/>
      <c r="X37" s="78"/>
      <c r="Y37" s="78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8"/>
      <c r="V38" s="78"/>
      <c r="W38" s="78"/>
      <c r="X38" s="78"/>
      <c r="Y38" s="78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8"/>
      <c r="V39" s="78"/>
      <c r="W39" s="78"/>
      <c r="X39" s="78"/>
      <c r="Y39" s="78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8"/>
      <c r="V40" s="78"/>
      <c r="W40" s="78"/>
      <c r="X40" s="78"/>
      <c r="Y40" s="78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8"/>
      <c r="W41" s="78"/>
      <c r="X41" s="78"/>
      <c r="Y41" s="78"/>
    </row>
    <row r="42" spans="2:25" s="5" customFormat="1" ht="18" customHeight="1" thickBot="1" x14ac:dyDescent="0.3">
      <c r="B42" s="45" t="s">
        <v>53</v>
      </c>
      <c r="C42" s="46">
        <v>1</v>
      </c>
      <c r="D42" s="41"/>
      <c r="E42" s="42"/>
      <c r="F42" s="42">
        <v>356</v>
      </c>
      <c r="G42" s="42">
        <v>12</v>
      </c>
      <c r="H42" s="42"/>
      <c r="I42" s="42">
        <v>10</v>
      </c>
      <c r="J42" s="42"/>
      <c r="K42" s="42">
        <v>8</v>
      </c>
      <c r="L42" s="42">
        <v>3</v>
      </c>
      <c r="M42" s="42"/>
      <c r="N42" s="42"/>
      <c r="O42" s="42">
        <v>1</v>
      </c>
      <c r="P42" s="42">
        <v>1</v>
      </c>
      <c r="Q42" s="43">
        <v>7</v>
      </c>
      <c r="R42" s="86" t="s">
        <v>54</v>
      </c>
      <c r="S42" s="87"/>
      <c r="T42" s="87"/>
      <c r="U42" s="87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8"/>
      <c r="V43" s="78"/>
      <c r="W43" s="78"/>
      <c r="X43" s="78"/>
      <c r="Y43" s="78"/>
    </row>
    <row r="44" spans="2:25" x14ac:dyDescent="0.25">
      <c r="B44" s="76" t="s">
        <v>68</v>
      </c>
      <c r="C44" s="94">
        <f>1+2+1+30+1+10+365</f>
        <v>410</v>
      </c>
      <c r="D44" s="94"/>
      <c r="E44" s="94"/>
    </row>
    <row r="45" spans="2:25" x14ac:dyDescent="0.25">
      <c r="B45" s="76" t="s">
        <v>69</v>
      </c>
      <c r="C45" s="94">
        <f>22+10</f>
        <v>32</v>
      </c>
      <c r="D45" s="94"/>
      <c r="E45" s="94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988998C-9A79-47DA-BA16-E9354F499665}">
  <dimension ref="B1:AA45"/>
  <sheetViews>
    <sheetView showGridLines="0" topLeftCell="A32" zoomScale="160" zoomScaleNormal="160" workbookViewId="0">
      <selection activeCell="C44" sqref="C44:E44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76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 t="s">
        <v>90</v>
      </c>
      <c r="D8" s="14"/>
      <c r="E8" s="14"/>
      <c r="F8" s="14"/>
      <c r="G8" s="14"/>
      <c r="H8" s="14" t="s">
        <v>131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 t="s">
        <v>90</v>
      </c>
      <c r="D15" s="23"/>
      <c r="E15" s="23"/>
      <c r="F15" s="23"/>
      <c r="G15" s="23"/>
      <c r="H15" s="23">
        <v>8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>
        <v>0</v>
      </c>
      <c r="D16" s="58"/>
      <c r="E16" s="27"/>
      <c r="F16" s="27"/>
      <c r="G16" s="28"/>
      <c r="H16" s="82" t="s">
        <v>132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2</v>
      </c>
      <c r="G24" s="14"/>
      <c r="H24" s="14">
        <v>130</v>
      </c>
      <c r="I24" s="14"/>
      <c r="J24" s="14"/>
      <c r="K24" s="14">
        <v>2</v>
      </c>
      <c r="L24" s="14">
        <v>5</v>
      </c>
      <c r="M24" s="14">
        <v>418</v>
      </c>
      <c r="N24" s="14"/>
      <c r="O24" s="14"/>
      <c r="P24" s="14" t="s">
        <v>133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2</v>
      </c>
      <c r="G31" s="23"/>
      <c r="H31" s="23">
        <v>0</v>
      </c>
      <c r="I31" s="23"/>
      <c r="J31" s="23"/>
      <c r="K31" s="23">
        <v>2</v>
      </c>
      <c r="L31" s="23">
        <v>5</v>
      </c>
      <c r="M31" s="23">
        <v>43</v>
      </c>
      <c r="N31" s="23"/>
      <c r="O31" s="23"/>
      <c r="P31" s="23" t="s">
        <v>133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130</v>
      </c>
      <c r="I32" s="28"/>
      <c r="J32" s="28"/>
      <c r="K32" s="28">
        <v>0</v>
      </c>
      <c r="L32" s="28">
        <v>0</v>
      </c>
      <c r="M32" s="28">
        <v>375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88" t="s">
        <v>43</v>
      </c>
      <c r="C34" s="90" t="s">
        <v>21</v>
      </c>
      <c r="D34" s="90"/>
      <c r="E34" s="91"/>
      <c r="F34" s="92" t="s">
        <v>44</v>
      </c>
      <c r="G34" s="90"/>
      <c r="H34" s="91"/>
      <c r="I34" s="92" t="s">
        <v>45</v>
      </c>
      <c r="J34" s="90"/>
      <c r="K34" s="91"/>
      <c r="L34" s="92" t="s">
        <v>46</v>
      </c>
      <c r="M34" s="90"/>
      <c r="N34" s="91"/>
      <c r="O34" s="93" t="s">
        <v>47</v>
      </c>
      <c r="P34" s="93"/>
      <c r="Q34" s="93"/>
      <c r="R34" s="83" t="s">
        <v>48</v>
      </c>
      <c r="S34" s="84"/>
      <c r="T34" s="84"/>
      <c r="U34" s="85"/>
      <c r="V34" s="66"/>
      <c r="W34" s="3"/>
      <c r="X34" s="3"/>
      <c r="Y34" s="3"/>
    </row>
    <row r="35" spans="2:25" ht="18" customHeight="1" thickBot="1" x14ac:dyDescent="0.3">
      <c r="B35" s="89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8"/>
      <c r="W35" s="78"/>
      <c r="X35" s="78"/>
      <c r="Y35" s="78"/>
    </row>
    <row r="36" spans="2:25" ht="18" customHeight="1" thickBot="1" x14ac:dyDescent="0.3">
      <c r="B36" s="52" t="s">
        <v>52</v>
      </c>
      <c r="C36" s="46"/>
      <c r="D36" s="41"/>
      <c r="E36" s="42"/>
      <c r="F36" s="42">
        <v>507</v>
      </c>
      <c r="G36" s="42">
        <v>1</v>
      </c>
      <c r="H36" s="42">
        <v>4</v>
      </c>
      <c r="I36" s="42"/>
      <c r="J36" s="42"/>
      <c r="K36" s="42"/>
      <c r="L36" s="42"/>
      <c r="M36" s="42"/>
      <c r="N36" s="42"/>
      <c r="O36" s="42">
        <v>13</v>
      </c>
      <c r="P36" s="42">
        <v>3</v>
      </c>
      <c r="Q36" s="43">
        <v>7</v>
      </c>
      <c r="R36" s="72"/>
      <c r="S36" s="44"/>
      <c r="T36" s="44"/>
      <c r="U36" s="78"/>
      <c r="V36" s="78"/>
      <c r="W36" s="78"/>
      <c r="X36" s="78"/>
      <c r="Y36" s="78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8"/>
      <c r="V37" s="78"/>
      <c r="W37" s="78"/>
      <c r="X37" s="78"/>
      <c r="Y37" s="78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8"/>
      <c r="V38" s="78"/>
      <c r="W38" s="78"/>
      <c r="X38" s="78"/>
      <c r="Y38" s="78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8"/>
      <c r="V39" s="78"/>
      <c r="W39" s="78"/>
      <c r="X39" s="78"/>
      <c r="Y39" s="78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8"/>
      <c r="V40" s="78"/>
      <c r="W40" s="78"/>
      <c r="X40" s="78"/>
      <c r="Y40" s="78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8"/>
      <c r="W41" s="78"/>
      <c r="X41" s="78"/>
      <c r="Y41" s="78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>
        <v>507</v>
      </c>
      <c r="G42" s="42">
        <v>1</v>
      </c>
      <c r="H42" s="42">
        <v>4</v>
      </c>
      <c r="I42" s="42"/>
      <c r="J42" s="42"/>
      <c r="K42" s="42"/>
      <c r="L42" s="42"/>
      <c r="M42" s="42"/>
      <c r="N42" s="42"/>
      <c r="O42" s="42">
        <v>13</v>
      </c>
      <c r="P42" s="42">
        <v>3</v>
      </c>
      <c r="Q42" s="43">
        <v>7</v>
      </c>
      <c r="R42" s="86" t="s">
        <v>54</v>
      </c>
      <c r="S42" s="87"/>
      <c r="T42" s="87"/>
      <c r="U42" s="87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8"/>
      <c r="V43" s="78"/>
      <c r="W43" s="78"/>
      <c r="X43" s="78"/>
      <c r="Y43" s="78"/>
    </row>
    <row r="44" spans="2:25" x14ac:dyDescent="0.25">
      <c r="B44" s="76" t="s">
        <v>68</v>
      </c>
      <c r="C44" s="94">
        <f>130+375+15</f>
        <v>520</v>
      </c>
      <c r="D44" s="94"/>
      <c r="E44" s="94"/>
    </row>
    <row r="45" spans="2:25" x14ac:dyDescent="0.25">
      <c r="B45" s="76" t="s">
        <v>69</v>
      </c>
      <c r="C45" s="94">
        <v>7</v>
      </c>
      <c r="D45" s="94"/>
      <c r="E45" s="94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F2B866-17D9-4264-B8C6-BB74A31A32DD}">
  <dimension ref="B1:AA45"/>
  <sheetViews>
    <sheetView showGridLines="0" tabSelected="1" topLeftCell="A35" zoomScale="160" zoomScaleNormal="160" workbookViewId="0">
      <selection activeCell="C46" sqref="C46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76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1</v>
      </c>
      <c r="D8" s="14">
        <v>1</v>
      </c>
      <c r="E8" s="14"/>
      <c r="F8" s="14">
        <v>3</v>
      </c>
      <c r="G8" s="14"/>
      <c r="H8" s="14" t="s">
        <v>134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>
        <v>2</v>
      </c>
      <c r="Y8" s="15">
        <v>5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1</v>
      </c>
      <c r="D15" s="23">
        <v>1</v>
      </c>
      <c r="E15" s="23"/>
      <c r="F15" s="23">
        <v>0</v>
      </c>
      <c r="G15" s="23"/>
      <c r="H15" s="23" t="s">
        <v>135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>
        <v>0</v>
      </c>
      <c r="Y15" s="24">
        <v>5</v>
      </c>
    </row>
    <row r="16" spans="2:27" ht="18" customHeight="1" thickBot="1" x14ac:dyDescent="0.3">
      <c r="B16" s="25" t="s">
        <v>26</v>
      </c>
      <c r="C16" s="57">
        <v>0</v>
      </c>
      <c r="D16" s="58">
        <v>0</v>
      </c>
      <c r="E16" s="27"/>
      <c r="F16" s="27">
        <v>3</v>
      </c>
      <c r="G16" s="28"/>
      <c r="H16" s="28" t="s">
        <v>136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>
        <v>2</v>
      </c>
      <c r="Y16" s="29">
        <v>0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3</v>
      </c>
      <c r="G24" s="14"/>
      <c r="H24" s="14">
        <v>97</v>
      </c>
      <c r="I24" s="14"/>
      <c r="J24" s="14"/>
      <c r="K24" s="14">
        <v>2</v>
      </c>
      <c r="L24" s="14">
        <v>21</v>
      </c>
      <c r="M24" s="14">
        <v>530</v>
      </c>
      <c r="N24" s="14"/>
      <c r="O24" s="14"/>
      <c r="P24" s="14">
        <v>10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3</v>
      </c>
      <c r="G31" s="23"/>
      <c r="H31" s="23">
        <v>2</v>
      </c>
      <c r="I31" s="23"/>
      <c r="J31" s="23"/>
      <c r="K31" s="23">
        <v>2</v>
      </c>
      <c r="L31" s="23">
        <v>12</v>
      </c>
      <c r="M31" s="23">
        <v>235</v>
      </c>
      <c r="N31" s="23"/>
      <c r="O31" s="23"/>
      <c r="P31" s="23">
        <v>10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95</v>
      </c>
      <c r="I32" s="28"/>
      <c r="J32" s="28"/>
      <c r="K32" s="28">
        <v>0</v>
      </c>
      <c r="L32" s="28">
        <v>9</v>
      </c>
      <c r="M32" s="28">
        <v>295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88" t="s">
        <v>43</v>
      </c>
      <c r="C34" s="90" t="s">
        <v>21</v>
      </c>
      <c r="D34" s="90"/>
      <c r="E34" s="91"/>
      <c r="F34" s="92" t="s">
        <v>44</v>
      </c>
      <c r="G34" s="90"/>
      <c r="H34" s="91"/>
      <c r="I34" s="92" t="s">
        <v>45</v>
      </c>
      <c r="J34" s="90"/>
      <c r="K34" s="91"/>
      <c r="L34" s="92" t="s">
        <v>46</v>
      </c>
      <c r="M34" s="90"/>
      <c r="N34" s="91"/>
      <c r="O34" s="93" t="s">
        <v>47</v>
      </c>
      <c r="P34" s="93"/>
      <c r="Q34" s="93"/>
      <c r="R34" s="83" t="s">
        <v>48</v>
      </c>
      <c r="S34" s="84"/>
      <c r="T34" s="84"/>
      <c r="U34" s="85"/>
      <c r="V34" s="66"/>
      <c r="W34" s="3"/>
      <c r="X34" s="3"/>
      <c r="Y34" s="3"/>
    </row>
    <row r="35" spans="2:25" ht="18" customHeight="1" thickBot="1" x14ac:dyDescent="0.3">
      <c r="B35" s="89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8"/>
      <c r="W35" s="78"/>
      <c r="X35" s="78"/>
      <c r="Y35" s="78"/>
    </row>
    <row r="36" spans="2:25" ht="18" customHeight="1" thickBot="1" x14ac:dyDescent="0.3">
      <c r="B36" s="52" t="s">
        <v>52</v>
      </c>
      <c r="C36" s="46"/>
      <c r="D36" s="41"/>
      <c r="E36" s="42"/>
      <c r="F36" s="42">
        <v>451</v>
      </c>
      <c r="G36" s="42"/>
      <c r="H36" s="42">
        <v>31</v>
      </c>
      <c r="I36" s="42">
        <v>9</v>
      </c>
      <c r="J36" s="42"/>
      <c r="K36" s="42"/>
      <c r="L36" s="42">
        <v>2</v>
      </c>
      <c r="M36" s="42"/>
      <c r="N36" s="42">
        <v>8</v>
      </c>
      <c r="O36" s="42">
        <v>3</v>
      </c>
      <c r="P36" s="42">
        <v>1</v>
      </c>
      <c r="Q36" s="43">
        <v>1</v>
      </c>
      <c r="R36" s="72"/>
      <c r="S36" s="44"/>
      <c r="T36" s="44"/>
      <c r="U36" s="78"/>
      <c r="V36" s="78"/>
      <c r="W36" s="78"/>
      <c r="X36" s="78"/>
      <c r="Y36" s="78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8"/>
      <c r="V37" s="78"/>
      <c r="W37" s="78"/>
      <c r="X37" s="78"/>
      <c r="Y37" s="78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8"/>
      <c r="V38" s="78"/>
      <c r="W38" s="78"/>
      <c r="X38" s="78"/>
      <c r="Y38" s="78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8"/>
      <c r="V39" s="78"/>
      <c r="W39" s="78"/>
      <c r="X39" s="78"/>
      <c r="Y39" s="78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8"/>
      <c r="V40" s="78"/>
      <c r="W40" s="78"/>
      <c r="X40" s="78"/>
      <c r="Y40" s="78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8"/>
      <c r="W41" s="78"/>
      <c r="X41" s="78"/>
      <c r="Y41" s="78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>
        <v>451</v>
      </c>
      <c r="G42" s="42"/>
      <c r="H42" s="42">
        <v>31</v>
      </c>
      <c r="I42" s="42">
        <v>9</v>
      </c>
      <c r="J42" s="42"/>
      <c r="K42" s="42"/>
      <c r="L42" s="42">
        <v>2</v>
      </c>
      <c r="M42" s="42"/>
      <c r="N42" s="42">
        <v>8</v>
      </c>
      <c r="O42" s="42">
        <v>3</v>
      </c>
      <c r="P42" s="42">
        <v>1</v>
      </c>
      <c r="Q42" s="43">
        <v>1</v>
      </c>
      <c r="R42" s="86" t="s">
        <v>54</v>
      </c>
      <c r="S42" s="87"/>
      <c r="T42" s="87"/>
      <c r="U42" s="87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8"/>
      <c r="V43" s="78"/>
      <c r="W43" s="78"/>
      <c r="X43" s="78"/>
      <c r="Y43" s="78"/>
    </row>
    <row r="44" spans="2:25" x14ac:dyDescent="0.25">
      <c r="B44" s="76" t="s">
        <v>68</v>
      </c>
      <c r="C44" s="94">
        <f>3+4+2+95+9+295</f>
        <v>408</v>
      </c>
      <c r="D44" s="94"/>
      <c r="E44" s="94"/>
    </row>
    <row r="45" spans="2:25" x14ac:dyDescent="0.25">
      <c r="B45" s="76" t="s">
        <v>69</v>
      </c>
      <c r="C45" s="94">
        <v>2</v>
      </c>
      <c r="D45" s="94"/>
      <c r="E45" s="94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B98DEB-75AF-4463-9022-D90F1E487A7C}">
  <dimension ref="B1:AA43"/>
  <sheetViews>
    <sheetView showGridLines="0" view="pageBreakPreview" zoomScale="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88" t="s">
        <v>43</v>
      </c>
      <c r="C34" s="90" t="s">
        <v>21</v>
      </c>
      <c r="D34" s="90"/>
      <c r="E34" s="91"/>
      <c r="F34" s="92" t="s">
        <v>44</v>
      </c>
      <c r="G34" s="90"/>
      <c r="H34" s="91"/>
      <c r="I34" s="92" t="s">
        <v>45</v>
      </c>
      <c r="J34" s="90"/>
      <c r="K34" s="91"/>
      <c r="L34" s="92" t="s">
        <v>46</v>
      </c>
      <c r="M34" s="90"/>
      <c r="N34" s="91"/>
      <c r="O34" s="93" t="s">
        <v>47</v>
      </c>
      <c r="P34" s="93"/>
      <c r="Q34" s="93"/>
      <c r="R34" s="83" t="s">
        <v>48</v>
      </c>
      <c r="S34" s="84"/>
      <c r="T34" s="84"/>
      <c r="U34" s="85"/>
      <c r="V34" s="66"/>
      <c r="W34" s="3"/>
      <c r="X34" s="3"/>
      <c r="Y34" s="3"/>
    </row>
    <row r="35" spans="2:25" ht="18" customHeight="1" thickBot="1" x14ac:dyDescent="0.3">
      <c r="B35" s="89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1"/>
      <c r="W35" s="81"/>
      <c r="X35" s="81"/>
      <c r="Y35" s="81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1"/>
      <c r="V36" s="81"/>
      <c r="W36" s="81"/>
      <c r="X36" s="81"/>
      <c r="Y36" s="81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1"/>
      <c r="V37" s="81"/>
      <c r="W37" s="81"/>
      <c r="X37" s="81"/>
      <c r="Y37" s="81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1"/>
      <c r="V38" s="81"/>
      <c r="W38" s="81"/>
      <c r="X38" s="81"/>
      <c r="Y38" s="81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1"/>
      <c r="V39" s="81"/>
      <c r="W39" s="81"/>
      <c r="X39" s="81"/>
      <c r="Y39" s="81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1"/>
      <c r="V40" s="81"/>
      <c r="W40" s="81"/>
      <c r="X40" s="81"/>
      <c r="Y40" s="81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1"/>
      <c r="W41" s="81"/>
      <c r="X41" s="81"/>
      <c r="Y41" s="81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86" t="s">
        <v>54</v>
      </c>
      <c r="S42" s="87"/>
      <c r="T42" s="87"/>
      <c r="U42" s="87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1"/>
      <c r="V43" s="81"/>
      <c r="W43" s="81"/>
      <c r="X43" s="81"/>
      <c r="Y43" s="81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CF6FDF-C2FE-4800-B48A-98894E424D57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108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88" t="s">
        <v>43</v>
      </c>
      <c r="C34" s="90" t="s">
        <v>21</v>
      </c>
      <c r="D34" s="90"/>
      <c r="E34" s="91"/>
      <c r="F34" s="92" t="s">
        <v>44</v>
      </c>
      <c r="G34" s="90"/>
      <c r="H34" s="91"/>
      <c r="I34" s="92" t="s">
        <v>45</v>
      </c>
      <c r="J34" s="90"/>
      <c r="K34" s="91"/>
      <c r="L34" s="92" t="s">
        <v>46</v>
      </c>
      <c r="M34" s="90"/>
      <c r="N34" s="91"/>
      <c r="O34" s="93" t="s">
        <v>47</v>
      </c>
      <c r="P34" s="93"/>
      <c r="Q34" s="93"/>
      <c r="R34" s="83" t="s">
        <v>48</v>
      </c>
      <c r="S34" s="84"/>
      <c r="T34" s="84"/>
      <c r="U34" s="85"/>
      <c r="V34" s="66"/>
      <c r="W34" s="3"/>
      <c r="X34" s="3"/>
      <c r="Y34" s="3"/>
    </row>
    <row r="35" spans="2:25" ht="18" customHeight="1" thickBot="1" x14ac:dyDescent="0.3">
      <c r="B35" s="89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1"/>
      <c r="W35" s="81"/>
      <c r="X35" s="81"/>
      <c r="Y35" s="81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1"/>
      <c r="V36" s="81"/>
      <c r="W36" s="81"/>
      <c r="X36" s="81"/>
      <c r="Y36" s="81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1"/>
      <c r="V37" s="81"/>
      <c r="W37" s="81"/>
      <c r="X37" s="81"/>
      <c r="Y37" s="81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1"/>
      <c r="V38" s="81"/>
      <c r="W38" s="81"/>
      <c r="X38" s="81"/>
      <c r="Y38" s="81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1"/>
      <c r="V39" s="81"/>
      <c r="W39" s="81"/>
      <c r="X39" s="81"/>
      <c r="Y39" s="81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1"/>
      <c r="V40" s="81"/>
      <c r="W40" s="81"/>
      <c r="X40" s="81"/>
      <c r="Y40" s="81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1"/>
      <c r="W41" s="81"/>
      <c r="X41" s="81"/>
      <c r="Y41" s="81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86" t="s">
        <v>54</v>
      </c>
      <c r="S42" s="87"/>
      <c r="T42" s="87"/>
      <c r="U42" s="87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1"/>
      <c r="V43" s="81"/>
      <c r="W43" s="81"/>
      <c r="X43" s="81"/>
      <c r="Y43" s="81"/>
    </row>
    <row r="44" spans="2:25" x14ac:dyDescent="0.25">
      <c r="B44" s="76" t="s">
        <v>68</v>
      </c>
      <c r="C44" s="94"/>
      <c r="D44" s="94"/>
      <c r="E44" s="94"/>
    </row>
    <row r="45" spans="2:25" x14ac:dyDescent="0.25">
      <c r="B45" s="76" t="s">
        <v>69</v>
      </c>
      <c r="C45" s="94"/>
      <c r="D45" s="94"/>
      <c r="E45" s="94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61DA03-027A-425E-9D4D-AF194C63BFB3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108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88" t="s">
        <v>43</v>
      </c>
      <c r="C34" s="90" t="s">
        <v>21</v>
      </c>
      <c r="D34" s="90"/>
      <c r="E34" s="91"/>
      <c r="F34" s="92" t="s">
        <v>44</v>
      </c>
      <c r="G34" s="90"/>
      <c r="H34" s="91"/>
      <c r="I34" s="92" t="s">
        <v>45</v>
      </c>
      <c r="J34" s="90"/>
      <c r="K34" s="91"/>
      <c r="L34" s="92" t="s">
        <v>46</v>
      </c>
      <c r="M34" s="90"/>
      <c r="N34" s="91"/>
      <c r="O34" s="93" t="s">
        <v>47</v>
      </c>
      <c r="P34" s="93"/>
      <c r="Q34" s="93"/>
      <c r="R34" s="83" t="s">
        <v>48</v>
      </c>
      <c r="S34" s="84"/>
      <c r="T34" s="84"/>
      <c r="U34" s="85"/>
      <c r="V34" s="66"/>
      <c r="W34" s="3"/>
      <c r="X34" s="3"/>
      <c r="Y34" s="3"/>
    </row>
    <row r="35" spans="2:25" ht="18" customHeight="1" thickBot="1" x14ac:dyDescent="0.3">
      <c r="B35" s="89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1"/>
      <c r="W35" s="81"/>
      <c r="X35" s="81"/>
      <c r="Y35" s="81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1"/>
      <c r="V36" s="81"/>
      <c r="W36" s="81"/>
      <c r="X36" s="81"/>
      <c r="Y36" s="81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1"/>
      <c r="V37" s="81"/>
      <c r="W37" s="81"/>
      <c r="X37" s="81"/>
      <c r="Y37" s="81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1"/>
      <c r="V38" s="81"/>
      <c r="W38" s="81"/>
      <c r="X38" s="81"/>
      <c r="Y38" s="81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1"/>
      <c r="V39" s="81"/>
      <c r="W39" s="81"/>
      <c r="X39" s="81"/>
      <c r="Y39" s="81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1"/>
      <c r="V40" s="81"/>
      <c r="W40" s="81"/>
      <c r="X40" s="81"/>
      <c r="Y40" s="81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1"/>
      <c r="W41" s="81"/>
      <c r="X41" s="81"/>
      <c r="Y41" s="81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86" t="s">
        <v>54</v>
      </c>
      <c r="S42" s="87"/>
      <c r="T42" s="87"/>
      <c r="U42" s="87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1"/>
      <c r="V43" s="81"/>
      <c r="W43" s="81"/>
      <c r="X43" s="81"/>
      <c r="Y43" s="81"/>
    </row>
    <row r="44" spans="2:25" x14ac:dyDescent="0.25">
      <c r="B44" s="76" t="s">
        <v>68</v>
      </c>
      <c r="C44" s="94"/>
      <c r="D44" s="94"/>
      <c r="E44" s="94"/>
    </row>
    <row r="45" spans="2:25" x14ac:dyDescent="0.25">
      <c r="B45" s="76" t="s">
        <v>69</v>
      </c>
      <c r="C45" s="94"/>
      <c r="D45" s="94"/>
      <c r="E45" s="94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14E6B5-5FF0-45DB-8F08-CCA4C67B26AC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108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88" t="s">
        <v>43</v>
      </c>
      <c r="C34" s="90" t="s">
        <v>21</v>
      </c>
      <c r="D34" s="90"/>
      <c r="E34" s="91"/>
      <c r="F34" s="92" t="s">
        <v>44</v>
      </c>
      <c r="G34" s="90"/>
      <c r="H34" s="91"/>
      <c r="I34" s="92" t="s">
        <v>45</v>
      </c>
      <c r="J34" s="90"/>
      <c r="K34" s="91"/>
      <c r="L34" s="92" t="s">
        <v>46</v>
      </c>
      <c r="M34" s="90"/>
      <c r="N34" s="91"/>
      <c r="O34" s="93" t="s">
        <v>47</v>
      </c>
      <c r="P34" s="93"/>
      <c r="Q34" s="93"/>
      <c r="R34" s="83" t="s">
        <v>48</v>
      </c>
      <c r="S34" s="84"/>
      <c r="T34" s="84"/>
      <c r="U34" s="85"/>
      <c r="V34" s="66"/>
      <c r="W34" s="3"/>
      <c r="X34" s="3"/>
      <c r="Y34" s="3"/>
    </row>
    <row r="35" spans="2:25" ht="18" customHeight="1" thickBot="1" x14ac:dyDescent="0.3">
      <c r="B35" s="89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1"/>
      <c r="W35" s="81"/>
      <c r="X35" s="81"/>
      <c r="Y35" s="81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1"/>
      <c r="V36" s="81"/>
      <c r="W36" s="81"/>
      <c r="X36" s="81"/>
      <c r="Y36" s="81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1"/>
      <c r="V37" s="81"/>
      <c r="W37" s="81"/>
      <c r="X37" s="81"/>
      <c r="Y37" s="81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1"/>
      <c r="V38" s="81"/>
      <c r="W38" s="81"/>
      <c r="X38" s="81"/>
      <c r="Y38" s="81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1"/>
      <c r="V39" s="81"/>
      <c r="W39" s="81"/>
      <c r="X39" s="81"/>
      <c r="Y39" s="81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1"/>
      <c r="V40" s="81"/>
      <c r="W40" s="81"/>
      <c r="X40" s="81"/>
      <c r="Y40" s="81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1"/>
      <c r="W41" s="81"/>
      <c r="X41" s="81"/>
      <c r="Y41" s="81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86" t="s">
        <v>54</v>
      </c>
      <c r="S42" s="87"/>
      <c r="T42" s="87"/>
      <c r="U42" s="87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1"/>
      <c r="V43" s="81"/>
      <c r="W43" s="81"/>
      <c r="X43" s="81"/>
      <c r="Y43" s="81"/>
    </row>
    <row r="44" spans="2:25" x14ac:dyDescent="0.25">
      <c r="B44" s="76" t="s">
        <v>68</v>
      </c>
      <c r="C44" s="94"/>
      <c r="D44" s="94"/>
      <c r="E44" s="94"/>
    </row>
    <row r="45" spans="2:25" x14ac:dyDescent="0.25">
      <c r="B45" s="76" t="s">
        <v>69</v>
      </c>
      <c r="C45" s="94"/>
      <c r="D45" s="94"/>
      <c r="E45" s="94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D791E1-0F6D-467B-B24F-4CC6FCD0BB1A}">
  <dimension ref="B1:AA43"/>
  <sheetViews>
    <sheetView showGridLines="0" view="pageBreakPreview" zoomScale="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88" t="s">
        <v>43</v>
      </c>
      <c r="C34" s="90" t="s">
        <v>21</v>
      </c>
      <c r="D34" s="90"/>
      <c r="E34" s="91"/>
      <c r="F34" s="92" t="s">
        <v>44</v>
      </c>
      <c r="G34" s="90"/>
      <c r="H34" s="91"/>
      <c r="I34" s="92" t="s">
        <v>45</v>
      </c>
      <c r="J34" s="90"/>
      <c r="K34" s="91"/>
      <c r="L34" s="92" t="s">
        <v>46</v>
      </c>
      <c r="M34" s="90"/>
      <c r="N34" s="91"/>
      <c r="O34" s="93" t="s">
        <v>47</v>
      </c>
      <c r="P34" s="93"/>
      <c r="Q34" s="93"/>
      <c r="R34" s="83" t="s">
        <v>48</v>
      </c>
      <c r="S34" s="84"/>
      <c r="T34" s="84"/>
      <c r="U34" s="85"/>
      <c r="V34" s="66"/>
      <c r="W34" s="3"/>
      <c r="X34" s="3"/>
      <c r="Y34" s="3"/>
    </row>
    <row r="35" spans="2:25" ht="18" customHeight="1" thickBot="1" x14ac:dyDescent="0.3">
      <c r="B35" s="89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1"/>
      <c r="W35" s="81"/>
      <c r="X35" s="81"/>
      <c r="Y35" s="81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1"/>
      <c r="V36" s="81"/>
      <c r="W36" s="81"/>
      <c r="X36" s="81"/>
      <c r="Y36" s="81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1"/>
      <c r="V37" s="81"/>
      <c r="W37" s="81"/>
      <c r="X37" s="81"/>
      <c r="Y37" s="81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1"/>
      <c r="V38" s="81"/>
      <c r="W38" s="81"/>
      <c r="X38" s="81"/>
      <c r="Y38" s="81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1"/>
      <c r="V39" s="81"/>
      <c r="W39" s="81"/>
      <c r="X39" s="81"/>
      <c r="Y39" s="81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1"/>
      <c r="V40" s="81"/>
      <c r="W40" s="81"/>
      <c r="X40" s="81"/>
      <c r="Y40" s="81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1"/>
      <c r="W41" s="81"/>
      <c r="X41" s="81"/>
      <c r="Y41" s="81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86" t="s">
        <v>54</v>
      </c>
      <c r="S42" s="87"/>
      <c r="T42" s="87"/>
      <c r="U42" s="87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1"/>
      <c r="V43" s="81"/>
      <c r="W43" s="81"/>
      <c r="X43" s="81"/>
      <c r="Y43" s="81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C3DBA9-7D99-43D1-9EC5-C0652F8A74FF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109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88" t="s">
        <v>43</v>
      </c>
      <c r="C34" s="90" t="s">
        <v>21</v>
      </c>
      <c r="D34" s="90"/>
      <c r="E34" s="91"/>
      <c r="F34" s="92" t="s">
        <v>44</v>
      </c>
      <c r="G34" s="90"/>
      <c r="H34" s="91"/>
      <c r="I34" s="92" t="s">
        <v>45</v>
      </c>
      <c r="J34" s="90"/>
      <c r="K34" s="91"/>
      <c r="L34" s="92" t="s">
        <v>46</v>
      </c>
      <c r="M34" s="90"/>
      <c r="N34" s="91"/>
      <c r="O34" s="93" t="s">
        <v>47</v>
      </c>
      <c r="P34" s="93"/>
      <c r="Q34" s="93"/>
      <c r="R34" s="83" t="s">
        <v>48</v>
      </c>
      <c r="S34" s="84"/>
      <c r="T34" s="84"/>
      <c r="U34" s="85"/>
      <c r="V34" s="66"/>
      <c r="W34" s="3"/>
      <c r="X34" s="3"/>
      <c r="Y34" s="3"/>
    </row>
    <row r="35" spans="2:25" ht="18" customHeight="1" thickBot="1" x14ac:dyDescent="0.3">
      <c r="B35" s="89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1"/>
      <c r="W35" s="81"/>
      <c r="X35" s="81"/>
      <c r="Y35" s="81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1"/>
      <c r="V36" s="81"/>
      <c r="W36" s="81"/>
      <c r="X36" s="81"/>
      <c r="Y36" s="81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1"/>
      <c r="V37" s="81"/>
      <c r="W37" s="81"/>
      <c r="X37" s="81"/>
      <c r="Y37" s="81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1"/>
      <c r="V38" s="81"/>
      <c r="W38" s="81"/>
      <c r="X38" s="81"/>
      <c r="Y38" s="81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1"/>
      <c r="V39" s="81"/>
      <c r="W39" s="81"/>
      <c r="X39" s="81"/>
      <c r="Y39" s="81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1"/>
      <c r="V40" s="81"/>
      <c r="W40" s="81"/>
      <c r="X40" s="81"/>
      <c r="Y40" s="81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1"/>
      <c r="W41" s="81"/>
      <c r="X41" s="81"/>
      <c r="Y41" s="81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86" t="s">
        <v>54</v>
      </c>
      <c r="S42" s="87"/>
      <c r="T42" s="87"/>
      <c r="U42" s="87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1"/>
      <c r="V43" s="81"/>
      <c r="W43" s="81"/>
      <c r="X43" s="81"/>
      <c r="Y43" s="81"/>
    </row>
    <row r="44" spans="2:25" x14ac:dyDescent="0.25">
      <c r="B44" s="76" t="s">
        <v>68</v>
      </c>
      <c r="C44" s="94"/>
      <c r="D44" s="94"/>
      <c r="E44" s="94"/>
    </row>
    <row r="45" spans="2:25" x14ac:dyDescent="0.25">
      <c r="B45" s="76" t="s">
        <v>69</v>
      </c>
      <c r="C45" s="94"/>
      <c r="D45" s="94"/>
      <c r="E45" s="94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99F7B2-46CC-4256-8BE6-D07013A4D7F2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109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88" t="s">
        <v>43</v>
      </c>
      <c r="C34" s="90" t="s">
        <v>21</v>
      </c>
      <c r="D34" s="90"/>
      <c r="E34" s="91"/>
      <c r="F34" s="92" t="s">
        <v>44</v>
      </c>
      <c r="G34" s="90"/>
      <c r="H34" s="91"/>
      <c r="I34" s="92" t="s">
        <v>45</v>
      </c>
      <c r="J34" s="90"/>
      <c r="K34" s="91"/>
      <c r="L34" s="92" t="s">
        <v>46</v>
      </c>
      <c r="M34" s="90"/>
      <c r="N34" s="91"/>
      <c r="O34" s="93" t="s">
        <v>47</v>
      </c>
      <c r="P34" s="93"/>
      <c r="Q34" s="93"/>
      <c r="R34" s="83" t="s">
        <v>48</v>
      </c>
      <c r="S34" s="84"/>
      <c r="T34" s="84"/>
      <c r="U34" s="85"/>
      <c r="V34" s="66"/>
      <c r="W34" s="3"/>
      <c r="X34" s="3"/>
      <c r="Y34" s="3"/>
    </row>
    <row r="35" spans="2:25" ht="18" customHeight="1" thickBot="1" x14ac:dyDescent="0.3">
      <c r="B35" s="89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1"/>
      <c r="W35" s="81"/>
      <c r="X35" s="81"/>
      <c r="Y35" s="81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1"/>
      <c r="V36" s="81"/>
      <c r="W36" s="81"/>
      <c r="X36" s="81"/>
      <c r="Y36" s="81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1"/>
      <c r="V37" s="81"/>
      <c r="W37" s="81"/>
      <c r="X37" s="81"/>
      <c r="Y37" s="81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1"/>
      <c r="V38" s="81"/>
      <c r="W38" s="81"/>
      <c r="X38" s="81"/>
      <c r="Y38" s="81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1"/>
      <c r="V39" s="81"/>
      <c r="W39" s="81"/>
      <c r="X39" s="81"/>
      <c r="Y39" s="81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1"/>
      <c r="V40" s="81"/>
      <c r="W40" s="81"/>
      <c r="X40" s="81"/>
      <c r="Y40" s="81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1"/>
      <c r="W41" s="81"/>
      <c r="X41" s="81"/>
      <c r="Y41" s="81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86" t="s">
        <v>54</v>
      </c>
      <c r="S42" s="87"/>
      <c r="T42" s="87"/>
      <c r="U42" s="87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1"/>
      <c r="V43" s="81"/>
      <c r="W43" s="81"/>
      <c r="X43" s="81"/>
      <c r="Y43" s="81"/>
    </row>
    <row r="44" spans="2:25" x14ac:dyDescent="0.25">
      <c r="B44" s="76" t="s">
        <v>68</v>
      </c>
      <c r="C44" s="94"/>
      <c r="D44" s="94"/>
      <c r="E44" s="94"/>
    </row>
    <row r="45" spans="2:25" x14ac:dyDescent="0.25">
      <c r="B45" s="76" t="s">
        <v>69</v>
      </c>
      <c r="C45" s="94"/>
      <c r="D45" s="94"/>
      <c r="E45" s="94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39644A-8F1A-45E5-A9BF-4F49095788EA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109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88" t="s">
        <v>43</v>
      </c>
      <c r="C34" s="90" t="s">
        <v>21</v>
      </c>
      <c r="D34" s="90"/>
      <c r="E34" s="91"/>
      <c r="F34" s="92" t="s">
        <v>44</v>
      </c>
      <c r="G34" s="90"/>
      <c r="H34" s="91"/>
      <c r="I34" s="92" t="s">
        <v>45</v>
      </c>
      <c r="J34" s="90"/>
      <c r="K34" s="91"/>
      <c r="L34" s="92" t="s">
        <v>46</v>
      </c>
      <c r="M34" s="90"/>
      <c r="N34" s="91"/>
      <c r="O34" s="93" t="s">
        <v>47</v>
      </c>
      <c r="P34" s="93"/>
      <c r="Q34" s="93"/>
      <c r="R34" s="83" t="s">
        <v>48</v>
      </c>
      <c r="S34" s="84"/>
      <c r="T34" s="84"/>
      <c r="U34" s="85"/>
      <c r="V34" s="66"/>
      <c r="W34" s="3"/>
      <c r="X34" s="3"/>
      <c r="Y34" s="3"/>
    </row>
    <row r="35" spans="2:25" ht="18" customHeight="1" thickBot="1" x14ac:dyDescent="0.3">
      <c r="B35" s="89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1"/>
      <c r="W35" s="81"/>
      <c r="X35" s="81"/>
      <c r="Y35" s="81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1"/>
      <c r="V36" s="81"/>
      <c r="W36" s="81"/>
      <c r="X36" s="81"/>
      <c r="Y36" s="81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1"/>
      <c r="V37" s="81"/>
      <c r="W37" s="81"/>
      <c r="X37" s="81"/>
      <c r="Y37" s="81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1"/>
      <c r="V38" s="81"/>
      <c r="W38" s="81"/>
      <c r="X38" s="81"/>
      <c r="Y38" s="81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1"/>
      <c r="V39" s="81"/>
      <c r="W39" s="81"/>
      <c r="X39" s="81"/>
      <c r="Y39" s="81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1"/>
      <c r="V40" s="81"/>
      <c r="W40" s="81"/>
      <c r="X40" s="81"/>
      <c r="Y40" s="81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1"/>
      <c r="W41" s="81"/>
      <c r="X41" s="81"/>
      <c r="Y41" s="81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86" t="s">
        <v>54</v>
      </c>
      <c r="S42" s="87"/>
      <c r="T42" s="87"/>
      <c r="U42" s="87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1"/>
      <c r="V43" s="81"/>
      <c r="W43" s="81"/>
      <c r="X43" s="81"/>
      <c r="Y43" s="81"/>
    </row>
    <row r="44" spans="2:25" x14ac:dyDescent="0.25">
      <c r="B44" s="76" t="s">
        <v>68</v>
      </c>
      <c r="C44" s="94"/>
      <c r="D44" s="94"/>
      <c r="E44" s="94"/>
    </row>
    <row r="45" spans="2:25" x14ac:dyDescent="0.25">
      <c r="B45" s="76" t="s">
        <v>69</v>
      </c>
      <c r="C45" s="94"/>
      <c r="D45" s="94"/>
      <c r="E45" s="94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F5C18E-71A4-4720-844E-687401DFC081}">
  <dimension ref="B1:AA43"/>
  <sheetViews>
    <sheetView showGridLines="0" view="pageBreakPreview" zoomScale="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88" t="s">
        <v>43</v>
      </c>
      <c r="C34" s="90" t="s">
        <v>21</v>
      </c>
      <c r="D34" s="90"/>
      <c r="E34" s="91"/>
      <c r="F34" s="92" t="s">
        <v>44</v>
      </c>
      <c r="G34" s="90"/>
      <c r="H34" s="91"/>
      <c r="I34" s="92" t="s">
        <v>45</v>
      </c>
      <c r="J34" s="90"/>
      <c r="K34" s="91"/>
      <c r="L34" s="92" t="s">
        <v>46</v>
      </c>
      <c r="M34" s="90"/>
      <c r="N34" s="91"/>
      <c r="O34" s="93" t="s">
        <v>47</v>
      </c>
      <c r="P34" s="93"/>
      <c r="Q34" s="93"/>
      <c r="R34" s="83" t="s">
        <v>48</v>
      </c>
      <c r="S34" s="84"/>
      <c r="T34" s="84"/>
      <c r="U34" s="85"/>
      <c r="V34" s="66"/>
      <c r="W34" s="3"/>
      <c r="X34" s="3"/>
      <c r="Y34" s="3"/>
    </row>
    <row r="35" spans="2:25" ht="18" customHeight="1" thickBot="1" x14ac:dyDescent="0.3">
      <c r="B35" s="89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1"/>
      <c r="W35" s="81"/>
      <c r="X35" s="81"/>
      <c r="Y35" s="81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1"/>
      <c r="V36" s="81"/>
      <c r="W36" s="81"/>
      <c r="X36" s="81"/>
      <c r="Y36" s="81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1"/>
      <c r="V37" s="81"/>
      <c r="W37" s="81"/>
      <c r="X37" s="81"/>
      <c r="Y37" s="81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1"/>
      <c r="V38" s="81"/>
      <c r="W38" s="81"/>
      <c r="X38" s="81"/>
      <c r="Y38" s="81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1"/>
      <c r="V39" s="81"/>
      <c r="W39" s="81"/>
      <c r="X39" s="81"/>
      <c r="Y39" s="81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1"/>
      <c r="V40" s="81"/>
      <c r="W40" s="81"/>
      <c r="X40" s="81"/>
      <c r="Y40" s="81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1"/>
      <c r="W41" s="81"/>
      <c r="X41" s="81"/>
      <c r="Y41" s="81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86" t="s">
        <v>54</v>
      </c>
      <c r="S42" s="87"/>
      <c r="T42" s="87"/>
      <c r="U42" s="87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1"/>
      <c r="V43" s="81"/>
      <c r="W43" s="81"/>
      <c r="X43" s="81"/>
      <c r="Y43" s="81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4EC18D-269E-4EFF-B368-801A3A1C4C43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110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88" t="s">
        <v>43</v>
      </c>
      <c r="C34" s="90" t="s">
        <v>21</v>
      </c>
      <c r="D34" s="90"/>
      <c r="E34" s="91"/>
      <c r="F34" s="92" t="s">
        <v>44</v>
      </c>
      <c r="G34" s="90"/>
      <c r="H34" s="91"/>
      <c r="I34" s="92" t="s">
        <v>45</v>
      </c>
      <c r="J34" s="90"/>
      <c r="K34" s="91"/>
      <c r="L34" s="92" t="s">
        <v>46</v>
      </c>
      <c r="M34" s="90"/>
      <c r="N34" s="91"/>
      <c r="O34" s="93" t="s">
        <v>47</v>
      </c>
      <c r="P34" s="93"/>
      <c r="Q34" s="93"/>
      <c r="R34" s="83" t="s">
        <v>48</v>
      </c>
      <c r="S34" s="84"/>
      <c r="T34" s="84"/>
      <c r="U34" s="85"/>
      <c r="V34" s="66"/>
      <c r="W34" s="3"/>
      <c r="X34" s="3"/>
      <c r="Y34" s="3"/>
    </row>
    <row r="35" spans="2:25" ht="18" customHeight="1" thickBot="1" x14ac:dyDescent="0.3">
      <c r="B35" s="89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1"/>
      <c r="W35" s="81"/>
      <c r="X35" s="81"/>
      <c r="Y35" s="81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1"/>
      <c r="V36" s="81"/>
      <c r="W36" s="81"/>
      <c r="X36" s="81"/>
      <c r="Y36" s="81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1"/>
      <c r="V37" s="81"/>
      <c r="W37" s="81"/>
      <c r="X37" s="81"/>
      <c r="Y37" s="81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1"/>
      <c r="V38" s="81"/>
      <c r="W38" s="81"/>
      <c r="X38" s="81"/>
      <c r="Y38" s="81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1"/>
      <c r="V39" s="81"/>
      <c r="W39" s="81"/>
      <c r="X39" s="81"/>
      <c r="Y39" s="81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1"/>
      <c r="V40" s="81"/>
      <c r="W40" s="81"/>
      <c r="X40" s="81"/>
      <c r="Y40" s="81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1"/>
      <c r="W41" s="81"/>
      <c r="X41" s="81"/>
      <c r="Y41" s="81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86" t="s">
        <v>54</v>
      </c>
      <c r="S42" s="87"/>
      <c r="T42" s="87"/>
      <c r="U42" s="87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1"/>
      <c r="V43" s="81"/>
      <c r="W43" s="81"/>
      <c r="X43" s="81"/>
      <c r="Y43" s="81"/>
    </row>
    <row r="44" spans="2:25" x14ac:dyDescent="0.25">
      <c r="B44" s="76" t="s">
        <v>68</v>
      </c>
      <c r="C44" s="94"/>
      <c r="D44" s="94"/>
      <c r="E44" s="94"/>
    </row>
    <row r="45" spans="2:25" x14ac:dyDescent="0.25">
      <c r="B45" s="76" t="s">
        <v>69</v>
      </c>
      <c r="C45" s="94"/>
      <c r="D45" s="94"/>
      <c r="E45" s="94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A6C37B-44DA-4458-8A4C-885FCFA041B4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110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88" t="s">
        <v>43</v>
      </c>
      <c r="C34" s="90" t="s">
        <v>21</v>
      </c>
      <c r="D34" s="90"/>
      <c r="E34" s="91"/>
      <c r="F34" s="92" t="s">
        <v>44</v>
      </c>
      <c r="G34" s="90"/>
      <c r="H34" s="91"/>
      <c r="I34" s="92" t="s">
        <v>45</v>
      </c>
      <c r="J34" s="90"/>
      <c r="K34" s="91"/>
      <c r="L34" s="92" t="s">
        <v>46</v>
      </c>
      <c r="M34" s="90"/>
      <c r="N34" s="91"/>
      <c r="O34" s="93" t="s">
        <v>47</v>
      </c>
      <c r="P34" s="93"/>
      <c r="Q34" s="93"/>
      <c r="R34" s="83" t="s">
        <v>48</v>
      </c>
      <c r="S34" s="84"/>
      <c r="T34" s="84"/>
      <c r="U34" s="85"/>
      <c r="V34" s="66"/>
      <c r="W34" s="3"/>
      <c r="X34" s="3"/>
      <c r="Y34" s="3"/>
    </row>
    <row r="35" spans="2:25" ht="18" customHeight="1" thickBot="1" x14ac:dyDescent="0.3">
      <c r="B35" s="89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1"/>
      <c r="W35" s="81"/>
      <c r="X35" s="81"/>
      <c r="Y35" s="81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1"/>
      <c r="V36" s="81"/>
      <c r="W36" s="81"/>
      <c r="X36" s="81"/>
      <c r="Y36" s="81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1"/>
      <c r="V37" s="81"/>
      <c r="W37" s="81"/>
      <c r="X37" s="81"/>
      <c r="Y37" s="81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1"/>
      <c r="V38" s="81"/>
      <c r="W38" s="81"/>
      <c r="X38" s="81"/>
      <c r="Y38" s="81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1"/>
      <c r="V39" s="81"/>
      <c r="W39" s="81"/>
      <c r="X39" s="81"/>
      <c r="Y39" s="81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1"/>
      <c r="V40" s="81"/>
      <c r="W40" s="81"/>
      <c r="X40" s="81"/>
      <c r="Y40" s="81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1"/>
      <c r="W41" s="81"/>
      <c r="X41" s="81"/>
      <c r="Y41" s="81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86" t="s">
        <v>54</v>
      </c>
      <c r="S42" s="87"/>
      <c r="T42" s="87"/>
      <c r="U42" s="87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1"/>
      <c r="V43" s="81"/>
      <c r="W43" s="81"/>
      <c r="X43" s="81"/>
      <c r="Y43" s="81"/>
    </row>
    <row r="44" spans="2:25" x14ac:dyDescent="0.25">
      <c r="B44" s="76" t="s">
        <v>68</v>
      </c>
      <c r="C44" s="94"/>
      <c r="D44" s="94"/>
      <c r="E44" s="94"/>
    </row>
    <row r="45" spans="2:25" x14ac:dyDescent="0.25">
      <c r="B45" s="76" t="s">
        <v>69</v>
      </c>
      <c r="C45" s="94"/>
      <c r="D45" s="94"/>
      <c r="E45" s="94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2D2D4B-86B3-4F0A-B071-DA6A26653BD8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110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88" t="s">
        <v>43</v>
      </c>
      <c r="C34" s="90" t="s">
        <v>21</v>
      </c>
      <c r="D34" s="90"/>
      <c r="E34" s="91"/>
      <c r="F34" s="92" t="s">
        <v>44</v>
      </c>
      <c r="G34" s="90"/>
      <c r="H34" s="91"/>
      <c r="I34" s="92" t="s">
        <v>45</v>
      </c>
      <c r="J34" s="90"/>
      <c r="K34" s="91"/>
      <c r="L34" s="92" t="s">
        <v>46</v>
      </c>
      <c r="M34" s="90"/>
      <c r="N34" s="91"/>
      <c r="O34" s="93" t="s">
        <v>47</v>
      </c>
      <c r="P34" s="93"/>
      <c r="Q34" s="93"/>
      <c r="R34" s="83" t="s">
        <v>48</v>
      </c>
      <c r="S34" s="84"/>
      <c r="T34" s="84"/>
      <c r="U34" s="85"/>
      <c r="V34" s="66"/>
      <c r="W34" s="3"/>
      <c r="X34" s="3"/>
      <c r="Y34" s="3"/>
    </row>
    <row r="35" spans="2:25" ht="18" customHeight="1" thickBot="1" x14ac:dyDescent="0.3">
      <c r="B35" s="89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1"/>
      <c r="W35" s="81"/>
      <c r="X35" s="81"/>
      <c r="Y35" s="81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1"/>
      <c r="V36" s="81"/>
      <c r="W36" s="81"/>
      <c r="X36" s="81"/>
      <c r="Y36" s="81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1"/>
      <c r="V37" s="81"/>
      <c r="W37" s="81"/>
      <c r="X37" s="81"/>
      <c r="Y37" s="81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1"/>
      <c r="V38" s="81"/>
      <c r="W38" s="81"/>
      <c r="X38" s="81"/>
      <c r="Y38" s="81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1"/>
      <c r="V39" s="81"/>
      <c r="W39" s="81"/>
      <c r="X39" s="81"/>
      <c r="Y39" s="81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1"/>
      <c r="V40" s="81"/>
      <c r="W40" s="81"/>
      <c r="X40" s="81"/>
      <c r="Y40" s="81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1"/>
      <c r="W41" s="81"/>
      <c r="X41" s="81"/>
      <c r="Y41" s="81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86" t="s">
        <v>54</v>
      </c>
      <c r="S42" s="87"/>
      <c r="T42" s="87"/>
      <c r="U42" s="87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1"/>
      <c r="V43" s="81"/>
      <c r="W43" s="81"/>
      <c r="X43" s="81"/>
      <c r="Y43" s="81"/>
    </row>
    <row r="44" spans="2:25" x14ac:dyDescent="0.25">
      <c r="B44" s="76" t="s">
        <v>68</v>
      </c>
      <c r="C44" s="94"/>
      <c r="D44" s="94"/>
      <c r="E44" s="94"/>
    </row>
    <row r="45" spans="2:25" x14ac:dyDescent="0.25">
      <c r="B45" s="76" t="s">
        <v>69</v>
      </c>
      <c r="C45" s="94"/>
      <c r="D45" s="94"/>
      <c r="E45" s="94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F38085-79EE-4782-B117-3BDDB2F310E7}">
  <dimension ref="B1:AA43"/>
  <sheetViews>
    <sheetView showGridLines="0" view="pageBreakPreview" zoomScale="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88" t="s">
        <v>43</v>
      </c>
      <c r="C34" s="90" t="s">
        <v>21</v>
      </c>
      <c r="D34" s="90"/>
      <c r="E34" s="91"/>
      <c r="F34" s="92" t="s">
        <v>44</v>
      </c>
      <c r="G34" s="90"/>
      <c r="H34" s="91"/>
      <c r="I34" s="92" t="s">
        <v>45</v>
      </c>
      <c r="J34" s="90"/>
      <c r="K34" s="91"/>
      <c r="L34" s="92" t="s">
        <v>46</v>
      </c>
      <c r="M34" s="90"/>
      <c r="N34" s="91"/>
      <c r="O34" s="93" t="s">
        <v>47</v>
      </c>
      <c r="P34" s="93"/>
      <c r="Q34" s="93"/>
      <c r="R34" s="83" t="s">
        <v>48</v>
      </c>
      <c r="S34" s="84"/>
      <c r="T34" s="84"/>
      <c r="U34" s="85"/>
      <c r="V34" s="66"/>
      <c r="W34" s="3"/>
      <c r="X34" s="3"/>
      <c r="Y34" s="3"/>
    </row>
    <row r="35" spans="2:25" ht="18" customHeight="1" thickBot="1" x14ac:dyDescent="0.3">
      <c r="B35" s="89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1"/>
      <c r="W35" s="81"/>
      <c r="X35" s="81"/>
      <c r="Y35" s="81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1"/>
      <c r="V36" s="81"/>
      <c r="W36" s="81"/>
      <c r="X36" s="81"/>
      <c r="Y36" s="81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1"/>
      <c r="V37" s="81"/>
      <c r="W37" s="81"/>
      <c r="X37" s="81"/>
      <c r="Y37" s="81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1"/>
      <c r="V38" s="81"/>
      <c r="W38" s="81"/>
      <c r="X38" s="81"/>
      <c r="Y38" s="81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1"/>
      <c r="V39" s="81"/>
      <c r="W39" s="81"/>
      <c r="X39" s="81"/>
      <c r="Y39" s="81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1"/>
      <c r="V40" s="81"/>
      <c r="W40" s="81"/>
      <c r="X40" s="81"/>
      <c r="Y40" s="81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1"/>
      <c r="W41" s="81"/>
      <c r="X41" s="81"/>
      <c r="Y41" s="81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86" t="s">
        <v>54</v>
      </c>
      <c r="S42" s="87"/>
      <c r="T42" s="87"/>
      <c r="U42" s="87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1"/>
      <c r="V43" s="81"/>
      <c r="W43" s="81"/>
      <c r="X43" s="81"/>
      <c r="Y43" s="81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832763C-F253-4D0F-9CE7-1A70A1066600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111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88" t="s">
        <v>43</v>
      </c>
      <c r="C34" s="90" t="s">
        <v>21</v>
      </c>
      <c r="D34" s="90"/>
      <c r="E34" s="91"/>
      <c r="F34" s="92" t="s">
        <v>44</v>
      </c>
      <c r="G34" s="90"/>
      <c r="H34" s="91"/>
      <c r="I34" s="92" t="s">
        <v>45</v>
      </c>
      <c r="J34" s="90"/>
      <c r="K34" s="91"/>
      <c r="L34" s="92" t="s">
        <v>46</v>
      </c>
      <c r="M34" s="90"/>
      <c r="N34" s="91"/>
      <c r="O34" s="93" t="s">
        <v>47</v>
      </c>
      <c r="P34" s="93"/>
      <c r="Q34" s="93"/>
      <c r="R34" s="83" t="s">
        <v>48</v>
      </c>
      <c r="S34" s="84"/>
      <c r="T34" s="84"/>
      <c r="U34" s="85"/>
      <c r="V34" s="66"/>
      <c r="W34" s="3"/>
      <c r="X34" s="3"/>
      <c r="Y34" s="3"/>
    </row>
    <row r="35" spans="2:25" ht="18" customHeight="1" thickBot="1" x14ac:dyDescent="0.3">
      <c r="B35" s="89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1"/>
      <c r="W35" s="81"/>
      <c r="X35" s="81"/>
      <c r="Y35" s="81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1"/>
      <c r="V36" s="81"/>
      <c r="W36" s="81"/>
      <c r="X36" s="81"/>
      <c r="Y36" s="81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1"/>
      <c r="V37" s="81"/>
      <c r="W37" s="81"/>
      <c r="X37" s="81"/>
      <c r="Y37" s="81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1"/>
      <c r="V38" s="81"/>
      <c r="W38" s="81"/>
      <c r="X38" s="81"/>
      <c r="Y38" s="81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1"/>
      <c r="V39" s="81"/>
      <c r="W39" s="81"/>
      <c r="X39" s="81"/>
      <c r="Y39" s="81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1"/>
      <c r="V40" s="81"/>
      <c r="W40" s="81"/>
      <c r="X40" s="81"/>
      <c r="Y40" s="81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1"/>
      <c r="W41" s="81"/>
      <c r="X41" s="81"/>
      <c r="Y41" s="81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86" t="s">
        <v>54</v>
      </c>
      <c r="S42" s="87"/>
      <c r="T42" s="87"/>
      <c r="U42" s="87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1"/>
      <c r="V43" s="81"/>
      <c r="W43" s="81"/>
      <c r="X43" s="81"/>
      <c r="Y43" s="81"/>
    </row>
    <row r="44" spans="2:25" x14ac:dyDescent="0.25">
      <c r="B44" s="76" t="s">
        <v>68</v>
      </c>
      <c r="C44" s="94"/>
      <c r="D44" s="94"/>
      <c r="E44" s="94"/>
    </row>
    <row r="45" spans="2:25" x14ac:dyDescent="0.25">
      <c r="B45" s="76" t="s">
        <v>69</v>
      </c>
      <c r="C45" s="94"/>
      <c r="D45" s="94"/>
      <c r="E45" s="94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F826E5-898C-42A5-A60F-4F57663923B9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111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88" t="s">
        <v>43</v>
      </c>
      <c r="C34" s="90" t="s">
        <v>21</v>
      </c>
      <c r="D34" s="90"/>
      <c r="E34" s="91"/>
      <c r="F34" s="92" t="s">
        <v>44</v>
      </c>
      <c r="G34" s="90"/>
      <c r="H34" s="91"/>
      <c r="I34" s="92" t="s">
        <v>45</v>
      </c>
      <c r="J34" s="90"/>
      <c r="K34" s="91"/>
      <c r="L34" s="92" t="s">
        <v>46</v>
      </c>
      <c r="M34" s="90"/>
      <c r="N34" s="91"/>
      <c r="O34" s="93" t="s">
        <v>47</v>
      </c>
      <c r="P34" s="93"/>
      <c r="Q34" s="93"/>
      <c r="R34" s="83" t="s">
        <v>48</v>
      </c>
      <c r="S34" s="84"/>
      <c r="T34" s="84"/>
      <c r="U34" s="85"/>
      <c r="V34" s="66"/>
      <c r="W34" s="3"/>
      <c r="X34" s="3"/>
      <c r="Y34" s="3"/>
    </row>
    <row r="35" spans="2:25" ht="18" customHeight="1" thickBot="1" x14ac:dyDescent="0.3">
      <c r="B35" s="89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1"/>
      <c r="W35" s="81"/>
      <c r="X35" s="81"/>
      <c r="Y35" s="81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1"/>
      <c r="V36" s="81"/>
      <c r="W36" s="81"/>
      <c r="X36" s="81"/>
      <c r="Y36" s="81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1"/>
      <c r="V37" s="81"/>
      <c r="W37" s="81"/>
      <c r="X37" s="81"/>
      <c r="Y37" s="81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1"/>
      <c r="V38" s="81"/>
      <c r="W38" s="81"/>
      <c r="X38" s="81"/>
      <c r="Y38" s="81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1"/>
      <c r="V39" s="81"/>
      <c r="W39" s="81"/>
      <c r="X39" s="81"/>
      <c r="Y39" s="81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1"/>
      <c r="V40" s="81"/>
      <c r="W40" s="81"/>
      <c r="X40" s="81"/>
      <c r="Y40" s="81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1"/>
      <c r="W41" s="81"/>
      <c r="X41" s="81"/>
      <c r="Y41" s="81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86" t="s">
        <v>54</v>
      </c>
      <c r="S42" s="87"/>
      <c r="T42" s="87"/>
      <c r="U42" s="87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1"/>
      <c r="V43" s="81"/>
      <c r="W43" s="81"/>
      <c r="X43" s="81"/>
      <c r="Y43" s="81"/>
    </row>
    <row r="44" spans="2:25" x14ac:dyDescent="0.25">
      <c r="B44" s="76" t="s">
        <v>68</v>
      </c>
      <c r="C44" s="94"/>
      <c r="D44" s="94"/>
      <c r="E44" s="94"/>
    </row>
    <row r="45" spans="2:25" x14ac:dyDescent="0.25">
      <c r="B45" s="76" t="s">
        <v>69</v>
      </c>
      <c r="C45" s="94"/>
      <c r="D45" s="94"/>
      <c r="E45" s="94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3CC8E3-6B54-4754-866C-D0EEA0F3545D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111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88" t="s">
        <v>43</v>
      </c>
      <c r="C34" s="90" t="s">
        <v>21</v>
      </c>
      <c r="D34" s="90"/>
      <c r="E34" s="91"/>
      <c r="F34" s="92" t="s">
        <v>44</v>
      </c>
      <c r="G34" s="90"/>
      <c r="H34" s="91"/>
      <c r="I34" s="92" t="s">
        <v>45</v>
      </c>
      <c r="J34" s="90"/>
      <c r="K34" s="91"/>
      <c r="L34" s="92" t="s">
        <v>46</v>
      </c>
      <c r="M34" s="90"/>
      <c r="N34" s="91"/>
      <c r="O34" s="93" t="s">
        <v>47</v>
      </c>
      <c r="P34" s="93"/>
      <c r="Q34" s="93"/>
      <c r="R34" s="83" t="s">
        <v>48</v>
      </c>
      <c r="S34" s="84"/>
      <c r="T34" s="84"/>
      <c r="U34" s="85"/>
      <c r="V34" s="66"/>
      <c r="W34" s="3"/>
      <c r="X34" s="3"/>
      <c r="Y34" s="3"/>
    </row>
    <row r="35" spans="2:25" ht="18" customHeight="1" thickBot="1" x14ac:dyDescent="0.3">
      <c r="B35" s="89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1"/>
      <c r="W35" s="81"/>
      <c r="X35" s="81"/>
      <c r="Y35" s="81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1"/>
      <c r="V36" s="81"/>
      <c r="W36" s="81"/>
      <c r="X36" s="81"/>
      <c r="Y36" s="81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1"/>
      <c r="V37" s="81"/>
      <c r="W37" s="81"/>
      <c r="X37" s="81"/>
      <c r="Y37" s="81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1"/>
      <c r="V38" s="81"/>
      <c r="W38" s="81"/>
      <c r="X38" s="81"/>
      <c r="Y38" s="81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1"/>
      <c r="V39" s="81"/>
      <c r="W39" s="81"/>
      <c r="X39" s="81"/>
      <c r="Y39" s="81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1"/>
      <c r="V40" s="81"/>
      <c r="W40" s="81"/>
      <c r="X40" s="81"/>
      <c r="Y40" s="81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1"/>
      <c r="W41" s="81"/>
      <c r="X41" s="81"/>
      <c r="Y41" s="81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86" t="s">
        <v>54</v>
      </c>
      <c r="S42" s="87"/>
      <c r="T42" s="87"/>
      <c r="U42" s="87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1"/>
      <c r="V43" s="81"/>
      <c r="W43" s="81"/>
      <c r="X43" s="81"/>
      <c r="Y43" s="81"/>
    </row>
    <row r="44" spans="2:25" x14ac:dyDescent="0.25">
      <c r="B44" s="76" t="s">
        <v>68</v>
      </c>
      <c r="C44" s="94"/>
      <c r="D44" s="94"/>
      <c r="E44" s="94"/>
    </row>
    <row r="45" spans="2:25" x14ac:dyDescent="0.25">
      <c r="B45" s="76" t="s">
        <v>69</v>
      </c>
      <c r="C45" s="94"/>
      <c r="D45" s="94"/>
      <c r="E45" s="94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5604D2-70C6-42AD-9471-ED027AE90108}">
  <dimension ref="B1:AA43"/>
  <sheetViews>
    <sheetView showGridLines="0" view="pageBreakPreview" zoomScale="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88" t="s">
        <v>43</v>
      </c>
      <c r="C34" s="90" t="s">
        <v>21</v>
      </c>
      <c r="D34" s="90"/>
      <c r="E34" s="91"/>
      <c r="F34" s="92" t="s">
        <v>44</v>
      </c>
      <c r="G34" s="90"/>
      <c r="H34" s="91"/>
      <c r="I34" s="92" t="s">
        <v>45</v>
      </c>
      <c r="J34" s="90"/>
      <c r="K34" s="91"/>
      <c r="L34" s="92" t="s">
        <v>46</v>
      </c>
      <c r="M34" s="90"/>
      <c r="N34" s="91"/>
      <c r="O34" s="93" t="s">
        <v>47</v>
      </c>
      <c r="P34" s="93"/>
      <c r="Q34" s="93"/>
      <c r="R34" s="83" t="s">
        <v>48</v>
      </c>
      <c r="S34" s="84"/>
      <c r="T34" s="84"/>
      <c r="U34" s="85"/>
      <c r="V34" s="66"/>
      <c r="W34" s="3"/>
      <c r="X34" s="3"/>
      <c r="Y34" s="3"/>
    </row>
    <row r="35" spans="2:25" ht="18" customHeight="1" thickBot="1" x14ac:dyDescent="0.3">
      <c r="B35" s="89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1"/>
      <c r="W35" s="81"/>
      <c r="X35" s="81"/>
      <c r="Y35" s="81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1"/>
      <c r="V36" s="81"/>
      <c r="W36" s="81"/>
      <c r="X36" s="81"/>
      <c r="Y36" s="81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1"/>
      <c r="V37" s="81"/>
      <c r="W37" s="81"/>
      <c r="X37" s="81"/>
      <c r="Y37" s="81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1"/>
      <c r="V38" s="81"/>
      <c r="W38" s="81"/>
      <c r="X38" s="81"/>
      <c r="Y38" s="81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1"/>
      <c r="V39" s="81"/>
      <c r="W39" s="81"/>
      <c r="X39" s="81"/>
      <c r="Y39" s="81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1"/>
      <c r="V40" s="81"/>
      <c r="W40" s="81"/>
      <c r="X40" s="81"/>
      <c r="Y40" s="81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1"/>
      <c r="W41" s="81"/>
      <c r="X41" s="81"/>
      <c r="Y41" s="81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86" t="s">
        <v>54</v>
      </c>
      <c r="S42" s="87"/>
      <c r="T42" s="87"/>
      <c r="U42" s="87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1"/>
      <c r="V43" s="81"/>
      <c r="W43" s="81"/>
      <c r="X43" s="81"/>
      <c r="Y43" s="81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F539D7-DF52-4C7F-BFCD-03711B10BA54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112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88" t="s">
        <v>43</v>
      </c>
      <c r="C34" s="90" t="s">
        <v>21</v>
      </c>
      <c r="D34" s="90"/>
      <c r="E34" s="91"/>
      <c r="F34" s="92" t="s">
        <v>44</v>
      </c>
      <c r="G34" s="90"/>
      <c r="H34" s="91"/>
      <c r="I34" s="92" t="s">
        <v>45</v>
      </c>
      <c r="J34" s="90"/>
      <c r="K34" s="91"/>
      <c r="L34" s="92" t="s">
        <v>46</v>
      </c>
      <c r="M34" s="90"/>
      <c r="N34" s="91"/>
      <c r="O34" s="93" t="s">
        <v>47</v>
      </c>
      <c r="P34" s="93"/>
      <c r="Q34" s="93"/>
      <c r="R34" s="83" t="s">
        <v>48</v>
      </c>
      <c r="S34" s="84"/>
      <c r="T34" s="84"/>
      <c r="U34" s="85"/>
      <c r="V34" s="66"/>
      <c r="W34" s="3"/>
      <c r="X34" s="3"/>
      <c r="Y34" s="3"/>
    </row>
    <row r="35" spans="2:25" ht="18" customHeight="1" thickBot="1" x14ac:dyDescent="0.3">
      <c r="B35" s="89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1"/>
      <c r="W35" s="81"/>
      <c r="X35" s="81"/>
      <c r="Y35" s="81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1"/>
      <c r="V36" s="81"/>
      <c r="W36" s="81"/>
      <c r="X36" s="81"/>
      <c r="Y36" s="81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1"/>
      <c r="V37" s="81"/>
      <c r="W37" s="81"/>
      <c r="X37" s="81"/>
      <c r="Y37" s="81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1"/>
      <c r="V38" s="81"/>
      <c r="W38" s="81"/>
      <c r="X38" s="81"/>
      <c r="Y38" s="81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1"/>
      <c r="V39" s="81"/>
      <c r="W39" s="81"/>
      <c r="X39" s="81"/>
      <c r="Y39" s="81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1"/>
      <c r="V40" s="81"/>
      <c r="W40" s="81"/>
      <c r="X40" s="81"/>
      <c r="Y40" s="81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1"/>
      <c r="W41" s="81"/>
      <c r="X41" s="81"/>
      <c r="Y41" s="81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86" t="s">
        <v>54</v>
      </c>
      <c r="S42" s="87"/>
      <c r="T42" s="87"/>
      <c r="U42" s="87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1"/>
      <c r="V43" s="81"/>
      <c r="W43" s="81"/>
      <c r="X43" s="81"/>
      <c r="Y43" s="81"/>
    </row>
    <row r="44" spans="2:25" x14ac:dyDescent="0.25">
      <c r="B44" s="76" t="s">
        <v>68</v>
      </c>
      <c r="C44" s="94"/>
      <c r="D44" s="94"/>
      <c r="E44" s="94"/>
    </row>
    <row r="45" spans="2:25" x14ac:dyDescent="0.25">
      <c r="B45" s="76" t="s">
        <v>69</v>
      </c>
      <c r="C45" s="94"/>
      <c r="D45" s="94"/>
      <c r="E45" s="94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8321FF-6173-4255-9267-B160CC1EF1AC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112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88" t="s">
        <v>43</v>
      </c>
      <c r="C34" s="90" t="s">
        <v>21</v>
      </c>
      <c r="D34" s="90"/>
      <c r="E34" s="91"/>
      <c r="F34" s="92" t="s">
        <v>44</v>
      </c>
      <c r="G34" s="90"/>
      <c r="H34" s="91"/>
      <c r="I34" s="92" t="s">
        <v>45</v>
      </c>
      <c r="J34" s="90"/>
      <c r="K34" s="91"/>
      <c r="L34" s="92" t="s">
        <v>46</v>
      </c>
      <c r="M34" s="90"/>
      <c r="N34" s="91"/>
      <c r="O34" s="93" t="s">
        <v>47</v>
      </c>
      <c r="P34" s="93"/>
      <c r="Q34" s="93"/>
      <c r="R34" s="83" t="s">
        <v>48</v>
      </c>
      <c r="S34" s="84"/>
      <c r="T34" s="84"/>
      <c r="U34" s="85"/>
      <c r="V34" s="66"/>
      <c r="W34" s="3"/>
      <c r="X34" s="3"/>
      <c r="Y34" s="3"/>
    </row>
    <row r="35" spans="2:25" ht="18" customHeight="1" thickBot="1" x14ac:dyDescent="0.3">
      <c r="B35" s="89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1"/>
      <c r="W35" s="81"/>
      <c r="X35" s="81"/>
      <c r="Y35" s="81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1"/>
      <c r="V36" s="81"/>
      <c r="W36" s="81"/>
      <c r="X36" s="81"/>
      <c r="Y36" s="81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1"/>
      <c r="V37" s="81"/>
      <c r="W37" s="81"/>
      <c r="X37" s="81"/>
      <c r="Y37" s="81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1"/>
      <c r="V38" s="81"/>
      <c r="W38" s="81"/>
      <c r="X38" s="81"/>
      <c r="Y38" s="81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1"/>
      <c r="V39" s="81"/>
      <c r="W39" s="81"/>
      <c r="X39" s="81"/>
      <c r="Y39" s="81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1"/>
      <c r="V40" s="81"/>
      <c r="W40" s="81"/>
      <c r="X40" s="81"/>
      <c r="Y40" s="81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1"/>
      <c r="W41" s="81"/>
      <c r="X41" s="81"/>
      <c r="Y41" s="81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86" t="s">
        <v>54</v>
      </c>
      <c r="S42" s="87"/>
      <c r="T42" s="87"/>
      <c r="U42" s="87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1"/>
      <c r="V43" s="81"/>
      <c r="W43" s="81"/>
      <c r="X43" s="81"/>
      <c r="Y43" s="81"/>
    </row>
    <row r="44" spans="2:25" x14ac:dyDescent="0.25">
      <c r="B44" s="76" t="s">
        <v>68</v>
      </c>
      <c r="C44" s="94"/>
      <c r="D44" s="94"/>
      <c r="E44" s="94"/>
    </row>
    <row r="45" spans="2:25" x14ac:dyDescent="0.25">
      <c r="B45" s="76" t="s">
        <v>69</v>
      </c>
      <c r="C45" s="94"/>
      <c r="D45" s="94"/>
      <c r="E45" s="94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26D2B5-C10B-4E71-9BA9-DBB1049C2129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112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88" t="s">
        <v>43</v>
      </c>
      <c r="C34" s="90" t="s">
        <v>21</v>
      </c>
      <c r="D34" s="90"/>
      <c r="E34" s="91"/>
      <c r="F34" s="92" t="s">
        <v>44</v>
      </c>
      <c r="G34" s="90"/>
      <c r="H34" s="91"/>
      <c r="I34" s="92" t="s">
        <v>45</v>
      </c>
      <c r="J34" s="90"/>
      <c r="K34" s="91"/>
      <c r="L34" s="92" t="s">
        <v>46</v>
      </c>
      <c r="M34" s="90"/>
      <c r="N34" s="91"/>
      <c r="O34" s="93" t="s">
        <v>47</v>
      </c>
      <c r="P34" s="93"/>
      <c r="Q34" s="93"/>
      <c r="R34" s="83" t="s">
        <v>48</v>
      </c>
      <c r="S34" s="84"/>
      <c r="T34" s="84"/>
      <c r="U34" s="85"/>
      <c r="V34" s="66"/>
      <c r="W34" s="3"/>
      <c r="X34" s="3"/>
      <c r="Y34" s="3"/>
    </row>
    <row r="35" spans="2:25" ht="18" customHeight="1" thickBot="1" x14ac:dyDescent="0.3">
      <c r="B35" s="89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1"/>
      <c r="W35" s="81"/>
      <c r="X35" s="81"/>
      <c r="Y35" s="81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1"/>
      <c r="V36" s="81"/>
      <c r="W36" s="81"/>
      <c r="X36" s="81"/>
      <c r="Y36" s="81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1"/>
      <c r="V37" s="81"/>
      <c r="W37" s="81"/>
      <c r="X37" s="81"/>
      <c r="Y37" s="81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1"/>
      <c r="V38" s="81"/>
      <c r="W38" s="81"/>
      <c r="X38" s="81"/>
      <c r="Y38" s="81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1"/>
      <c r="V39" s="81"/>
      <c r="W39" s="81"/>
      <c r="X39" s="81"/>
      <c r="Y39" s="81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1"/>
      <c r="V40" s="81"/>
      <c r="W40" s="81"/>
      <c r="X40" s="81"/>
      <c r="Y40" s="81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1"/>
      <c r="W41" s="81"/>
      <c r="X41" s="81"/>
      <c r="Y41" s="81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86" t="s">
        <v>54</v>
      </c>
      <c r="S42" s="87"/>
      <c r="T42" s="87"/>
      <c r="U42" s="87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1"/>
      <c r="V43" s="81"/>
      <c r="W43" s="81"/>
      <c r="X43" s="81"/>
      <c r="Y43" s="81"/>
    </row>
    <row r="44" spans="2:25" x14ac:dyDescent="0.25">
      <c r="B44" s="76" t="s">
        <v>68</v>
      </c>
      <c r="C44" s="94"/>
      <c r="D44" s="94"/>
      <c r="E44" s="94"/>
    </row>
    <row r="45" spans="2:25" x14ac:dyDescent="0.25">
      <c r="B45" s="76" t="s">
        <v>69</v>
      </c>
      <c r="C45" s="94"/>
      <c r="D45" s="94"/>
      <c r="E45" s="94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51</vt:i4>
      </vt:variant>
      <vt:variant>
        <vt:lpstr>Named Ranges</vt:lpstr>
      </vt:variant>
      <vt:variant>
        <vt:i4>50</vt:i4>
      </vt:variant>
    </vt:vector>
  </HeadingPairs>
  <TitlesOfParts>
    <vt:vector size="101" baseType="lpstr">
      <vt:lpstr>CSR | MAY</vt:lpstr>
      <vt:lpstr>(01)</vt:lpstr>
      <vt:lpstr>05-01 R1</vt:lpstr>
      <vt:lpstr>05-01 R2</vt:lpstr>
      <vt:lpstr>05-01 R3</vt:lpstr>
      <vt:lpstr>(2)</vt:lpstr>
      <vt:lpstr>05-02 R3</vt:lpstr>
      <vt:lpstr>(4)</vt:lpstr>
      <vt:lpstr>05-04 R1</vt:lpstr>
      <vt:lpstr>05-04 R2</vt:lpstr>
      <vt:lpstr>05-04 R3</vt:lpstr>
      <vt:lpstr>(5)</vt:lpstr>
      <vt:lpstr>05-05 R1</vt:lpstr>
      <vt:lpstr>05-05 R2</vt:lpstr>
      <vt:lpstr>05-05 R3</vt:lpstr>
      <vt:lpstr>(6)</vt:lpstr>
      <vt:lpstr>05-06 R1</vt:lpstr>
      <vt:lpstr>05-06 R2</vt:lpstr>
      <vt:lpstr>05-06 R3</vt:lpstr>
      <vt:lpstr>(7)</vt:lpstr>
      <vt:lpstr>05-07 R1</vt:lpstr>
      <vt:lpstr>05-07 R2</vt:lpstr>
      <vt:lpstr>05-07 R3</vt:lpstr>
      <vt:lpstr>(8)</vt:lpstr>
      <vt:lpstr>05-08 R1 NO TRIP</vt:lpstr>
      <vt:lpstr>05-08 R2</vt:lpstr>
      <vt:lpstr>05-08 R3</vt:lpstr>
      <vt:lpstr>(11)</vt:lpstr>
      <vt:lpstr>05-11 R1</vt:lpstr>
      <vt:lpstr>05-11 R2</vt:lpstr>
      <vt:lpstr>05-11 R3</vt:lpstr>
      <vt:lpstr>(12)</vt:lpstr>
      <vt:lpstr>05-12 R1</vt:lpstr>
      <vt:lpstr>05-12 R2</vt:lpstr>
      <vt:lpstr>05-12 R3</vt:lpstr>
      <vt:lpstr>(13)</vt:lpstr>
      <vt:lpstr>05-13 R1</vt:lpstr>
      <vt:lpstr>05-13 R2</vt:lpstr>
      <vt:lpstr>05-13 R3</vt:lpstr>
      <vt:lpstr>(14)</vt:lpstr>
      <vt:lpstr>05-14 R1</vt:lpstr>
      <vt:lpstr>05-14 R2</vt:lpstr>
      <vt:lpstr>05-14 R3</vt:lpstr>
      <vt:lpstr>(15)</vt:lpstr>
      <vt:lpstr>05-15 R1</vt:lpstr>
      <vt:lpstr>05-15 R2</vt:lpstr>
      <vt:lpstr>05-15 R3</vt:lpstr>
      <vt:lpstr>(16)</vt:lpstr>
      <vt:lpstr>05-16 R1</vt:lpstr>
      <vt:lpstr>05-16 R2</vt:lpstr>
      <vt:lpstr>05-16 R3</vt:lpstr>
      <vt:lpstr>'(01)'!Print_Area</vt:lpstr>
      <vt:lpstr>'(11)'!Print_Area</vt:lpstr>
      <vt:lpstr>'(12)'!Print_Area</vt:lpstr>
      <vt:lpstr>'(13)'!Print_Area</vt:lpstr>
      <vt:lpstr>'(14)'!Print_Area</vt:lpstr>
      <vt:lpstr>'(15)'!Print_Area</vt:lpstr>
      <vt:lpstr>'(16)'!Print_Area</vt:lpstr>
      <vt:lpstr>'(2)'!Print_Area</vt:lpstr>
      <vt:lpstr>'(4)'!Print_Area</vt:lpstr>
      <vt:lpstr>'(5)'!Print_Area</vt:lpstr>
      <vt:lpstr>'(6)'!Print_Area</vt:lpstr>
      <vt:lpstr>'(7)'!Print_Area</vt:lpstr>
      <vt:lpstr>'(8)'!Print_Area</vt:lpstr>
      <vt:lpstr>'05-01 R1'!Print_Area</vt:lpstr>
      <vt:lpstr>'05-01 R2'!Print_Area</vt:lpstr>
      <vt:lpstr>'05-01 R3'!Print_Area</vt:lpstr>
      <vt:lpstr>'05-02 R3'!Print_Area</vt:lpstr>
      <vt:lpstr>'05-04 R1'!Print_Area</vt:lpstr>
      <vt:lpstr>'05-04 R2'!Print_Area</vt:lpstr>
      <vt:lpstr>'05-04 R3'!Print_Area</vt:lpstr>
      <vt:lpstr>'05-05 R1'!Print_Area</vt:lpstr>
      <vt:lpstr>'05-05 R2'!Print_Area</vt:lpstr>
      <vt:lpstr>'05-05 R3'!Print_Area</vt:lpstr>
      <vt:lpstr>'05-06 R1'!Print_Area</vt:lpstr>
      <vt:lpstr>'05-06 R2'!Print_Area</vt:lpstr>
      <vt:lpstr>'05-06 R3'!Print_Area</vt:lpstr>
      <vt:lpstr>'05-07 R1'!Print_Area</vt:lpstr>
      <vt:lpstr>'05-07 R2'!Print_Area</vt:lpstr>
      <vt:lpstr>'05-07 R3'!Print_Area</vt:lpstr>
      <vt:lpstr>'05-08 R1 NO TRIP'!Print_Area</vt:lpstr>
      <vt:lpstr>'05-08 R2'!Print_Area</vt:lpstr>
      <vt:lpstr>'05-08 R3'!Print_Area</vt:lpstr>
      <vt:lpstr>'05-11 R1'!Print_Area</vt:lpstr>
      <vt:lpstr>'05-11 R2'!Print_Area</vt:lpstr>
      <vt:lpstr>'05-11 R3'!Print_Area</vt:lpstr>
      <vt:lpstr>'05-12 R1'!Print_Area</vt:lpstr>
      <vt:lpstr>'05-12 R2'!Print_Area</vt:lpstr>
      <vt:lpstr>'05-12 R3'!Print_Area</vt:lpstr>
      <vt:lpstr>'05-13 R1'!Print_Area</vt:lpstr>
      <vt:lpstr>'05-13 R2'!Print_Area</vt:lpstr>
      <vt:lpstr>'05-13 R3'!Print_Area</vt:lpstr>
      <vt:lpstr>'05-14 R1'!Print_Area</vt:lpstr>
      <vt:lpstr>'05-14 R2'!Print_Area</vt:lpstr>
      <vt:lpstr>'05-14 R3'!Print_Area</vt:lpstr>
      <vt:lpstr>'05-15 R1'!Print_Area</vt:lpstr>
      <vt:lpstr>'05-15 R2'!Print_Area</vt:lpstr>
      <vt:lpstr>'05-15 R3'!Print_Area</vt:lpstr>
      <vt:lpstr>'05-16 R1'!Print_Area</vt:lpstr>
      <vt:lpstr>'05-16 R2'!Print_Area</vt:lpstr>
      <vt:lpstr>'05-16 R3'!Print_Area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cp:lastPrinted>2026-05-06T00:41:18Z</cp:lastPrinted>
  <dcterms:created xsi:type="dcterms:W3CDTF">2024-09-01T22:48:10Z</dcterms:created>
  <dcterms:modified xsi:type="dcterms:W3CDTF">2026-05-12T03:32:46Z</dcterms:modified>
</cp:coreProperties>
</file>