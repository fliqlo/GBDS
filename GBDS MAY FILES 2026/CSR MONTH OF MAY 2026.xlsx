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875AA6D-9C8A-4BEA-9E57-930A3E1E5FE4}" xr6:coauthVersionLast="45" xr6:coauthVersionMax="47" xr10:uidLastSave="{00000000-0000-0000-0000-000000000000}"/>
  <bookViews>
    <workbookView xWindow="-120" yWindow="-120" windowWidth="29040" windowHeight="15840" firstSheet="93" activeTab="10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 NO TRIP" sheetId="1743" r:id="rId100"/>
    <sheet name="05-30 R1 NO TRIP" sheetId="1744" r:id="rId101"/>
    <sheet name="05-30 R2 NO TRIP" sheetId="1745" r:id="rId102"/>
    <sheet name="05-30 R3 NO TRIP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 NO TRIP'!$A$1:$Z$44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 NO TRIP'!$A$1:$Z$43</definedName>
    <definedName name="_xlnm.Print_Area" localSheetId="101">'05-30 R2 NO TRIP'!$A$1:$V$44</definedName>
    <definedName name="_xlnm.Print_Area" localSheetId="102">'05-30 R3 NO TRIP'!$A$1:$V$44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42" l="1"/>
  <c r="C44" i="1741"/>
  <c r="C44" i="1740" l="1"/>
  <c r="C44" i="1738" l="1"/>
  <c r="C44" i="1737"/>
  <c r="C44" i="1736" l="1"/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<sst xmlns="http://schemas.openxmlformats.org/spreadsheetml/2006/main" count="9290" uniqueCount="206">
  <si>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</si>
  <si>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</si>
  <si>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</si>
  <si>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</si>
  <si>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</si>
  <si>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</si>
  <si>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</si>
  <si>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</si>
  <si>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</si>
  <si>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</si>
  <si>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</si>
  <si>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</si>
  <si>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</si>
  <si>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</si>
  <si>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</si>
  <si>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</si>
  <si>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</si>
  <si>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</si>
  <si>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</si>
  <si>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</si>
  <si>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</si>
  <si>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</si>
  <si>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</si>
  <si>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</si>
  <si>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</si>
  <si>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</si>
  <si>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</si>
  <si>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</si>
  <si>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</si>
  <si>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</si>
  <si>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</si>
  <si>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</si>
  <si>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</si>
  <si>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</si>
  <si>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</si>
  <si>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</si>
  <si>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</si>
  <si>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</si>
  <si>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</si>
  <si>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</si>
  <si>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</si>
  <si>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</si>
  <si>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</si>
  <si>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</si>
  <si>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</si>
  <si>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</si>
  <si>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</si>
  <si>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</si>
  <si>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</si>
  <si>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</si>
  <si>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</si>
  <si>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</si>
  <si>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</si>
  <si>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</si>
  <si>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</si>
  <si>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</si>
  <si>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</si>
  <si>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</si>
  <si>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</si>
  <si>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</si>
  <si>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</si>
  <si>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</si>
  <si>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</si>
  <si>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</si>
  <si>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</si>
  <si>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</si>
  <si>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</si>
  <si>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</si>
  <si>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</si>
  <si>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</si>
  <si>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</si>
  <si>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</si>
  <si>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</si>
  <si>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</si>
  <si>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</si>
  <si>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</si>
  <si>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</si>
  <si>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</si>
  <si>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</si>
  <si>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</si>
  <si>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</si>
  <si>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</si>
  <si>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</si>
  <si>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</si>
  <si>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</si>
  <si>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</si>
  <si>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</si>
  <si>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</si>
  <si>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</si>
  <si>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</si>
  <si>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</si>
  <si>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</si>
  <si>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</si>
  <si>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</si>
  <si>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</si>
  <si>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</si>
  <si>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</si>
  <si>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</si>
  <si>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</si>
  <si>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</si>
  <si>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</si>
  <si>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</si>
  <si>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</si>
  <si>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</si>
  <si>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</si>
  <si>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</si>
  <si>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</si>
  <si>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</si>
  <si>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</si>
  <si>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</si>
  <si>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</si>
  <si>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</si>
  <si>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</si>
  <si>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</si>
  <si>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</si>
  <si>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</si>
  <si>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</si>
  <si>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</si>
  <si>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</si>
  <si>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</si>
  <si>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</si>
  <si>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</si>
  <si>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</si>
  <si>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</si>
  <si>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</si>
  <si>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</si>
  <si>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</si>
  <si>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</si>
  <si>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</si>
  <si>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</si>
  <si>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</si>
  <si>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</si>
  <si>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</si>
  <si>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</si>
  <si>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</si>
  <si>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</si>
  <si>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</si>
  <si>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</si>
  <si>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</si>
  <si>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</si>
  <si>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</si>
  <si>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</si>
  <si>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</si>
  <si>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</si>
  <si>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</si>
  <si>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</si>
  <si>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</si>
  <si>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</si>
  <si>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</si>
  <si>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</si>
  <si>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</si>
  <si>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</si>
  <si>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</si>
  <si>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</si>
  <si>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</si>
  <si>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</si>
  <si>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</si>
  <si>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</si>
  <si>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</si>
  <si>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</si>
  <si>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</si>
  <si>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</si>
  <si>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</si>
  <si>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</si>
  <si>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</si>
  <si>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</si>
  <si>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</si>
  <si>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</si>
  <si>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</si>
  <si>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</si>
  <si>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</si>
  <si>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</si>
  <si>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</si>
  <si>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</si>
  <si>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</si>
  <si>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</si>
  <si>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</si>
  <si>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</si>
  <si>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</si>
  <si>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</si>
  <si>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</si>
  <si>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</si>
  <si>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</si>
  <si>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</si>
  <si>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</si>
  <si>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</si>
  <si>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</si>
  <si>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</si>
  <si>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</si>
  <si>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</si>
  <si>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</si>
  <si>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</si>
  <si>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</si>
  <si>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</si>
  <si>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</si>
  <si>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</si>
  <si>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</si>
  <si>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</si>
  <si>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</si>
  <si>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</si>
  <si>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</si>
  <si>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</si>
  <si>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</si>
  <si>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</si>
  <si>
    <t>13/12B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</si>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</sst>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25+3+704</f>
        <v>732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1+7+1+7+6+272+1</f>
        <v>295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1+1+19+56+7+530</f>
        <v>614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2+5+22+15+2+2+7+2+786</f>
        <v>843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3+2+25+9+344</f>
        <v>383</v>
      </c>
      <c r="D44" s="97"/>
      <c r="E44" s="97"/>
    </row>
    <row r="45" spans="2:25" x14ac:dyDescent="0.25">
      <c r="B45" s="76" t="s">
        <v>69</v>
      </c>
      <c r="C45" s="97">
        <v>23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12+21+5+344</f>
        <v>382</v>
      </c>
      <c r="D44" s="97"/>
      <c r="E44" s="97"/>
    </row>
    <row r="45" spans="2:25" x14ac:dyDescent="0.25">
      <c r="B45" s="76" t="s">
        <v>69</v>
      </c>
      <c r="C45" s="97">
        <f>22</f>
        <v>22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16+2+58+11+484</f>
        <v>571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1+2+1+5+6+5+2+7+128+12+458+1+8+1</f>
        <v>637</v>
      </c>
      <c r="D44" s="97"/>
      <c r="E44" s="97"/>
    </row>
    <row r="45" spans="2:25" x14ac:dyDescent="0.25">
      <c r="B45" s="76" t="s">
        <v>69</v>
      </c>
      <c r="C45" s="97">
        <v>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1+12+59+11+414</f>
        <v>497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5+5+22+23+21+2+72+12+542</f>
        <v>704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1+1+1+1+3+31+4+22+67+10+253</f>
        <v>394</v>
      </c>
      <c r="D44" s="97"/>
      <c r="E44" s="97"/>
    </row>
    <row r="45" spans="2:25" x14ac:dyDescent="0.25">
      <c r="B45" s="76" t="s">
        <v>69</v>
      </c>
      <c r="C45" s="97">
        <f>18+11</f>
        <v>29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13+54+10+368</f>
        <v>445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3+3+11+2+1+1+6+58+1+10+331+3</f>
        <v>430</v>
      </c>
      <c r="D44" s="97"/>
      <c r="E44" s="97"/>
    </row>
    <row r="45" spans="2:25" x14ac:dyDescent="0.25">
      <c r="B45" s="76" t="s">
        <v>69</v>
      </c>
      <c r="C45" s="97">
        <f>15</f>
        <v>15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5+15+48+467</f>
        <v>535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1+10+23+9+283</f>
        <v>326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3+3+17+1+1+10+42+399</f>
        <v>476</v>
      </c>
      <c r="D44" s="97"/>
      <c r="E44" s="97"/>
    </row>
    <row r="45" spans="2:25" x14ac:dyDescent="0.25">
      <c r="B45" s="76" t="s">
        <v>69</v>
      </c>
      <c r="C45" s="97">
        <f>19</f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2+2+9+1+1+1+24+3+298+2</f>
        <v>343</v>
      </c>
      <c r="D44" s="97"/>
      <c r="E44" s="97"/>
    </row>
    <row r="45" spans="2:25" x14ac:dyDescent="0.25">
      <c r="B45" s="76" t="s">
        <v>69</v>
      </c>
      <c r="C45" s="97">
        <f>9</f>
        <v>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15+2+40+1+20+471</f>
        <v>549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1+2+1+30+1+10+365</f>
        <v>410</v>
      </c>
      <c r="D44" s="97"/>
      <c r="E44" s="97"/>
    </row>
    <row r="45" spans="2:25" x14ac:dyDescent="0.25">
      <c r="B45" s="76" t="s">
        <v>69</v>
      </c>
      <c r="C45" s="97">
        <f>22+10</f>
        <v>32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130+375+15</f>
        <v>520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3+4+2+95+9+295</f>
        <v>408</v>
      </c>
      <c r="D44" s="97"/>
      <c r="E44" s="97"/>
    </row>
    <row r="45" spans="2:25" x14ac:dyDescent="0.25">
      <c r="B45" s="76" t="s">
        <v>69</v>
      </c>
      <c r="C45" s="97"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10+14+5+20+352</f>
        <v>401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8+12+60+12+6+310</f>
        <v>408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5+5+22+5+69+4+527</f>
        <v>637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2+9+4+3+24+62+6+321</f>
        <v>431</v>
      </c>
      <c r="D44" s="97"/>
      <c r="E44" s="97"/>
    </row>
    <row r="45" spans="2:25" x14ac:dyDescent="0.25">
      <c r="B45" s="76" t="s">
        <v>69</v>
      </c>
      <c r="C45" s="97"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2+12+1+10+343</f>
        <v>368</v>
      </c>
      <c r="D44" s="97"/>
      <c r="E44" s="97"/>
    </row>
    <row r="45" spans="2:25" x14ac:dyDescent="0.25">
      <c r="B45" s="76" t="s">
        <v>69</v>
      </c>
      <c r="C45" s="97">
        <v>16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1+25+43+1+5+675+6</f>
        <v>756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14+1+92+20+336</f>
        <v>463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5+10+2+432</f>
        <v>449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10+41+6+347</f>
        <v>404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21+1+108+1+554+1</f>
        <v>686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1+11+20+15+316</f>
        <v>363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1+25+5+43+585+1</f>
        <v>660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1+1+16+7+1+162+15+524</f>
        <v>727</v>
      </c>
      <c r="D44" s="97"/>
      <c r="E44" s="97"/>
    </row>
    <row r="45" spans="2:25" x14ac:dyDescent="0.25">
      <c r="B45" s="76" t="s">
        <v>69</v>
      </c>
      <c r="C45" s="97"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19+5+10+10+116+7+421</f>
        <v>588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10+42+1+5+370</f>
        <v>428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1+1+26+15+15+3+5+62+2+10+551</f>
        <v>691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2+1+1+5+3+40+15+453</f>
        <v>520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12+1+19+2+360</f>
        <v>394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15+16+11+1+3+1+93+25+210</f>
        <v>375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2+2+4+3+3+7+6+1+2+17+1+52+9+143+3</f>
        <v>255</v>
      </c>
      <c r="D44" s="97"/>
      <c r="E44" s="97"/>
    </row>
    <row r="45" spans="2:25" x14ac:dyDescent="0.25">
      <c r="B45" s="76" t="s">
        <v>69</v>
      </c>
      <c r="C45" s="97">
        <f>12+16+23</f>
        <v>51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1+1+7+3+1+22+2+276+1+1</f>
        <v>315</v>
      </c>
      <c r="D44" s="97"/>
      <c r="E44" s="97"/>
    </row>
    <row r="45" spans="2:25" x14ac:dyDescent="0.25">
      <c r="B45" s="76" t="s">
        <v>69</v>
      </c>
      <c r="C45" s="97">
        <f>12+12</f>
        <v>24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15+2+3+3+83+21+423</f>
        <v>550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14+446</f>
        <v>460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2+11+33+3+294</f>
        <v>343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2+5+1+20+3+364</f>
        <v>395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10+2+12+11+274</f>
        <v>309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19+5+8+1+20+665</f>
        <v>718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2+22+10+84</f>
        <v>118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1+11+134+231</f>
        <v>377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15+100+14+448</f>
        <v>577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1+1+5+27+5+250</f>
        <v>289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1+1+10+20+8+278</f>
        <v>318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2+2+14+18+16+504</f>
        <v>556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9+25+324</f>
        <v>358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1+3+1+20+8+149</f>
        <v>182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1+7+1+22+1+6+298</f>
        <v>336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69</v>
      </c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5</v>
      </c>
      <c r="M31" s="23">
        <v>49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68</v>
      </c>
      <c r="L32" s="28">
        <v>5</v>
      </c>
      <c r="M32" s="28">
        <v>291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312</v>
      </c>
      <c r="G36" s="42"/>
      <c r="H36" s="42">
        <v>20</v>
      </c>
      <c r="I36" s="42">
        <v>3</v>
      </c>
      <c r="J36" s="42"/>
      <c r="K36" s="42">
        <v>58</v>
      </c>
      <c r="L36" s="42">
        <v>70</v>
      </c>
      <c r="M36" s="42">
        <v>1</v>
      </c>
      <c r="N36" s="42">
        <v>20</v>
      </c>
      <c r="O36" s="42">
        <v>3</v>
      </c>
      <c r="P36" s="42">
        <v>1</v>
      </c>
      <c r="Q36" s="43">
        <v>16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312</v>
      </c>
      <c r="G42" s="42"/>
      <c r="H42" s="42">
        <v>20</v>
      </c>
      <c r="I42" s="42">
        <v>3</v>
      </c>
      <c r="J42" s="42"/>
      <c r="K42" s="42">
        <v>58</v>
      </c>
      <c r="L42" s="42">
        <v>70</v>
      </c>
      <c r="M42" s="42">
        <v>1</v>
      </c>
      <c r="N42" s="42">
        <v>20</v>
      </c>
      <c r="O42" s="42">
        <v>3</v>
      </c>
      <c r="P42" s="42">
        <v>1</v>
      </c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4+1+1+1+15+68+5+291</f>
        <v>386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topLeftCell="A29" zoomScale="160" zoomScaleNormal="160" workbookViewId="0">
      <selection activeCell="G38" sqref="G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204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36</v>
      </c>
      <c r="I24" s="14"/>
      <c r="J24" s="14">
        <v>1</v>
      </c>
      <c r="K24" s="14" t="s">
        <v>143</v>
      </c>
      <c r="L24" s="14">
        <v>6</v>
      </c>
      <c r="M24" s="14">
        <v>366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12</v>
      </c>
      <c r="I31" s="23"/>
      <c r="J31" s="23">
        <v>0</v>
      </c>
      <c r="K31" s="23" t="s">
        <v>173</v>
      </c>
      <c r="L31" s="23">
        <v>6</v>
      </c>
      <c r="M31" s="23">
        <v>41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24</v>
      </c>
      <c r="I32" s="28"/>
      <c r="J32" s="28">
        <v>1</v>
      </c>
      <c r="K32" s="28">
        <v>1</v>
      </c>
      <c r="L32" s="28">
        <v>0</v>
      </c>
      <c r="M32" s="28">
        <v>325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2</v>
      </c>
      <c r="H36" s="42">
        <v>3</v>
      </c>
      <c r="I36" s="42"/>
      <c r="J36" s="42"/>
      <c r="K36" s="42">
        <v>1</v>
      </c>
      <c r="L36" s="42">
        <v>1</v>
      </c>
      <c r="M36" s="42"/>
      <c r="N36" s="42"/>
      <c r="O36" s="42">
        <v>5</v>
      </c>
      <c r="P36" s="42">
        <v>9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2</v>
      </c>
      <c r="H42" s="42">
        <v>3</v>
      </c>
      <c r="I42" s="42"/>
      <c r="J42" s="42"/>
      <c r="K42" s="42">
        <v>1</v>
      </c>
      <c r="L42" s="42">
        <v>1</v>
      </c>
      <c r="M42" s="42"/>
      <c r="N42" s="42"/>
      <c r="O42" s="42">
        <v>5</v>
      </c>
      <c r="P42" s="42">
        <v>9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13+24+1+1+325</f>
        <v>364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2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2</v>
      </c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28</v>
      </c>
      <c r="I24" s="14"/>
      <c r="J24" s="14"/>
      <c r="K24" s="14">
        <v>1</v>
      </c>
      <c r="L24" s="14">
        <v>16</v>
      </c>
      <c r="M24" s="14">
        <v>533</v>
      </c>
      <c r="N24" s="14">
        <v>1</v>
      </c>
      <c r="O24" s="14"/>
      <c r="P24" s="14" t="s">
        <v>202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</v>
      </c>
      <c r="I31" s="23"/>
      <c r="J31" s="23"/>
      <c r="K31" s="23">
        <v>0</v>
      </c>
      <c r="L31" s="23">
        <v>10</v>
      </c>
      <c r="M31" s="23">
        <v>269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26</v>
      </c>
      <c r="I32" s="28"/>
      <c r="J32" s="28"/>
      <c r="K32" s="28">
        <v>1</v>
      </c>
      <c r="L32" s="28">
        <v>6</v>
      </c>
      <c r="M32" s="28">
        <v>264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346</v>
      </c>
      <c r="G36" s="42">
        <v>2</v>
      </c>
      <c r="H36" s="42">
        <v>3</v>
      </c>
      <c r="I36" s="42">
        <v>18</v>
      </c>
      <c r="J36" s="42"/>
      <c r="K36" s="42">
        <v>4</v>
      </c>
      <c r="L36" s="42">
        <v>5</v>
      </c>
      <c r="M36" s="42"/>
      <c r="N36" s="42"/>
      <c r="O36" s="42">
        <v>8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346</v>
      </c>
      <c r="G42" s="42">
        <v>2</v>
      </c>
      <c r="H42" s="42">
        <v>3</v>
      </c>
      <c r="I42" s="42">
        <v>18</v>
      </c>
      <c r="J42" s="42"/>
      <c r="K42" s="42">
        <v>4</v>
      </c>
      <c r="L42" s="42">
        <v>5</v>
      </c>
      <c r="M42" s="42"/>
      <c r="N42" s="42"/>
      <c r="O42" s="42">
        <v>8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1+2+2+9+1+2+26+1+6+264</f>
        <v>314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5</v>
      </c>
      <c r="E8" s="14">
        <v>5</v>
      </c>
      <c r="F8" s="14">
        <v>10</v>
      </c>
      <c r="G8" s="14"/>
      <c r="H8" s="14">
        <v>4</v>
      </c>
      <c r="I8" s="14"/>
      <c r="J8" s="14"/>
      <c r="K8" s="14"/>
      <c r="L8" s="14"/>
      <c r="M8" s="14"/>
      <c r="N8" s="14"/>
      <c r="O8" s="14">
        <v>1</v>
      </c>
      <c r="P8" s="14">
        <v>1</v>
      </c>
      <c r="Q8" s="14"/>
      <c r="R8" s="14"/>
      <c r="S8" s="14">
        <v>1</v>
      </c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>
        <v>0</v>
      </c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>
        <v>0</v>
      </c>
      <c r="P15" s="23">
        <v>0</v>
      </c>
      <c r="Q15" s="23"/>
      <c r="R15" s="23"/>
      <c r="S15" s="23">
        <v>0</v>
      </c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5</v>
      </c>
      <c r="E16" s="27">
        <v>5</v>
      </c>
      <c r="F16" s="27">
        <v>10</v>
      </c>
      <c r="G16" s="28"/>
      <c r="H16" s="28">
        <v>1</v>
      </c>
      <c r="I16" s="28"/>
      <c r="J16" s="28"/>
      <c r="K16" s="56"/>
      <c r="L16" s="28"/>
      <c r="M16" s="28"/>
      <c r="N16" s="28"/>
      <c r="O16" s="28">
        <v>1</v>
      </c>
      <c r="P16" s="28">
        <v>1</v>
      </c>
      <c r="Q16" s="28"/>
      <c r="R16" s="28"/>
      <c r="S16" s="28">
        <v>1</v>
      </c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17</v>
      </c>
      <c r="G24" s="14"/>
      <c r="H24" s="14">
        <v>109</v>
      </c>
      <c r="I24" s="14"/>
      <c r="J24" s="14">
        <v>1</v>
      </c>
      <c r="K24" s="14">
        <v>1</v>
      </c>
      <c r="L24" s="14">
        <v>5</v>
      </c>
      <c r="M24" s="14">
        <v>352</v>
      </c>
      <c r="N24" s="14">
        <v>5</v>
      </c>
      <c r="O24" s="14">
        <v>1</v>
      </c>
      <c r="P24" s="14">
        <v>10</v>
      </c>
      <c r="Q24" s="14"/>
      <c r="R24" s="14"/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>
        <v>0</v>
      </c>
      <c r="K31" s="23">
        <v>1</v>
      </c>
      <c r="L31" s="23">
        <v>0</v>
      </c>
      <c r="M31" s="23">
        <v>40</v>
      </c>
      <c r="N31" s="23">
        <v>0</v>
      </c>
      <c r="O31" s="23">
        <v>0</v>
      </c>
      <c r="P31" s="23">
        <v>0</v>
      </c>
      <c r="Q31" s="23"/>
      <c r="R31" s="23"/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15</v>
      </c>
      <c r="G32" s="28"/>
      <c r="H32" s="28">
        <v>105</v>
      </c>
      <c r="I32" s="28"/>
      <c r="J32" s="28">
        <v>1</v>
      </c>
      <c r="K32" s="28">
        <v>0</v>
      </c>
      <c r="L32" s="28">
        <v>5</v>
      </c>
      <c r="M32" s="28">
        <v>312</v>
      </c>
      <c r="N32" s="28">
        <v>5</v>
      </c>
      <c r="O32" s="23">
        <v>1</v>
      </c>
      <c r="P32" s="28">
        <v>10</v>
      </c>
      <c r="Q32" s="28"/>
      <c r="R32" s="28"/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7</v>
      </c>
      <c r="E36" s="42"/>
      <c r="F36" s="42">
        <v>102</v>
      </c>
      <c r="G36" s="42">
        <v>252</v>
      </c>
      <c r="H36" s="42">
        <v>5</v>
      </c>
      <c r="I36" s="42"/>
      <c r="J36" s="42">
        <v>25</v>
      </c>
      <c r="K36" s="42"/>
      <c r="L36" s="42">
        <v>1</v>
      </c>
      <c r="M36" s="42">
        <v>42</v>
      </c>
      <c r="N36" s="42">
        <v>23</v>
      </c>
      <c r="O36" s="42"/>
      <c r="P36" s="42">
        <v>1</v>
      </c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7</v>
      </c>
      <c r="E42" s="42"/>
      <c r="F42" s="42">
        <v>102</v>
      </c>
      <c r="G42" s="42">
        <v>252</v>
      </c>
      <c r="H42" s="42">
        <v>5</v>
      </c>
      <c r="I42" s="42"/>
      <c r="J42" s="42">
        <v>25</v>
      </c>
      <c r="K42" s="42"/>
      <c r="L42" s="42">
        <v>1</v>
      </c>
      <c r="M42" s="42">
        <v>42</v>
      </c>
      <c r="N42" s="42">
        <v>23</v>
      </c>
      <c r="O42" s="42"/>
      <c r="P42" s="42">
        <v>1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5+5+10+1+1+1+1+1+1+1+15+105+1+5+312+5+1+10+1+1</f>
        <v>483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85"/>
      <c r="E8" s="14">
        <v>1</v>
      </c>
      <c r="F8" s="14"/>
      <c r="G8" s="14"/>
      <c r="H8" s="14" t="s">
        <v>139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120</v>
      </c>
      <c r="I24" s="14"/>
      <c r="J24" s="14"/>
      <c r="K24" s="14" t="s">
        <v>143</v>
      </c>
      <c r="L24" s="14">
        <v>6</v>
      </c>
      <c r="M24" s="14">
        <v>417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40</v>
      </c>
      <c r="I31" s="23"/>
      <c r="J31" s="23"/>
      <c r="K31" s="23" t="s">
        <v>173</v>
      </c>
      <c r="L31" s="23">
        <v>0</v>
      </c>
      <c r="M31" s="23">
        <v>147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80</v>
      </c>
      <c r="I32" s="28"/>
      <c r="J32" s="28"/>
      <c r="K32" s="28">
        <v>1</v>
      </c>
      <c r="L32" s="28">
        <v>6</v>
      </c>
      <c r="M32" s="28">
        <v>270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296</v>
      </c>
      <c r="G36" s="42">
        <v>3</v>
      </c>
      <c r="H36" s="42">
        <v>3</v>
      </c>
      <c r="I36" s="42">
        <v>5</v>
      </c>
      <c r="J36" s="42">
        <v>2</v>
      </c>
      <c r="K36" s="42">
        <v>20</v>
      </c>
      <c r="L36" s="42">
        <v>2</v>
      </c>
      <c r="M36" s="42">
        <v>1</v>
      </c>
      <c r="N36" s="42">
        <v>3</v>
      </c>
      <c r="O36" s="42">
        <v>4</v>
      </c>
      <c r="P36" s="42">
        <v>4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296</v>
      </c>
      <c r="G42" s="42">
        <v>3</v>
      </c>
      <c r="H42" s="42">
        <v>3</v>
      </c>
      <c r="I42" s="42">
        <v>5</v>
      </c>
      <c r="J42" s="42">
        <v>2</v>
      </c>
      <c r="K42" s="42">
        <v>20</v>
      </c>
      <c r="L42" s="42">
        <v>2</v>
      </c>
      <c r="M42" s="42">
        <v>1</v>
      </c>
      <c r="N42" s="42">
        <v>3</v>
      </c>
      <c r="O42" s="42">
        <v>4</v>
      </c>
      <c r="P42" s="42">
        <v>4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10+1+2+80+1+6+270+1</f>
        <v>371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78</v>
      </c>
      <c r="I24" s="14"/>
      <c r="J24" s="14"/>
      <c r="K24" s="14"/>
      <c r="L24" s="14">
        <v>26</v>
      </c>
      <c r="M24" s="14">
        <v>541</v>
      </c>
      <c r="N24" s="14">
        <v>1</v>
      </c>
      <c r="O24" s="14"/>
      <c r="P24" s="78">
        <v>46090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28</v>
      </c>
      <c r="I31" s="23"/>
      <c r="J31" s="23"/>
      <c r="K31" s="23"/>
      <c r="L31" s="23">
        <v>26</v>
      </c>
      <c r="M31" s="23">
        <v>116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/>
      <c r="L32" s="28">
        <v>0</v>
      </c>
      <c r="M32" s="28">
        <v>425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465</v>
      </c>
      <c r="G42" s="42">
        <v>18</v>
      </c>
      <c r="H42" s="42"/>
      <c r="I42" s="42">
        <v>3</v>
      </c>
      <c r="J42" s="42"/>
      <c r="K42" s="42">
        <v>2</v>
      </c>
      <c r="L42" s="42">
        <v>2</v>
      </c>
      <c r="M42" s="42"/>
      <c r="N42" s="42"/>
      <c r="O42" s="42">
        <v>6</v>
      </c>
      <c r="P42" s="42">
        <v>3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13+50+425</f>
        <v>488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tabSelected="1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 NO TRIP</vt:lpstr>
      <vt:lpstr>05-30 R1 NO TRIP</vt:lpstr>
      <vt:lpstr>05-30 R2 NO TRIP</vt:lpstr>
      <vt:lpstr>05-30 R3 NO TRIP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 NO TRIP'!Print_Area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 NO TRIP'!Print_Area</vt:lpstr>
      <vt:lpstr>'05-30 R2 NO TRIP'!Print_Area</vt:lpstr>
      <vt:lpstr>'05-30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2026-06-02T01:46:07Z</dcterms:modified>
</cp:coreProperties>
</file>