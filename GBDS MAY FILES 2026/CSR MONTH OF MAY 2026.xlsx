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MAY FILES 2026\"/>
    </mc:Choice>
  </mc:AlternateContent>
  <xr:revisionPtr revIDLastSave="0" documentId="13_ncr:1_{782A3B45-7D6F-480D-9432-F8A72FB0CB41}" xr6:coauthVersionLast="45" xr6:coauthVersionMax="47" xr10:uidLastSave="{00000000-0000-0000-0000-000000000000}"/>
  <bookViews>
    <workbookView xWindow="-120" yWindow="-120" windowWidth="29040" windowHeight="15840" firstSheet="58" activeTab="58" xr2:uid="{67C3A74A-A57E-4AB5-8CD3-31B592A14032}"/>
  </bookViews>
  <sheets>
    <sheet name="CSR | MAY" sheetId="902" r:id="rId1"/>
    <sheet name="(01)" sheetId="1640" r:id="rId2"/>
    <sheet name="05-01 R1" sheetId="1641" r:id="rId3"/>
    <sheet name="05-01 R2" sheetId="1642" r:id="rId4"/>
    <sheet name="05-01 R3" sheetId="1643" r:id="rId5"/>
    <sheet name="(2)" sheetId="1668" r:id="rId6"/>
    <sheet name="05-02 R3" sheetId="1669" r:id="rId7"/>
    <sheet name="(4)" sheetId="1644" r:id="rId8"/>
    <sheet name="05-04 R1" sheetId="1645" r:id="rId9"/>
    <sheet name="05-04 R2" sheetId="1646" r:id="rId10"/>
    <sheet name="05-04 R3" sheetId="1647" r:id="rId11"/>
    <sheet name="(5)" sheetId="1648" r:id="rId12"/>
    <sheet name="05-05 R1" sheetId="1649" r:id="rId13"/>
    <sheet name="05-05 R2" sheetId="1650" r:id="rId14"/>
    <sheet name="05-05 R3" sheetId="1651" r:id="rId15"/>
    <sheet name="(6)" sheetId="1652" r:id="rId16"/>
    <sheet name="05-06 R1" sheetId="1653" r:id="rId17"/>
    <sheet name="05-06 R2" sheetId="1654" r:id="rId18"/>
    <sheet name="05-06 R3" sheetId="1655" r:id="rId19"/>
    <sheet name="(7)" sheetId="1656" r:id="rId20"/>
    <sheet name="05-07 R1" sheetId="1657" r:id="rId21"/>
    <sheet name="05-07 R2" sheetId="1658" r:id="rId22"/>
    <sheet name="05-07 R3" sheetId="1659" r:id="rId23"/>
    <sheet name="(8)" sheetId="1660" r:id="rId24"/>
    <sheet name="05-08 R1 NO TRIP" sheetId="1661" r:id="rId25"/>
    <sheet name="05-08 R2" sheetId="1662" r:id="rId26"/>
    <sheet name="05-08 R3" sheetId="1663" r:id="rId27"/>
    <sheet name="(11)" sheetId="1664" r:id="rId28"/>
    <sheet name="05-11 R1" sheetId="1665" r:id="rId29"/>
    <sheet name="05-11 R2" sheetId="1666" r:id="rId30"/>
    <sheet name="05-11 R3" sheetId="1667" r:id="rId31"/>
    <sheet name="(12)" sheetId="1670" r:id="rId32"/>
    <sheet name="05-12 R1" sheetId="1671" r:id="rId33"/>
    <sheet name="05-12 R2" sheetId="1672" r:id="rId34"/>
    <sheet name="05-12 R3" sheetId="1673" r:id="rId35"/>
    <sheet name="(13)" sheetId="1674" r:id="rId36"/>
    <sheet name="05-13 R1" sheetId="1675" r:id="rId37"/>
    <sheet name="05-13 R2" sheetId="1676" r:id="rId38"/>
    <sheet name="05-13 R3 NO TRIP" sheetId="1677" r:id="rId39"/>
    <sheet name="(14)" sheetId="1678" r:id="rId40"/>
    <sheet name="05-14 R1" sheetId="1679" r:id="rId41"/>
    <sheet name="05-14 R2 NO TRIP" sheetId="1680" r:id="rId42"/>
    <sheet name="05-14 R3" sheetId="1681" r:id="rId43"/>
    <sheet name="(15)" sheetId="1682" r:id="rId44"/>
    <sheet name="05-15 R1" sheetId="1683" r:id="rId45"/>
    <sheet name="05-15 R2" sheetId="1684" r:id="rId46"/>
    <sheet name="05-15 R3" sheetId="1685" r:id="rId47"/>
    <sheet name="(16)" sheetId="1686" r:id="rId48"/>
    <sheet name="05-16 R1 NO TRIP" sheetId="1687" r:id="rId49"/>
    <sheet name="05-16 R2" sheetId="1688" r:id="rId50"/>
    <sheet name="05-16 R3 NO TRIP" sheetId="1689" r:id="rId51"/>
    <sheet name="(17)" sheetId="1690" r:id="rId52"/>
    <sheet name="05-17 R1 " sheetId="1691" r:id="rId53"/>
    <sheet name="05-17 R2 " sheetId="1693" r:id="rId54"/>
    <sheet name="05-17 R3" sheetId="1695" r:id="rId55"/>
    <sheet name="(18)" sheetId="1692" r:id="rId56"/>
    <sheet name="05-18 R1 NO TRIP" sheetId="1698" r:id="rId57"/>
    <sheet name="05-18 R2 " sheetId="1701" r:id="rId58"/>
    <sheet name="05-18 R3" sheetId="1702" r:id="rId59"/>
    <sheet name="(19)" sheetId="1703" r:id="rId60"/>
    <sheet name="05-19 R1" sheetId="1704" r:id="rId61"/>
    <sheet name="05-19 R2" sheetId="1705" r:id="rId62"/>
    <sheet name="05-19 R3" sheetId="1706" r:id="rId63"/>
    <sheet name="(20)" sheetId="1707" r:id="rId64"/>
    <sheet name="05-20 R1" sheetId="1708" r:id="rId65"/>
    <sheet name="05-20 R2" sheetId="1709" r:id="rId66"/>
    <sheet name="05-20 R3" sheetId="1710" r:id="rId67"/>
    <sheet name="(21)" sheetId="1711" r:id="rId68"/>
    <sheet name="05-21 R1" sheetId="1712" r:id="rId69"/>
    <sheet name="05-21 R2" sheetId="1713" r:id="rId70"/>
    <sheet name="05-21 R3" sheetId="1714" r:id="rId71"/>
    <sheet name="(22)" sheetId="1715" r:id="rId72"/>
    <sheet name="05-22 R1" sheetId="1716" r:id="rId73"/>
    <sheet name="05-22 R2" sheetId="1717" r:id="rId74"/>
    <sheet name="05-22 R3" sheetId="1718" r:id="rId75"/>
    <sheet name="(23)" sheetId="1719" r:id="rId76"/>
    <sheet name="05-23 R1" sheetId="1720" r:id="rId77"/>
    <sheet name="05-23 R2" sheetId="1721" r:id="rId78"/>
    <sheet name="05-23 R3" sheetId="1722" r:id="rId79"/>
  </sheets>
  <externalReferences>
    <externalReference r:id="rId80"/>
  </externalReferences>
  <definedNames>
    <definedName name="_xlnm.Print_Area" localSheetId="1">'(01)'!$A$1:$Z$44</definedName>
    <definedName name="_xlnm.Print_Area" localSheetId="27">'(11)'!$A$1:$Z$44</definedName>
    <definedName name="_xlnm.Print_Area" localSheetId="31">'(12)'!$A$1:$Z$44</definedName>
    <definedName name="_xlnm.Print_Area" localSheetId="35">'(13)'!$A$1:$Z$44</definedName>
    <definedName name="_xlnm.Print_Area" localSheetId="39">'(14)'!$A$1:$Z$44</definedName>
    <definedName name="_xlnm.Print_Area" localSheetId="43">'(15)'!$A$1:$Z$44</definedName>
    <definedName name="_xlnm.Print_Area" localSheetId="47">'(16)'!$A$1:$Z$44</definedName>
    <definedName name="_xlnm.Print_Area" localSheetId="51">'(17)'!$A$1:$Z$44</definedName>
    <definedName name="_xlnm.Print_Area" localSheetId="55">'(18)'!$A$1:$Z$44</definedName>
    <definedName name="_xlnm.Print_Area" localSheetId="59">'(19)'!$A$1:$Z$44</definedName>
    <definedName name="_xlnm.Print_Area" localSheetId="5">'(2)'!$A$1:$Z$44</definedName>
    <definedName name="_xlnm.Print_Area" localSheetId="63">'(20)'!$A$1:$Z$44</definedName>
    <definedName name="_xlnm.Print_Area" localSheetId="67">'(21)'!$A$1:$Z$44</definedName>
    <definedName name="_xlnm.Print_Area" localSheetId="71">'(22)'!$A$1:$Z$44</definedName>
    <definedName name="_xlnm.Print_Area" localSheetId="75">'(23)'!$A$1:$Z$44</definedName>
    <definedName name="_xlnm.Print_Area" localSheetId="7">'(4)'!$A$1:$Z$44</definedName>
    <definedName name="_xlnm.Print_Area" localSheetId="11">'(5)'!$A$1:$Z$44</definedName>
    <definedName name="_xlnm.Print_Area" localSheetId="15">'(6)'!$A$1:$Z$44</definedName>
    <definedName name="_xlnm.Print_Area" localSheetId="19">'(7)'!$A$1:$Z$44</definedName>
    <definedName name="_xlnm.Print_Area" localSheetId="23">'(8)'!$A$1:$Z$44</definedName>
    <definedName name="_xlnm.Print_Area" localSheetId="2">'05-01 R1'!$A$1:$Z$43</definedName>
    <definedName name="_xlnm.Print_Area" localSheetId="3">'05-01 R2'!$A$1:$V$44</definedName>
    <definedName name="_xlnm.Print_Area" localSheetId="4">'05-01 R3'!$A$1:$V$44</definedName>
    <definedName name="_xlnm.Print_Area" localSheetId="6">'05-02 R3'!$A$1:$V$44</definedName>
    <definedName name="_xlnm.Print_Area" localSheetId="8">'05-04 R1'!$A$1:$Z$43</definedName>
    <definedName name="_xlnm.Print_Area" localSheetId="9">'05-04 R2'!$A$1:$V$44</definedName>
    <definedName name="_xlnm.Print_Area" localSheetId="10">'05-04 R3'!$A$1:$V$44</definedName>
    <definedName name="_xlnm.Print_Area" localSheetId="12">'05-05 R1'!$A$1:$Z$46</definedName>
    <definedName name="_xlnm.Print_Area" localSheetId="13">'05-05 R2'!$A$1:$Z$46</definedName>
    <definedName name="_xlnm.Print_Area" localSheetId="14">'05-05 R3'!$A$1:$Z$46</definedName>
    <definedName name="_xlnm.Print_Area" localSheetId="16">'05-06 R1'!$A$1:$Z$43</definedName>
    <definedName name="_xlnm.Print_Area" localSheetId="17">'05-06 R2'!$A$1:$V$44</definedName>
    <definedName name="_xlnm.Print_Area" localSheetId="18">'05-06 R3'!$A$1:$V$44</definedName>
    <definedName name="_xlnm.Print_Area" localSheetId="20">'05-07 R1'!$A$1:$Z$43</definedName>
    <definedName name="_xlnm.Print_Area" localSheetId="21">'05-07 R2'!$A$1:$V$44</definedName>
    <definedName name="_xlnm.Print_Area" localSheetId="22">'05-07 R3'!$A$1:$V$44</definedName>
    <definedName name="_xlnm.Print_Area" localSheetId="24">'05-08 R1 NO TRIP'!$A$1:$Z$43</definedName>
    <definedName name="_xlnm.Print_Area" localSheetId="25">'05-08 R2'!$A$1:$V$44</definedName>
    <definedName name="_xlnm.Print_Area" localSheetId="26">'05-08 R3'!$A$1:$V$44</definedName>
    <definedName name="_xlnm.Print_Area" localSheetId="28">'05-11 R1'!$A$1:$Z$43</definedName>
    <definedName name="_xlnm.Print_Area" localSheetId="29">'05-11 R2'!$A$1:$V$44</definedName>
    <definedName name="_xlnm.Print_Area" localSheetId="30">'05-11 R3'!$A$1:$V$44</definedName>
    <definedName name="_xlnm.Print_Area" localSheetId="32">'05-12 R1'!$A$1:$Z$43</definedName>
    <definedName name="_xlnm.Print_Area" localSheetId="33">'05-12 R2'!$A$1:$V$44</definedName>
    <definedName name="_xlnm.Print_Area" localSheetId="34">'05-12 R3'!$A$1:$V$44</definedName>
    <definedName name="_xlnm.Print_Area" localSheetId="36">'05-13 R1'!$A$1:$Z$43</definedName>
    <definedName name="_xlnm.Print_Area" localSheetId="37">'05-13 R2'!$A$1:$V$44</definedName>
    <definedName name="_xlnm.Print_Area" localSheetId="38">'05-13 R3 NO TRIP'!$A$1:$V$44</definedName>
    <definedName name="_xlnm.Print_Area" localSheetId="40">'05-14 R1'!$A$1:$Z$43</definedName>
    <definedName name="_xlnm.Print_Area" localSheetId="41">'05-14 R2 NO TRIP'!$A$1:$V$44</definedName>
    <definedName name="_xlnm.Print_Area" localSheetId="42">'05-14 R3'!$A$1:$V$44</definedName>
    <definedName name="_xlnm.Print_Area" localSheetId="44">'05-15 R1'!$A$1:$Z$43</definedName>
    <definedName name="_xlnm.Print_Area" localSheetId="45">'05-15 R2'!$A$1:$V$44</definedName>
    <definedName name="_xlnm.Print_Area" localSheetId="46">'05-15 R3'!$A$1:$V$44</definedName>
    <definedName name="_xlnm.Print_Area" localSheetId="48">'05-16 R1 NO TRIP'!$A$1:$Z$43</definedName>
    <definedName name="_xlnm.Print_Area" localSheetId="49">'05-16 R2'!$A$1:$V$44</definedName>
    <definedName name="_xlnm.Print_Area" localSheetId="50">'05-16 R3 NO TRIP'!$A$1:$V$44</definedName>
    <definedName name="_xlnm.Print_Area" localSheetId="52">'05-17 R1 '!$A$1:$Z$43</definedName>
    <definedName name="_xlnm.Print_Area" localSheetId="53">'05-17 R2 '!$A$1:$V$44</definedName>
    <definedName name="_xlnm.Print_Area" localSheetId="54">'05-17 R3'!$A$1:$V$44</definedName>
    <definedName name="_xlnm.Print_Area" localSheetId="56">'05-18 R1 NO TRIP'!$A$1:$Z$43</definedName>
    <definedName name="_xlnm.Print_Area" localSheetId="57">'05-18 R2 '!$A$1:$V$44</definedName>
    <definedName name="_xlnm.Print_Area" localSheetId="58">'05-18 R3'!$A$1:$V$44</definedName>
    <definedName name="_xlnm.Print_Area" localSheetId="60">'05-19 R1'!$A$1:$Z$43</definedName>
    <definedName name="_xlnm.Print_Area" localSheetId="61">'05-19 R2'!$A$1:$V$44</definedName>
    <definedName name="_xlnm.Print_Area" localSheetId="62">'05-19 R3'!$A$1:$V$44</definedName>
    <definedName name="_xlnm.Print_Area" localSheetId="64">'05-20 R1'!$A$1:$Z$43</definedName>
    <definedName name="_xlnm.Print_Area" localSheetId="65">'05-20 R2'!$A$1:$V$44</definedName>
    <definedName name="_xlnm.Print_Area" localSheetId="66">'05-20 R3'!$A$1:$V$44</definedName>
    <definedName name="_xlnm.Print_Area" localSheetId="68">'05-21 R1'!$A$1:$Z$43</definedName>
    <definedName name="_xlnm.Print_Area" localSheetId="69">'05-21 R2'!$A$1:$V$44</definedName>
    <definedName name="_xlnm.Print_Area" localSheetId="70">'05-21 R3'!$A$1:$V$44</definedName>
    <definedName name="_xlnm.Print_Area" localSheetId="72">'05-22 R1'!$A$1:$Z$43</definedName>
    <definedName name="_xlnm.Print_Area" localSheetId="73">'05-22 R2'!$A$1:$V$44</definedName>
    <definedName name="_xlnm.Print_Area" localSheetId="74">'05-22 R3'!$A$1:$V$44</definedName>
    <definedName name="_xlnm.Print_Area" localSheetId="76">'05-23 R1'!$A$1:$Z$43</definedName>
    <definedName name="_xlnm.Print_Area" localSheetId="77">'05-23 R2'!$A$1:$V$44</definedName>
    <definedName name="_xlnm.Print_Area" localSheetId="78">'05-23 R3'!$A$1:$V$44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4" i="1706" l="1"/>
  <c r="C44" i="1705"/>
  <c r="C44" i="1704"/>
  <c r="F21" i="1722" l="1"/>
  <c r="Y19" i="1722"/>
  <c r="W19" i="1722"/>
  <c r="V19" i="1722"/>
  <c r="U19" i="1722"/>
  <c r="T19" i="1722"/>
  <c r="P19" i="1722"/>
  <c r="O19" i="1722"/>
  <c r="N19" i="1722"/>
  <c r="M19" i="1722"/>
  <c r="L19" i="1722"/>
  <c r="K19" i="1722"/>
  <c r="J19" i="1722"/>
  <c r="I19" i="1722"/>
  <c r="H19" i="1722"/>
  <c r="G19" i="1722"/>
  <c r="F19" i="1722"/>
  <c r="E19" i="1722"/>
  <c r="D19" i="1722"/>
  <c r="C19" i="1722"/>
  <c r="Y18" i="1722"/>
  <c r="W18" i="1722"/>
  <c r="V18" i="1722"/>
  <c r="U18" i="1722"/>
  <c r="T18" i="1722"/>
  <c r="P18" i="1722"/>
  <c r="O18" i="1722"/>
  <c r="N18" i="1722"/>
  <c r="M18" i="1722"/>
  <c r="L18" i="1722"/>
  <c r="K18" i="1722"/>
  <c r="J18" i="1722"/>
  <c r="I18" i="1722"/>
  <c r="H18" i="1722"/>
  <c r="G18" i="1722"/>
  <c r="F18" i="1722"/>
  <c r="E18" i="1722"/>
  <c r="D18" i="1722"/>
  <c r="C18" i="1722"/>
  <c r="Y4" i="1722"/>
  <c r="W4" i="1722"/>
  <c r="V4" i="1722"/>
  <c r="U4" i="1722"/>
  <c r="T4" i="1722"/>
  <c r="P4" i="1722"/>
  <c r="O4" i="1722"/>
  <c r="N4" i="1722"/>
  <c r="M4" i="1722"/>
  <c r="L4" i="1722"/>
  <c r="K4" i="1722"/>
  <c r="J4" i="1722"/>
  <c r="I4" i="1722"/>
  <c r="H4" i="1722"/>
  <c r="G4" i="1722"/>
  <c r="F4" i="1722"/>
  <c r="E4" i="1722"/>
  <c r="D4" i="1722"/>
  <c r="C4" i="1722"/>
  <c r="Y3" i="1722"/>
  <c r="W3" i="1722"/>
  <c r="V3" i="1722"/>
  <c r="U3" i="1722"/>
  <c r="T3" i="1722"/>
  <c r="P3" i="1722"/>
  <c r="O3" i="1722"/>
  <c r="N3" i="1722"/>
  <c r="M3" i="1722"/>
  <c r="L3" i="1722"/>
  <c r="K3" i="1722"/>
  <c r="J3" i="1722"/>
  <c r="I3" i="1722"/>
  <c r="H3" i="1722"/>
  <c r="G3" i="1722"/>
  <c r="F3" i="1722"/>
  <c r="E3" i="1722"/>
  <c r="D3" i="1722"/>
  <c r="C3" i="1722"/>
  <c r="F21" i="1721"/>
  <c r="Y19" i="1721"/>
  <c r="W19" i="1721"/>
  <c r="V19" i="1721"/>
  <c r="U19" i="1721"/>
  <c r="T19" i="1721"/>
  <c r="P19" i="1721"/>
  <c r="O19" i="1721"/>
  <c r="N19" i="1721"/>
  <c r="M19" i="1721"/>
  <c r="L19" i="1721"/>
  <c r="K19" i="1721"/>
  <c r="J19" i="1721"/>
  <c r="I19" i="1721"/>
  <c r="H19" i="1721"/>
  <c r="G19" i="1721"/>
  <c r="F19" i="1721"/>
  <c r="E19" i="1721"/>
  <c r="D19" i="1721"/>
  <c r="C19" i="1721"/>
  <c r="Y18" i="1721"/>
  <c r="W18" i="1721"/>
  <c r="V18" i="1721"/>
  <c r="U18" i="1721"/>
  <c r="T18" i="1721"/>
  <c r="P18" i="1721"/>
  <c r="O18" i="1721"/>
  <c r="N18" i="1721"/>
  <c r="M18" i="1721"/>
  <c r="L18" i="1721"/>
  <c r="K18" i="1721"/>
  <c r="J18" i="1721"/>
  <c r="I18" i="1721"/>
  <c r="H18" i="1721"/>
  <c r="G18" i="1721"/>
  <c r="F18" i="1721"/>
  <c r="E18" i="1721"/>
  <c r="D18" i="1721"/>
  <c r="C18" i="1721"/>
  <c r="Y4" i="1721"/>
  <c r="W4" i="1721"/>
  <c r="V4" i="1721"/>
  <c r="U4" i="1721"/>
  <c r="T4" i="1721"/>
  <c r="P4" i="1721"/>
  <c r="O4" i="1721"/>
  <c r="N4" i="1721"/>
  <c r="M4" i="1721"/>
  <c r="L4" i="1721"/>
  <c r="K4" i="1721"/>
  <c r="J4" i="1721"/>
  <c r="I4" i="1721"/>
  <c r="H4" i="1721"/>
  <c r="G4" i="1721"/>
  <c r="F4" i="1721"/>
  <c r="E4" i="1721"/>
  <c r="D4" i="1721"/>
  <c r="C4" i="1721"/>
  <c r="Y3" i="1721"/>
  <c r="W3" i="1721"/>
  <c r="V3" i="1721"/>
  <c r="U3" i="1721"/>
  <c r="T3" i="1721"/>
  <c r="P3" i="1721"/>
  <c r="O3" i="1721"/>
  <c r="N3" i="1721"/>
  <c r="M3" i="1721"/>
  <c r="L3" i="1721"/>
  <c r="K3" i="1721"/>
  <c r="J3" i="1721"/>
  <c r="I3" i="1721"/>
  <c r="H3" i="1721"/>
  <c r="G3" i="1721"/>
  <c r="F3" i="1721"/>
  <c r="E3" i="1721"/>
  <c r="D3" i="1721"/>
  <c r="C3" i="1721"/>
  <c r="F21" i="1720"/>
  <c r="Y19" i="1720"/>
  <c r="W19" i="1720"/>
  <c r="V19" i="1720"/>
  <c r="U19" i="1720"/>
  <c r="T19" i="1720"/>
  <c r="P19" i="1720"/>
  <c r="O19" i="1720"/>
  <c r="N19" i="1720"/>
  <c r="M19" i="1720"/>
  <c r="L19" i="1720"/>
  <c r="K19" i="1720"/>
  <c r="J19" i="1720"/>
  <c r="I19" i="1720"/>
  <c r="H19" i="1720"/>
  <c r="G19" i="1720"/>
  <c r="F19" i="1720"/>
  <c r="E19" i="1720"/>
  <c r="D19" i="1720"/>
  <c r="C19" i="1720"/>
  <c r="Y18" i="1720"/>
  <c r="W18" i="1720"/>
  <c r="V18" i="1720"/>
  <c r="U18" i="1720"/>
  <c r="T18" i="1720"/>
  <c r="P18" i="1720"/>
  <c r="O18" i="1720"/>
  <c r="N18" i="1720"/>
  <c r="M18" i="1720"/>
  <c r="L18" i="1720"/>
  <c r="K18" i="1720"/>
  <c r="J18" i="1720"/>
  <c r="I18" i="1720"/>
  <c r="H18" i="1720"/>
  <c r="G18" i="1720"/>
  <c r="F18" i="1720"/>
  <c r="E18" i="1720"/>
  <c r="D18" i="1720"/>
  <c r="C18" i="1720"/>
  <c r="Y4" i="1720"/>
  <c r="W4" i="1720"/>
  <c r="V4" i="1720"/>
  <c r="U4" i="1720"/>
  <c r="T4" i="1720"/>
  <c r="P4" i="1720"/>
  <c r="O4" i="1720"/>
  <c r="N4" i="1720"/>
  <c r="M4" i="1720"/>
  <c r="L4" i="1720"/>
  <c r="K4" i="1720"/>
  <c r="J4" i="1720"/>
  <c r="I4" i="1720"/>
  <c r="H4" i="1720"/>
  <c r="G4" i="1720"/>
  <c r="F4" i="1720"/>
  <c r="E4" i="1720"/>
  <c r="D4" i="1720"/>
  <c r="C4" i="1720"/>
  <c r="Y3" i="1720"/>
  <c r="W3" i="1720"/>
  <c r="V3" i="1720"/>
  <c r="U3" i="1720"/>
  <c r="T3" i="1720"/>
  <c r="P3" i="1720"/>
  <c r="O3" i="1720"/>
  <c r="N3" i="1720"/>
  <c r="M3" i="1720"/>
  <c r="L3" i="1720"/>
  <c r="K3" i="1720"/>
  <c r="J3" i="1720"/>
  <c r="I3" i="1720"/>
  <c r="H3" i="1720"/>
  <c r="G3" i="1720"/>
  <c r="F3" i="1720"/>
  <c r="E3" i="1720"/>
  <c r="D3" i="1720"/>
  <c r="C3" i="1720"/>
  <c r="F21" i="1719"/>
  <c r="Y19" i="1719"/>
  <c r="W19" i="1719"/>
  <c r="V19" i="1719"/>
  <c r="U19" i="1719"/>
  <c r="T19" i="1719"/>
  <c r="P19" i="1719"/>
  <c r="O19" i="1719"/>
  <c r="N19" i="1719"/>
  <c r="M19" i="1719"/>
  <c r="L19" i="1719"/>
  <c r="K19" i="1719"/>
  <c r="J19" i="1719"/>
  <c r="I19" i="1719"/>
  <c r="H19" i="1719"/>
  <c r="G19" i="1719"/>
  <c r="F19" i="1719"/>
  <c r="E19" i="1719"/>
  <c r="D19" i="1719"/>
  <c r="C19" i="1719"/>
  <c r="Y18" i="1719"/>
  <c r="W18" i="1719"/>
  <c r="V18" i="1719"/>
  <c r="U18" i="1719"/>
  <c r="T18" i="1719"/>
  <c r="P18" i="1719"/>
  <c r="O18" i="1719"/>
  <c r="N18" i="1719"/>
  <c r="M18" i="1719"/>
  <c r="L18" i="1719"/>
  <c r="K18" i="1719"/>
  <c r="J18" i="1719"/>
  <c r="I18" i="1719"/>
  <c r="H18" i="1719"/>
  <c r="G18" i="1719"/>
  <c r="F18" i="1719"/>
  <c r="E18" i="1719"/>
  <c r="D18" i="1719"/>
  <c r="C18" i="1719"/>
  <c r="Y4" i="1719"/>
  <c r="W4" i="1719"/>
  <c r="V4" i="1719"/>
  <c r="U4" i="1719"/>
  <c r="T4" i="1719"/>
  <c r="P4" i="1719"/>
  <c r="O4" i="1719"/>
  <c r="N4" i="1719"/>
  <c r="M4" i="1719"/>
  <c r="L4" i="1719"/>
  <c r="K4" i="1719"/>
  <c r="J4" i="1719"/>
  <c r="I4" i="1719"/>
  <c r="H4" i="1719"/>
  <c r="G4" i="1719"/>
  <c r="F4" i="1719"/>
  <c r="E4" i="1719"/>
  <c r="D4" i="1719"/>
  <c r="C4" i="1719"/>
  <c r="Y3" i="1719"/>
  <c r="W3" i="1719"/>
  <c r="V3" i="1719"/>
  <c r="U3" i="1719"/>
  <c r="T3" i="1719"/>
  <c r="P3" i="1719"/>
  <c r="O3" i="1719"/>
  <c r="N3" i="1719"/>
  <c r="M3" i="1719"/>
  <c r="L3" i="1719"/>
  <c r="K3" i="1719"/>
  <c r="J3" i="1719"/>
  <c r="I3" i="1719"/>
  <c r="H3" i="1719"/>
  <c r="G3" i="1719"/>
  <c r="F3" i="1719"/>
  <c r="E3" i="1719"/>
  <c r="D3" i="1719"/>
  <c r="C3" i="1719"/>
  <c r="F21" i="1718"/>
  <c r="Y19" i="1718"/>
  <c r="W19" i="1718"/>
  <c r="V19" i="1718"/>
  <c r="U19" i="1718"/>
  <c r="T19" i="1718"/>
  <c r="P19" i="1718"/>
  <c r="O19" i="1718"/>
  <c r="N19" i="1718"/>
  <c r="M19" i="1718"/>
  <c r="L19" i="1718"/>
  <c r="K19" i="1718"/>
  <c r="J19" i="1718"/>
  <c r="I19" i="1718"/>
  <c r="H19" i="1718"/>
  <c r="G19" i="1718"/>
  <c r="F19" i="1718"/>
  <c r="E19" i="1718"/>
  <c r="D19" i="1718"/>
  <c r="C19" i="1718"/>
  <c r="Y18" i="1718"/>
  <c r="W18" i="1718"/>
  <c r="V18" i="1718"/>
  <c r="U18" i="1718"/>
  <c r="T18" i="1718"/>
  <c r="P18" i="1718"/>
  <c r="O18" i="1718"/>
  <c r="N18" i="1718"/>
  <c r="M18" i="1718"/>
  <c r="L18" i="1718"/>
  <c r="K18" i="1718"/>
  <c r="J18" i="1718"/>
  <c r="I18" i="1718"/>
  <c r="H18" i="1718"/>
  <c r="G18" i="1718"/>
  <c r="F18" i="1718"/>
  <c r="E18" i="1718"/>
  <c r="D18" i="1718"/>
  <c r="C18" i="1718"/>
  <c r="Y4" i="1718"/>
  <c r="W4" i="1718"/>
  <c r="V4" i="1718"/>
  <c r="U4" i="1718"/>
  <c r="T4" i="1718"/>
  <c r="P4" i="1718"/>
  <c r="O4" i="1718"/>
  <c r="N4" i="1718"/>
  <c r="M4" i="1718"/>
  <c r="L4" i="1718"/>
  <c r="K4" i="1718"/>
  <c r="J4" i="1718"/>
  <c r="I4" i="1718"/>
  <c r="H4" i="1718"/>
  <c r="G4" i="1718"/>
  <c r="F4" i="1718"/>
  <c r="E4" i="1718"/>
  <c r="D4" i="1718"/>
  <c r="C4" i="1718"/>
  <c r="Y3" i="1718"/>
  <c r="W3" i="1718"/>
  <c r="V3" i="1718"/>
  <c r="U3" i="1718"/>
  <c r="T3" i="1718"/>
  <c r="P3" i="1718"/>
  <c r="O3" i="1718"/>
  <c r="N3" i="1718"/>
  <c r="M3" i="1718"/>
  <c r="L3" i="1718"/>
  <c r="K3" i="1718"/>
  <c r="J3" i="1718"/>
  <c r="I3" i="1718"/>
  <c r="H3" i="1718"/>
  <c r="G3" i="1718"/>
  <c r="F3" i="1718"/>
  <c r="E3" i="1718"/>
  <c r="D3" i="1718"/>
  <c r="C3" i="1718"/>
  <c r="F21" i="1717"/>
  <c r="Y19" i="1717"/>
  <c r="W19" i="1717"/>
  <c r="V19" i="1717"/>
  <c r="U19" i="1717"/>
  <c r="T19" i="1717"/>
  <c r="P19" i="1717"/>
  <c r="O19" i="1717"/>
  <c r="N19" i="1717"/>
  <c r="M19" i="1717"/>
  <c r="L19" i="1717"/>
  <c r="K19" i="1717"/>
  <c r="J19" i="1717"/>
  <c r="I19" i="1717"/>
  <c r="H19" i="1717"/>
  <c r="G19" i="1717"/>
  <c r="F19" i="1717"/>
  <c r="E19" i="1717"/>
  <c r="D19" i="1717"/>
  <c r="C19" i="1717"/>
  <c r="Y18" i="1717"/>
  <c r="W18" i="1717"/>
  <c r="V18" i="1717"/>
  <c r="U18" i="1717"/>
  <c r="T18" i="1717"/>
  <c r="P18" i="1717"/>
  <c r="O18" i="1717"/>
  <c r="N18" i="1717"/>
  <c r="M18" i="1717"/>
  <c r="L18" i="1717"/>
  <c r="K18" i="1717"/>
  <c r="J18" i="1717"/>
  <c r="I18" i="1717"/>
  <c r="H18" i="1717"/>
  <c r="G18" i="1717"/>
  <c r="F18" i="1717"/>
  <c r="E18" i="1717"/>
  <c r="D18" i="1717"/>
  <c r="C18" i="1717"/>
  <c r="Y4" i="1717"/>
  <c r="W4" i="1717"/>
  <c r="V4" i="1717"/>
  <c r="U4" i="1717"/>
  <c r="T4" i="1717"/>
  <c r="P4" i="1717"/>
  <c r="O4" i="1717"/>
  <c r="N4" i="1717"/>
  <c r="M4" i="1717"/>
  <c r="L4" i="1717"/>
  <c r="K4" i="1717"/>
  <c r="J4" i="1717"/>
  <c r="I4" i="1717"/>
  <c r="H4" i="1717"/>
  <c r="G4" i="1717"/>
  <c r="F4" i="1717"/>
  <c r="E4" i="1717"/>
  <c r="D4" i="1717"/>
  <c r="C4" i="1717"/>
  <c r="Y3" i="1717"/>
  <c r="W3" i="1717"/>
  <c r="V3" i="1717"/>
  <c r="U3" i="1717"/>
  <c r="T3" i="1717"/>
  <c r="P3" i="1717"/>
  <c r="O3" i="1717"/>
  <c r="N3" i="1717"/>
  <c r="M3" i="1717"/>
  <c r="L3" i="1717"/>
  <c r="K3" i="1717"/>
  <c r="J3" i="1717"/>
  <c r="I3" i="1717"/>
  <c r="H3" i="1717"/>
  <c r="G3" i="1717"/>
  <c r="F3" i="1717"/>
  <c r="E3" i="1717"/>
  <c r="D3" i="1717"/>
  <c r="C3" i="1717"/>
  <c r="F21" i="1716"/>
  <c r="Y19" i="1716"/>
  <c r="W19" i="1716"/>
  <c r="V19" i="1716"/>
  <c r="U19" i="1716"/>
  <c r="T19" i="1716"/>
  <c r="P19" i="1716"/>
  <c r="O19" i="1716"/>
  <c r="N19" i="1716"/>
  <c r="M19" i="1716"/>
  <c r="L19" i="1716"/>
  <c r="K19" i="1716"/>
  <c r="J19" i="1716"/>
  <c r="I19" i="1716"/>
  <c r="H19" i="1716"/>
  <c r="G19" i="1716"/>
  <c r="F19" i="1716"/>
  <c r="E19" i="1716"/>
  <c r="D19" i="1716"/>
  <c r="C19" i="1716"/>
  <c r="Y18" i="1716"/>
  <c r="W18" i="1716"/>
  <c r="V18" i="1716"/>
  <c r="U18" i="1716"/>
  <c r="T18" i="1716"/>
  <c r="P18" i="1716"/>
  <c r="O18" i="1716"/>
  <c r="N18" i="1716"/>
  <c r="M18" i="1716"/>
  <c r="L18" i="1716"/>
  <c r="K18" i="1716"/>
  <c r="J18" i="1716"/>
  <c r="I18" i="1716"/>
  <c r="H18" i="1716"/>
  <c r="G18" i="1716"/>
  <c r="F18" i="1716"/>
  <c r="E18" i="1716"/>
  <c r="D18" i="1716"/>
  <c r="C18" i="1716"/>
  <c r="Y4" i="1716"/>
  <c r="W4" i="1716"/>
  <c r="V4" i="1716"/>
  <c r="U4" i="1716"/>
  <c r="T4" i="1716"/>
  <c r="P4" i="1716"/>
  <c r="O4" i="1716"/>
  <c r="N4" i="1716"/>
  <c r="M4" i="1716"/>
  <c r="L4" i="1716"/>
  <c r="K4" i="1716"/>
  <c r="J4" i="1716"/>
  <c r="I4" i="1716"/>
  <c r="H4" i="1716"/>
  <c r="G4" i="1716"/>
  <c r="F4" i="1716"/>
  <c r="E4" i="1716"/>
  <c r="D4" i="1716"/>
  <c r="C4" i="1716"/>
  <c r="Y3" i="1716"/>
  <c r="W3" i="1716"/>
  <c r="V3" i="1716"/>
  <c r="U3" i="1716"/>
  <c r="T3" i="1716"/>
  <c r="P3" i="1716"/>
  <c r="O3" i="1716"/>
  <c r="N3" i="1716"/>
  <c r="M3" i="1716"/>
  <c r="L3" i="1716"/>
  <c r="K3" i="1716"/>
  <c r="J3" i="1716"/>
  <c r="I3" i="1716"/>
  <c r="H3" i="1716"/>
  <c r="G3" i="1716"/>
  <c r="F3" i="1716"/>
  <c r="E3" i="1716"/>
  <c r="D3" i="1716"/>
  <c r="C3" i="1716"/>
  <c r="F21" i="1715"/>
  <c r="Y19" i="1715"/>
  <c r="W19" i="1715"/>
  <c r="V19" i="1715"/>
  <c r="U19" i="1715"/>
  <c r="T19" i="1715"/>
  <c r="P19" i="1715"/>
  <c r="O19" i="1715"/>
  <c r="N19" i="1715"/>
  <c r="M19" i="1715"/>
  <c r="L19" i="1715"/>
  <c r="K19" i="1715"/>
  <c r="J19" i="1715"/>
  <c r="I19" i="1715"/>
  <c r="H19" i="1715"/>
  <c r="G19" i="1715"/>
  <c r="F19" i="1715"/>
  <c r="E19" i="1715"/>
  <c r="D19" i="1715"/>
  <c r="C19" i="1715"/>
  <c r="Y18" i="1715"/>
  <c r="W18" i="1715"/>
  <c r="V18" i="1715"/>
  <c r="U18" i="1715"/>
  <c r="T18" i="1715"/>
  <c r="P18" i="1715"/>
  <c r="O18" i="1715"/>
  <c r="N18" i="1715"/>
  <c r="M18" i="1715"/>
  <c r="L18" i="1715"/>
  <c r="K18" i="1715"/>
  <c r="J18" i="1715"/>
  <c r="I18" i="1715"/>
  <c r="H18" i="1715"/>
  <c r="G18" i="1715"/>
  <c r="F18" i="1715"/>
  <c r="E18" i="1715"/>
  <c r="D18" i="1715"/>
  <c r="C18" i="1715"/>
  <c r="Y4" i="1715"/>
  <c r="W4" i="1715"/>
  <c r="V4" i="1715"/>
  <c r="U4" i="1715"/>
  <c r="T4" i="1715"/>
  <c r="P4" i="1715"/>
  <c r="O4" i="1715"/>
  <c r="N4" i="1715"/>
  <c r="M4" i="1715"/>
  <c r="L4" i="1715"/>
  <c r="K4" i="1715"/>
  <c r="J4" i="1715"/>
  <c r="I4" i="1715"/>
  <c r="H4" i="1715"/>
  <c r="G4" i="1715"/>
  <c r="F4" i="1715"/>
  <c r="E4" i="1715"/>
  <c r="D4" i="1715"/>
  <c r="C4" i="1715"/>
  <c r="Y3" i="1715"/>
  <c r="W3" i="1715"/>
  <c r="V3" i="1715"/>
  <c r="U3" i="1715"/>
  <c r="T3" i="1715"/>
  <c r="P3" i="1715"/>
  <c r="O3" i="1715"/>
  <c r="N3" i="1715"/>
  <c r="M3" i="1715"/>
  <c r="L3" i="1715"/>
  <c r="K3" i="1715"/>
  <c r="J3" i="1715"/>
  <c r="I3" i="1715"/>
  <c r="H3" i="1715"/>
  <c r="G3" i="1715"/>
  <c r="F3" i="1715"/>
  <c r="E3" i="1715"/>
  <c r="D3" i="1715"/>
  <c r="C3" i="1715"/>
  <c r="F21" i="1714"/>
  <c r="Y19" i="1714"/>
  <c r="W19" i="1714"/>
  <c r="V19" i="1714"/>
  <c r="U19" i="1714"/>
  <c r="T19" i="1714"/>
  <c r="P19" i="1714"/>
  <c r="O19" i="1714"/>
  <c r="N19" i="1714"/>
  <c r="M19" i="1714"/>
  <c r="L19" i="1714"/>
  <c r="K19" i="1714"/>
  <c r="J19" i="1714"/>
  <c r="I19" i="1714"/>
  <c r="H19" i="1714"/>
  <c r="G19" i="1714"/>
  <c r="F19" i="1714"/>
  <c r="E19" i="1714"/>
  <c r="D19" i="1714"/>
  <c r="C19" i="1714"/>
  <c r="Y18" i="1714"/>
  <c r="W18" i="1714"/>
  <c r="V18" i="1714"/>
  <c r="U18" i="1714"/>
  <c r="T18" i="1714"/>
  <c r="P18" i="1714"/>
  <c r="O18" i="1714"/>
  <c r="N18" i="1714"/>
  <c r="M18" i="1714"/>
  <c r="L18" i="1714"/>
  <c r="K18" i="1714"/>
  <c r="J18" i="1714"/>
  <c r="I18" i="1714"/>
  <c r="H18" i="1714"/>
  <c r="G18" i="1714"/>
  <c r="F18" i="1714"/>
  <c r="E18" i="1714"/>
  <c r="D18" i="1714"/>
  <c r="C18" i="1714"/>
  <c r="Y4" i="1714"/>
  <c r="W4" i="1714"/>
  <c r="V4" i="1714"/>
  <c r="U4" i="1714"/>
  <c r="T4" i="1714"/>
  <c r="P4" i="1714"/>
  <c r="O4" i="1714"/>
  <c r="N4" i="1714"/>
  <c r="M4" i="1714"/>
  <c r="L4" i="1714"/>
  <c r="K4" i="1714"/>
  <c r="J4" i="1714"/>
  <c r="I4" i="1714"/>
  <c r="H4" i="1714"/>
  <c r="G4" i="1714"/>
  <c r="F4" i="1714"/>
  <c r="E4" i="1714"/>
  <c r="D4" i="1714"/>
  <c r="C4" i="1714"/>
  <c r="Y3" i="1714"/>
  <c r="W3" i="1714"/>
  <c r="V3" i="1714"/>
  <c r="U3" i="1714"/>
  <c r="T3" i="1714"/>
  <c r="P3" i="1714"/>
  <c r="O3" i="1714"/>
  <c r="N3" i="1714"/>
  <c r="M3" i="1714"/>
  <c r="L3" i="1714"/>
  <c r="K3" i="1714"/>
  <c r="J3" i="1714"/>
  <c r="I3" i="1714"/>
  <c r="H3" i="1714"/>
  <c r="G3" i="1714"/>
  <c r="F3" i="1714"/>
  <c r="E3" i="1714"/>
  <c r="D3" i="1714"/>
  <c r="C3" i="1714"/>
  <c r="F21" i="1713"/>
  <c r="Y19" i="1713"/>
  <c r="W19" i="1713"/>
  <c r="V19" i="1713"/>
  <c r="U19" i="1713"/>
  <c r="T19" i="1713"/>
  <c r="P19" i="1713"/>
  <c r="O19" i="1713"/>
  <c r="N19" i="1713"/>
  <c r="M19" i="1713"/>
  <c r="L19" i="1713"/>
  <c r="K19" i="1713"/>
  <c r="J19" i="1713"/>
  <c r="I19" i="1713"/>
  <c r="H19" i="1713"/>
  <c r="G19" i="1713"/>
  <c r="F19" i="1713"/>
  <c r="E19" i="1713"/>
  <c r="D19" i="1713"/>
  <c r="C19" i="1713"/>
  <c r="Y18" i="1713"/>
  <c r="W18" i="1713"/>
  <c r="V18" i="1713"/>
  <c r="U18" i="1713"/>
  <c r="T18" i="1713"/>
  <c r="P18" i="1713"/>
  <c r="O18" i="1713"/>
  <c r="N18" i="1713"/>
  <c r="M18" i="1713"/>
  <c r="L18" i="1713"/>
  <c r="K18" i="1713"/>
  <c r="J18" i="1713"/>
  <c r="I18" i="1713"/>
  <c r="H18" i="1713"/>
  <c r="G18" i="1713"/>
  <c r="F18" i="1713"/>
  <c r="E18" i="1713"/>
  <c r="D18" i="1713"/>
  <c r="C18" i="1713"/>
  <c r="Y4" i="1713"/>
  <c r="W4" i="1713"/>
  <c r="V4" i="1713"/>
  <c r="U4" i="1713"/>
  <c r="T4" i="1713"/>
  <c r="P4" i="1713"/>
  <c r="O4" i="1713"/>
  <c r="N4" i="1713"/>
  <c r="M4" i="1713"/>
  <c r="L4" i="1713"/>
  <c r="K4" i="1713"/>
  <c r="J4" i="1713"/>
  <c r="I4" i="1713"/>
  <c r="H4" i="1713"/>
  <c r="G4" i="1713"/>
  <c r="F4" i="1713"/>
  <c r="E4" i="1713"/>
  <c r="D4" i="1713"/>
  <c r="C4" i="1713"/>
  <c r="Y3" i="1713"/>
  <c r="W3" i="1713"/>
  <c r="V3" i="1713"/>
  <c r="U3" i="1713"/>
  <c r="T3" i="1713"/>
  <c r="P3" i="1713"/>
  <c r="O3" i="1713"/>
  <c r="N3" i="1713"/>
  <c r="M3" i="1713"/>
  <c r="L3" i="1713"/>
  <c r="K3" i="1713"/>
  <c r="J3" i="1713"/>
  <c r="I3" i="1713"/>
  <c r="H3" i="1713"/>
  <c r="G3" i="1713"/>
  <c r="F3" i="1713"/>
  <c r="E3" i="1713"/>
  <c r="D3" i="1713"/>
  <c r="C3" i="1713"/>
  <c r="F21" i="1712"/>
  <c r="Y19" i="1712"/>
  <c r="W19" i="1712"/>
  <c r="V19" i="1712"/>
  <c r="U19" i="1712"/>
  <c r="T19" i="1712"/>
  <c r="P19" i="1712"/>
  <c r="O19" i="1712"/>
  <c r="N19" i="1712"/>
  <c r="M19" i="1712"/>
  <c r="L19" i="1712"/>
  <c r="K19" i="1712"/>
  <c r="J19" i="1712"/>
  <c r="I19" i="1712"/>
  <c r="H19" i="1712"/>
  <c r="G19" i="1712"/>
  <c r="F19" i="1712"/>
  <c r="E19" i="1712"/>
  <c r="D19" i="1712"/>
  <c r="C19" i="1712"/>
  <c r="Y18" i="1712"/>
  <c r="W18" i="1712"/>
  <c r="V18" i="1712"/>
  <c r="U18" i="1712"/>
  <c r="T18" i="1712"/>
  <c r="P18" i="1712"/>
  <c r="O18" i="1712"/>
  <c r="N18" i="1712"/>
  <c r="M18" i="1712"/>
  <c r="L18" i="1712"/>
  <c r="K18" i="1712"/>
  <c r="J18" i="1712"/>
  <c r="I18" i="1712"/>
  <c r="H18" i="1712"/>
  <c r="G18" i="1712"/>
  <c r="F18" i="1712"/>
  <c r="E18" i="1712"/>
  <c r="D18" i="1712"/>
  <c r="C18" i="1712"/>
  <c r="Y4" i="1712"/>
  <c r="W4" i="1712"/>
  <c r="V4" i="1712"/>
  <c r="U4" i="1712"/>
  <c r="T4" i="1712"/>
  <c r="P4" i="1712"/>
  <c r="O4" i="1712"/>
  <c r="N4" i="1712"/>
  <c r="M4" i="1712"/>
  <c r="L4" i="1712"/>
  <c r="K4" i="1712"/>
  <c r="J4" i="1712"/>
  <c r="I4" i="1712"/>
  <c r="H4" i="1712"/>
  <c r="G4" i="1712"/>
  <c r="F4" i="1712"/>
  <c r="E4" i="1712"/>
  <c r="D4" i="1712"/>
  <c r="C4" i="1712"/>
  <c r="Y3" i="1712"/>
  <c r="W3" i="1712"/>
  <c r="V3" i="1712"/>
  <c r="U3" i="1712"/>
  <c r="T3" i="1712"/>
  <c r="P3" i="1712"/>
  <c r="O3" i="1712"/>
  <c r="N3" i="1712"/>
  <c r="M3" i="1712"/>
  <c r="L3" i="1712"/>
  <c r="K3" i="1712"/>
  <c r="J3" i="1712"/>
  <c r="I3" i="1712"/>
  <c r="H3" i="1712"/>
  <c r="G3" i="1712"/>
  <c r="F3" i="1712"/>
  <c r="E3" i="1712"/>
  <c r="D3" i="1712"/>
  <c r="C3" i="1712"/>
  <c r="F21" i="1711"/>
  <c r="Y19" i="1711"/>
  <c r="W19" i="1711"/>
  <c r="V19" i="1711"/>
  <c r="U19" i="1711"/>
  <c r="T19" i="1711"/>
  <c r="P19" i="1711"/>
  <c r="O19" i="1711"/>
  <c r="N19" i="1711"/>
  <c r="M19" i="1711"/>
  <c r="L19" i="1711"/>
  <c r="K19" i="1711"/>
  <c r="J19" i="1711"/>
  <c r="I19" i="1711"/>
  <c r="H19" i="1711"/>
  <c r="G19" i="1711"/>
  <c r="F19" i="1711"/>
  <c r="E19" i="1711"/>
  <c r="D19" i="1711"/>
  <c r="C19" i="1711"/>
  <c r="Y18" i="1711"/>
  <c r="W18" i="1711"/>
  <c r="V18" i="1711"/>
  <c r="U18" i="1711"/>
  <c r="T18" i="1711"/>
  <c r="P18" i="1711"/>
  <c r="O18" i="1711"/>
  <c r="N18" i="1711"/>
  <c r="M18" i="1711"/>
  <c r="L18" i="1711"/>
  <c r="K18" i="1711"/>
  <c r="J18" i="1711"/>
  <c r="I18" i="1711"/>
  <c r="H18" i="1711"/>
  <c r="G18" i="1711"/>
  <c r="F18" i="1711"/>
  <c r="E18" i="1711"/>
  <c r="D18" i="1711"/>
  <c r="C18" i="1711"/>
  <c r="Y4" i="1711"/>
  <c r="W4" i="1711"/>
  <c r="V4" i="1711"/>
  <c r="U4" i="1711"/>
  <c r="T4" i="1711"/>
  <c r="P4" i="1711"/>
  <c r="O4" i="1711"/>
  <c r="N4" i="1711"/>
  <c r="M4" i="1711"/>
  <c r="L4" i="1711"/>
  <c r="K4" i="1711"/>
  <c r="J4" i="1711"/>
  <c r="I4" i="1711"/>
  <c r="H4" i="1711"/>
  <c r="G4" i="1711"/>
  <c r="F4" i="1711"/>
  <c r="E4" i="1711"/>
  <c r="D4" i="1711"/>
  <c r="C4" i="1711"/>
  <c r="Y3" i="1711"/>
  <c r="W3" i="1711"/>
  <c r="V3" i="1711"/>
  <c r="U3" i="1711"/>
  <c r="T3" i="1711"/>
  <c r="P3" i="1711"/>
  <c r="O3" i="1711"/>
  <c r="N3" i="1711"/>
  <c r="M3" i="1711"/>
  <c r="L3" i="1711"/>
  <c r="K3" i="1711"/>
  <c r="J3" i="1711"/>
  <c r="I3" i="1711"/>
  <c r="H3" i="1711"/>
  <c r="G3" i="1711"/>
  <c r="F3" i="1711"/>
  <c r="E3" i="1711"/>
  <c r="D3" i="1711"/>
  <c r="C3" i="1711"/>
  <c r="F21" i="1710" l="1"/>
  <c r="Y19" i="1710"/>
  <c r="W19" i="1710"/>
  <c r="V19" i="1710"/>
  <c r="U19" i="1710"/>
  <c r="T19" i="1710"/>
  <c r="P19" i="1710"/>
  <c r="O19" i="1710"/>
  <c r="N19" i="1710"/>
  <c r="M19" i="1710"/>
  <c r="L19" i="1710"/>
  <c r="K19" i="1710"/>
  <c r="J19" i="1710"/>
  <c r="I19" i="1710"/>
  <c r="H19" i="1710"/>
  <c r="G19" i="1710"/>
  <c r="F19" i="1710"/>
  <c r="E19" i="1710"/>
  <c r="D19" i="1710"/>
  <c r="C19" i="1710"/>
  <c r="Y18" i="1710"/>
  <c r="W18" i="1710"/>
  <c r="V18" i="1710"/>
  <c r="U18" i="1710"/>
  <c r="T18" i="1710"/>
  <c r="P18" i="1710"/>
  <c r="O18" i="1710"/>
  <c r="N18" i="1710"/>
  <c r="M18" i="1710"/>
  <c r="L18" i="1710"/>
  <c r="K18" i="1710"/>
  <c r="J18" i="1710"/>
  <c r="I18" i="1710"/>
  <c r="H18" i="1710"/>
  <c r="G18" i="1710"/>
  <c r="F18" i="1710"/>
  <c r="E18" i="1710"/>
  <c r="D18" i="1710"/>
  <c r="C18" i="1710"/>
  <c r="Y4" i="1710"/>
  <c r="W4" i="1710"/>
  <c r="V4" i="1710"/>
  <c r="U4" i="1710"/>
  <c r="T4" i="1710"/>
  <c r="P4" i="1710"/>
  <c r="O4" i="1710"/>
  <c r="N4" i="1710"/>
  <c r="M4" i="1710"/>
  <c r="L4" i="1710"/>
  <c r="K4" i="1710"/>
  <c r="J4" i="1710"/>
  <c r="I4" i="1710"/>
  <c r="H4" i="1710"/>
  <c r="G4" i="1710"/>
  <c r="F4" i="1710"/>
  <c r="E4" i="1710"/>
  <c r="D4" i="1710"/>
  <c r="C4" i="1710"/>
  <c r="Y3" i="1710"/>
  <c r="W3" i="1710"/>
  <c r="V3" i="1710"/>
  <c r="U3" i="1710"/>
  <c r="T3" i="1710"/>
  <c r="P3" i="1710"/>
  <c r="O3" i="1710"/>
  <c r="N3" i="1710"/>
  <c r="M3" i="1710"/>
  <c r="L3" i="1710"/>
  <c r="K3" i="1710"/>
  <c r="J3" i="1710"/>
  <c r="I3" i="1710"/>
  <c r="H3" i="1710"/>
  <c r="G3" i="1710"/>
  <c r="F3" i="1710"/>
  <c r="E3" i="1710"/>
  <c r="D3" i="1710"/>
  <c r="C3" i="1710"/>
  <c r="F21" i="1709"/>
  <c r="Y19" i="1709"/>
  <c r="W19" i="1709"/>
  <c r="V19" i="1709"/>
  <c r="U19" i="1709"/>
  <c r="T19" i="1709"/>
  <c r="P19" i="1709"/>
  <c r="O19" i="1709"/>
  <c r="N19" i="1709"/>
  <c r="M19" i="1709"/>
  <c r="L19" i="1709"/>
  <c r="K19" i="1709"/>
  <c r="J19" i="1709"/>
  <c r="I19" i="1709"/>
  <c r="H19" i="1709"/>
  <c r="G19" i="1709"/>
  <c r="F19" i="1709"/>
  <c r="E19" i="1709"/>
  <c r="D19" i="1709"/>
  <c r="C19" i="1709"/>
  <c r="Y18" i="1709"/>
  <c r="W18" i="1709"/>
  <c r="V18" i="1709"/>
  <c r="U18" i="1709"/>
  <c r="T18" i="1709"/>
  <c r="P18" i="1709"/>
  <c r="O18" i="1709"/>
  <c r="N18" i="1709"/>
  <c r="M18" i="1709"/>
  <c r="L18" i="1709"/>
  <c r="K18" i="1709"/>
  <c r="J18" i="1709"/>
  <c r="I18" i="1709"/>
  <c r="H18" i="1709"/>
  <c r="G18" i="1709"/>
  <c r="F18" i="1709"/>
  <c r="E18" i="1709"/>
  <c r="D18" i="1709"/>
  <c r="C18" i="1709"/>
  <c r="Y4" i="1709"/>
  <c r="W4" i="1709"/>
  <c r="V4" i="1709"/>
  <c r="U4" i="1709"/>
  <c r="T4" i="1709"/>
  <c r="P4" i="1709"/>
  <c r="O4" i="1709"/>
  <c r="N4" i="1709"/>
  <c r="M4" i="1709"/>
  <c r="L4" i="1709"/>
  <c r="K4" i="1709"/>
  <c r="J4" i="1709"/>
  <c r="I4" i="1709"/>
  <c r="H4" i="1709"/>
  <c r="G4" i="1709"/>
  <c r="F4" i="1709"/>
  <c r="E4" i="1709"/>
  <c r="D4" i="1709"/>
  <c r="C4" i="1709"/>
  <c r="Y3" i="1709"/>
  <c r="W3" i="1709"/>
  <c r="V3" i="1709"/>
  <c r="U3" i="1709"/>
  <c r="T3" i="1709"/>
  <c r="P3" i="1709"/>
  <c r="O3" i="1709"/>
  <c r="N3" i="1709"/>
  <c r="M3" i="1709"/>
  <c r="L3" i="1709"/>
  <c r="K3" i="1709"/>
  <c r="J3" i="1709"/>
  <c r="I3" i="1709"/>
  <c r="H3" i="1709"/>
  <c r="G3" i="1709"/>
  <c r="F3" i="1709"/>
  <c r="E3" i="1709"/>
  <c r="D3" i="1709"/>
  <c r="C3" i="1709"/>
  <c r="F21" i="1708"/>
  <c r="Y19" i="1708"/>
  <c r="W19" i="1708"/>
  <c r="V19" i="1708"/>
  <c r="U19" i="1708"/>
  <c r="T19" i="1708"/>
  <c r="P19" i="1708"/>
  <c r="O19" i="1708"/>
  <c r="N19" i="1708"/>
  <c r="M19" i="1708"/>
  <c r="L19" i="1708"/>
  <c r="K19" i="1708"/>
  <c r="J19" i="1708"/>
  <c r="I19" i="1708"/>
  <c r="H19" i="1708"/>
  <c r="G19" i="1708"/>
  <c r="F19" i="1708"/>
  <c r="E19" i="1708"/>
  <c r="D19" i="1708"/>
  <c r="C19" i="1708"/>
  <c r="Y18" i="1708"/>
  <c r="W18" i="1708"/>
  <c r="V18" i="1708"/>
  <c r="U18" i="1708"/>
  <c r="T18" i="1708"/>
  <c r="P18" i="1708"/>
  <c r="O18" i="1708"/>
  <c r="N18" i="1708"/>
  <c r="M18" i="1708"/>
  <c r="L18" i="1708"/>
  <c r="K18" i="1708"/>
  <c r="J18" i="1708"/>
  <c r="I18" i="1708"/>
  <c r="H18" i="1708"/>
  <c r="G18" i="1708"/>
  <c r="F18" i="1708"/>
  <c r="E18" i="1708"/>
  <c r="D18" i="1708"/>
  <c r="C18" i="1708"/>
  <c r="Y4" i="1708"/>
  <c r="W4" i="1708"/>
  <c r="V4" i="1708"/>
  <c r="U4" i="1708"/>
  <c r="T4" i="1708"/>
  <c r="P4" i="1708"/>
  <c r="O4" i="1708"/>
  <c r="N4" i="1708"/>
  <c r="M4" i="1708"/>
  <c r="L4" i="1708"/>
  <c r="K4" i="1708"/>
  <c r="J4" i="1708"/>
  <c r="I4" i="1708"/>
  <c r="H4" i="1708"/>
  <c r="G4" i="1708"/>
  <c r="F4" i="1708"/>
  <c r="E4" i="1708"/>
  <c r="D4" i="1708"/>
  <c r="C4" i="1708"/>
  <c r="Y3" i="1708"/>
  <c r="W3" i="1708"/>
  <c r="V3" i="1708"/>
  <c r="U3" i="1708"/>
  <c r="T3" i="1708"/>
  <c r="P3" i="1708"/>
  <c r="O3" i="1708"/>
  <c r="N3" i="1708"/>
  <c r="M3" i="1708"/>
  <c r="L3" i="1708"/>
  <c r="K3" i="1708"/>
  <c r="J3" i="1708"/>
  <c r="I3" i="1708"/>
  <c r="H3" i="1708"/>
  <c r="G3" i="1708"/>
  <c r="F3" i="1708"/>
  <c r="E3" i="1708"/>
  <c r="D3" i="1708"/>
  <c r="C3" i="1708"/>
  <c r="F21" i="1707"/>
  <c r="Y19" i="1707"/>
  <c r="W19" i="1707"/>
  <c r="V19" i="1707"/>
  <c r="U19" i="1707"/>
  <c r="T19" i="1707"/>
  <c r="P19" i="1707"/>
  <c r="O19" i="1707"/>
  <c r="N19" i="1707"/>
  <c r="M19" i="1707"/>
  <c r="L19" i="1707"/>
  <c r="K19" i="1707"/>
  <c r="J19" i="1707"/>
  <c r="I19" i="1707"/>
  <c r="H19" i="1707"/>
  <c r="G19" i="1707"/>
  <c r="F19" i="1707"/>
  <c r="E19" i="1707"/>
  <c r="D19" i="1707"/>
  <c r="C19" i="1707"/>
  <c r="Y18" i="1707"/>
  <c r="W18" i="1707"/>
  <c r="V18" i="1707"/>
  <c r="U18" i="1707"/>
  <c r="T18" i="1707"/>
  <c r="P18" i="1707"/>
  <c r="O18" i="1707"/>
  <c r="N18" i="1707"/>
  <c r="M18" i="1707"/>
  <c r="L18" i="1707"/>
  <c r="K18" i="1707"/>
  <c r="J18" i="1707"/>
  <c r="I18" i="1707"/>
  <c r="H18" i="1707"/>
  <c r="G18" i="1707"/>
  <c r="F18" i="1707"/>
  <c r="E18" i="1707"/>
  <c r="D18" i="1707"/>
  <c r="C18" i="1707"/>
  <c r="Y4" i="1707"/>
  <c r="W4" i="1707"/>
  <c r="V4" i="1707"/>
  <c r="U4" i="1707"/>
  <c r="T4" i="1707"/>
  <c r="P4" i="1707"/>
  <c r="O4" i="1707"/>
  <c r="N4" i="1707"/>
  <c r="M4" i="1707"/>
  <c r="L4" i="1707"/>
  <c r="K4" i="1707"/>
  <c r="J4" i="1707"/>
  <c r="I4" i="1707"/>
  <c r="H4" i="1707"/>
  <c r="G4" i="1707"/>
  <c r="F4" i="1707"/>
  <c r="E4" i="1707"/>
  <c r="D4" i="1707"/>
  <c r="C4" i="1707"/>
  <c r="Y3" i="1707"/>
  <c r="W3" i="1707"/>
  <c r="V3" i="1707"/>
  <c r="U3" i="1707"/>
  <c r="T3" i="1707"/>
  <c r="P3" i="1707"/>
  <c r="O3" i="1707"/>
  <c r="N3" i="1707"/>
  <c r="M3" i="1707"/>
  <c r="L3" i="1707"/>
  <c r="K3" i="1707"/>
  <c r="J3" i="1707"/>
  <c r="I3" i="1707"/>
  <c r="H3" i="1707"/>
  <c r="G3" i="1707"/>
  <c r="F3" i="1707"/>
  <c r="E3" i="1707"/>
  <c r="D3" i="1707"/>
  <c r="C3" i="1707"/>
  <c r="F21" i="1706"/>
  <c r="Y19" i="1706"/>
  <c r="W19" i="1706"/>
  <c r="V19" i="1706"/>
  <c r="U19" i="1706"/>
  <c r="T19" i="1706"/>
  <c r="P19" i="1706"/>
  <c r="O19" i="1706"/>
  <c r="N19" i="1706"/>
  <c r="M19" i="1706"/>
  <c r="L19" i="1706"/>
  <c r="K19" i="1706"/>
  <c r="J19" i="1706"/>
  <c r="I19" i="1706"/>
  <c r="H19" i="1706"/>
  <c r="G19" i="1706"/>
  <c r="F19" i="1706"/>
  <c r="E19" i="1706"/>
  <c r="D19" i="1706"/>
  <c r="C19" i="1706"/>
  <c r="Y18" i="1706"/>
  <c r="W18" i="1706"/>
  <c r="V18" i="1706"/>
  <c r="U18" i="1706"/>
  <c r="T18" i="1706"/>
  <c r="P18" i="1706"/>
  <c r="O18" i="1706"/>
  <c r="N18" i="1706"/>
  <c r="M18" i="1706"/>
  <c r="L18" i="1706"/>
  <c r="K18" i="1706"/>
  <c r="J18" i="1706"/>
  <c r="I18" i="1706"/>
  <c r="H18" i="1706"/>
  <c r="G18" i="1706"/>
  <c r="F18" i="1706"/>
  <c r="E18" i="1706"/>
  <c r="D18" i="1706"/>
  <c r="C18" i="1706"/>
  <c r="Y4" i="1706"/>
  <c r="W4" i="1706"/>
  <c r="V4" i="1706"/>
  <c r="U4" i="1706"/>
  <c r="T4" i="1706"/>
  <c r="P4" i="1706"/>
  <c r="O4" i="1706"/>
  <c r="N4" i="1706"/>
  <c r="M4" i="1706"/>
  <c r="L4" i="1706"/>
  <c r="K4" i="1706"/>
  <c r="J4" i="1706"/>
  <c r="I4" i="1706"/>
  <c r="H4" i="1706"/>
  <c r="G4" i="1706"/>
  <c r="F4" i="1706"/>
  <c r="E4" i="1706"/>
  <c r="D4" i="1706"/>
  <c r="C4" i="1706"/>
  <c r="Y3" i="1706"/>
  <c r="W3" i="1706"/>
  <c r="V3" i="1706"/>
  <c r="U3" i="1706"/>
  <c r="T3" i="1706"/>
  <c r="P3" i="1706"/>
  <c r="O3" i="1706"/>
  <c r="N3" i="1706"/>
  <c r="M3" i="1706"/>
  <c r="L3" i="1706"/>
  <c r="K3" i="1706"/>
  <c r="J3" i="1706"/>
  <c r="I3" i="1706"/>
  <c r="H3" i="1706"/>
  <c r="G3" i="1706"/>
  <c r="F3" i="1706"/>
  <c r="E3" i="1706"/>
  <c r="D3" i="1706"/>
  <c r="C3" i="1706"/>
  <c r="F21" i="1705"/>
  <c r="Y19" i="1705"/>
  <c r="W19" i="1705"/>
  <c r="V19" i="1705"/>
  <c r="U19" i="1705"/>
  <c r="T19" i="1705"/>
  <c r="P19" i="1705"/>
  <c r="O19" i="1705"/>
  <c r="N19" i="1705"/>
  <c r="M19" i="1705"/>
  <c r="L19" i="1705"/>
  <c r="K19" i="1705"/>
  <c r="J19" i="1705"/>
  <c r="I19" i="1705"/>
  <c r="H19" i="1705"/>
  <c r="G19" i="1705"/>
  <c r="F19" i="1705"/>
  <c r="E19" i="1705"/>
  <c r="D19" i="1705"/>
  <c r="C19" i="1705"/>
  <c r="Y18" i="1705"/>
  <c r="W18" i="1705"/>
  <c r="V18" i="1705"/>
  <c r="U18" i="1705"/>
  <c r="T18" i="1705"/>
  <c r="P18" i="1705"/>
  <c r="O18" i="1705"/>
  <c r="N18" i="1705"/>
  <c r="M18" i="1705"/>
  <c r="L18" i="1705"/>
  <c r="K18" i="1705"/>
  <c r="J18" i="1705"/>
  <c r="I18" i="1705"/>
  <c r="H18" i="1705"/>
  <c r="G18" i="1705"/>
  <c r="F18" i="1705"/>
  <c r="E18" i="1705"/>
  <c r="D18" i="1705"/>
  <c r="C18" i="1705"/>
  <c r="Y4" i="1705"/>
  <c r="W4" i="1705"/>
  <c r="V4" i="1705"/>
  <c r="U4" i="1705"/>
  <c r="T4" i="1705"/>
  <c r="P4" i="1705"/>
  <c r="O4" i="1705"/>
  <c r="N4" i="1705"/>
  <c r="M4" i="1705"/>
  <c r="L4" i="1705"/>
  <c r="K4" i="1705"/>
  <c r="J4" i="1705"/>
  <c r="I4" i="1705"/>
  <c r="H4" i="1705"/>
  <c r="G4" i="1705"/>
  <c r="F4" i="1705"/>
  <c r="E4" i="1705"/>
  <c r="D4" i="1705"/>
  <c r="C4" i="1705"/>
  <c r="Y3" i="1705"/>
  <c r="W3" i="1705"/>
  <c r="V3" i="1705"/>
  <c r="U3" i="1705"/>
  <c r="T3" i="1705"/>
  <c r="P3" i="1705"/>
  <c r="O3" i="1705"/>
  <c r="N3" i="1705"/>
  <c r="M3" i="1705"/>
  <c r="L3" i="1705"/>
  <c r="K3" i="1705"/>
  <c r="J3" i="1705"/>
  <c r="I3" i="1705"/>
  <c r="H3" i="1705"/>
  <c r="G3" i="1705"/>
  <c r="F3" i="1705"/>
  <c r="E3" i="1705"/>
  <c r="D3" i="1705"/>
  <c r="C3" i="1705"/>
  <c r="F21" i="1704"/>
  <c r="Y19" i="1704"/>
  <c r="W19" i="1704"/>
  <c r="V19" i="1704"/>
  <c r="U19" i="1704"/>
  <c r="T19" i="1704"/>
  <c r="P19" i="1704"/>
  <c r="O19" i="1704"/>
  <c r="N19" i="1704"/>
  <c r="M19" i="1704"/>
  <c r="L19" i="1704"/>
  <c r="K19" i="1704"/>
  <c r="J19" i="1704"/>
  <c r="I19" i="1704"/>
  <c r="H19" i="1704"/>
  <c r="G19" i="1704"/>
  <c r="F19" i="1704"/>
  <c r="E19" i="1704"/>
  <c r="D19" i="1704"/>
  <c r="C19" i="1704"/>
  <c r="Y18" i="1704"/>
  <c r="W18" i="1704"/>
  <c r="V18" i="1704"/>
  <c r="U18" i="1704"/>
  <c r="T18" i="1704"/>
  <c r="P18" i="1704"/>
  <c r="O18" i="1704"/>
  <c r="N18" i="1704"/>
  <c r="M18" i="1704"/>
  <c r="L18" i="1704"/>
  <c r="K18" i="1704"/>
  <c r="J18" i="1704"/>
  <c r="I18" i="1704"/>
  <c r="H18" i="1704"/>
  <c r="G18" i="1704"/>
  <c r="F18" i="1704"/>
  <c r="E18" i="1704"/>
  <c r="D18" i="1704"/>
  <c r="C18" i="1704"/>
  <c r="Y4" i="1704"/>
  <c r="W4" i="1704"/>
  <c r="V4" i="1704"/>
  <c r="U4" i="1704"/>
  <c r="T4" i="1704"/>
  <c r="P4" i="1704"/>
  <c r="O4" i="1704"/>
  <c r="N4" i="1704"/>
  <c r="M4" i="1704"/>
  <c r="L4" i="1704"/>
  <c r="K4" i="1704"/>
  <c r="J4" i="1704"/>
  <c r="I4" i="1704"/>
  <c r="H4" i="1704"/>
  <c r="G4" i="1704"/>
  <c r="F4" i="1704"/>
  <c r="E4" i="1704"/>
  <c r="D4" i="1704"/>
  <c r="C4" i="1704"/>
  <c r="Y3" i="1704"/>
  <c r="W3" i="1704"/>
  <c r="V3" i="1704"/>
  <c r="U3" i="1704"/>
  <c r="T3" i="1704"/>
  <c r="P3" i="1704"/>
  <c r="O3" i="1704"/>
  <c r="N3" i="1704"/>
  <c r="M3" i="1704"/>
  <c r="L3" i="1704"/>
  <c r="K3" i="1704"/>
  <c r="J3" i="1704"/>
  <c r="I3" i="1704"/>
  <c r="H3" i="1704"/>
  <c r="G3" i="1704"/>
  <c r="F3" i="1704"/>
  <c r="E3" i="1704"/>
  <c r="D3" i="1704"/>
  <c r="C3" i="1704"/>
  <c r="F21" i="1703"/>
  <c r="Y19" i="1703"/>
  <c r="W19" i="1703"/>
  <c r="V19" i="1703"/>
  <c r="U19" i="1703"/>
  <c r="T19" i="1703"/>
  <c r="P19" i="1703"/>
  <c r="O19" i="1703"/>
  <c r="N19" i="1703"/>
  <c r="M19" i="1703"/>
  <c r="L19" i="1703"/>
  <c r="K19" i="1703"/>
  <c r="J19" i="1703"/>
  <c r="I19" i="1703"/>
  <c r="H19" i="1703"/>
  <c r="G19" i="1703"/>
  <c r="F19" i="1703"/>
  <c r="E19" i="1703"/>
  <c r="D19" i="1703"/>
  <c r="C19" i="1703"/>
  <c r="Y18" i="1703"/>
  <c r="W18" i="1703"/>
  <c r="V18" i="1703"/>
  <c r="U18" i="1703"/>
  <c r="T18" i="1703"/>
  <c r="P18" i="1703"/>
  <c r="O18" i="1703"/>
  <c r="N18" i="1703"/>
  <c r="M18" i="1703"/>
  <c r="L18" i="1703"/>
  <c r="K18" i="1703"/>
  <c r="J18" i="1703"/>
  <c r="I18" i="1703"/>
  <c r="H18" i="1703"/>
  <c r="G18" i="1703"/>
  <c r="F18" i="1703"/>
  <c r="E18" i="1703"/>
  <c r="D18" i="1703"/>
  <c r="C18" i="1703"/>
  <c r="Y4" i="1703"/>
  <c r="W4" i="1703"/>
  <c r="V4" i="1703"/>
  <c r="U4" i="1703"/>
  <c r="T4" i="1703"/>
  <c r="P4" i="1703"/>
  <c r="O4" i="1703"/>
  <c r="N4" i="1703"/>
  <c r="M4" i="1703"/>
  <c r="L4" i="1703"/>
  <c r="K4" i="1703"/>
  <c r="J4" i="1703"/>
  <c r="I4" i="1703"/>
  <c r="H4" i="1703"/>
  <c r="G4" i="1703"/>
  <c r="F4" i="1703"/>
  <c r="E4" i="1703"/>
  <c r="D4" i="1703"/>
  <c r="C4" i="1703"/>
  <c r="Y3" i="1703"/>
  <c r="W3" i="1703"/>
  <c r="V3" i="1703"/>
  <c r="U3" i="1703"/>
  <c r="T3" i="1703"/>
  <c r="P3" i="1703"/>
  <c r="O3" i="1703"/>
  <c r="N3" i="1703"/>
  <c r="M3" i="1703"/>
  <c r="L3" i="1703"/>
  <c r="K3" i="1703"/>
  <c r="J3" i="1703"/>
  <c r="I3" i="1703"/>
  <c r="H3" i="1703"/>
  <c r="G3" i="1703"/>
  <c r="F3" i="1703"/>
  <c r="E3" i="1703"/>
  <c r="D3" i="1703"/>
  <c r="C3" i="1703"/>
  <c r="C44" i="1701"/>
  <c r="C44" i="1702"/>
  <c r="F21" i="1702"/>
  <c r="Y19" i="1702"/>
  <c r="W19" i="1702"/>
  <c r="V19" i="1702"/>
  <c r="U19" i="1702"/>
  <c r="T19" i="1702"/>
  <c r="P19" i="1702"/>
  <c r="O19" i="1702"/>
  <c r="N19" i="1702"/>
  <c r="M19" i="1702"/>
  <c r="L19" i="1702"/>
  <c r="K19" i="1702"/>
  <c r="J19" i="1702"/>
  <c r="I19" i="1702"/>
  <c r="H19" i="1702"/>
  <c r="G19" i="1702"/>
  <c r="F19" i="1702"/>
  <c r="E19" i="1702"/>
  <c r="D19" i="1702"/>
  <c r="C19" i="1702"/>
  <c r="Y18" i="1702"/>
  <c r="W18" i="1702"/>
  <c r="V18" i="1702"/>
  <c r="U18" i="1702"/>
  <c r="T18" i="1702"/>
  <c r="P18" i="1702"/>
  <c r="O18" i="1702"/>
  <c r="N18" i="1702"/>
  <c r="M18" i="1702"/>
  <c r="L18" i="1702"/>
  <c r="K18" i="1702"/>
  <c r="J18" i="1702"/>
  <c r="I18" i="1702"/>
  <c r="H18" i="1702"/>
  <c r="G18" i="1702"/>
  <c r="F18" i="1702"/>
  <c r="E18" i="1702"/>
  <c r="D18" i="1702"/>
  <c r="C18" i="1702"/>
  <c r="Y4" i="1702"/>
  <c r="W4" i="1702"/>
  <c r="V4" i="1702"/>
  <c r="U4" i="1702"/>
  <c r="T4" i="1702"/>
  <c r="P4" i="1702"/>
  <c r="O4" i="1702"/>
  <c r="N4" i="1702"/>
  <c r="M4" i="1702"/>
  <c r="L4" i="1702"/>
  <c r="K4" i="1702"/>
  <c r="J4" i="1702"/>
  <c r="I4" i="1702"/>
  <c r="H4" i="1702"/>
  <c r="G4" i="1702"/>
  <c r="F4" i="1702"/>
  <c r="E4" i="1702"/>
  <c r="D4" i="1702"/>
  <c r="C4" i="1702"/>
  <c r="Y3" i="1702"/>
  <c r="W3" i="1702"/>
  <c r="V3" i="1702"/>
  <c r="U3" i="1702"/>
  <c r="T3" i="1702"/>
  <c r="P3" i="1702"/>
  <c r="O3" i="1702"/>
  <c r="N3" i="1702"/>
  <c r="M3" i="1702"/>
  <c r="L3" i="1702"/>
  <c r="K3" i="1702"/>
  <c r="J3" i="1702"/>
  <c r="I3" i="1702"/>
  <c r="H3" i="1702"/>
  <c r="G3" i="1702"/>
  <c r="F3" i="1702"/>
  <c r="E3" i="1702"/>
  <c r="D3" i="1702"/>
  <c r="C3" i="1702"/>
  <c r="F21" i="1701"/>
  <c r="Y19" i="1701"/>
  <c r="W19" i="1701"/>
  <c r="V19" i="1701"/>
  <c r="U19" i="1701"/>
  <c r="T19" i="1701"/>
  <c r="P19" i="1701"/>
  <c r="O19" i="1701"/>
  <c r="N19" i="1701"/>
  <c r="M19" i="1701"/>
  <c r="L19" i="1701"/>
  <c r="K19" i="1701"/>
  <c r="J19" i="1701"/>
  <c r="I19" i="1701"/>
  <c r="H19" i="1701"/>
  <c r="G19" i="1701"/>
  <c r="F19" i="1701"/>
  <c r="E19" i="1701"/>
  <c r="D19" i="1701"/>
  <c r="C19" i="1701"/>
  <c r="Y18" i="1701"/>
  <c r="W18" i="1701"/>
  <c r="V18" i="1701"/>
  <c r="U18" i="1701"/>
  <c r="T18" i="1701"/>
  <c r="P18" i="1701"/>
  <c r="O18" i="1701"/>
  <c r="N18" i="1701"/>
  <c r="M18" i="1701"/>
  <c r="L18" i="1701"/>
  <c r="K18" i="1701"/>
  <c r="J18" i="1701"/>
  <c r="I18" i="1701"/>
  <c r="H18" i="1701"/>
  <c r="G18" i="1701"/>
  <c r="F18" i="1701"/>
  <c r="E18" i="1701"/>
  <c r="D18" i="1701"/>
  <c r="C18" i="1701"/>
  <c r="Y4" i="1701"/>
  <c r="W4" i="1701"/>
  <c r="V4" i="1701"/>
  <c r="U4" i="1701"/>
  <c r="T4" i="1701"/>
  <c r="P4" i="1701"/>
  <c r="O4" i="1701"/>
  <c r="N4" i="1701"/>
  <c r="M4" i="1701"/>
  <c r="L4" i="1701"/>
  <c r="K4" i="1701"/>
  <c r="J4" i="1701"/>
  <c r="I4" i="1701"/>
  <c r="H4" i="1701"/>
  <c r="G4" i="1701"/>
  <c r="F4" i="1701"/>
  <c r="E4" i="1701"/>
  <c r="D4" i="1701"/>
  <c r="C4" i="1701"/>
  <c r="Y3" i="1701"/>
  <c r="W3" i="1701"/>
  <c r="V3" i="1701"/>
  <c r="U3" i="1701"/>
  <c r="T3" i="1701"/>
  <c r="P3" i="1701"/>
  <c r="O3" i="1701"/>
  <c r="N3" i="1701"/>
  <c r="M3" i="1701"/>
  <c r="L3" i="1701"/>
  <c r="K3" i="1701"/>
  <c r="J3" i="1701"/>
  <c r="I3" i="1701"/>
  <c r="H3" i="1701"/>
  <c r="G3" i="1701"/>
  <c r="F3" i="1701"/>
  <c r="E3" i="1701"/>
  <c r="D3" i="1701"/>
  <c r="C3" i="1701"/>
  <c r="F21" i="1698"/>
  <c r="Y19" i="1698"/>
  <c r="W19" i="1698"/>
  <c r="V19" i="1698"/>
  <c r="U19" i="1698"/>
  <c r="T19" i="1698"/>
  <c r="P19" i="1698"/>
  <c r="O19" i="1698"/>
  <c r="N19" i="1698"/>
  <c r="M19" i="1698"/>
  <c r="L19" i="1698"/>
  <c r="K19" i="1698"/>
  <c r="J19" i="1698"/>
  <c r="I19" i="1698"/>
  <c r="H19" i="1698"/>
  <c r="G19" i="1698"/>
  <c r="F19" i="1698"/>
  <c r="E19" i="1698"/>
  <c r="D19" i="1698"/>
  <c r="C19" i="1698"/>
  <c r="Y18" i="1698"/>
  <c r="W18" i="1698"/>
  <c r="V18" i="1698"/>
  <c r="U18" i="1698"/>
  <c r="T18" i="1698"/>
  <c r="P18" i="1698"/>
  <c r="O18" i="1698"/>
  <c r="N18" i="1698"/>
  <c r="M18" i="1698"/>
  <c r="L18" i="1698"/>
  <c r="K18" i="1698"/>
  <c r="J18" i="1698"/>
  <c r="I18" i="1698"/>
  <c r="H18" i="1698"/>
  <c r="G18" i="1698"/>
  <c r="F18" i="1698"/>
  <c r="E18" i="1698"/>
  <c r="D18" i="1698"/>
  <c r="C18" i="1698"/>
  <c r="Y4" i="1698"/>
  <c r="W4" i="1698"/>
  <c r="V4" i="1698"/>
  <c r="U4" i="1698"/>
  <c r="T4" i="1698"/>
  <c r="P4" i="1698"/>
  <c r="O4" i="1698"/>
  <c r="N4" i="1698"/>
  <c r="M4" i="1698"/>
  <c r="L4" i="1698"/>
  <c r="K4" i="1698"/>
  <c r="J4" i="1698"/>
  <c r="I4" i="1698"/>
  <c r="H4" i="1698"/>
  <c r="G4" i="1698"/>
  <c r="F4" i="1698"/>
  <c r="E4" i="1698"/>
  <c r="D4" i="1698"/>
  <c r="C4" i="1698"/>
  <c r="Y3" i="1698"/>
  <c r="W3" i="1698"/>
  <c r="V3" i="1698"/>
  <c r="U3" i="1698"/>
  <c r="T3" i="1698"/>
  <c r="P3" i="1698"/>
  <c r="O3" i="1698"/>
  <c r="N3" i="1698"/>
  <c r="M3" i="1698"/>
  <c r="L3" i="1698"/>
  <c r="K3" i="1698"/>
  <c r="J3" i="1698"/>
  <c r="I3" i="1698"/>
  <c r="H3" i="1698"/>
  <c r="G3" i="1698"/>
  <c r="F3" i="1698"/>
  <c r="E3" i="1698"/>
  <c r="D3" i="1698"/>
  <c r="C3" i="1698"/>
  <c r="C44" i="1688" l="1"/>
  <c r="F21" i="1695"/>
  <c r="Y19" i="1695"/>
  <c r="W19" i="1695"/>
  <c r="V19" i="1695"/>
  <c r="U19" i="1695"/>
  <c r="T19" i="1695"/>
  <c r="P19" i="1695"/>
  <c r="O19" i="1695"/>
  <c r="N19" i="1695"/>
  <c r="M19" i="1695"/>
  <c r="L19" i="1695"/>
  <c r="K19" i="1695"/>
  <c r="J19" i="1695"/>
  <c r="I19" i="1695"/>
  <c r="H19" i="1695"/>
  <c r="G19" i="1695"/>
  <c r="F19" i="1695"/>
  <c r="E19" i="1695"/>
  <c r="D19" i="1695"/>
  <c r="C19" i="1695"/>
  <c r="Y18" i="1695"/>
  <c r="W18" i="1695"/>
  <c r="V18" i="1695"/>
  <c r="U18" i="1695"/>
  <c r="T18" i="1695"/>
  <c r="P18" i="1695"/>
  <c r="O18" i="1695"/>
  <c r="N18" i="1695"/>
  <c r="M18" i="1695"/>
  <c r="L18" i="1695"/>
  <c r="K18" i="1695"/>
  <c r="J18" i="1695"/>
  <c r="I18" i="1695"/>
  <c r="H18" i="1695"/>
  <c r="G18" i="1695"/>
  <c r="F18" i="1695"/>
  <c r="E18" i="1695"/>
  <c r="D18" i="1695"/>
  <c r="C18" i="1695"/>
  <c r="Y4" i="1695"/>
  <c r="W4" i="1695"/>
  <c r="V4" i="1695"/>
  <c r="U4" i="1695"/>
  <c r="T4" i="1695"/>
  <c r="P4" i="1695"/>
  <c r="O4" i="1695"/>
  <c r="N4" i="1695"/>
  <c r="M4" i="1695"/>
  <c r="L4" i="1695"/>
  <c r="K4" i="1695"/>
  <c r="J4" i="1695"/>
  <c r="I4" i="1695"/>
  <c r="H4" i="1695"/>
  <c r="G4" i="1695"/>
  <c r="F4" i="1695"/>
  <c r="E4" i="1695"/>
  <c r="D4" i="1695"/>
  <c r="C4" i="1695"/>
  <c r="Y3" i="1695"/>
  <c r="W3" i="1695"/>
  <c r="V3" i="1695"/>
  <c r="U3" i="1695"/>
  <c r="T3" i="1695"/>
  <c r="P3" i="1695"/>
  <c r="O3" i="1695"/>
  <c r="N3" i="1695"/>
  <c r="M3" i="1695"/>
  <c r="L3" i="1695"/>
  <c r="K3" i="1695"/>
  <c r="J3" i="1695"/>
  <c r="I3" i="1695"/>
  <c r="H3" i="1695"/>
  <c r="G3" i="1695"/>
  <c r="F3" i="1695"/>
  <c r="E3" i="1695"/>
  <c r="D3" i="1695"/>
  <c r="C3" i="1695"/>
  <c r="F21" i="1693"/>
  <c r="Y19" i="1693"/>
  <c r="W19" i="1693"/>
  <c r="V19" i="1693"/>
  <c r="U19" i="1693"/>
  <c r="T19" i="1693"/>
  <c r="P19" i="1693"/>
  <c r="O19" i="1693"/>
  <c r="N19" i="1693"/>
  <c r="M19" i="1693"/>
  <c r="L19" i="1693"/>
  <c r="K19" i="1693"/>
  <c r="J19" i="1693"/>
  <c r="I19" i="1693"/>
  <c r="H19" i="1693"/>
  <c r="G19" i="1693"/>
  <c r="F19" i="1693"/>
  <c r="E19" i="1693"/>
  <c r="D19" i="1693"/>
  <c r="C19" i="1693"/>
  <c r="Y18" i="1693"/>
  <c r="W18" i="1693"/>
  <c r="V18" i="1693"/>
  <c r="U18" i="1693"/>
  <c r="T18" i="1693"/>
  <c r="P18" i="1693"/>
  <c r="O18" i="1693"/>
  <c r="N18" i="1693"/>
  <c r="M18" i="1693"/>
  <c r="L18" i="1693"/>
  <c r="K18" i="1693"/>
  <c r="J18" i="1693"/>
  <c r="I18" i="1693"/>
  <c r="H18" i="1693"/>
  <c r="G18" i="1693"/>
  <c r="F18" i="1693"/>
  <c r="E18" i="1693"/>
  <c r="D18" i="1693"/>
  <c r="C18" i="1693"/>
  <c r="Y4" i="1693"/>
  <c r="W4" i="1693"/>
  <c r="V4" i="1693"/>
  <c r="U4" i="1693"/>
  <c r="T4" i="1693"/>
  <c r="P4" i="1693"/>
  <c r="O4" i="1693"/>
  <c r="N4" i="1693"/>
  <c r="M4" i="1693"/>
  <c r="L4" i="1693"/>
  <c r="K4" i="1693"/>
  <c r="J4" i="1693"/>
  <c r="I4" i="1693"/>
  <c r="H4" i="1693"/>
  <c r="G4" i="1693"/>
  <c r="F4" i="1693"/>
  <c r="E4" i="1693"/>
  <c r="D4" i="1693"/>
  <c r="C4" i="1693"/>
  <c r="Y3" i="1693"/>
  <c r="W3" i="1693"/>
  <c r="V3" i="1693"/>
  <c r="U3" i="1693"/>
  <c r="T3" i="1693"/>
  <c r="P3" i="1693"/>
  <c r="O3" i="1693"/>
  <c r="N3" i="1693"/>
  <c r="M3" i="1693"/>
  <c r="L3" i="1693"/>
  <c r="K3" i="1693"/>
  <c r="J3" i="1693"/>
  <c r="I3" i="1693"/>
  <c r="H3" i="1693"/>
  <c r="G3" i="1693"/>
  <c r="F3" i="1693"/>
  <c r="E3" i="1693"/>
  <c r="D3" i="1693"/>
  <c r="C3" i="1693"/>
  <c r="F21" i="1692"/>
  <c r="Y19" i="1692"/>
  <c r="W19" i="1692"/>
  <c r="V19" i="1692"/>
  <c r="U19" i="1692"/>
  <c r="T19" i="1692"/>
  <c r="P19" i="1692"/>
  <c r="O19" i="1692"/>
  <c r="N19" i="1692"/>
  <c r="M19" i="1692"/>
  <c r="L19" i="1692"/>
  <c r="K19" i="1692"/>
  <c r="J19" i="1692"/>
  <c r="I19" i="1692"/>
  <c r="H19" i="1692"/>
  <c r="G19" i="1692"/>
  <c r="F19" i="1692"/>
  <c r="E19" i="1692"/>
  <c r="D19" i="1692"/>
  <c r="C19" i="1692"/>
  <c r="Y18" i="1692"/>
  <c r="W18" i="1692"/>
  <c r="V18" i="1692"/>
  <c r="U18" i="1692"/>
  <c r="T18" i="1692"/>
  <c r="P18" i="1692"/>
  <c r="O18" i="1692"/>
  <c r="N18" i="1692"/>
  <c r="M18" i="1692"/>
  <c r="L18" i="1692"/>
  <c r="K18" i="1692"/>
  <c r="J18" i="1692"/>
  <c r="I18" i="1692"/>
  <c r="H18" i="1692"/>
  <c r="G18" i="1692"/>
  <c r="F18" i="1692"/>
  <c r="E18" i="1692"/>
  <c r="D18" i="1692"/>
  <c r="C18" i="1692"/>
  <c r="Y4" i="1692"/>
  <c r="W4" i="1692"/>
  <c r="V4" i="1692"/>
  <c r="U4" i="1692"/>
  <c r="T4" i="1692"/>
  <c r="P4" i="1692"/>
  <c r="O4" i="1692"/>
  <c r="N4" i="1692"/>
  <c r="M4" i="1692"/>
  <c r="L4" i="1692"/>
  <c r="K4" i="1692"/>
  <c r="J4" i="1692"/>
  <c r="I4" i="1692"/>
  <c r="H4" i="1692"/>
  <c r="G4" i="1692"/>
  <c r="F4" i="1692"/>
  <c r="E4" i="1692"/>
  <c r="D4" i="1692"/>
  <c r="C4" i="1692"/>
  <c r="Y3" i="1692"/>
  <c r="W3" i="1692"/>
  <c r="V3" i="1692"/>
  <c r="U3" i="1692"/>
  <c r="T3" i="1692"/>
  <c r="P3" i="1692"/>
  <c r="O3" i="1692"/>
  <c r="N3" i="1692"/>
  <c r="M3" i="1692"/>
  <c r="L3" i="1692"/>
  <c r="K3" i="1692"/>
  <c r="J3" i="1692"/>
  <c r="I3" i="1692"/>
  <c r="H3" i="1692"/>
  <c r="G3" i="1692"/>
  <c r="F3" i="1692"/>
  <c r="E3" i="1692"/>
  <c r="D3" i="1692"/>
  <c r="C3" i="1692"/>
  <c r="F21" i="1691"/>
  <c r="Y19" i="1691"/>
  <c r="W19" i="1691"/>
  <c r="V19" i="1691"/>
  <c r="U19" i="1691"/>
  <c r="T19" i="1691"/>
  <c r="P19" i="1691"/>
  <c r="O19" i="1691"/>
  <c r="N19" i="1691"/>
  <c r="M19" i="1691"/>
  <c r="L19" i="1691"/>
  <c r="K19" i="1691"/>
  <c r="J19" i="1691"/>
  <c r="I19" i="1691"/>
  <c r="H19" i="1691"/>
  <c r="G19" i="1691"/>
  <c r="F19" i="1691"/>
  <c r="E19" i="1691"/>
  <c r="D19" i="1691"/>
  <c r="C19" i="1691"/>
  <c r="Y18" i="1691"/>
  <c r="W18" i="1691"/>
  <c r="V18" i="1691"/>
  <c r="U18" i="1691"/>
  <c r="T18" i="1691"/>
  <c r="P18" i="1691"/>
  <c r="O18" i="1691"/>
  <c r="N18" i="1691"/>
  <c r="M18" i="1691"/>
  <c r="L18" i="1691"/>
  <c r="K18" i="1691"/>
  <c r="J18" i="1691"/>
  <c r="I18" i="1691"/>
  <c r="H18" i="1691"/>
  <c r="G18" i="1691"/>
  <c r="F18" i="1691"/>
  <c r="E18" i="1691"/>
  <c r="D18" i="1691"/>
  <c r="C18" i="1691"/>
  <c r="Y4" i="1691"/>
  <c r="W4" i="1691"/>
  <c r="V4" i="1691"/>
  <c r="U4" i="1691"/>
  <c r="T4" i="1691"/>
  <c r="P4" i="1691"/>
  <c r="O4" i="1691"/>
  <c r="N4" i="1691"/>
  <c r="M4" i="1691"/>
  <c r="L4" i="1691"/>
  <c r="K4" i="1691"/>
  <c r="J4" i="1691"/>
  <c r="I4" i="1691"/>
  <c r="H4" i="1691"/>
  <c r="G4" i="1691"/>
  <c r="F4" i="1691"/>
  <c r="E4" i="1691"/>
  <c r="D4" i="1691"/>
  <c r="C4" i="1691"/>
  <c r="Y3" i="1691"/>
  <c r="W3" i="1691"/>
  <c r="V3" i="1691"/>
  <c r="U3" i="1691"/>
  <c r="T3" i="1691"/>
  <c r="P3" i="1691"/>
  <c r="O3" i="1691"/>
  <c r="N3" i="1691"/>
  <c r="M3" i="1691"/>
  <c r="L3" i="1691"/>
  <c r="K3" i="1691"/>
  <c r="J3" i="1691"/>
  <c r="I3" i="1691"/>
  <c r="H3" i="1691"/>
  <c r="G3" i="1691"/>
  <c r="F3" i="1691"/>
  <c r="E3" i="1691"/>
  <c r="D3" i="1691"/>
  <c r="C3" i="1691"/>
  <c r="F21" i="1690"/>
  <c r="Y19" i="1690"/>
  <c r="W19" i="1690"/>
  <c r="V19" i="1690"/>
  <c r="U19" i="1690"/>
  <c r="T19" i="1690"/>
  <c r="P19" i="1690"/>
  <c r="O19" i="1690"/>
  <c r="N19" i="1690"/>
  <c r="M19" i="1690"/>
  <c r="L19" i="1690"/>
  <c r="K19" i="1690"/>
  <c r="J19" i="1690"/>
  <c r="I19" i="1690"/>
  <c r="H19" i="1690"/>
  <c r="G19" i="1690"/>
  <c r="F19" i="1690"/>
  <c r="E19" i="1690"/>
  <c r="D19" i="1690"/>
  <c r="C19" i="1690"/>
  <c r="Y18" i="1690"/>
  <c r="W18" i="1690"/>
  <c r="V18" i="1690"/>
  <c r="U18" i="1690"/>
  <c r="T18" i="1690"/>
  <c r="P18" i="1690"/>
  <c r="O18" i="1690"/>
  <c r="N18" i="1690"/>
  <c r="M18" i="1690"/>
  <c r="L18" i="1690"/>
  <c r="K18" i="1690"/>
  <c r="J18" i="1690"/>
  <c r="I18" i="1690"/>
  <c r="H18" i="1690"/>
  <c r="G18" i="1690"/>
  <c r="F18" i="1690"/>
  <c r="E18" i="1690"/>
  <c r="D18" i="1690"/>
  <c r="C18" i="1690"/>
  <c r="Y4" i="1690"/>
  <c r="W4" i="1690"/>
  <c r="V4" i="1690"/>
  <c r="U4" i="1690"/>
  <c r="T4" i="1690"/>
  <c r="P4" i="1690"/>
  <c r="O4" i="1690"/>
  <c r="N4" i="1690"/>
  <c r="M4" i="1690"/>
  <c r="L4" i="1690"/>
  <c r="K4" i="1690"/>
  <c r="J4" i="1690"/>
  <c r="I4" i="1690"/>
  <c r="H4" i="1690"/>
  <c r="G4" i="1690"/>
  <c r="F4" i="1690"/>
  <c r="E4" i="1690"/>
  <c r="D4" i="1690"/>
  <c r="C4" i="1690"/>
  <c r="Y3" i="1690"/>
  <c r="W3" i="1690"/>
  <c r="V3" i="1690"/>
  <c r="U3" i="1690"/>
  <c r="T3" i="1690"/>
  <c r="P3" i="1690"/>
  <c r="O3" i="1690"/>
  <c r="N3" i="1690"/>
  <c r="M3" i="1690"/>
  <c r="L3" i="1690"/>
  <c r="K3" i="1690"/>
  <c r="J3" i="1690"/>
  <c r="I3" i="1690"/>
  <c r="H3" i="1690"/>
  <c r="G3" i="1690"/>
  <c r="F3" i="1690"/>
  <c r="E3" i="1690"/>
  <c r="D3" i="1690"/>
  <c r="C3" i="1690"/>
  <c r="C44" i="1684" l="1"/>
  <c r="C44" i="1683"/>
  <c r="C44" i="1685" l="1"/>
  <c r="C44" i="1679" l="1"/>
  <c r="C44" i="1681"/>
  <c r="C44" i="1675" l="1"/>
  <c r="C44" i="1676"/>
  <c r="C44" i="1673" l="1"/>
  <c r="C44" i="1672"/>
  <c r="C44" i="1671"/>
  <c r="C44" i="1667" l="1"/>
  <c r="C44" i="1666"/>
  <c r="C45" i="1665"/>
  <c r="C44" i="1665"/>
  <c r="C45" i="1662" l="1"/>
  <c r="C44" i="1662"/>
  <c r="C44" i="1663"/>
  <c r="C44" i="1657" l="1"/>
  <c r="C44" i="1658"/>
  <c r="C45" i="1659"/>
  <c r="C44" i="1659"/>
  <c r="F21" i="1689" l="1"/>
  <c r="Y19" i="1689"/>
  <c r="W19" i="1689"/>
  <c r="V19" i="1689"/>
  <c r="U19" i="1689"/>
  <c r="T19" i="1689"/>
  <c r="P19" i="1689"/>
  <c r="O19" i="1689"/>
  <c r="N19" i="1689"/>
  <c r="M19" i="1689"/>
  <c r="L19" i="1689"/>
  <c r="K19" i="1689"/>
  <c r="J19" i="1689"/>
  <c r="I19" i="1689"/>
  <c r="H19" i="1689"/>
  <c r="G19" i="1689"/>
  <c r="F19" i="1689"/>
  <c r="E19" i="1689"/>
  <c r="D19" i="1689"/>
  <c r="C19" i="1689"/>
  <c r="Y18" i="1689"/>
  <c r="W18" i="1689"/>
  <c r="V18" i="1689"/>
  <c r="U18" i="1689"/>
  <c r="T18" i="1689"/>
  <c r="P18" i="1689"/>
  <c r="O18" i="1689"/>
  <c r="N18" i="1689"/>
  <c r="M18" i="1689"/>
  <c r="L18" i="1689"/>
  <c r="K18" i="1689"/>
  <c r="J18" i="1689"/>
  <c r="I18" i="1689"/>
  <c r="H18" i="1689"/>
  <c r="G18" i="1689"/>
  <c r="F18" i="1689"/>
  <c r="E18" i="1689"/>
  <c r="D18" i="1689"/>
  <c r="C18" i="1689"/>
  <c r="Y4" i="1689"/>
  <c r="W4" i="1689"/>
  <c r="V4" i="1689"/>
  <c r="U4" i="1689"/>
  <c r="T4" i="1689"/>
  <c r="P4" i="1689"/>
  <c r="O4" i="1689"/>
  <c r="N4" i="1689"/>
  <c r="M4" i="1689"/>
  <c r="L4" i="1689"/>
  <c r="K4" i="1689"/>
  <c r="J4" i="1689"/>
  <c r="I4" i="1689"/>
  <c r="H4" i="1689"/>
  <c r="G4" i="1689"/>
  <c r="F4" i="1689"/>
  <c r="E4" i="1689"/>
  <c r="D4" i="1689"/>
  <c r="C4" i="1689"/>
  <c r="Y3" i="1689"/>
  <c r="W3" i="1689"/>
  <c r="V3" i="1689"/>
  <c r="U3" i="1689"/>
  <c r="T3" i="1689"/>
  <c r="P3" i="1689"/>
  <c r="O3" i="1689"/>
  <c r="N3" i="1689"/>
  <c r="M3" i="1689"/>
  <c r="L3" i="1689"/>
  <c r="K3" i="1689"/>
  <c r="J3" i="1689"/>
  <c r="I3" i="1689"/>
  <c r="H3" i="1689"/>
  <c r="G3" i="1689"/>
  <c r="F3" i="1689"/>
  <c r="E3" i="1689"/>
  <c r="D3" i="1689"/>
  <c r="C3" i="1689"/>
  <c r="F21" i="1688"/>
  <c r="Y19" i="1688"/>
  <c r="W19" i="1688"/>
  <c r="V19" i="1688"/>
  <c r="U19" i="1688"/>
  <c r="T19" i="1688"/>
  <c r="P19" i="1688"/>
  <c r="O19" i="1688"/>
  <c r="N19" i="1688"/>
  <c r="M19" i="1688"/>
  <c r="L19" i="1688"/>
  <c r="K19" i="1688"/>
  <c r="J19" i="1688"/>
  <c r="I19" i="1688"/>
  <c r="H19" i="1688"/>
  <c r="G19" i="1688"/>
  <c r="F19" i="1688"/>
  <c r="E19" i="1688"/>
  <c r="D19" i="1688"/>
  <c r="C19" i="1688"/>
  <c r="Y18" i="1688"/>
  <c r="W18" i="1688"/>
  <c r="V18" i="1688"/>
  <c r="U18" i="1688"/>
  <c r="T18" i="1688"/>
  <c r="P18" i="1688"/>
  <c r="O18" i="1688"/>
  <c r="N18" i="1688"/>
  <c r="M18" i="1688"/>
  <c r="L18" i="1688"/>
  <c r="K18" i="1688"/>
  <c r="J18" i="1688"/>
  <c r="I18" i="1688"/>
  <c r="H18" i="1688"/>
  <c r="G18" i="1688"/>
  <c r="F18" i="1688"/>
  <c r="E18" i="1688"/>
  <c r="D18" i="1688"/>
  <c r="C18" i="1688"/>
  <c r="Y4" i="1688"/>
  <c r="W4" i="1688"/>
  <c r="V4" i="1688"/>
  <c r="U4" i="1688"/>
  <c r="T4" i="1688"/>
  <c r="P4" i="1688"/>
  <c r="O4" i="1688"/>
  <c r="N4" i="1688"/>
  <c r="M4" i="1688"/>
  <c r="L4" i="1688"/>
  <c r="K4" i="1688"/>
  <c r="J4" i="1688"/>
  <c r="I4" i="1688"/>
  <c r="H4" i="1688"/>
  <c r="G4" i="1688"/>
  <c r="F4" i="1688"/>
  <c r="E4" i="1688"/>
  <c r="D4" i="1688"/>
  <c r="C4" i="1688"/>
  <c r="Y3" i="1688"/>
  <c r="W3" i="1688"/>
  <c r="V3" i="1688"/>
  <c r="U3" i="1688"/>
  <c r="T3" i="1688"/>
  <c r="P3" i="1688"/>
  <c r="O3" i="1688"/>
  <c r="N3" i="1688"/>
  <c r="M3" i="1688"/>
  <c r="L3" i="1688"/>
  <c r="K3" i="1688"/>
  <c r="J3" i="1688"/>
  <c r="I3" i="1688"/>
  <c r="H3" i="1688"/>
  <c r="G3" i="1688"/>
  <c r="F3" i="1688"/>
  <c r="E3" i="1688"/>
  <c r="D3" i="1688"/>
  <c r="C3" i="1688"/>
  <c r="F21" i="1687"/>
  <c r="Y19" i="1687"/>
  <c r="W19" i="1687"/>
  <c r="V19" i="1687"/>
  <c r="U19" i="1687"/>
  <c r="T19" i="1687"/>
  <c r="P19" i="1687"/>
  <c r="O19" i="1687"/>
  <c r="N19" i="1687"/>
  <c r="M19" i="1687"/>
  <c r="L19" i="1687"/>
  <c r="K19" i="1687"/>
  <c r="J19" i="1687"/>
  <c r="I19" i="1687"/>
  <c r="H19" i="1687"/>
  <c r="G19" i="1687"/>
  <c r="F19" i="1687"/>
  <c r="E19" i="1687"/>
  <c r="D19" i="1687"/>
  <c r="C19" i="1687"/>
  <c r="Y18" i="1687"/>
  <c r="W18" i="1687"/>
  <c r="V18" i="1687"/>
  <c r="U18" i="1687"/>
  <c r="T18" i="1687"/>
  <c r="P18" i="1687"/>
  <c r="O18" i="1687"/>
  <c r="N18" i="1687"/>
  <c r="M18" i="1687"/>
  <c r="L18" i="1687"/>
  <c r="K18" i="1687"/>
  <c r="J18" i="1687"/>
  <c r="I18" i="1687"/>
  <c r="H18" i="1687"/>
  <c r="G18" i="1687"/>
  <c r="F18" i="1687"/>
  <c r="E18" i="1687"/>
  <c r="D18" i="1687"/>
  <c r="C18" i="1687"/>
  <c r="Y4" i="1687"/>
  <c r="W4" i="1687"/>
  <c r="V4" i="1687"/>
  <c r="U4" i="1687"/>
  <c r="T4" i="1687"/>
  <c r="P4" i="1687"/>
  <c r="O4" i="1687"/>
  <c r="N4" i="1687"/>
  <c r="M4" i="1687"/>
  <c r="L4" i="1687"/>
  <c r="K4" i="1687"/>
  <c r="J4" i="1687"/>
  <c r="I4" i="1687"/>
  <c r="H4" i="1687"/>
  <c r="G4" i="1687"/>
  <c r="F4" i="1687"/>
  <c r="E4" i="1687"/>
  <c r="D4" i="1687"/>
  <c r="C4" i="1687"/>
  <c r="Y3" i="1687"/>
  <c r="W3" i="1687"/>
  <c r="V3" i="1687"/>
  <c r="U3" i="1687"/>
  <c r="T3" i="1687"/>
  <c r="P3" i="1687"/>
  <c r="O3" i="1687"/>
  <c r="N3" i="1687"/>
  <c r="M3" i="1687"/>
  <c r="L3" i="1687"/>
  <c r="K3" i="1687"/>
  <c r="J3" i="1687"/>
  <c r="I3" i="1687"/>
  <c r="H3" i="1687"/>
  <c r="G3" i="1687"/>
  <c r="F3" i="1687"/>
  <c r="E3" i="1687"/>
  <c r="D3" i="1687"/>
  <c r="C3" i="1687"/>
  <c r="F21" i="1686"/>
  <c r="Y19" i="1686"/>
  <c r="W19" i="1686"/>
  <c r="V19" i="1686"/>
  <c r="U19" i="1686"/>
  <c r="T19" i="1686"/>
  <c r="P19" i="1686"/>
  <c r="O19" i="1686"/>
  <c r="N19" i="1686"/>
  <c r="M19" i="1686"/>
  <c r="L19" i="1686"/>
  <c r="K19" i="1686"/>
  <c r="J19" i="1686"/>
  <c r="I19" i="1686"/>
  <c r="H19" i="1686"/>
  <c r="G19" i="1686"/>
  <c r="F19" i="1686"/>
  <c r="E19" i="1686"/>
  <c r="D19" i="1686"/>
  <c r="C19" i="1686"/>
  <c r="Y18" i="1686"/>
  <c r="W18" i="1686"/>
  <c r="V18" i="1686"/>
  <c r="U18" i="1686"/>
  <c r="T18" i="1686"/>
  <c r="P18" i="1686"/>
  <c r="O18" i="1686"/>
  <c r="N18" i="1686"/>
  <c r="M18" i="1686"/>
  <c r="L18" i="1686"/>
  <c r="K18" i="1686"/>
  <c r="J18" i="1686"/>
  <c r="I18" i="1686"/>
  <c r="H18" i="1686"/>
  <c r="G18" i="1686"/>
  <c r="F18" i="1686"/>
  <c r="E18" i="1686"/>
  <c r="D18" i="1686"/>
  <c r="C18" i="1686"/>
  <c r="Y4" i="1686"/>
  <c r="W4" i="1686"/>
  <c r="V4" i="1686"/>
  <c r="U4" i="1686"/>
  <c r="T4" i="1686"/>
  <c r="P4" i="1686"/>
  <c r="O4" i="1686"/>
  <c r="N4" i="1686"/>
  <c r="M4" i="1686"/>
  <c r="L4" i="1686"/>
  <c r="K4" i="1686"/>
  <c r="J4" i="1686"/>
  <c r="I4" i="1686"/>
  <c r="H4" i="1686"/>
  <c r="G4" i="1686"/>
  <c r="F4" i="1686"/>
  <c r="E4" i="1686"/>
  <c r="D4" i="1686"/>
  <c r="C4" i="1686"/>
  <c r="Y3" i="1686"/>
  <c r="W3" i="1686"/>
  <c r="V3" i="1686"/>
  <c r="U3" i="1686"/>
  <c r="T3" i="1686"/>
  <c r="P3" i="1686"/>
  <c r="O3" i="1686"/>
  <c r="N3" i="1686"/>
  <c r="M3" i="1686"/>
  <c r="L3" i="1686"/>
  <c r="K3" i="1686"/>
  <c r="J3" i="1686"/>
  <c r="I3" i="1686"/>
  <c r="H3" i="1686"/>
  <c r="G3" i="1686"/>
  <c r="F3" i="1686"/>
  <c r="E3" i="1686"/>
  <c r="D3" i="1686"/>
  <c r="C3" i="1686"/>
  <c r="F21" i="1685"/>
  <c r="Y19" i="1685"/>
  <c r="W19" i="1685"/>
  <c r="V19" i="1685"/>
  <c r="U19" i="1685"/>
  <c r="T19" i="1685"/>
  <c r="P19" i="1685"/>
  <c r="O19" i="1685"/>
  <c r="N19" i="1685"/>
  <c r="M19" i="1685"/>
  <c r="L19" i="1685"/>
  <c r="K19" i="1685"/>
  <c r="J19" i="1685"/>
  <c r="I19" i="1685"/>
  <c r="H19" i="1685"/>
  <c r="G19" i="1685"/>
  <c r="F19" i="1685"/>
  <c r="E19" i="1685"/>
  <c r="D19" i="1685"/>
  <c r="C19" i="1685"/>
  <c r="Y18" i="1685"/>
  <c r="W18" i="1685"/>
  <c r="V18" i="1685"/>
  <c r="U18" i="1685"/>
  <c r="T18" i="1685"/>
  <c r="P18" i="1685"/>
  <c r="O18" i="1685"/>
  <c r="N18" i="1685"/>
  <c r="M18" i="1685"/>
  <c r="L18" i="1685"/>
  <c r="K18" i="1685"/>
  <c r="J18" i="1685"/>
  <c r="I18" i="1685"/>
  <c r="H18" i="1685"/>
  <c r="G18" i="1685"/>
  <c r="F18" i="1685"/>
  <c r="E18" i="1685"/>
  <c r="D18" i="1685"/>
  <c r="C18" i="1685"/>
  <c r="Y4" i="1685"/>
  <c r="W4" i="1685"/>
  <c r="V4" i="1685"/>
  <c r="U4" i="1685"/>
  <c r="T4" i="1685"/>
  <c r="P4" i="1685"/>
  <c r="O4" i="1685"/>
  <c r="N4" i="1685"/>
  <c r="M4" i="1685"/>
  <c r="L4" i="1685"/>
  <c r="K4" i="1685"/>
  <c r="J4" i="1685"/>
  <c r="I4" i="1685"/>
  <c r="H4" i="1685"/>
  <c r="G4" i="1685"/>
  <c r="F4" i="1685"/>
  <c r="E4" i="1685"/>
  <c r="D4" i="1685"/>
  <c r="C4" i="1685"/>
  <c r="Y3" i="1685"/>
  <c r="W3" i="1685"/>
  <c r="V3" i="1685"/>
  <c r="U3" i="1685"/>
  <c r="T3" i="1685"/>
  <c r="P3" i="1685"/>
  <c r="O3" i="1685"/>
  <c r="N3" i="1685"/>
  <c r="M3" i="1685"/>
  <c r="L3" i="1685"/>
  <c r="K3" i="1685"/>
  <c r="J3" i="1685"/>
  <c r="I3" i="1685"/>
  <c r="H3" i="1685"/>
  <c r="G3" i="1685"/>
  <c r="F3" i="1685"/>
  <c r="E3" i="1685"/>
  <c r="D3" i="1685"/>
  <c r="C3" i="1685"/>
  <c r="F21" i="1684"/>
  <c r="Y19" i="1684"/>
  <c r="W19" i="1684"/>
  <c r="V19" i="1684"/>
  <c r="U19" i="1684"/>
  <c r="T19" i="1684"/>
  <c r="P19" i="1684"/>
  <c r="O19" i="1684"/>
  <c r="N19" i="1684"/>
  <c r="M19" i="1684"/>
  <c r="L19" i="1684"/>
  <c r="K19" i="1684"/>
  <c r="J19" i="1684"/>
  <c r="I19" i="1684"/>
  <c r="H19" i="1684"/>
  <c r="G19" i="1684"/>
  <c r="F19" i="1684"/>
  <c r="E19" i="1684"/>
  <c r="D19" i="1684"/>
  <c r="C19" i="1684"/>
  <c r="Y18" i="1684"/>
  <c r="W18" i="1684"/>
  <c r="V18" i="1684"/>
  <c r="U18" i="1684"/>
  <c r="T18" i="1684"/>
  <c r="P18" i="1684"/>
  <c r="O18" i="1684"/>
  <c r="N18" i="1684"/>
  <c r="M18" i="1684"/>
  <c r="L18" i="1684"/>
  <c r="K18" i="1684"/>
  <c r="J18" i="1684"/>
  <c r="I18" i="1684"/>
  <c r="H18" i="1684"/>
  <c r="G18" i="1684"/>
  <c r="F18" i="1684"/>
  <c r="E18" i="1684"/>
  <c r="D18" i="1684"/>
  <c r="C18" i="1684"/>
  <c r="Y4" i="1684"/>
  <c r="W4" i="1684"/>
  <c r="V4" i="1684"/>
  <c r="U4" i="1684"/>
  <c r="T4" i="1684"/>
  <c r="P4" i="1684"/>
  <c r="O4" i="1684"/>
  <c r="N4" i="1684"/>
  <c r="M4" i="1684"/>
  <c r="L4" i="1684"/>
  <c r="K4" i="1684"/>
  <c r="J4" i="1684"/>
  <c r="I4" i="1684"/>
  <c r="H4" i="1684"/>
  <c r="G4" i="1684"/>
  <c r="F4" i="1684"/>
  <c r="E4" i="1684"/>
  <c r="D4" i="1684"/>
  <c r="C4" i="1684"/>
  <c r="Y3" i="1684"/>
  <c r="W3" i="1684"/>
  <c r="V3" i="1684"/>
  <c r="U3" i="1684"/>
  <c r="T3" i="1684"/>
  <c r="P3" i="1684"/>
  <c r="O3" i="1684"/>
  <c r="N3" i="1684"/>
  <c r="M3" i="1684"/>
  <c r="L3" i="1684"/>
  <c r="K3" i="1684"/>
  <c r="J3" i="1684"/>
  <c r="I3" i="1684"/>
  <c r="H3" i="1684"/>
  <c r="G3" i="1684"/>
  <c r="F3" i="1684"/>
  <c r="E3" i="1684"/>
  <c r="D3" i="1684"/>
  <c r="C3" i="1684"/>
  <c r="F21" i="1683"/>
  <c r="Y19" i="1683"/>
  <c r="W19" i="1683"/>
  <c r="V19" i="1683"/>
  <c r="U19" i="1683"/>
  <c r="T19" i="1683"/>
  <c r="P19" i="1683"/>
  <c r="O19" i="1683"/>
  <c r="N19" i="1683"/>
  <c r="M19" i="1683"/>
  <c r="L19" i="1683"/>
  <c r="K19" i="1683"/>
  <c r="J19" i="1683"/>
  <c r="I19" i="1683"/>
  <c r="H19" i="1683"/>
  <c r="G19" i="1683"/>
  <c r="F19" i="1683"/>
  <c r="E19" i="1683"/>
  <c r="D19" i="1683"/>
  <c r="C19" i="1683"/>
  <c r="Y18" i="1683"/>
  <c r="W18" i="1683"/>
  <c r="V18" i="1683"/>
  <c r="U18" i="1683"/>
  <c r="T18" i="1683"/>
  <c r="P18" i="1683"/>
  <c r="O18" i="1683"/>
  <c r="N18" i="1683"/>
  <c r="M18" i="1683"/>
  <c r="L18" i="1683"/>
  <c r="K18" i="1683"/>
  <c r="J18" i="1683"/>
  <c r="I18" i="1683"/>
  <c r="H18" i="1683"/>
  <c r="G18" i="1683"/>
  <c r="F18" i="1683"/>
  <c r="E18" i="1683"/>
  <c r="D18" i="1683"/>
  <c r="C18" i="1683"/>
  <c r="Y4" i="1683"/>
  <c r="W4" i="1683"/>
  <c r="V4" i="1683"/>
  <c r="U4" i="1683"/>
  <c r="T4" i="1683"/>
  <c r="P4" i="1683"/>
  <c r="O4" i="1683"/>
  <c r="N4" i="1683"/>
  <c r="M4" i="1683"/>
  <c r="L4" i="1683"/>
  <c r="K4" i="1683"/>
  <c r="J4" i="1683"/>
  <c r="I4" i="1683"/>
  <c r="H4" i="1683"/>
  <c r="G4" i="1683"/>
  <c r="F4" i="1683"/>
  <c r="E4" i="1683"/>
  <c r="D4" i="1683"/>
  <c r="C4" i="1683"/>
  <c r="Y3" i="1683"/>
  <c r="W3" i="1683"/>
  <c r="V3" i="1683"/>
  <c r="U3" i="1683"/>
  <c r="T3" i="1683"/>
  <c r="P3" i="1683"/>
  <c r="O3" i="1683"/>
  <c r="N3" i="1683"/>
  <c r="M3" i="1683"/>
  <c r="L3" i="1683"/>
  <c r="K3" i="1683"/>
  <c r="J3" i="1683"/>
  <c r="I3" i="1683"/>
  <c r="H3" i="1683"/>
  <c r="G3" i="1683"/>
  <c r="F3" i="1683"/>
  <c r="E3" i="1683"/>
  <c r="D3" i="1683"/>
  <c r="C3" i="1683"/>
  <c r="F21" i="1682"/>
  <c r="Y19" i="1682"/>
  <c r="W19" i="1682"/>
  <c r="V19" i="1682"/>
  <c r="U19" i="1682"/>
  <c r="T19" i="1682"/>
  <c r="P19" i="1682"/>
  <c r="O19" i="1682"/>
  <c r="N19" i="1682"/>
  <c r="M19" i="1682"/>
  <c r="L19" i="1682"/>
  <c r="K19" i="1682"/>
  <c r="J19" i="1682"/>
  <c r="I19" i="1682"/>
  <c r="H19" i="1682"/>
  <c r="G19" i="1682"/>
  <c r="F19" i="1682"/>
  <c r="E19" i="1682"/>
  <c r="D19" i="1682"/>
  <c r="C19" i="1682"/>
  <c r="Y18" i="1682"/>
  <c r="W18" i="1682"/>
  <c r="V18" i="1682"/>
  <c r="U18" i="1682"/>
  <c r="T18" i="1682"/>
  <c r="P18" i="1682"/>
  <c r="O18" i="1682"/>
  <c r="N18" i="1682"/>
  <c r="M18" i="1682"/>
  <c r="L18" i="1682"/>
  <c r="K18" i="1682"/>
  <c r="J18" i="1682"/>
  <c r="I18" i="1682"/>
  <c r="H18" i="1682"/>
  <c r="G18" i="1682"/>
  <c r="F18" i="1682"/>
  <c r="E18" i="1682"/>
  <c r="D18" i="1682"/>
  <c r="C18" i="1682"/>
  <c r="Y4" i="1682"/>
  <c r="W4" i="1682"/>
  <c r="V4" i="1682"/>
  <c r="U4" i="1682"/>
  <c r="T4" i="1682"/>
  <c r="P4" i="1682"/>
  <c r="O4" i="1682"/>
  <c r="N4" i="1682"/>
  <c r="M4" i="1682"/>
  <c r="L4" i="1682"/>
  <c r="K4" i="1682"/>
  <c r="J4" i="1682"/>
  <c r="I4" i="1682"/>
  <c r="H4" i="1682"/>
  <c r="G4" i="1682"/>
  <c r="F4" i="1682"/>
  <c r="E4" i="1682"/>
  <c r="D4" i="1682"/>
  <c r="C4" i="1682"/>
  <c r="Y3" i="1682"/>
  <c r="W3" i="1682"/>
  <c r="V3" i="1682"/>
  <c r="U3" i="1682"/>
  <c r="T3" i="1682"/>
  <c r="P3" i="1682"/>
  <c r="O3" i="1682"/>
  <c r="N3" i="1682"/>
  <c r="M3" i="1682"/>
  <c r="L3" i="1682"/>
  <c r="K3" i="1682"/>
  <c r="J3" i="1682"/>
  <c r="I3" i="1682"/>
  <c r="H3" i="1682"/>
  <c r="G3" i="1682"/>
  <c r="F3" i="1682"/>
  <c r="E3" i="1682"/>
  <c r="D3" i="1682"/>
  <c r="C3" i="1682"/>
  <c r="F21" i="1681"/>
  <c r="Y19" i="1681"/>
  <c r="W19" i="1681"/>
  <c r="V19" i="1681"/>
  <c r="U19" i="1681"/>
  <c r="T19" i="1681"/>
  <c r="P19" i="1681"/>
  <c r="O19" i="1681"/>
  <c r="N19" i="1681"/>
  <c r="M19" i="1681"/>
  <c r="L19" i="1681"/>
  <c r="K19" i="1681"/>
  <c r="J19" i="1681"/>
  <c r="I19" i="1681"/>
  <c r="H19" i="1681"/>
  <c r="G19" i="1681"/>
  <c r="F19" i="1681"/>
  <c r="E19" i="1681"/>
  <c r="D19" i="1681"/>
  <c r="C19" i="1681"/>
  <c r="Y18" i="1681"/>
  <c r="W18" i="1681"/>
  <c r="V18" i="1681"/>
  <c r="U18" i="1681"/>
  <c r="T18" i="1681"/>
  <c r="P18" i="1681"/>
  <c r="O18" i="1681"/>
  <c r="N18" i="1681"/>
  <c r="M18" i="1681"/>
  <c r="L18" i="1681"/>
  <c r="K18" i="1681"/>
  <c r="J18" i="1681"/>
  <c r="I18" i="1681"/>
  <c r="H18" i="1681"/>
  <c r="G18" i="1681"/>
  <c r="F18" i="1681"/>
  <c r="E18" i="1681"/>
  <c r="D18" i="1681"/>
  <c r="C18" i="1681"/>
  <c r="Y4" i="1681"/>
  <c r="W4" i="1681"/>
  <c r="V4" i="1681"/>
  <c r="U4" i="1681"/>
  <c r="T4" i="1681"/>
  <c r="P4" i="1681"/>
  <c r="O4" i="1681"/>
  <c r="N4" i="1681"/>
  <c r="M4" i="1681"/>
  <c r="L4" i="1681"/>
  <c r="K4" i="1681"/>
  <c r="J4" i="1681"/>
  <c r="I4" i="1681"/>
  <c r="H4" i="1681"/>
  <c r="G4" i="1681"/>
  <c r="F4" i="1681"/>
  <c r="E4" i="1681"/>
  <c r="D4" i="1681"/>
  <c r="C4" i="1681"/>
  <c r="Y3" i="1681"/>
  <c r="W3" i="1681"/>
  <c r="V3" i="1681"/>
  <c r="U3" i="1681"/>
  <c r="T3" i="1681"/>
  <c r="P3" i="1681"/>
  <c r="O3" i="1681"/>
  <c r="N3" i="1681"/>
  <c r="M3" i="1681"/>
  <c r="L3" i="1681"/>
  <c r="K3" i="1681"/>
  <c r="J3" i="1681"/>
  <c r="I3" i="1681"/>
  <c r="H3" i="1681"/>
  <c r="G3" i="1681"/>
  <c r="F3" i="1681"/>
  <c r="E3" i="1681"/>
  <c r="D3" i="1681"/>
  <c r="C3" i="1681"/>
  <c r="F21" i="1680"/>
  <c r="Y19" i="1680"/>
  <c r="W19" i="1680"/>
  <c r="V19" i="1680"/>
  <c r="U19" i="1680"/>
  <c r="T19" i="1680"/>
  <c r="P19" i="1680"/>
  <c r="O19" i="1680"/>
  <c r="N19" i="1680"/>
  <c r="M19" i="1680"/>
  <c r="L19" i="1680"/>
  <c r="K19" i="1680"/>
  <c r="J19" i="1680"/>
  <c r="I19" i="1680"/>
  <c r="H19" i="1680"/>
  <c r="G19" i="1680"/>
  <c r="F19" i="1680"/>
  <c r="E19" i="1680"/>
  <c r="D19" i="1680"/>
  <c r="C19" i="1680"/>
  <c r="Y18" i="1680"/>
  <c r="W18" i="1680"/>
  <c r="V18" i="1680"/>
  <c r="U18" i="1680"/>
  <c r="T18" i="1680"/>
  <c r="P18" i="1680"/>
  <c r="O18" i="1680"/>
  <c r="N18" i="1680"/>
  <c r="M18" i="1680"/>
  <c r="L18" i="1680"/>
  <c r="K18" i="1680"/>
  <c r="J18" i="1680"/>
  <c r="I18" i="1680"/>
  <c r="H18" i="1680"/>
  <c r="G18" i="1680"/>
  <c r="F18" i="1680"/>
  <c r="E18" i="1680"/>
  <c r="D18" i="1680"/>
  <c r="C18" i="1680"/>
  <c r="Y4" i="1680"/>
  <c r="W4" i="1680"/>
  <c r="V4" i="1680"/>
  <c r="U4" i="1680"/>
  <c r="T4" i="1680"/>
  <c r="P4" i="1680"/>
  <c r="O4" i="1680"/>
  <c r="N4" i="1680"/>
  <c r="M4" i="1680"/>
  <c r="L4" i="1680"/>
  <c r="K4" i="1680"/>
  <c r="J4" i="1680"/>
  <c r="I4" i="1680"/>
  <c r="H4" i="1680"/>
  <c r="G4" i="1680"/>
  <c r="F4" i="1680"/>
  <c r="E4" i="1680"/>
  <c r="D4" i="1680"/>
  <c r="C4" i="1680"/>
  <c r="Y3" i="1680"/>
  <c r="W3" i="1680"/>
  <c r="V3" i="1680"/>
  <c r="U3" i="1680"/>
  <c r="T3" i="1680"/>
  <c r="P3" i="1680"/>
  <c r="O3" i="1680"/>
  <c r="N3" i="1680"/>
  <c r="M3" i="1680"/>
  <c r="L3" i="1680"/>
  <c r="K3" i="1680"/>
  <c r="J3" i="1680"/>
  <c r="I3" i="1680"/>
  <c r="H3" i="1680"/>
  <c r="G3" i="1680"/>
  <c r="F3" i="1680"/>
  <c r="E3" i="1680"/>
  <c r="D3" i="1680"/>
  <c r="C3" i="1680"/>
  <c r="F21" i="1679"/>
  <c r="Y19" i="1679"/>
  <c r="W19" i="1679"/>
  <c r="V19" i="1679"/>
  <c r="U19" i="1679"/>
  <c r="T19" i="1679"/>
  <c r="P19" i="1679"/>
  <c r="O19" i="1679"/>
  <c r="N19" i="1679"/>
  <c r="M19" i="1679"/>
  <c r="L19" i="1679"/>
  <c r="K19" i="1679"/>
  <c r="J19" i="1679"/>
  <c r="I19" i="1679"/>
  <c r="H19" i="1679"/>
  <c r="G19" i="1679"/>
  <c r="F19" i="1679"/>
  <c r="E19" i="1679"/>
  <c r="D19" i="1679"/>
  <c r="C19" i="1679"/>
  <c r="Y18" i="1679"/>
  <c r="W18" i="1679"/>
  <c r="V18" i="1679"/>
  <c r="U18" i="1679"/>
  <c r="T18" i="1679"/>
  <c r="P18" i="1679"/>
  <c r="O18" i="1679"/>
  <c r="N18" i="1679"/>
  <c r="M18" i="1679"/>
  <c r="L18" i="1679"/>
  <c r="K18" i="1679"/>
  <c r="J18" i="1679"/>
  <c r="I18" i="1679"/>
  <c r="H18" i="1679"/>
  <c r="G18" i="1679"/>
  <c r="F18" i="1679"/>
  <c r="E18" i="1679"/>
  <c r="D18" i="1679"/>
  <c r="C18" i="1679"/>
  <c r="Y4" i="1679"/>
  <c r="W4" i="1679"/>
  <c r="V4" i="1679"/>
  <c r="U4" i="1679"/>
  <c r="T4" i="1679"/>
  <c r="P4" i="1679"/>
  <c r="O4" i="1679"/>
  <c r="N4" i="1679"/>
  <c r="M4" i="1679"/>
  <c r="L4" i="1679"/>
  <c r="K4" i="1679"/>
  <c r="J4" i="1679"/>
  <c r="I4" i="1679"/>
  <c r="H4" i="1679"/>
  <c r="G4" i="1679"/>
  <c r="F4" i="1679"/>
  <c r="E4" i="1679"/>
  <c r="D4" i="1679"/>
  <c r="C4" i="1679"/>
  <c r="Y3" i="1679"/>
  <c r="W3" i="1679"/>
  <c r="V3" i="1679"/>
  <c r="U3" i="1679"/>
  <c r="T3" i="1679"/>
  <c r="P3" i="1679"/>
  <c r="O3" i="1679"/>
  <c r="N3" i="1679"/>
  <c r="M3" i="1679"/>
  <c r="L3" i="1679"/>
  <c r="K3" i="1679"/>
  <c r="J3" i="1679"/>
  <c r="I3" i="1679"/>
  <c r="H3" i="1679"/>
  <c r="G3" i="1679"/>
  <c r="F3" i="1679"/>
  <c r="E3" i="1679"/>
  <c r="D3" i="1679"/>
  <c r="C3" i="1679"/>
  <c r="F21" i="1678"/>
  <c r="Y19" i="1678"/>
  <c r="W19" i="1678"/>
  <c r="V19" i="1678"/>
  <c r="U19" i="1678"/>
  <c r="T19" i="1678"/>
  <c r="P19" i="1678"/>
  <c r="O19" i="1678"/>
  <c r="N19" i="1678"/>
  <c r="M19" i="1678"/>
  <c r="L19" i="1678"/>
  <c r="K19" i="1678"/>
  <c r="J19" i="1678"/>
  <c r="I19" i="1678"/>
  <c r="H19" i="1678"/>
  <c r="G19" i="1678"/>
  <c r="F19" i="1678"/>
  <c r="E19" i="1678"/>
  <c r="D19" i="1678"/>
  <c r="C19" i="1678"/>
  <c r="Y18" i="1678"/>
  <c r="W18" i="1678"/>
  <c r="V18" i="1678"/>
  <c r="U18" i="1678"/>
  <c r="T18" i="1678"/>
  <c r="P18" i="1678"/>
  <c r="O18" i="1678"/>
  <c r="N18" i="1678"/>
  <c r="M18" i="1678"/>
  <c r="L18" i="1678"/>
  <c r="K18" i="1678"/>
  <c r="J18" i="1678"/>
  <c r="I18" i="1678"/>
  <c r="H18" i="1678"/>
  <c r="G18" i="1678"/>
  <c r="F18" i="1678"/>
  <c r="E18" i="1678"/>
  <c r="D18" i="1678"/>
  <c r="C18" i="1678"/>
  <c r="Y4" i="1678"/>
  <c r="W4" i="1678"/>
  <c r="V4" i="1678"/>
  <c r="U4" i="1678"/>
  <c r="T4" i="1678"/>
  <c r="P4" i="1678"/>
  <c r="O4" i="1678"/>
  <c r="N4" i="1678"/>
  <c r="M4" i="1678"/>
  <c r="L4" i="1678"/>
  <c r="K4" i="1678"/>
  <c r="J4" i="1678"/>
  <c r="I4" i="1678"/>
  <c r="H4" i="1678"/>
  <c r="G4" i="1678"/>
  <c r="F4" i="1678"/>
  <c r="E4" i="1678"/>
  <c r="D4" i="1678"/>
  <c r="C4" i="1678"/>
  <c r="Y3" i="1678"/>
  <c r="W3" i="1678"/>
  <c r="V3" i="1678"/>
  <c r="U3" i="1678"/>
  <c r="T3" i="1678"/>
  <c r="P3" i="1678"/>
  <c r="O3" i="1678"/>
  <c r="N3" i="1678"/>
  <c r="M3" i="1678"/>
  <c r="L3" i="1678"/>
  <c r="K3" i="1678"/>
  <c r="J3" i="1678"/>
  <c r="I3" i="1678"/>
  <c r="H3" i="1678"/>
  <c r="G3" i="1678"/>
  <c r="F3" i="1678"/>
  <c r="E3" i="1678"/>
  <c r="D3" i="1678"/>
  <c r="C3" i="1678"/>
  <c r="F21" i="1677"/>
  <c r="Y19" i="1677"/>
  <c r="W19" i="1677"/>
  <c r="V19" i="1677"/>
  <c r="U19" i="1677"/>
  <c r="T19" i="1677"/>
  <c r="P19" i="1677"/>
  <c r="O19" i="1677"/>
  <c r="N19" i="1677"/>
  <c r="M19" i="1677"/>
  <c r="L19" i="1677"/>
  <c r="K19" i="1677"/>
  <c r="J19" i="1677"/>
  <c r="I19" i="1677"/>
  <c r="H19" i="1677"/>
  <c r="G19" i="1677"/>
  <c r="F19" i="1677"/>
  <c r="E19" i="1677"/>
  <c r="D19" i="1677"/>
  <c r="C19" i="1677"/>
  <c r="Y18" i="1677"/>
  <c r="W18" i="1677"/>
  <c r="V18" i="1677"/>
  <c r="U18" i="1677"/>
  <c r="T18" i="1677"/>
  <c r="P18" i="1677"/>
  <c r="O18" i="1677"/>
  <c r="N18" i="1677"/>
  <c r="M18" i="1677"/>
  <c r="L18" i="1677"/>
  <c r="K18" i="1677"/>
  <c r="J18" i="1677"/>
  <c r="I18" i="1677"/>
  <c r="H18" i="1677"/>
  <c r="G18" i="1677"/>
  <c r="F18" i="1677"/>
  <c r="E18" i="1677"/>
  <c r="D18" i="1677"/>
  <c r="C18" i="1677"/>
  <c r="Y4" i="1677"/>
  <c r="W4" i="1677"/>
  <c r="V4" i="1677"/>
  <c r="U4" i="1677"/>
  <c r="T4" i="1677"/>
  <c r="P4" i="1677"/>
  <c r="O4" i="1677"/>
  <c r="N4" i="1677"/>
  <c r="M4" i="1677"/>
  <c r="L4" i="1677"/>
  <c r="K4" i="1677"/>
  <c r="J4" i="1677"/>
  <c r="I4" i="1677"/>
  <c r="H4" i="1677"/>
  <c r="G4" i="1677"/>
  <c r="F4" i="1677"/>
  <c r="E4" i="1677"/>
  <c r="D4" i="1677"/>
  <c r="C4" i="1677"/>
  <c r="Y3" i="1677"/>
  <c r="W3" i="1677"/>
  <c r="V3" i="1677"/>
  <c r="U3" i="1677"/>
  <c r="T3" i="1677"/>
  <c r="P3" i="1677"/>
  <c r="O3" i="1677"/>
  <c r="N3" i="1677"/>
  <c r="M3" i="1677"/>
  <c r="L3" i="1677"/>
  <c r="K3" i="1677"/>
  <c r="J3" i="1677"/>
  <c r="I3" i="1677"/>
  <c r="H3" i="1677"/>
  <c r="G3" i="1677"/>
  <c r="F3" i="1677"/>
  <c r="E3" i="1677"/>
  <c r="D3" i="1677"/>
  <c r="C3" i="1677"/>
  <c r="F21" i="1676"/>
  <c r="Y19" i="1676"/>
  <c r="W19" i="1676"/>
  <c r="V19" i="1676"/>
  <c r="U19" i="1676"/>
  <c r="T19" i="1676"/>
  <c r="P19" i="1676"/>
  <c r="O19" i="1676"/>
  <c r="N19" i="1676"/>
  <c r="M19" i="1676"/>
  <c r="L19" i="1676"/>
  <c r="K19" i="1676"/>
  <c r="J19" i="1676"/>
  <c r="I19" i="1676"/>
  <c r="H19" i="1676"/>
  <c r="G19" i="1676"/>
  <c r="F19" i="1676"/>
  <c r="E19" i="1676"/>
  <c r="D19" i="1676"/>
  <c r="C19" i="1676"/>
  <c r="Y18" i="1676"/>
  <c r="W18" i="1676"/>
  <c r="V18" i="1676"/>
  <c r="U18" i="1676"/>
  <c r="T18" i="1676"/>
  <c r="P18" i="1676"/>
  <c r="O18" i="1676"/>
  <c r="N18" i="1676"/>
  <c r="M18" i="1676"/>
  <c r="L18" i="1676"/>
  <c r="K18" i="1676"/>
  <c r="J18" i="1676"/>
  <c r="I18" i="1676"/>
  <c r="H18" i="1676"/>
  <c r="G18" i="1676"/>
  <c r="F18" i="1676"/>
  <c r="E18" i="1676"/>
  <c r="D18" i="1676"/>
  <c r="C18" i="1676"/>
  <c r="Y4" i="1676"/>
  <c r="W4" i="1676"/>
  <c r="V4" i="1676"/>
  <c r="U4" i="1676"/>
  <c r="T4" i="1676"/>
  <c r="P4" i="1676"/>
  <c r="O4" i="1676"/>
  <c r="N4" i="1676"/>
  <c r="M4" i="1676"/>
  <c r="L4" i="1676"/>
  <c r="K4" i="1676"/>
  <c r="J4" i="1676"/>
  <c r="I4" i="1676"/>
  <c r="H4" i="1676"/>
  <c r="G4" i="1676"/>
  <c r="F4" i="1676"/>
  <c r="E4" i="1676"/>
  <c r="D4" i="1676"/>
  <c r="C4" i="1676"/>
  <c r="Y3" i="1676"/>
  <c r="W3" i="1676"/>
  <c r="V3" i="1676"/>
  <c r="U3" i="1676"/>
  <c r="T3" i="1676"/>
  <c r="P3" i="1676"/>
  <c r="O3" i="1676"/>
  <c r="N3" i="1676"/>
  <c r="M3" i="1676"/>
  <c r="L3" i="1676"/>
  <c r="K3" i="1676"/>
  <c r="J3" i="1676"/>
  <c r="I3" i="1676"/>
  <c r="H3" i="1676"/>
  <c r="G3" i="1676"/>
  <c r="F3" i="1676"/>
  <c r="E3" i="1676"/>
  <c r="D3" i="1676"/>
  <c r="C3" i="1676"/>
  <c r="F21" i="1675"/>
  <c r="Y19" i="1675"/>
  <c r="W19" i="1675"/>
  <c r="V19" i="1675"/>
  <c r="U19" i="1675"/>
  <c r="T19" i="1675"/>
  <c r="P19" i="1675"/>
  <c r="O19" i="1675"/>
  <c r="N19" i="1675"/>
  <c r="M19" i="1675"/>
  <c r="L19" i="1675"/>
  <c r="K19" i="1675"/>
  <c r="J19" i="1675"/>
  <c r="I19" i="1675"/>
  <c r="H19" i="1675"/>
  <c r="G19" i="1675"/>
  <c r="F19" i="1675"/>
  <c r="E19" i="1675"/>
  <c r="D19" i="1675"/>
  <c r="C19" i="1675"/>
  <c r="Y18" i="1675"/>
  <c r="W18" i="1675"/>
  <c r="V18" i="1675"/>
  <c r="U18" i="1675"/>
  <c r="T18" i="1675"/>
  <c r="P18" i="1675"/>
  <c r="O18" i="1675"/>
  <c r="N18" i="1675"/>
  <c r="M18" i="1675"/>
  <c r="L18" i="1675"/>
  <c r="K18" i="1675"/>
  <c r="J18" i="1675"/>
  <c r="I18" i="1675"/>
  <c r="H18" i="1675"/>
  <c r="G18" i="1675"/>
  <c r="F18" i="1675"/>
  <c r="E18" i="1675"/>
  <c r="D18" i="1675"/>
  <c r="C18" i="1675"/>
  <c r="Y4" i="1675"/>
  <c r="W4" i="1675"/>
  <c r="V4" i="1675"/>
  <c r="U4" i="1675"/>
  <c r="T4" i="1675"/>
  <c r="P4" i="1675"/>
  <c r="O4" i="1675"/>
  <c r="N4" i="1675"/>
  <c r="M4" i="1675"/>
  <c r="L4" i="1675"/>
  <c r="K4" i="1675"/>
  <c r="J4" i="1675"/>
  <c r="I4" i="1675"/>
  <c r="H4" i="1675"/>
  <c r="G4" i="1675"/>
  <c r="F4" i="1675"/>
  <c r="E4" i="1675"/>
  <c r="D4" i="1675"/>
  <c r="C4" i="1675"/>
  <c r="Y3" i="1675"/>
  <c r="W3" i="1675"/>
  <c r="V3" i="1675"/>
  <c r="U3" i="1675"/>
  <c r="T3" i="1675"/>
  <c r="P3" i="1675"/>
  <c r="O3" i="1675"/>
  <c r="N3" i="1675"/>
  <c r="M3" i="1675"/>
  <c r="L3" i="1675"/>
  <c r="K3" i="1675"/>
  <c r="J3" i="1675"/>
  <c r="I3" i="1675"/>
  <c r="H3" i="1675"/>
  <c r="G3" i="1675"/>
  <c r="F3" i="1675"/>
  <c r="E3" i="1675"/>
  <c r="D3" i="1675"/>
  <c r="C3" i="1675"/>
  <c r="F21" i="1674"/>
  <c r="Y19" i="1674"/>
  <c r="W19" i="1674"/>
  <c r="V19" i="1674"/>
  <c r="U19" i="1674"/>
  <c r="T19" i="1674"/>
  <c r="P19" i="1674"/>
  <c r="O19" i="1674"/>
  <c r="N19" i="1674"/>
  <c r="M19" i="1674"/>
  <c r="L19" i="1674"/>
  <c r="K19" i="1674"/>
  <c r="J19" i="1674"/>
  <c r="I19" i="1674"/>
  <c r="H19" i="1674"/>
  <c r="G19" i="1674"/>
  <c r="F19" i="1674"/>
  <c r="E19" i="1674"/>
  <c r="D19" i="1674"/>
  <c r="C19" i="1674"/>
  <c r="Y18" i="1674"/>
  <c r="W18" i="1674"/>
  <c r="V18" i="1674"/>
  <c r="U18" i="1674"/>
  <c r="T18" i="1674"/>
  <c r="P18" i="1674"/>
  <c r="O18" i="1674"/>
  <c r="N18" i="1674"/>
  <c r="M18" i="1674"/>
  <c r="L18" i="1674"/>
  <c r="K18" i="1674"/>
  <c r="J18" i="1674"/>
  <c r="I18" i="1674"/>
  <c r="H18" i="1674"/>
  <c r="G18" i="1674"/>
  <c r="F18" i="1674"/>
  <c r="E18" i="1674"/>
  <c r="D18" i="1674"/>
  <c r="C18" i="1674"/>
  <c r="Y4" i="1674"/>
  <c r="W4" i="1674"/>
  <c r="V4" i="1674"/>
  <c r="U4" i="1674"/>
  <c r="T4" i="1674"/>
  <c r="P4" i="1674"/>
  <c r="O4" i="1674"/>
  <c r="N4" i="1674"/>
  <c r="M4" i="1674"/>
  <c r="L4" i="1674"/>
  <c r="K4" i="1674"/>
  <c r="J4" i="1674"/>
  <c r="I4" i="1674"/>
  <c r="H4" i="1674"/>
  <c r="G4" i="1674"/>
  <c r="F4" i="1674"/>
  <c r="E4" i="1674"/>
  <c r="D4" i="1674"/>
  <c r="C4" i="1674"/>
  <c r="Y3" i="1674"/>
  <c r="W3" i="1674"/>
  <c r="V3" i="1674"/>
  <c r="U3" i="1674"/>
  <c r="T3" i="1674"/>
  <c r="P3" i="1674"/>
  <c r="O3" i="1674"/>
  <c r="N3" i="1674"/>
  <c r="M3" i="1674"/>
  <c r="L3" i="1674"/>
  <c r="K3" i="1674"/>
  <c r="J3" i="1674"/>
  <c r="I3" i="1674"/>
  <c r="H3" i="1674"/>
  <c r="G3" i="1674"/>
  <c r="F3" i="1674"/>
  <c r="E3" i="1674"/>
  <c r="D3" i="1674"/>
  <c r="C3" i="1674"/>
  <c r="F21" i="1673"/>
  <c r="Y19" i="1673"/>
  <c r="W19" i="1673"/>
  <c r="V19" i="1673"/>
  <c r="U19" i="1673"/>
  <c r="T19" i="1673"/>
  <c r="P19" i="1673"/>
  <c r="O19" i="1673"/>
  <c r="N19" i="1673"/>
  <c r="M19" i="1673"/>
  <c r="L19" i="1673"/>
  <c r="K19" i="1673"/>
  <c r="J19" i="1673"/>
  <c r="I19" i="1673"/>
  <c r="H19" i="1673"/>
  <c r="G19" i="1673"/>
  <c r="F19" i="1673"/>
  <c r="E19" i="1673"/>
  <c r="D19" i="1673"/>
  <c r="C19" i="1673"/>
  <c r="Y18" i="1673"/>
  <c r="W18" i="1673"/>
  <c r="V18" i="1673"/>
  <c r="U18" i="1673"/>
  <c r="T18" i="1673"/>
  <c r="P18" i="1673"/>
  <c r="O18" i="1673"/>
  <c r="N18" i="1673"/>
  <c r="M18" i="1673"/>
  <c r="L18" i="1673"/>
  <c r="K18" i="1673"/>
  <c r="J18" i="1673"/>
  <c r="I18" i="1673"/>
  <c r="H18" i="1673"/>
  <c r="G18" i="1673"/>
  <c r="F18" i="1673"/>
  <c r="E18" i="1673"/>
  <c r="D18" i="1673"/>
  <c r="C18" i="1673"/>
  <c r="Y4" i="1673"/>
  <c r="W4" i="1673"/>
  <c r="V4" i="1673"/>
  <c r="U4" i="1673"/>
  <c r="T4" i="1673"/>
  <c r="P4" i="1673"/>
  <c r="O4" i="1673"/>
  <c r="N4" i="1673"/>
  <c r="M4" i="1673"/>
  <c r="L4" i="1673"/>
  <c r="K4" i="1673"/>
  <c r="J4" i="1673"/>
  <c r="I4" i="1673"/>
  <c r="H4" i="1673"/>
  <c r="G4" i="1673"/>
  <c r="F4" i="1673"/>
  <c r="E4" i="1673"/>
  <c r="D4" i="1673"/>
  <c r="C4" i="1673"/>
  <c r="Y3" i="1673"/>
  <c r="W3" i="1673"/>
  <c r="V3" i="1673"/>
  <c r="U3" i="1673"/>
  <c r="T3" i="1673"/>
  <c r="P3" i="1673"/>
  <c r="O3" i="1673"/>
  <c r="N3" i="1673"/>
  <c r="M3" i="1673"/>
  <c r="L3" i="1673"/>
  <c r="K3" i="1673"/>
  <c r="J3" i="1673"/>
  <c r="I3" i="1673"/>
  <c r="H3" i="1673"/>
  <c r="G3" i="1673"/>
  <c r="F3" i="1673"/>
  <c r="E3" i="1673"/>
  <c r="D3" i="1673"/>
  <c r="C3" i="1673"/>
  <c r="F21" i="1672"/>
  <c r="Y19" i="1672"/>
  <c r="W19" i="1672"/>
  <c r="V19" i="1672"/>
  <c r="U19" i="1672"/>
  <c r="T19" i="1672"/>
  <c r="P19" i="1672"/>
  <c r="O19" i="1672"/>
  <c r="N19" i="1672"/>
  <c r="M19" i="1672"/>
  <c r="L19" i="1672"/>
  <c r="K19" i="1672"/>
  <c r="J19" i="1672"/>
  <c r="I19" i="1672"/>
  <c r="H19" i="1672"/>
  <c r="G19" i="1672"/>
  <c r="F19" i="1672"/>
  <c r="E19" i="1672"/>
  <c r="D19" i="1672"/>
  <c r="C19" i="1672"/>
  <c r="Y18" i="1672"/>
  <c r="W18" i="1672"/>
  <c r="V18" i="1672"/>
  <c r="U18" i="1672"/>
  <c r="T18" i="1672"/>
  <c r="P18" i="1672"/>
  <c r="O18" i="1672"/>
  <c r="N18" i="1672"/>
  <c r="M18" i="1672"/>
  <c r="L18" i="1672"/>
  <c r="K18" i="1672"/>
  <c r="J18" i="1672"/>
  <c r="I18" i="1672"/>
  <c r="H18" i="1672"/>
  <c r="G18" i="1672"/>
  <c r="F18" i="1672"/>
  <c r="E18" i="1672"/>
  <c r="D18" i="1672"/>
  <c r="C18" i="1672"/>
  <c r="Y4" i="1672"/>
  <c r="W4" i="1672"/>
  <c r="V4" i="1672"/>
  <c r="U4" i="1672"/>
  <c r="T4" i="1672"/>
  <c r="P4" i="1672"/>
  <c r="O4" i="1672"/>
  <c r="N4" i="1672"/>
  <c r="M4" i="1672"/>
  <c r="L4" i="1672"/>
  <c r="K4" i="1672"/>
  <c r="J4" i="1672"/>
  <c r="I4" i="1672"/>
  <c r="H4" i="1672"/>
  <c r="G4" i="1672"/>
  <c r="F4" i="1672"/>
  <c r="E4" i="1672"/>
  <c r="D4" i="1672"/>
  <c r="C4" i="1672"/>
  <c r="Y3" i="1672"/>
  <c r="W3" i="1672"/>
  <c r="V3" i="1672"/>
  <c r="U3" i="1672"/>
  <c r="T3" i="1672"/>
  <c r="P3" i="1672"/>
  <c r="O3" i="1672"/>
  <c r="N3" i="1672"/>
  <c r="M3" i="1672"/>
  <c r="L3" i="1672"/>
  <c r="K3" i="1672"/>
  <c r="J3" i="1672"/>
  <c r="I3" i="1672"/>
  <c r="H3" i="1672"/>
  <c r="G3" i="1672"/>
  <c r="F3" i="1672"/>
  <c r="E3" i="1672"/>
  <c r="D3" i="1672"/>
  <c r="C3" i="1672"/>
  <c r="F21" i="1671"/>
  <c r="Y19" i="1671"/>
  <c r="W19" i="1671"/>
  <c r="V19" i="1671"/>
  <c r="U19" i="1671"/>
  <c r="T19" i="1671"/>
  <c r="P19" i="1671"/>
  <c r="O19" i="1671"/>
  <c r="N19" i="1671"/>
  <c r="M19" i="1671"/>
  <c r="L19" i="1671"/>
  <c r="K19" i="1671"/>
  <c r="J19" i="1671"/>
  <c r="I19" i="1671"/>
  <c r="H19" i="1671"/>
  <c r="G19" i="1671"/>
  <c r="F19" i="1671"/>
  <c r="E19" i="1671"/>
  <c r="D19" i="1671"/>
  <c r="C19" i="1671"/>
  <c r="Y18" i="1671"/>
  <c r="W18" i="1671"/>
  <c r="V18" i="1671"/>
  <c r="U18" i="1671"/>
  <c r="T18" i="1671"/>
  <c r="P18" i="1671"/>
  <c r="O18" i="1671"/>
  <c r="N18" i="1671"/>
  <c r="M18" i="1671"/>
  <c r="L18" i="1671"/>
  <c r="K18" i="1671"/>
  <c r="J18" i="1671"/>
  <c r="I18" i="1671"/>
  <c r="H18" i="1671"/>
  <c r="G18" i="1671"/>
  <c r="F18" i="1671"/>
  <c r="E18" i="1671"/>
  <c r="D18" i="1671"/>
  <c r="C18" i="1671"/>
  <c r="Y4" i="1671"/>
  <c r="W4" i="1671"/>
  <c r="V4" i="1671"/>
  <c r="U4" i="1671"/>
  <c r="T4" i="1671"/>
  <c r="P4" i="1671"/>
  <c r="O4" i="1671"/>
  <c r="N4" i="1671"/>
  <c r="M4" i="1671"/>
  <c r="L4" i="1671"/>
  <c r="K4" i="1671"/>
  <c r="J4" i="1671"/>
  <c r="I4" i="1671"/>
  <c r="H4" i="1671"/>
  <c r="G4" i="1671"/>
  <c r="F4" i="1671"/>
  <c r="E4" i="1671"/>
  <c r="D4" i="1671"/>
  <c r="C4" i="1671"/>
  <c r="Y3" i="1671"/>
  <c r="W3" i="1671"/>
  <c r="V3" i="1671"/>
  <c r="U3" i="1671"/>
  <c r="T3" i="1671"/>
  <c r="P3" i="1671"/>
  <c r="O3" i="1671"/>
  <c r="N3" i="1671"/>
  <c r="M3" i="1671"/>
  <c r="L3" i="1671"/>
  <c r="K3" i="1671"/>
  <c r="J3" i="1671"/>
  <c r="I3" i="1671"/>
  <c r="H3" i="1671"/>
  <c r="G3" i="1671"/>
  <c r="F3" i="1671"/>
  <c r="E3" i="1671"/>
  <c r="D3" i="1671"/>
  <c r="C3" i="1671"/>
  <c r="F21" i="1670"/>
  <c r="Y19" i="1670"/>
  <c r="W19" i="1670"/>
  <c r="V19" i="1670"/>
  <c r="U19" i="1670"/>
  <c r="T19" i="1670"/>
  <c r="P19" i="1670"/>
  <c r="O19" i="1670"/>
  <c r="N19" i="1670"/>
  <c r="M19" i="1670"/>
  <c r="L19" i="1670"/>
  <c r="K19" i="1670"/>
  <c r="J19" i="1670"/>
  <c r="I19" i="1670"/>
  <c r="H19" i="1670"/>
  <c r="G19" i="1670"/>
  <c r="F19" i="1670"/>
  <c r="E19" i="1670"/>
  <c r="D19" i="1670"/>
  <c r="C19" i="1670"/>
  <c r="Y18" i="1670"/>
  <c r="W18" i="1670"/>
  <c r="V18" i="1670"/>
  <c r="U18" i="1670"/>
  <c r="T18" i="1670"/>
  <c r="P18" i="1670"/>
  <c r="O18" i="1670"/>
  <c r="N18" i="1670"/>
  <c r="M18" i="1670"/>
  <c r="L18" i="1670"/>
  <c r="K18" i="1670"/>
  <c r="J18" i="1670"/>
  <c r="I18" i="1670"/>
  <c r="H18" i="1670"/>
  <c r="G18" i="1670"/>
  <c r="F18" i="1670"/>
  <c r="E18" i="1670"/>
  <c r="D18" i="1670"/>
  <c r="C18" i="1670"/>
  <c r="Y4" i="1670"/>
  <c r="W4" i="1670"/>
  <c r="V4" i="1670"/>
  <c r="U4" i="1670"/>
  <c r="T4" i="1670"/>
  <c r="P4" i="1670"/>
  <c r="O4" i="1670"/>
  <c r="N4" i="1670"/>
  <c r="M4" i="1670"/>
  <c r="L4" i="1670"/>
  <c r="K4" i="1670"/>
  <c r="J4" i="1670"/>
  <c r="I4" i="1670"/>
  <c r="H4" i="1670"/>
  <c r="G4" i="1670"/>
  <c r="F4" i="1670"/>
  <c r="E4" i="1670"/>
  <c r="D4" i="1670"/>
  <c r="C4" i="1670"/>
  <c r="Y3" i="1670"/>
  <c r="W3" i="1670"/>
  <c r="V3" i="1670"/>
  <c r="U3" i="1670"/>
  <c r="T3" i="1670"/>
  <c r="P3" i="1670"/>
  <c r="O3" i="1670"/>
  <c r="N3" i="1670"/>
  <c r="M3" i="1670"/>
  <c r="L3" i="1670"/>
  <c r="K3" i="1670"/>
  <c r="J3" i="1670"/>
  <c r="I3" i="1670"/>
  <c r="H3" i="1670"/>
  <c r="G3" i="1670"/>
  <c r="F3" i="1670"/>
  <c r="E3" i="1670"/>
  <c r="D3" i="1670"/>
  <c r="C3" i="1670"/>
  <c r="C45" i="1653" l="1"/>
  <c r="C44" i="1653"/>
  <c r="C45" i="1655"/>
  <c r="C44" i="1655"/>
  <c r="C44" i="1654"/>
  <c r="C44" i="1650" l="1"/>
  <c r="C44" i="1649"/>
  <c r="C45" i="1651"/>
  <c r="C44" i="1651"/>
  <c r="C44" i="1647" l="1"/>
  <c r="C45" i="1646"/>
  <c r="C44" i="1646"/>
  <c r="C44" i="1645"/>
  <c r="C44" i="1669" l="1"/>
  <c r="F21" i="1669" l="1"/>
  <c r="Y19" i="1669"/>
  <c r="W19" i="1669"/>
  <c r="V19" i="1669"/>
  <c r="U19" i="1669"/>
  <c r="T19" i="1669"/>
  <c r="P19" i="1669"/>
  <c r="O19" i="1669"/>
  <c r="N19" i="1669"/>
  <c r="M19" i="1669"/>
  <c r="L19" i="1669"/>
  <c r="K19" i="1669"/>
  <c r="J19" i="1669"/>
  <c r="I19" i="1669"/>
  <c r="H19" i="1669"/>
  <c r="G19" i="1669"/>
  <c r="F19" i="1669"/>
  <c r="E19" i="1669"/>
  <c r="D19" i="1669"/>
  <c r="C19" i="1669"/>
  <c r="Y18" i="1669"/>
  <c r="W18" i="1669"/>
  <c r="V18" i="1669"/>
  <c r="U18" i="1669"/>
  <c r="T18" i="1669"/>
  <c r="P18" i="1669"/>
  <c r="O18" i="1669"/>
  <c r="N18" i="1669"/>
  <c r="M18" i="1669"/>
  <c r="L18" i="1669"/>
  <c r="K18" i="1669"/>
  <c r="J18" i="1669"/>
  <c r="I18" i="1669"/>
  <c r="H18" i="1669"/>
  <c r="G18" i="1669"/>
  <c r="F18" i="1669"/>
  <c r="E18" i="1669"/>
  <c r="D18" i="1669"/>
  <c r="C18" i="1669"/>
  <c r="Y4" i="1669"/>
  <c r="W4" i="1669"/>
  <c r="V4" i="1669"/>
  <c r="U4" i="1669"/>
  <c r="T4" i="1669"/>
  <c r="P4" i="1669"/>
  <c r="O4" i="1669"/>
  <c r="N4" i="1669"/>
  <c r="M4" i="1669"/>
  <c r="L4" i="1669"/>
  <c r="K4" i="1669"/>
  <c r="J4" i="1669"/>
  <c r="I4" i="1669"/>
  <c r="H4" i="1669"/>
  <c r="G4" i="1669"/>
  <c r="F4" i="1669"/>
  <c r="E4" i="1669"/>
  <c r="D4" i="1669"/>
  <c r="C4" i="1669"/>
  <c r="Y3" i="1669"/>
  <c r="W3" i="1669"/>
  <c r="V3" i="1669"/>
  <c r="U3" i="1669"/>
  <c r="T3" i="1669"/>
  <c r="P3" i="1669"/>
  <c r="O3" i="1669"/>
  <c r="N3" i="1669"/>
  <c r="M3" i="1669"/>
  <c r="L3" i="1669"/>
  <c r="K3" i="1669"/>
  <c r="J3" i="1669"/>
  <c r="I3" i="1669"/>
  <c r="H3" i="1669"/>
  <c r="G3" i="1669"/>
  <c r="F3" i="1669"/>
  <c r="E3" i="1669"/>
  <c r="D3" i="1669"/>
  <c r="C3" i="1669"/>
  <c r="F21" i="1668"/>
  <c r="Y19" i="1668"/>
  <c r="W19" i="1668"/>
  <c r="V19" i="1668"/>
  <c r="U19" i="1668"/>
  <c r="T19" i="1668"/>
  <c r="P19" i="1668"/>
  <c r="O19" i="1668"/>
  <c r="N19" i="1668"/>
  <c r="M19" i="1668"/>
  <c r="L19" i="1668"/>
  <c r="K19" i="1668"/>
  <c r="J19" i="1668"/>
  <c r="I19" i="1668"/>
  <c r="H19" i="1668"/>
  <c r="G19" i="1668"/>
  <c r="F19" i="1668"/>
  <c r="E19" i="1668"/>
  <c r="D19" i="1668"/>
  <c r="C19" i="1668"/>
  <c r="Y18" i="1668"/>
  <c r="W18" i="1668"/>
  <c r="V18" i="1668"/>
  <c r="U18" i="1668"/>
  <c r="T18" i="1668"/>
  <c r="P18" i="1668"/>
  <c r="O18" i="1668"/>
  <c r="N18" i="1668"/>
  <c r="M18" i="1668"/>
  <c r="L18" i="1668"/>
  <c r="K18" i="1668"/>
  <c r="J18" i="1668"/>
  <c r="I18" i="1668"/>
  <c r="H18" i="1668"/>
  <c r="G18" i="1668"/>
  <c r="F18" i="1668"/>
  <c r="E18" i="1668"/>
  <c r="D18" i="1668"/>
  <c r="C18" i="1668"/>
  <c r="Y4" i="1668"/>
  <c r="W4" i="1668"/>
  <c r="V4" i="1668"/>
  <c r="U4" i="1668"/>
  <c r="T4" i="1668"/>
  <c r="P4" i="1668"/>
  <c r="O4" i="1668"/>
  <c r="N4" i="1668"/>
  <c r="M4" i="1668"/>
  <c r="L4" i="1668"/>
  <c r="K4" i="1668"/>
  <c r="J4" i="1668"/>
  <c r="I4" i="1668"/>
  <c r="H4" i="1668"/>
  <c r="G4" i="1668"/>
  <c r="F4" i="1668"/>
  <c r="E4" i="1668"/>
  <c r="D4" i="1668"/>
  <c r="C4" i="1668"/>
  <c r="Y3" i="1668"/>
  <c r="W3" i="1668"/>
  <c r="V3" i="1668"/>
  <c r="U3" i="1668"/>
  <c r="T3" i="1668"/>
  <c r="P3" i="1668"/>
  <c r="O3" i="1668"/>
  <c r="N3" i="1668"/>
  <c r="M3" i="1668"/>
  <c r="L3" i="1668"/>
  <c r="K3" i="1668"/>
  <c r="J3" i="1668"/>
  <c r="I3" i="1668"/>
  <c r="H3" i="1668"/>
  <c r="G3" i="1668"/>
  <c r="F3" i="1668"/>
  <c r="E3" i="1668"/>
  <c r="D3" i="1668"/>
  <c r="C3" i="1668"/>
  <c r="C44" i="1642"/>
  <c r="C44" i="1643"/>
  <c r="C44" i="1641"/>
  <c r="F21" i="1667" l="1"/>
  <c r="Y19" i="1667"/>
  <c r="W19" i="1667"/>
  <c r="V19" i="1667"/>
  <c r="U19" i="1667"/>
  <c r="T19" i="1667"/>
  <c r="P19" i="1667"/>
  <c r="O19" i="1667"/>
  <c r="N19" i="1667"/>
  <c r="M19" i="1667"/>
  <c r="L19" i="1667"/>
  <c r="K19" i="1667"/>
  <c r="J19" i="1667"/>
  <c r="I19" i="1667"/>
  <c r="H19" i="1667"/>
  <c r="G19" i="1667"/>
  <c r="F19" i="1667"/>
  <c r="E19" i="1667"/>
  <c r="D19" i="1667"/>
  <c r="C19" i="1667"/>
  <c r="Y18" i="1667"/>
  <c r="W18" i="1667"/>
  <c r="V18" i="1667"/>
  <c r="U18" i="1667"/>
  <c r="T18" i="1667"/>
  <c r="P18" i="1667"/>
  <c r="O18" i="1667"/>
  <c r="N18" i="1667"/>
  <c r="M18" i="1667"/>
  <c r="L18" i="1667"/>
  <c r="K18" i="1667"/>
  <c r="J18" i="1667"/>
  <c r="I18" i="1667"/>
  <c r="H18" i="1667"/>
  <c r="G18" i="1667"/>
  <c r="F18" i="1667"/>
  <c r="E18" i="1667"/>
  <c r="D18" i="1667"/>
  <c r="C18" i="1667"/>
  <c r="Y4" i="1667"/>
  <c r="W4" i="1667"/>
  <c r="V4" i="1667"/>
  <c r="U4" i="1667"/>
  <c r="T4" i="1667"/>
  <c r="P4" i="1667"/>
  <c r="O4" i="1667"/>
  <c r="N4" i="1667"/>
  <c r="M4" i="1667"/>
  <c r="L4" i="1667"/>
  <c r="K4" i="1667"/>
  <c r="J4" i="1667"/>
  <c r="I4" i="1667"/>
  <c r="H4" i="1667"/>
  <c r="G4" i="1667"/>
  <c r="F4" i="1667"/>
  <c r="E4" i="1667"/>
  <c r="D4" i="1667"/>
  <c r="C4" i="1667"/>
  <c r="Y3" i="1667"/>
  <c r="W3" i="1667"/>
  <c r="V3" i="1667"/>
  <c r="U3" i="1667"/>
  <c r="T3" i="1667"/>
  <c r="P3" i="1667"/>
  <c r="O3" i="1667"/>
  <c r="N3" i="1667"/>
  <c r="M3" i="1667"/>
  <c r="L3" i="1667"/>
  <c r="K3" i="1667"/>
  <c r="J3" i="1667"/>
  <c r="I3" i="1667"/>
  <c r="H3" i="1667"/>
  <c r="G3" i="1667"/>
  <c r="F3" i="1667"/>
  <c r="E3" i="1667"/>
  <c r="D3" i="1667"/>
  <c r="C3" i="1667"/>
  <c r="F21" i="1666"/>
  <c r="Y19" i="1666"/>
  <c r="W19" i="1666"/>
  <c r="V19" i="1666"/>
  <c r="U19" i="1666"/>
  <c r="T19" i="1666"/>
  <c r="P19" i="1666"/>
  <c r="O19" i="1666"/>
  <c r="N19" i="1666"/>
  <c r="M19" i="1666"/>
  <c r="L19" i="1666"/>
  <c r="K19" i="1666"/>
  <c r="J19" i="1666"/>
  <c r="I19" i="1666"/>
  <c r="H19" i="1666"/>
  <c r="G19" i="1666"/>
  <c r="F19" i="1666"/>
  <c r="E19" i="1666"/>
  <c r="D19" i="1666"/>
  <c r="C19" i="1666"/>
  <c r="Y18" i="1666"/>
  <c r="W18" i="1666"/>
  <c r="V18" i="1666"/>
  <c r="U18" i="1666"/>
  <c r="T18" i="1666"/>
  <c r="P18" i="1666"/>
  <c r="O18" i="1666"/>
  <c r="N18" i="1666"/>
  <c r="M18" i="1666"/>
  <c r="L18" i="1666"/>
  <c r="K18" i="1666"/>
  <c r="J18" i="1666"/>
  <c r="I18" i="1666"/>
  <c r="H18" i="1666"/>
  <c r="G18" i="1666"/>
  <c r="F18" i="1666"/>
  <c r="E18" i="1666"/>
  <c r="D18" i="1666"/>
  <c r="C18" i="1666"/>
  <c r="Y4" i="1666"/>
  <c r="W4" i="1666"/>
  <c r="V4" i="1666"/>
  <c r="U4" i="1666"/>
  <c r="T4" i="1666"/>
  <c r="P4" i="1666"/>
  <c r="O4" i="1666"/>
  <c r="N4" i="1666"/>
  <c r="M4" i="1666"/>
  <c r="L4" i="1666"/>
  <c r="K4" i="1666"/>
  <c r="J4" i="1666"/>
  <c r="I4" i="1666"/>
  <c r="H4" i="1666"/>
  <c r="G4" i="1666"/>
  <c r="F4" i="1666"/>
  <c r="E4" i="1666"/>
  <c r="D4" i="1666"/>
  <c r="C4" i="1666"/>
  <c r="Y3" i="1666"/>
  <c r="W3" i="1666"/>
  <c r="V3" i="1666"/>
  <c r="U3" i="1666"/>
  <c r="T3" i="1666"/>
  <c r="P3" i="1666"/>
  <c r="O3" i="1666"/>
  <c r="N3" i="1666"/>
  <c r="M3" i="1666"/>
  <c r="L3" i="1666"/>
  <c r="K3" i="1666"/>
  <c r="J3" i="1666"/>
  <c r="I3" i="1666"/>
  <c r="H3" i="1666"/>
  <c r="G3" i="1666"/>
  <c r="F3" i="1666"/>
  <c r="E3" i="1666"/>
  <c r="D3" i="1666"/>
  <c r="C3" i="1666"/>
  <c r="F21" i="1665"/>
  <c r="Y19" i="1665"/>
  <c r="W19" i="1665"/>
  <c r="V19" i="1665"/>
  <c r="U19" i="1665"/>
  <c r="T19" i="1665"/>
  <c r="P19" i="1665"/>
  <c r="O19" i="1665"/>
  <c r="N19" i="1665"/>
  <c r="M19" i="1665"/>
  <c r="L19" i="1665"/>
  <c r="K19" i="1665"/>
  <c r="J19" i="1665"/>
  <c r="I19" i="1665"/>
  <c r="H19" i="1665"/>
  <c r="G19" i="1665"/>
  <c r="F19" i="1665"/>
  <c r="E19" i="1665"/>
  <c r="D19" i="1665"/>
  <c r="C19" i="1665"/>
  <c r="Y18" i="1665"/>
  <c r="W18" i="1665"/>
  <c r="V18" i="1665"/>
  <c r="U18" i="1665"/>
  <c r="T18" i="1665"/>
  <c r="P18" i="1665"/>
  <c r="O18" i="1665"/>
  <c r="N18" i="1665"/>
  <c r="M18" i="1665"/>
  <c r="L18" i="1665"/>
  <c r="K18" i="1665"/>
  <c r="J18" i="1665"/>
  <c r="I18" i="1665"/>
  <c r="H18" i="1665"/>
  <c r="G18" i="1665"/>
  <c r="F18" i="1665"/>
  <c r="E18" i="1665"/>
  <c r="D18" i="1665"/>
  <c r="C18" i="1665"/>
  <c r="Y4" i="1665"/>
  <c r="W4" i="1665"/>
  <c r="V4" i="1665"/>
  <c r="U4" i="1665"/>
  <c r="T4" i="1665"/>
  <c r="P4" i="1665"/>
  <c r="O4" i="1665"/>
  <c r="N4" i="1665"/>
  <c r="M4" i="1665"/>
  <c r="L4" i="1665"/>
  <c r="K4" i="1665"/>
  <c r="J4" i="1665"/>
  <c r="I4" i="1665"/>
  <c r="H4" i="1665"/>
  <c r="G4" i="1665"/>
  <c r="F4" i="1665"/>
  <c r="E4" i="1665"/>
  <c r="D4" i="1665"/>
  <c r="C4" i="1665"/>
  <c r="Y3" i="1665"/>
  <c r="W3" i="1665"/>
  <c r="V3" i="1665"/>
  <c r="U3" i="1665"/>
  <c r="T3" i="1665"/>
  <c r="P3" i="1665"/>
  <c r="O3" i="1665"/>
  <c r="N3" i="1665"/>
  <c r="M3" i="1665"/>
  <c r="L3" i="1665"/>
  <c r="K3" i="1665"/>
  <c r="J3" i="1665"/>
  <c r="I3" i="1665"/>
  <c r="H3" i="1665"/>
  <c r="G3" i="1665"/>
  <c r="F3" i="1665"/>
  <c r="E3" i="1665"/>
  <c r="D3" i="1665"/>
  <c r="C3" i="1665"/>
  <c r="F21" i="1664"/>
  <c r="Y19" i="1664"/>
  <c r="W19" i="1664"/>
  <c r="V19" i="1664"/>
  <c r="U19" i="1664"/>
  <c r="T19" i="1664"/>
  <c r="P19" i="1664"/>
  <c r="O19" i="1664"/>
  <c r="N19" i="1664"/>
  <c r="M19" i="1664"/>
  <c r="L19" i="1664"/>
  <c r="K19" i="1664"/>
  <c r="J19" i="1664"/>
  <c r="I19" i="1664"/>
  <c r="H19" i="1664"/>
  <c r="G19" i="1664"/>
  <c r="F19" i="1664"/>
  <c r="E19" i="1664"/>
  <c r="D19" i="1664"/>
  <c r="C19" i="1664"/>
  <c r="Y18" i="1664"/>
  <c r="W18" i="1664"/>
  <c r="V18" i="1664"/>
  <c r="U18" i="1664"/>
  <c r="T18" i="1664"/>
  <c r="P18" i="1664"/>
  <c r="O18" i="1664"/>
  <c r="N18" i="1664"/>
  <c r="M18" i="1664"/>
  <c r="L18" i="1664"/>
  <c r="K18" i="1664"/>
  <c r="J18" i="1664"/>
  <c r="I18" i="1664"/>
  <c r="H18" i="1664"/>
  <c r="G18" i="1664"/>
  <c r="F18" i="1664"/>
  <c r="E18" i="1664"/>
  <c r="D18" i="1664"/>
  <c r="C18" i="1664"/>
  <c r="Y4" i="1664"/>
  <c r="W4" i="1664"/>
  <c r="V4" i="1664"/>
  <c r="U4" i="1664"/>
  <c r="T4" i="1664"/>
  <c r="P4" i="1664"/>
  <c r="O4" i="1664"/>
  <c r="N4" i="1664"/>
  <c r="M4" i="1664"/>
  <c r="L4" i="1664"/>
  <c r="K4" i="1664"/>
  <c r="J4" i="1664"/>
  <c r="I4" i="1664"/>
  <c r="H4" i="1664"/>
  <c r="G4" i="1664"/>
  <c r="F4" i="1664"/>
  <c r="E4" i="1664"/>
  <c r="D4" i="1664"/>
  <c r="C4" i="1664"/>
  <c r="Y3" i="1664"/>
  <c r="W3" i="1664"/>
  <c r="V3" i="1664"/>
  <c r="U3" i="1664"/>
  <c r="T3" i="1664"/>
  <c r="P3" i="1664"/>
  <c r="O3" i="1664"/>
  <c r="N3" i="1664"/>
  <c r="M3" i="1664"/>
  <c r="L3" i="1664"/>
  <c r="K3" i="1664"/>
  <c r="J3" i="1664"/>
  <c r="I3" i="1664"/>
  <c r="H3" i="1664"/>
  <c r="G3" i="1664"/>
  <c r="F3" i="1664"/>
  <c r="E3" i="1664"/>
  <c r="D3" i="1664"/>
  <c r="C3" i="1664"/>
  <c r="F21" i="1663"/>
  <c r="Y19" i="1663"/>
  <c r="W19" i="1663"/>
  <c r="V19" i="1663"/>
  <c r="U19" i="1663"/>
  <c r="T19" i="1663"/>
  <c r="P19" i="1663"/>
  <c r="O19" i="1663"/>
  <c r="N19" i="1663"/>
  <c r="M19" i="1663"/>
  <c r="L19" i="1663"/>
  <c r="K19" i="1663"/>
  <c r="J19" i="1663"/>
  <c r="I19" i="1663"/>
  <c r="H19" i="1663"/>
  <c r="G19" i="1663"/>
  <c r="F19" i="1663"/>
  <c r="E19" i="1663"/>
  <c r="D19" i="1663"/>
  <c r="C19" i="1663"/>
  <c r="Y18" i="1663"/>
  <c r="W18" i="1663"/>
  <c r="V18" i="1663"/>
  <c r="U18" i="1663"/>
  <c r="T18" i="1663"/>
  <c r="P18" i="1663"/>
  <c r="O18" i="1663"/>
  <c r="N18" i="1663"/>
  <c r="M18" i="1663"/>
  <c r="L18" i="1663"/>
  <c r="K18" i="1663"/>
  <c r="J18" i="1663"/>
  <c r="I18" i="1663"/>
  <c r="H18" i="1663"/>
  <c r="G18" i="1663"/>
  <c r="F18" i="1663"/>
  <c r="E18" i="1663"/>
  <c r="D18" i="1663"/>
  <c r="C18" i="1663"/>
  <c r="Y4" i="1663"/>
  <c r="W4" i="1663"/>
  <c r="V4" i="1663"/>
  <c r="U4" i="1663"/>
  <c r="T4" i="1663"/>
  <c r="P4" i="1663"/>
  <c r="O4" i="1663"/>
  <c r="N4" i="1663"/>
  <c r="M4" i="1663"/>
  <c r="L4" i="1663"/>
  <c r="K4" i="1663"/>
  <c r="J4" i="1663"/>
  <c r="I4" i="1663"/>
  <c r="H4" i="1663"/>
  <c r="G4" i="1663"/>
  <c r="F4" i="1663"/>
  <c r="E4" i="1663"/>
  <c r="D4" i="1663"/>
  <c r="C4" i="1663"/>
  <c r="Y3" i="1663"/>
  <c r="W3" i="1663"/>
  <c r="V3" i="1663"/>
  <c r="U3" i="1663"/>
  <c r="T3" i="1663"/>
  <c r="P3" i="1663"/>
  <c r="O3" i="1663"/>
  <c r="N3" i="1663"/>
  <c r="M3" i="1663"/>
  <c r="L3" i="1663"/>
  <c r="K3" i="1663"/>
  <c r="J3" i="1663"/>
  <c r="I3" i="1663"/>
  <c r="H3" i="1663"/>
  <c r="G3" i="1663"/>
  <c r="F3" i="1663"/>
  <c r="E3" i="1663"/>
  <c r="D3" i="1663"/>
  <c r="C3" i="1663"/>
  <c r="F21" i="1662"/>
  <c r="Y19" i="1662"/>
  <c r="W19" i="1662"/>
  <c r="V19" i="1662"/>
  <c r="U19" i="1662"/>
  <c r="T19" i="1662"/>
  <c r="P19" i="1662"/>
  <c r="O19" i="1662"/>
  <c r="N19" i="1662"/>
  <c r="M19" i="1662"/>
  <c r="L19" i="1662"/>
  <c r="K19" i="1662"/>
  <c r="J19" i="1662"/>
  <c r="I19" i="1662"/>
  <c r="H19" i="1662"/>
  <c r="G19" i="1662"/>
  <c r="F19" i="1662"/>
  <c r="E19" i="1662"/>
  <c r="D19" i="1662"/>
  <c r="C19" i="1662"/>
  <c r="Y18" i="1662"/>
  <c r="W18" i="1662"/>
  <c r="V18" i="1662"/>
  <c r="U18" i="1662"/>
  <c r="T18" i="1662"/>
  <c r="P18" i="1662"/>
  <c r="O18" i="1662"/>
  <c r="N18" i="1662"/>
  <c r="M18" i="1662"/>
  <c r="L18" i="1662"/>
  <c r="K18" i="1662"/>
  <c r="J18" i="1662"/>
  <c r="I18" i="1662"/>
  <c r="H18" i="1662"/>
  <c r="G18" i="1662"/>
  <c r="F18" i="1662"/>
  <c r="E18" i="1662"/>
  <c r="D18" i="1662"/>
  <c r="C18" i="1662"/>
  <c r="Y4" i="1662"/>
  <c r="W4" i="1662"/>
  <c r="V4" i="1662"/>
  <c r="U4" i="1662"/>
  <c r="T4" i="1662"/>
  <c r="P4" i="1662"/>
  <c r="O4" i="1662"/>
  <c r="N4" i="1662"/>
  <c r="M4" i="1662"/>
  <c r="L4" i="1662"/>
  <c r="K4" i="1662"/>
  <c r="J4" i="1662"/>
  <c r="I4" i="1662"/>
  <c r="H4" i="1662"/>
  <c r="G4" i="1662"/>
  <c r="F4" i="1662"/>
  <c r="E4" i="1662"/>
  <c r="D4" i="1662"/>
  <c r="C4" i="1662"/>
  <c r="Y3" i="1662"/>
  <c r="W3" i="1662"/>
  <c r="V3" i="1662"/>
  <c r="U3" i="1662"/>
  <c r="T3" i="1662"/>
  <c r="P3" i="1662"/>
  <c r="O3" i="1662"/>
  <c r="N3" i="1662"/>
  <c r="M3" i="1662"/>
  <c r="L3" i="1662"/>
  <c r="K3" i="1662"/>
  <c r="J3" i="1662"/>
  <c r="I3" i="1662"/>
  <c r="H3" i="1662"/>
  <c r="G3" i="1662"/>
  <c r="F3" i="1662"/>
  <c r="E3" i="1662"/>
  <c r="D3" i="1662"/>
  <c r="C3" i="1662"/>
  <c r="F21" i="1661"/>
  <c r="Y19" i="1661"/>
  <c r="W19" i="1661"/>
  <c r="V19" i="1661"/>
  <c r="U19" i="1661"/>
  <c r="T19" i="1661"/>
  <c r="P19" i="1661"/>
  <c r="O19" i="1661"/>
  <c r="N19" i="1661"/>
  <c r="M19" i="1661"/>
  <c r="L19" i="1661"/>
  <c r="K19" i="1661"/>
  <c r="J19" i="1661"/>
  <c r="I19" i="1661"/>
  <c r="H19" i="1661"/>
  <c r="G19" i="1661"/>
  <c r="F19" i="1661"/>
  <c r="E19" i="1661"/>
  <c r="D19" i="1661"/>
  <c r="C19" i="1661"/>
  <c r="Y18" i="1661"/>
  <c r="W18" i="1661"/>
  <c r="V18" i="1661"/>
  <c r="U18" i="1661"/>
  <c r="T18" i="1661"/>
  <c r="P18" i="1661"/>
  <c r="O18" i="1661"/>
  <c r="N18" i="1661"/>
  <c r="M18" i="1661"/>
  <c r="L18" i="1661"/>
  <c r="K18" i="1661"/>
  <c r="J18" i="1661"/>
  <c r="I18" i="1661"/>
  <c r="H18" i="1661"/>
  <c r="G18" i="1661"/>
  <c r="F18" i="1661"/>
  <c r="E18" i="1661"/>
  <c r="D18" i="1661"/>
  <c r="C18" i="1661"/>
  <c r="Y4" i="1661"/>
  <c r="W4" i="1661"/>
  <c r="V4" i="1661"/>
  <c r="U4" i="1661"/>
  <c r="T4" i="1661"/>
  <c r="P4" i="1661"/>
  <c r="O4" i="1661"/>
  <c r="N4" i="1661"/>
  <c r="M4" i="1661"/>
  <c r="L4" i="1661"/>
  <c r="K4" i="1661"/>
  <c r="J4" i="1661"/>
  <c r="I4" i="1661"/>
  <c r="H4" i="1661"/>
  <c r="G4" i="1661"/>
  <c r="F4" i="1661"/>
  <c r="E4" i="1661"/>
  <c r="D4" i="1661"/>
  <c r="C4" i="1661"/>
  <c r="Y3" i="1661"/>
  <c r="W3" i="1661"/>
  <c r="V3" i="1661"/>
  <c r="U3" i="1661"/>
  <c r="T3" i="1661"/>
  <c r="P3" i="1661"/>
  <c r="O3" i="1661"/>
  <c r="N3" i="1661"/>
  <c r="M3" i="1661"/>
  <c r="L3" i="1661"/>
  <c r="K3" i="1661"/>
  <c r="J3" i="1661"/>
  <c r="I3" i="1661"/>
  <c r="H3" i="1661"/>
  <c r="G3" i="1661"/>
  <c r="F3" i="1661"/>
  <c r="E3" i="1661"/>
  <c r="D3" i="1661"/>
  <c r="C3" i="1661"/>
  <c r="F21" i="1660"/>
  <c r="Y19" i="1660"/>
  <c r="W19" i="1660"/>
  <c r="V19" i="1660"/>
  <c r="U19" i="1660"/>
  <c r="T19" i="1660"/>
  <c r="P19" i="1660"/>
  <c r="O19" i="1660"/>
  <c r="N19" i="1660"/>
  <c r="M19" i="1660"/>
  <c r="L19" i="1660"/>
  <c r="K19" i="1660"/>
  <c r="J19" i="1660"/>
  <c r="I19" i="1660"/>
  <c r="H19" i="1660"/>
  <c r="G19" i="1660"/>
  <c r="F19" i="1660"/>
  <c r="E19" i="1660"/>
  <c r="D19" i="1660"/>
  <c r="C19" i="1660"/>
  <c r="Y18" i="1660"/>
  <c r="W18" i="1660"/>
  <c r="V18" i="1660"/>
  <c r="U18" i="1660"/>
  <c r="T18" i="1660"/>
  <c r="P18" i="1660"/>
  <c r="O18" i="1660"/>
  <c r="N18" i="1660"/>
  <c r="M18" i="1660"/>
  <c r="L18" i="1660"/>
  <c r="K18" i="1660"/>
  <c r="J18" i="1660"/>
  <c r="I18" i="1660"/>
  <c r="H18" i="1660"/>
  <c r="G18" i="1660"/>
  <c r="F18" i="1660"/>
  <c r="E18" i="1660"/>
  <c r="D18" i="1660"/>
  <c r="C18" i="1660"/>
  <c r="Y4" i="1660"/>
  <c r="W4" i="1660"/>
  <c r="V4" i="1660"/>
  <c r="U4" i="1660"/>
  <c r="T4" i="1660"/>
  <c r="P4" i="1660"/>
  <c r="O4" i="1660"/>
  <c r="N4" i="1660"/>
  <c r="M4" i="1660"/>
  <c r="L4" i="1660"/>
  <c r="K4" i="1660"/>
  <c r="J4" i="1660"/>
  <c r="I4" i="1660"/>
  <c r="H4" i="1660"/>
  <c r="G4" i="1660"/>
  <c r="F4" i="1660"/>
  <c r="E4" i="1660"/>
  <c r="D4" i="1660"/>
  <c r="C4" i="1660"/>
  <c r="Y3" i="1660"/>
  <c r="W3" i="1660"/>
  <c r="V3" i="1660"/>
  <c r="U3" i="1660"/>
  <c r="T3" i="1660"/>
  <c r="P3" i="1660"/>
  <c r="O3" i="1660"/>
  <c r="N3" i="1660"/>
  <c r="M3" i="1660"/>
  <c r="L3" i="1660"/>
  <c r="K3" i="1660"/>
  <c r="J3" i="1660"/>
  <c r="I3" i="1660"/>
  <c r="H3" i="1660"/>
  <c r="G3" i="1660"/>
  <c r="F3" i="1660"/>
  <c r="E3" i="1660"/>
  <c r="D3" i="1660"/>
  <c r="C3" i="1660"/>
  <c r="F21" i="1659"/>
  <c r="Y19" i="1659"/>
  <c r="W19" i="1659"/>
  <c r="V19" i="1659"/>
  <c r="U19" i="1659"/>
  <c r="T19" i="1659"/>
  <c r="P19" i="1659"/>
  <c r="O19" i="1659"/>
  <c r="N19" i="1659"/>
  <c r="M19" i="1659"/>
  <c r="L19" i="1659"/>
  <c r="K19" i="1659"/>
  <c r="J19" i="1659"/>
  <c r="I19" i="1659"/>
  <c r="H19" i="1659"/>
  <c r="G19" i="1659"/>
  <c r="F19" i="1659"/>
  <c r="E19" i="1659"/>
  <c r="D19" i="1659"/>
  <c r="C19" i="1659"/>
  <c r="Y18" i="1659"/>
  <c r="W18" i="1659"/>
  <c r="V18" i="1659"/>
  <c r="U18" i="1659"/>
  <c r="T18" i="1659"/>
  <c r="P18" i="1659"/>
  <c r="O18" i="1659"/>
  <c r="N18" i="1659"/>
  <c r="M18" i="1659"/>
  <c r="L18" i="1659"/>
  <c r="K18" i="1659"/>
  <c r="J18" i="1659"/>
  <c r="I18" i="1659"/>
  <c r="H18" i="1659"/>
  <c r="G18" i="1659"/>
  <c r="F18" i="1659"/>
  <c r="E18" i="1659"/>
  <c r="D18" i="1659"/>
  <c r="C18" i="1659"/>
  <c r="Y4" i="1659"/>
  <c r="W4" i="1659"/>
  <c r="V4" i="1659"/>
  <c r="U4" i="1659"/>
  <c r="T4" i="1659"/>
  <c r="P4" i="1659"/>
  <c r="O4" i="1659"/>
  <c r="N4" i="1659"/>
  <c r="M4" i="1659"/>
  <c r="L4" i="1659"/>
  <c r="K4" i="1659"/>
  <c r="J4" i="1659"/>
  <c r="I4" i="1659"/>
  <c r="H4" i="1659"/>
  <c r="G4" i="1659"/>
  <c r="F4" i="1659"/>
  <c r="E4" i="1659"/>
  <c r="D4" i="1659"/>
  <c r="C4" i="1659"/>
  <c r="Y3" i="1659"/>
  <c r="W3" i="1659"/>
  <c r="V3" i="1659"/>
  <c r="U3" i="1659"/>
  <c r="T3" i="1659"/>
  <c r="P3" i="1659"/>
  <c r="O3" i="1659"/>
  <c r="N3" i="1659"/>
  <c r="M3" i="1659"/>
  <c r="L3" i="1659"/>
  <c r="K3" i="1659"/>
  <c r="J3" i="1659"/>
  <c r="I3" i="1659"/>
  <c r="H3" i="1659"/>
  <c r="G3" i="1659"/>
  <c r="F3" i="1659"/>
  <c r="E3" i="1659"/>
  <c r="D3" i="1659"/>
  <c r="C3" i="1659"/>
  <c r="F21" i="1658"/>
  <c r="Y19" i="1658"/>
  <c r="W19" i="1658"/>
  <c r="V19" i="1658"/>
  <c r="U19" i="1658"/>
  <c r="T19" i="1658"/>
  <c r="P19" i="1658"/>
  <c r="O19" i="1658"/>
  <c r="N19" i="1658"/>
  <c r="M19" i="1658"/>
  <c r="L19" i="1658"/>
  <c r="K19" i="1658"/>
  <c r="J19" i="1658"/>
  <c r="I19" i="1658"/>
  <c r="H19" i="1658"/>
  <c r="G19" i="1658"/>
  <c r="F19" i="1658"/>
  <c r="E19" i="1658"/>
  <c r="D19" i="1658"/>
  <c r="C19" i="1658"/>
  <c r="Y18" i="1658"/>
  <c r="W18" i="1658"/>
  <c r="V18" i="1658"/>
  <c r="U18" i="1658"/>
  <c r="T18" i="1658"/>
  <c r="P18" i="1658"/>
  <c r="O18" i="1658"/>
  <c r="N18" i="1658"/>
  <c r="M18" i="1658"/>
  <c r="L18" i="1658"/>
  <c r="K18" i="1658"/>
  <c r="J18" i="1658"/>
  <c r="I18" i="1658"/>
  <c r="H18" i="1658"/>
  <c r="G18" i="1658"/>
  <c r="F18" i="1658"/>
  <c r="E18" i="1658"/>
  <c r="D18" i="1658"/>
  <c r="C18" i="1658"/>
  <c r="Y4" i="1658"/>
  <c r="W4" i="1658"/>
  <c r="V4" i="1658"/>
  <c r="U4" i="1658"/>
  <c r="T4" i="1658"/>
  <c r="P4" i="1658"/>
  <c r="O4" i="1658"/>
  <c r="N4" i="1658"/>
  <c r="M4" i="1658"/>
  <c r="L4" i="1658"/>
  <c r="K4" i="1658"/>
  <c r="J4" i="1658"/>
  <c r="I4" i="1658"/>
  <c r="H4" i="1658"/>
  <c r="G4" i="1658"/>
  <c r="F4" i="1658"/>
  <c r="E4" i="1658"/>
  <c r="D4" i="1658"/>
  <c r="C4" i="1658"/>
  <c r="Y3" i="1658"/>
  <c r="W3" i="1658"/>
  <c r="V3" i="1658"/>
  <c r="U3" i="1658"/>
  <c r="T3" i="1658"/>
  <c r="P3" i="1658"/>
  <c r="O3" i="1658"/>
  <c r="N3" i="1658"/>
  <c r="M3" i="1658"/>
  <c r="L3" i="1658"/>
  <c r="K3" i="1658"/>
  <c r="J3" i="1658"/>
  <c r="I3" i="1658"/>
  <c r="H3" i="1658"/>
  <c r="G3" i="1658"/>
  <c r="F3" i="1658"/>
  <c r="E3" i="1658"/>
  <c r="D3" i="1658"/>
  <c r="C3" i="1658"/>
  <c r="F21" i="1657"/>
  <c r="Y19" i="1657"/>
  <c r="W19" i="1657"/>
  <c r="V19" i="1657"/>
  <c r="U19" i="1657"/>
  <c r="T19" i="1657"/>
  <c r="P19" i="1657"/>
  <c r="O19" i="1657"/>
  <c r="N19" i="1657"/>
  <c r="M19" i="1657"/>
  <c r="L19" i="1657"/>
  <c r="K19" i="1657"/>
  <c r="J19" i="1657"/>
  <c r="I19" i="1657"/>
  <c r="H19" i="1657"/>
  <c r="G19" i="1657"/>
  <c r="F19" i="1657"/>
  <c r="E19" i="1657"/>
  <c r="D19" i="1657"/>
  <c r="C19" i="1657"/>
  <c r="Y18" i="1657"/>
  <c r="W18" i="1657"/>
  <c r="V18" i="1657"/>
  <c r="U18" i="1657"/>
  <c r="T18" i="1657"/>
  <c r="P18" i="1657"/>
  <c r="O18" i="1657"/>
  <c r="N18" i="1657"/>
  <c r="M18" i="1657"/>
  <c r="L18" i="1657"/>
  <c r="K18" i="1657"/>
  <c r="J18" i="1657"/>
  <c r="I18" i="1657"/>
  <c r="H18" i="1657"/>
  <c r="G18" i="1657"/>
  <c r="F18" i="1657"/>
  <c r="E18" i="1657"/>
  <c r="D18" i="1657"/>
  <c r="C18" i="1657"/>
  <c r="Y4" i="1657"/>
  <c r="W4" i="1657"/>
  <c r="V4" i="1657"/>
  <c r="U4" i="1657"/>
  <c r="T4" i="1657"/>
  <c r="P4" i="1657"/>
  <c r="O4" i="1657"/>
  <c r="N4" i="1657"/>
  <c r="M4" i="1657"/>
  <c r="L4" i="1657"/>
  <c r="K4" i="1657"/>
  <c r="J4" i="1657"/>
  <c r="I4" i="1657"/>
  <c r="H4" i="1657"/>
  <c r="G4" i="1657"/>
  <c r="F4" i="1657"/>
  <c r="E4" i="1657"/>
  <c r="D4" i="1657"/>
  <c r="C4" i="1657"/>
  <c r="Y3" i="1657"/>
  <c r="W3" i="1657"/>
  <c r="V3" i="1657"/>
  <c r="U3" i="1657"/>
  <c r="T3" i="1657"/>
  <c r="P3" i="1657"/>
  <c r="O3" i="1657"/>
  <c r="N3" i="1657"/>
  <c r="M3" i="1657"/>
  <c r="L3" i="1657"/>
  <c r="K3" i="1657"/>
  <c r="J3" i="1657"/>
  <c r="I3" i="1657"/>
  <c r="H3" i="1657"/>
  <c r="G3" i="1657"/>
  <c r="F3" i="1657"/>
  <c r="E3" i="1657"/>
  <c r="D3" i="1657"/>
  <c r="C3" i="1657"/>
  <c r="F21" i="1656"/>
  <c r="Y19" i="1656"/>
  <c r="W19" i="1656"/>
  <c r="V19" i="1656"/>
  <c r="U19" i="1656"/>
  <c r="T19" i="1656"/>
  <c r="P19" i="1656"/>
  <c r="O19" i="1656"/>
  <c r="N19" i="1656"/>
  <c r="M19" i="1656"/>
  <c r="L19" i="1656"/>
  <c r="K19" i="1656"/>
  <c r="J19" i="1656"/>
  <c r="I19" i="1656"/>
  <c r="H19" i="1656"/>
  <c r="G19" i="1656"/>
  <c r="F19" i="1656"/>
  <c r="E19" i="1656"/>
  <c r="D19" i="1656"/>
  <c r="C19" i="1656"/>
  <c r="Y18" i="1656"/>
  <c r="W18" i="1656"/>
  <c r="V18" i="1656"/>
  <c r="U18" i="1656"/>
  <c r="T18" i="1656"/>
  <c r="P18" i="1656"/>
  <c r="O18" i="1656"/>
  <c r="N18" i="1656"/>
  <c r="M18" i="1656"/>
  <c r="L18" i="1656"/>
  <c r="K18" i="1656"/>
  <c r="J18" i="1656"/>
  <c r="I18" i="1656"/>
  <c r="H18" i="1656"/>
  <c r="G18" i="1656"/>
  <c r="F18" i="1656"/>
  <c r="E18" i="1656"/>
  <c r="D18" i="1656"/>
  <c r="C18" i="1656"/>
  <c r="Y4" i="1656"/>
  <c r="W4" i="1656"/>
  <c r="V4" i="1656"/>
  <c r="U4" i="1656"/>
  <c r="T4" i="1656"/>
  <c r="P4" i="1656"/>
  <c r="O4" i="1656"/>
  <c r="N4" i="1656"/>
  <c r="M4" i="1656"/>
  <c r="L4" i="1656"/>
  <c r="K4" i="1656"/>
  <c r="J4" i="1656"/>
  <c r="I4" i="1656"/>
  <c r="H4" i="1656"/>
  <c r="G4" i="1656"/>
  <c r="F4" i="1656"/>
  <c r="E4" i="1656"/>
  <c r="D4" i="1656"/>
  <c r="C4" i="1656"/>
  <c r="Y3" i="1656"/>
  <c r="W3" i="1656"/>
  <c r="V3" i="1656"/>
  <c r="U3" i="1656"/>
  <c r="T3" i="1656"/>
  <c r="P3" i="1656"/>
  <c r="O3" i="1656"/>
  <c r="N3" i="1656"/>
  <c r="M3" i="1656"/>
  <c r="L3" i="1656"/>
  <c r="K3" i="1656"/>
  <c r="J3" i="1656"/>
  <c r="I3" i="1656"/>
  <c r="H3" i="1656"/>
  <c r="G3" i="1656"/>
  <c r="F3" i="1656"/>
  <c r="E3" i="1656"/>
  <c r="D3" i="1656"/>
  <c r="C3" i="1656"/>
  <c r="F21" i="1655"/>
  <c r="Y19" i="1655"/>
  <c r="W19" i="1655"/>
  <c r="V19" i="1655"/>
  <c r="U19" i="1655"/>
  <c r="T19" i="1655"/>
  <c r="P19" i="1655"/>
  <c r="O19" i="1655"/>
  <c r="N19" i="1655"/>
  <c r="M19" i="1655"/>
  <c r="L19" i="1655"/>
  <c r="K19" i="1655"/>
  <c r="J19" i="1655"/>
  <c r="I19" i="1655"/>
  <c r="H19" i="1655"/>
  <c r="G19" i="1655"/>
  <c r="F19" i="1655"/>
  <c r="E19" i="1655"/>
  <c r="D19" i="1655"/>
  <c r="C19" i="1655"/>
  <c r="Y18" i="1655"/>
  <c r="W18" i="1655"/>
  <c r="V18" i="1655"/>
  <c r="U18" i="1655"/>
  <c r="T18" i="1655"/>
  <c r="P18" i="1655"/>
  <c r="O18" i="1655"/>
  <c r="N18" i="1655"/>
  <c r="M18" i="1655"/>
  <c r="L18" i="1655"/>
  <c r="K18" i="1655"/>
  <c r="J18" i="1655"/>
  <c r="I18" i="1655"/>
  <c r="H18" i="1655"/>
  <c r="G18" i="1655"/>
  <c r="F18" i="1655"/>
  <c r="E18" i="1655"/>
  <c r="D18" i="1655"/>
  <c r="C18" i="1655"/>
  <c r="Y4" i="1655"/>
  <c r="W4" i="1655"/>
  <c r="V4" i="1655"/>
  <c r="U4" i="1655"/>
  <c r="T4" i="1655"/>
  <c r="P4" i="1655"/>
  <c r="O4" i="1655"/>
  <c r="N4" i="1655"/>
  <c r="M4" i="1655"/>
  <c r="L4" i="1655"/>
  <c r="K4" i="1655"/>
  <c r="J4" i="1655"/>
  <c r="I4" i="1655"/>
  <c r="H4" i="1655"/>
  <c r="G4" i="1655"/>
  <c r="F4" i="1655"/>
  <c r="E4" i="1655"/>
  <c r="D4" i="1655"/>
  <c r="C4" i="1655"/>
  <c r="Y3" i="1655"/>
  <c r="W3" i="1655"/>
  <c r="V3" i="1655"/>
  <c r="U3" i="1655"/>
  <c r="T3" i="1655"/>
  <c r="P3" i="1655"/>
  <c r="O3" i="1655"/>
  <c r="N3" i="1655"/>
  <c r="M3" i="1655"/>
  <c r="L3" i="1655"/>
  <c r="K3" i="1655"/>
  <c r="J3" i="1655"/>
  <c r="I3" i="1655"/>
  <c r="H3" i="1655"/>
  <c r="G3" i="1655"/>
  <c r="F3" i="1655"/>
  <c r="E3" i="1655"/>
  <c r="D3" i="1655"/>
  <c r="C3" i="1655"/>
  <c r="F21" i="1654"/>
  <c r="Y19" i="1654"/>
  <c r="W19" i="1654"/>
  <c r="V19" i="1654"/>
  <c r="U19" i="1654"/>
  <c r="T19" i="1654"/>
  <c r="P19" i="1654"/>
  <c r="O19" i="1654"/>
  <c r="N19" i="1654"/>
  <c r="M19" i="1654"/>
  <c r="L19" i="1654"/>
  <c r="K19" i="1654"/>
  <c r="J19" i="1654"/>
  <c r="I19" i="1654"/>
  <c r="H19" i="1654"/>
  <c r="G19" i="1654"/>
  <c r="F19" i="1654"/>
  <c r="E19" i="1654"/>
  <c r="D19" i="1654"/>
  <c r="C19" i="1654"/>
  <c r="Y18" i="1654"/>
  <c r="W18" i="1654"/>
  <c r="V18" i="1654"/>
  <c r="U18" i="1654"/>
  <c r="T18" i="1654"/>
  <c r="P18" i="1654"/>
  <c r="O18" i="1654"/>
  <c r="N18" i="1654"/>
  <c r="M18" i="1654"/>
  <c r="L18" i="1654"/>
  <c r="K18" i="1654"/>
  <c r="J18" i="1654"/>
  <c r="I18" i="1654"/>
  <c r="H18" i="1654"/>
  <c r="G18" i="1654"/>
  <c r="F18" i="1654"/>
  <c r="E18" i="1654"/>
  <c r="D18" i="1654"/>
  <c r="C18" i="1654"/>
  <c r="Y4" i="1654"/>
  <c r="W4" i="1654"/>
  <c r="V4" i="1654"/>
  <c r="U4" i="1654"/>
  <c r="T4" i="1654"/>
  <c r="P4" i="1654"/>
  <c r="O4" i="1654"/>
  <c r="N4" i="1654"/>
  <c r="M4" i="1654"/>
  <c r="L4" i="1654"/>
  <c r="K4" i="1654"/>
  <c r="J4" i="1654"/>
  <c r="I4" i="1654"/>
  <c r="H4" i="1654"/>
  <c r="G4" i="1654"/>
  <c r="F4" i="1654"/>
  <c r="E4" i="1654"/>
  <c r="D4" i="1654"/>
  <c r="C4" i="1654"/>
  <c r="Y3" i="1654"/>
  <c r="W3" i="1654"/>
  <c r="V3" i="1654"/>
  <c r="U3" i="1654"/>
  <c r="T3" i="1654"/>
  <c r="P3" i="1654"/>
  <c r="O3" i="1654"/>
  <c r="N3" i="1654"/>
  <c r="M3" i="1654"/>
  <c r="L3" i="1654"/>
  <c r="K3" i="1654"/>
  <c r="J3" i="1654"/>
  <c r="I3" i="1654"/>
  <c r="H3" i="1654"/>
  <c r="G3" i="1654"/>
  <c r="F3" i="1654"/>
  <c r="E3" i="1654"/>
  <c r="D3" i="1654"/>
  <c r="C3" i="1654"/>
  <c r="F21" i="1653"/>
  <c r="Y19" i="1653"/>
  <c r="W19" i="1653"/>
  <c r="V19" i="1653"/>
  <c r="U19" i="1653"/>
  <c r="T19" i="1653"/>
  <c r="P19" i="1653"/>
  <c r="O19" i="1653"/>
  <c r="N19" i="1653"/>
  <c r="M19" i="1653"/>
  <c r="L19" i="1653"/>
  <c r="K19" i="1653"/>
  <c r="J19" i="1653"/>
  <c r="I19" i="1653"/>
  <c r="H19" i="1653"/>
  <c r="G19" i="1653"/>
  <c r="F19" i="1653"/>
  <c r="E19" i="1653"/>
  <c r="D19" i="1653"/>
  <c r="C19" i="1653"/>
  <c r="Y18" i="1653"/>
  <c r="W18" i="1653"/>
  <c r="V18" i="1653"/>
  <c r="U18" i="1653"/>
  <c r="T18" i="1653"/>
  <c r="P18" i="1653"/>
  <c r="O18" i="1653"/>
  <c r="N18" i="1653"/>
  <c r="M18" i="1653"/>
  <c r="L18" i="1653"/>
  <c r="K18" i="1653"/>
  <c r="J18" i="1653"/>
  <c r="I18" i="1653"/>
  <c r="H18" i="1653"/>
  <c r="G18" i="1653"/>
  <c r="F18" i="1653"/>
  <c r="E18" i="1653"/>
  <c r="D18" i="1653"/>
  <c r="C18" i="1653"/>
  <c r="Y4" i="1653"/>
  <c r="W4" i="1653"/>
  <c r="V4" i="1653"/>
  <c r="U4" i="1653"/>
  <c r="T4" i="1653"/>
  <c r="P4" i="1653"/>
  <c r="O4" i="1653"/>
  <c r="N4" i="1653"/>
  <c r="M4" i="1653"/>
  <c r="L4" i="1653"/>
  <c r="K4" i="1653"/>
  <c r="J4" i="1653"/>
  <c r="I4" i="1653"/>
  <c r="H4" i="1653"/>
  <c r="G4" i="1653"/>
  <c r="F4" i="1653"/>
  <c r="E4" i="1653"/>
  <c r="D4" i="1653"/>
  <c r="C4" i="1653"/>
  <c r="Y3" i="1653"/>
  <c r="W3" i="1653"/>
  <c r="V3" i="1653"/>
  <c r="U3" i="1653"/>
  <c r="T3" i="1653"/>
  <c r="P3" i="1653"/>
  <c r="O3" i="1653"/>
  <c r="N3" i="1653"/>
  <c r="M3" i="1653"/>
  <c r="L3" i="1653"/>
  <c r="K3" i="1653"/>
  <c r="J3" i="1653"/>
  <c r="I3" i="1653"/>
  <c r="H3" i="1653"/>
  <c r="G3" i="1653"/>
  <c r="F3" i="1653"/>
  <c r="E3" i="1653"/>
  <c r="D3" i="1653"/>
  <c r="C3" i="1653"/>
  <c r="F21" i="1652"/>
  <c r="Y19" i="1652"/>
  <c r="W19" i="1652"/>
  <c r="V19" i="1652"/>
  <c r="U19" i="1652"/>
  <c r="T19" i="1652"/>
  <c r="P19" i="1652"/>
  <c r="O19" i="1652"/>
  <c r="N19" i="1652"/>
  <c r="M19" i="1652"/>
  <c r="L19" i="1652"/>
  <c r="K19" i="1652"/>
  <c r="J19" i="1652"/>
  <c r="I19" i="1652"/>
  <c r="H19" i="1652"/>
  <c r="G19" i="1652"/>
  <c r="F19" i="1652"/>
  <c r="E19" i="1652"/>
  <c r="D19" i="1652"/>
  <c r="C19" i="1652"/>
  <c r="Y18" i="1652"/>
  <c r="W18" i="1652"/>
  <c r="V18" i="1652"/>
  <c r="U18" i="1652"/>
  <c r="T18" i="1652"/>
  <c r="P18" i="1652"/>
  <c r="O18" i="1652"/>
  <c r="N18" i="1652"/>
  <c r="M18" i="1652"/>
  <c r="L18" i="1652"/>
  <c r="K18" i="1652"/>
  <c r="J18" i="1652"/>
  <c r="I18" i="1652"/>
  <c r="H18" i="1652"/>
  <c r="G18" i="1652"/>
  <c r="F18" i="1652"/>
  <c r="E18" i="1652"/>
  <c r="D18" i="1652"/>
  <c r="C18" i="1652"/>
  <c r="Y4" i="1652"/>
  <c r="W4" i="1652"/>
  <c r="V4" i="1652"/>
  <c r="U4" i="1652"/>
  <c r="T4" i="1652"/>
  <c r="P4" i="1652"/>
  <c r="O4" i="1652"/>
  <c r="N4" i="1652"/>
  <c r="M4" i="1652"/>
  <c r="L4" i="1652"/>
  <c r="K4" i="1652"/>
  <c r="J4" i="1652"/>
  <c r="I4" i="1652"/>
  <c r="H4" i="1652"/>
  <c r="G4" i="1652"/>
  <c r="F4" i="1652"/>
  <c r="E4" i="1652"/>
  <c r="D4" i="1652"/>
  <c r="C4" i="1652"/>
  <c r="Y3" i="1652"/>
  <c r="W3" i="1652"/>
  <c r="V3" i="1652"/>
  <c r="U3" i="1652"/>
  <c r="T3" i="1652"/>
  <c r="P3" i="1652"/>
  <c r="O3" i="1652"/>
  <c r="N3" i="1652"/>
  <c r="M3" i="1652"/>
  <c r="L3" i="1652"/>
  <c r="K3" i="1652"/>
  <c r="J3" i="1652"/>
  <c r="I3" i="1652"/>
  <c r="H3" i="1652"/>
  <c r="G3" i="1652"/>
  <c r="F3" i="1652"/>
  <c r="E3" i="1652"/>
  <c r="D3" i="1652"/>
  <c r="C3" i="1652"/>
  <c r="F21" i="1651"/>
  <c r="Y19" i="1651"/>
  <c r="W19" i="1651"/>
  <c r="V19" i="1651"/>
  <c r="U19" i="1651"/>
  <c r="T19" i="1651"/>
  <c r="P19" i="1651"/>
  <c r="O19" i="1651"/>
  <c r="N19" i="1651"/>
  <c r="M19" i="1651"/>
  <c r="L19" i="1651"/>
  <c r="K19" i="1651"/>
  <c r="J19" i="1651"/>
  <c r="I19" i="1651"/>
  <c r="H19" i="1651"/>
  <c r="G19" i="1651"/>
  <c r="F19" i="1651"/>
  <c r="E19" i="1651"/>
  <c r="D19" i="1651"/>
  <c r="C19" i="1651"/>
  <c r="Y18" i="1651"/>
  <c r="W18" i="1651"/>
  <c r="V18" i="1651"/>
  <c r="U18" i="1651"/>
  <c r="T18" i="1651"/>
  <c r="P18" i="1651"/>
  <c r="O18" i="1651"/>
  <c r="N18" i="1651"/>
  <c r="M18" i="1651"/>
  <c r="L18" i="1651"/>
  <c r="K18" i="1651"/>
  <c r="J18" i="1651"/>
  <c r="I18" i="1651"/>
  <c r="H18" i="1651"/>
  <c r="G18" i="1651"/>
  <c r="F18" i="1651"/>
  <c r="E18" i="1651"/>
  <c r="D18" i="1651"/>
  <c r="C18" i="1651"/>
  <c r="Y4" i="1651"/>
  <c r="W4" i="1651"/>
  <c r="V4" i="1651"/>
  <c r="U4" i="1651"/>
  <c r="T4" i="1651"/>
  <c r="P4" i="1651"/>
  <c r="O4" i="1651"/>
  <c r="N4" i="1651"/>
  <c r="M4" i="1651"/>
  <c r="L4" i="1651"/>
  <c r="K4" i="1651"/>
  <c r="J4" i="1651"/>
  <c r="I4" i="1651"/>
  <c r="H4" i="1651"/>
  <c r="G4" i="1651"/>
  <c r="F4" i="1651"/>
  <c r="E4" i="1651"/>
  <c r="D4" i="1651"/>
  <c r="C4" i="1651"/>
  <c r="Y3" i="1651"/>
  <c r="W3" i="1651"/>
  <c r="V3" i="1651"/>
  <c r="U3" i="1651"/>
  <c r="T3" i="1651"/>
  <c r="P3" i="1651"/>
  <c r="O3" i="1651"/>
  <c r="N3" i="1651"/>
  <c r="M3" i="1651"/>
  <c r="L3" i="1651"/>
  <c r="K3" i="1651"/>
  <c r="J3" i="1651"/>
  <c r="I3" i="1651"/>
  <c r="H3" i="1651"/>
  <c r="G3" i="1651"/>
  <c r="F3" i="1651"/>
  <c r="E3" i="1651"/>
  <c r="D3" i="1651"/>
  <c r="C3" i="1651"/>
  <c r="F21" i="1650"/>
  <c r="Y19" i="1650"/>
  <c r="W19" i="1650"/>
  <c r="V19" i="1650"/>
  <c r="U19" i="1650"/>
  <c r="T19" i="1650"/>
  <c r="P19" i="1650"/>
  <c r="O19" i="1650"/>
  <c r="N19" i="1650"/>
  <c r="M19" i="1650"/>
  <c r="L19" i="1650"/>
  <c r="K19" i="1650"/>
  <c r="J19" i="1650"/>
  <c r="I19" i="1650"/>
  <c r="H19" i="1650"/>
  <c r="G19" i="1650"/>
  <c r="F19" i="1650"/>
  <c r="E19" i="1650"/>
  <c r="D19" i="1650"/>
  <c r="C19" i="1650"/>
  <c r="Y18" i="1650"/>
  <c r="W18" i="1650"/>
  <c r="V18" i="1650"/>
  <c r="U18" i="1650"/>
  <c r="T18" i="1650"/>
  <c r="P18" i="1650"/>
  <c r="O18" i="1650"/>
  <c r="N18" i="1650"/>
  <c r="M18" i="1650"/>
  <c r="L18" i="1650"/>
  <c r="K18" i="1650"/>
  <c r="J18" i="1650"/>
  <c r="I18" i="1650"/>
  <c r="H18" i="1650"/>
  <c r="G18" i="1650"/>
  <c r="F18" i="1650"/>
  <c r="E18" i="1650"/>
  <c r="D18" i="1650"/>
  <c r="C18" i="1650"/>
  <c r="Y4" i="1650"/>
  <c r="W4" i="1650"/>
  <c r="V4" i="1650"/>
  <c r="U4" i="1650"/>
  <c r="T4" i="1650"/>
  <c r="P4" i="1650"/>
  <c r="O4" i="1650"/>
  <c r="N4" i="1650"/>
  <c r="M4" i="1650"/>
  <c r="L4" i="1650"/>
  <c r="K4" i="1650"/>
  <c r="J4" i="1650"/>
  <c r="I4" i="1650"/>
  <c r="H4" i="1650"/>
  <c r="G4" i="1650"/>
  <c r="F4" i="1650"/>
  <c r="E4" i="1650"/>
  <c r="D4" i="1650"/>
  <c r="C4" i="1650"/>
  <c r="Y3" i="1650"/>
  <c r="W3" i="1650"/>
  <c r="V3" i="1650"/>
  <c r="U3" i="1650"/>
  <c r="T3" i="1650"/>
  <c r="P3" i="1650"/>
  <c r="O3" i="1650"/>
  <c r="N3" i="1650"/>
  <c r="M3" i="1650"/>
  <c r="L3" i="1650"/>
  <c r="K3" i="1650"/>
  <c r="J3" i="1650"/>
  <c r="I3" i="1650"/>
  <c r="H3" i="1650"/>
  <c r="G3" i="1650"/>
  <c r="F3" i="1650"/>
  <c r="E3" i="1650"/>
  <c r="D3" i="1650"/>
  <c r="C3" i="1650"/>
  <c r="F21" i="1649"/>
  <c r="Y19" i="1649"/>
  <c r="W19" i="1649"/>
  <c r="V19" i="1649"/>
  <c r="U19" i="1649"/>
  <c r="T19" i="1649"/>
  <c r="P19" i="1649"/>
  <c r="O19" i="1649"/>
  <c r="N19" i="1649"/>
  <c r="M19" i="1649"/>
  <c r="L19" i="1649"/>
  <c r="K19" i="1649"/>
  <c r="J19" i="1649"/>
  <c r="I19" i="1649"/>
  <c r="H19" i="1649"/>
  <c r="G19" i="1649"/>
  <c r="F19" i="1649"/>
  <c r="E19" i="1649"/>
  <c r="D19" i="1649"/>
  <c r="C19" i="1649"/>
  <c r="Y18" i="1649"/>
  <c r="W18" i="1649"/>
  <c r="V18" i="1649"/>
  <c r="U18" i="1649"/>
  <c r="T18" i="1649"/>
  <c r="P18" i="1649"/>
  <c r="O18" i="1649"/>
  <c r="N18" i="1649"/>
  <c r="M18" i="1649"/>
  <c r="L18" i="1649"/>
  <c r="K18" i="1649"/>
  <c r="J18" i="1649"/>
  <c r="I18" i="1649"/>
  <c r="H18" i="1649"/>
  <c r="G18" i="1649"/>
  <c r="F18" i="1649"/>
  <c r="E18" i="1649"/>
  <c r="D18" i="1649"/>
  <c r="C18" i="1649"/>
  <c r="Y4" i="1649"/>
  <c r="W4" i="1649"/>
  <c r="V4" i="1649"/>
  <c r="U4" i="1649"/>
  <c r="T4" i="1649"/>
  <c r="P4" i="1649"/>
  <c r="O4" i="1649"/>
  <c r="N4" i="1649"/>
  <c r="M4" i="1649"/>
  <c r="L4" i="1649"/>
  <c r="K4" i="1649"/>
  <c r="J4" i="1649"/>
  <c r="I4" i="1649"/>
  <c r="H4" i="1649"/>
  <c r="G4" i="1649"/>
  <c r="F4" i="1649"/>
  <c r="E4" i="1649"/>
  <c r="D4" i="1649"/>
  <c r="C4" i="1649"/>
  <c r="Y3" i="1649"/>
  <c r="W3" i="1649"/>
  <c r="V3" i="1649"/>
  <c r="U3" i="1649"/>
  <c r="T3" i="1649"/>
  <c r="P3" i="1649"/>
  <c r="O3" i="1649"/>
  <c r="N3" i="1649"/>
  <c r="M3" i="1649"/>
  <c r="L3" i="1649"/>
  <c r="K3" i="1649"/>
  <c r="J3" i="1649"/>
  <c r="I3" i="1649"/>
  <c r="H3" i="1649"/>
  <c r="G3" i="1649"/>
  <c r="F3" i="1649"/>
  <c r="E3" i="1649"/>
  <c r="D3" i="1649"/>
  <c r="C3" i="1649"/>
  <c r="F21" i="1648"/>
  <c r="Y19" i="1648"/>
  <c r="W19" i="1648"/>
  <c r="V19" i="1648"/>
  <c r="U19" i="1648"/>
  <c r="T19" i="1648"/>
  <c r="P19" i="1648"/>
  <c r="O19" i="1648"/>
  <c r="N19" i="1648"/>
  <c r="M19" i="1648"/>
  <c r="L19" i="1648"/>
  <c r="K19" i="1648"/>
  <c r="J19" i="1648"/>
  <c r="I19" i="1648"/>
  <c r="H19" i="1648"/>
  <c r="G19" i="1648"/>
  <c r="F19" i="1648"/>
  <c r="E19" i="1648"/>
  <c r="D19" i="1648"/>
  <c r="C19" i="1648"/>
  <c r="Y18" i="1648"/>
  <c r="W18" i="1648"/>
  <c r="V18" i="1648"/>
  <c r="U18" i="1648"/>
  <c r="T18" i="1648"/>
  <c r="P18" i="1648"/>
  <c r="O18" i="1648"/>
  <c r="N18" i="1648"/>
  <c r="M18" i="1648"/>
  <c r="L18" i="1648"/>
  <c r="K18" i="1648"/>
  <c r="J18" i="1648"/>
  <c r="I18" i="1648"/>
  <c r="H18" i="1648"/>
  <c r="G18" i="1648"/>
  <c r="F18" i="1648"/>
  <c r="E18" i="1648"/>
  <c r="D18" i="1648"/>
  <c r="C18" i="1648"/>
  <c r="Y4" i="1648"/>
  <c r="W4" i="1648"/>
  <c r="V4" i="1648"/>
  <c r="U4" i="1648"/>
  <c r="T4" i="1648"/>
  <c r="P4" i="1648"/>
  <c r="O4" i="1648"/>
  <c r="N4" i="1648"/>
  <c r="M4" i="1648"/>
  <c r="L4" i="1648"/>
  <c r="K4" i="1648"/>
  <c r="J4" i="1648"/>
  <c r="I4" i="1648"/>
  <c r="H4" i="1648"/>
  <c r="G4" i="1648"/>
  <c r="F4" i="1648"/>
  <c r="E4" i="1648"/>
  <c r="D4" i="1648"/>
  <c r="C4" i="1648"/>
  <c r="Y3" i="1648"/>
  <c r="W3" i="1648"/>
  <c r="V3" i="1648"/>
  <c r="U3" i="1648"/>
  <c r="T3" i="1648"/>
  <c r="P3" i="1648"/>
  <c r="O3" i="1648"/>
  <c r="N3" i="1648"/>
  <c r="M3" i="1648"/>
  <c r="L3" i="1648"/>
  <c r="K3" i="1648"/>
  <c r="J3" i="1648"/>
  <c r="I3" i="1648"/>
  <c r="H3" i="1648"/>
  <c r="G3" i="1648"/>
  <c r="F3" i="1648"/>
  <c r="E3" i="1648"/>
  <c r="D3" i="1648"/>
  <c r="C3" i="1648"/>
  <c r="F21" i="1647"/>
  <c r="Y19" i="1647"/>
  <c r="W19" i="1647"/>
  <c r="V19" i="1647"/>
  <c r="U19" i="1647"/>
  <c r="T19" i="1647"/>
  <c r="P19" i="1647"/>
  <c r="O19" i="1647"/>
  <c r="N19" i="1647"/>
  <c r="M19" i="1647"/>
  <c r="L19" i="1647"/>
  <c r="K19" i="1647"/>
  <c r="J19" i="1647"/>
  <c r="I19" i="1647"/>
  <c r="H19" i="1647"/>
  <c r="G19" i="1647"/>
  <c r="F19" i="1647"/>
  <c r="E19" i="1647"/>
  <c r="D19" i="1647"/>
  <c r="C19" i="1647"/>
  <c r="Y18" i="1647"/>
  <c r="W18" i="1647"/>
  <c r="V18" i="1647"/>
  <c r="U18" i="1647"/>
  <c r="T18" i="1647"/>
  <c r="P18" i="1647"/>
  <c r="O18" i="1647"/>
  <c r="N18" i="1647"/>
  <c r="M18" i="1647"/>
  <c r="L18" i="1647"/>
  <c r="K18" i="1647"/>
  <c r="J18" i="1647"/>
  <c r="I18" i="1647"/>
  <c r="H18" i="1647"/>
  <c r="G18" i="1647"/>
  <c r="F18" i="1647"/>
  <c r="E18" i="1647"/>
  <c r="D18" i="1647"/>
  <c r="C18" i="1647"/>
  <c r="Y4" i="1647"/>
  <c r="W4" i="1647"/>
  <c r="V4" i="1647"/>
  <c r="U4" i="1647"/>
  <c r="T4" i="1647"/>
  <c r="P4" i="1647"/>
  <c r="O4" i="1647"/>
  <c r="N4" i="1647"/>
  <c r="M4" i="1647"/>
  <c r="L4" i="1647"/>
  <c r="K4" i="1647"/>
  <c r="J4" i="1647"/>
  <c r="I4" i="1647"/>
  <c r="H4" i="1647"/>
  <c r="G4" i="1647"/>
  <c r="F4" i="1647"/>
  <c r="E4" i="1647"/>
  <c r="D4" i="1647"/>
  <c r="C4" i="1647"/>
  <c r="Y3" i="1647"/>
  <c r="W3" i="1647"/>
  <c r="V3" i="1647"/>
  <c r="U3" i="1647"/>
  <c r="T3" i="1647"/>
  <c r="P3" i="1647"/>
  <c r="O3" i="1647"/>
  <c r="N3" i="1647"/>
  <c r="M3" i="1647"/>
  <c r="L3" i="1647"/>
  <c r="K3" i="1647"/>
  <c r="J3" i="1647"/>
  <c r="I3" i="1647"/>
  <c r="H3" i="1647"/>
  <c r="G3" i="1647"/>
  <c r="F3" i="1647"/>
  <c r="E3" i="1647"/>
  <c r="D3" i="1647"/>
  <c r="C3" i="1647"/>
  <c r="F21" i="1646"/>
  <c r="Y19" i="1646"/>
  <c r="W19" i="1646"/>
  <c r="V19" i="1646"/>
  <c r="U19" i="1646"/>
  <c r="T19" i="1646"/>
  <c r="P19" i="1646"/>
  <c r="O19" i="1646"/>
  <c r="N19" i="1646"/>
  <c r="M19" i="1646"/>
  <c r="L19" i="1646"/>
  <c r="K19" i="1646"/>
  <c r="J19" i="1646"/>
  <c r="I19" i="1646"/>
  <c r="H19" i="1646"/>
  <c r="G19" i="1646"/>
  <c r="F19" i="1646"/>
  <c r="E19" i="1646"/>
  <c r="D19" i="1646"/>
  <c r="C19" i="1646"/>
  <c r="Y18" i="1646"/>
  <c r="W18" i="1646"/>
  <c r="V18" i="1646"/>
  <c r="U18" i="1646"/>
  <c r="T18" i="1646"/>
  <c r="P18" i="1646"/>
  <c r="O18" i="1646"/>
  <c r="N18" i="1646"/>
  <c r="M18" i="1646"/>
  <c r="L18" i="1646"/>
  <c r="K18" i="1646"/>
  <c r="J18" i="1646"/>
  <c r="I18" i="1646"/>
  <c r="H18" i="1646"/>
  <c r="G18" i="1646"/>
  <c r="F18" i="1646"/>
  <c r="E18" i="1646"/>
  <c r="D18" i="1646"/>
  <c r="C18" i="1646"/>
  <c r="Y4" i="1646"/>
  <c r="W4" i="1646"/>
  <c r="V4" i="1646"/>
  <c r="U4" i="1646"/>
  <c r="T4" i="1646"/>
  <c r="P4" i="1646"/>
  <c r="O4" i="1646"/>
  <c r="N4" i="1646"/>
  <c r="M4" i="1646"/>
  <c r="L4" i="1646"/>
  <c r="K4" i="1646"/>
  <c r="J4" i="1646"/>
  <c r="I4" i="1646"/>
  <c r="H4" i="1646"/>
  <c r="G4" i="1646"/>
  <c r="F4" i="1646"/>
  <c r="E4" i="1646"/>
  <c r="D4" i="1646"/>
  <c r="C4" i="1646"/>
  <c r="Y3" i="1646"/>
  <c r="W3" i="1646"/>
  <c r="V3" i="1646"/>
  <c r="U3" i="1646"/>
  <c r="T3" i="1646"/>
  <c r="P3" i="1646"/>
  <c r="O3" i="1646"/>
  <c r="N3" i="1646"/>
  <c r="M3" i="1646"/>
  <c r="L3" i="1646"/>
  <c r="K3" i="1646"/>
  <c r="J3" i="1646"/>
  <c r="I3" i="1646"/>
  <c r="H3" i="1646"/>
  <c r="G3" i="1646"/>
  <c r="F3" i="1646"/>
  <c r="E3" i="1646"/>
  <c r="D3" i="1646"/>
  <c r="C3" i="1646"/>
  <c r="F21" i="1645"/>
  <c r="Y19" i="1645"/>
  <c r="W19" i="1645"/>
  <c r="V19" i="1645"/>
  <c r="U19" i="1645"/>
  <c r="T19" i="1645"/>
  <c r="P19" i="1645"/>
  <c r="O19" i="1645"/>
  <c r="N19" i="1645"/>
  <c r="M19" i="1645"/>
  <c r="L19" i="1645"/>
  <c r="K19" i="1645"/>
  <c r="J19" i="1645"/>
  <c r="I19" i="1645"/>
  <c r="H19" i="1645"/>
  <c r="G19" i="1645"/>
  <c r="F19" i="1645"/>
  <c r="E19" i="1645"/>
  <c r="D19" i="1645"/>
  <c r="C19" i="1645"/>
  <c r="Y18" i="1645"/>
  <c r="W18" i="1645"/>
  <c r="V18" i="1645"/>
  <c r="U18" i="1645"/>
  <c r="T18" i="1645"/>
  <c r="P18" i="1645"/>
  <c r="O18" i="1645"/>
  <c r="N18" i="1645"/>
  <c r="M18" i="1645"/>
  <c r="L18" i="1645"/>
  <c r="K18" i="1645"/>
  <c r="J18" i="1645"/>
  <c r="I18" i="1645"/>
  <c r="H18" i="1645"/>
  <c r="G18" i="1645"/>
  <c r="F18" i="1645"/>
  <c r="E18" i="1645"/>
  <c r="D18" i="1645"/>
  <c r="C18" i="1645"/>
  <c r="Y4" i="1645"/>
  <c r="W4" i="1645"/>
  <c r="V4" i="1645"/>
  <c r="U4" i="1645"/>
  <c r="T4" i="1645"/>
  <c r="P4" i="1645"/>
  <c r="O4" i="1645"/>
  <c r="N4" i="1645"/>
  <c r="M4" i="1645"/>
  <c r="L4" i="1645"/>
  <c r="K4" i="1645"/>
  <c r="J4" i="1645"/>
  <c r="I4" i="1645"/>
  <c r="H4" i="1645"/>
  <c r="G4" i="1645"/>
  <c r="F4" i="1645"/>
  <c r="E4" i="1645"/>
  <c r="D4" i="1645"/>
  <c r="C4" i="1645"/>
  <c r="Y3" i="1645"/>
  <c r="W3" i="1645"/>
  <c r="V3" i="1645"/>
  <c r="U3" i="1645"/>
  <c r="T3" i="1645"/>
  <c r="P3" i="1645"/>
  <c r="O3" i="1645"/>
  <c r="N3" i="1645"/>
  <c r="M3" i="1645"/>
  <c r="L3" i="1645"/>
  <c r="K3" i="1645"/>
  <c r="J3" i="1645"/>
  <c r="I3" i="1645"/>
  <c r="H3" i="1645"/>
  <c r="G3" i="1645"/>
  <c r="F3" i="1645"/>
  <c r="E3" i="1645"/>
  <c r="D3" i="1645"/>
  <c r="C3" i="1645"/>
  <c r="F21" i="1644"/>
  <c r="Y19" i="1644"/>
  <c r="W19" i="1644"/>
  <c r="V19" i="1644"/>
  <c r="U19" i="1644"/>
  <c r="T19" i="1644"/>
  <c r="P19" i="1644"/>
  <c r="O19" i="1644"/>
  <c r="N19" i="1644"/>
  <c r="M19" i="1644"/>
  <c r="L19" i="1644"/>
  <c r="K19" i="1644"/>
  <c r="J19" i="1644"/>
  <c r="I19" i="1644"/>
  <c r="H19" i="1644"/>
  <c r="G19" i="1644"/>
  <c r="F19" i="1644"/>
  <c r="E19" i="1644"/>
  <c r="D19" i="1644"/>
  <c r="C19" i="1644"/>
  <c r="Y18" i="1644"/>
  <c r="W18" i="1644"/>
  <c r="V18" i="1644"/>
  <c r="U18" i="1644"/>
  <c r="T18" i="1644"/>
  <c r="P18" i="1644"/>
  <c r="O18" i="1644"/>
  <c r="N18" i="1644"/>
  <c r="M18" i="1644"/>
  <c r="L18" i="1644"/>
  <c r="K18" i="1644"/>
  <c r="J18" i="1644"/>
  <c r="I18" i="1644"/>
  <c r="H18" i="1644"/>
  <c r="G18" i="1644"/>
  <c r="F18" i="1644"/>
  <c r="E18" i="1644"/>
  <c r="D18" i="1644"/>
  <c r="C18" i="1644"/>
  <c r="Y4" i="1644"/>
  <c r="W4" i="1644"/>
  <c r="V4" i="1644"/>
  <c r="U4" i="1644"/>
  <c r="T4" i="1644"/>
  <c r="P4" i="1644"/>
  <c r="O4" i="1644"/>
  <c r="N4" i="1644"/>
  <c r="M4" i="1644"/>
  <c r="L4" i="1644"/>
  <c r="K4" i="1644"/>
  <c r="J4" i="1644"/>
  <c r="I4" i="1644"/>
  <c r="H4" i="1644"/>
  <c r="G4" i="1644"/>
  <c r="F4" i="1644"/>
  <c r="E4" i="1644"/>
  <c r="D4" i="1644"/>
  <c r="C4" i="1644"/>
  <c r="Y3" i="1644"/>
  <c r="W3" i="1644"/>
  <c r="V3" i="1644"/>
  <c r="U3" i="1644"/>
  <c r="T3" i="1644"/>
  <c r="P3" i="1644"/>
  <c r="O3" i="1644"/>
  <c r="N3" i="1644"/>
  <c r="M3" i="1644"/>
  <c r="L3" i="1644"/>
  <c r="K3" i="1644"/>
  <c r="J3" i="1644"/>
  <c r="I3" i="1644"/>
  <c r="H3" i="1644"/>
  <c r="G3" i="1644"/>
  <c r="F3" i="1644"/>
  <c r="E3" i="1644"/>
  <c r="D3" i="1644"/>
  <c r="C3" i="1644"/>
  <c r="F21" i="1643" l="1"/>
  <c r="Y19" i="1643"/>
  <c r="W19" i="1643"/>
  <c r="V19" i="1643"/>
  <c r="U19" i="1643"/>
  <c r="T19" i="1643"/>
  <c r="P19" i="1643"/>
  <c r="O19" i="1643"/>
  <c r="N19" i="1643"/>
  <c r="M19" i="1643"/>
  <c r="L19" i="1643"/>
  <c r="K19" i="1643"/>
  <c r="J19" i="1643"/>
  <c r="I19" i="1643"/>
  <c r="H19" i="1643"/>
  <c r="G19" i="1643"/>
  <c r="F19" i="1643"/>
  <c r="E19" i="1643"/>
  <c r="D19" i="1643"/>
  <c r="C19" i="1643"/>
  <c r="Y18" i="1643"/>
  <c r="W18" i="1643"/>
  <c r="V18" i="1643"/>
  <c r="U18" i="1643"/>
  <c r="T18" i="1643"/>
  <c r="P18" i="1643"/>
  <c r="O18" i="1643"/>
  <c r="N18" i="1643"/>
  <c r="M18" i="1643"/>
  <c r="L18" i="1643"/>
  <c r="K18" i="1643"/>
  <c r="J18" i="1643"/>
  <c r="I18" i="1643"/>
  <c r="H18" i="1643"/>
  <c r="G18" i="1643"/>
  <c r="F18" i="1643"/>
  <c r="E18" i="1643"/>
  <c r="D18" i="1643"/>
  <c r="C18" i="1643"/>
  <c r="Y4" i="1643"/>
  <c r="W4" i="1643"/>
  <c r="V4" i="1643"/>
  <c r="U4" i="1643"/>
  <c r="T4" i="1643"/>
  <c r="P4" i="1643"/>
  <c r="O4" i="1643"/>
  <c r="N4" i="1643"/>
  <c r="M4" i="1643"/>
  <c r="L4" i="1643"/>
  <c r="K4" i="1643"/>
  <c r="J4" i="1643"/>
  <c r="I4" i="1643"/>
  <c r="H4" i="1643"/>
  <c r="G4" i="1643"/>
  <c r="F4" i="1643"/>
  <c r="E4" i="1643"/>
  <c r="D4" i="1643"/>
  <c r="C4" i="1643"/>
  <c r="Y3" i="1643"/>
  <c r="W3" i="1643"/>
  <c r="V3" i="1643"/>
  <c r="U3" i="1643"/>
  <c r="T3" i="1643"/>
  <c r="P3" i="1643"/>
  <c r="O3" i="1643"/>
  <c r="N3" i="1643"/>
  <c r="M3" i="1643"/>
  <c r="L3" i="1643"/>
  <c r="K3" i="1643"/>
  <c r="J3" i="1643"/>
  <c r="I3" i="1643"/>
  <c r="H3" i="1643"/>
  <c r="G3" i="1643"/>
  <c r="F3" i="1643"/>
  <c r="E3" i="1643"/>
  <c r="D3" i="1643"/>
  <c r="C3" i="1643"/>
  <c r="F21" i="1642"/>
  <c r="Y19" i="1642"/>
  <c r="W19" i="1642"/>
  <c r="V19" i="1642"/>
  <c r="U19" i="1642"/>
  <c r="T19" i="1642"/>
  <c r="P19" i="1642"/>
  <c r="O19" i="1642"/>
  <c r="N19" i="1642"/>
  <c r="M19" i="1642"/>
  <c r="L19" i="1642"/>
  <c r="K19" i="1642"/>
  <c r="J19" i="1642"/>
  <c r="I19" i="1642"/>
  <c r="H19" i="1642"/>
  <c r="G19" i="1642"/>
  <c r="F19" i="1642"/>
  <c r="E19" i="1642"/>
  <c r="D19" i="1642"/>
  <c r="C19" i="1642"/>
  <c r="Y18" i="1642"/>
  <c r="W18" i="1642"/>
  <c r="V18" i="1642"/>
  <c r="U18" i="1642"/>
  <c r="T18" i="1642"/>
  <c r="P18" i="1642"/>
  <c r="O18" i="1642"/>
  <c r="N18" i="1642"/>
  <c r="M18" i="1642"/>
  <c r="L18" i="1642"/>
  <c r="K18" i="1642"/>
  <c r="J18" i="1642"/>
  <c r="I18" i="1642"/>
  <c r="H18" i="1642"/>
  <c r="G18" i="1642"/>
  <c r="F18" i="1642"/>
  <c r="E18" i="1642"/>
  <c r="D18" i="1642"/>
  <c r="C18" i="1642"/>
  <c r="Y4" i="1642"/>
  <c r="W4" i="1642"/>
  <c r="V4" i="1642"/>
  <c r="U4" i="1642"/>
  <c r="T4" i="1642"/>
  <c r="P4" i="1642"/>
  <c r="O4" i="1642"/>
  <c r="N4" i="1642"/>
  <c r="M4" i="1642"/>
  <c r="L4" i="1642"/>
  <c r="K4" i="1642"/>
  <c r="J4" i="1642"/>
  <c r="I4" i="1642"/>
  <c r="H4" i="1642"/>
  <c r="G4" i="1642"/>
  <c r="F4" i="1642"/>
  <c r="E4" i="1642"/>
  <c r="D4" i="1642"/>
  <c r="C4" i="1642"/>
  <c r="Y3" i="1642"/>
  <c r="W3" i="1642"/>
  <c r="V3" i="1642"/>
  <c r="U3" i="1642"/>
  <c r="T3" i="1642"/>
  <c r="P3" i="1642"/>
  <c r="O3" i="1642"/>
  <c r="N3" i="1642"/>
  <c r="M3" i="1642"/>
  <c r="L3" i="1642"/>
  <c r="K3" i="1642"/>
  <c r="J3" i="1642"/>
  <c r="I3" i="1642"/>
  <c r="H3" i="1642"/>
  <c r="G3" i="1642"/>
  <c r="F3" i="1642"/>
  <c r="E3" i="1642"/>
  <c r="D3" i="1642"/>
  <c r="C3" i="1642"/>
  <c r="F21" i="1641"/>
  <c r="Y19" i="1641"/>
  <c r="W19" i="1641"/>
  <c r="V19" i="1641"/>
  <c r="U19" i="1641"/>
  <c r="T19" i="1641"/>
  <c r="P19" i="1641"/>
  <c r="O19" i="1641"/>
  <c r="N19" i="1641"/>
  <c r="M19" i="1641"/>
  <c r="L19" i="1641"/>
  <c r="K19" i="1641"/>
  <c r="J19" i="1641"/>
  <c r="I19" i="1641"/>
  <c r="H19" i="1641"/>
  <c r="G19" i="1641"/>
  <c r="F19" i="1641"/>
  <c r="E19" i="1641"/>
  <c r="D19" i="1641"/>
  <c r="C19" i="1641"/>
  <c r="Y18" i="1641"/>
  <c r="W18" i="1641"/>
  <c r="V18" i="1641"/>
  <c r="U18" i="1641"/>
  <c r="T18" i="1641"/>
  <c r="P18" i="1641"/>
  <c r="O18" i="1641"/>
  <c r="N18" i="1641"/>
  <c r="M18" i="1641"/>
  <c r="L18" i="1641"/>
  <c r="K18" i="1641"/>
  <c r="J18" i="1641"/>
  <c r="I18" i="1641"/>
  <c r="H18" i="1641"/>
  <c r="G18" i="1641"/>
  <c r="F18" i="1641"/>
  <c r="E18" i="1641"/>
  <c r="D18" i="1641"/>
  <c r="C18" i="1641"/>
  <c r="Y4" i="1641"/>
  <c r="W4" i="1641"/>
  <c r="V4" i="1641"/>
  <c r="U4" i="1641"/>
  <c r="T4" i="1641"/>
  <c r="P4" i="1641"/>
  <c r="O4" i="1641"/>
  <c r="N4" i="1641"/>
  <c r="M4" i="1641"/>
  <c r="L4" i="1641"/>
  <c r="K4" i="1641"/>
  <c r="J4" i="1641"/>
  <c r="I4" i="1641"/>
  <c r="H4" i="1641"/>
  <c r="G4" i="1641"/>
  <c r="F4" i="1641"/>
  <c r="E4" i="1641"/>
  <c r="D4" i="1641"/>
  <c r="C4" i="1641"/>
  <c r="Y3" i="1641"/>
  <c r="W3" i="1641"/>
  <c r="V3" i="1641"/>
  <c r="U3" i="1641"/>
  <c r="T3" i="1641"/>
  <c r="P3" i="1641"/>
  <c r="O3" i="1641"/>
  <c r="N3" i="1641"/>
  <c r="M3" i="1641"/>
  <c r="L3" i="1641"/>
  <c r="K3" i="1641"/>
  <c r="J3" i="1641"/>
  <c r="I3" i="1641"/>
  <c r="H3" i="1641"/>
  <c r="G3" i="1641"/>
  <c r="F3" i="1641"/>
  <c r="E3" i="1641"/>
  <c r="D3" i="1641"/>
  <c r="C3" i="1641"/>
  <c r="F21" i="1640"/>
  <c r="Y19" i="1640"/>
  <c r="W19" i="1640"/>
  <c r="V19" i="1640"/>
  <c r="U19" i="1640"/>
  <c r="T19" i="1640"/>
  <c r="P19" i="1640"/>
  <c r="O19" i="1640"/>
  <c r="N19" i="1640"/>
  <c r="M19" i="1640"/>
  <c r="L19" i="1640"/>
  <c r="K19" i="1640"/>
  <c r="J19" i="1640"/>
  <c r="I19" i="1640"/>
  <c r="H19" i="1640"/>
  <c r="G19" i="1640"/>
  <c r="F19" i="1640"/>
  <c r="E19" i="1640"/>
  <c r="D19" i="1640"/>
  <c r="C19" i="1640"/>
  <c r="Y18" i="1640"/>
  <c r="W18" i="1640"/>
  <c r="V18" i="1640"/>
  <c r="U18" i="1640"/>
  <c r="T18" i="1640"/>
  <c r="P18" i="1640"/>
  <c r="O18" i="1640"/>
  <c r="N18" i="1640"/>
  <c r="M18" i="1640"/>
  <c r="L18" i="1640"/>
  <c r="K18" i="1640"/>
  <c r="J18" i="1640"/>
  <c r="I18" i="1640"/>
  <c r="H18" i="1640"/>
  <c r="G18" i="1640"/>
  <c r="F18" i="1640"/>
  <c r="E18" i="1640"/>
  <c r="D18" i="1640"/>
  <c r="C18" i="1640"/>
  <c r="Y4" i="1640"/>
  <c r="W4" i="1640"/>
  <c r="V4" i="1640"/>
  <c r="U4" i="1640"/>
  <c r="T4" i="1640"/>
  <c r="P4" i="1640"/>
  <c r="O4" i="1640"/>
  <c r="N4" i="1640"/>
  <c r="M4" i="1640"/>
  <c r="L4" i="1640"/>
  <c r="K4" i="1640"/>
  <c r="J4" i="1640"/>
  <c r="I4" i="1640"/>
  <c r="H4" i="1640"/>
  <c r="G4" i="1640"/>
  <c r="F4" i="1640"/>
  <c r="E4" i="1640"/>
  <c r="D4" i="1640"/>
  <c r="C4" i="1640"/>
  <c r="Y3" i="1640"/>
  <c r="W3" i="1640"/>
  <c r="V3" i="1640"/>
  <c r="U3" i="1640"/>
  <c r="T3" i="1640"/>
  <c r="P3" i="1640"/>
  <c r="O3" i="1640"/>
  <c r="N3" i="1640"/>
  <c r="M3" i="1640"/>
  <c r="L3" i="1640"/>
  <c r="K3" i="1640"/>
  <c r="J3" i="1640"/>
  <c r="I3" i="1640"/>
  <c r="H3" i="1640"/>
  <c r="G3" i="1640"/>
  <c r="F3" i="1640"/>
  <c r="E3" i="1640"/>
  <c r="D3" i="1640"/>
  <c r="C3" i="1640"/>
</calcChain>
</file>

<file path=xl/sharedStrings.xml><?xml version="1.0" encoding="utf-8"?>
<sst xmlns="http://schemas.openxmlformats.org/spreadsheetml/2006/main" count="7053" uniqueCount="174">
  <si>
    <t>CHECKER STOCK REPORT</t>
  </si>
  <si>
    <t>UPDATE PRICE FGS</t>
  </si>
  <si>
    <t>UPDATE PRICE CMTS</t>
  </si>
  <si>
    <t>UPDATE PRICE LS</t>
  </si>
  <si>
    <t>UPDATE PRICE LB</t>
  </si>
  <si>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</si>
  <si>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</si>
  <si>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</si>
  <si>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</si>
  <si>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</si>
  <si>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</si>
  <si>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</si>
  <si>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</si>
  <si>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</si>
  <si>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</si>
  <si>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</si>
  <si>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</si>
  <si>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</si>
  <si>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</si>
  <si>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</si>
  <si>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</si>
  <si>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</si>
  <si>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</si>
  <si>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1ST LOAD</t>
  </si>
  <si>
    <t>2ND LOAD</t>
  </si>
  <si>
    <t>FGS RETURNED</t>
  </si>
  <si>
    <t>TOTAL SALES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</si>
  <si>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</si>
  <si>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</si>
  <si>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</si>
  <si>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</si>
  <si>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</si>
  <si>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</si>
  <si>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</si>
  <si>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</si>
  <si>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</si>
  <si>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</si>
  <si>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HTA</t>
  </si>
  <si>
    <t>CB</t>
  </si>
  <si>
    <t>CC</t>
  </si>
  <si>
    <t>C10C</t>
  </si>
  <si>
    <t>CIB</t>
  </si>
  <si>
    <t>CIC</t>
  </si>
  <si>
    <t>EMPTIES</t>
  </si>
  <si>
    <t>RHL/PL</t>
  </si>
  <si>
    <t>RH5</t>
  </si>
  <si>
    <t>FBA/SML/RHS</t>
  </si>
  <si>
    <t>MHT</t>
  </si>
  <si>
    <t>REMARKS</t>
  </si>
  <si>
    <t>COMPLETE</t>
  </si>
  <si>
    <t>SHELL</t>
  </si>
  <si>
    <t>BOTTLE</t>
  </si>
  <si>
    <t>RETURNED</t>
  </si>
  <si>
    <t>TOTAL</t>
  </si>
  <si>
    <t>SIGNATURE</t>
  </si>
  <si>
    <t>ROUTE 2</t>
  </si>
  <si>
    <t>ROUTE 3</t>
  </si>
  <si>
    <t>RH500C</t>
  </si>
  <si>
    <t>CBB</t>
  </si>
  <si>
    <t>CNB</t>
  </si>
  <si>
    <t>CLC</t>
  </si>
  <si>
    <t>SMZB</t>
  </si>
  <si>
    <t>SMFB</t>
  </si>
  <si>
    <t>GE320</t>
  </si>
  <si>
    <t>PP500C</t>
  </si>
  <si>
    <t>SML500C</t>
  </si>
  <si>
    <t>MGYZ</t>
  </si>
  <si>
    <t>DATE _______________________________</t>
  </si>
  <si>
    <t>TOTAL SALES:</t>
  </si>
  <si>
    <t>TOTAL BOTTLES:</t>
  </si>
  <si>
    <t>DATE ___________05/01/2026___________</t>
  </si>
  <si>
    <t>DATE ___________05/04/2026___________</t>
  </si>
  <si>
    <t>DATE ___________05/05/2026___________</t>
  </si>
  <si>
    <t>DATE ___________05/06/2026___________</t>
  </si>
  <si>
    <t>DATE ___________05/07/2026___________</t>
  </si>
  <si>
    <t>DATE ___________05/08/2026___________</t>
  </si>
  <si>
    <t>DATE ___________05/11/2026___________</t>
  </si>
  <si>
    <t>33/17B</t>
  </si>
  <si>
    <t>8/14B</t>
  </si>
  <si>
    <t>25/3B</t>
  </si>
  <si>
    <t>3/12B</t>
  </si>
  <si>
    <t>12/3B</t>
  </si>
  <si>
    <t>4/23B</t>
  </si>
  <si>
    <t>7/5B</t>
  </si>
  <si>
    <t>1/4B</t>
  </si>
  <si>
    <t>4B</t>
  </si>
  <si>
    <t>DATE ___________05/02/2026___________</t>
  </si>
  <si>
    <t>3/23b</t>
  </si>
  <si>
    <t>9/15b</t>
  </si>
  <si>
    <t>13/14b</t>
  </si>
  <si>
    <t>3/12b</t>
  </si>
  <si>
    <t>12/22b</t>
  </si>
  <si>
    <t>13/22b</t>
  </si>
  <si>
    <t>2/4b</t>
  </si>
  <si>
    <t>16/12b</t>
  </si>
  <si>
    <t>23/12B</t>
  </si>
  <si>
    <t>21/12B</t>
  </si>
  <si>
    <t>5/6B</t>
  </si>
  <si>
    <t>14/9B</t>
  </si>
  <si>
    <t>19/15B</t>
  </si>
  <si>
    <t>3/2B</t>
  </si>
  <si>
    <t>5/4B</t>
  </si>
  <si>
    <t>11/15B</t>
  </si>
  <si>
    <t>10/9B</t>
  </si>
  <si>
    <t>3/18B</t>
  </si>
  <si>
    <t>20B</t>
  </si>
  <si>
    <t>3/20B</t>
  </si>
  <si>
    <t>10/11B</t>
  </si>
  <si>
    <t>DATE ___________05/12/2026___________</t>
  </si>
  <si>
    <t>DATE ___________05/13/2026___________</t>
  </si>
  <si>
    <t>DATE ___________05/14/2026___________</t>
  </si>
  <si>
    <t>DATE ___________05/15/2026___________</t>
  </si>
  <si>
    <t>DATE ___________05/16/2026___________</t>
  </si>
  <si>
    <t>20/9B</t>
  </si>
  <si>
    <t>2/19B</t>
  </si>
  <si>
    <t>17/19B</t>
  </si>
  <si>
    <t>4/20B</t>
  </si>
  <si>
    <t>15/10B</t>
  </si>
  <si>
    <t>7/4B</t>
  </si>
  <si>
    <t>22/14B</t>
  </si>
  <si>
    <t>9/9B</t>
  </si>
  <si>
    <t>2/15B</t>
  </si>
  <si>
    <t>1/22b</t>
  </si>
  <si>
    <t>22b</t>
  </si>
  <si>
    <t>16/11b</t>
  </si>
  <si>
    <t>15/1b</t>
  </si>
  <si>
    <t>1/10b</t>
  </si>
  <si>
    <t>2/19b</t>
  </si>
  <si>
    <t>19b</t>
  </si>
  <si>
    <t>1/23b</t>
  </si>
  <si>
    <t>23b</t>
  </si>
  <si>
    <t>15/15b</t>
  </si>
  <si>
    <t>15/7b</t>
  </si>
  <si>
    <t>5/4b</t>
  </si>
  <si>
    <t>22/4b</t>
  </si>
  <si>
    <t>18/2b</t>
  </si>
  <si>
    <t>4/2b</t>
  </si>
  <si>
    <t>1/22B</t>
  </si>
  <si>
    <t>4/13B</t>
  </si>
  <si>
    <t>10/12B</t>
  </si>
  <si>
    <t>3/3B</t>
  </si>
  <si>
    <t>8/5B</t>
  </si>
  <si>
    <t>15/1B</t>
  </si>
  <si>
    <t>1/12B</t>
  </si>
  <si>
    <t>23/2B</t>
  </si>
  <si>
    <t>22/7B</t>
  </si>
  <si>
    <t>S</t>
  </si>
  <si>
    <t>5/3B</t>
  </si>
  <si>
    <t>3/23B</t>
  </si>
  <si>
    <t>23B</t>
  </si>
  <si>
    <t>19B</t>
  </si>
  <si>
    <t>11B</t>
  </si>
  <si>
    <t>12/16B</t>
  </si>
  <si>
    <t>13/3B</t>
  </si>
  <si>
    <t>34/13B</t>
  </si>
  <si>
    <t>25/13B</t>
  </si>
  <si>
    <t>22B</t>
  </si>
  <si>
    <t>20/19B</t>
  </si>
  <si>
    <t>6/19B</t>
  </si>
  <si>
    <t>12/11B</t>
  </si>
  <si>
    <t>21/19B</t>
  </si>
  <si>
    <t>21/11B</t>
  </si>
  <si>
    <t>8B</t>
  </si>
  <si>
    <t>DATE ___________05/17/2026___________</t>
  </si>
  <si>
    <t>DATE ___________05/18/2026___________</t>
  </si>
  <si>
    <t>6/12B</t>
  </si>
  <si>
    <t>30/8B</t>
  </si>
  <si>
    <t>16/8B</t>
  </si>
  <si>
    <t>DATE ___________05/19/2026___________</t>
  </si>
  <si>
    <t>DATE ___________05/20/2026___________</t>
  </si>
  <si>
    <t>DATE ___________05/22/2026___________</t>
  </si>
  <si>
    <t>DATE ___________05/23/2026___________</t>
  </si>
  <si>
    <t>10/23B</t>
  </si>
  <si>
    <t>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</si>
</sst>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9" fillId="0" borderId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1" applyNumberFormat="1" applyFont="1" applyFill="1" applyAlignment="1">
      <alignment vertical="center"/>
    </xf>
    <xf numFmtId="165" fontId="6" fillId="0" borderId="0" xfId="1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left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3" fillId="0" borderId="14" xfId="0" applyNumberFormat="1" applyFont="1" applyBorder="1" applyAlignment="1" applyProtection="1">
      <alignment horizontal="center" vertical="center"/>
      <protection locked="0"/>
    </xf>
    <xf numFmtId="3" fontId="3" fillId="0" borderId="15" xfId="0" applyNumberFormat="1" applyFont="1" applyBorder="1" applyAlignment="1" applyProtection="1">
      <alignment horizontal="center" vertical="center"/>
      <protection locked="0"/>
    </xf>
    <xf numFmtId="3" fontId="3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164" fontId="6" fillId="0" borderId="0" xfId="2" applyFont="1" applyFill="1" applyBorder="1" applyAlignment="1">
      <alignment horizontal="center" vertical="center"/>
    </xf>
    <xf numFmtId="164" fontId="6" fillId="0" borderId="19" xfId="2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65" fontId="6" fillId="0" borderId="0" xfId="1" applyNumberFormat="1" applyFont="1" applyFill="1" applyBorder="1" applyAlignment="1">
      <alignment horizontal="center" vertical="center"/>
    </xf>
    <xf numFmtId="165" fontId="6" fillId="0" borderId="19" xfId="1" applyNumberFormat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3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7" xfId="3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0" fontId="7" fillId="0" borderId="29" xfId="3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7" fillId="0" borderId="7" xfId="3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 wrapText="1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>
      <alignment horizontal="center" vertical="center"/>
    </xf>
    <xf numFmtId="3" fontId="3" fillId="0" borderId="35" xfId="0" applyNumberFormat="1" applyFont="1" applyBorder="1" applyAlignment="1" applyProtection="1">
      <alignment horizontal="center" vertical="center"/>
      <protection locked="0"/>
    </xf>
    <xf numFmtId="3" fontId="4" fillId="0" borderId="35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7" fillId="0" borderId="38" xfId="3" applyFont="1" applyBorder="1" applyAlignment="1">
      <alignment horizontal="center" vertical="center"/>
    </xf>
    <xf numFmtId="164" fontId="6" fillId="0" borderId="23" xfId="2" applyFont="1" applyFill="1" applyBorder="1" applyAlignment="1">
      <alignment horizontal="center" vertical="center"/>
    </xf>
    <xf numFmtId="0" fontId="7" fillId="0" borderId="40" xfId="3" applyFont="1" applyBorder="1" applyAlignment="1">
      <alignment horizontal="center" vertical="center"/>
    </xf>
    <xf numFmtId="0" fontId="7" fillId="0" borderId="39" xfId="3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3" fillId="0" borderId="7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16" fontId="4" fillId="0" borderId="15" xfId="0" applyNumberFormat="1" applyFont="1" applyBorder="1" applyAlignment="1">
      <alignment horizontal="center" vertical="center"/>
    </xf>
    <xf numFmtId="17" fontId="3" fillId="0" borderId="7" xfId="0" applyNumberFormat="1" applyFont="1" applyBorder="1" applyAlignment="1" applyProtection="1">
      <alignment horizontal="center" vertical="center"/>
      <protection locked="0"/>
    </xf>
    <xf numFmtId="16" fontId="3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3" fillId="0" borderId="6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7" xfId="3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4">
    <cellStyle name="Comma" xfId="1" builtinId="3"/>
    <cellStyle name="Comma 2" xfId="2" xr:uid="{38233363-A84A-45E9-A936-15838938B2C9}"/>
    <cellStyle name="Normal" xfId="0" builtinId="0"/>
    <cellStyle name="Normal 2" xfId="3" xr:uid="{C44E70A0-C100-4105-8DF8-F24B0B53F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\GBDS\GBDS%20Documents\DAILY%20SALES,%20STOCK%20ISSUANCE%20AND%20RECE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SSR"/>
      <sheetName val="WW Monitoring"/>
      <sheetName val="Route Sales MTD"/>
      <sheetName val="Checker Stock Report"/>
      <sheetName val="Production Date"/>
      <sheetName val="RET-WS"/>
    </sheetNames>
    <sheetDataSet>
      <sheetData sheetId="0" refreshError="1">
        <row r="4">
          <cell r="B4">
            <v>1300</v>
          </cell>
          <cell r="C4">
            <v>1534</v>
          </cell>
          <cell r="D4">
            <v>1728</v>
          </cell>
          <cell r="E4">
            <v>1728</v>
          </cell>
          <cell r="F4">
            <v>1452</v>
          </cell>
          <cell r="G4">
            <v>1240</v>
          </cell>
          <cell r="H4">
            <v>1520</v>
          </cell>
          <cell r="I4">
            <v>978</v>
          </cell>
          <cell r="J4">
            <v>945</v>
          </cell>
          <cell r="K4"/>
          <cell r="L4">
            <v>1127</v>
          </cell>
          <cell r="M4">
            <v>773</v>
          </cell>
          <cell r="N4">
            <v>1038</v>
          </cell>
          <cell r="O4">
            <v>773</v>
          </cell>
          <cell r="P4">
            <v>1038</v>
          </cell>
          <cell r="Q4">
            <v>773</v>
          </cell>
          <cell r="R4">
            <v>1038</v>
          </cell>
          <cell r="S4">
            <v>792</v>
          </cell>
          <cell r="T4">
            <v>948</v>
          </cell>
        </row>
        <row r="5">
          <cell r="B5">
            <v>120</v>
          </cell>
          <cell r="C5"/>
          <cell r="D5"/>
          <cell r="E5"/>
          <cell r="F5"/>
          <cell r="G5">
            <v>120</v>
          </cell>
          <cell r="H5"/>
          <cell r="I5">
            <v>120</v>
          </cell>
          <cell r="J5">
            <v>120</v>
          </cell>
          <cell r="K5">
            <v>111</v>
          </cell>
          <cell r="L5"/>
          <cell r="M5">
            <v>120</v>
          </cell>
          <cell r="N5"/>
          <cell r="O5">
            <v>120</v>
          </cell>
          <cell r="P5"/>
          <cell r="Q5">
            <v>120</v>
          </cell>
          <cell r="R5"/>
          <cell r="S5">
            <v>120</v>
          </cell>
          <cell r="T5">
            <v>120</v>
          </cell>
        </row>
        <row r="24">
          <cell r="B24">
            <v>544</v>
          </cell>
          <cell r="C24">
            <v>1127</v>
          </cell>
          <cell r="D24">
            <v>853</v>
          </cell>
          <cell r="E24">
            <v>563</v>
          </cell>
          <cell r="F24">
            <v>575</v>
          </cell>
          <cell r="G24">
            <v>1175</v>
          </cell>
          <cell r="H24"/>
          <cell r="I24">
            <v>791</v>
          </cell>
          <cell r="J24">
            <v>1102</v>
          </cell>
          <cell r="K24">
            <v>520</v>
          </cell>
          <cell r="L24">
            <v>1142</v>
          </cell>
          <cell r="M24">
            <v>205</v>
          </cell>
          <cell r="N24">
            <v>205</v>
          </cell>
          <cell r="O24">
            <v>205</v>
          </cell>
          <cell r="P24">
            <v>500</v>
          </cell>
          <cell r="Q24">
            <v>650</v>
          </cell>
          <cell r="R24">
            <v>650</v>
          </cell>
          <cell r="S24">
            <v>500</v>
          </cell>
          <cell r="T24">
            <v>650</v>
          </cell>
        </row>
        <row r="25">
          <cell r="B25">
            <v>111</v>
          </cell>
          <cell r="C25"/>
          <cell r="D25">
            <v>120</v>
          </cell>
          <cell r="E25">
            <v>111</v>
          </cell>
          <cell r="F25">
            <v>111</v>
          </cell>
          <cell r="G25"/>
          <cell r="H25">
            <v>111</v>
          </cell>
          <cell r="I25">
            <v>120</v>
          </cell>
          <cell r="J25"/>
          <cell r="K25">
            <v>111</v>
          </cell>
          <cell r="L25"/>
          <cell r="M25">
            <v>78</v>
          </cell>
          <cell r="N25">
            <v>78</v>
          </cell>
          <cell r="O25">
            <v>78</v>
          </cell>
          <cell r="P25">
            <v>120</v>
          </cell>
          <cell r="Q25"/>
          <cell r="R25"/>
          <cell r="S25">
            <v>120</v>
          </cell>
          <cell r="T25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1392-3164-4BBB-8DB5-0BA6861E83AD}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71487-5AF3-47BC-82C3-768439BCC08F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7"/>
      <c r="W35" s="77"/>
      <c r="X35" s="77"/>
      <c r="Y35" s="7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7"/>
      <c r="V36" s="77"/>
      <c r="W36" s="77"/>
      <c r="X36" s="77"/>
      <c r="Y36" s="7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7"/>
      <c r="V37" s="77"/>
      <c r="W37" s="77"/>
      <c r="X37" s="77"/>
      <c r="Y37" s="7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7"/>
      <c r="V38" s="77"/>
      <c r="W38" s="77"/>
      <c r="X38" s="77"/>
      <c r="Y38" s="7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7"/>
      <c r="V39" s="77"/>
      <c r="W39" s="77"/>
      <c r="X39" s="77"/>
      <c r="Y39" s="7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7"/>
      <c r="V40" s="77"/>
      <c r="W40" s="77"/>
      <c r="X40" s="77"/>
      <c r="Y40" s="7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7"/>
      <c r="W41" s="77"/>
      <c r="X41" s="77"/>
      <c r="Y41" s="7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7"/>
      <c r="V43" s="77"/>
      <c r="W43" s="77"/>
      <c r="X43" s="77"/>
      <c r="Y43" s="77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232D-52F7-428D-B08E-FDFF23E21DF3}">
  <dimension ref="B1:AA45"/>
  <sheetViews>
    <sheetView showGridLines="0" topLeftCell="A13" zoomScale="160" zoomScaleNormal="160" workbookViewId="0">
      <selection activeCell="F37" sqref="F3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 t="s">
        <v>77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 t="s">
        <v>78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 t="s">
        <v>79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9</v>
      </c>
      <c r="I24" s="14"/>
      <c r="J24" s="14"/>
      <c r="K24" s="14"/>
      <c r="L24" s="14">
        <v>2</v>
      </c>
      <c r="M24" s="14">
        <v>776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6</v>
      </c>
      <c r="I31" s="23"/>
      <c r="J31" s="23"/>
      <c r="K31" s="23"/>
      <c r="L31" s="23">
        <v>2</v>
      </c>
      <c r="M31" s="23">
        <v>72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3</v>
      </c>
      <c r="I32" s="28"/>
      <c r="J32" s="28"/>
      <c r="K32" s="28"/>
      <c r="L32" s="28">
        <v>0</v>
      </c>
      <c r="M32" s="28">
        <v>704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7"/>
      <c r="W35" s="77"/>
      <c r="X35" s="77"/>
      <c r="Y35" s="77"/>
    </row>
    <row r="36" spans="2:25" ht="18" customHeight="1" thickBot="1" x14ac:dyDescent="0.3">
      <c r="B36" s="52" t="s">
        <v>52</v>
      </c>
      <c r="C36" s="46"/>
      <c r="D36" s="41"/>
      <c r="E36" s="42"/>
      <c r="F36" s="42">
        <v>890</v>
      </c>
      <c r="G36" s="42">
        <v>1</v>
      </c>
      <c r="H36" s="42">
        <v>5</v>
      </c>
      <c r="I36" s="42">
        <v>1</v>
      </c>
      <c r="J36" s="42"/>
      <c r="K36" s="42"/>
      <c r="L36" s="42"/>
      <c r="M36" s="42"/>
      <c r="N36" s="42">
        <v>4</v>
      </c>
      <c r="O36" s="42">
        <v>15</v>
      </c>
      <c r="P36" s="42">
        <v>11</v>
      </c>
      <c r="Q36" s="43">
        <v>22</v>
      </c>
      <c r="R36" s="72"/>
      <c r="S36" s="44"/>
      <c r="T36" s="44"/>
      <c r="U36" s="77"/>
      <c r="V36" s="77"/>
      <c r="W36" s="77"/>
      <c r="X36" s="77"/>
      <c r="Y36" s="7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7"/>
      <c r="V37" s="77"/>
      <c r="W37" s="77"/>
      <c r="X37" s="77"/>
      <c r="Y37" s="7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7"/>
      <c r="V38" s="77"/>
      <c r="W38" s="77"/>
      <c r="X38" s="77"/>
      <c r="Y38" s="7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7"/>
      <c r="V39" s="77"/>
      <c r="W39" s="77"/>
      <c r="X39" s="77"/>
      <c r="Y39" s="7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7"/>
      <c r="V40" s="77"/>
      <c r="W40" s="77"/>
      <c r="X40" s="77"/>
      <c r="Y40" s="7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7"/>
      <c r="W41" s="77"/>
      <c r="X41" s="77"/>
      <c r="Y41" s="7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890</v>
      </c>
      <c r="G42" s="42">
        <v>1</v>
      </c>
      <c r="H42" s="42">
        <v>5</v>
      </c>
      <c r="I42" s="42">
        <v>1</v>
      </c>
      <c r="J42" s="42"/>
      <c r="K42" s="42"/>
      <c r="L42" s="42"/>
      <c r="M42" s="42"/>
      <c r="N42" s="42">
        <v>4</v>
      </c>
      <c r="O42" s="42">
        <v>15</v>
      </c>
      <c r="P42" s="42">
        <v>11</v>
      </c>
      <c r="Q42" s="43">
        <v>22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7"/>
      <c r="V43" s="77"/>
      <c r="W43" s="77"/>
      <c r="X43" s="77"/>
      <c r="Y43" s="77"/>
    </row>
    <row r="44" spans="2:25" x14ac:dyDescent="0.25">
      <c r="B44" s="76" t="s">
        <v>68</v>
      </c>
      <c r="C44" s="100">
        <f>25+3+704</f>
        <v>732</v>
      </c>
      <c r="D44" s="100"/>
      <c r="E44" s="100"/>
    </row>
    <row r="45" spans="2:25" x14ac:dyDescent="0.25">
      <c r="B45" s="76" t="s">
        <v>69</v>
      </c>
      <c r="C45" s="100">
        <v>3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5055-8255-4085-AC6B-17B28EEEC4CD}">
  <dimension ref="B1:AA45"/>
  <sheetViews>
    <sheetView showGridLines="0" topLeftCell="A13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80</v>
      </c>
      <c r="D8" s="14">
        <v>1</v>
      </c>
      <c r="E8" s="14">
        <v>1</v>
      </c>
      <c r="F8" s="14">
        <v>1</v>
      </c>
      <c r="G8" s="14"/>
      <c r="H8" s="14" t="s">
        <v>81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80</v>
      </c>
      <c r="D15" s="23">
        <v>1</v>
      </c>
      <c r="E15" s="23">
        <v>0</v>
      </c>
      <c r="F15" s="23">
        <v>1</v>
      </c>
      <c r="G15" s="23"/>
      <c r="H15" s="23" t="s">
        <v>82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1</v>
      </c>
      <c r="F16" s="27">
        <v>0</v>
      </c>
      <c r="G16" s="28"/>
      <c r="H16" s="28" t="s">
        <v>83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>
        <v>2</v>
      </c>
      <c r="G24" s="14"/>
      <c r="H24" s="14">
        <v>30</v>
      </c>
      <c r="I24" s="14"/>
      <c r="J24" s="14"/>
      <c r="K24" s="14">
        <v>1</v>
      </c>
      <c r="L24" s="14">
        <v>7</v>
      </c>
      <c r="M24" s="14">
        <v>386</v>
      </c>
      <c r="N24" s="14"/>
      <c r="O24" s="14"/>
      <c r="P24" s="14" t="s">
        <v>84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>
        <v>0</v>
      </c>
      <c r="D31" s="23"/>
      <c r="E31" s="23"/>
      <c r="F31" s="23">
        <v>2</v>
      </c>
      <c r="G31" s="23"/>
      <c r="H31" s="23">
        <v>23</v>
      </c>
      <c r="I31" s="23"/>
      <c r="J31" s="23"/>
      <c r="K31" s="23">
        <v>1</v>
      </c>
      <c r="L31" s="23">
        <v>1</v>
      </c>
      <c r="M31" s="23">
        <v>94</v>
      </c>
      <c r="N31" s="23"/>
      <c r="O31" s="23"/>
      <c r="P31" s="23" t="s">
        <v>85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>
        <v>1</v>
      </c>
      <c r="D32" s="27"/>
      <c r="E32" s="27"/>
      <c r="F32" s="27">
        <v>0</v>
      </c>
      <c r="G32" s="28"/>
      <c r="H32" s="28">
        <v>7</v>
      </c>
      <c r="I32" s="28"/>
      <c r="J32" s="28"/>
      <c r="K32" s="28">
        <v>0</v>
      </c>
      <c r="L32" s="28">
        <v>6</v>
      </c>
      <c r="M32" s="28">
        <v>272</v>
      </c>
      <c r="N32" s="28"/>
      <c r="O32" s="23"/>
      <c r="P32" s="28">
        <v>1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7"/>
      <c r="W35" s="77"/>
      <c r="X35" s="77"/>
      <c r="Y35" s="77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338</v>
      </c>
      <c r="G36" s="42">
        <v>2</v>
      </c>
      <c r="H36" s="42">
        <v>5</v>
      </c>
      <c r="I36" s="42">
        <v>2</v>
      </c>
      <c r="J36" s="42"/>
      <c r="K36" s="42">
        <v>4</v>
      </c>
      <c r="L36" s="42"/>
      <c r="M36" s="42"/>
      <c r="N36" s="42"/>
      <c r="O36" s="42">
        <v>1</v>
      </c>
      <c r="P36" s="42">
        <v>12</v>
      </c>
      <c r="Q36" s="43">
        <v>16</v>
      </c>
      <c r="R36" s="72"/>
      <c r="S36" s="44"/>
      <c r="T36" s="44"/>
      <c r="U36" s="77"/>
      <c r="V36" s="77"/>
      <c r="W36" s="77"/>
      <c r="X36" s="77"/>
      <c r="Y36" s="7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7"/>
      <c r="V37" s="77"/>
      <c r="W37" s="77"/>
      <c r="X37" s="77"/>
      <c r="Y37" s="7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7"/>
      <c r="V38" s="77"/>
      <c r="W38" s="77"/>
      <c r="X38" s="77"/>
      <c r="Y38" s="7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7"/>
      <c r="V39" s="77"/>
      <c r="W39" s="77"/>
      <c r="X39" s="77"/>
      <c r="Y39" s="7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7"/>
      <c r="V40" s="77"/>
      <c r="W40" s="77"/>
      <c r="X40" s="77"/>
      <c r="Y40" s="7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7"/>
      <c r="W41" s="77"/>
      <c r="X41" s="77"/>
      <c r="Y41" s="7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338</v>
      </c>
      <c r="G42" s="42">
        <v>2</v>
      </c>
      <c r="H42" s="42">
        <v>5</v>
      </c>
      <c r="I42" s="42">
        <v>2</v>
      </c>
      <c r="J42" s="42"/>
      <c r="K42" s="42">
        <v>4</v>
      </c>
      <c r="L42" s="42"/>
      <c r="M42" s="42"/>
      <c r="N42" s="42"/>
      <c r="O42" s="42">
        <v>1</v>
      </c>
      <c r="P42" s="42">
        <v>12</v>
      </c>
      <c r="Q42" s="43">
        <v>16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7"/>
      <c r="V43" s="77"/>
      <c r="W43" s="77"/>
      <c r="X43" s="77"/>
      <c r="Y43" s="77"/>
    </row>
    <row r="44" spans="2:25" x14ac:dyDescent="0.25">
      <c r="B44" s="76" t="s">
        <v>68</v>
      </c>
      <c r="C44" s="100">
        <f>1+7+1+7+6+272+1</f>
        <v>295</v>
      </c>
      <c r="D44" s="100"/>
      <c r="E44" s="100"/>
    </row>
    <row r="45" spans="2:25" x14ac:dyDescent="0.25">
      <c r="B45" s="76" t="s">
        <v>69</v>
      </c>
      <c r="C45" s="100">
        <v>5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D4E6-3F4A-4A2D-AA9F-A1291BEE688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>
        <v>1</v>
      </c>
      <c r="F8" s="14">
        <v>1</v>
      </c>
      <c r="G8" s="14"/>
      <c r="H8" s="14">
        <v>20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>
        <v>5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2</v>
      </c>
      <c r="D15" s="23"/>
      <c r="E15" s="23">
        <v>0</v>
      </c>
      <c r="F15" s="23">
        <v>0</v>
      </c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>
        <v>5</v>
      </c>
    </row>
    <row r="16" spans="2:27" ht="18" customHeight="1" thickBot="1" x14ac:dyDescent="0.3">
      <c r="B16" s="25" t="s">
        <v>26</v>
      </c>
      <c r="C16" s="57">
        <v>0</v>
      </c>
      <c r="D16" s="58"/>
      <c r="E16" s="27">
        <v>1</v>
      </c>
      <c r="F16" s="27">
        <v>1</v>
      </c>
      <c r="G16" s="28"/>
      <c r="H16" s="28">
        <v>19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110</v>
      </c>
      <c r="I24" s="14"/>
      <c r="J24" s="14"/>
      <c r="K24" s="14">
        <v>2</v>
      </c>
      <c r="L24" s="14">
        <v>21</v>
      </c>
      <c r="M24" s="14">
        <v>562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54</v>
      </c>
      <c r="I31" s="23"/>
      <c r="J31" s="23"/>
      <c r="K31" s="23">
        <v>2</v>
      </c>
      <c r="L31" s="23">
        <v>14</v>
      </c>
      <c r="M31" s="23">
        <v>32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56</v>
      </c>
      <c r="I32" s="28"/>
      <c r="J32" s="28"/>
      <c r="K32" s="28">
        <v>0</v>
      </c>
      <c r="L32" s="28">
        <v>7</v>
      </c>
      <c r="M32" s="28">
        <v>530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7"/>
      <c r="W35" s="77"/>
      <c r="X35" s="77"/>
      <c r="Y35" s="77"/>
    </row>
    <row r="36" spans="2:25" ht="18" customHeight="1" thickBot="1" x14ac:dyDescent="0.3">
      <c r="B36" s="52" t="s">
        <v>52</v>
      </c>
      <c r="C36" s="46"/>
      <c r="D36" s="41"/>
      <c r="E36" s="42"/>
      <c r="F36" s="42">
        <v>601</v>
      </c>
      <c r="G36" s="42">
        <v>4</v>
      </c>
      <c r="H36" s="42"/>
      <c r="I36" s="42">
        <v>4</v>
      </c>
      <c r="J36" s="42"/>
      <c r="K36" s="42"/>
      <c r="L36" s="42"/>
      <c r="M36" s="42"/>
      <c r="N36" s="42"/>
      <c r="O36" s="42">
        <v>17</v>
      </c>
      <c r="P36" s="42">
        <v>2</v>
      </c>
      <c r="Q36" s="43"/>
      <c r="R36" s="72"/>
      <c r="S36" s="44"/>
      <c r="T36" s="44"/>
      <c r="U36" s="77"/>
      <c r="V36" s="77"/>
      <c r="W36" s="77"/>
      <c r="X36" s="77"/>
      <c r="Y36" s="7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7"/>
      <c r="V37" s="77"/>
      <c r="W37" s="77"/>
      <c r="X37" s="77"/>
      <c r="Y37" s="7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7"/>
      <c r="V38" s="77"/>
      <c r="W38" s="77"/>
      <c r="X38" s="77"/>
      <c r="Y38" s="7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7"/>
      <c r="V39" s="77"/>
      <c r="W39" s="77"/>
      <c r="X39" s="77"/>
      <c r="Y39" s="7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7"/>
      <c r="V40" s="77"/>
      <c r="W40" s="77"/>
      <c r="X40" s="77"/>
      <c r="Y40" s="7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7"/>
      <c r="W41" s="77"/>
      <c r="X41" s="77"/>
      <c r="Y41" s="7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601</v>
      </c>
      <c r="G42" s="42">
        <v>4</v>
      </c>
      <c r="H42" s="42"/>
      <c r="I42" s="42">
        <v>4</v>
      </c>
      <c r="J42" s="42"/>
      <c r="K42" s="42"/>
      <c r="L42" s="42"/>
      <c r="M42" s="42"/>
      <c r="N42" s="42"/>
      <c r="O42" s="42">
        <v>17</v>
      </c>
      <c r="P42" s="42">
        <v>2</v>
      </c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7"/>
      <c r="V43" s="77"/>
      <c r="W43" s="77"/>
      <c r="X43" s="77"/>
      <c r="Y43" s="77"/>
    </row>
    <row r="44" spans="2:25" x14ac:dyDescent="0.25">
      <c r="B44" s="76" t="s">
        <v>68</v>
      </c>
      <c r="C44" s="100">
        <f>1+1+19+56+7+530</f>
        <v>614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8EFE-5ACE-4F55-920D-E3AE83C3229B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C83A-DC85-4CBD-A20D-3A6F1FF1014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86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/>
      <c r="F8" s="14">
        <v>5</v>
      </c>
      <c r="G8" s="14"/>
      <c r="H8" s="14">
        <v>32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15</v>
      </c>
      <c r="X8" s="59">
        <v>2</v>
      </c>
      <c r="Y8" s="15">
        <v>5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/>
      <c r="E15" s="23"/>
      <c r="F15" s="23">
        <v>0</v>
      </c>
      <c r="G15" s="23"/>
      <c r="H15" s="23">
        <v>10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0</v>
      </c>
      <c r="X15" s="61">
        <v>0</v>
      </c>
      <c r="Y15" s="24">
        <v>5</v>
      </c>
    </row>
    <row r="16" spans="2:27" ht="18" customHeight="1" thickBot="1" x14ac:dyDescent="0.3">
      <c r="B16" s="25" t="s">
        <v>26</v>
      </c>
      <c r="C16" s="57">
        <v>2</v>
      </c>
      <c r="D16" s="58"/>
      <c r="E16" s="27"/>
      <c r="F16" s="27">
        <v>5</v>
      </c>
      <c r="G16" s="28"/>
      <c r="H16" s="28">
        <v>22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15</v>
      </c>
      <c r="X16" s="62">
        <v>2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54</v>
      </c>
      <c r="I24" s="14"/>
      <c r="J24" s="14"/>
      <c r="K24" s="14">
        <v>2</v>
      </c>
      <c r="L24" s="14">
        <v>14</v>
      </c>
      <c r="M24" s="14">
        <v>790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47</v>
      </c>
      <c r="I31" s="23"/>
      <c r="J31" s="23"/>
      <c r="K31" s="23">
        <v>2</v>
      </c>
      <c r="L31" s="23">
        <v>12</v>
      </c>
      <c r="M31" s="23">
        <v>4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7</v>
      </c>
      <c r="I32" s="28"/>
      <c r="J32" s="28"/>
      <c r="K32" s="28">
        <v>0</v>
      </c>
      <c r="L32" s="28">
        <v>2</v>
      </c>
      <c r="M32" s="28">
        <v>786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9"/>
      <c r="W35" s="79"/>
      <c r="X35" s="79"/>
      <c r="Y35" s="79"/>
    </row>
    <row r="36" spans="2:25" ht="18" customHeight="1" thickBot="1" x14ac:dyDescent="0.3">
      <c r="B36" s="52" t="s">
        <v>52</v>
      </c>
      <c r="C36" s="46">
        <v>6</v>
      </c>
      <c r="D36" s="41"/>
      <c r="E36" s="42">
        <v>21</v>
      </c>
      <c r="F36" s="42">
        <v>677</v>
      </c>
      <c r="G36" s="42">
        <v>23</v>
      </c>
      <c r="H36" s="42"/>
      <c r="I36" s="42">
        <v>28</v>
      </c>
      <c r="J36" s="42">
        <v>2</v>
      </c>
      <c r="K36" s="42"/>
      <c r="L36" s="42">
        <v>15</v>
      </c>
      <c r="M36" s="42">
        <v>11</v>
      </c>
      <c r="N36" s="42">
        <v>21</v>
      </c>
      <c r="O36" s="42">
        <v>7</v>
      </c>
      <c r="P36" s="42">
        <v>14</v>
      </c>
      <c r="Q36" s="43"/>
      <c r="R36" s="72"/>
      <c r="S36" s="44"/>
      <c r="T36" s="44"/>
      <c r="U36" s="79"/>
      <c r="V36" s="79"/>
      <c r="W36" s="79"/>
      <c r="X36" s="79"/>
      <c r="Y36" s="79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9"/>
      <c r="V37" s="79"/>
      <c r="W37" s="79"/>
      <c r="X37" s="79"/>
      <c r="Y37" s="79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9"/>
      <c r="V38" s="79"/>
      <c r="W38" s="79"/>
      <c r="X38" s="79"/>
      <c r="Y38" s="79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9"/>
      <c r="V39" s="79"/>
      <c r="W39" s="79"/>
      <c r="X39" s="79"/>
      <c r="Y39" s="79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9"/>
      <c r="V40" s="79"/>
      <c r="W40" s="79"/>
      <c r="X40" s="79"/>
      <c r="Y40" s="79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9"/>
      <c r="W41" s="79"/>
      <c r="X41" s="79"/>
      <c r="Y41" s="79"/>
    </row>
    <row r="42" spans="2:25" s="5" customFormat="1" ht="18" customHeight="1" thickBot="1" x14ac:dyDescent="0.3">
      <c r="B42" s="45" t="s">
        <v>53</v>
      </c>
      <c r="C42" s="46">
        <v>6</v>
      </c>
      <c r="D42" s="41"/>
      <c r="E42" s="42">
        <v>21</v>
      </c>
      <c r="F42" s="42">
        <v>677</v>
      </c>
      <c r="G42" s="42">
        <v>23</v>
      </c>
      <c r="H42" s="42"/>
      <c r="I42" s="42">
        <v>28</v>
      </c>
      <c r="J42" s="42">
        <v>2</v>
      </c>
      <c r="K42" s="42"/>
      <c r="L42" s="42">
        <v>15</v>
      </c>
      <c r="M42" s="42">
        <v>11</v>
      </c>
      <c r="N42" s="42">
        <v>21</v>
      </c>
      <c r="O42" s="42">
        <v>7</v>
      </c>
      <c r="P42" s="42">
        <v>14</v>
      </c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9"/>
      <c r="V43" s="79"/>
      <c r="W43" s="79"/>
      <c r="X43" s="79"/>
      <c r="Y43" s="79"/>
    </row>
    <row r="44" spans="2:25" x14ac:dyDescent="0.25">
      <c r="B44" s="76" t="s">
        <v>68</v>
      </c>
      <c r="C44" s="100">
        <f>2+5+22+15+2+2+7+2+786</f>
        <v>843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CE14-B56D-4F97-8167-51DF96CB2CA3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0DB2-9B4B-4A01-927F-293573055B7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/>
      <c r="F8" s="14"/>
      <c r="G8" s="14"/>
      <c r="H8" s="14" t="s">
        <v>89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4</v>
      </c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/>
      <c r="E15" s="23"/>
      <c r="F15" s="23"/>
      <c r="G15" s="23"/>
      <c r="H15" s="23" t="s">
        <v>88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2</v>
      </c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 t="s">
        <v>87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2</v>
      </c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26</v>
      </c>
      <c r="I24" s="14"/>
      <c r="J24" s="14"/>
      <c r="K24" s="14">
        <v>1</v>
      </c>
      <c r="L24" s="14">
        <v>11</v>
      </c>
      <c r="M24" s="14">
        <v>370</v>
      </c>
      <c r="N24" s="14"/>
      <c r="O24" s="14"/>
      <c r="P24" s="14">
        <v>3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</v>
      </c>
      <c r="I31" s="23"/>
      <c r="J31" s="23"/>
      <c r="K31" s="23">
        <v>1</v>
      </c>
      <c r="L31" s="23">
        <v>2</v>
      </c>
      <c r="M31" s="23">
        <v>26</v>
      </c>
      <c r="N31" s="23"/>
      <c r="O31" s="23"/>
      <c r="P31" s="23">
        <v>3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25</v>
      </c>
      <c r="I32" s="28"/>
      <c r="J32" s="28"/>
      <c r="K32" s="28">
        <v>0</v>
      </c>
      <c r="L32" s="28">
        <v>9</v>
      </c>
      <c r="M32" s="28">
        <v>344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>
        <v>1</v>
      </c>
      <c r="F36" s="42">
        <v>358</v>
      </c>
      <c r="G36" s="42">
        <v>3</v>
      </c>
      <c r="H36" s="42">
        <v>7</v>
      </c>
      <c r="I36" s="42">
        <v>7</v>
      </c>
      <c r="J36" s="42">
        <v>8</v>
      </c>
      <c r="K36" s="42">
        <v>9</v>
      </c>
      <c r="L36" s="42">
        <v>1</v>
      </c>
      <c r="M36" s="42">
        <v>1</v>
      </c>
      <c r="N36" s="42">
        <v>8</v>
      </c>
      <c r="O36" s="42">
        <v>3</v>
      </c>
      <c r="P36" s="42">
        <v>1</v>
      </c>
      <c r="Q36" s="43">
        <v>22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>
        <v>1</v>
      </c>
      <c r="F42" s="42">
        <v>358</v>
      </c>
      <c r="G42" s="42">
        <v>3</v>
      </c>
      <c r="H42" s="42">
        <v>7</v>
      </c>
      <c r="I42" s="42">
        <v>7</v>
      </c>
      <c r="J42" s="42">
        <v>8</v>
      </c>
      <c r="K42" s="42">
        <v>9</v>
      </c>
      <c r="L42" s="42">
        <v>1</v>
      </c>
      <c r="M42" s="42">
        <v>1</v>
      </c>
      <c r="N42" s="42">
        <v>8</v>
      </c>
      <c r="O42" s="42">
        <v>3</v>
      </c>
      <c r="P42" s="42">
        <v>1</v>
      </c>
      <c r="Q42" s="43">
        <v>22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3+2+25+9+344</f>
        <v>383</v>
      </c>
      <c r="D44" s="100"/>
      <c r="E44" s="100"/>
    </row>
    <row r="45" spans="2:25" x14ac:dyDescent="0.25">
      <c r="B45" s="76" t="s">
        <v>69</v>
      </c>
      <c r="C45" s="100">
        <v>23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684D-B9D4-4810-8E43-8436AF8EB36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90</v>
      </c>
      <c r="D8" s="14">
        <v>1</v>
      </c>
      <c r="E8" s="14"/>
      <c r="F8" s="14">
        <v>1</v>
      </c>
      <c r="G8" s="14"/>
      <c r="H8" s="14" t="s">
        <v>92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90</v>
      </c>
      <c r="D15" s="23">
        <v>1</v>
      </c>
      <c r="E15" s="23"/>
      <c r="F15" s="23">
        <v>1</v>
      </c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>
        <v>0</v>
      </c>
      <c r="G16" s="28"/>
      <c r="H16" s="28" t="s">
        <v>91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30</v>
      </c>
      <c r="I24" s="14"/>
      <c r="J24" s="14"/>
      <c r="K24" s="14">
        <v>1</v>
      </c>
      <c r="L24" s="14">
        <v>6</v>
      </c>
      <c r="M24" s="14">
        <v>382</v>
      </c>
      <c r="N24" s="14"/>
      <c r="O24" s="14"/>
      <c r="P24" s="14" t="s">
        <v>93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9</v>
      </c>
      <c r="I31" s="23"/>
      <c r="J31" s="23"/>
      <c r="K31" s="23">
        <v>1</v>
      </c>
      <c r="L31" s="23">
        <v>1</v>
      </c>
      <c r="M31" s="23">
        <v>38</v>
      </c>
      <c r="N31" s="23"/>
      <c r="O31" s="23"/>
      <c r="P31" s="23" t="s">
        <v>93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21</v>
      </c>
      <c r="I32" s="28"/>
      <c r="J32" s="28"/>
      <c r="K32" s="28">
        <v>0</v>
      </c>
      <c r="L32" s="28">
        <v>5</v>
      </c>
      <c r="M32" s="28">
        <v>344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369</v>
      </c>
      <c r="G36" s="42">
        <v>1</v>
      </c>
      <c r="H36" s="42">
        <v>4</v>
      </c>
      <c r="I36" s="42">
        <v>5</v>
      </c>
      <c r="J36" s="42"/>
      <c r="K36" s="42"/>
      <c r="L36" s="42"/>
      <c r="M36" s="42"/>
      <c r="N36" s="42"/>
      <c r="O36" s="42">
        <v>7</v>
      </c>
      <c r="P36" s="42">
        <v>11</v>
      </c>
      <c r="Q36" s="43">
        <v>3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369</v>
      </c>
      <c r="G42" s="42">
        <v>1</v>
      </c>
      <c r="H42" s="42">
        <v>4</v>
      </c>
      <c r="I42" s="42">
        <v>5</v>
      </c>
      <c r="J42" s="42"/>
      <c r="K42" s="42"/>
      <c r="L42" s="42"/>
      <c r="M42" s="42"/>
      <c r="N42" s="42"/>
      <c r="O42" s="42">
        <v>7</v>
      </c>
      <c r="P42" s="42">
        <v>11</v>
      </c>
      <c r="Q42" s="43">
        <v>3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12+21+5+344</f>
        <v>382</v>
      </c>
      <c r="D44" s="100"/>
      <c r="E44" s="100"/>
    </row>
    <row r="45" spans="2:25" x14ac:dyDescent="0.25">
      <c r="B45" s="76" t="s">
        <v>69</v>
      </c>
      <c r="C45" s="100">
        <f>22</f>
        <v>22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1451-4279-4605-8A8F-CFD36DD2864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2</v>
      </c>
      <c r="D8" s="14"/>
      <c r="E8" s="14"/>
      <c r="F8" s="14"/>
      <c r="G8" s="14"/>
      <c r="H8" s="14">
        <v>20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2</v>
      </c>
      <c r="Y8" s="15">
        <v>5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2</v>
      </c>
      <c r="D15" s="23"/>
      <c r="E15" s="23"/>
      <c r="F15" s="23"/>
      <c r="G15" s="23"/>
      <c r="H15" s="23" t="s">
        <v>90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2</v>
      </c>
      <c r="Y15" s="24">
        <v>5</v>
      </c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 t="s">
        <v>94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60</v>
      </c>
      <c r="I24" s="14"/>
      <c r="J24" s="14"/>
      <c r="K24" s="14">
        <v>2</v>
      </c>
      <c r="L24" s="14">
        <v>20</v>
      </c>
      <c r="M24" s="14">
        <v>544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2</v>
      </c>
      <c r="I31" s="23"/>
      <c r="J31" s="23"/>
      <c r="K31" s="23">
        <v>2</v>
      </c>
      <c r="L31" s="23">
        <v>9</v>
      </c>
      <c r="M31" s="23">
        <v>60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58</v>
      </c>
      <c r="I32" s="28"/>
      <c r="J32" s="28"/>
      <c r="K32" s="28">
        <v>0</v>
      </c>
      <c r="L32" s="28">
        <v>11</v>
      </c>
      <c r="M32" s="28">
        <v>484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529</v>
      </c>
      <c r="G36" s="42">
        <v>22</v>
      </c>
      <c r="H36" s="42">
        <v>5</v>
      </c>
      <c r="I36" s="42">
        <v>10</v>
      </c>
      <c r="J36" s="42">
        <v>3</v>
      </c>
      <c r="K36" s="42">
        <v>8</v>
      </c>
      <c r="L36" s="42">
        <v>2</v>
      </c>
      <c r="M36" s="42"/>
      <c r="N36" s="42"/>
      <c r="O36" s="42">
        <v>13</v>
      </c>
      <c r="P36" s="42">
        <v>1</v>
      </c>
      <c r="Q36" s="43">
        <v>13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529</v>
      </c>
      <c r="G42" s="42">
        <v>22</v>
      </c>
      <c r="H42" s="42">
        <v>5</v>
      </c>
      <c r="I42" s="42">
        <v>10</v>
      </c>
      <c r="J42" s="42">
        <v>3</v>
      </c>
      <c r="K42" s="42">
        <v>8</v>
      </c>
      <c r="L42" s="42">
        <v>2</v>
      </c>
      <c r="M42" s="42"/>
      <c r="N42" s="42"/>
      <c r="O42" s="42">
        <v>13</v>
      </c>
      <c r="P42" s="42">
        <v>1</v>
      </c>
      <c r="Q42" s="43">
        <v>13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16+2+58+11+484</f>
        <v>571</v>
      </c>
      <c r="D44" s="100"/>
      <c r="E44" s="100"/>
    </row>
    <row r="45" spans="2:25" x14ac:dyDescent="0.25">
      <c r="B45" s="76" t="s">
        <v>69</v>
      </c>
      <c r="C45" s="100">
        <v>12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B04A-0CDB-4253-ACD3-9774D5F3B072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220F-4A95-4510-A581-9E59D01C3F4F}">
  <dimension ref="B1:AA45"/>
  <sheetViews>
    <sheetView showGridLines="0" topLeftCell="A1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>
        <v>2</v>
      </c>
      <c r="F8" s="14">
        <v>1</v>
      </c>
      <c r="G8" s="14"/>
      <c r="H8" s="14" t="s">
        <v>99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6</v>
      </c>
      <c r="X8" s="59">
        <v>7</v>
      </c>
      <c r="Y8" s="15">
        <v>2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/>
      <c r="E15" s="23">
        <v>0</v>
      </c>
      <c r="F15" s="23">
        <v>0</v>
      </c>
      <c r="G15" s="23"/>
      <c r="H15" s="23" t="s">
        <v>98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0</v>
      </c>
      <c r="X15" s="61">
        <v>2</v>
      </c>
      <c r="Y15" s="24">
        <v>0</v>
      </c>
    </row>
    <row r="16" spans="2:27" ht="18" customHeight="1" thickBot="1" x14ac:dyDescent="0.3">
      <c r="B16" s="25" t="s">
        <v>26</v>
      </c>
      <c r="C16" s="57">
        <v>1</v>
      </c>
      <c r="D16" s="58"/>
      <c r="E16" s="27">
        <v>2</v>
      </c>
      <c r="F16" s="27">
        <v>1</v>
      </c>
      <c r="G16" s="28"/>
      <c r="H16" s="28" t="s">
        <v>97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6</v>
      </c>
      <c r="X16" s="62">
        <v>5</v>
      </c>
      <c r="Y16" s="29">
        <v>2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7</v>
      </c>
      <c r="G24" s="14"/>
      <c r="H24" s="14">
        <v>109</v>
      </c>
      <c r="I24" s="14"/>
      <c r="J24" s="14"/>
      <c r="K24" s="14">
        <v>1</v>
      </c>
      <c r="L24" s="14">
        <v>12</v>
      </c>
      <c r="M24" s="14">
        <v>566</v>
      </c>
      <c r="N24" s="14">
        <v>1</v>
      </c>
      <c r="O24" s="14"/>
      <c r="P24" s="14">
        <v>8</v>
      </c>
      <c r="Q24" s="14"/>
      <c r="R24" s="14"/>
      <c r="S24" s="14"/>
      <c r="T24" s="14"/>
      <c r="U24" s="14"/>
      <c r="V24" s="14">
        <v>1</v>
      </c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</v>
      </c>
      <c r="I31" s="23"/>
      <c r="J31" s="23"/>
      <c r="K31" s="23">
        <v>1</v>
      </c>
      <c r="L31" s="23">
        <v>0</v>
      </c>
      <c r="M31" s="23">
        <v>108</v>
      </c>
      <c r="N31" s="23">
        <v>0</v>
      </c>
      <c r="O31" s="23"/>
      <c r="P31" s="23">
        <v>0</v>
      </c>
      <c r="Q31" s="23"/>
      <c r="R31" s="23"/>
      <c r="S31" s="23"/>
      <c r="T31" s="23"/>
      <c r="U31" s="23"/>
      <c r="V31" s="23">
        <v>0</v>
      </c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7</v>
      </c>
      <c r="G32" s="28"/>
      <c r="H32" s="28">
        <v>128</v>
      </c>
      <c r="I32" s="28"/>
      <c r="J32" s="28"/>
      <c r="K32" s="28">
        <v>0</v>
      </c>
      <c r="L32" s="28">
        <v>12</v>
      </c>
      <c r="M32" s="28">
        <v>458</v>
      </c>
      <c r="N32" s="28">
        <v>1</v>
      </c>
      <c r="O32" s="23"/>
      <c r="P32" s="28">
        <v>8</v>
      </c>
      <c r="Q32" s="28"/>
      <c r="R32" s="28"/>
      <c r="S32" s="28"/>
      <c r="T32" s="28"/>
      <c r="U32" s="28"/>
      <c r="V32" s="28">
        <v>1</v>
      </c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>
        <v>4</v>
      </c>
      <c r="D36" s="41">
        <v>2</v>
      </c>
      <c r="E36" s="42">
        <v>22</v>
      </c>
      <c r="F36" s="42">
        <v>585</v>
      </c>
      <c r="G36" s="42">
        <v>12</v>
      </c>
      <c r="H36" s="42">
        <v>7</v>
      </c>
      <c r="I36" s="42">
        <v>14</v>
      </c>
      <c r="J36" s="42">
        <v>1</v>
      </c>
      <c r="K36" s="42">
        <v>11</v>
      </c>
      <c r="L36" s="42">
        <v>8</v>
      </c>
      <c r="M36" s="42">
        <v>5</v>
      </c>
      <c r="N36" s="42">
        <v>17</v>
      </c>
      <c r="O36" s="42">
        <v>3</v>
      </c>
      <c r="P36" s="42"/>
      <c r="Q36" s="43">
        <v>6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>
        <v>4</v>
      </c>
      <c r="D42" s="41">
        <v>2</v>
      </c>
      <c r="E42" s="42">
        <v>22</v>
      </c>
      <c r="F42" s="42">
        <v>585</v>
      </c>
      <c r="G42" s="42">
        <v>12</v>
      </c>
      <c r="H42" s="42">
        <v>7</v>
      </c>
      <c r="I42" s="42">
        <v>14</v>
      </c>
      <c r="J42" s="42">
        <v>1</v>
      </c>
      <c r="K42" s="42">
        <v>11</v>
      </c>
      <c r="L42" s="42">
        <v>8</v>
      </c>
      <c r="M42" s="42">
        <v>5</v>
      </c>
      <c r="N42" s="42">
        <v>17</v>
      </c>
      <c r="O42" s="42">
        <v>3</v>
      </c>
      <c r="P42" s="42"/>
      <c r="Q42" s="43">
        <v>6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1+2+1+5+6+5+2+7+128+12+458+1+8+1</f>
        <v>637</v>
      </c>
      <c r="D44" s="100"/>
      <c r="E44" s="100"/>
    </row>
    <row r="45" spans="2:25" x14ac:dyDescent="0.25">
      <c r="B45" s="76" t="s">
        <v>69</v>
      </c>
      <c r="C45" s="100">
        <v>6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923D-3911-4971-A7C4-27FAA063631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100</v>
      </c>
      <c r="D8" s="14">
        <v>1</v>
      </c>
      <c r="E8" s="14"/>
      <c r="F8" s="14">
        <v>1</v>
      </c>
      <c r="G8" s="14"/>
      <c r="H8" s="14">
        <v>12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100</v>
      </c>
      <c r="D15" s="23">
        <v>1</v>
      </c>
      <c r="E15" s="23"/>
      <c r="F15" s="23">
        <v>0</v>
      </c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>
        <v>1</v>
      </c>
      <c r="G16" s="28"/>
      <c r="H16" s="28">
        <v>12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72</v>
      </c>
      <c r="I24" s="14"/>
      <c r="J24" s="14"/>
      <c r="K24" s="14">
        <v>1</v>
      </c>
      <c r="L24" s="14">
        <v>11</v>
      </c>
      <c r="M24" s="14">
        <v>524</v>
      </c>
      <c r="N24" s="14"/>
      <c r="O24" s="14"/>
      <c r="P24" s="14" t="s">
        <v>101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13</v>
      </c>
      <c r="I31" s="23"/>
      <c r="J31" s="23"/>
      <c r="K31" s="23">
        <v>1</v>
      </c>
      <c r="L31" s="23">
        <v>0</v>
      </c>
      <c r="M31" s="23">
        <v>110</v>
      </c>
      <c r="N31" s="23"/>
      <c r="O31" s="23"/>
      <c r="P31" s="23" t="s">
        <v>101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59</v>
      </c>
      <c r="I32" s="28"/>
      <c r="J32" s="28"/>
      <c r="K32" s="28">
        <v>0</v>
      </c>
      <c r="L32" s="28">
        <v>11</v>
      </c>
      <c r="M32" s="28">
        <v>414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487</v>
      </c>
      <c r="G36" s="42">
        <v>14</v>
      </c>
      <c r="H36" s="42">
        <v>3</v>
      </c>
      <c r="I36" s="42">
        <v>16</v>
      </c>
      <c r="J36" s="42"/>
      <c r="K36" s="42">
        <v>4</v>
      </c>
      <c r="L36" s="42"/>
      <c r="M36" s="42"/>
      <c r="N36" s="42"/>
      <c r="O36" s="42">
        <v>7</v>
      </c>
      <c r="P36" s="42">
        <v>4</v>
      </c>
      <c r="Q36" s="43">
        <v>11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487</v>
      </c>
      <c r="G42" s="42">
        <v>14</v>
      </c>
      <c r="H42" s="42">
        <v>3</v>
      </c>
      <c r="I42" s="42">
        <v>16</v>
      </c>
      <c r="J42" s="42"/>
      <c r="K42" s="42">
        <v>4</v>
      </c>
      <c r="L42" s="42"/>
      <c r="M42" s="42"/>
      <c r="N42" s="42"/>
      <c r="O42" s="42">
        <v>7</v>
      </c>
      <c r="P42" s="42">
        <v>4</v>
      </c>
      <c r="Q42" s="43">
        <v>11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1+12+59+11+414</f>
        <v>497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23F9-2875-4321-9D49-8A2E5232100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5</v>
      </c>
      <c r="D8" s="14">
        <v>5</v>
      </c>
      <c r="E8" s="14">
        <v>22</v>
      </c>
      <c r="F8" s="14">
        <v>23</v>
      </c>
      <c r="G8" s="14"/>
      <c r="H8" s="80" t="s">
        <v>95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2</v>
      </c>
      <c r="Y8" s="15">
        <v>5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>
        <v>0</v>
      </c>
      <c r="E15" s="23">
        <v>0</v>
      </c>
      <c r="F15" s="23">
        <v>0</v>
      </c>
      <c r="G15" s="23"/>
      <c r="H15" s="23">
        <v>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2</v>
      </c>
      <c r="Y15" s="24">
        <v>5</v>
      </c>
    </row>
    <row r="16" spans="2:27" ht="18" customHeight="1" thickBot="1" x14ac:dyDescent="0.3">
      <c r="B16" s="25" t="s">
        <v>26</v>
      </c>
      <c r="C16" s="57">
        <v>5</v>
      </c>
      <c r="D16" s="58">
        <v>5</v>
      </c>
      <c r="E16" s="27">
        <v>22</v>
      </c>
      <c r="F16" s="27">
        <v>23</v>
      </c>
      <c r="G16" s="28"/>
      <c r="H16" s="28" t="s">
        <v>96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74</v>
      </c>
      <c r="I24" s="14"/>
      <c r="J24" s="14"/>
      <c r="K24" s="14">
        <v>2</v>
      </c>
      <c r="L24" s="14">
        <v>20</v>
      </c>
      <c r="M24" s="14">
        <v>545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2</v>
      </c>
      <c r="I31" s="23"/>
      <c r="J31" s="23"/>
      <c r="K31" s="23">
        <v>2</v>
      </c>
      <c r="L31" s="23">
        <v>8</v>
      </c>
      <c r="M31" s="23">
        <v>3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72</v>
      </c>
      <c r="I32" s="28"/>
      <c r="J32" s="28"/>
      <c r="K32" s="28">
        <v>0</v>
      </c>
      <c r="L32" s="28">
        <v>12</v>
      </c>
      <c r="M32" s="28">
        <v>542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688</v>
      </c>
      <c r="G42" s="42"/>
      <c r="H42" s="42"/>
      <c r="I42" s="42"/>
      <c r="J42" s="42"/>
      <c r="K42" s="42"/>
      <c r="L42" s="42"/>
      <c r="M42" s="42">
        <v>1</v>
      </c>
      <c r="N42" s="42">
        <v>13</v>
      </c>
      <c r="O42" s="42">
        <v>11</v>
      </c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5+5+22+23+21+2+72+12+542</f>
        <v>704</v>
      </c>
      <c r="D44" s="100"/>
      <c r="E44" s="100"/>
    </row>
    <row r="45" spans="2:25" x14ac:dyDescent="0.25">
      <c r="B45" s="76" t="s">
        <v>69</v>
      </c>
      <c r="C45" s="100">
        <f>12</f>
        <v>12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2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C67E-D299-4EA4-8942-4EC9F22F4ABD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080B-3910-494E-A086-3E9F30A2B0B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1" width="5.7109375" style="2" customWidth="1"/>
    <col min="12" max="12" width="8" style="2" bestFit="1" customWidth="1"/>
    <col min="13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>
        <v>1</v>
      </c>
      <c r="F8" s="14">
        <v>1</v>
      </c>
      <c r="G8" s="14"/>
      <c r="H8" s="14" t="s">
        <v>98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 t="s">
        <v>106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>
        <v>0</v>
      </c>
      <c r="E15" s="23">
        <v>0</v>
      </c>
      <c r="F15" s="23">
        <v>0</v>
      </c>
      <c r="G15" s="23"/>
      <c r="H15" s="23" t="s">
        <v>102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 t="s">
        <v>105</v>
      </c>
      <c r="Y15" s="24">
        <v>0</v>
      </c>
    </row>
    <row r="16" spans="2:27" ht="18" customHeight="1" thickBot="1" x14ac:dyDescent="0.3">
      <c r="B16" s="25" t="s">
        <v>26</v>
      </c>
      <c r="C16" s="57">
        <v>1</v>
      </c>
      <c r="D16" s="58">
        <v>1</v>
      </c>
      <c r="E16" s="27">
        <v>1</v>
      </c>
      <c r="F16" s="27">
        <v>1</v>
      </c>
      <c r="G16" s="28"/>
      <c r="H16" s="28" t="s">
        <v>104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3</v>
      </c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4</v>
      </c>
      <c r="G24" s="14"/>
      <c r="H24" s="14">
        <v>23</v>
      </c>
      <c r="I24" s="14"/>
      <c r="J24" s="14"/>
      <c r="K24" s="14">
        <v>67</v>
      </c>
      <c r="L24" s="14" t="s">
        <v>107</v>
      </c>
      <c r="M24" s="14">
        <v>324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1</v>
      </c>
      <c r="I31" s="23"/>
      <c r="J31" s="23"/>
      <c r="K31" s="23">
        <v>0</v>
      </c>
      <c r="L31" s="23">
        <v>0</v>
      </c>
      <c r="M31" s="23">
        <v>71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4</v>
      </c>
      <c r="G32" s="28"/>
      <c r="H32" s="28">
        <v>22</v>
      </c>
      <c r="I32" s="28"/>
      <c r="J32" s="28"/>
      <c r="K32" s="28">
        <v>67</v>
      </c>
      <c r="L32" s="28" t="s">
        <v>107</v>
      </c>
      <c r="M32" s="28">
        <v>253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>
        <v>1</v>
      </c>
      <c r="F36" s="42">
        <v>273</v>
      </c>
      <c r="G36" s="42">
        <v>5</v>
      </c>
      <c r="H36" s="42">
        <v>3</v>
      </c>
      <c r="I36" s="42">
        <v>3</v>
      </c>
      <c r="J36" s="42">
        <v>3</v>
      </c>
      <c r="K36" s="42">
        <v>6</v>
      </c>
      <c r="L36" s="42">
        <v>77</v>
      </c>
      <c r="M36" s="42"/>
      <c r="N36" s="42"/>
      <c r="O36" s="42">
        <v>3</v>
      </c>
      <c r="P36" s="42"/>
      <c r="Q36" s="43">
        <v>6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>
        <v>1</v>
      </c>
      <c r="F42" s="42">
        <v>273</v>
      </c>
      <c r="G42" s="42">
        <v>5</v>
      </c>
      <c r="H42" s="42">
        <v>3</v>
      </c>
      <c r="I42" s="42">
        <v>3</v>
      </c>
      <c r="J42" s="42">
        <v>3</v>
      </c>
      <c r="K42" s="42">
        <v>6</v>
      </c>
      <c r="L42" s="42">
        <v>77</v>
      </c>
      <c r="M42" s="42"/>
      <c r="N42" s="42"/>
      <c r="O42" s="42">
        <v>3</v>
      </c>
      <c r="P42" s="42"/>
      <c r="Q42" s="43">
        <v>6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1+1+1+1+3+31+4+22+67+10+253</f>
        <v>394</v>
      </c>
      <c r="D44" s="100"/>
      <c r="E44" s="100"/>
    </row>
    <row r="45" spans="2:25" x14ac:dyDescent="0.25">
      <c r="B45" s="76" t="s">
        <v>69</v>
      </c>
      <c r="C45" s="100">
        <f>18+11</f>
        <v>29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731B-6EC8-4A70-80B3-8A264894F7F9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80</v>
      </c>
      <c r="D8" s="14">
        <v>1</v>
      </c>
      <c r="E8" s="14"/>
      <c r="F8" s="14"/>
      <c r="G8" s="14"/>
      <c r="H8" s="14">
        <v>13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80</v>
      </c>
      <c r="D15" s="23">
        <v>1</v>
      </c>
      <c r="E15" s="23"/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28">
        <v>13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67</v>
      </c>
      <c r="I24" s="14"/>
      <c r="J24" s="14"/>
      <c r="K24" s="14">
        <v>1</v>
      </c>
      <c r="L24" s="14">
        <v>10</v>
      </c>
      <c r="M24" s="14">
        <v>465</v>
      </c>
      <c r="N24" s="14"/>
      <c r="O24" s="14"/>
      <c r="P24" s="14" t="s">
        <v>101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13</v>
      </c>
      <c r="I31" s="23"/>
      <c r="J31" s="23"/>
      <c r="K31" s="23">
        <v>1</v>
      </c>
      <c r="L31" s="23">
        <v>0</v>
      </c>
      <c r="M31" s="23">
        <v>97</v>
      </c>
      <c r="N31" s="23"/>
      <c r="O31" s="23"/>
      <c r="P31" s="23" t="s">
        <v>101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54</v>
      </c>
      <c r="I32" s="28"/>
      <c r="J32" s="28"/>
      <c r="K32" s="28">
        <v>0</v>
      </c>
      <c r="L32" s="28">
        <v>10</v>
      </c>
      <c r="M32" s="28">
        <v>368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430</v>
      </c>
      <c r="G36" s="42">
        <v>4</v>
      </c>
      <c r="H36" s="42"/>
      <c r="I36" s="42"/>
      <c r="J36" s="42">
        <v>1</v>
      </c>
      <c r="K36" s="42">
        <v>11</v>
      </c>
      <c r="L36" s="42"/>
      <c r="M36" s="42"/>
      <c r="N36" s="42"/>
      <c r="O36" s="42"/>
      <c r="P36" s="42">
        <v>10</v>
      </c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430</v>
      </c>
      <c r="G42" s="42">
        <v>4</v>
      </c>
      <c r="H42" s="42"/>
      <c r="I42" s="42"/>
      <c r="J42" s="42">
        <v>1</v>
      </c>
      <c r="K42" s="42">
        <v>11</v>
      </c>
      <c r="L42" s="42"/>
      <c r="M42" s="42"/>
      <c r="N42" s="42"/>
      <c r="O42" s="42"/>
      <c r="P42" s="42">
        <v>10</v>
      </c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13+54+10+368</f>
        <v>445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1424-DC1A-4283-B6E3-D30B01811845}">
  <dimension ref="B1:AA45"/>
  <sheetViews>
    <sheetView showGridLines="0" topLeftCell="A16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>
        <v>2</v>
      </c>
      <c r="E8" s="14">
        <v>3</v>
      </c>
      <c r="F8" s="14">
        <v>3</v>
      </c>
      <c r="G8" s="14"/>
      <c r="H8" s="14">
        <v>22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2</v>
      </c>
      <c r="Y8" s="15">
        <v>5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>
        <v>2</v>
      </c>
      <c r="E15" s="23">
        <v>0</v>
      </c>
      <c r="F15" s="23">
        <v>0</v>
      </c>
      <c r="G15" s="23"/>
      <c r="H15" s="23" t="s">
        <v>103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0</v>
      </c>
      <c r="Y15" s="24">
        <v>5</v>
      </c>
    </row>
    <row r="16" spans="2:27" ht="18" customHeight="1" thickBot="1" x14ac:dyDescent="0.3">
      <c r="B16" s="25" t="s">
        <v>26</v>
      </c>
      <c r="C16" s="57"/>
      <c r="D16" s="58">
        <v>0</v>
      </c>
      <c r="E16" s="27">
        <v>3</v>
      </c>
      <c r="F16" s="27">
        <v>3</v>
      </c>
      <c r="G16" s="28"/>
      <c r="H16" s="28" t="s">
        <v>102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2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>
        <v>1</v>
      </c>
      <c r="E24" s="14"/>
      <c r="F24" s="14">
        <v>6</v>
      </c>
      <c r="G24" s="14"/>
      <c r="H24" s="14">
        <v>110</v>
      </c>
      <c r="I24" s="14">
        <v>1</v>
      </c>
      <c r="J24" s="14"/>
      <c r="K24" s="14">
        <v>2</v>
      </c>
      <c r="L24" s="14">
        <v>20</v>
      </c>
      <c r="M24" s="14">
        <v>543</v>
      </c>
      <c r="N24" s="14">
        <v>3</v>
      </c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>
        <v>0</v>
      </c>
      <c r="D31" s="23">
        <v>0</v>
      </c>
      <c r="E31" s="23"/>
      <c r="F31" s="23">
        <v>0</v>
      </c>
      <c r="G31" s="23"/>
      <c r="H31" s="23">
        <v>52</v>
      </c>
      <c r="I31" s="23">
        <v>0</v>
      </c>
      <c r="J31" s="23"/>
      <c r="K31" s="23">
        <v>2</v>
      </c>
      <c r="L31" s="23">
        <v>10</v>
      </c>
      <c r="M31" s="23">
        <v>212</v>
      </c>
      <c r="N31" s="23">
        <v>0</v>
      </c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>
        <v>1</v>
      </c>
      <c r="D32" s="27">
        <v>1</v>
      </c>
      <c r="E32" s="27"/>
      <c r="F32" s="27">
        <v>6</v>
      </c>
      <c r="G32" s="28"/>
      <c r="H32" s="28">
        <v>58</v>
      </c>
      <c r="I32" s="28">
        <v>1</v>
      </c>
      <c r="J32" s="28"/>
      <c r="K32" s="28">
        <v>0</v>
      </c>
      <c r="L32" s="28">
        <v>10</v>
      </c>
      <c r="M32" s="28">
        <v>331</v>
      </c>
      <c r="N32" s="28">
        <v>3</v>
      </c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>
        <v>3</v>
      </c>
      <c r="D36" s="41"/>
      <c r="E36" s="42"/>
      <c r="F36" s="42">
        <v>408</v>
      </c>
      <c r="G36" s="42"/>
      <c r="H36" s="42"/>
      <c r="I36" s="42">
        <v>17</v>
      </c>
      <c r="J36" s="42"/>
      <c r="K36" s="42"/>
      <c r="L36" s="42">
        <v>5</v>
      </c>
      <c r="M36" s="42"/>
      <c r="N36" s="42"/>
      <c r="O36" s="42">
        <v>4</v>
      </c>
      <c r="P36" s="42"/>
      <c r="Q36" s="43">
        <v>8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>
        <v>3</v>
      </c>
      <c r="D42" s="41"/>
      <c r="E42" s="42"/>
      <c r="F42" s="42">
        <v>408</v>
      </c>
      <c r="G42" s="42"/>
      <c r="H42" s="42"/>
      <c r="I42" s="42">
        <v>17</v>
      </c>
      <c r="J42" s="42"/>
      <c r="K42" s="42"/>
      <c r="L42" s="42">
        <v>5</v>
      </c>
      <c r="M42" s="42"/>
      <c r="N42" s="42"/>
      <c r="O42" s="42">
        <v>4</v>
      </c>
      <c r="P42" s="42"/>
      <c r="Q42" s="43">
        <v>8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3+3+11+2+1+1+6+58+1+10+331+3</f>
        <v>430</v>
      </c>
      <c r="D44" s="100"/>
      <c r="E44" s="100"/>
    </row>
    <row r="45" spans="2:25" x14ac:dyDescent="0.25">
      <c r="B45" s="76" t="s">
        <v>69</v>
      </c>
      <c r="C45" s="100">
        <f>15</f>
        <v>15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AFCD-986B-407F-BD74-B0E647C49D67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DE28-8C56-41E4-B9F1-C4F04215B5D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>
        <v>10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 t="s">
        <v>116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 t="s">
        <v>101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>
        <v>25</v>
      </c>
      <c r="I24" s="14"/>
      <c r="J24" s="14"/>
      <c r="K24" s="14"/>
      <c r="L24" s="14">
        <v>48</v>
      </c>
      <c r="M24" s="14">
        <v>468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>
        <v>10</v>
      </c>
      <c r="I31" s="23"/>
      <c r="J31" s="23"/>
      <c r="K31" s="23"/>
      <c r="L31" s="23">
        <v>0</v>
      </c>
      <c r="M31" s="23">
        <v>1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15</v>
      </c>
      <c r="I32" s="28"/>
      <c r="J32" s="28"/>
      <c r="K32" s="28"/>
      <c r="L32" s="28">
        <v>48</v>
      </c>
      <c r="M32" s="28">
        <v>467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>
        <v>3</v>
      </c>
      <c r="D36" s="41">
        <v>1</v>
      </c>
      <c r="E36" s="42"/>
      <c r="F36" s="42">
        <v>559</v>
      </c>
      <c r="G36" s="42">
        <v>20</v>
      </c>
      <c r="H36" s="42">
        <v>3</v>
      </c>
      <c r="I36" s="42">
        <v>18</v>
      </c>
      <c r="J36" s="42">
        <v>1</v>
      </c>
      <c r="K36" s="42">
        <v>11</v>
      </c>
      <c r="L36" s="42">
        <v>9</v>
      </c>
      <c r="M36" s="42"/>
      <c r="N36" s="42"/>
      <c r="O36" s="42">
        <v>7</v>
      </c>
      <c r="P36" s="42">
        <v>69</v>
      </c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>
        <v>3</v>
      </c>
      <c r="D42" s="41">
        <v>1</v>
      </c>
      <c r="E42" s="42"/>
      <c r="F42" s="42">
        <v>559</v>
      </c>
      <c r="G42" s="42">
        <v>20</v>
      </c>
      <c r="H42" s="42">
        <v>3</v>
      </c>
      <c r="I42" s="42">
        <v>18</v>
      </c>
      <c r="J42" s="42">
        <v>1</v>
      </c>
      <c r="K42" s="42">
        <v>11</v>
      </c>
      <c r="L42" s="42">
        <v>9</v>
      </c>
      <c r="M42" s="42"/>
      <c r="N42" s="42"/>
      <c r="O42" s="42">
        <v>7</v>
      </c>
      <c r="P42" s="42">
        <v>69</v>
      </c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5+15+48+467</f>
        <v>535</v>
      </c>
      <c r="D44" s="100"/>
      <c r="E44" s="100"/>
    </row>
    <row r="45" spans="2:25" x14ac:dyDescent="0.25">
      <c r="B45" s="76" t="s">
        <v>69</v>
      </c>
      <c r="C45" s="100">
        <v>4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AA66-6D42-4A6A-8740-06567A2090C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80</v>
      </c>
      <c r="D8" s="14">
        <v>1</v>
      </c>
      <c r="E8" s="14"/>
      <c r="F8" s="14"/>
      <c r="G8" s="14"/>
      <c r="H8" s="14">
        <v>12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80</v>
      </c>
      <c r="D15" s="23">
        <v>0</v>
      </c>
      <c r="E15" s="23"/>
      <c r="F15" s="23"/>
      <c r="G15" s="23"/>
      <c r="H15" s="23">
        <v>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1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>
        <v>1</v>
      </c>
      <c r="E16" s="27"/>
      <c r="F16" s="27"/>
      <c r="G16" s="28"/>
      <c r="H16" s="28">
        <v>10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23</v>
      </c>
      <c r="I24" s="14"/>
      <c r="J24" s="14"/>
      <c r="K24" s="14">
        <v>1</v>
      </c>
      <c r="L24" s="14">
        <v>9</v>
      </c>
      <c r="M24" s="14">
        <v>390</v>
      </c>
      <c r="N24" s="14"/>
      <c r="O24" s="14"/>
      <c r="P24" s="14" t="s">
        <v>101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0</v>
      </c>
      <c r="I31" s="23"/>
      <c r="J31" s="23"/>
      <c r="K31" s="23">
        <v>1</v>
      </c>
      <c r="L31" s="23">
        <v>0</v>
      </c>
      <c r="M31" s="23">
        <v>107</v>
      </c>
      <c r="N31" s="23"/>
      <c r="O31" s="23"/>
      <c r="P31" s="23" t="s">
        <v>101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23</v>
      </c>
      <c r="I32" s="28"/>
      <c r="J32" s="28"/>
      <c r="K32" s="28">
        <v>0</v>
      </c>
      <c r="L32" s="28">
        <v>9</v>
      </c>
      <c r="M32" s="28">
        <v>283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287</v>
      </c>
      <c r="G36" s="42">
        <v>15</v>
      </c>
      <c r="H36" s="42">
        <v>2</v>
      </c>
      <c r="I36" s="42"/>
      <c r="J36" s="42"/>
      <c r="K36" s="42">
        <v>6</v>
      </c>
      <c r="L36" s="42"/>
      <c r="M36" s="42"/>
      <c r="N36" s="42"/>
      <c r="O36" s="42"/>
      <c r="P36" s="42"/>
      <c r="Q36" s="43">
        <v>8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287</v>
      </c>
      <c r="G42" s="42">
        <v>15</v>
      </c>
      <c r="H42" s="42">
        <v>2</v>
      </c>
      <c r="I42" s="42"/>
      <c r="J42" s="42"/>
      <c r="K42" s="42">
        <v>6</v>
      </c>
      <c r="L42" s="42"/>
      <c r="M42" s="42"/>
      <c r="N42" s="42"/>
      <c r="O42" s="42"/>
      <c r="P42" s="42"/>
      <c r="Q42" s="43">
        <v>8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1+10+23+9+283</f>
        <v>326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6E93-B9D0-4EA3-8D50-857D5989BD10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3</v>
      </c>
      <c r="D8" s="14">
        <v>3</v>
      </c>
      <c r="E8" s="14"/>
      <c r="F8" s="14"/>
      <c r="G8" s="14"/>
      <c r="H8" s="14" t="s">
        <v>113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>
        <v>5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>
        <v>0</v>
      </c>
      <c r="E15" s="23"/>
      <c r="F15" s="23"/>
      <c r="G15" s="23"/>
      <c r="H15" s="23" t="s">
        <v>114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>
        <v>5</v>
      </c>
    </row>
    <row r="16" spans="2:27" ht="18" customHeight="1" thickBot="1" x14ac:dyDescent="0.3">
      <c r="B16" s="25" t="s">
        <v>26</v>
      </c>
      <c r="C16" s="57">
        <v>3</v>
      </c>
      <c r="D16" s="58">
        <v>3</v>
      </c>
      <c r="E16" s="27"/>
      <c r="F16" s="27"/>
      <c r="G16" s="28"/>
      <c r="H16" s="28" t="s">
        <v>115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>
        <v>1</v>
      </c>
      <c r="D24" s="14"/>
      <c r="E24" s="14"/>
      <c r="F24" s="14">
        <v>2</v>
      </c>
      <c r="G24" s="14"/>
      <c r="H24" s="14">
        <v>52</v>
      </c>
      <c r="I24" s="14"/>
      <c r="J24" s="14"/>
      <c r="K24" s="14">
        <v>2</v>
      </c>
      <c r="L24" s="14">
        <v>43</v>
      </c>
      <c r="M24" s="14">
        <v>536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>
        <v>0</v>
      </c>
      <c r="D31" s="23"/>
      <c r="E31" s="23"/>
      <c r="F31" s="23">
        <v>1</v>
      </c>
      <c r="G31" s="23"/>
      <c r="H31" s="23">
        <v>42</v>
      </c>
      <c r="I31" s="23"/>
      <c r="J31" s="23"/>
      <c r="K31" s="23">
        <v>2</v>
      </c>
      <c r="L31" s="23">
        <v>1</v>
      </c>
      <c r="M31" s="23">
        <v>137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>
        <v>1</v>
      </c>
      <c r="D32" s="27"/>
      <c r="E32" s="27"/>
      <c r="F32" s="27">
        <v>1</v>
      </c>
      <c r="G32" s="28"/>
      <c r="H32" s="28">
        <v>10</v>
      </c>
      <c r="I32" s="28"/>
      <c r="J32" s="28"/>
      <c r="K32" s="28">
        <v>0</v>
      </c>
      <c r="L32" s="28">
        <v>42</v>
      </c>
      <c r="M32" s="28">
        <v>399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366</v>
      </c>
      <c r="G36" s="42">
        <v>23</v>
      </c>
      <c r="H36" s="42">
        <v>6</v>
      </c>
      <c r="I36" s="42">
        <v>51</v>
      </c>
      <c r="J36" s="42">
        <v>7</v>
      </c>
      <c r="K36" s="42">
        <v>5</v>
      </c>
      <c r="L36" s="42">
        <v>7</v>
      </c>
      <c r="M36" s="42"/>
      <c r="N36" s="42">
        <v>9</v>
      </c>
      <c r="O36" s="42">
        <v>21</v>
      </c>
      <c r="P36" s="42">
        <v>1</v>
      </c>
      <c r="Q36" s="43">
        <v>12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366</v>
      </c>
      <c r="G42" s="42">
        <v>23</v>
      </c>
      <c r="H42" s="42">
        <v>6</v>
      </c>
      <c r="I42" s="42">
        <v>51</v>
      </c>
      <c r="J42" s="42">
        <v>7</v>
      </c>
      <c r="K42" s="42">
        <v>5</v>
      </c>
      <c r="L42" s="42">
        <v>7</v>
      </c>
      <c r="M42" s="42"/>
      <c r="N42" s="42">
        <v>9</v>
      </c>
      <c r="O42" s="42">
        <v>21</v>
      </c>
      <c r="P42" s="42">
        <v>1</v>
      </c>
      <c r="Q42" s="43">
        <v>12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3+3+17+1+1+10+42+399</f>
        <v>476</v>
      </c>
      <c r="D44" s="100"/>
      <c r="E44" s="100"/>
    </row>
    <row r="45" spans="2:25" x14ac:dyDescent="0.25">
      <c r="B45" s="76" t="s">
        <v>69</v>
      </c>
      <c r="C45" s="100">
        <f>19</f>
        <v>19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E6A4-C466-4FA2-ABD5-0D7DCEAF57A5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F930-DF99-44A7-B907-1FC935B850C6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6360-9FC2-4EBF-A268-CD3D0A142963}">
  <dimension ref="B1:AA45"/>
  <sheetViews>
    <sheetView showGridLines="0" topLeftCell="A1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80</v>
      </c>
      <c r="D8" s="14"/>
      <c r="E8" s="14">
        <v>2</v>
      </c>
      <c r="F8" s="14">
        <v>2</v>
      </c>
      <c r="G8" s="14"/>
      <c r="H8" s="14">
        <v>12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1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80</v>
      </c>
      <c r="D15" s="23"/>
      <c r="E15" s="23">
        <v>0</v>
      </c>
      <c r="F15" s="23">
        <v>0</v>
      </c>
      <c r="G15" s="23"/>
      <c r="H15" s="23" t="s">
        <v>121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0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/>
      <c r="E16" s="27">
        <v>2</v>
      </c>
      <c r="F16" s="27">
        <v>2</v>
      </c>
      <c r="G16" s="28"/>
      <c r="H16" s="28" t="s">
        <v>120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1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>
        <v>1</v>
      </c>
      <c r="E24" s="14">
        <v>1</v>
      </c>
      <c r="F24" s="14">
        <v>2</v>
      </c>
      <c r="G24" s="14"/>
      <c r="H24" s="14">
        <v>30</v>
      </c>
      <c r="I24" s="14"/>
      <c r="J24" s="14"/>
      <c r="K24" s="14">
        <v>2</v>
      </c>
      <c r="L24" s="14">
        <v>8</v>
      </c>
      <c r="M24" s="14">
        <v>395</v>
      </c>
      <c r="N24" s="14">
        <v>2</v>
      </c>
      <c r="O24" s="14"/>
      <c r="P24" s="14" t="s">
        <v>101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>
        <v>0</v>
      </c>
      <c r="E31" s="23">
        <v>0</v>
      </c>
      <c r="F31" s="23">
        <v>2</v>
      </c>
      <c r="G31" s="23"/>
      <c r="H31" s="23">
        <v>6</v>
      </c>
      <c r="I31" s="23"/>
      <c r="J31" s="23"/>
      <c r="K31" s="23">
        <v>2</v>
      </c>
      <c r="L31" s="23">
        <v>5</v>
      </c>
      <c r="M31" s="23">
        <v>97</v>
      </c>
      <c r="N31" s="23">
        <v>0</v>
      </c>
      <c r="O31" s="23"/>
      <c r="P31" s="23" t="s">
        <v>101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>
        <v>1</v>
      </c>
      <c r="E32" s="27">
        <v>1</v>
      </c>
      <c r="F32" s="27">
        <v>0</v>
      </c>
      <c r="G32" s="28"/>
      <c r="H32" s="28">
        <v>24</v>
      </c>
      <c r="I32" s="28"/>
      <c r="J32" s="28"/>
      <c r="K32" s="28">
        <v>0</v>
      </c>
      <c r="L32" s="28">
        <v>3</v>
      </c>
      <c r="M32" s="28">
        <v>298</v>
      </c>
      <c r="N32" s="28">
        <v>2</v>
      </c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>
        <v>2</v>
      </c>
      <c r="E36" s="42">
        <v>20</v>
      </c>
      <c r="F36" s="42">
        <v>207</v>
      </c>
      <c r="G36" s="42"/>
      <c r="H36" s="42">
        <v>14</v>
      </c>
      <c r="I36" s="42">
        <v>4</v>
      </c>
      <c r="J36" s="42"/>
      <c r="K36" s="42">
        <v>24</v>
      </c>
      <c r="L36" s="42">
        <v>2</v>
      </c>
      <c r="M36" s="42"/>
      <c r="N36" s="42">
        <v>6</v>
      </c>
      <c r="O36" s="42">
        <v>5</v>
      </c>
      <c r="P36" s="42">
        <v>7</v>
      </c>
      <c r="Q36" s="43">
        <v>10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>
        <v>2</v>
      </c>
      <c r="E42" s="42">
        <v>20</v>
      </c>
      <c r="F42" s="42">
        <v>207</v>
      </c>
      <c r="G42" s="42"/>
      <c r="H42" s="42">
        <v>14</v>
      </c>
      <c r="I42" s="42">
        <v>4</v>
      </c>
      <c r="J42" s="42"/>
      <c r="K42" s="42">
        <v>24</v>
      </c>
      <c r="L42" s="42">
        <v>2</v>
      </c>
      <c r="M42" s="42"/>
      <c r="N42" s="42">
        <v>6</v>
      </c>
      <c r="O42" s="42">
        <v>5</v>
      </c>
      <c r="P42" s="42">
        <v>7</v>
      </c>
      <c r="Q42" s="43">
        <v>10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2+2+9+1+1+1+24+3+298+2</f>
        <v>343</v>
      </c>
      <c r="D44" s="100"/>
      <c r="E44" s="100"/>
    </row>
    <row r="45" spans="2:25" x14ac:dyDescent="0.25">
      <c r="B45" s="76" t="s">
        <v>69</v>
      </c>
      <c r="C45" s="100">
        <f>9</f>
        <v>9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760D-4C86-4E8F-B94F-D23C21DA1C21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6.4257812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75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/>
      <c r="F8" s="14"/>
      <c r="G8" s="14"/>
      <c r="H8" s="14" t="s">
        <v>119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2</v>
      </c>
      <c r="Y8" s="15">
        <v>5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/>
      <c r="F15" s="23"/>
      <c r="G15" s="23"/>
      <c r="H15" s="23" t="s">
        <v>118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2</v>
      </c>
      <c r="Y15" s="24">
        <v>5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/>
      <c r="G16" s="28"/>
      <c r="H16" s="82" t="s">
        <v>117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42</v>
      </c>
      <c r="I24" s="14"/>
      <c r="J24" s="14"/>
      <c r="K24" s="14">
        <v>2</v>
      </c>
      <c r="L24" s="14">
        <v>21</v>
      </c>
      <c r="M24" s="14">
        <v>569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1</v>
      </c>
      <c r="G31" s="23"/>
      <c r="H31" s="23">
        <v>2</v>
      </c>
      <c r="I31" s="23"/>
      <c r="J31" s="23"/>
      <c r="K31" s="23">
        <v>1</v>
      </c>
      <c r="L31" s="23">
        <v>1</v>
      </c>
      <c r="M31" s="23">
        <v>98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2</v>
      </c>
      <c r="G32" s="28"/>
      <c r="H32" s="28">
        <v>40</v>
      </c>
      <c r="I32" s="28"/>
      <c r="J32" s="28"/>
      <c r="K32" s="28">
        <v>1</v>
      </c>
      <c r="L32" s="28">
        <v>20</v>
      </c>
      <c r="M32" s="28">
        <v>471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>
        <v>1</v>
      </c>
      <c r="D36" s="41">
        <v>1</v>
      </c>
      <c r="E36" s="42">
        <v>18</v>
      </c>
      <c r="F36" s="42">
        <v>518</v>
      </c>
      <c r="G36" s="42">
        <v>9</v>
      </c>
      <c r="H36" s="42">
        <v>5</v>
      </c>
      <c r="I36" s="42">
        <v>16</v>
      </c>
      <c r="J36" s="42">
        <v>2</v>
      </c>
      <c r="K36" s="42">
        <v>5</v>
      </c>
      <c r="L36" s="42">
        <v>1</v>
      </c>
      <c r="M36" s="42"/>
      <c r="N36" s="42">
        <v>8</v>
      </c>
      <c r="O36" s="42">
        <v>7</v>
      </c>
      <c r="P36" s="42">
        <v>34</v>
      </c>
      <c r="Q36" s="43">
        <v>7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>
        <v>1</v>
      </c>
      <c r="D42" s="41">
        <v>1</v>
      </c>
      <c r="E42" s="42">
        <v>18</v>
      </c>
      <c r="F42" s="42">
        <v>518</v>
      </c>
      <c r="G42" s="42">
        <v>9</v>
      </c>
      <c r="H42" s="42">
        <v>5</v>
      </c>
      <c r="I42" s="42">
        <v>16</v>
      </c>
      <c r="J42" s="42">
        <v>2</v>
      </c>
      <c r="K42" s="42">
        <v>5</v>
      </c>
      <c r="L42" s="42">
        <v>1</v>
      </c>
      <c r="M42" s="42"/>
      <c r="N42" s="42">
        <v>8</v>
      </c>
      <c r="O42" s="42">
        <v>7</v>
      </c>
      <c r="P42" s="42">
        <v>34</v>
      </c>
      <c r="Q42" s="43">
        <v>7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15+2+40+1+20+471</f>
        <v>549</v>
      </c>
      <c r="D44" s="100"/>
      <c r="E44" s="100"/>
    </row>
    <row r="45" spans="2:25" x14ac:dyDescent="0.25">
      <c r="B45" s="76" t="s">
        <v>69</v>
      </c>
      <c r="C45" s="100">
        <v>10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00E9-F0ED-46F4-9589-1BAEF68277C9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849A-C43C-4C9D-A588-4E7C2202EE6C}">
  <dimension ref="B1:AA45"/>
  <sheetViews>
    <sheetView showGridLines="0" topLeftCell="A29" zoomScale="160" zoomScaleNormal="160" workbookViewId="0">
      <selection activeCell="G46" sqref="G4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122</v>
      </c>
      <c r="D8" s="14"/>
      <c r="E8" s="14"/>
      <c r="F8" s="14"/>
      <c r="G8" s="14" t="s">
        <v>123</v>
      </c>
      <c r="H8" s="14" t="s">
        <v>124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 t="s">
        <v>127</v>
      </c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122</v>
      </c>
      <c r="D15" s="23"/>
      <c r="E15" s="23"/>
      <c r="F15" s="23"/>
      <c r="G15" s="23">
        <v>0</v>
      </c>
      <c r="H15" s="23" t="s">
        <v>125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 t="s">
        <v>128</v>
      </c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 t="s">
        <v>123</v>
      </c>
      <c r="H16" s="28" t="s">
        <v>126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2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129</v>
      </c>
      <c r="G24" s="14"/>
      <c r="H24" s="14">
        <v>31</v>
      </c>
      <c r="I24" s="14"/>
      <c r="J24" s="14"/>
      <c r="K24" s="14">
        <v>2</v>
      </c>
      <c r="L24" s="14">
        <v>10</v>
      </c>
      <c r="M24" s="14">
        <v>395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130</v>
      </c>
      <c r="G31" s="23"/>
      <c r="H31" s="23">
        <v>1</v>
      </c>
      <c r="I31" s="23"/>
      <c r="J31" s="23"/>
      <c r="K31" s="23">
        <v>1</v>
      </c>
      <c r="L31" s="23">
        <v>0</v>
      </c>
      <c r="M31" s="23">
        <v>30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</v>
      </c>
      <c r="G32" s="28"/>
      <c r="H32" s="28">
        <v>30</v>
      </c>
      <c r="I32" s="28"/>
      <c r="J32" s="28"/>
      <c r="K32" s="28">
        <v>1</v>
      </c>
      <c r="L32" s="28">
        <v>10</v>
      </c>
      <c r="M32" s="28">
        <v>365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356</v>
      </c>
      <c r="G36" s="42">
        <v>12</v>
      </c>
      <c r="H36" s="42"/>
      <c r="I36" s="42">
        <v>10</v>
      </c>
      <c r="J36" s="42"/>
      <c r="K36" s="42">
        <v>8</v>
      </c>
      <c r="L36" s="42">
        <v>3</v>
      </c>
      <c r="M36" s="42"/>
      <c r="N36" s="42"/>
      <c r="O36" s="42">
        <v>1</v>
      </c>
      <c r="P36" s="42">
        <v>1</v>
      </c>
      <c r="Q36" s="43">
        <v>7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356</v>
      </c>
      <c r="G42" s="42">
        <v>12</v>
      </c>
      <c r="H42" s="42"/>
      <c r="I42" s="42">
        <v>10</v>
      </c>
      <c r="J42" s="42"/>
      <c r="K42" s="42">
        <v>8</v>
      </c>
      <c r="L42" s="42">
        <v>3</v>
      </c>
      <c r="M42" s="42"/>
      <c r="N42" s="42"/>
      <c r="O42" s="42">
        <v>1</v>
      </c>
      <c r="P42" s="42">
        <v>1</v>
      </c>
      <c r="Q42" s="43">
        <v>7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1+2+1+30+1+10+365</f>
        <v>410</v>
      </c>
      <c r="D44" s="100"/>
      <c r="E44" s="100"/>
    </row>
    <row r="45" spans="2:25" x14ac:dyDescent="0.25">
      <c r="B45" s="76" t="s">
        <v>69</v>
      </c>
      <c r="C45" s="100">
        <f>22+10</f>
        <v>32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998C-9A79-47DA-BA16-E9354F499665}">
  <dimension ref="B1:AA45"/>
  <sheetViews>
    <sheetView showGridLines="0" topLeftCell="A32" zoomScale="160" zoomScaleNormal="160" workbookViewId="0">
      <selection activeCell="C44" sqref="C44:E44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90</v>
      </c>
      <c r="D8" s="14"/>
      <c r="E8" s="14"/>
      <c r="F8" s="14"/>
      <c r="G8" s="14"/>
      <c r="H8" s="14" t="s">
        <v>131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90</v>
      </c>
      <c r="D15" s="23"/>
      <c r="E15" s="23"/>
      <c r="F15" s="23"/>
      <c r="G15" s="23"/>
      <c r="H15" s="23">
        <v>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82" t="s">
        <v>132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</v>
      </c>
      <c r="G24" s="14"/>
      <c r="H24" s="14">
        <v>130</v>
      </c>
      <c r="I24" s="14"/>
      <c r="J24" s="14"/>
      <c r="K24" s="14">
        <v>2</v>
      </c>
      <c r="L24" s="14">
        <v>5</v>
      </c>
      <c r="M24" s="14">
        <v>418</v>
      </c>
      <c r="N24" s="14"/>
      <c r="O24" s="14"/>
      <c r="P24" s="14" t="s">
        <v>133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</v>
      </c>
      <c r="G31" s="23"/>
      <c r="H31" s="23">
        <v>0</v>
      </c>
      <c r="I31" s="23"/>
      <c r="J31" s="23"/>
      <c r="K31" s="23">
        <v>2</v>
      </c>
      <c r="L31" s="23">
        <v>5</v>
      </c>
      <c r="M31" s="23">
        <v>43</v>
      </c>
      <c r="N31" s="23"/>
      <c r="O31" s="23"/>
      <c r="P31" s="23" t="s">
        <v>133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130</v>
      </c>
      <c r="I32" s="28"/>
      <c r="J32" s="28"/>
      <c r="K32" s="28">
        <v>0</v>
      </c>
      <c r="L32" s="28">
        <v>0</v>
      </c>
      <c r="M32" s="28">
        <v>375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507</v>
      </c>
      <c r="G36" s="42">
        <v>1</v>
      </c>
      <c r="H36" s="42">
        <v>4</v>
      </c>
      <c r="I36" s="42"/>
      <c r="J36" s="42"/>
      <c r="K36" s="42"/>
      <c r="L36" s="42"/>
      <c r="M36" s="42"/>
      <c r="N36" s="42"/>
      <c r="O36" s="42">
        <v>13</v>
      </c>
      <c r="P36" s="42">
        <v>3</v>
      </c>
      <c r="Q36" s="43">
        <v>7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507</v>
      </c>
      <c r="G42" s="42">
        <v>1</v>
      </c>
      <c r="H42" s="42">
        <v>4</v>
      </c>
      <c r="I42" s="42"/>
      <c r="J42" s="42"/>
      <c r="K42" s="42"/>
      <c r="L42" s="42"/>
      <c r="M42" s="42"/>
      <c r="N42" s="42"/>
      <c r="O42" s="42">
        <v>13</v>
      </c>
      <c r="P42" s="42">
        <v>3</v>
      </c>
      <c r="Q42" s="43">
        <v>7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130+375+15</f>
        <v>520</v>
      </c>
      <c r="D44" s="100"/>
      <c r="E44" s="100"/>
    </row>
    <row r="45" spans="2:25" x14ac:dyDescent="0.25">
      <c r="B45" s="76" t="s">
        <v>69</v>
      </c>
      <c r="C45" s="100">
        <v>7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B866-17D9-4264-B8C6-BB74A31A32DD}">
  <dimension ref="B1:AA45"/>
  <sheetViews>
    <sheetView showGridLines="0" topLeftCell="A26" zoomScale="160" zoomScaleNormal="160" workbookViewId="0">
      <selection activeCell="C46" sqref="C4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76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/>
      <c r="F8" s="14">
        <v>3</v>
      </c>
      <c r="G8" s="14"/>
      <c r="H8" s="14" t="s">
        <v>134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2</v>
      </c>
      <c r="Y8" s="15">
        <v>5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/>
      <c r="F15" s="23">
        <v>0</v>
      </c>
      <c r="G15" s="23"/>
      <c r="H15" s="23" t="s">
        <v>135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0</v>
      </c>
      <c r="Y15" s="24">
        <v>5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/>
      <c r="F16" s="27">
        <v>3</v>
      </c>
      <c r="G16" s="28"/>
      <c r="H16" s="28" t="s">
        <v>136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2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97</v>
      </c>
      <c r="I24" s="14"/>
      <c r="J24" s="14"/>
      <c r="K24" s="14">
        <v>2</v>
      </c>
      <c r="L24" s="14">
        <v>21</v>
      </c>
      <c r="M24" s="14">
        <v>530</v>
      </c>
      <c r="N24" s="14"/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3</v>
      </c>
      <c r="G31" s="23"/>
      <c r="H31" s="23">
        <v>2</v>
      </c>
      <c r="I31" s="23"/>
      <c r="J31" s="23"/>
      <c r="K31" s="23">
        <v>2</v>
      </c>
      <c r="L31" s="23">
        <v>12</v>
      </c>
      <c r="M31" s="23">
        <v>235</v>
      </c>
      <c r="N31" s="23"/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95</v>
      </c>
      <c r="I32" s="28"/>
      <c r="J32" s="28"/>
      <c r="K32" s="28">
        <v>0</v>
      </c>
      <c r="L32" s="28">
        <v>9</v>
      </c>
      <c r="M32" s="28">
        <v>295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78"/>
      <c r="W35" s="78"/>
      <c r="X35" s="78"/>
      <c r="Y35" s="78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451</v>
      </c>
      <c r="G36" s="42"/>
      <c r="H36" s="42">
        <v>31</v>
      </c>
      <c r="I36" s="42">
        <v>9</v>
      </c>
      <c r="J36" s="42"/>
      <c r="K36" s="42"/>
      <c r="L36" s="42">
        <v>2</v>
      </c>
      <c r="M36" s="42"/>
      <c r="N36" s="42">
        <v>8</v>
      </c>
      <c r="O36" s="42">
        <v>3</v>
      </c>
      <c r="P36" s="42">
        <v>1</v>
      </c>
      <c r="Q36" s="43">
        <v>1</v>
      </c>
      <c r="R36" s="72"/>
      <c r="S36" s="44"/>
      <c r="T36" s="44"/>
      <c r="U36" s="78"/>
      <c r="V36" s="78"/>
      <c r="W36" s="78"/>
      <c r="X36" s="78"/>
      <c r="Y36" s="78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78"/>
      <c r="V37" s="78"/>
      <c r="W37" s="78"/>
      <c r="X37" s="78"/>
      <c r="Y37" s="78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78"/>
      <c r="V38" s="78"/>
      <c r="W38" s="78"/>
      <c r="X38" s="78"/>
      <c r="Y38" s="78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78"/>
      <c r="V39" s="78"/>
      <c r="W39" s="78"/>
      <c r="X39" s="78"/>
      <c r="Y39" s="78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78"/>
      <c r="V40" s="78"/>
      <c r="W40" s="78"/>
      <c r="X40" s="78"/>
      <c r="Y40" s="78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78"/>
      <c r="W41" s="78"/>
      <c r="X41" s="78"/>
      <c r="Y41" s="78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451</v>
      </c>
      <c r="G42" s="42"/>
      <c r="H42" s="42">
        <v>31</v>
      </c>
      <c r="I42" s="42">
        <v>9</v>
      </c>
      <c r="J42" s="42"/>
      <c r="K42" s="42"/>
      <c r="L42" s="42">
        <v>2</v>
      </c>
      <c r="M42" s="42"/>
      <c r="N42" s="42">
        <v>8</v>
      </c>
      <c r="O42" s="42">
        <v>3</v>
      </c>
      <c r="P42" s="42">
        <v>1</v>
      </c>
      <c r="Q42" s="43">
        <v>1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78"/>
      <c r="V43" s="78"/>
      <c r="W43" s="78"/>
      <c r="X43" s="78"/>
      <c r="Y43" s="78"/>
    </row>
    <row r="44" spans="2:25" x14ac:dyDescent="0.25">
      <c r="B44" s="76" t="s">
        <v>68</v>
      </c>
      <c r="C44" s="100">
        <f>3+4+2+95+9+295</f>
        <v>408</v>
      </c>
      <c r="D44" s="100"/>
      <c r="E44" s="100"/>
    </row>
    <row r="45" spans="2:25" x14ac:dyDescent="0.25">
      <c r="B45" s="76" t="s">
        <v>69</v>
      </c>
      <c r="C45" s="100">
        <v>2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8DEB-75AF-4463-9022-D90F1E487A7C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6FDF-C2FE-4800-B48A-98894E424D57}">
  <dimension ref="B1:AA45"/>
  <sheetViews>
    <sheetView showGridLines="0" topLeftCell="A16" zoomScale="160" zoomScaleNormal="160" workbookViewId="0">
      <selection activeCell="N24" sqref="N24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137</v>
      </c>
      <c r="D8" s="14"/>
      <c r="E8" s="14"/>
      <c r="F8" s="14"/>
      <c r="G8" s="14"/>
      <c r="H8" s="14" t="s">
        <v>142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19</v>
      </c>
      <c r="X8" s="59">
        <v>1</v>
      </c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137</v>
      </c>
      <c r="D15" s="23"/>
      <c r="E15" s="23"/>
      <c r="F15" s="23"/>
      <c r="G15" s="23"/>
      <c r="H15" s="23" t="s">
        <v>138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19</v>
      </c>
      <c r="X15" s="61">
        <v>1</v>
      </c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 t="s">
        <v>139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0</v>
      </c>
      <c r="X16" s="62">
        <v>0</v>
      </c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23</v>
      </c>
      <c r="G24" s="14"/>
      <c r="H24" s="14">
        <v>23</v>
      </c>
      <c r="I24" s="14"/>
      <c r="J24" s="14"/>
      <c r="K24" s="14">
        <v>6</v>
      </c>
      <c r="L24" s="14">
        <v>20</v>
      </c>
      <c r="M24" s="14">
        <v>354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23</v>
      </c>
      <c r="G31" s="23"/>
      <c r="H31" s="23">
        <v>9</v>
      </c>
      <c r="I31" s="23"/>
      <c r="J31" s="23"/>
      <c r="K31" s="23">
        <v>1</v>
      </c>
      <c r="L31" s="23">
        <v>0</v>
      </c>
      <c r="M31" s="23">
        <v>2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14</v>
      </c>
      <c r="I32" s="28"/>
      <c r="J32" s="28"/>
      <c r="K32" s="28">
        <v>5</v>
      </c>
      <c r="L32" s="28">
        <v>20</v>
      </c>
      <c r="M32" s="28">
        <v>352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>
        <v>2</v>
      </c>
      <c r="D36" s="41">
        <v>1</v>
      </c>
      <c r="E36" s="42">
        <v>4</v>
      </c>
      <c r="F36" s="42">
        <v>362</v>
      </c>
      <c r="G36" s="42">
        <v>3</v>
      </c>
      <c r="H36" s="42">
        <v>0</v>
      </c>
      <c r="I36" s="42">
        <v>7</v>
      </c>
      <c r="J36" s="42">
        <v>1</v>
      </c>
      <c r="K36" s="42">
        <v>11</v>
      </c>
      <c r="L36" s="42">
        <v>2</v>
      </c>
      <c r="M36" s="42">
        <v>1</v>
      </c>
      <c r="N36" s="42">
        <v>20</v>
      </c>
      <c r="O36" s="42">
        <v>2</v>
      </c>
      <c r="P36" s="42">
        <v>6</v>
      </c>
      <c r="Q36" s="43">
        <v>22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>
        <v>2</v>
      </c>
      <c r="D42" s="41">
        <v>1</v>
      </c>
      <c r="E42" s="42">
        <v>4</v>
      </c>
      <c r="F42" s="42">
        <v>362</v>
      </c>
      <c r="G42" s="42">
        <v>3</v>
      </c>
      <c r="H42" s="42">
        <v>0</v>
      </c>
      <c r="I42" s="42">
        <v>7</v>
      </c>
      <c r="J42" s="42">
        <v>1</v>
      </c>
      <c r="K42" s="42">
        <v>11</v>
      </c>
      <c r="L42" s="42">
        <v>2</v>
      </c>
      <c r="M42" s="42">
        <v>1</v>
      </c>
      <c r="N42" s="42">
        <v>20</v>
      </c>
      <c r="O42" s="42">
        <v>2</v>
      </c>
      <c r="P42" s="42">
        <v>6</v>
      </c>
      <c r="Q42" s="43">
        <v>22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>
        <f>10+14+5+20+352</f>
        <v>401</v>
      </c>
      <c r="D44" s="100"/>
      <c r="E44" s="100"/>
    </row>
    <row r="45" spans="2:25" x14ac:dyDescent="0.25">
      <c r="B45" s="76" t="s">
        <v>69</v>
      </c>
      <c r="C45" s="100">
        <v>10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DA03-027A-425E-9D4D-AF194C63BFB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146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80</v>
      </c>
      <c r="D8" s="14"/>
      <c r="E8" s="14"/>
      <c r="F8" s="14"/>
      <c r="G8" s="14"/>
      <c r="H8" s="14">
        <v>118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100</v>
      </c>
      <c r="D15" s="23"/>
      <c r="E15" s="23"/>
      <c r="F15" s="23"/>
      <c r="G15" s="23"/>
      <c r="H15" s="23" t="s">
        <v>140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82" t="s">
        <v>141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143</v>
      </c>
      <c r="G24" s="14"/>
      <c r="H24" s="14">
        <v>70</v>
      </c>
      <c r="I24" s="14"/>
      <c r="J24" s="14"/>
      <c r="K24" s="14" t="s">
        <v>143</v>
      </c>
      <c r="L24" s="14">
        <v>6</v>
      </c>
      <c r="M24" s="14">
        <v>368</v>
      </c>
      <c r="N24" s="14"/>
      <c r="O24" s="14"/>
      <c r="P24" s="14" t="s">
        <v>101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143</v>
      </c>
      <c r="G31" s="23"/>
      <c r="H31" s="23">
        <v>10</v>
      </c>
      <c r="I31" s="23"/>
      <c r="J31" s="23"/>
      <c r="K31" s="23" t="s">
        <v>143</v>
      </c>
      <c r="L31" s="23">
        <v>0</v>
      </c>
      <c r="M31" s="23">
        <v>58</v>
      </c>
      <c r="N31" s="23"/>
      <c r="O31" s="23"/>
      <c r="P31" s="23" t="s">
        <v>101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12</v>
      </c>
      <c r="G32" s="28"/>
      <c r="H32" s="28">
        <v>60</v>
      </c>
      <c r="I32" s="28"/>
      <c r="J32" s="28"/>
      <c r="K32" s="28">
        <v>12</v>
      </c>
      <c r="L32" s="28">
        <v>6</v>
      </c>
      <c r="M32" s="28">
        <v>310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>
        <v>1</v>
      </c>
      <c r="D36" s="41"/>
      <c r="E36" s="42"/>
      <c r="F36" s="42">
        <v>355</v>
      </c>
      <c r="G36" s="42">
        <v>7</v>
      </c>
      <c r="H36" s="42">
        <v>5</v>
      </c>
      <c r="I36" s="42">
        <v>10</v>
      </c>
      <c r="J36" s="42"/>
      <c r="K36" s="42">
        <v>10</v>
      </c>
      <c r="L36" s="42"/>
      <c r="M36" s="42"/>
      <c r="N36" s="42"/>
      <c r="O36" s="42">
        <v>2</v>
      </c>
      <c r="P36" s="42">
        <v>2</v>
      </c>
      <c r="Q36" s="43">
        <v>1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>
        <v>1</v>
      </c>
      <c r="D42" s="41"/>
      <c r="E42" s="42"/>
      <c r="F42" s="42">
        <v>355</v>
      </c>
      <c r="G42" s="42">
        <v>7</v>
      </c>
      <c r="H42" s="42">
        <v>5</v>
      </c>
      <c r="I42" s="42">
        <v>10</v>
      </c>
      <c r="J42" s="42"/>
      <c r="K42" s="42">
        <v>10</v>
      </c>
      <c r="L42" s="42"/>
      <c r="M42" s="42"/>
      <c r="N42" s="42"/>
      <c r="O42" s="42">
        <v>2</v>
      </c>
      <c r="P42" s="42">
        <v>2</v>
      </c>
      <c r="Q42" s="43">
        <v>1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>
        <f>8+12+60+12+6+310</f>
        <v>408</v>
      </c>
      <c r="D44" s="100"/>
      <c r="E44" s="100"/>
    </row>
    <row r="45" spans="2:25" x14ac:dyDescent="0.25">
      <c r="B45" s="76" t="s">
        <v>69</v>
      </c>
      <c r="C45" s="100">
        <v>5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E6B5-5FF0-45DB-8F08-CCA4C67B26AC}">
  <dimension ref="B1:AA45"/>
  <sheetViews>
    <sheetView showGridLines="0" topLeftCell="A11" zoomScale="160" zoomScaleNormal="160" workbookViewId="0">
      <selection activeCell="C46" sqref="C46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5</v>
      </c>
      <c r="D8" s="14">
        <v>5</v>
      </c>
      <c r="E8" s="14">
        <v>1</v>
      </c>
      <c r="F8" s="14">
        <v>1</v>
      </c>
      <c r="G8" s="14"/>
      <c r="H8" s="14" t="s">
        <v>144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2</v>
      </c>
      <c r="Y8" s="15">
        <v>5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>
        <v>0</v>
      </c>
      <c r="E15" s="23">
        <v>1</v>
      </c>
      <c r="F15" s="23">
        <v>1</v>
      </c>
      <c r="G15" s="23"/>
      <c r="H15" s="23">
        <v>19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2</v>
      </c>
      <c r="Y15" s="24">
        <v>5</v>
      </c>
    </row>
    <row r="16" spans="2:27" ht="18" customHeight="1" thickBot="1" x14ac:dyDescent="0.3">
      <c r="B16" s="25" t="s">
        <v>26</v>
      </c>
      <c r="C16" s="57">
        <v>5</v>
      </c>
      <c r="D16" s="58">
        <v>5</v>
      </c>
      <c r="E16" s="27">
        <v>0</v>
      </c>
      <c r="F16" s="27">
        <v>0</v>
      </c>
      <c r="G16" s="28"/>
      <c r="H16" s="28" t="s">
        <v>145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0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5</v>
      </c>
      <c r="G24" s="14"/>
      <c r="H24" s="14">
        <v>110</v>
      </c>
      <c r="I24" s="14"/>
      <c r="J24" s="14"/>
      <c r="K24" s="14">
        <v>2</v>
      </c>
      <c r="L24" s="14">
        <v>20</v>
      </c>
      <c r="M24" s="14">
        <v>559</v>
      </c>
      <c r="N24" s="14">
        <v>1</v>
      </c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41</v>
      </c>
      <c r="I31" s="23"/>
      <c r="J31" s="23"/>
      <c r="K31" s="23">
        <v>2</v>
      </c>
      <c r="L31" s="23">
        <v>1</v>
      </c>
      <c r="M31" s="23">
        <v>32</v>
      </c>
      <c r="N31" s="23">
        <v>1</v>
      </c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5</v>
      </c>
      <c r="G32" s="28"/>
      <c r="H32" s="28">
        <v>69</v>
      </c>
      <c r="I32" s="28"/>
      <c r="J32" s="28"/>
      <c r="K32" s="28">
        <v>0</v>
      </c>
      <c r="L32" s="28">
        <v>4</v>
      </c>
      <c r="M32" s="28">
        <v>527</v>
      </c>
      <c r="N32" s="28">
        <v>0</v>
      </c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>
        <v>2</v>
      </c>
      <c r="D36" s="41"/>
      <c r="E36" s="42"/>
      <c r="F36" s="42">
        <v>639</v>
      </c>
      <c r="G36" s="42"/>
      <c r="H36" s="42">
        <v>2</v>
      </c>
      <c r="I36" s="42">
        <v>25</v>
      </c>
      <c r="J36" s="42"/>
      <c r="K36" s="42"/>
      <c r="L36" s="42">
        <v>11</v>
      </c>
      <c r="M36" s="42">
        <v>1</v>
      </c>
      <c r="N36" s="42">
        <v>19</v>
      </c>
      <c r="O36" s="42">
        <v>23</v>
      </c>
      <c r="P36" s="42">
        <v>5</v>
      </c>
      <c r="Q36" s="43">
        <v>11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>
        <v>2</v>
      </c>
      <c r="D42" s="41"/>
      <c r="E42" s="42"/>
      <c r="F42" s="42">
        <v>639</v>
      </c>
      <c r="G42" s="42"/>
      <c r="H42" s="42">
        <v>2</v>
      </c>
      <c r="I42" s="42">
        <v>25</v>
      </c>
      <c r="J42" s="42"/>
      <c r="K42" s="42"/>
      <c r="L42" s="42">
        <v>11</v>
      </c>
      <c r="M42" s="42">
        <v>1</v>
      </c>
      <c r="N42" s="42">
        <v>19</v>
      </c>
      <c r="O42" s="42">
        <v>23</v>
      </c>
      <c r="P42" s="42">
        <v>5</v>
      </c>
      <c r="Q42" s="43">
        <v>11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>
        <f>5+5+22+5+69+4+527</f>
        <v>637</v>
      </c>
      <c r="D44" s="100"/>
      <c r="E44" s="100"/>
    </row>
    <row r="45" spans="2:25" x14ac:dyDescent="0.25">
      <c r="B45" s="76" t="s">
        <v>69</v>
      </c>
      <c r="C45" s="100">
        <v>7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91E1-0F6D-467B-B24F-4CC6FCD0BB1A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DBA9-7D99-43D1-9EC5-C0652F8A74FF}">
  <dimension ref="B1:AA45"/>
  <sheetViews>
    <sheetView showGridLines="0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137</v>
      </c>
      <c r="D8" s="14"/>
      <c r="E8" s="14"/>
      <c r="F8" s="14">
        <v>2</v>
      </c>
      <c r="G8" s="14"/>
      <c r="H8" s="83" t="s">
        <v>138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 t="s">
        <v>150</v>
      </c>
      <c r="Y8" s="15">
        <v>4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137</v>
      </c>
      <c r="D15" s="23"/>
      <c r="E15" s="23"/>
      <c r="F15" s="23">
        <v>0</v>
      </c>
      <c r="G15" s="23"/>
      <c r="H15" s="23" t="s">
        <v>147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0</v>
      </c>
      <c r="Y15" s="24">
        <v>0</v>
      </c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>
        <v>2</v>
      </c>
      <c r="G16" s="28"/>
      <c r="H16" s="28">
        <v>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 t="s">
        <v>150</v>
      </c>
      <c r="Y16" s="29">
        <v>4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148</v>
      </c>
      <c r="G24" s="14"/>
      <c r="H24" s="14">
        <v>25</v>
      </c>
      <c r="I24" s="14"/>
      <c r="J24" s="14"/>
      <c r="K24" s="14">
        <v>63</v>
      </c>
      <c r="L24" s="14">
        <v>8</v>
      </c>
      <c r="M24" s="14">
        <v>325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149</v>
      </c>
      <c r="G31" s="23"/>
      <c r="H31" s="23">
        <v>1</v>
      </c>
      <c r="I31" s="23"/>
      <c r="J31" s="23"/>
      <c r="K31" s="23">
        <v>1</v>
      </c>
      <c r="L31" s="23">
        <v>2</v>
      </c>
      <c r="M31" s="23">
        <v>4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3</v>
      </c>
      <c r="G32" s="28"/>
      <c r="H32" s="28">
        <v>24</v>
      </c>
      <c r="I32" s="28"/>
      <c r="J32" s="28"/>
      <c r="K32" s="28">
        <v>62</v>
      </c>
      <c r="L32" s="28">
        <v>6</v>
      </c>
      <c r="M32" s="28">
        <v>321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>
        <v>5</v>
      </c>
      <c r="D36" s="41"/>
      <c r="E36" s="42">
        <v>1</v>
      </c>
      <c r="F36" s="42">
        <v>320</v>
      </c>
      <c r="G36" s="42">
        <v>8</v>
      </c>
      <c r="H36" s="42">
        <v>2</v>
      </c>
      <c r="I36" s="42">
        <v>6</v>
      </c>
      <c r="J36" s="42"/>
      <c r="K36" s="42"/>
      <c r="L36" s="42">
        <v>65</v>
      </c>
      <c r="M36" s="42">
        <v>1</v>
      </c>
      <c r="N36" s="42">
        <v>3</v>
      </c>
      <c r="O36" s="42">
        <v>8</v>
      </c>
      <c r="P36" s="42">
        <v>1</v>
      </c>
      <c r="Q36" s="43">
        <v>9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>
        <v>5</v>
      </c>
      <c r="D42" s="41"/>
      <c r="E42" s="42">
        <v>1</v>
      </c>
      <c r="F42" s="42">
        <v>320</v>
      </c>
      <c r="G42" s="42">
        <v>8</v>
      </c>
      <c r="H42" s="42">
        <v>2</v>
      </c>
      <c r="I42" s="42">
        <v>6</v>
      </c>
      <c r="J42" s="42"/>
      <c r="K42" s="42"/>
      <c r="L42" s="42">
        <v>65</v>
      </c>
      <c r="M42" s="42">
        <v>1</v>
      </c>
      <c r="N42" s="42">
        <v>3</v>
      </c>
      <c r="O42" s="42">
        <v>8</v>
      </c>
      <c r="P42" s="42">
        <v>1</v>
      </c>
      <c r="Q42" s="43">
        <v>9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>
        <f>2+9+4+3+24+62+6+321</f>
        <v>431</v>
      </c>
      <c r="D44" s="100"/>
      <c r="E44" s="100"/>
    </row>
    <row r="45" spans="2:25" x14ac:dyDescent="0.25">
      <c r="B45" s="76" t="s">
        <v>69</v>
      </c>
      <c r="C45" s="100">
        <v>19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F7B2-46CC-4256-8BE6-D07013A4D7F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80</v>
      </c>
      <c r="D8" s="14"/>
      <c r="E8" s="14">
        <v>2</v>
      </c>
      <c r="F8" s="14"/>
      <c r="G8" s="14"/>
      <c r="H8" s="14" t="s">
        <v>153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80</v>
      </c>
      <c r="D15" s="23"/>
      <c r="E15" s="23"/>
      <c r="F15" s="23"/>
      <c r="G15" s="23"/>
      <c r="H15" s="23" t="s">
        <v>151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>
        <v>2</v>
      </c>
      <c r="F16" s="27"/>
      <c r="G16" s="28"/>
      <c r="H16" s="28" t="s">
        <v>152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143</v>
      </c>
      <c r="G24" s="14"/>
      <c r="H24" s="14">
        <v>10</v>
      </c>
      <c r="I24" s="14"/>
      <c r="J24" s="14"/>
      <c r="K24" s="14" t="s">
        <v>143</v>
      </c>
      <c r="L24" s="14">
        <v>5</v>
      </c>
      <c r="M24" s="14">
        <v>382</v>
      </c>
      <c r="N24" s="14"/>
      <c r="O24" s="14"/>
      <c r="P24" s="14" t="s">
        <v>101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143</v>
      </c>
      <c r="G31" s="23"/>
      <c r="H31" s="23">
        <v>0</v>
      </c>
      <c r="I31" s="23"/>
      <c r="J31" s="23"/>
      <c r="K31" s="23" t="s">
        <v>143</v>
      </c>
      <c r="L31" s="23">
        <v>5</v>
      </c>
      <c r="M31" s="23">
        <v>39</v>
      </c>
      <c r="N31" s="23"/>
      <c r="O31" s="23"/>
      <c r="P31" s="23" t="s">
        <v>101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>
        <v>10</v>
      </c>
      <c r="I32" s="28"/>
      <c r="J32" s="28"/>
      <c r="K32" s="28">
        <v>0</v>
      </c>
      <c r="L32" s="28">
        <v>0</v>
      </c>
      <c r="M32" s="28">
        <v>343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>
        <v>2</v>
      </c>
      <c r="F36" s="42">
        <v>358</v>
      </c>
      <c r="G36" s="42">
        <v>2</v>
      </c>
      <c r="H36" s="42">
        <v>8</v>
      </c>
      <c r="I36" s="42"/>
      <c r="J36" s="42"/>
      <c r="K36" s="42"/>
      <c r="L36" s="42"/>
      <c r="M36" s="42">
        <v>1</v>
      </c>
      <c r="N36" s="42">
        <v>15</v>
      </c>
      <c r="O36" s="42">
        <v>6</v>
      </c>
      <c r="P36" s="42">
        <v>2</v>
      </c>
      <c r="Q36" s="43">
        <v>18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>
        <v>2</v>
      </c>
      <c r="F42" s="42">
        <v>358</v>
      </c>
      <c r="G42" s="42">
        <v>2</v>
      </c>
      <c r="H42" s="42">
        <v>8</v>
      </c>
      <c r="I42" s="42"/>
      <c r="J42" s="42"/>
      <c r="K42" s="42"/>
      <c r="L42" s="42"/>
      <c r="M42" s="42">
        <v>1</v>
      </c>
      <c r="N42" s="42">
        <v>15</v>
      </c>
      <c r="O42" s="42">
        <v>6</v>
      </c>
      <c r="P42" s="42">
        <v>2</v>
      </c>
      <c r="Q42" s="43">
        <v>18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>
        <f>2+12+1+10+343</f>
        <v>368</v>
      </c>
      <c r="D44" s="100"/>
      <c r="E44" s="100"/>
    </row>
    <row r="45" spans="2:25" x14ac:dyDescent="0.25">
      <c r="B45" s="76" t="s">
        <v>69</v>
      </c>
      <c r="C45" s="100">
        <v>16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644A-8F1A-45E5-A9BF-4F49095788EA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109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C18E-71A4-4720-844E-687401DFC081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C18D-269E-4EFF-B368-801A3A1C4C43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/>
      <c r="E8" s="14"/>
      <c r="F8" s="14"/>
      <c r="G8" s="14"/>
      <c r="H8" s="14" t="s">
        <v>154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156</v>
      </c>
      <c r="D15" s="23"/>
      <c r="E15" s="23"/>
      <c r="F15" s="23"/>
      <c r="G15" s="23"/>
      <c r="H15" s="23">
        <v>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1</v>
      </c>
      <c r="D16" s="58"/>
      <c r="E16" s="27"/>
      <c r="F16" s="27"/>
      <c r="G16" s="28"/>
      <c r="H16" s="28" t="s">
        <v>155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149</v>
      </c>
      <c r="G24" s="14"/>
      <c r="H24" s="14">
        <v>44</v>
      </c>
      <c r="I24" s="14"/>
      <c r="J24" s="14"/>
      <c r="K24" s="14">
        <v>1</v>
      </c>
      <c r="L24" s="14">
        <v>5</v>
      </c>
      <c r="M24" s="14">
        <v>760</v>
      </c>
      <c r="N24" s="14"/>
      <c r="O24" s="14"/>
      <c r="P24" s="14">
        <v>6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149</v>
      </c>
      <c r="G31" s="23"/>
      <c r="H31" s="23">
        <v>1</v>
      </c>
      <c r="I31" s="23"/>
      <c r="J31" s="23"/>
      <c r="K31" s="23">
        <v>0</v>
      </c>
      <c r="L31" s="23">
        <v>0</v>
      </c>
      <c r="M31" s="23">
        <v>85</v>
      </c>
      <c r="N31" s="23"/>
      <c r="O31" s="23"/>
      <c r="P31" s="23">
        <v>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43</v>
      </c>
      <c r="I32" s="28"/>
      <c r="J32" s="28"/>
      <c r="K32" s="28">
        <v>1</v>
      </c>
      <c r="L32" s="28">
        <v>5</v>
      </c>
      <c r="M32" s="28">
        <v>675</v>
      </c>
      <c r="N32" s="28"/>
      <c r="O32" s="23"/>
      <c r="P32" s="28">
        <v>6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>
        <v>2</v>
      </c>
      <c r="F36" s="42">
        <v>670</v>
      </c>
      <c r="G36" s="42">
        <v>2</v>
      </c>
      <c r="H36" s="42"/>
      <c r="I36" s="42">
        <v>5</v>
      </c>
      <c r="J36" s="42">
        <v>3</v>
      </c>
      <c r="K36" s="42">
        <v>11</v>
      </c>
      <c r="L36" s="42">
        <v>2</v>
      </c>
      <c r="M36" s="42"/>
      <c r="N36" s="42"/>
      <c r="O36" s="42">
        <v>1</v>
      </c>
      <c r="P36" s="42">
        <v>38</v>
      </c>
      <c r="Q36" s="43">
        <v>34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>
        <v>2</v>
      </c>
      <c r="F42" s="42">
        <v>670</v>
      </c>
      <c r="G42" s="42">
        <v>2</v>
      </c>
      <c r="H42" s="42"/>
      <c r="I42" s="42">
        <v>5</v>
      </c>
      <c r="J42" s="42">
        <v>3</v>
      </c>
      <c r="K42" s="42">
        <v>11</v>
      </c>
      <c r="L42" s="42">
        <v>2</v>
      </c>
      <c r="M42" s="42"/>
      <c r="N42" s="42"/>
      <c r="O42" s="42">
        <v>1</v>
      </c>
      <c r="P42" s="42">
        <v>38</v>
      </c>
      <c r="Q42" s="43">
        <v>34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>
        <f>1+25+43+1+5+675+6</f>
        <v>756</v>
      </c>
      <c r="D44" s="100"/>
      <c r="E44" s="100"/>
    </row>
    <row r="45" spans="2:25" x14ac:dyDescent="0.25">
      <c r="B45" s="76" t="s">
        <v>69</v>
      </c>
      <c r="C45" s="100">
        <v>13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C37B-44DA-4458-8A4C-885FCFA041B4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2D4B-86B3-4F0A-B071-DA6A26653BD8}">
  <dimension ref="B1:AA45"/>
  <sheetViews>
    <sheetView showGridLines="0" topLeftCell="A29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>
        <v>1</v>
      </c>
      <c r="F8" s="14"/>
      <c r="G8" s="14"/>
      <c r="H8" s="14" t="s">
        <v>157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2</v>
      </c>
      <c r="Y8" s="15">
        <v>5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1</v>
      </c>
      <c r="F15" s="23"/>
      <c r="G15" s="23"/>
      <c r="H15" s="23" t="s">
        <v>158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1</v>
      </c>
      <c r="Y15" s="24">
        <v>5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/>
      <c r="G16" s="28"/>
      <c r="H16" s="28">
        <v>14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1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93</v>
      </c>
      <c r="I24" s="14"/>
      <c r="J24" s="14"/>
      <c r="K24" s="14">
        <v>2</v>
      </c>
      <c r="L24" s="14">
        <v>21</v>
      </c>
      <c r="M24" s="14">
        <v>569</v>
      </c>
      <c r="N24" s="14">
        <v>1</v>
      </c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3</v>
      </c>
      <c r="G31" s="23"/>
      <c r="H31" s="23">
        <v>1</v>
      </c>
      <c r="I31" s="23"/>
      <c r="J31" s="23"/>
      <c r="K31" s="23">
        <v>2</v>
      </c>
      <c r="L31" s="23">
        <v>1</v>
      </c>
      <c r="M31" s="23">
        <v>233</v>
      </c>
      <c r="N31" s="23">
        <v>1</v>
      </c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92</v>
      </c>
      <c r="I32" s="28"/>
      <c r="J32" s="28"/>
      <c r="K32" s="28">
        <v>0</v>
      </c>
      <c r="L32" s="28">
        <v>20</v>
      </c>
      <c r="M32" s="28">
        <v>336</v>
      </c>
      <c r="N32" s="28">
        <v>0</v>
      </c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393</v>
      </c>
      <c r="G36" s="42">
        <v>6</v>
      </c>
      <c r="H36" s="42"/>
      <c r="I36" s="42">
        <v>7</v>
      </c>
      <c r="J36" s="42">
        <v>3</v>
      </c>
      <c r="K36" s="42">
        <v>1</v>
      </c>
      <c r="L36" s="42"/>
      <c r="M36" s="42">
        <v>1</v>
      </c>
      <c r="N36" s="42">
        <v>20</v>
      </c>
      <c r="O36" s="42">
        <v>4</v>
      </c>
      <c r="P36" s="42">
        <v>10</v>
      </c>
      <c r="Q36" s="43">
        <v>9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393</v>
      </c>
      <c r="G42" s="42">
        <v>6</v>
      </c>
      <c r="H42" s="42"/>
      <c r="I42" s="42">
        <v>7</v>
      </c>
      <c r="J42" s="42">
        <v>3</v>
      </c>
      <c r="K42" s="42">
        <v>1</v>
      </c>
      <c r="L42" s="42"/>
      <c r="M42" s="42">
        <v>1</v>
      </c>
      <c r="N42" s="42">
        <v>20</v>
      </c>
      <c r="O42" s="42">
        <v>4</v>
      </c>
      <c r="P42" s="42">
        <v>10</v>
      </c>
      <c r="Q42" s="43">
        <v>9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>
        <f>14+1+92+20+336</f>
        <v>463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8085-79EE-4782-B117-3BDDB2F310E7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763C-F253-4D0F-9CE7-1A70A1066600}">
  <dimension ref="B1:AA45"/>
  <sheetViews>
    <sheetView showGridLines="0" topLeftCell="A29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156</v>
      </c>
      <c r="D8" s="14"/>
      <c r="E8" s="14"/>
      <c r="F8" s="14"/>
      <c r="G8" s="14"/>
      <c r="H8" s="14">
        <v>14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156</v>
      </c>
      <c r="D15" s="23"/>
      <c r="E15" s="23"/>
      <c r="F15" s="23"/>
      <c r="G15" s="23"/>
      <c r="H15" s="23">
        <v>9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>
        <v>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149</v>
      </c>
      <c r="G24" s="14"/>
      <c r="H24" s="14">
        <v>11</v>
      </c>
      <c r="I24" s="14"/>
      <c r="J24" s="14"/>
      <c r="K24" s="14"/>
      <c r="L24" s="14">
        <v>2</v>
      </c>
      <c r="M24" s="14">
        <v>517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149</v>
      </c>
      <c r="G31" s="23"/>
      <c r="H31" s="23">
        <v>1</v>
      </c>
      <c r="I31" s="23"/>
      <c r="J31" s="23"/>
      <c r="K31" s="23"/>
      <c r="L31" s="23">
        <v>0</v>
      </c>
      <c r="M31" s="23">
        <v>85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10</v>
      </c>
      <c r="I32" s="28"/>
      <c r="J32" s="28"/>
      <c r="K32" s="28"/>
      <c r="L32" s="28">
        <v>2</v>
      </c>
      <c r="M32" s="28">
        <v>432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46</v>
      </c>
      <c r="G36" s="42">
        <v>6</v>
      </c>
      <c r="H36" s="42"/>
      <c r="I36" s="42">
        <v>1</v>
      </c>
      <c r="J36" s="42">
        <v>1</v>
      </c>
      <c r="K36" s="42">
        <v>10</v>
      </c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46</v>
      </c>
      <c r="G42" s="42">
        <v>6</v>
      </c>
      <c r="H42" s="42"/>
      <c r="I42" s="42">
        <v>1</v>
      </c>
      <c r="J42" s="42">
        <v>1</v>
      </c>
      <c r="K42" s="42">
        <v>10</v>
      </c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>
        <f>5+10+2+432</f>
        <v>449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26E5-898C-42A5-A60F-4F57663923B9}">
  <dimension ref="B1:AA45"/>
  <sheetViews>
    <sheetView showGridLines="0" topLeftCell="A2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80</v>
      </c>
      <c r="D8" s="14"/>
      <c r="E8" s="14"/>
      <c r="F8" s="14"/>
      <c r="G8" s="14"/>
      <c r="H8" s="14" t="s">
        <v>159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80</v>
      </c>
      <c r="D15" s="23"/>
      <c r="E15" s="23"/>
      <c r="F15" s="23"/>
      <c r="G15" s="23"/>
      <c r="H15" s="23">
        <v>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 t="s">
        <v>107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84" t="s">
        <v>143</v>
      </c>
      <c r="G24" s="14"/>
      <c r="H24" s="14">
        <v>41</v>
      </c>
      <c r="I24" s="14"/>
      <c r="J24" s="14"/>
      <c r="K24" s="14" t="s">
        <v>143</v>
      </c>
      <c r="L24" s="14">
        <v>6</v>
      </c>
      <c r="M24" s="14">
        <v>373</v>
      </c>
      <c r="N24" s="14"/>
      <c r="O24" s="14"/>
      <c r="P24" s="14" t="s">
        <v>101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84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143</v>
      </c>
      <c r="G31" s="23"/>
      <c r="H31" s="23">
        <v>0</v>
      </c>
      <c r="I31" s="23"/>
      <c r="J31" s="23"/>
      <c r="K31" s="23" t="s">
        <v>143</v>
      </c>
      <c r="L31" s="23">
        <v>0</v>
      </c>
      <c r="M31" s="23">
        <v>26</v>
      </c>
      <c r="N31" s="23"/>
      <c r="O31" s="23"/>
      <c r="P31" s="23" t="s">
        <v>101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41</v>
      </c>
      <c r="I32" s="28"/>
      <c r="J32" s="28"/>
      <c r="K32" s="28">
        <v>0</v>
      </c>
      <c r="L32" s="28">
        <v>6</v>
      </c>
      <c r="M32" s="28">
        <v>347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387</v>
      </c>
      <c r="G36" s="42">
        <v>2</v>
      </c>
      <c r="H36" s="42">
        <v>1</v>
      </c>
      <c r="I36" s="42">
        <v>8</v>
      </c>
      <c r="J36" s="42">
        <v>1</v>
      </c>
      <c r="K36" s="42">
        <v>9</v>
      </c>
      <c r="L36" s="42"/>
      <c r="M36" s="42"/>
      <c r="N36" s="42">
        <v>2</v>
      </c>
      <c r="O36" s="42">
        <v>7</v>
      </c>
      <c r="P36" s="42">
        <v>7</v>
      </c>
      <c r="Q36" s="43">
        <v>4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387</v>
      </c>
      <c r="G42" s="42">
        <v>2</v>
      </c>
      <c r="H42" s="42">
        <v>1</v>
      </c>
      <c r="I42" s="42">
        <v>8</v>
      </c>
      <c r="J42" s="42">
        <v>1</v>
      </c>
      <c r="K42" s="42">
        <v>9</v>
      </c>
      <c r="L42" s="42"/>
      <c r="M42" s="42"/>
      <c r="N42" s="42">
        <v>2</v>
      </c>
      <c r="O42" s="42">
        <v>7</v>
      </c>
      <c r="P42" s="42">
        <v>7</v>
      </c>
      <c r="Q42" s="43">
        <v>4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>
        <f>10+41+6+347</f>
        <v>404</v>
      </c>
      <c r="D44" s="100"/>
      <c r="E44" s="100"/>
    </row>
    <row r="45" spans="2:25" x14ac:dyDescent="0.25">
      <c r="B45" s="76" t="s">
        <v>69</v>
      </c>
      <c r="C45" s="100">
        <v>11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C8E3-6B54-4754-866C-D0EEA0F3545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7" width="5.7109375" style="2" customWidth="1"/>
    <col min="8" max="8" width="7" style="2" bestFit="1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>
        <v>1</v>
      </c>
      <c r="F8" s="14">
        <v>1</v>
      </c>
      <c r="G8" s="14"/>
      <c r="H8" s="14" t="s">
        <v>160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>
        <v>1</v>
      </c>
      <c r="Y8" s="15">
        <v>5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1</v>
      </c>
      <c r="F15" s="23">
        <v>1</v>
      </c>
      <c r="G15" s="23"/>
      <c r="H15" s="23" t="s">
        <v>162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>
        <v>0</v>
      </c>
      <c r="Y15" s="24">
        <v>5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0</v>
      </c>
      <c r="F16" s="27">
        <v>0</v>
      </c>
      <c r="G16" s="28"/>
      <c r="H16" s="28" t="s">
        <v>161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>
        <v>1</v>
      </c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109</v>
      </c>
      <c r="I24" s="14"/>
      <c r="J24" s="14"/>
      <c r="K24" s="14">
        <v>2</v>
      </c>
      <c r="L24" s="14">
        <v>21</v>
      </c>
      <c r="M24" s="14">
        <v>556</v>
      </c>
      <c r="N24" s="14">
        <v>1</v>
      </c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3</v>
      </c>
      <c r="G31" s="23"/>
      <c r="H31" s="23">
        <v>1</v>
      </c>
      <c r="I31" s="23"/>
      <c r="J31" s="23"/>
      <c r="K31" s="23">
        <v>2</v>
      </c>
      <c r="L31" s="23">
        <v>20</v>
      </c>
      <c r="M31" s="23">
        <v>2</v>
      </c>
      <c r="N31" s="23">
        <v>1</v>
      </c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108</v>
      </c>
      <c r="I32" s="28"/>
      <c r="J32" s="28"/>
      <c r="K32" s="28">
        <v>0</v>
      </c>
      <c r="L32" s="28">
        <v>1</v>
      </c>
      <c r="M32" s="28">
        <v>554</v>
      </c>
      <c r="N32" s="28">
        <v>0</v>
      </c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>
        <v>620</v>
      </c>
      <c r="G36" s="42"/>
      <c r="H36" s="42">
        <v>6</v>
      </c>
      <c r="I36" s="42">
        <v>10</v>
      </c>
      <c r="J36" s="42">
        <v>1</v>
      </c>
      <c r="K36" s="42"/>
      <c r="L36" s="42">
        <v>1</v>
      </c>
      <c r="M36" s="42"/>
      <c r="N36" s="42">
        <v>5</v>
      </c>
      <c r="O36" s="42">
        <v>9</v>
      </c>
      <c r="P36" s="42"/>
      <c r="Q36" s="43">
        <v>140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620</v>
      </c>
      <c r="G42" s="42"/>
      <c r="H42" s="42">
        <v>6</v>
      </c>
      <c r="I42" s="42">
        <v>10</v>
      </c>
      <c r="J42" s="42">
        <v>1</v>
      </c>
      <c r="K42" s="42"/>
      <c r="L42" s="42">
        <v>1</v>
      </c>
      <c r="M42" s="42"/>
      <c r="N42" s="42">
        <v>5</v>
      </c>
      <c r="O42" s="42">
        <v>9</v>
      </c>
      <c r="P42" s="42"/>
      <c r="Q42" s="43">
        <v>140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>
        <f>21+1+108+1+554+1</f>
        <v>686</v>
      </c>
      <c r="D44" s="100"/>
      <c r="E44" s="100"/>
    </row>
    <row r="45" spans="2:25" x14ac:dyDescent="0.25">
      <c r="B45" s="76" t="s">
        <v>69</v>
      </c>
      <c r="C45" s="100">
        <v>11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04D2-70C6-42AD-9471-ED027AE90108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39D7-DF52-4C7F-BFCD-03711B10BA54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21FF-6173-4255-9267-B160CC1EF1AC}">
  <dimension ref="B1:AA45"/>
  <sheetViews>
    <sheetView showGridLines="0" topLeftCell="A26" zoomScale="160" zoomScaleNormal="160" workbookViewId="0">
      <selection activeCell="I44" sqref="I44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80</v>
      </c>
      <c r="D8" s="14"/>
      <c r="E8" s="14"/>
      <c r="F8" s="14">
        <v>1</v>
      </c>
      <c r="G8" s="14"/>
      <c r="H8" s="14">
        <v>12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80</v>
      </c>
      <c r="D15" s="23"/>
      <c r="E15" s="23"/>
      <c r="F15" s="23">
        <v>0</v>
      </c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>
        <v>1</v>
      </c>
      <c r="G16" s="28"/>
      <c r="H16" s="28">
        <v>11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143</v>
      </c>
      <c r="G24" s="14"/>
      <c r="H24" s="14">
        <v>20</v>
      </c>
      <c r="I24" s="14"/>
      <c r="J24" s="14">
        <v>1</v>
      </c>
      <c r="K24" s="14" t="s">
        <v>143</v>
      </c>
      <c r="L24" s="14">
        <v>15</v>
      </c>
      <c r="M24" s="14">
        <v>458</v>
      </c>
      <c r="N24" s="14"/>
      <c r="O24" s="14"/>
      <c r="P24" s="14" t="s">
        <v>101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143</v>
      </c>
      <c r="G31" s="23"/>
      <c r="H31" s="23">
        <v>0</v>
      </c>
      <c r="I31" s="23"/>
      <c r="J31" s="23">
        <v>1</v>
      </c>
      <c r="K31" s="23" t="s">
        <v>143</v>
      </c>
      <c r="L31" s="23">
        <v>0</v>
      </c>
      <c r="M31" s="23">
        <v>142</v>
      </c>
      <c r="N31" s="23"/>
      <c r="O31" s="23"/>
      <c r="P31" s="23" t="s">
        <v>101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20</v>
      </c>
      <c r="I32" s="28"/>
      <c r="J32" s="28">
        <v>0</v>
      </c>
      <c r="K32" s="28">
        <v>0</v>
      </c>
      <c r="L32" s="28">
        <v>15</v>
      </c>
      <c r="M32" s="28">
        <v>316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>
        <v>349</v>
      </c>
      <c r="G36" s="42"/>
      <c r="H36" s="42"/>
      <c r="I36" s="42">
        <v>14</v>
      </c>
      <c r="J36" s="42">
        <v>1</v>
      </c>
      <c r="K36" s="42"/>
      <c r="L36" s="42"/>
      <c r="M36" s="42"/>
      <c r="N36" s="42"/>
      <c r="O36" s="42">
        <v>2</v>
      </c>
      <c r="P36" s="42">
        <v>16</v>
      </c>
      <c r="Q36" s="43">
        <v>1</v>
      </c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349</v>
      </c>
      <c r="G42" s="42"/>
      <c r="H42" s="42"/>
      <c r="I42" s="42">
        <v>14</v>
      </c>
      <c r="J42" s="42">
        <v>1</v>
      </c>
      <c r="K42" s="42"/>
      <c r="L42" s="42"/>
      <c r="M42" s="42"/>
      <c r="N42" s="42"/>
      <c r="O42" s="42">
        <v>2</v>
      </c>
      <c r="P42" s="42">
        <v>16</v>
      </c>
      <c r="Q42" s="43">
        <v>1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>
        <f>1+11+20+15+316</f>
        <v>363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D2B5-C10B-4E71-9BA9-DBB1049C2129}">
  <dimension ref="B1:AA45"/>
  <sheetViews>
    <sheetView showGridLines="0" zoomScale="160" zoomScaleNormal="160" workbookViewId="0">
      <selection activeCell="C8" sqref="C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112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1"/>
      <c r="W35" s="81"/>
      <c r="X35" s="81"/>
      <c r="Y35" s="81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1"/>
      <c r="V36" s="81"/>
      <c r="W36" s="81"/>
      <c r="X36" s="81"/>
      <c r="Y36" s="81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1"/>
      <c r="V37" s="81"/>
      <c r="W37" s="81"/>
      <c r="X37" s="81"/>
      <c r="Y37" s="81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1"/>
      <c r="V38" s="81"/>
      <c r="W38" s="81"/>
      <c r="X38" s="81"/>
      <c r="Y38" s="81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1"/>
      <c r="V39" s="81"/>
      <c r="W39" s="81"/>
      <c r="X39" s="81"/>
      <c r="Y39" s="81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1"/>
      <c r="V40" s="81"/>
      <c r="W40" s="81"/>
      <c r="X40" s="81"/>
      <c r="Y40" s="81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1"/>
      <c r="W41" s="81"/>
      <c r="X41" s="81"/>
      <c r="Y41" s="81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1"/>
      <c r="V43" s="81"/>
      <c r="W43" s="81"/>
      <c r="X43" s="81"/>
      <c r="Y43" s="81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1AED-A096-49B0-A5BB-48C1896A6370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D900-3A04-4691-A080-6A016307076F}">
  <dimension ref="B1:AA45"/>
  <sheetViews>
    <sheetView showGridLines="0" zoomScale="160" zoomScaleNormal="160" workbookViewId="0">
      <selection activeCell="K27" sqref="K2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F51D-8530-4634-9DE4-6A54E4D072E1}">
  <dimension ref="B1:AA45"/>
  <sheetViews>
    <sheetView showGridLines="0" zoomScale="160" zoomScaleNormal="160" workbookViewId="0">
      <selection activeCell="K27" sqref="K2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04EC-1423-4501-9AD6-FD4D84A92818}">
  <dimension ref="B1:AA45"/>
  <sheetViews>
    <sheetView showGridLines="0" zoomScale="160" zoomScaleNormal="160" workbookViewId="0">
      <selection activeCell="K27" sqref="K27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163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2C0C-8E9C-4C1B-ACCC-6FD4D540A200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5"/>
      <c r="W35" s="85"/>
      <c r="X35" s="85"/>
      <c r="Y35" s="85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5"/>
      <c r="V36" s="85"/>
      <c r="W36" s="85"/>
      <c r="X36" s="85"/>
      <c r="Y36" s="85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5"/>
      <c r="V37" s="85"/>
      <c r="W37" s="85"/>
      <c r="X37" s="85"/>
      <c r="Y37" s="85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5"/>
      <c r="V38" s="85"/>
      <c r="W38" s="85"/>
      <c r="X38" s="85"/>
      <c r="Y38" s="85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5"/>
      <c r="V39" s="85"/>
      <c r="W39" s="85"/>
      <c r="X39" s="85"/>
      <c r="Y39" s="85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5"/>
      <c r="V40" s="85"/>
      <c r="W40" s="85"/>
      <c r="X40" s="85"/>
      <c r="Y40" s="85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5"/>
      <c r="W41" s="85"/>
      <c r="X41" s="85"/>
      <c r="Y41" s="85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5"/>
      <c r="V43" s="85"/>
      <c r="W43" s="85"/>
      <c r="X43" s="85"/>
      <c r="Y43" s="85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BF55-4BCE-4BF6-AE69-AE2683A7A7C8}">
  <dimension ref="B1:AA45"/>
  <sheetViews>
    <sheetView showGridLines="0" zoomScale="160" zoomScaleNormal="160" workbookViewId="0">
      <selection activeCell="C8" sqref="C8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3B1F9-E1BB-43B2-89B6-ACA5401D42E1}">
  <dimension ref="B1:AA45"/>
  <sheetViews>
    <sheetView showGridLines="0" topLeftCell="A23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8" t="s">
        <v>80</v>
      </c>
      <c r="D8" s="14"/>
      <c r="E8" s="14">
        <v>1</v>
      </c>
      <c r="F8" s="14"/>
      <c r="G8" s="14"/>
      <c r="H8" s="14">
        <v>28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80</v>
      </c>
      <c r="D15" s="23"/>
      <c r="E15" s="23">
        <v>0</v>
      </c>
      <c r="F15" s="23"/>
      <c r="G15" s="23"/>
      <c r="H15" s="23">
        <v>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/>
      <c r="E16" s="27">
        <v>1</v>
      </c>
      <c r="F16" s="27"/>
      <c r="G16" s="28"/>
      <c r="H16" s="28">
        <v>25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165</v>
      </c>
      <c r="G24" s="14"/>
      <c r="H24" s="14">
        <v>111</v>
      </c>
      <c r="I24" s="14"/>
      <c r="J24" s="14"/>
      <c r="K24" s="14" t="s">
        <v>143</v>
      </c>
      <c r="L24" s="14"/>
      <c r="M24" s="14">
        <v>778</v>
      </c>
      <c r="N24" s="14">
        <v>1</v>
      </c>
      <c r="O24" s="14"/>
      <c r="P24" s="14" t="s">
        <v>101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143</v>
      </c>
      <c r="G31" s="23"/>
      <c r="H31" s="23">
        <v>68</v>
      </c>
      <c r="I31" s="23"/>
      <c r="J31" s="23"/>
      <c r="K31" s="23" t="s">
        <v>143</v>
      </c>
      <c r="L31" s="23"/>
      <c r="M31" s="23">
        <v>193</v>
      </c>
      <c r="N31" s="23">
        <v>0</v>
      </c>
      <c r="O31" s="23"/>
      <c r="P31" s="23" t="s">
        <v>101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5</v>
      </c>
      <c r="G32" s="28"/>
      <c r="H32" s="28">
        <v>43</v>
      </c>
      <c r="I32" s="28"/>
      <c r="J32" s="28"/>
      <c r="K32" s="28">
        <v>0</v>
      </c>
      <c r="L32" s="28"/>
      <c r="M32" s="28">
        <v>585</v>
      </c>
      <c r="N32" s="28">
        <v>1</v>
      </c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>
        <v>4</v>
      </c>
      <c r="D36" s="41"/>
      <c r="E36" s="42"/>
      <c r="F36" s="42">
        <v>597</v>
      </c>
      <c r="G36" s="42"/>
      <c r="H36" s="42"/>
      <c r="I36" s="42"/>
      <c r="J36" s="42"/>
      <c r="K36" s="42"/>
      <c r="L36" s="42">
        <v>5</v>
      </c>
      <c r="M36" s="42"/>
      <c r="N36" s="42"/>
      <c r="O36" s="42">
        <v>30</v>
      </c>
      <c r="P36" s="42">
        <v>2</v>
      </c>
      <c r="Q36" s="43"/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>
        <v>4</v>
      </c>
      <c r="D42" s="41"/>
      <c r="E42" s="42"/>
      <c r="F42" s="42">
        <v>597</v>
      </c>
      <c r="G42" s="42"/>
      <c r="H42" s="42"/>
      <c r="I42" s="42"/>
      <c r="J42" s="42"/>
      <c r="K42" s="42"/>
      <c r="L42" s="42">
        <v>5</v>
      </c>
      <c r="M42" s="42"/>
      <c r="N42" s="42"/>
      <c r="O42" s="42">
        <v>30</v>
      </c>
      <c r="P42" s="42">
        <v>2</v>
      </c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0">
        <f>1+25+5+43+585+1</f>
        <v>660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5F5A-51AD-4422-984E-0FBF75BA709F}">
  <dimension ref="B1:AA45"/>
  <sheetViews>
    <sheetView showGridLines="0" tabSelected="1" zoomScale="160" zoomScaleNormal="160" workbookViewId="0">
      <selection activeCell="M9" sqref="M9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164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>
        <v>1</v>
      </c>
      <c r="F8" s="14">
        <v>1</v>
      </c>
      <c r="G8" s="14"/>
      <c r="H8" s="14" t="s">
        <v>166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7</v>
      </c>
      <c r="X8" s="59"/>
      <c r="Y8" s="15">
        <v>5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1</v>
      </c>
      <c r="D15" s="23">
        <v>1</v>
      </c>
      <c r="E15" s="23">
        <v>0</v>
      </c>
      <c r="F15" s="23">
        <v>0</v>
      </c>
      <c r="G15" s="23"/>
      <c r="H15" s="23">
        <v>14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0</v>
      </c>
      <c r="X15" s="61"/>
      <c r="Y15" s="24">
        <v>4</v>
      </c>
    </row>
    <row r="16" spans="2:27" ht="18" customHeight="1" thickBot="1" x14ac:dyDescent="0.3">
      <c r="B16" s="25" t="s">
        <v>26</v>
      </c>
      <c r="C16" s="57">
        <v>0</v>
      </c>
      <c r="D16" s="58">
        <v>0</v>
      </c>
      <c r="E16" s="27">
        <v>1</v>
      </c>
      <c r="F16" s="27">
        <v>1</v>
      </c>
      <c r="G16" s="28"/>
      <c r="H16" s="28" t="s">
        <v>167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7</v>
      </c>
      <c r="X16" s="62"/>
      <c r="Y16" s="29">
        <v>1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3</v>
      </c>
      <c r="G24" s="14"/>
      <c r="H24" s="14">
        <v>167</v>
      </c>
      <c r="I24" s="14"/>
      <c r="J24" s="14"/>
      <c r="K24" s="14">
        <v>2</v>
      </c>
      <c r="L24" s="14">
        <v>26</v>
      </c>
      <c r="M24" s="14">
        <v>542</v>
      </c>
      <c r="N24" s="14">
        <v>1</v>
      </c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3</v>
      </c>
      <c r="G31" s="23"/>
      <c r="H31" s="23">
        <v>5</v>
      </c>
      <c r="I31" s="23"/>
      <c r="J31" s="23"/>
      <c r="K31" s="23">
        <v>2</v>
      </c>
      <c r="L31" s="23">
        <v>11</v>
      </c>
      <c r="M31" s="23">
        <v>18</v>
      </c>
      <c r="N31" s="23">
        <v>1</v>
      </c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162</v>
      </c>
      <c r="I32" s="28"/>
      <c r="J32" s="28"/>
      <c r="K32" s="28">
        <v>0</v>
      </c>
      <c r="L32" s="28">
        <v>15</v>
      </c>
      <c r="M32" s="28">
        <v>524</v>
      </c>
      <c r="N32" s="28">
        <v>0</v>
      </c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>
        <v>2</v>
      </c>
      <c r="F36" s="42">
        <v>693</v>
      </c>
      <c r="G36" s="42"/>
      <c r="H36" s="42">
        <v>2</v>
      </c>
      <c r="I36" s="42">
        <v>11</v>
      </c>
      <c r="J36" s="42"/>
      <c r="K36" s="42"/>
      <c r="L36" s="42">
        <v>3</v>
      </c>
      <c r="M36" s="42">
        <v>1</v>
      </c>
      <c r="N36" s="42">
        <v>19</v>
      </c>
      <c r="O36" s="42">
        <v>2</v>
      </c>
      <c r="P36" s="42">
        <v>1</v>
      </c>
      <c r="Q36" s="43">
        <v>8</v>
      </c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>
        <v>2</v>
      </c>
      <c r="F42" s="42">
        <v>693</v>
      </c>
      <c r="G42" s="42"/>
      <c r="H42" s="42">
        <v>2</v>
      </c>
      <c r="I42" s="42">
        <v>11</v>
      </c>
      <c r="J42" s="42"/>
      <c r="K42" s="42"/>
      <c r="L42" s="42">
        <v>3</v>
      </c>
      <c r="M42" s="42">
        <v>1</v>
      </c>
      <c r="N42" s="42">
        <v>19</v>
      </c>
      <c r="O42" s="42">
        <v>2</v>
      </c>
      <c r="P42" s="42">
        <v>1</v>
      </c>
      <c r="Q42" s="43">
        <v>8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0">
        <f>1+1+16+7+1+162+15+524</f>
        <v>727</v>
      </c>
      <c r="D44" s="100"/>
      <c r="E44" s="100"/>
    </row>
    <row r="45" spans="2:25" x14ac:dyDescent="0.25">
      <c r="B45" s="76" t="s">
        <v>69</v>
      </c>
      <c r="C45" s="100">
        <v>8</v>
      </c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69AE-F03A-4794-847E-8D722CFBA0DC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12A0-7D43-4720-A0E2-0B907356A537}">
  <dimension ref="B1:AA45"/>
  <sheetViews>
    <sheetView showGridLines="0" topLeftCell="A26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5" width="5.7109375" style="2" customWidth="1"/>
    <col min="6" max="6" width="8" style="2" bestFit="1" customWidth="1"/>
    <col min="7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 t="s">
        <v>156</v>
      </c>
      <c r="D8" s="14"/>
      <c r="E8" s="14"/>
      <c r="F8" s="14"/>
      <c r="G8" s="14"/>
      <c r="H8" s="14">
        <v>19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5</v>
      </c>
      <c r="U8" s="14"/>
      <c r="V8" s="14"/>
      <c r="W8" s="14">
        <v>10</v>
      </c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156</v>
      </c>
      <c r="D15" s="23"/>
      <c r="E15" s="23"/>
      <c r="F15" s="23"/>
      <c r="G15" s="23"/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/>
      <c r="Y15" s="24"/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>
        <v>19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5</v>
      </c>
      <c r="U16" s="28"/>
      <c r="V16" s="28"/>
      <c r="W16" s="56">
        <v>10</v>
      </c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172</v>
      </c>
      <c r="G24" s="14"/>
      <c r="H24" s="14">
        <v>119</v>
      </c>
      <c r="I24" s="14"/>
      <c r="J24" s="14"/>
      <c r="K24" s="14"/>
      <c r="L24" s="14">
        <v>10</v>
      </c>
      <c r="M24" s="14">
        <v>517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149</v>
      </c>
      <c r="G31" s="23"/>
      <c r="H31" s="23">
        <v>3</v>
      </c>
      <c r="I31" s="23"/>
      <c r="J31" s="23"/>
      <c r="K31" s="23"/>
      <c r="L31" s="23">
        <v>3</v>
      </c>
      <c r="M31" s="23">
        <v>96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10</v>
      </c>
      <c r="G32" s="28"/>
      <c r="H32" s="28">
        <v>116</v>
      </c>
      <c r="I32" s="28"/>
      <c r="J32" s="28"/>
      <c r="K32" s="28"/>
      <c r="L32" s="28">
        <v>7</v>
      </c>
      <c r="M32" s="28">
        <v>421</v>
      </c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>
        <v>8</v>
      </c>
      <c r="D36" s="41"/>
      <c r="E36" s="42">
        <v>11</v>
      </c>
      <c r="F36" s="42">
        <v>561</v>
      </c>
      <c r="G36" s="42">
        <v>31</v>
      </c>
      <c r="H36" s="42">
        <v>4</v>
      </c>
      <c r="I36" s="42">
        <v>13</v>
      </c>
      <c r="J36" s="42">
        <v>1</v>
      </c>
      <c r="K36" s="42">
        <v>8</v>
      </c>
      <c r="L36" s="42">
        <v>10</v>
      </c>
      <c r="M36" s="42"/>
      <c r="N36" s="42"/>
      <c r="O36" s="42">
        <v>10</v>
      </c>
      <c r="P36" s="42">
        <v>27</v>
      </c>
      <c r="Q36" s="43">
        <v>15</v>
      </c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>
        <v>8</v>
      </c>
      <c r="D42" s="41"/>
      <c r="E42" s="42">
        <v>11</v>
      </c>
      <c r="F42" s="42">
        <v>561</v>
      </c>
      <c r="G42" s="42">
        <v>31</v>
      </c>
      <c r="H42" s="42">
        <v>4</v>
      </c>
      <c r="I42" s="42">
        <v>13</v>
      </c>
      <c r="J42" s="42">
        <v>1</v>
      </c>
      <c r="K42" s="42">
        <v>8</v>
      </c>
      <c r="L42" s="42">
        <v>10</v>
      </c>
      <c r="M42" s="42"/>
      <c r="N42" s="42"/>
      <c r="O42" s="42">
        <v>10</v>
      </c>
      <c r="P42" s="42">
        <v>27</v>
      </c>
      <c r="Q42" s="43">
        <v>15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0">
        <f>19+5+10+10+116+7+421</f>
        <v>588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15C6-95BA-47BF-9DC0-F22984A10E43}">
  <dimension ref="B1:AA45"/>
  <sheetViews>
    <sheetView showGridLines="0" topLeftCell="A32" zoomScale="160" zoomScaleNormal="160" workbookViewId="0">
      <selection activeCell="C45" sqref="C45:E45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8" t="s">
        <v>143</v>
      </c>
      <c r="D8" s="14"/>
      <c r="E8" s="14"/>
      <c r="F8" s="14"/>
      <c r="G8" s="14"/>
      <c r="H8" s="14">
        <v>13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>
        <v>2</v>
      </c>
      <c r="X8" s="59"/>
      <c r="Y8" s="15">
        <v>1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 t="s">
        <v>143</v>
      </c>
      <c r="D15" s="23"/>
      <c r="E15" s="23"/>
      <c r="F15" s="23"/>
      <c r="G15" s="23"/>
      <c r="H15" s="23">
        <v>3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2</v>
      </c>
      <c r="X15" s="61"/>
      <c r="Y15" s="24">
        <v>1</v>
      </c>
    </row>
    <row r="16" spans="2:27" ht="18" customHeight="1" thickBot="1" x14ac:dyDescent="0.3">
      <c r="B16" s="25" t="s">
        <v>26</v>
      </c>
      <c r="C16" s="57">
        <v>0</v>
      </c>
      <c r="D16" s="58"/>
      <c r="E16" s="27"/>
      <c r="F16" s="27"/>
      <c r="G16" s="28"/>
      <c r="H16" s="28">
        <v>10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>
        <v>0</v>
      </c>
      <c r="X16" s="62"/>
      <c r="Y16" s="29">
        <v>0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 t="s">
        <v>143</v>
      </c>
      <c r="G24" s="14"/>
      <c r="H24" s="14">
        <v>50</v>
      </c>
      <c r="I24" s="14"/>
      <c r="J24" s="14"/>
      <c r="K24" s="14" t="s">
        <v>143</v>
      </c>
      <c r="L24" s="14">
        <v>7</v>
      </c>
      <c r="M24" s="14">
        <v>409</v>
      </c>
      <c r="N24" s="14"/>
      <c r="O24" s="14"/>
      <c r="P24" s="14" t="s">
        <v>101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 t="s">
        <v>143</v>
      </c>
      <c r="G31" s="23"/>
      <c r="H31" s="23">
        <v>8</v>
      </c>
      <c r="I31" s="23"/>
      <c r="J31" s="23"/>
      <c r="K31" s="23" t="s">
        <v>173</v>
      </c>
      <c r="L31" s="23">
        <v>2</v>
      </c>
      <c r="M31" s="23">
        <v>39</v>
      </c>
      <c r="N31" s="23"/>
      <c r="O31" s="23"/>
      <c r="P31" s="23" t="s">
        <v>101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0</v>
      </c>
      <c r="G32" s="28"/>
      <c r="H32" s="28">
        <v>42</v>
      </c>
      <c r="I32" s="28"/>
      <c r="J32" s="28"/>
      <c r="K32" s="28">
        <v>1</v>
      </c>
      <c r="L32" s="28">
        <v>5</v>
      </c>
      <c r="M32" s="28">
        <v>370</v>
      </c>
      <c r="N32" s="28"/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>
        <v>421</v>
      </c>
      <c r="G36" s="42">
        <v>1</v>
      </c>
      <c r="H36" s="42">
        <v>4</v>
      </c>
      <c r="I36" s="42">
        <v>7</v>
      </c>
      <c r="J36" s="42"/>
      <c r="K36" s="42"/>
      <c r="L36" s="42">
        <v>1</v>
      </c>
      <c r="M36" s="42"/>
      <c r="N36" s="42"/>
      <c r="O36" s="42">
        <v>3</v>
      </c>
      <c r="P36" s="42">
        <v>6</v>
      </c>
      <c r="Q36" s="43">
        <v>7</v>
      </c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>
        <v>421</v>
      </c>
      <c r="G42" s="42">
        <v>1</v>
      </c>
      <c r="H42" s="42">
        <v>4</v>
      </c>
      <c r="I42" s="42">
        <v>7</v>
      </c>
      <c r="J42" s="42"/>
      <c r="K42" s="42"/>
      <c r="L42" s="42">
        <v>1</v>
      </c>
      <c r="M42" s="42"/>
      <c r="N42" s="42"/>
      <c r="O42" s="42">
        <v>3</v>
      </c>
      <c r="P42" s="42">
        <v>6</v>
      </c>
      <c r="Q42" s="43">
        <v>7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0">
        <f>10+42+1+5+370</f>
        <v>428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5EDC-BA9D-43B9-B0B5-3AF437A51AA9}">
  <dimension ref="B1:AA45"/>
  <sheetViews>
    <sheetView showGridLines="0" topLeftCell="A29" zoomScale="160" zoomScaleNormal="160" workbookViewId="0">
      <selection activeCell="N43" sqref="N43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168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>
        <v>1</v>
      </c>
      <c r="D8" s="14">
        <v>1</v>
      </c>
      <c r="E8" s="14"/>
      <c r="F8" s="14"/>
      <c r="G8" s="14"/>
      <c r="H8" s="14">
        <v>27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>
        <v>15</v>
      </c>
      <c r="U8" s="14"/>
      <c r="V8" s="14"/>
      <c r="W8" s="14">
        <v>15</v>
      </c>
      <c r="X8" s="59"/>
      <c r="Y8" s="15">
        <v>4</v>
      </c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>
        <v>0</v>
      </c>
      <c r="D15" s="23">
        <v>0</v>
      </c>
      <c r="E15" s="23"/>
      <c r="F15" s="23"/>
      <c r="G15" s="23"/>
      <c r="H15" s="23">
        <v>1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v>0</v>
      </c>
      <c r="U15" s="23"/>
      <c r="V15" s="23"/>
      <c r="W15" s="23">
        <v>0</v>
      </c>
      <c r="X15" s="61"/>
      <c r="Y15" s="24">
        <v>1</v>
      </c>
    </row>
    <row r="16" spans="2:27" ht="18" customHeight="1" thickBot="1" x14ac:dyDescent="0.3">
      <c r="B16" s="25" t="s">
        <v>26</v>
      </c>
      <c r="C16" s="57">
        <v>1</v>
      </c>
      <c r="D16" s="58">
        <v>1</v>
      </c>
      <c r="E16" s="27"/>
      <c r="F16" s="27"/>
      <c r="G16" s="28"/>
      <c r="H16" s="28">
        <v>26</v>
      </c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>
        <v>15</v>
      </c>
      <c r="U16" s="28"/>
      <c r="V16" s="28"/>
      <c r="W16" s="56">
        <v>15</v>
      </c>
      <c r="X16" s="62"/>
      <c r="Y16" s="29">
        <v>3</v>
      </c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>
        <v>5</v>
      </c>
      <c r="G24" s="14"/>
      <c r="H24" s="14">
        <v>114</v>
      </c>
      <c r="I24" s="14"/>
      <c r="J24" s="14"/>
      <c r="K24" s="14">
        <v>2</v>
      </c>
      <c r="L24" s="14">
        <v>11</v>
      </c>
      <c r="M24" s="14">
        <v>557</v>
      </c>
      <c r="N24" s="14">
        <v>1</v>
      </c>
      <c r="O24" s="14"/>
      <c r="P24" s="14">
        <v>10</v>
      </c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>
        <v>0</v>
      </c>
      <c r="G31" s="23"/>
      <c r="H31" s="23">
        <v>52</v>
      </c>
      <c r="I31" s="23"/>
      <c r="J31" s="23"/>
      <c r="K31" s="23">
        <v>0</v>
      </c>
      <c r="L31" s="23">
        <v>1</v>
      </c>
      <c r="M31" s="23">
        <v>6</v>
      </c>
      <c r="N31" s="23">
        <v>1</v>
      </c>
      <c r="O31" s="23"/>
      <c r="P31" s="23">
        <v>10</v>
      </c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>
        <v>5</v>
      </c>
      <c r="G32" s="28"/>
      <c r="H32" s="28">
        <v>62</v>
      </c>
      <c r="I32" s="28"/>
      <c r="J32" s="28"/>
      <c r="K32" s="28">
        <v>2</v>
      </c>
      <c r="L32" s="28">
        <v>10</v>
      </c>
      <c r="M32" s="28">
        <v>551</v>
      </c>
      <c r="N32" s="28">
        <v>0</v>
      </c>
      <c r="O32" s="23"/>
      <c r="P32" s="28">
        <v>0</v>
      </c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>
        <v>4</v>
      </c>
      <c r="D36" s="41"/>
      <c r="E36" s="42"/>
      <c r="F36" s="42">
        <v>559</v>
      </c>
      <c r="G36" s="42">
        <v>13</v>
      </c>
      <c r="H36" s="42">
        <v>5</v>
      </c>
      <c r="I36" s="42">
        <v>31</v>
      </c>
      <c r="J36" s="42"/>
      <c r="K36" s="42">
        <v>2</v>
      </c>
      <c r="L36" s="42">
        <v>29</v>
      </c>
      <c r="M36" s="42"/>
      <c r="N36" s="42"/>
      <c r="O36" s="42">
        <v>16</v>
      </c>
      <c r="P36" s="42">
        <v>22</v>
      </c>
      <c r="Q36" s="43">
        <v>1</v>
      </c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>
        <v>4</v>
      </c>
      <c r="D42" s="41"/>
      <c r="E42" s="42"/>
      <c r="F42" s="42">
        <v>559</v>
      </c>
      <c r="G42" s="42">
        <v>13</v>
      </c>
      <c r="H42" s="42">
        <v>5</v>
      </c>
      <c r="I42" s="42">
        <v>31</v>
      </c>
      <c r="J42" s="42"/>
      <c r="K42" s="42">
        <v>2</v>
      </c>
      <c r="L42" s="42">
        <v>29</v>
      </c>
      <c r="M42" s="42"/>
      <c r="N42" s="42"/>
      <c r="O42" s="42">
        <v>16</v>
      </c>
      <c r="P42" s="42">
        <v>22</v>
      </c>
      <c r="Q42" s="43">
        <v>1</v>
      </c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0">
        <f>1+1+26+15+15+3+5+62+2+10+551</f>
        <v>691</v>
      </c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F3B0-94E0-4B99-91D9-85D26DF3454B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9252-0EE6-48A3-A9A9-49C08D0709DF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8A7F-7330-4735-96C9-6A0CEB922B15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8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153B-76C6-49E7-B52C-C420E118744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169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6"/>
      <c r="W35" s="86"/>
      <c r="X35" s="86"/>
      <c r="Y35" s="86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6"/>
      <c r="V36" s="86"/>
      <c r="W36" s="86"/>
      <c r="X36" s="86"/>
      <c r="Y36" s="86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6"/>
      <c r="V37" s="86"/>
      <c r="W37" s="86"/>
      <c r="X37" s="86"/>
      <c r="Y37" s="86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6"/>
      <c r="V38" s="86"/>
      <c r="W38" s="86"/>
      <c r="X38" s="86"/>
      <c r="Y38" s="86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6"/>
      <c r="V39" s="86"/>
      <c r="W39" s="86"/>
      <c r="X39" s="86"/>
      <c r="Y39" s="86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6"/>
      <c r="V40" s="86"/>
      <c r="W40" s="86"/>
      <c r="X40" s="86"/>
      <c r="Y40" s="86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6"/>
      <c r="W41" s="86"/>
      <c r="X41" s="86"/>
      <c r="Y41" s="86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6"/>
      <c r="V43" s="86"/>
      <c r="W43" s="86"/>
      <c r="X43" s="86"/>
      <c r="Y43" s="86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E956-5D2D-4E04-BDEE-F0C0B00E6182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7"/>
      <c r="W35" s="87"/>
      <c r="X35" s="87"/>
      <c r="Y35" s="8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7"/>
      <c r="V36" s="87"/>
      <c r="W36" s="87"/>
      <c r="X36" s="87"/>
      <c r="Y36" s="8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7"/>
      <c r="V37" s="87"/>
      <c r="W37" s="87"/>
      <c r="X37" s="87"/>
      <c r="Y37" s="8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7"/>
      <c r="V38" s="87"/>
      <c r="W38" s="87"/>
      <c r="X38" s="87"/>
      <c r="Y38" s="8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7"/>
      <c r="V39" s="87"/>
      <c r="W39" s="87"/>
      <c r="X39" s="87"/>
      <c r="Y39" s="8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7"/>
      <c r="V40" s="87"/>
      <c r="W40" s="87"/>
      <c r="X40" s="87"/>
      <c r="Y40" s="8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7"/>
      <c r="W41" s="87"/>
      <c r="X41" s="87"/>
      <c r="Y41" s="8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7"/>
      <c r="V43" s="87"/>
      <c r="W43" s="87"/>
      <c r="X43" s="87"/>
      <c r="Y43" s="87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63EC-AD0F-42A5-8E92-7BE6150DC382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7"/>
      <c r="W35" s="87"/>
      <c r="X35" s="87"/>
      <c r="Y35" s="8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7"/>
      <c r="V36" s="87"/>
      <c r="W36" s="87"/>
      <c r="X36" s="87"/>
      <c r="Y36" s="8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7"/>
      <c r="V37" s="87"/>
      <c r="W37" s="87"/>
      <c r="X37" s="87"/>
      <c r="Y37" s="8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7"/>
      <c r="V38" s="87"/>
      <c r="W38" s="87"/>
      <c r="X38" s="87"/>
      <c r="Y38" s="8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7"/>
      <c r="V39" s="87"/>
      <c r="W39" s="87"/>
      <c r="X39" s="87"/>
      <c r="Y39" s="8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7"/>
      <c r="V40" s="87"/>
      <c r="W40" s="87"/>
      <c r="X40" s="87"/>
      <c r="Y40" s="8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7"/>
      <c r="W41" s="87"/>
      <c r="X41" s="87"/>
      <c r="Y41" s="8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7"/>
      <c r="V43" s="87"/>
      <c r="W43" s="87"/>
      <c r="X43" s="87"/>
      <c r="Y43" s="87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30E2-5B20-4556-9EA0-E71119B2435B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8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7"/>
      <c r="W35" s="87"/>
      <c r="X35" s="87"/>
      <c r="Y35" s="8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7"/>
      <c r="V36" s="87"/>
      <c r="W36" s="87"/>
      <c r="X36" s="87"/>
      <c r="Y36" s="8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7"/>
      <c r="V37" s="87"/>
      <c r="W37" s="87"/>
      <c r="X37" s="87"/>
      <c r="Y37" s="8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7"/>
      <c r="V38" s="87"/>
      <c r="W38" s="87"/>
      <c r="X38" s="87"/>
      <c r="Y38" s="8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7"/>
      <c r="V39" s="87"/>
      <c r="W39" s="87"/>
      <c r="X39" s="87"/>
      <c r="Y39" s="8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7"/>
      <c r="V40" s="87"/>
      <c r="W40" s="87"/>
      <c r="X40" s="87"/>
      <c r="Y40" s="8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7"/>
      <c r="W41" s="87"/>
      <c r="X41" s="87"/>
      <c r="Y41" s="8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7"/>
      <c r="V43" s="87"/>
      <c r="W43" s="87"/>
      <c r="X43" s="87"/>
      <c r="Y43" s="87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7262-B14F-4E27-8FE3-C75D6605C55D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7"/>
      <c r="W35" s="87"/>
      <c r="X35" s="87"/>
      <c r="Y35" s="8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7"/>
      <c r="V36" s="87"/>
      <c r="W36" s="87"/>
      <c r="X36" s="87"/>
      <c r="Y36" s="8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7"/>
      <c r="V37" s="87"/>
      <c r="W37" s="87"/>
      <c r="X37" s="87"/>
      <c r="Y37" s="8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7"/>
      <c r="V38" s="87"/>
      <c r="W38" s="87"/>
      <c r="X38" s="87"/>
      <c r="Y38" s="8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7"/>
      <c r="V39" s="87"/>
      <c r="W39" s="87"/>
      <c r="X39" s="87"/>
      <c r="Y39" s="8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7"/>
      <c r="V40" s="87"/>
      <c r="W40" s="87"/>
      <c r="X40" s="87"/>
      <c r="Y40" s="8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7"/>
      <c r="W41" s="87"/>
      <c r="X41" s="87"/>
      <c r="Y41" s="8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7"/>
      <c r="V43" s="87"/>
      <c r="W43" s="87"/>
      <c r="X43" s="87"/>
      <c r="Y43" s="87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044F-F6CF-475C-A9F6-38B8736D61E4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7"/>
      <c r="W35" s="87"/>
      <c r="X35" s="87"/>
      <c r="Y35" s="8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7"/>
      <c r="V36" s="87"/>
      <c r="W36" s="87"/>
      <c r="X36" s="87"/>
      <c r="Y36" s="8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7"/>
      <c r="V37" s="87"/>
      <c r="W37" s="87"/>
      <c r="X37" s="87"/>
      <c r="Y37" s="8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7"/>
      <c r="V38" s="87"/>
      <c r="W38" s="87"/>
      <c r="X38" s="87"/>
      <c r="Y38" s="8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7"/>
      <c r="V39" s="87"/>
      <c r="W39" s="87"/>
      <c r="X39" s="87"/>
      <c r="Y39" s="8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7"/>
      <c r="V40" s="87"/>
      <c r="W40" s="87"/>
      <c r="X40" s="87"/>
      <c r="Y40" s="8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7"/>
      <c r="W41" s="87"/>
      <c r="X41" s="87"/>
      <c r="Y41" s="8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7"/>
      <c r="V43" s="87"/>
      <c r="W43" s="87"/>
      <c r="X43" s="87"/>
      <c r="Y43" s="87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24F0-4857-4046-BD73-D7E218950715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7"/>
      <c r="W35" s="87"/>
      <c r="X35" s="87"/>
      <c r="Y35" s="8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7"/>
      <c r="V36" s="87"/>
      <c r="W36" s="87"/>
      <c r="X36" s="87"/>
      <c r="Y36" s="8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7"/>
      <c r="V37" s="87"/>
      <c r="W37" s="87"/>
      <c r="X37" s="87"/>
      <c r="Y37" s="8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7"/>
      <c r="V38" s="87"/>
      <c r="W38" s="87"/>
      <c r="X38" s="87"/>
      <c r="Y38" s="8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7"/>
      <c r="V39" s="87"/>
      <c r="W39" s="87"/>
      <c r="X39" s="87"/>
      <c r="Y39" s="8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7"/>
      <c r="V40" s="87"/>
      <c r="W40" s="87"/>
      <c r="X40" s="87"/>
      <c r="Y40" s="8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7"/>
      <c r="W41" s="87"/>
      <c r="X41" s="87"/>
      <c r="Y41" s="8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7"/>
      <c r="V43" s="87"/>
      <c r="W43" s="87"/>
      <c r="X43" s="87"/>
      <c r="Y43" s="87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B369-EC4F-48FF-97AA-BE71B95A41B7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8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7"/>
      <c r="W35" s="87"/>
      <c r="X35" s="87"/>
      <c r="Y35" s="8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7"/>
      <c r="V36" s="87"/>
      <c r="W36" s="87"/>
      <c r="X36" s="87"/>
      <c r="Y36" s="8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7"/>
      <c r="V37" s="87"/>
      <c r="W37" s="87"/>
      <c r="X37" s="87"/>
      <c r="Y37" s="8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7"/>
      <c r="V38" s="87"/>
      <c r="W38" s="87"/>
      <c r="X38" s="87"/>
      <c r="Y38" s="8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7"/>
      <c r="V39" s="87"/>
      <c r="W39" s="87"/>
      <c r="X39" s="87"/>
      <c r="Y39" s="8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7"/>
      <c r="V40" s="87"/>
      <c r="W40" s="87"/>
      <c r="X40" s="87"/>
      <c r="Y40" s="8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7"/>
      <c r="W41" s="87"/>
      <c r="X41" s="87"/>
      <c r="Y41" s="8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7"/>
      <c r="V43" s="87"/>
      <c r="W43" s="87"/>
      <c r="X43" s="87"/>
      <c r="Y43" s="87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1358-A92F-4444-BAB5-39463E00E3A4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170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7"/>
      <c r="W35" s="87"/>
      <c r="X35" s="87"/>
      <c r="Y35" s="8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7"/>
      <c r="V36" s="87"/>
      <c r="W36" s="87"/>
      <c r="X36" s="87"/>
      <c r="Y36" s="8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7"/>
      <c r="V37" s="87"/>
      <c r="W37" s="87"/>
      <c r="X37" s="87"/>
      <c r="Y37" s="8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7"/>
      <c r="V38" s="87"/>
      <c r="W38" s="87"/>
      <c r="X38" s="87"/>
      <c r="Y38" s="8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7"/>
      <c r="V39" s="87"/>
      <c r="W39" s="87"/>
      <c r="X39" s="87"/>
      <c r="Y39" s="8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7"/>
      <c r="V40" s="87"/>
      <c r="W40" s="87"/>
      <c r="X40" s="87"/>
      <c r="Y40" s="8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7"/>
      <c r="W41" s="87"/>
      <c r="X41" s="87"/>
      <c r="Y41" s="8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7"/>
      <c r="V43" s="87"/>
      <c r="W43" s="87"/>
      <c r="X43" s="87"/>
      <c r="Y43" s="87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1348-4F13-44FA-83A9-293BACDCFE90}">
  <dimension ref="B1:AA43"/>
  <sheetViews>
    <sheetView showGridLines="0" view="pageBreakPreview" zoomScale="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67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/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7"/>
      <c r="W35" s="87"/>
      <c r="X35" s="87"/>
      <c r="Y35" s="8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7"/>
      <c r="V36" s="87"/>
      <c r="W36" s="87"/>
      <c r="X36" s="87"/>
      <c r="Y36" s="8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7"/>
      <c r="V37" s="87"/>
      <c r="W37" s="87"/>
      <c r="X37" s="87"/>
      <c r="Y37" s="8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7"/>
      <c r="V38" s="87"/>
      <c r="W38" s="87"/>
      <c r="X38" s="87"/>
      <c r="Y38" s="8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7"/>
      <c r="V39" s="87"/>
      <c r="W39" s="87"/>
      <c r="X39" s="87"/>
      <c r="Y39" s="8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7"/>
      <c r="V40" s="87"/>
      <c r="W40" s="87"/>
      <c r="X40" s="87"/>
      <c r="Y40" s="8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7"/>
      <c r="W41" s="87"/>
      <c r="X41" s="87"/>
      <c r="Y41" s="8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7"/>
      <c r="V43" s="87"/>
      <c r="W43" s="87"/>
      <c r="X43" s="87"/>
      <c r="Y43" s="87"/>
    </row>
  </sheetData>
  <mergeCells count="8">
    <mergeCell ref="R34:U34"/>
    <mergeCell ref="R42:U42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3ADB-5CBD-428A-AE73-8B982DD03FA5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7"/>
      <c r="W35" s="87"/>
      <c r="X35" s="87"/>
      <c r="Y35" s="8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7"/>
      <c r="V36" s="87"/>
      <c r="W36" s="87"/>
      <c r="X36" s="87"/>
      <c r="Y36" s="8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7"/>
      <c r="V37" s="87"/>
      <c r="W37" s="87"/>
      <c r="X37" s="87"/>
      <c r="Y37" s="8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7"/>
      <c r="V38" s="87"/>
      <c r="W38" s="87"/>
      <c r="X38" s="87"/>
      <c r="Y38" s="8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7"/>
      <c r="V39" s="87"/>
      <c r="W39" s="87"/>
      <c r="X39" s="87"/>
      <c r="Y39" s="8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7"/>
      <c r="V40" s="87"/>
      <c r="W40" s="87"/>
      <c r="X40" s="87"/>
      <c r="Y40" s="8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7"/>
      <c r="W41" s="87"/>
      <c r="X41" s="87"/>
      <c r="Y41" s="8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7"/>
      <c r="V43" s="87"/>
      <c r="W43" s="87"/>
      <c r="X43" s="87"/>
      <c r="Y43" s="87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83" orientation="landscape" horizontalDpi="0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F5B9-4B33-47E0-B8F0-F9DBB7D49A9C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55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88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7"/>
      <c r="W35" s="87"/>
      <c r="X35" s="87"/>
      <c r="Y35" s="8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7"/>
      <c r="V36" s="87"/>
      <c r="W36" s="87"/>
      <c r="X36" s="87"/>
      <c r="Y36" s="8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7"/>
      <c r="V37" s="87"/>
      <c r="W37" s="87"/>
      <c r="X37" s="87"/>
      <c r="Y37" s="8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7"/>
      <c r="V38" s="87"/>
      <c r="W38" s="87"/>
      <c r="X38" s="87"/>
      <c r="Y38" s="8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7"/>
      <c r="V39" s="87"/>
      <c r="W39" s="87"/>
      <c r="X39" s="87"/>
      <c r="Y39" s="8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7"/>
      <c r="V40" s="87"/>
      <c r="W40" s="87"/>
      <c r="X40" s="87"/>
      <c r="Y40" s="8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7"/>
      <c r="W41" s="87"/>
      <c r="X41" s="87"/>
      <c r="Y41" s="8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7"/>
      <c r="V43" s="87"/>
      <c r="W43" s="87"/>
      <c r="X43" s="87"/>
      <c r="Y43" s="87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F81C-CCC7-4D1F-8DA8-6FFC5DB2F705}">
  <dimension ref="B1:AA45"/>
  <sheetViews>
    <sheetView showGridLines="0" zoomScale="160" zoomScaleNormal="160" workbookViewId="0">
      <selection activeCell="B2" sqref="B2"/>
    </sheetView>
  </sheetViews>
  <sheetFormatPr defaultColWidth="8.7109375" defaultRowHeight="12.75" x14ac:dyDescent="0.25"/>
  <cols>
    <col min="1" max="1" width="1.140625" style="2" customWidth="1"/>
    <col min="2" max="2" width="14.42578125" style="2" customWidth="1"/>
    <col min="3" max="8" width="5.7109375" style="2" customWidth="1"/>
    <col min="9" max="9" width="8" style="2" bestFit="1" customWidth="1"/>
    <col min="10" max="10" width="7" style="2" bestFit="1" customWidth="1"/>
    <col min="11" max="13" width="5.7109375" style="2" customWidth="1"/>
    <col min="14" max="14" width="7.140625" style="2" bestFit="1" customWidth="1"/>
    <col min="15" max="15" width="8" style="2" bestFit="1" customWidth="1"/>
    <col min="16" max="16" width="7.140625" style="2" bestFit="1" customWidth="1"/>
    <col min="17" max="17" width="7.140625" style="2" customWidth="1"/>
    <col min="18" max="18" width="8.28515625" style="2" bestFit="1" customWidth="1"/>
    <col min="19" max="19" width="7.140625" style="2" customWidth="1"/>
    <col min="20" max="21" width="5.7109375" style="2" customWidth="1"/>
    <col min="22" max="22" width="8.28515625" style="2" bestFit="1" customWidth="1"/>
    <col min="23" max="29" width="5.7109375" style="2" customWidth="1"/>
    <col min="30" max="16384" width="8.7109375" style="2"/>
  </cols>
  <sheetData>
    <row r="1" spans="2:27" ht="18" customHeight="1" x14ac:dyDescent="0.25">
      <c r="B1" s="1" t="s">
        <v>0</v>
      </c>
      <c r="AA1" s="3"/>
    </row>
    <row r="2" spans="2:27" ht="18" customHeight="1" thickBot="1" x14ac:dyDescent="0.3">
      <c r="B2" s="4" t="s">
        <v>171</v>
      </c>
    </row>
    <row r="3" spans="2:27" s="5" customFormat="1" ht="18" hidden="1" customHeight="1" x14ac:dyDescent="0.25">
      <c r="B3" s="5" t="s">
        <v>1</v>
      </c>
      <c r="C3" s="6">
        <f>[1]DSSR!B4</f>
        <v>1300</v>
      </c>
      <c r="D3" s="6">
        <f>[1]DSSR!C4</f>
        <v>1534</v>
      </c>
      <c r="E3" s="6">
        <f>[1]DSSR!D4</f>
        <v>1728</v>
      </c>
      <c r="F3" s="6">
        <f>[1]DSSR!E4</f>
        <v>1728</v>
      </c>
      <c r="G3" s="6">
        <f>[1]DSSR!F4</f>
        <v>1452</v>
      </c>
      <c r="H3" s="6">
        <f>[1]DSSR!G4</f>
        <v>1240</v>
      </c>
      <c r="I3" s="6">
        <f>[1]DSSR!H4</f>
        <v>1520</v>
      </c>
      <c r="J3" s="6">
        <f>[1]DSSR!I4</f>
        <v>978</v>
      </c>
      <c r="K3" s="6">
        <f>[1]DSSR!J4</f>
        <v>945</v>
      </c>
      <c r="L3" s="6">
        <f>[1]DSSR!K4</f>
        <v>0</v>
      </c>
      <c r="M3" s="6">
        <f>[1]DSSR!L4</f>
        <v>1127</v>
      </c>
      <c r="N3" s="6">
        <f>[1]DSSR!M4</f>
        <v>773</v>
      </c>
      <c r="O3" s="6">
        <f>[1]DSSR!N4</f>
        <v>1038</v>
      </c>
      <c r="P3" s="6">
        <f>[1]DSSR!O4</f>
        <v>773</v>
      </c>
      <c r="Q3" s="6"/>
      <c r="R3" s="6"/>
      <c r="S3" s="6"/>
      <c r="T3" s="6">
        <f>[1]DSSR!P4</f>
        <v>1038</v>
      </c>
      <c r="U3" s="6">
        <f>[1]DSSR!Q4</f>
        <v>773</v>
      </c>
      <c r="V3" s="6">
        <f>[1]DSSR!R4</f>
        <v>1038</v>
      </c>
      <c r="W3" s="6">
        <f>[1]DSSR!S4</f>
        <v>792</v>
      </c>
      <c r="X3" s="6"/>
      <c r="Y3" s="6">
        <f>[1]DSSR!T4</f>
        <v>948</v>
      </c>
    </row>
    <row r="4" spans="2:27" s="5" customFormat="1" ht="18" hidden="1" customHeight="1" x14ac:dyDescent="0.25">
      <c r="B4" s="5" t="s">
        <v>2</v>
      </c>
      <c r="C4" s="6">
        <f>[1]DSSR!B5</f>
        <v>120</v>
      </c>
      <c r="D4" s="6">
        <f>[1]DSSR!C5</f>
        <v>0</v>
      </c>
      <c r="E4" s="6">
        <f>[1]DSSR!D5</f>
        <v>0</v>
      </c>
      <c r="F4" s="6">
        <f>[1]DSSR!E5</f>
        <v>0</v>
      </c>
      <c r="G4" s="6">
        <f>[1]DSSR!F5</f>
        <v>0</v>
      </c>
      <c r="H4" s="6">
        <f>[1]DSSR!G5</f>
        <v>120</v>
      </c>
      <c r="I4" s="6">
        <f>[1]DSSR!H5</f>
        <v>0</v>
      </c>
      <c r="J4" s="6">
        <f>[1]DSSR!I5</f>
        <v>120</v>
      </c>
      <c r="K4" s="6">
        <f>[1]DSSR!J5</f>
        <v>120</v>
      </c>
      <c r="L4" s="6">
        <f>[1]DSSR!K5</f>
        <v>111</v>
      </c>
      <c r="M4" s="6">
        <f>[1]DSSR!L5</f>
        <v>0</v>
      </c>
      <c r="N4" s="6">
        <f>[1]DSSR!M5</f>
        <v>120</v>
      </c>
      <c r="O4" s="6">
        <f>[1]DSSR!N5</f>
        <v>0</v>
      </c>
      <c r="P4" s="6">
        <f>[1]DSSR!O5</f>
        <v>120</v>
      </c>
      <c r="Q4" s="6"/>
      <c r="R4" s="6"/>
      <c r="S4" s="6"/>
      <c r="T4" s="6">
        <f>[1]DSSR!P5</f>
        <v>0</v>
      </c>
      <c r="U4" s="6">
        <f>[1]DSSR!Q5</f>
        <v>120</v>
      </c>
      <c r="V4" s="6">
        <f>[1]DSSR!R5</f>
        <v>0</v>
      </c>
      <c r="W4" s="6">
        <f>[1]DSSR!S5</f>
        <v>120</v>
      </c>
      <c r="X4" s="6"/>
      <c r="Y4" s="6">
        <f>[1]DSSR!T5</f>
        <v>120</v>
      </c>
    </row>
    <row r="5" spans="2:27" s="5" customFormat="1" ht="18" hidden="1" customHeight="1" x14ac:dyDescent="0.25">
      <c r="B5" s="5" t="s">
        <v>3</v>
      </c>
      <c r="C5" s="7">
        <v>84</v>
      </c>
      <c r="D5" s="7"/>
      <c r="E5" s="7"/>
      <c r="F5" s="7"/>
      <c r="G5" s="7"/>
      <c r="H5" s="7">
        <v>84</v>
      </c>
      <c r="I5" s="7"/>
      <c r="J5" s="7">
        <v>84</v>
      </c>
      <c r="K5" s="7">
        <v>84</v>
      </c>
      <c r="L5" s="7">
        <v>84</v>
      </c>
      <c r="M5" s="7"/>
      <c r="N5" s="7">
        <v>84</v>
      </c>
      <c r="O5" s="7"/>
      <c r="P5" s="7">
        <v>84</v>
      </c>
      <c r="Q5" s="7"/>
      <c r="R5" s="7"/>
      <c r="S5" s="7"/>
      <c r="T5" s="7"/>
      <c r="U5" s="7">
        <v>84</v>
      </c>
      <c r="V5" s="7"/>
      <c r="W5" s="7">
        <v>84</v>
      </c>
      <c r="X5" s="7"/>
      <c r="Y5" s="7">
        <v>84</v>
      </c>
    </row>
    <row r="6" spans="2:27" s="5" customFormat="1" ht="18" hidden="1" customHeight="1" x14ac:dyDescent="0.25">
      <c r="B6" s="5" t="s">
        <v>4</v>
      </c>
      <c r="C6" s="7">
        <v>1.5</v>
      </c>
      <c r="D6" s="7"/>
      <c r="E6" s="7"/>
      <c r="F6" s="7"/>
      <c r="G6" s="7"/>
      <c r="H6" s="7">
        <v>1.5</v>
      </c>
      <c r="I6" s="7"/>
      <c r="J6" s="7">
        <v>1.5</v>
      </c>
      <c r="K6" s="7">
        <v>1.5</v>
      </c>
      <c r="L6" s="7">
        <v>4.5</v>
      </c>
      <c r="M6" s="7"/>
      <c r="N6" s="7">
        <v>1.5</v>
      </c>
      <c r="O6" s="7"/>
      <c r="P6" s="7">
        <v>1.5</v>
      </c>
      <c r="Q6" s="7"/>
      <c r="R6" s="7"/>
      <c r="S6" s="7"/>
      <c r="T6" s="7"/>
      <c r="U6" s="7">
        <v>1.5</v>
      </c>
      <c r="V6" s="7"/>
      <c r="W6" s="7">
        <v>1.5</v>
      </c>
      <c r="X6" s="7"/>
      <c r="Y6" s="7">
        <v>1.5</v>
      </c>
    </row>
    <row r="7" spans="2:27" ht="18" customHeight="1" thickBot="1" x14ac:dyDescent="0.3">
      <c r="B7" s="8" t="s">
        <v>56</v>
      </c>
      <c r="C7" s="9" t="s">
        <v>38</v>
      </c>
      <c r="D7" s="10" t="s">
        <v>41</v>
      </c>
      <c r="E7" s="10" t="s">
        <v>39</v>
      </c>
      <c r="F7" s="10" t="s">
        <v>42</v>
      </c>
      <c r="G7" s="10" t="s">
        <v>40</v>
      </c>
      <c r="H7" s="10" t="s">
        <v>37</v>
      </c>
      <c r="I7" s="10" t="s">
        <v>6</v>
      </c>
      <c r="J7" s="10" t="s">
        <v>7</v>
      </c>
      <c r="K7" s="10" t="s">
        <v>8</v>
      </c>
      <c r="L7" s="10" t="s">
        <v>9</v>
      </c>
      <c r="M7" s="10" t="s">
        <v>10</v>
      </c>
      <c r="N7" s="10" t="s">
        <v>58</v>
      </c>
      <c r="O7" s="10" t="s">
        <v>11</v>
      </c>
      <c r="P7" s="10" t="s">
        <v>12</v>
      </c>
      <c r="Q7" s="10" t="s">
        <v>59</v>
      </c>
      <c r="R7" s="10" t="s">
        <v>60</v>
      </c>
      <c r="S7" s="10" t="s">
        <v>61</v>
      </c>
      <c r="T7" s="10" t="s">
        <v>13</v>
      </c>
      <c r="U7" s="11" t="s">
        <v>14</v>
      </c>
      <c r="V7" s="10" t="s">
        <v>65</v>
      </c>
      <c r="W7" s="11" t="s">
        <v>15</v>
      </c>
      <c r="X7" s="10" t="s">
        <v>17</v>
      </c>
      <c r="Y7" s="10" t="s">
        <v>19</v>
      </c>
    </row>
    <row r="8" spans="2:27" ht="18" customHeight="1" x14ac:dyDescent="0.25">
      <c r="B8" s="12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59"/>
      <c r="Y8" s="15"/>
    </row>
    <row r="9" spans="2:27" ht="18" customHeight="1" x14ac:dyDescent="0.25">
      <c r="B9" s="12" t="s">
        <v>23</v>
      </c>
      <c r="C9" s="17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60"/>
      <c r="Y9" s="20"/>
    </row>
    <row r="10" spans="2:27" ht="18" customHeight="1" x14ac:dyDescent="0.25">
      <c r="B10" s="16" t="s">
        <v>24</v>
      </c>
      <c r="C10" s="17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60"/>
      <c r="Y10" s="20"/>
    </row>
    <row r="11" spans="2:27" ht="18" customHeight="1" x14ac:dyDescent="0.25">
      <c r="B11" s="16"/>
      <c r="C11" s="17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60"/>
      <c r="Y11" s="20"/>
    </row>
    <row r="12" spans="2:27" ht="18" customHeight="1" x14ac:dyDescent="0.25">
      <c r="B12" s="16"/>
      <c r="C12" s="17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60"/>
      <c r="Y12" s="20"/>
    </row>
    <row r="13" spans="2:27" ht="18" customHeight="1" x14ac:dyDescent="0.25">
      <c r="B13" s="16"/>
      <c r="C13" s="17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60"/>
      <c r="Y13" s="20"/>
    </row>
    <row r="14" spans="2:27" ht="18" customHeight="1" x14ac:dyDescent="0.25">
      <c r="B14" s="16"/>
      <c r="C14" s="17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60"/>
      <c r="Y14" s="20"/>
    </row>
    <row r="15" spans="2:27" ht="18" customHeight="1" thickBot="1" x14ac:dyDescent="0.3">
      <c r="B15" s="21" t="s">
        <v>25</v>
      </c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61"/>
      <c r="Y15" s="24"/>
    </row>
    <row r="16" spans="2:27" ht="18" customHeight="1" thickBot="1" x14ac:dyDescent="0.3">
      <c r="B16" s="25" t="s">
        <v>26</v>
      </c>
      <c r="C16" s="57"/>
      <c r="D16" s="58"/>
      <c r="E16" s="27"/>
      <c r="F16" s="27"/>
      <c r="G16" s="28"/>
      <c r="H16" s="28"/>
      <c r="I16" s="28"/>
      <c r="J16" s="28"/>
      <c r="K16" s="56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56"/>
      <c r="X16" s="62"/>
      <c r="Y16" s="29"/>
    </row>
    <row r="17" spans="2:25" s="5" customFormat="1" ht="18" customHeight="1" thickBot="1" x14ac:dyDescent="0.3"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2"/>
    </row>
    <row r="18" spans="2:25" s="5" customFormat="1" ht="18" hidden="1" customHeight="1" x14ac:dyDescent="0.25">
      <c r="B18" s="33" t="s">
        <v>1</v>
      </c>
      <c r="C18" s="34">
        <f>[1]DSSR!B24</f>
        <v>544</v>
      </c>
      <c r="D18" s="34">
        <f>[1]DSSR!C24</f>
        <v>1127</v>
      </c>
      <c r="E18" s="34">
        <f>[1]DSSR!D24</f>
        <v>853</v>
      </c>
      <c r="F18" s="34">
        <f>[1]DSSR!E24</f>
        <v>563</v>
      </c>
      <c r="G18" s="34">
        <f>[1]DSSR!F24</f>
        <v>575</v>
      </c>
      <c r="H18" s="34">
        <f>[1]DSSR!G24</f>
        <v>1175</v>
      </c>
      <c r="I18" s="34">
        <f>[1]DSSR!H24</f>
        <v>0</v>
      </c>
      <c r="J18" s="34">
        <f>[1]DSSR!I24</f>
        <v>791</v>
      </c>
      <c r="K18" s="34">
        <f>[1]DSSR!J24</f>
        <v>1102</v>
      </c>
      <c r="L18" s="34">
        <f>[1]DSSR!K24</f>
        <v>520</v>
      </c>
      <c r="M18" s="34">
        <f>[1]DSSR!L24</f>
        <v>1142</v>
      </c>
      <c r="N18" s="34">
        <f>[1]DSSR!M24</f>
        <v>205</v>
      </c>
      <c r="O18" s="34">
        <f>[1]DSSR!N24</f>
        <v>205</v>
      </c>
      <c r="P18" s="34">
        <f>[1]DSSR!O24</f>
        <v>205</v>
      </c>
      <c r="Q18" s="34"/>
      <c r="R18" s="34"/>
      <c r="S18" s="34"/>
      <c r="T18" s="34">
        <f>[1]DSSR!P24</f>
        <v>500</v>
      </c>
      <c r="U18" s="34">
        <f>[1]DSSR!Q24</f>
        <v>650</v>
      </c>
      <c r="V18" s="34">
        <f>[1]DSSR!R24</f>
        <v>650</v>
      </c>
      <c r="W18" s="34">
        <f>[1]DSSR!S24</f>
        <v>500</v>
      </c>
      <c r="X18" s="34"/>
      <c r="Y18" s="35">
        <f>[1]DSSR!T24</f>
        <v>650</v>
      </c>
    </row>
    <row r="19" spans="2:25" s="5" customFormat="1" ht="18" hidden="1" customHeight="1" x14ac:dyDescent="0.25">
      <c r="B19" s="33" t="s">
        <v>2</v>
      </c>
      <c r="C19" s="34">
        <f>[1]DSSR!B25</f>
        <v>111</v>
      </c>
      <c r="D19" s="34">
        <f>[1]DSSR!C25</f>
        <v>0</v>
      </c>
      <c r="E19" s="34">
        <f>[1]DSSR!D25</f>
        <v>120</v>
      </c>
      <c r="F19" s="34">
        <f>[1]DSSR!E25</f>
        <v>111</v>
      </c>
      <c r="G19" s="34">
        <f>[1]DSSR!F25</f>
        <v>111</v>
      </c>
      <c r="H19" s="34">
        <f>[1]DSSR!G25</f>
        <v>0</v>
      </c>
      <c r="I19" s="34">
        <f>[1]DSSR!H25</f>
        <v>111</v>
      </c>
      <c r="J19" s="34">
        <f>[1]DSSR!I25</f>
        <v>120</v>
      </c>
      <c r="K19" s="34">
        <f>[1]DSSR!J25</f>
        <v>0</v>
      </c>
      <c r="L19" s="34">
        <f>[1]DSSR!K25</f>
        <v>111</v>
      </c>
      <c r="M19" s="34">
        <f>[1]DSSR!L25</f>
        <v>0</v>
      </c>
      <c r="N19" s="34">
        <f>[1]DSSR!M25</f>
        <v>78</v>
      </c>
      <c r="O19" s="34">
        <f>[1]DSSR!N25</f>
        <v>78</v>
      </c>
      <c r="P19" s="34">
        <f>[1]DSSR!O25</f>
        <v>78</v>
      </c>
      <c r="Q19" s="34"/>
      <c r="R19" s="34"/>
      <c r="S19" s="34"/>
      <c r="T19" s="34">
        <f>[1]DSSR!P25</f>
        <v>120</v>
      </c>
      <c r="U19" s="34">
        <f>[1]DSSR!Q25</f>
        <v>0</v>
      </c>
      <c r="V19" s="34">
        <f>[1]DSSR!R25</f>
        <v>0</v>
      </c>
      <c r="W19" s="34">
        <f>[1]DSSR!S25</f>
        <v>120</v>
      </c>
      <c r="X19" s="34"/>
      <c r="Y19" s="35">
        <f>[1]DSSR!T25</f>
        <v>0</v>
      </c>
    </row>
    <row r="20" spans="2:25" s="5" customFormat="1" ht="18" hidden="1" customHeight="1" x14ac:dyDescent="0.25">
      <c r="B20" s="33" t="s">
        <v>3</v>
      </c>
      <c r="C20" s="34">
        <v>84</v>
      </c>
      <c r="D20" s="34"/>
      <c r="E20" s="34">
        <v>84</v>
      </c>
      <c r="F20" s="34">
        <v>84</v>
      </c>
      <c r="G20" s="34">
        <v>84</v>
      </c>
      <c r="H20" s="34"/>
      <c r="I20" s="34">
        <v>84</v>
      </c>
      <c r="J20" s="34">
        <v>84</v>
      </c>
      <c r="K20" s="34"/>
      <c r="L20" s="34">
        <v>84</v>
      </c>
      <c r="M20" s="34"/>
      <c r="N20" s="34">
        <v>42</v>
      </c>
      <c r="O20" s="34">
        <v>42</v>
      </c>
      <c r="P20" s="34">
        <v>42</v>
      </c>
      <c r="Q20" s="34"/>
      <c r="R20" s="34"/>
      <c r="S20" s="34"/>
      <c r="T20" s="34">
        <v>84</v>
      </c>
      <c r="U20" s="34"/>
      <c r="V20" s="34"/>
      <c r="W20" s="34">
        <v>84</v>
      </c>
      <c r="X20" s="34"/>
      <c r="Y20" s="35"/>
    </row>
    <row r="21" spans="2:25" s="5" customFormat="1" ht="18" hidden="1" customHeight="1" x14ac:dyDescent="0.25">
      <c r="B21" s="33" t="s">
        <v>4</v>
      </c>
      <c r="C21" s="34">
        <v>4.5</v>
      </c>
      <c r="D21" s="34"/>
      <c r="E21" s="34">
        <v>1.5</v>
      </c>
      <c r="F21" s="36">
        <f>4.5/2</f>
        <v>2.25</v>
      </c>
      <c r="G21" s="34">
        <v>4.5</v>
      </c>
      <c r="H21" s="34"/>
      <c r="I21" s="34">
        <v>4.5</v>
      </c>
      <c r="J21" s="34">
        <v>1.5</v>
      </c>
      <c r="K21" s="34"/>
      <c r="L21" s="34">
        <v>1.5</v>
      </c>
      <c r="M21" s="34"/>
      <c r="N21" s="34">
        <v>1.5</v>
      </c>
      <c r="O21" s="34">
        <v>1.5</v>
      </c>
      <c r="P21" s="34">
        <v>1.5</v>
      </c>
      <c r="Q21" s="34"/>
      <c r="R21" s="34"/>
      <c r="S21" s="34"/>
      <c r="T21" s="34">
        <v>1.5</v>
      </c>
      <c r="U21" s="34"/>
      <c r="V21" s="34"/>
      <c r="W21" s="34">
        <v>1.5</v>
      </c>
      <c r="X21" s="34"/>
      <c r="Y21" s="35"/>
    </row>
    <row r="22" spans="2:25" s="5" customFormat="1" ht="18" hidden="1" customHeight="1" x14ac:dyDescent="0.25">
      <c r="B22" s="33"/>
      <c r="C22" s="34"/>
      <c r="D22" s="34"/>
      <c r="E22" s="34"/>
      <c r="F22" s="36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5"/>
    </row>
    <row r="23" spans="2:25" s="5" customFormat="1" ht="18" customHeight="1" thickBot="1" x14ac:dyDescent="0.3">
      <c r="B23" s="37"/>
      <c r="C23" s="10" t="s">
        <v>16</v>
      </c>
      <c r="D23" s="10" t="s">
        <v>18</v>
      </c>
      <c r="E23" s="10" t="s">
        <v>20</v>
      </c>
      <c r="F23" s="10" t="s">
        <v>21</v>
      </c>
      <c r="G23" s="10" t="s">
        <v>22</v>
      </c>
      <c r="H23" s="10" t="s">
        <v>27</v>
      </c>
      <c r="I23" s="10" t="s">
        <v>28</v>
      </c>
      <c r="J23" s="10" t="s">
        <v>64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57</v>
      </c>
      <c r="P23" s="10" t="s">
        <v>33</v>
      </c>
      <c r="Q23" s="10" t="s">
        <v>62</v>
      </c>
      <c r="R23" s="10" t="s">
        <v>34</v>
      </c>
      <c r="S23" s="11" t="s">
        <v>63</v>
      </c>
      <c r="T23" s="11" t="s">
        <v>35</v>
      </c>
      <c r="U23" s="11" t="s">
        <v>36</v>
      </c>
      <c r="V23" s="11" t="s">
        <v>66</v>
      </c>
      <c r="W23" s="11"/>
      <c r="X23" s="11"/>
      <c r="Y23" s="11"/>
    </row>
    <row r="24" spans="2:25" s="5" customFormat="1" ht="18" customHeight="1" x14ac:dyDescent="0.25">
      <c r="B24" s="12" t="s">
        <v>23</v>
      </c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5"/>
    </row>
    <row r="25" spans="2:25" s="5" customFormat="1" ht="18" customHeight="1" x14ac:dyDescent="0.25">
      <c r="B25" s="16" t="s">
        <v>24</v>
      </c>
      <c r="C25" s="17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60"/>
      <c r="Y25" s="20"/>
    </row>
    <row r="26" spans="2:25" s="5" customFormat="1" ht="18" customHeight="1" x14ac:dyDescent="0.25">
      <c r="B26" s="16"/>
      <c r="C26" s="17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60"/>
      <c r="Y26" s="20"/>
    </row>
    <row r="27" spans="2:25" s="5" customFormat="1" ht="18" customHeight="1" x14ac:dyDescent="0.25">
      <c r="B27" s="16"/>
      <c r="C27" s="17"/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60"/>
      <c r="Y27" s="20"/>
    </row>
    <row r="28" spans="2:25" s="5" customFormat="1" ht="18" customHeight="1" x14ac:dyDescent="0.25">
      <c r="B28" s="16"/>
      <c r="C28" s="17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60"/>
      <c r="Y28" s="20"/>
    </row>
    <row r="29" spans="2:25" s="5" customFormat="1" ht="18" customHeight="1" x14ac:dyDescent="0.25">
      <c r="B29" s="16"/>
      <c r="C29" s="17"/>
      <c r="D29" s="1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60"/>
      <c r="Y29" s="20"/>
    </row>
    <row r="30" spans="2:25" s="5" customFormat="1" ht="18" customHeight="1" x14ac:dyDescent="0.25">
      <c r="B30" s="16"/>
      <c r="C30" s="17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60"/>
      <c r="Y30" s="20"/>
    </row>
    <row r="31" spans="2:25" s="5" customFormat="1" ht="18" customHeight="1" thickBot="1" x14ac:dyDescent="0.3">
      <c r="B31" s="21" t="s">
        <v>25</v>
      </c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61"/>
      <c r="Y31" s="24"/>
    </row>
    <row r="32" spans="2:25" s="5" customFormat="1" ht="18" customHeight="1" thickBot="1" x14ac:dyDescent="0.3">
      <c r="B32" s="38" t="s">
        <v>26</v>
      </c>
      <c r="C32" s="26"/>
      <c r="D32" s="27"/>
      <c r="E32" s="27"/>
      <c r="F32" s="27"/>
      <c r="G32" s="28"/>
      <c r="H32" s="28"/>
      <c r="I32" s="28"/>
      <c r="J32" s="28"/>
      <c r="K32" s="28"/>
      <c r="L32" s="28"/>
      <c r="M32" s="28"/>
      <c r="N32" s="28"/>
      <c r="O32" s="23"/>
      <c r="P32" s="28"/>
      <c r="Q32" s="28"/>
      <c r="R32" s="28"/>
      <c r="S32" s="28"/>
      <c r="T32" s="28"/>
      <c r="U32" s="28"/>
      <c r="V32" s="28"/>
      <c r="W32" s="28"/>
      <c r="X32" s="63"/>
      <c r="Y32" s="29"/>
    </row>
    <row r="33" spans="2:25" s="5" customFormat="1" ht="18" customHeight="1" thickBot="1" x14ac:dyDescent="0.3"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68"/>
      <c r="S33" s="68"/>
      <c r="T33" s="68"/>
      <c r="U33" s="68"/>
      <c r="V33" s="31"/>
      <c r="W33" s="31"/>
      <c r="X33" s="31"/>
      <c r="Y33" s="31"/>
    </row>
    <row r="34" spans="2:25" ht="18" customHeight="1" thickBot="1" x14ac:dyDescent="0.3">
      <c r="B34" s="94" t="s">
        <v>43</v>
      </c>
      <c r="C34" s="96" t="s">
        <v>21</v>
      </c>
      <c r="D34" s="96"/>
      <c r="E34" s="97"/>
      <c r="F34" s="98" t="s">
        <v>44</v>
      </c>
      <c r="G34" s="96"/>
      <c r="H34" s="97"/>
      <c r="I34" s="98" t="s">
        <v>45</v>
      </c>
      <c r="J34" s="96"/>
      <c r="K34" s="97"/>
      <c r="L34" s="98" t="s">
        <v>46</v>
      </c>
      <c r="M34" s="96"/>
      <c r="N34" s="97"/>
      <c r="O34" s="99" t="s">
        <v>47</v>
      </c>
      <c r="P34" s="99"/>
      <c r="Q34" s="99"/>
      <c r="R34" s="89" t="s">
        <v>48</v>
      </c>
      <c r="S34" s="90"/>
      <c r="T34" s="90"/>
      <c r="U34" s="91"/>
      <c r="V34" s="66"/>
      <c r="W34" s="3"/>
      <c r="X34" s="3"/>
      <c r="Y34" s="3"/>
    </row>
    <row r="35" spans="2:25" ht="18" customHeight="1" thickBot="1" x14ac:dyDescent="0.3">
      <c r="B35" s="95"/>
      <c r="C35" s="50" t="s">
        <v>49</v>
      </c>
      <c r="D35" s="47" t="s">
        <v>50</v>
      </c>
      <c r="E35" s="47" t="s">
        <v>51</v>
      </c>
      <c r="F35" s="55" t="s">
        <v>49</v>
      </c>
      <c r="G35" s="55" t="s">
        <v>50</v>
      </c>
      <c r="H35" s="55" t="s">
        <v>51</v>
      </c>
      <c r="I35" s="55" t="s">
        <v>49</v>
      </c>
      <c r="J35" s="55" t="s">
        <v>50</v>
      </c>
      <c r="K35" s="55" t="s">
        <v>51</v>
      </c>
      <c r="L35" s="55" t="s">
        <v>49</v>
      </c>
      <c r="M35" s="55" t="s">
        <v>50</v>
      </c>
      <c r="N35" s="55" t="s">
        <v>51</v>
      </c>
      <c r="O35" s="55" t="s">
        <v>49</v>
      </c>
      <c r="P35" s="55" t="s">
        <v>50</v>
      </c>
      <c r="Q35" s="67" t="s">
        <v>51</v>
      </c>
      <c r="R35" s="69"/>
      <c r="S35" s="70"/>
      <c r="T35" s="70"/>
      <c r="U35" s="71"/>
      <c r="V35" s="87"/>
      <c r="W35" s="87"/>
      <c r="X35" s="87"/>
      <c r="Y35" s="87"/>
    </row>
    <row r="36" spans="2:25" ht="18" customHeight="1" thickBot="1" x14ac:dyDescent="0.3">
      <c r="B36" s="52" t="s">
        <v>52</v>
      </c>
      <c r="C36" s="46"/>
      <c r="D36" s="41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3"/>
      <c r="R36" s="72"/>
      <c r="S36" s="44"/>
      <c r="T36" s="44"/>
      <c r="U36" s="87"/>
      <c r="V36" s="87"/>
      <c r="W36" s="87"/>
      <c r="X36" s="87"/>
      <c r="Y36" s="87"/>
    </row>
    <row r="37" spans="2:25" s="5" customFormat="1" ht="18" customHeight="1" x14ac:dyDescent="0.25">
      <c r="B37" s="53"/>
      <c r="C37" s="49"/>
      <c r="D37" s="18"/>
      <c r="E37" s="1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64"/>
      <c r="R37" s="72"/>
      <c r="S37" s="44"/>
      <c r="T37" s="44"/>
      <c r="U37" s="87"/>
      <c r="V37" s="87"/>
      <c r="W37" s="87"/>
      <c r="X37" s="87"/>
      <c r="Y37" s="87"/>
    </row>
    <row r="38" spans="2:25" s="5" customFormat="1" ht="18" customHeight="1" x14ac:dyDescent="0.25">
      <c r="B38" s="53"/>
      <c r="C38" s="49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20"/>
      <c r="R38" s="72"/>
      <c r="S38" s="44"/>
      <c r="T38" s="44"/>
      <c r="U38" s="87"/>
      <c r="V38" s="87"/>
      <c r="W38" s="87"/>
      <c r="X38" s="87"/>
      <c r="Y38" s="87"/>
    </row>
    <row r="39" spans="2:25" s="5" customFormat="1" ht="18" customHeight="1" x14ac:dyDescent="0.25">
      <c r="B39" s="53"/>
      <c r="C39" s="49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20"/>
      <c r="R39" s="72"/>
      <c r="S39" s="44"/>
      <c r="T39" s="44"/>
      <c r="U39" s="87"/>
      <c r="V39" s="87"/>
      <c r="W39" s="87"/>
      <c r="X39" s="87"/>
      <c r="Y39" s="87"/>
    </row>
    <row r="40" spans="2:25" s="5" customFormat="1" ht="18" customHeight="1" x14ac:dyDescent="0.25">
      <c r="B40" s="53"/>
      <c r="C40" s="49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20"/>
      <c r="R40" s="72"/>
      <c r="S40" s="44"/>
      <c r="T40" s="44"/>
      <c r="U40" s="87"/>
      <c r="V40" s="87"/>
      <c r="W40" s="87"/>
      <c r="X40" s="87"/>
      <c r="Y40" s="87"/>
    </row>
    <row r="41" spans="2:25" s="5" customFormat="1" ht="18" customHeight="1" thickBot="1" x14ac:dyDescent="0.3">
      <c r="B41" s="54"/>
      <c r="C41" s="51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65"/>
      <c r="R41" s="73"/>
      <c r="S41" s="74"/>
      <c r="T41" s="74"/>
      <c r="U41" s="75"/>
      <c r="V41" s="87"/>
      <c r="W41" s="87"/>
      <c r="X41" s="87"/>
      <c r="Y41" s="87"/>
    </row>
    <row r="42" spans="2:25" s="5" customFormat="1" ht="18" customHeight="1" thickBot="1" x14ac:dyDescent="0.3">
      <c r="B42" s="45" t="s">
        <v>53</v>
      </c>
      <c r="C42" s="46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3"/>
      <c r="R42" s="92" t="s">
        <v>54</v>
      </c>
      <c r="S42" s="93"/>
      <c r="T42" s="93"/>
      <c r="U42" s="93"/>
      <c r="V42" s="3"/>
      <c r="W42" s="3"/>
      <c r="X42" s="3"/>
      <c r="Y42" s="3"/>
    </row>
    <row r="43" spans="2:25" ht="18" customHeight="1" x14ac:dyDescent="0.25">
      <c r="B43" s="3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87"/>
      <c r="V43" s="87"/>
      <c r="W43" s="87"/>
      <c r="X43" s="87"/>
      <c r="Y43" s="87"/>
    </row>
    <row r="44" spans="2:25" x14ac:dyDescent="0.25">
      <c r="B44" s="76" t="s">
        <v>68</v>
      </c>
      <c r="C44" s="100"/>
      <c r="D44" s="100"/>
      <c r="E44" s="100"/>
    </row>
    <row r="45" spans="2:25" x14ac:dyDescent="0.25">
      <c r="B45" s="76" t="s">
        <v>69</v>
      </c>
      <c r="C45" s="100"/>
      <c r="D45" s="100"/>
      <c r="E45" s="100"/>
    </row>
  </sheetData>
  <mergeCells count="10">
    <mergeCell ref="R34:U34"/>
    <mergeCell ref="R42:U42"/>
    <mergeCell ref="C44:E44"/>
    <mergeCell ref="C45:E45"/>
    <mergeCell ref="B34:B35"/>
    <mergeCell ref="C34:E34"/>
    <mergeCell ref="F34:H34"/>
    <mergeCell ref="I34:K34"/>
    <mergeCell ref="L34:N34"/>
    <mergeCell ref="O34:Q34"/>
  </mergeCells>
  <printOptions horizontalCentered="1"/>
  <pageMargins left="0.19685039370078741" right="0.19685039370078741" top="0.19685039370078741" bottom="0.19685039370078741" header="0" footer="0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79</vt:i4>
      </vt:variant>
      <vt:variant>
        <vt:lpstr>Named Ranges</vt:lpstr>
      </vt:variant>
      <vt:variant>
        <vt:i4>78</vt:i4>
      </vt:variant>
    </vt:vector>
  </HeadingPairs>
  <TitlesOfParts>
    <vt:vector size="157" baseType="lpstr">
      <vt:lpstr>CSR | MAY</vt:lpstr>
      <vt:lpstr>(01)</vt:lpstr>
      <vt:lpstr>05-01 R1</vt:lpstr>
      <vt:lpstr>05-01 R2</vt:lpstr>
      <vt:lpstr>05-01 R3</vt:lpstr>
      <vt:lpstr>(2)</vt:lpstr>
      <vt:lpstr>05-02 R3</vt:lpstr>
      <vt:lpstr>(4)</vt:lpstr>
      <vt:lpstr>05-04 R1</vt:lpstr>
      <vt:lpstr>05-04 R2</vt:lpstr>
      <vt:lpstr>05-04 R3</vt:lpstr>
      <vt:lpstr>(5)</vt:lpstr>
      <vt:lpstr>05-05 R1</vt:lpstr>
      <vt:lpstr>05-05 R2</vt:lpstr>
      <vt:lpstr>05-05 R3</vt:lpstr>
      <vt:lpstr>(6)</vt:lpstr>
      <vt:lpstr>05-06 R1</vt:lpstr>
      <vt:lpstr>05-06 R2</vt:lpstr>
      <vt:lpstr>05-06 R3</vt:lpstr>
      <vt:lpstr>(7)</vt:lpstr>
      <vt:lpstr>05-07 R1</vt:lpstr>
      <vt:lpstr>05-07 R2</vt:lpstr>
      <vt:lpstr>05-07 R3</vt:lpstr>
      <vt:lpstr>(8)</vt:lpstr>
      <vt:lpstr>05-08 R1 NO TRIP</vt:lpstr>
      <vt:lpstr>05-08 R2</vt:lpstr>
      <vt:lpstr>05-08 R3</vt:lpstr>
      <vt:lpstr>(11)</vt:lpstr>
      <vt:lpstr>05-11 R1</vt:lpstr>
      <vt:lpstr>05-11 R2</vt:lpstr>
      <vt:lpstr>05-11 R3</vt:lpstr>
      <vt:lpstr>(12)</vt:lpstr>
      <vt:lpstr>05-12 R1</vt:lpstr>
      <vt:lpstr>05-12 R2</vt:lpstr>
      <vt:lpstr>05-12 R3</vt:lpstr>
      <vt:lpstr>(13)</vt:lpstr>
      <vt:lpstr>05-13 R1</vt:lpstr>
      <vt:lpstr>05-13 R2</vt:lpstr>
      <vt:lpstr>05-13 R3 NO TRIP</vt:lpstr>
      <vt:lpstr>(14)</vt:lpstr>
      <vt:lpstr>05-14 R1</vt:lpstr>
      <vt:lpstr>05-14 R2 NO TRIP</vt:lpstr>
      <vt:lpstr>05-14 R3</vt:lpstr>
      <vt:lpstr>(15)</vt:lpstr>
      <vt:lpstr>05-15 R1</vt:lpstr>
      <vt:lpstr>05-15 R2</vt:lpstr>
      <vt:lpstr>05-15 R3</vt:lpstr>
      <vt:lpstr>(16)</vt:lpstr>
      <vt:lpstr>05-16 R1 NO TRIP</vt:lpstr>
      <vt:lpstr>05-16 R2</vt:lpstr>
      <vt:lpstr>05-16 R3 NO TRIP</vt:lpstr>
      <vt:lpstr>(17)</vt:lpstr>
      <vt:lpstr>05-17 R1 </vt:lpstr>
      <vt:lpstr>05-17 R2 </vt:lpstr>
      <vt:lpstr>05-17 R3</vt:lpstr>
      <vt:lpstr>(18)</vt:lpstr>
      <vt:lpstr>05-18 R1 NO TRIP</vt:lpstr>
      <vt:lpstr>05-18 R2 </vt:lpstr>
      <vt:lpstr>05-18 R3</vt:lpstr>
      <vt:lpstr>(19)</vt:lpstr>
      <vt:lpstr>05-19 R1</vt:lpstr>
      <vt:lpstr>05-19 R2</vt:lpstr>
      <vt:lpstr>05-19 R3</vt:lpstr>
      <vt:lpstr>(20)</vt:lpstr>
      <vt:lpstr>05-20 R1</vt:lpstr>
      <vt:lpstr>05-20 R2</vt:lpstr>
      <vt:lpstr>05-20 R3</vt:lpstr>
      <vt:lpstr>(21)</vt:lpstr>
      <vt:lpstr>05-21 R1</vt:lpstr>
      <vt:lpstr>05-21 R2</vt:lpstr>
      <vt:lpstr>05-21 R3</vt:lpstr>
      <vt:lpstr>(22)</vt:lpstr>
      <vt:lpstr>05-22 R1</vt:lpstr>
      <vt:lpstr>05-22 R2</vt:lpstr>
      <vt:lpstr>05-22 R3</vt:lpstr>
      <vt:lpstr>(23)</vt:lpstr>
      <vt:lpstr>05-23 R1</vt:lpstr>
      <vt:lpstr>05-23 R2</vt:lpstr>
      <vt:lpstr>05-23 R3</vt:lpstr>
      <vt:lpstr>'(01)'!Print_Area</vt:lpstr>
      <vt:lpstr>'(11)'!Print_Area</vt:lpstr>
      <vt:lpstr>'(12)'!Print_Area</vt:lpstr>
      <vt:lpstr>'(13)'!Print_Area</vt:lpstr>
      <vt:lpstr>'(14)'!Print_Area</vt:lpstr>
      <vt:lpstr>'(15)'!Print_Area</vt:lpstr>
      <vt:lpstr>'(16)'!Print_Area</vt:lpstr>
      <vt:lpstr>'(17)'!Print_Area</vt:lpstr>
      <vt:lpstr>'(18)'!Print_Area</vt:lpstr>
      <vt:lpstr>'(19)'!Print_Area</vt:lpstr>
      <vt:lpstr>'(2)'!Print_Area</vt:lpstr>
      <vt:lpstr>'(20)'!Print_Area</vt:lpstr>
      <vt:lpstr>'(21)'!Print_Area</vt:lpstr>
      <vt:lpstr>'(22)'!Print_Area</vt:lpstr>
      <vt:lpstr>'(23)'!Print_Area</vt:lpstr>
      <vt:lpstr>'(4)'!Print_Area</vt:lpstr>
      <vt:lpstr>'(5)'!Print_Area</vt:lpstr>
      <vt:lpstr>'(6)'!Print_Area</vt:lpstr>
      <vt:lpstr>'(7)'!Print_Area</vt:lpstr>
      <vt:lpstr>'(8)'!Print_Area</vt:lpstr>
      <vt:lpstr>'05-01 R1'!Print_Area</vt:lpstr>
      <vt:lpstr>'05-01 R2'!Print_Area</vt:lpstr>
      <vt:lpstr>'05-01 R3'!Print_Area</vt:lpstr>
      <vt:lpstr>'05-02 R3'!Print_Area</vt:lpstr>
      <vt:lpstr>'05-04 R1'!Print_Area</vt:lpstr>
      <vt:lpstr>'05-04 R2'!Print_Area</vt:lpstr>
      <vt:lpstr>'05-04 R3'!Print_Area</vt:lpstr>
      <vt:lpstr>'05-05 R1'!Print_Area</vt:lpstr>
      <vt:lpstr>'05-05 R2'!Print_Area</vt:lpstr>
      <vt:lpstr>'05-05 R3'!Print_Area</vt:lpstr>
      <vt:lpstr>'05-06 R1'!Print_Area</vt:lpstr>
      <vt:lpstr>'05-06 R2'!Print_Area</vt:lpstr>
      <vt:lpstr>'05-06 R3'!Print_Area</vt:lpstr>
      <vt:lpstr>'05-07 R1'!Print_Area</vt:lpstr>
      <vt:lpstr>'05-07 R2'!Print_Area</vt:lpstr>
      <vt:lpstr>'05-07 R3'!Print_Area</vt:lpstr>
      <vt:lpstr>'05-08 R1 NO TRIP'!Print_Area</vt:lpstr>
      <vt:lpstr>'05-08 R2'!Print_Area</vt:lpstr>
      <vt:lpstr>'05-08 R3'!Print_Area</vt:lpstr>
      <vt:lpstr>'05-11 R1'!Print_Area</vt:lpstr>
      <vt:lpstr>'05-11 R2'!Print_Area</vt:lpstr>
      <vt:lpstr>'05-11 R3'!Print_Area</vt:lpstr>
      <vt:lpstr>'05-12 R1'!Print_Area</vt:lpstr>
      <vt:lpstr>'05-12 R2'!Print_Area</vt:lpstr>
      <vt:lpstr>'05-12 R3'!Print_Area</vt:lpstr>
      <vt:lpstr>'05-13 R1'!Print_Area</vt:lpstr>
      <vt:lpstr>'05-13 R2'!Print_Area</vt:lpstr>
      <vt:lpstr>'05-13 R3 NO TRIP'!Print_Area</vt:lpstr>
      <vt:lpstr>'05-14 R1'!Print_Area</vt:lpstr>
      <vt:lpstr>'05-14 R2 NO TRIP'!Print_Area</vt:lpstr>
      <vt:lpstr>'05-14 R3'!Print_Area</vt:lpstr>
      <vt:lpstr>'05-15 R1'!Print_Area</vt:lpstr>
      <vt:lpstr>'05-15 R2'!Print_Area</vt:lpstr>
      <vt:lpstr>'05-15 R3'!Print_Area</vt:lpstr>
      <vt:lpstr>'05-16 R1 NO TRIP'!Print_Area</vt:lpstr>
      <vt:lpstr>'05-16 R2'!Print_Area</vt:lpstr>
      <vt:lpstr>'05-16 R3 NO TRIP'!Print_Area</vt:lpstr>
      <vt:lpstr>'05-17 R1 '!Print_Area</vt:lpstr>
      <vt:lpstr>'05-17 R2 '!Print_Area</vt:lpstr>
      <vt:lpstr>'05-17 R3'!Print_Area</vt:lpstr>
      <vt:lpstr>'05-18 R1 NO TRIP'!Print_Area</vt:lpstr>
      <vt:lpstr>'05-18 R2 '!Print_Area</vt:lpstr>
      <vt:lpstr>'05-18 R3'!Print_Area</vt:lpstr>
      <vt:lpstr>'05-19 R1'!Print_Area</vt:lpstr>
      <vt:lpstr>'05-19 R2'!Print_Area</vt:lpstr>
      <vt:lpstr>'05-19 R3'!Print_Area</vt:lpstr>
      <vt:lpstr>'05-20 R1'!Print_Area</vt:lpstr>
      <vt:lpstr>'05-20 R2'!Print_Area</vt:lpstr>
      <vt:lpstr>'05-20 R3'!Print_Area</vt:lpstr>
      <vt:lpstr>'05-21 R1'!Print_Area</vt:lpstr>
      <vt:lpstr>'05-21 R2'!Print_Area</vt:lpstr>
      <vt:lpstr>'05-21 R3'!Print_Area</vt:lpstr>
      <vt:lpstr>'05-22 R1'!Print_Area</vt:lpstr>
      <vt:lpstr>'05-22 R2'!Print_Area</vt:lpstr>
      <vt:lpstr>'05-22 R3'!Print_Area</vt:lpstr>
      <vt:lpstr>'05-23 R1'!Print_Area</vt:lpstr>
      <vt:lpstr>'05-23 R2'!Print_Area</vt:lpstr>
      <vt:lpstr>'05-23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2026-05-06T00:41:18Z</cp:lastPrinted>
  <dcterms:created xsi:type="dcterms:W3CDTF">2024-09-01T22:48:10Z</dcterms:created>
  <dcterms:modified xsi:type="dcterms:W3CDTF">2026-05-20T00:44:18Z</dcterms:modified>
</cp:coreProperties>
</file>