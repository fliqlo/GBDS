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/>
  <mc:AlternateContent xmlns:mc="http://schemas.openxmlformats.org/markup-compatibility/2006">
    <mc:Choice Requires="x15">
      <x15ac:absPath xmlns:x15ac="http://schemas.microsoft.com/office/spreadsheetml/2010/11/ac" url="C:\Users\User\Desktop\GBDS MAY FILES 2026\"/>
    </mc:Choice>
  </mc:AlternateContent>
  <xr:revisionPtr revIDLastSave="0" documentId="13_ncr:1_{A1DFDA50-53E4-4411-A2C3-60F30C4B2BE5}" xr6:coauthVersionLast="45" xr6:coauthVersionMax="47" xr10:uidLastSave="{00000000-0000-0000-0000-000000000000}"/>
  <bookViews>
    <workbookView xWindow="-120" yWindow="-120" windowWidth="29040" windowHeight="15840" firstSheet="15" activeTab="25" xr2:uid="{00000000-000D-0000-FFFF-FFFF00000000}"/>
  </bookViews>
  <sheets>
    <sheet name="EXAMPLE" sheetId="89" r:id="rId1"/>
    <sheet name="05,01" sheetId="117" r:id="rId2"/>
    <sheet name="05,02" sheetId="118" r:id="rId3"/>
    <sheet name="05,04" sheetId="124" r:id="rId4"/>
    <sheet name="05,05" sheetId="119" r:id="rId5"/>
    <sheet name="05,06" sheetId="120" r:id="rId6"/>
    <sheet name="05,07" sheetId="121" r:id="rId7"/>
    <sheet name="05,08" sheetId="122" r:id="rId8"/>
    <sheet name="05,11" sheetId="123" r:id="rId9"/>
    <sheet name="05,12" sheetId="125" r:id="rId10"/>
    <sheet name="05,13" sheetId="126" r:id="rId11"/>
    <sheet name="05,14" sheetId="127" r:id="rId12"/>
    <sheet name="05,15" sheetId="128" r:id="rId13"/>
    <sheet name="05,18" sheetId="131" r:id="rId14"/>
    <sheet name="05,19" sheetId="139" r:id="rId15"/>
    <sheet name="05,20" sheetId="130" r:id="rId16"/>
    <sheet name="05,21" sheetId="129" r:id="rId17"/>
    <sheet name="05,22" sheetId="132" r:id="rId18"/>
    <sheet name="05,23" sheetId="133" r:id="rId19"/>
    <sheet name="05,24" sheetId="134" r:id="rId20"/>
    <sheet name="05,25" sheetId="135" r:id="rId21"/>
    <sheet name="05,26" sheetId="136" r:id="rId22"/>
    <sheet name="05,27" sheetId="137" r:id="rId23"/>
    <sheet name="05,28" sheetId="138" r:id="rId24"/>
    <sheet name="05,29" sheetId="140" r:id="rId25"/>
    <sheet name="05,30 " sheetId="141" r:id="rId26"/>
  </sheets>
  <definedNames>
    <definedName name="_xlnm.Print_Area" localSheetId="1">'05,01'!$A$1:$Y$61</definedName>
    <definedName name="_xlnm.Print_Area" localSheetId="2">'05,02'!$A$1:$Y$61</definedName>
    <definedName name="_xlnm.Print_Area" localSheetId="3">'05,04'!$A$1:$Y$61</definedName>
    <definedName name="_xlnm.Print_Area" localSheetId="4">'05,05'!$A$1:$Y$61</definedName>
    <definedName name="_xlnm.Print_Area" localSheetId="5">'05,06'!$A$1:$Y$61</definedName>
    <definedName name="_xlnm.Print_Area" localSheetId="6">'05,07'!$A$1:$Y$61</definedName>
    <definedName name="_xlnm.Print_Area" localSheetId="7">'05,08'!$A$1:$Y$61</definedName>
    <definedName name="_xlnm.Print_Area" localSheetId="8">'05,11'!$A$1:$Y$61</definedName>
    <definedName name="_xlnm.Print_Area" localSheetId="9">'05,12'!$A$1:$Y$61</definedName>
    <definedName name="_xlnm.Print_Area" localSheetId="10">'05,13'!$A$1:$Y$61</definedName>
    <definedName name="_xlnm.Print_Area" localSheetId="11">'05,14'!$A$1:$Y$61</definedName>
    <definedName name="_xlnm.Print_Area" localSheetId="12">'05,15'!$A$1:$Y$61</definedName>
    <definedName name="_xlnm.Print_Area" localSheetId="13">'05,18'!$A$1:$Y$61</definedName>
    <definedName name="_xlnm.Print_Area" localSheetId="14">'05,19'!$A$1:$Y$61</definedName>
    <definedName name="_xlnm.Print_Area" localSheetId="15">'05,20'!$A$1:$Y$61</definedName>
    <definedName name="_xlnm.Print_Area" localSheetId="16">'05,21'!$A$1:$Y$61</definedName>
    <definedName name="_xlnm.Print_Area" localSheetId="17">'05,22'!$A$1:$Y$61</definedName>
    <definedName name="_xlnm.Print_Area" localSheetId="18">'05,23'!$A$1:$Y$61</definedName>
    <definedName name="_xlnm.Print_Area" localSheetId="19">'05,24'!$A$1:$Y$61</definedName>
    <definedName name="_xlnm.Print_Area" localSheetId="20">'05,25'!$A$1:$Y$61</definedName>
    <definedName name="_xlnm.Print_Area" localSheetId="21">'05,26'!$A$1:$Y$61</definedName>
    <definedName name="_xlnm.Print_Area" localSheetId="22">'05,27'!$A$1:$Y$61</definedName>
    <definedName name="_xlnm.Print_Area" localSheetId="23">'05,28'!$A$1:$Y$61</definedName>
    <definedName name="_xlnm.Print_Area" localSheetId="24">'05,29'!$A$1:$Y$61</definedName>
    <definedName name="_xlnm.Print_Area" localSheetId="25">'05,30 '!$A$1:$Y$61</definedName>
    <definedName name="_xlnm.Print_Area" localSheetId="0">EXAMPLE!$A$1:$Y$91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60" i="141" l="1"/>
  <c r="Q60" i="141"/>
  <c r="P60" i="141"/>
  <c r="O60" i="141"/>
  <c r="N60" i="141"/>
  <c r="M60" i="141"/>
  <c r="L60" i="141"/>
  <c r="H60" i="141"/>
  <c r="G60" i="141"/>
  <c r="E60" i="141"/>
  <c r="D60" i="141"/>
  <c r="C60" i="141"/>
  <c r="S59" i="141"/>
  <c r="R59" i="141"/>
  <c r="J59" i="141"/>
  <c r="I59" i="141"/>
  <c r="S58" i="141"/>
  <c r="R58" i="141"/>
  <c r="J58" i="141"/>
  <c r="I58" i="141"/>
  <c r="S57" i="141"/>
  <c r="R57" i="141"/>
  <c r="J57" i="141"/>
  <c r="I57" i="141"/>
  <c r="S56" i="141"/>
  <c r="R56" i="141"/>
  <c r="J56" i="141"/>
  <c r="I56" i="141"/>
  <c r="S55" i="141"/>
  <c r="R55" i="141"/>
  <c r="J55" i="141"/>
  <c r="I55" i="141"/>
  <c r="W54" i="141"/>
  <c r="U54" i="141"/>
  <c r="V54" i="141" s="1"/>
  <c r="S54" i="141"/>
  <c r="R54" i="141"/>
  <c r="J54" i="141"/>
  <c r="U53" i="141"/>
  <c r="V53" i="141" s="1"/>
  <c r="S53" i="141"/>
  <c r="R53" i="141"/>
  <c r="J53" i="141"/>
  <c r="U52" i="141"/>
  <c r="V52" i="141" s="1"/>
  <c r="S52" i="141"/>
  <c r="R52" i="141"/>
  <c r="J52" i="141"/>
  <c r="W52" i="141"/>
  <c r="U51" i="141"/>
  <c r="V51" i="141" s="1"/>
  <c r="S51" i="141"/>
  <c r="R51" i="141"/>
  <c r="J51" i="141"/>
  <c r="W51" i="141" s="1"/>
  <c r="U50" i="141"/>
  <c r="V50" i="141" s="1"/>
  <c r="S50" i="141"/>
  <c r="R50" i="141"/>
  <c r="J50" i="141"/>
  <c r="W50" i="141"/>
  <c r="U49" i="141"/>
  <c r="V49" i="141" s="1"/>
  <c r="S49" i="141"/>
  <c r="R49" i="141"/>
  <c r="J49" i="141"/>
  <c r="W49" i="141"/>
  <c r="U48" i="141"/>
  <c r="V48" i="141" s="1"/>
  <c r="S48" i="141"/>
  <c r="R48" i="141"/>
  <c r="J48" i="141"/>
  <c r="W48" i="141" s="1"/>
  <c r="U47" i="141"/>
  <c r="V47" i="141" s="1"/>
  <c r="S47" i="141"/>
  <c r="R47" i="141"/>
  <c r="J47" i="141"/>
  <c r="W47" i="141" s="1"/>
  <c r="U46" i="141"/>
  <c r="V46" i="141" s="1"/>
  <c r="S46" i="141"/>
  <c r="R46" i="141"/>
  <c r="J46" i="141"/>
  <c r="W46" i="141" s="1"/>
  <c r="S45" i="141"/>
  <c r="R45" i="141"/>
  <c r="J45" i="141"/>
  <c r="U44" i="141"/>
  <c r="V44" i="141" s="1"/>
  <c r="S44" i="141"/>
  <c r="R44" i="141"/>
  <c r="J44" i="141"/>
  <c r="W44" i="141" s="1"/>
  <c r="S43" i="141"/>
  <c r="R43" i="141"/>
  <c r="J43" i="141"/>
  <c r="U42" i="141"/>
  <c r="V42" i="141" s="1"/>
  <c r="S42" i="141"/>
  <c r="R42" i="141"/>
  <c r="J42" i="141"/>
  <c r="W42" i="141"/>
  <c r="U41" i="141"/>
  <c r="V41" i="141" s="1"/>
  <c r="S41" i="141"/>
  <c r="R41" i="141"/>
  <c r="J41" i="141"/>
  <c r="W41" i="141" s="1"/>
  <c r="U40" i="141"/>
  <c r="V40" i="141" s="1"/>
  <c r="S40" i="141"/>
  <c r="R40" i="141"/>
  <c r="J40" i="141"/>
  <c r="W40" i="141"/>
  <c r="W39" i="141"/>
  <c r="U39" i="141"/>
  <c r="V39" i="141" s="1"/>
  <c r="S39" i="141"/>
  <c r="R39" i="141"/>
  <c r="J39" i="141"/>
  <c r="U38" i="141"/>
  <c r="V38" i="141" s="1"/>
  <c r="S38" i="141"/>
  <c r="R38" i="141"/>
  <c r="J38" i="141"/>
  <c r="W38" i="141" s="1"/>
  <c r="U37" i="141"/>
  <c r="V37" i="141" s="1"/>
  <c r="S37" i="141"/>
  <c r="R37" i="141"/>
  <c r="J37" i="141"/>
  <c r="W37" i="141"/>
  <c r="U36" i="141"/>
  <c r="V36" i="141" s="1"/>
  <c r="S36" i="141"/>
  <c r="R36" i="141"/>
  <c r="J36" i="141"/>
  <c r="W36" i="141"/>
  <c r="U35" i="141"/>
  <c r="V35" i="141" s="1"/>
  <c r="S35" i="141"/>
  <c r="R35" i="141"/>
  <c r="J35" i="141"/>
  <c r="W35" i="141" s="1"/>
  <c r="U34" i="141"/>
  <c r="V34" i="141" s="1"/>
  <c r="S34" i="141"/>
  <c r="R34" i="141"/>
  <c r="J34" i="141"/>
  <c r="W34" i="141" s="1"/>
  <c r="W33" i="141"/>
  <c r="U33" i="141"/>
  <c r="V33" i="141" s="1"/>
  <c r="S33" i="141"/>
  <c r="R33" i="141"/>
  <c r="J33" i="141"/>
  <c r="U32" i="141"/>
  <c r="V32" i="141" s="1"/>
  <c r="S32" i="141"/>
  <c r="R32" i="141"/>
  <c r="J32" i="141"/>
  <c r="W32" i="141"/>
  <c r="U31" i="141"/>
  <c r="V31" i="141" s="1"/>
  <c r="S31" i="141"/>
  <c r="R31" i="141"/>
  <c r="J31" i="141"/>
  <c r="W31" i="141"/>
  <c r="U30" i="141"/>
  <c r="V30" i="141" s="1"/>
  <c r="S30" i="141"/>
  <c r="R30" i="141"/>
  <c r="J30" i="141"/>
  <c r="W30" i="141" s="1"/>
  <c r="U29" i="141"/>
  <c r="V29" i="141" s="1"/>
  <c r="S29" i="141"/>
  <c r="R29" i="141"/>
  <c r="J29" i="141"/>
  <c r="W29" i="141"/>
  <c r="U28" i="141"/>
  <c r="V28" i="141" s="1"/>
  <c r="S28" i="141"/>
  <c r="R28" i="141"/>
  <c r="J28" i="141"/>
  <c r="W28" i="141"/>
  <c r="U27" i="141"/>
  <c r="V27" i="141" s="1"/>
  <c r="S27" i="141"/>
  <c r="R27" i="141"/>
  <c r="J27" i="141"/>
  <c r="W27" i="141" s="1"/>
  <c r="BE26" i="141"/>
  <c r="U26" i="141"/>
  <c r="V26" i="141" s="1"/>
  <c r="S26" i="141"/>
  <c r="R26" i="141"/>
  <c r="J26" i="141"/>
  <c r="W26" i="141" s="1"/>
  <c r="U25" i="141"/>
  <c r="V25" i="141" s="1"/>
  <c r="S25" i="141"/>
  <c r="R25" i="141"/>
  <c r="J25" i="141"/>
  <c r="W25" i="141" s="1"/>
  <c r="U24" i="141"/>
  <c r="V24" i="141" s="1"/>
  <c r="S24" i="141"/>
  <c r="R24" i="141"/>
  <c r="J24" i="141"/>
  <c r="W24" i="141" s="1"/>
  <c r="U23" i="141"/>
  <c r="V23" i="141" s="1"/>
  <c r="S23" i="141"/>
  <c r="R23" i="141"/>
  <c r="J23" i="141"/>
  <c r="W23" i="141"/>
  <c r="U22" i="141"/>
  <c r="V22" i="141" s="1"/>
  <c r="S22" i="141"/>
  <c r="R22" i="141"/>
  <c r="J22" i="141"/>
  <c r="W22" i="141"/>
  <c r="V21" i="141"/>
  <c r="U21" i="141"/>
  <c r="S21" i="141"/>
  <c r="R21" i="141"/>
  <c r="J21" i="141"/>
  <c r="W21" i="141" s="1"/>
  <c r="U20" i="141"/>
  <c r="V20" i="141" s="1"/>
  <c r="S20" i="141"/>
  <c r="R20" i="141"/>
  <c r="J20" i="141"/>
  <c r="W20" i="141"/>
  <c r="U19" i="141"/>
  <c r="V19" i="141" s="1"/>
  <c r="S19" i="141"/>
  <c r="R19" i="141"/>
  <c r="J19" i="141"/>
  <c r="W19" i="141" s="1"/>
  <c r="U18" i="141"/>
  <c r="V18" i="141" s="1"/>
  <c r="S18" i="141"/>
  <c r="R18" i="141"/>
  <c r="J18" i="141"/>
  <c r="W18" i="141" s="1"/>
  <c r="U17" i="141"/>
  <c r="V17" i="141" s="1"/>
  <c r="S17" i="141"/>
  <c r="R17" i="141"/>
  <c r="J17" i="141"/>
  <c r="W17" i="141" s="1"/>
  <c r="U16" i="141"/>
  <c r="V16" i="141" s="1"/>
  <c r="S16" i="141"/>
  <c r="R16" i="141"/>
  <c r="J16" i="141"/>
  <c r="W16" i="141"/>
  <c r="V15" i="141"/>
  <c r="U15" i="141"/>
  <c r="S15" i="141"/>
  <c r="R15" i="141"/>
  <c r="J15" i="141"/>
  <c r="W15" i="141"/>
  <c r="U14" i="141"/>
  <c r="V14" i="141" s="1"/>
  <c r="S14" i="141"/>
  <c r="R14" i="141"/>
  <c r="J14" i="141"/>
  <c r="W14" i="141"/>
  <c r="V13" i="141"/>
  <c r="U13" i="141"/>
  <c r="S13" i="141"/>
  <c r="R13" i="141"/>
  <c r="J13" i="141"/>
  <c r="W13" i="141" s="1"/>
  <c r="U12" i="141"/>
  <c r="V12" i="141" s="1"/>
  <c r="S12" i="141"/>
  <c r="R12" i="141"/>
  <c r="J12" i="141"/>
  <c r="W12" i="141"/>
  <c r="U11" i="141"/>
  <c r="V11" i="141" s="1"/>
  <c r="S11" i="141"/>
  <c r="R11" i="141"/>
  <c r="J11" i="141"/>
  <c r="W11" i="141" s="1"/>
  <c r="U10" i="141"/>
  <c r="V10" i="141" s="1"/>
  <c r="S10" i="141"/>
  <c r="R10" i="141"/>
  <c r="J10" i="141"/>
  <c r="W10" i="141" s="1"/>
  <c r="A10" i="141"/>
  <c r="A11" i="141" s="1"/>
  <c r="A12" i="141" s="1"/>
  <c r="A13" i="141" s="1"/>
  <c r="A14" i="141" s="1"/>
  <c r="A15" i="141" s="1"/>
  <c r="A16" i="141" s="1"/>
  <c r="A17" i="141" s="1"/>
  <c r="A18" i="141" s="1"/>
  <c r="A19" i="141" s="1"/>
  <c r="A20" i="141" s="1"/>
  <c r="A21" i="141" s="1"/>
  <c r="A22" i="141" s="1"/>
  <c r="A23" i="141" s="1"/>
  <c r="A24" i="141" s="1"/>
  <c r="A25" i="141" s="1"/>
  <c r="A26" i="141" s="1"/>
  <c r="A27" i="141" s="1"/>
  <c r="A28" i="141" s="1"/>
  <c r="A29" i="141" s="1"/>
  <c r="A30" i="141" s="1"/>
  <c r="A31" i="141" s="1"/>
  <c r="A32" i="141" s="1"/>
  <c r="A33" i="141" s="1"/>
  <c r="A34" i="141" s="1"/>
  <c r="A35" i="141" s="1"/>
  <c r="A36" i="141" s="1"/>
  <c r="A37" i="141" s="1"/>
  <c r="A38" i="141" s="1"/>
  <c r="A39" i="141" s="1"/>
  <c r="A40" i="141" s="1"/>
  <c r="A41" i="141" s="1"/>
  <c r="A42" i="141" s="1"/>
  <c r="A43" i="141" s="1"/>
  <c r="A44" i="141" s="1"/>
  <c r="A45" i="141" s="1"/>
  <c r="A46" i="141" s="1"/>
  <c r="A47" i="141" s="1"/>
  <c r="A48" i="141" s="1"/>
  <c r="A49" i="141" s="1"/>
  <c r="A50" i="141" s="1"/>
  <c r="A51" i="141" s="1"/>
  <c r="A52" i="141" s="1"/>
  <c r="A53" i="141" s="1"/>
  <c r="A54" i="141" s="1"/>
  <c r="A55" i="141" s="1"/>
  <c r="A56" i="141" s="1"/>
  <c r="A57" i="141" s="1"/>
  <c r="A58" i="141" s="1"/>
  <c r="A59" i="141" s="1"/>
  <c r="U9" i="141"/>
  <c r="V9" i="141" s="1"/>
  <c r="S9" i="141"/>
  <c r="R9" i="141"/>
  <c r="J9" i="141"/>
  <c r="W9" i="141" s="1"/>
  <c r="A9" i="141"/>
  <c r="U8" i="141"/>
  <c r="S8" i="141"/>
  <c r="R8" i="141"/>
  <c r="J8" i="141"/>
  <c r="R60" i="141" l="1"/>
  <c r="U60" i="141"/>
  <c r="S60" i="141"/>
  <c r="I60" i="141"/>
  <c r="W53" i="141"/>
  <c r="J60" i="141"/>
  <c r="W8" i="141"/>
  <c r="V8" i="141"/>
  <c r="V60" i="141" s="1"/>
  <c r="Q60" i="140"/>
  <c r="P60" i="140"/>
  <c r="O60" i="140"/>
  <c r="N60" i="140"/>
  <c r="M60" i="140"/>
  <c r="L60" i="140"/>
  <c r="H60" i="140"/>
  <c r="G60" i="140"/>
  <c r="E60" i="140"/>
  <c r="D60" i="140"/>
  <c r="C60" i="140"/>
  <c r="S59" i="140"/>
  <c r="R59" i="140"/>
  <c r="J59" i="140"/>
  <c r="I59" i="140"/>
  <c r="S58" i="140"/>
  <c r="R58" i="140"/>
  <c r="J58" i="140"/>
  <c r="I58" i="140"/>
  <c r="S57" i="140"/>
  <c r="R57" i="140"/>
  <c r="J57" i="140"/>
  <c r="I57" i="140"/>
  <c r="S56" i="140"/>
  <c r="R56" i="140"/>
  <c r="J56" i="140"/>
  <c r="I56" i="140"/>
  <c r="S55" i="140"/>
  <c r="R55" i="140"/>
  <c r="J55" i="140"/>
  <c r="I55" i="140"/>
  <c r="U54" i="140"/>
  <c r="V54" i="140" s="1"/>
  <c r="S54" i="140"/>
  <c r="R54" i="140"/>
  <c r="J54" i="140"/>
  <c r="I54" i="140"/>
  <c r="W54" i="140" s="1"/>
  <c r="U53" i="140"/>
  <c r="V53" i="140" s="1"/>
  <c r="S53" i="140"/>
  <c r="R53" i="140"/>
  <c r="J53" i="140"/>
  <c r="I53" i="140"/>
  <c r="W53" i="140" s="1"/>
  <c r="U52" i="140"/>
  <c r="V52" i="140" s="1"/>
  <c r="S52" i="140"/>
  <c r="R52" i="140"/>
  <c r="J52" i="140"/>
  <c r="I52" i="140"/>
  <c r="W52" i="140" s="1"/>
  <c r="U51" i="140"/>
  <c r="V51" i="140" s="1"/>
  <c r="S51" i="140"/>
  <c r="R51" i="140"/>
  <c r="J51" i="140"/>
  <c r="I51" i="140"/>
  <c r="W51" i="140" s="1"/>
  <c r="U50" i="140"/>
  <c r="V50" i="140" s="1"/>
  <c r="S50" i="140"/>
  <c r="R50" i="140"/>
  <c r="J50" i="140"/>
  <c r="I50" i="140"/>
  <c r="W50" i="140" s="1"/>
  <c r="U49" i="140"/>
  <c r="V49" i="140" s="1"/>
  <c r="S49" i="140"/>
  <c r="R49" i="140"/>
  <c r="J49" i="140"/>
  <c r="I49" i="140"/>
  <c r="W49" i="140" s="1"/>
  <c r="U48" i="140"/>
  <c r="V48" i="140" s="1"/>
  <c r="S48" i="140"/>
  <c r="R48" i="140"/>
  <c r="J48" i="140"/>
  <c r="I48" i="140"/>
  <c r="W48" i="140" s="1"/>
  <c r="U47" i="140"/>
  <c r="V47" i="140" s="1"/>
  <c r="S47" i="140"/>
  <c r="R47" i="140"/>
  <c r="J47" i="140"/>
  <c r="I47" i="140"/>
  <c r="W47" i="140" s="1"/>
  <c r="U46" i="140"/>
  <c r="V46" i="140" s="1"/>
  <c r="S46" i="140"/>
  <c r="R46" i="140"/>
  <c r="J46" i="140"/>
  <c r="I46" i="140"/>
  <c r="W46" i="140" s="1"/>
  <c r="S45" i="140"/>
  <c r="R45" i="140"/>
  <c r="J45" i="140"/>
  <c r="I45" i="140"/>
  <c r="U44" i="140"/>
  <c r="V44" i="140" s="1"/>
  <c r="S44" i="140"/>
  <c r="R44" i="140"/>
  <c r="J44" i="140"/>
  <c r="I44" i="140"/>
  <c r="W44" i="140" s="1"/>
  <c r="S43" i="140"/>
  <c r="R43" i="140"/>
  <c r="J43" i="140"/>
  <c r="I43" i="140"/>
  <c r="U42" i="140"/>
  <c r="V42" i="140" s="1"/>
  <c r="S42" i="140"/>
  <c r="R42" i="140"/>
  <c r="J42" i="140"/>
  <c r="I42" i="140"/>
  <c r="W42" i="140" s="1"/>
  <c r="U41" i="140"/>
  <c r="V41" i="140" s="1"/>
  <c r="S41" i="140"/>
  <c r="R41" i="140"/>
  <c r="J41" i="140"/>
  <c r="I41" i="140"/>
  <c r="U40" i="140"/>
  <c r="V40" i="140" s="1"/>
  <c r="S40" i="140"/>
  <c r="R40" i="140"/>
  <c r="J40" i="140"/>
  <c r="I40" i="140"/>
  <c r="W40" i="140" s="1"/>
  <c r="U39" i="140"/>
  <c r="V39" i="140" s="1"/>
  <c r="S39" i="140"/>
  <c r="R39" i="140"/>
  <c r="J39" i="140"/>
  <c r="I39" i="140"/>
  <c r="W39" i="140" s="1"/>
  <c r="U38" i="140"/>
  <c r="V38" i="140" s="1"/>
  <c r="S38" i="140"/>
  <c r="R38" i="140"/>
  <c r="J38" i="140"/>
  <c r="I38" i="140"/>
  <c r="U37" i="140"/>
  <c r="V37" i="140" s="1"/>
  <c r="S37" i="140"/>
  <c r="R37" i="140"/>
  <c r="J37" i="140"/>
  <c r="I37" i="140"/>
  <c r="W37" i="140" s="1"/>
  <c r="U36" i="140"/>
  <c r="V36" i="140" s="1"/>
  <c r="S36" i="140"/>
  <c r="R36" i="140"/>
  <c r="J36" i="140"/>
  <c r="I36" i="140"/>
  <c r="W36" i="140" s="1"/>
  <c r="U35" i="140"/>
  <c r="V35" i="140" s="1"/>
  <c r="S35" i="140"/>
  <c r="R35" i="140"/>
  <c r="J35" i="140"/>
  <c r="I35" i="140"/>
  <c r="U34" i="140"/>
  <c r="V34" i="140" s="1"/>
  <c r="S34" i="140"/>
  <c r="R34" i="140"/>
  <c r="J34" i="140"/>
  <c r="I34" i="140"/>
  <c r="W34" i="140" s="1"/>
  <c r="U33" i="140"/>
  <c r="V33" i="140" s="1"/>
  <c r="S33" i="140"/>
  <c r="R33" i="140"/>
  <c r="J33" i="140"/>
  <c r="I33" i="140"/>
  <c r="W33" i="140" s="1"/>
  <c r="U32" i="140"/>
  <c r="V32" i="140" s="1"/>
  <c r="S32" i="140"/>
  <c r="R32" i="140"/>
  <c r="J32" i="140"/>
  <c r="I32" i="140"/>
  <c r="W32" i="140" s="1"/>
  <c r="U31" i="140"/>
  <c r="V31" i="140" s="1"/>
  <c r="S31" i="140"/>
  <c r="R31" i="140"/>
  <c r="J31" i="140"/>
  <c r="I31" i="140"/>
  <c r="W31" i="140" s="1"/>
  <c r="U30" i="140"/>
  <c r="V30" i="140" s="1"/>
  <c r="S30" i="140"/>
  <c r="R30" i="140"/>
  <c r="J30" i="140"/>
  <c r="I30" i="140"/>
  <c r="W30" i="140" s="1"/>
  <c r="U29" i="140"/>
  <c r="V29" i="140" s="1"/>
  <c r="S29" i="140"/>
  <c r="R29" i="140"/>
  <c r="J29" i="140"/>
  <c r="I29" i="140"/>
  <c r="W29" i="140" s="1"/>
  <c r="U28" i="140"/>
  <c r="V28" i="140" s="1"/>
  <c r="S28" i="140"/>
  <c r="R28" i="140"/>
  <c r="J28" i="140"/>
  <c r="I28" i="140"/>
  <c r="W28" i="140" s="1"/>
  <c r="U27" i="140"/>
  <c r="V27" i="140" s="1"/>
  <c r="S27" i="140"/>
  <c r="R27" i="140"/>
  <c r="J27" i="140"/>
  <c r="I27" i="140"/>
  <c r="W27" i="140" s="1"/>
  <c r="BE26" i="140"/>
  <c r="U26" i="140"/>
  <c r="V26" i="140" s="1"/>
  <c r="S26" i="140"/>
  <c r="R26" i="140"/>
  <c r="J26" i="140"/>
  <c r="I26" i="140"/>
  <c r="W26" i="140" s="1"/>
  <c r="U25" i="140"/>
  <c r="V25" i="140" s="1"/>
  <c r="S25" i="140"/>
  <c r="R25" i="140"/>
  <c r="J25" i="140"/>
  <c r="I25" i="140"/>
  <c r="W25" i="140" s="1"/>
  <c r="U24" i="140"/>
  <c r="V24" i="140" s="1"/>
  <c r="S24" i="140"/>
  <c r="R24" i="140"/>
  <c r="J24" i="140"/>
  <c r="I24" i="140"/>
  <c r="U23" i="140"/>
  <c r="V23" i="140" s="1"/>
  <c r="S23" i="140"/>
  <c r="R23" i="140"/>
  <c r="J23" i="140"/>
  <c r="I23" i="140"/>
  <c r="W23" i="140" s="1"/>
  <c r="U22" i="140"/>
  <c r="V22" i="140" s="1"/>
  <c r="S22" i="140"/>
  <c r="R22" i="140"/>
  <c r="J22" i="140"/>
  <c r="I22" i="140"/>
  <c r="W22" i="140" s="1"/>
  <c r="U21" i="140"/>
  <c r="V21" i="140" s="1"/>
  <c r="S21" i="140"/>
  <c r="R21" i="140"/>
  <c r="J21" i="140"/>
  <c r="I21" i="140"/>
  <c r="W21" i="140" s="1"/>
  <c r="U20" i="140"/>
  <c r="V20" i="140" s="1"/>
  <c r="S20" i="140"/>
  <c r="R20" i="140"/>
  <c r="J20" i="140"/>
  <c r="I20" i="140"/>
  <c r="W20" i="140" s="1"/>
  <c r="U19" i="140"/>
  <c r="V19" i="140" s="1"/>
  <c r="S19" i="140"/>
  <c r="R19" i="140"/>
  <c r="J19" i="140"/>
  <c r="I19" i="140"/>
  <c r="W19" i="140" s="1"/>
  <c r="U18" i="140"/>
  <c r="V18" i="140" s="1"/>
  <c r="S18" i="140"/>
  <c r="R18" i="140"/>
  <c r="J18" i="140"/>
  <c r="I18" i="140"/>
  <c r="W18" i="140" s="1"/>
  <c r="U17" i="140"/>
  <c r="V17" i="140" s="1"/>
  <c r="S17" i="140"/>
  <c r="R17" i="140"/>
  <c r="J17" i="140"/>
  <c r="I17" i="140"/>
  <c r="W17" i="140" s="1"/>
  <c r="U16" i="140"/>
  <c r="V16" i="140" s="1"/>
  <c r="S16" i="140"/>
  <c r="R16" i="140"/>
  <c r="J16" i="140"/>
  <c r="I16" i="140"/>
  <c r="W16" i="140" s="1"/>
  <c r="U15" i="140"/>
  <c r="V15" i="140" s="1"/>
  <c r="S15" i="140"/>
  <c r="R15" i="140"/>
  <c r="J15" i="140"/>
  <c r="I15" i="140"/>
  <c r="W15" i="140" s="1"/>
  <c r="U14" i="140"/>
  <c r="V14" i="140" s="1"/>
  <c r="S14" i="140"/>
  <c r="R14" i="140"/>
  <c r="J14" i="140"/>
  <c r="I14" i="140"/>
  <c r="W14" i="140" s="1"/>
  <c r="U13" i="140"/>
  <c r="V13" i="140" s="1"/>
  <c r="S13" i="140"/>
  <c r="R13" i="140"/>
  <c r="J13" i="140"/>
  <c r="I13" i="140"/>
  <c r="W13" i="140" s="1"/>
  <c r="U12" i="140"/>
  <c r="V12" i="140" s="1"/>
  <c r="S12" i="140"/>
  <c r="R12" i="140"/>
  <c r="J12" i="140"/>
  <c r="I12" i="140"/>
  <c r="U11" i="140"/>
  <c r="V11" i="140" s="1"/>
  <c r="S11" i="140"/>
  <c r="R11" i="140"/>
  <c r="J11" i="140"/>
  <c r="I11" i="140"/>
  <c r="W11" i="140" s="1"/>
  <c r="U10" i="140"/>
  <c r="V10" i="140" s="1"/>
  <c r="S10" i="140"/>
  <c r="R10" i="140"/>
  <c r="J10" i="140"/>
  <c r="I10" i="140"/>
  <c r="W10" i="140" s="1"/>
  <c r="U9" i="140"/>
  <c r="V9" i="140" s="1"/>
  <c r="S9" i="140"/>
  <c r="R9" i="140"/>
  <c r="J9" i="140"/>
  <c r="I9" i="140"/>
  <c r="W9" i="140" s="1"/>
  <c r="A9" i="140"/>
  <c r="A10" i="140" s="1"/>
  <c r="A11" i="140" s="1"/>
  <c r="A12" i="140" s="1"/>
  <c r="A13" i="140" s="1"/>
  <c r="A14" i="140" s="1"/>
  <c r="A15" i="140" s="1"/>
  <c r="A16" i="140" s="1"/>
  <c r="A17" i="140" s="1"/>
  <c r="A18" i="140" s="1"/>
  <c r="A19" i="140" s="1"/>
  <c r="A20" i="140" s="1"/>
  <c r="A21" i="140" s="1"/>
  <c r="A22" i="140" s="1"/>
  <c r="A23" i="140" s="1"/>
  <c r="A24" i="140" s="1"/>
  <c r="A25" i="140" s="1"/>
  <c r="A26" i="140" s="1"/>
  <c r="A27" i="140" s="1"/>
  <c r="A28" i="140" s="1"/>
  <c r="A29" i="140" s="1"/>
  <c r="A30" i="140" s="1"/>
  <c r="A31" i="140" s="1"/>
  <c r="A32" i="140" s="1"/>
  <c r="A33" i="140" s="1"/>
  <c r="A34" i="140" s="1"/>
  <c r="A35" i="140" s="1"/>
  <c r="A36" i="140" s="1"/>
  <c r="A37" i="140" s="1"/>
  <c r="A38" i="140" s="1"/>
  <c r="A39" i="140" s="1"/>
  <c r="A40" i="140" s="1"/>
  <c r="A41" i="140" s="1"/>
  <c r="A42" i="140" s="1"/>
  <c r="A43" i="140" s="1"/>
  <c r="A44" i="140" s="1"/>
  <c r="A45" i="140" s="1"/>
  <c r="A46" i="140" s="1"/>
  <c r="A47" i="140" s="1"/>
  <c r="A48" i="140" s="1"/>
  <c r="A49" i="140" s="1"/>
  <c r="A50" i="140" s="1"/>
  <c r="A51" i="140" s="1"/>
  <c r="A52" i="140" s="1"/>
  <c r="A53" i="140" s="1"/>
  <c r="A54" i="140" s="1"/>
  <c r="A55" i="140" s="1"/>
  <c r="A56" i="140" s="1"/>
  <c r="A57" i="140" s="1"/>
  <c r="A58" i="140" s="1"/>
  <c r="A59" i="140" s="1"/>
  <c r="U8" i="140"/>
  <c r="S8" i="140"/>
  <c r="S60" i="140" s="1"/>
  <c r="R8" i="140"/>
  <c r="J8" i="140"/>
  <c r="I8" i="140"/>
  <c r="I29" i="137"/>
  <c r="W29" i="137" s="1"/>
  <c r="I30" i="137"/>
  <c r="I35" i="137"/>
  <c r="W35" i="137" s="1"/>
  <c r="Q60" i="139"/>
  <c r="P60" i="139"/>
  <c r="O60" i="139"/>
  <c r="N60" i="139"/>
  <c r="M60" i="139"/>
  <c r="L60" i="139"/>
  <c r="H60" i="139"/>
  <c r="G60" i="139"/>
  <c r="E60" i="139"/>
  <c r="D60" i="139"/>
  <c r="C60" i="139"/>
  <c r="S59" i="139"/>
  <c r="R59" i="139"/>
  <c r="J59" i="139"/>
  <c r="I59" i="139"/>
  <c r="S58" i="139"/>
  <c r="R58" i="139"/>
  <c r="J58" i="139"/>
  <c r="I58" i="139"/>
  <c r="S57" i="139"/>
  <c r="R57" i="139"/>
  <c r="J57" i="139"/>
  <c r="I57" i="139"/>
  <c r="S56" i="139"/>
  <c r="R56" i="139"/>
  <c r="J56" i="139"/>
  <c r="I56" i="139"/>
  <c r="S55" i="139"/>
  <c r="R55" i="139"/>
  <c r="J55" i="139"/>
  <c r="I55" i="139"/>
  <c r="U54" i="139"/>
  <c r="V54" i="139" s="1"/>
  <c r="S54" i="139"/>
  <c r="R54" i="139"/>
  <c r="J54" i="139"/>
  <c r="I54" i="139"/>
  <c r="W54" i="139" s="1"/>
  <c r="U53" i="139"/>
  <c r="V53" i="139" s="1"/>
  <c r="S53" i="139"/>
  <c r="R53" i="139"/>
  <c r="J53" i="139"/>
  <c r="I53" i="139"/>
  <c r="W53" i="139" s="1"/>
  <c r="U52" i="139"/>
  <c r="V52" i="139" s="1"/>
  <c r="S52" i="139"/>
  <c r="R52" i="139"/>
  <c r="J52" i="139"/>
  <c r="I52" i="139"/>
  <c r="W52" i="139" s="1"/>
  <c r="U51" i="139"/>
  <c r="V51" i="139" s="1"/>
  <c r="S51" i="139"/>
  <c r="R51" i="139"/>
  <c r="J51" i="139"/>
  <c r="I51" i="139"/>
  <c r="W51" i="139" s="1"/>
  <c r="U50" i="139"/>
  <c r="V50" i="139" s="1"/>
  <c r="S50" i="139"/>
  <c r="R50" i="139"/>
  <c r="J50" i="139"/>
  <c r="I50" i="139"/>
  <c r="W50" i="139" s="1"/>
  <c r="U49" i="139"/>
  <c r="V49" i="139" s="1"/>
  <c r="S49" i="139"/>
  <c r="R49" i="139"/>
  <c r="J49" i="139"/>
  <c r="I49" i="139"/>
  <c r="W49" i="139" s="1"/>
  <c r="U48" i="139"/>
  <c r="V48" i="139" s="1"/>
  <c r="S48" i="139"/>
  <c r="R48" i="139"/>
  <c r="J48" i="139"/>
  <c r="I48" i="139"/>
  <c r="U47" i="139"/>
  <c r="V47" i="139" s="1"/>
  <c r="S47" i="139"/>
  <c r="R47" i="139"/>
  <c r="J47" i="139"/>
  <c r="I47" i="139"/>
  <c r="W47" i="139" s="1"/>
  <c r="U46" i="139"/>
  <c r="V46" i="139" s="1"/>
  <c r="S46" i="139"/>
  <c r="R46" i="139"/>
  <c r="J46" i="139"/>
  <c r="I46" i="139"/>
  <c r="W46" i="139" s="1"/>
  <c r="S45" i="139"/>
  <c r="R45" i="139"/>
  <c r="J45" i="139"/>
  <c r="I45" i="139"/>
  <c r="U44" i="139"/>
  <c r="V44" i="139" s="1"/>
  <c r="S44" i="139"/>
  <c r="R44" i="139"/>
  <c r="J44" i="139"/>
  <c r="I44" i="139"/>
  <c r="S43" i="139"/>
  <c r="R43" i="139"/>
  <c r="J43" i="139"/>
  <c r="I43" i="139"/>
  <c r="U42" i="139"/>
  <c r="V42" i="139" s="1"/>
  <c r="S42" i="139"/>
  <c r="R42" i="139"/>
  <c r="J42" i="139"/>
  <c r="I42" i="139"/>
  <c r="W42" i="139" s="1"/>
  <c r="U41" i="139"/>
  <c r="V41" i="139" s="1"/>
  <c r="S41" i="139"/>
  <c r="R41" i="139"/>
  <c r="J41" i="139"/>
  <c r="I41" i="139"/>
  <c r="U40" i="139"/>
  <c r="V40" i="139" s="1"/>
  <c r="S40" i="139"/>
  <c r="R40" i="139"/>
  <c r="J40" i="139"/>
  <c r="I40" i="139"/>
  <c r="W40" i="139" s="1"/>
  <c r="U39" i="139"/>
  <c r="V39" i="139" s="1"/>
  <c r="S39" i="139"/>
  <c r="R39" i="139"/>
  <c r="J39" i="139"/>
  <c r="I39" i="139"/>
  <c r="W39" i="139" s="1"/>
  <c r="U38" i="139"/>
  <c r="V38" i="139" s="1"/>
  <c r="S38" i="139"/>
  <c r="R38" i="139"/>
  <c r="J38" i="139"/>
  <c r="I38" i="139"/>
  <c r="U37" i="139"/>
  <c r="V37" i="139" s="1"/>
  <c r="S37" i="139"/>
  <c r="R37" i="139"/>
  <c r="J37" i="139"/>
  <c r="I37" i="139"/>
  <c r="W37" i="139" s="1"/>
  <c r="U36" i="139"/>
  <c r="V36" i="139" s="1"/>
  <c r="S36" i="139"/>
  <c r="R36" i="139"/>
  <c r="J36" i="139"/>
  <c r="I36" i="139"/>
  <c r="W36" i="139" s="1"/>
  <c r="U35" i="139"/>
  <c r="V35" i="139" s="1"/>
  <c r="S35" i="139"/>
  <c r="R35" i="139"/>
  <c r="J35" i="139"/>
  <c r="I35" i="139"/>
  <c r="W35" i="139" s="1"/>
  <c r="U34" i="139"/>
  <c r="V34" i="139" s="1"/>
  <c r="S34" i="139"/>
  <c r="R34" i="139"/>
  <c r="J34" i="139"/>
  <c r="I34" i="139"/>
  <c r="W34" i="139" s="1"/>
  <c r="U33" i="139"/>
  <c r="V33" i="139" s="1"/>
  <c r="S33" i="139"/>
  <c r="R33" i="139"/>
  <c r="J33" i="139"/>
  <c r="I33" i="139"/>
  <c r="W33" i="139" s="1"/>
  <c r="U32" i="139"/>
  <c r="V32" i="139" s="1"/>
  <c r="S32" i="139"/>
  <c r="R32" i="139"/>
  <c r="J32" i="139"/>
  <c r="I32" i="139"/>
  <c r="W32" i="139" s="1"/>
  <c r="U31" i="139"/>
  <c r="V31" i="139" s="1"/>
  <c r="S31" i="139"/>
  <c r="R31" i="139"/>
  <c r="J31" i="139"/>
  <c r="I31" i="139"/>
  <c r="W31" i="139" s="1"/>
  <c r="U30" i="139"/>
  <c r="V30" i="139" s="1"/>
  <c r="S30" i="139"/>
  <c r="R30" i="139"/>
  <c r="J30" i="139"/>
  <c r="I30" i="139"/>
  <c r="W30" i="139" s="1"/>
  <c r="U29" i="139"/>
  <c r="V29" i="139" s="1"/>
  <c r="S29" i="139"/>
  <c r="R29" i="139"/>
  <c r="J29" i="139"/>
  <c r="I29" i="139"/>
  <c r="W29" i="139" s="1"/>
  <c r="U28" i="139"/>
  <c r="V28" i="139" s="1"/>
  <c r="S28" i="139"/>
  <c r="R28" i="139"/>
  <c r="J28" i="139"/>
  <c r="I28" i="139"/>
  <c r="W28" i="139" s="1"/>
  <c r="U27" i="139"/>
  <c r="V27" i="139" s="1"/>
  <c r="S27" i="139"/>
  <c r="R27" i="139"/>
  <c r="J27" i="139"/>
  <c r="I27" i="139"/>
  <c r="W27" i="139" s="1"/>
  <c r="BE26" i="139"/>
  <c r="U26" i="139"/>
  <c r="V26" i="139" s="1"/>
  <c r="S26" i="139"/>
  <c r="R26" i="139"/>
  <c r="J26" i="139"/>
  <c r="I26" i="139"/>
  <c r="U25" i="139"/>
  <c r="V25" i="139" s="1"/>
  <c r="S25" i="139"/>
  <c r="R25" i="139"/>
  <c r="J25" i="139"/>
  <c r="I25" i="139"/>
  <c r="W25" i="139" s="1"/>
  <c r="U24" i="139"/>
  <c r="V24" i="139" s="1"/>
  <c r="S24" i="139"/>
  <c r="R24" i="139"/>
  <c r="J24" i="139"/>
  <c r="I24" i="139"/>
  <c r="W24" i="139" s="1"/>
  <c r="U23" i="139"/>
  <c r="V23" i="139" s="1"/>
  <c r="S23" i="139"/>
  <c r="R23" i="139"/>
  <c r="J23" i="139"/>
  <c r="I23" i="139"/>
  <c r="U22" i="139"/>
  <c r="V22" i="139" s="1"/>
  <c r="S22" i="139"/>
  <c r="R22" i="139"/>
  <c r="J22" i="139"/>
  <c r="I22" i="139"/>
  <c r="W22" i="139" s="1"/>
  <c r="U21" i="139"/>
  <c r="V21" i="139" s="1"/>
  <c r="S21" i="139"/>
  <c r="R21" i="139"/>
  <c r="J21" i="139"/>
  <c r="I21" i="139"/>
  <c r="U20" i="139"/>
  <c r="V20" i="139" s="1"/>
  <c r="S20" i="139"/>
  <c r="R20" i="139"/>
  <c r="J20" i="139"/>
  <c r="I20" i="139"/>
  <c r="U19" i="139"/>
  <c r="V19" i="139" s="1"/>
  <c r="S19" i="139"/>
  <c r="R19" i="139"/>
  <c r="J19" i="139"/>
  <c r="I19" i="139"/>
  <c r="W19" i="139" s="1"/>
  <c r="U18" i="139"/>
  <c r="V18" i="139" s="1"/>
  <c r="S18" i="139"/>
  <c r="R18" i="139"/>
  <c r="J18" i="139"/>
  <c r="I18" i="139"/>
  <c r="W18" i="139" s="1"/>
  <c r="U17" i="139"/>
  <c r="V17" i="139" s="1"/>
  <c r="S17" i="139"/>
  <c r="R17" i="139"/>
  <c r="J17" i="139"/>
  <c r="I17" i="139"/>
  <c r="W17" i="139" s="1"/>
  <c r="U16" i="139"/>
  <c r="V16" i="139" s="1"/>
  <c r="S16" i="139"/>
  <c r="R16" i="139"/>
  <c r="J16" i="139"/>
  <c r="I16" i="139"/>
  <c r="W16" i="139" s="1"/>
  <c r="U15" i="139"/>
  <c r="V15" i="139" s="1"/>
  <c r="S15" i="139"/>
  <c r="R15" i="139"/>
  <c r="J15" i="139"/>
  <c r="I15" i="139"/>
  <c r="W15" i="139" s="1"/>
  <c r="U14" i="139"/>
  <c r="V14" i="139" s="1"/>
  <c r="S14" i="139"/>
  <c r="R14" i="139"/>
  <c r="J14" i="139"/>
  <c r="I14" i="139"/>
  <c r="U13" i="139"/>
  <c r="V13" i="139" s="1"/>
  <c r="S13" i="139"/>
  <c r="R13" i="139"/>
  <c r="J13" i="139"/>
  <c r="I13" i="139"/>
  <c r="W13" i="139" s="1"/>
  <c r="U12" i="139"/>
  <c r="V12" i="139" s="1"/>
  <c r="S12" i="139"/>
  <c r="R12" i="139"/>
  <c r="J12" i="139"/>
  <c r="I12" i="139"/>
  <c r="U11" i="139"/>
  <c r="V11" i="139" s="1"/>
  <c r="S11" i="139"/>
  <c r="R11" i="139"/>
  <c r="J11" i="139"/>
  <c r="I11" i="139"/>
  <c r="W11" i="139" s="1"/>
  <c r="U10" i="139"/>
  <c r="V10" i="139" s="1"/>
  <c r="S10" i="139"/>
  <c r="R10" i="139"/>
  <c r="J10" i="139"/>
  <c r="I10" i="139"/>
  <c r="W10" i="139" s="1"/>
  <c r="U9" i="139"/>
  <c r="V9" i="139" s="1"/>
  <c r="S9" i="139"/>
  <c r="R9" i="139"/>
  <c r="J9" i="139"/>
  <c r="I9" i="139"/>
  <c r="W9" i="139" s="1"/>
  <c r="A9" i="139"/>
  <c r="A10" i="139" s="1"/>
  <c r="A11" i="139" s="1"/>
  <c r="A12" i="139" s="1"/>
  <c r="A13" i="139" s="1"/>
  <c r="A14" i="139" s="1"/>
  <c r="A15" i="139" s="1"/>
  <c r="A16" i="139" s="1"/>
  <c r="A17" i="139" s="1"/>
  <c r="A18" i="139" s="1"/>
  <c r="A19" i="139" s="1"/>
  <c r="A20" i="139" s="1"/>
  <c r="A21" i="139" s="1"/>
  <c r="A22" i="139" s="1"/>
  <c r="A23" i="139" s="1"/>
  <c r="A24" i="139" s="1"/>
  <c r="A25" i="139" s="1"/>
  <c r="A26" i="139" s="1"/>
  <c r="A27" i="139" s="1"/>
  <c r="A28" i="139" s="1"/>
  <c r="A29" i="139" s="1"/>
  <c r="A30" i="139" s="1"/>
  <c r="A31" i="139" s="1"/>
  <c r="A32" i="139" s="1"/>
  <c r="A33" i="139" s="1"/>
  <c r="A34" i="139" s="1"/>
  <c r="A35" i="139" s="1"/>
  <c r="A36" i="139" s="1"/>
  <c r="A37" i="139" s="1"/>
  <c r="A38" i="139" s="1"/>
  <c r="A39" i="139" s="1"/>
  <c r="A40" i="139" s="1"/>
  <c r="A41" i="139" s="1"/>
  <c r="A42" i="139" s="1"/>
  <c r="A43" i="139" s="1"/>
  <c r="A44" i="139" s="1"/>
  <c r="A45" i="139" s="1"/>
  <c r="A46" i="139" s="1"/>
  <c r="A47" i="139" s="1"/>
  <c r="A48" i="139" s="1"/>
  <c r="A49" i="139" s="1"/>
  <c r="A50" i="139" s="1"/>
  <c r="A51" i="139" s="1"/>
  <c r="A52" i="139" s="1"/>
  <c r="A53" i="139" s="1"/>
  <c r="A54" i="139" s="1"/>
  <c r="A55" i="139" s="1"/>
  <c r="A56" i="139" s="1"/>
  <c r="A57" i="139" s="1"/>
  <c r="A58" i="139" s="1"/>
  <c r="A59" i="139" s="1"/>
  <c r="U8" i="139"/>
  <c r="S8" i="139"/>
  <c r="S60" i="139" s="1"/>
  <c r="R8" i="139"/>
  <c r="J8" i="139"/>
  <c r="J60" i="139" s="1"/>
  <c r="I8" i="139"/>
  <c r="Q60" i="138"/>
  <c r="P60" i="138"/>
  <c r="O60" i="138"/>
  <c r="N60" i="138"/>
  <c r="M60" i="138"/>
  <c r="L60" i="138"/>
  <c r="H60" i="138"/>
  <c r="G60" i="138"/>
  <c r="E60" i="138"/>
  <c r="D60" i="138"/>
  <c r="C60" i="138"/>
  <c r="S59" i="138"/>
  <c r="R59" i="138"/>
  <c r="J59" i="138"/>
  <c r="I59" i="138"/>
  <c r="S58" i="138"/>
  <c r="R58" i="138"/>
  <c r="J58" i="138"/>
  <c r="I58" i="138"/>
  <c r="S57" i="138"/>
  <c r="R57" i="138"/>
  <c r="J57" i="138"/>
  <c r="I57" i="138"/>
  <c r="S56" i="138"/>
  <c r="R56" i="138"/>
  <c r="J56" i="138"/>
  <c r="I56" i="138"/>
  <c r="S55" i="138"/>
  <c r="R55" i="138"/>
  <c r="J55" i="138"/>
  <c r="I55" i="138"/>
  <c r="U54" i="138"/>
  <c r="V54" i="138" s="1"/>
  <c r="S54" i="138"/>
  <c r="R54" i="138"/>
  <c r="J54" i="138"/>
  <c r="I54" i="138"/>
  <c r="W54" i="138" s="1"/>
  <c r="U53" i="138"/>
  <c r="V53" i="138" s="1"/>
  <c r="S53" i="138"/>
  <c r="R53" i="138"/>
  <c r="J53" i="138"/>
  <c r="I53" i="138"/>
  <c r="W53" i="138" s="1"/>
  <c r="U52" i="138"/>
  <c r="V52" i="138" s="1"/>
  <c r="S52" i="138"/>
  <c r="R52" i="138"/>
  <c r="J52" i="138"/>
  <c r="I52" i="138"/>
  <c r="W52" i="138" s="1"/>
  <c r="U51" i="138"/>
  <c r="V51" i="138" s="1"/>
  <c r="S51" i="138"/>
  <c r="R51" i="138"/>
  <c r="J51" i="138"/>
  <c r="I51" i="138"/>
  <c r="W51" i="138" s="1"/>
  <c r="U50" i="138"/>
  <c r="V50" i="138" s="1"/>
  <c r="S50" i="138"/>
  <c r="R50" i="138"/>
  <c r="J50" i="138"/>
  <c r="I50" i="138"/>
  <c r="W50" i="138" s="1"/>
  <c r="U49" i="138"/>
  <c r="V49" i="138" s="1"/>
  <c r="S49" i="138"/>
  <c r="R49" i="138"/>
  <c r="J49" i="138"/>
  <c r="I49" i="138"/>
  <c r="W49" i="138" s="1"/>
  <c r="U48" i="138"/>
  <c r="V48" i="138" s="1"/>
  <c r="S48" i="138"/>
  <c r="R48" i="138"/>
  <c r="J48" i="138"/>
  <c r="I48" i="138"/>
  <c r="U47" i="138"/>
  <c r="V47" i="138" s="1"/>
  <c r="S47" i="138"/>
  <c r="R47" i="138"/>
  <c r="J47" i="138"/>
  <c r="I47" i="138"/>
  <c r="W47" i="138" s="1"/>
  <c r="U46" i="138"/>
  <c r="V46" i="138" s="1"/>
  <c r="S46" i="138"/>
  <c r="R46" i="138"/>
  <c r="J46" i="138"/>
  <c r="I46" i="138"/>
  <c r="W46" i="138" s="1"/>
  <c r="S45" i="138"/>
  <c r="R45" i="138"/>
  <c r="J45" i="138"/>
  <c r="I45" i="138"/>
  <c r="U44" i="138"/>
  <c r="V44" i="138" s="1"/>
  <c r="S44" i="138"/>
  <c r="R44" i="138"/>
  <c r="J44" i="138"/>
  <c r="I44" i="138"/>
  <c r="W44" i="138" s="1"/>
  <c r="S43" i="138"/>
  <c r="R43" i="138"/>
  <c r="J43" i="138"/>
  <c r="I43" i="138"/>
  <c r="U42" i="138"/>
  <c r="V42" i="138" s="1"/>
  <c r="S42" i="138"/>
  <c r="R42" i="138"/>
  <c r="J42" i="138"/>
  <c r="I42" i="138"/>
  <c r="W42" i="138" s="1"/>
  <c r="U41" i="138"/>
  <c r="V41" i="138" s="1"/>
  <c r="S41" i="138"/>
  <c r="R41" i="138"/>
  <c r="J41" i="138"/>
  <c r="I41" i="138"/>
  <c r="U40" i="138"/>
  <c r="V40" i="138" s="1"/>
  <c r="S40" i="138"/>
  <c r="R40" i="138"/>
  <c r="J40" i="138"/>
  <c r="I40" i="138"/>
  <c r="W40" i="138" s="1"/>
  <c r="U39" i="138"/>
  <c r="V39" i="138" s="1"/>
  <c r="S39" i="138"/>
  <c r="R39" i="138"/>
  <c r="J39" i="138"/>
  <c r="I39" i="138"/>
  <c r="W39" i="138" s="1"/>
  <c r="U38" i="138"/>
  <c r="V38" i="138" s="1"/>
  <c r="S38" i="138"/>
  <c r="R38" i="138"/>
  <c r="J38" i="138"/>
  <c r="I38" i="138"/>
  <c r="U37" i="138"/>
  <c r="V37" i="138" s="1"/>
  <c r="S37" i="138"/>
  <c r="R37" i="138"/>
  <c r="J37" i="138"/>
  <c r="I37" i="138"/>
  <c r="W37" i="138" s="1"/>
  <c r="U36" i="138"/>
  <c r="V36" i="138" s="1"/>
  <c r="S36" i="138"/>
  <c r="R36" i="138"/>
  <c r="J36" i="138"/>
  <c r="I36" i="138"/>
  <c r="W36" i="138" s="1"/>
  <c r="U35" i="138"/>
  <c r="V35" i="138" s="1"/>
  <c r="S35" i="138"/>
  <c r="R35" i="138"/>
  <c r="J35" i="138"/>
  <c r="I35" i="138"/>
  <c r="U34" i="138"/>
  <c r="V34" i="138" s="1"/>
  <c r="S34" i="138"/>
  <c r="R34" i="138"/>
  <c r="J34" i="138"/>
  <c r="I34" i="138"/>
  <c r="W34" i="138" s="1"/>
  <c r="U33" i="138"/>
  <c r="V33" i="138" s="1"/>
  <c r="S33" i="138"/>
  <c r="R33" i="138"/>
  <c r="J33" i="138"/>
  <c r="I33" i="138"/>
  <c r="W33" i="138" s="1"/>
  <c r="U32" i="138"/>
  <c r="V32" i="138" s="1"/>
  <c r="S32" i="138"/>
  <c r="R32" i="138"/>
  <c r="J32" i="138"/>
  <c r="I32" i="138"/>
  <c r="W32" i="138" s="1"/>
  <c r="U31" i="138"/>
  <c r="V31" i="138" s="1"/>
  <c r="S31" i="138"/>
  <c r="R31" i="138"/>
  <c r="J31" i="138"/>
  <c r="I31" i="138"/>
  <c r="W31" i="138" s="1"/>
  <c r="U30" i="138"/>
  <c r="V30" i="138" s="1"/>
  <c r="S30" i="138"/>
  <c r="R30" i="138"/>
  <c r="J30" i="138"/>
  <c r="I30" i="138"/>
  <c r="U29" i="138"/>
  <c r="V29" i="138" s="1"/>
  <c r="S29" i="138"/>
  <c r="R29" i="138"/>
  <c r="J29" i="138"/>
  <c r="I29" i="138"/>
  <c r="W29" i="138" s="1"/>
  <c r="U28" i="138"/>
  <c r="V28" i="138" s="1"/>
  <c r="S28" i="138"/>
  <c r="R28" i="138"/>
  <c r="J28" i="138"/>
  <c r="I28" i="138"/>
  <c r="W28" i="138" s="1"/>
  <c r="U27" i="138"/>
  <c r="V27" i="138" s="1"/>
  <c r="S27" i="138"/>
  <c r="R27" i="138"/>
  <c r="J27" i="138"/>
  <c r="I27" i="138"/>
  <c r="W27" i="138" s="1"/>
  <c r="BE26" i="138"/>
  <c r="U26" i="138"/>
  <c r="V26" i="138" s="1"/>
  <c r="S26" i="138"/>
  <c r="R26" i="138"/>
  <c r="J26" i="138"/>
  <c r="I26" i="138"/>
  <c r="U25" i="138"/>
  <c r="V25" i="138" s="1"/>
  <c r="S25" i="138"/>
  <c r="R25" i="138"/>
  <c r="J25" i="138"/>
  <c r="I25" i="138"/>
  <c r="W25" i="138" s="1"/>
  <c r="U24" i="138"/>
  <c r="V24" i="138" s="1"/>
  <c r="S24" i="138"/>
  <c r="R24" i="138"/>
  <c r="J24" i="138"/>
  <c r="I24" i="138"/>
  <c r="U23" i="138"/>
  <c r="V23" i="138" s="1"/>
  <c r="S23" i="138"/>
  <c r="R23" i="138"/>
  <c r="J23" i="138"/>
  <c r="I23" i="138"/>
  <c r="U22" i="138"/>
  <c r="V22" i="138" s="1"/>
  <c r="S22" i="138"/>
  <c r="R22" i="138"/>
  <c r="J22" i="138"/>
  <c r="I22" i="138"/>
  <c r="W22" i="138" s="1"/>
  <c r="U21" i="138"/>
  <c r="V21" i="138" s="1"/>
  <c r="S21" i="138"/>
  <c r="R21" i="138"/>
  <c r="J21" i="138"/>
  <c r="I21" i="138"/>
  <c r="W21" i="138" s="1"/>
  <c r="U20" i="138"/>
  <c r="V20" i="138" s="1"/>
  <c r="S20" i="138"/>
  <c r="R20" i="138"/>
  <c r="J20" i="138"/>
  <c r="I20" i="138"/>
  <c r="W20" i="138" s="1"/>
  <c r="U19" i="138"/>
  <c r="V19" i="138" s="1"/>
  <c r="S19" i="138"/>
  <c r="R19" i="138"/>
  <c r="J19" i="138"/>
  <c r="I19" i="138"/>
  <c r="W19" i="138" s="1"/>
  <c r="U18" i="138"/>
  <c r="V18" i="138" s="1"/>
  <c r="S18" i="138"/>
  <c r="R18" i="138"/>
  <c r="J18" i="138"/>
  <c r="I18" i="138"/>
  <c r="W18" i="138" s="1"/>
  <c r="U17" i="138"/>
  <c r="V17" i="138" s="1"/>
  <c r="S17" i="138"/>
  <c r="R17" i="138"/>
  <c r="J17" i="138"/>
  <c r="I17" i="138"/>
  <c r="W17" i="138" s="1"/>
  <c r="U16" i="138"/>
  <c r="V16" i="138" s="1"/>
  <c r="S16" i="138"/>
  <c r="R16" i="138"/>
  <c r="J16" i="138"/>
  <c r="I16" i="138"/>
  <c r="W16" i="138" s="1"/>
  <c r="U15" i="138"/>
  <c r="V15" i="138" s="1"/>
  <c r="S15" i="138"/>
  <c r="R15" i="138"/>
  <c r="J15" i="138"/>
  <c r="I15" i="138"/>
  <c r="W15" i="138" s="1"/>
  <c r="U14" i="138"/>
  <c r="V14" i="138" s="1"/>
  <c r="S14" i="138"/>
  <c r="R14" i="138"/>
  <c r="J14" i="138"/>
  <c r="I14" i="138"/>
  <c r="U13" i="138"/>
  <c r="V13" i="138" s="1"/>
  <c r="S13" i="138"/>
  <c r="R13" i="138"/>
  <c r="J13" i="138"/>
  <c r="I13" i="138"/>
  <c r="U12" i="138"/>
  <c r="V12" i="138" s="1"/>
  <c r="S12" i="138"/>
  <c r="R12" i="138"/>
  <c r="J12" i="138"/>
  <c r="I12" i="138"/>
  <c r="W12" i="138" s="1"/>
  <c r="U11" i="138"/>
  <c r="V11" i="138" s="1"/>
  <c r="S11" i="138"/>
  <c r="R11" i="138"/>
  <c r="J11" i="138"/>
  <c r="I11" i="138"/>
  <c r="W11" i="138" s="1"/>
  <c r="U10" i="138"/>
  <c r="V10" i="138" s="1"/>
  <c r="S10" i="138"/>
  <c r="R10" i="138"/>
  <c r="J10" i="138"/>
  <c r="I10" i="138"/>
  <c r="W10" i="138" s="1"/>
  <c r="U9" i="138"/>
  <c r="V9" i="138" s="1"/>
  <c r="S9" i="138"/>
  <c r="R9" i="138"/>
  <c r="J9" i="138"/>
  <c r="I9" i="138"/>
  <c r="W9" i="138" s="1"/>
  <c r="A9" i="138"/>
  <c r="A10" i="138" s="1"/>
  <c r="A11" i="138" s="1"/>
  <c r="A12" i="138" s="1"/>
  <c r="A13" i="138" s="1"/>
  <c r="A14" i="138" s="1"/>
  <c r="A15" i="138" s="1"/>
  <c r="A16" i="138" s="1"/>
  <c r="A17" i="138" s="1"/>
  <c r="A18" i="138" s="1"/>
  <c r="A19" i="138" s="1"/>
  <c r="A20" i="138" s="1"/>
  <c r="A21" i="138" s="1"/>
  <c r="A22" i="138" s="1"/>
  <c r="A23" i="138" s="1"/>
  <c r="A24" i="138" s="1"/>
  <c r="A25" i="138" s="1"/>
  <c r="A26" i="138" s="1"/>
  <c r="A27" i="138" s="1"/>
  <c r="A28" i="138" s="1"/>
  <c r="A29" i="138" s="1"/>
  <c r="A30" i="138" s="1"/>
  <c r="A31" i="138" s="1"/>
  <c r="A32" i="138" s="1"/>
  <c r="A33" i="138" s="1"/>
  <c r="A34" i="138" s="1"/>
  <c r="A35" i="138" s="1"/>
  <c r="A36" i="138" s="1"/>
  <c r="A37" i="138" s="1"/>
  <c r="A38" i="138" s="1"/>
  <c r="A39" i="138" s="1"/>
  <c r="A40" i="138" s="1"/>
  <c r="A41" i="138" s="1"/>
  <c r="A42" i="138" s="1"/>
  <c r="A43" i="138" s="1"/>
  <c r="A44" i="138" s="1"/>
  <c r="A45" i="138" s="1"/>
  <c r="A46" i="138" s="1"/>
  <c r="A47" i="138" s="1"/>
  <c r="A48" i="138" s="1"/>
  <c r="A49" i="138" s="1"/>
  <c r="A50" i="138" s="1"/>
  <c r="A51" i="138" s="1"/>
  <c r="A52" i="138" s="1"/>
  <c r="A53" i="138" s="1"/>
  <c r="A54" i="138" s="1"/>
  <c r="A55" i="138" s="1"/>
  <c r="A56" i="138" s="1"/>
  <c r="A57" i="138" s="1"/>
  <c r="A58" i="138" s="1"/>
  <c r="A59" i="138" s="1"/>
  <c r="U8" i="138"/>
  <c r="S8" i="138"/>
  <c r="S60" i="138" s="1"/>
  <c r="R8" i="138"/>
  <c r="R60" i="138" s="1"/>
  <c r="J8" i="138"/>
  <c r="J60" i="138" s="1"/>
  <c r="I8" i="138"/>
  <c r="Q60" i="137"/>
  <c r="P60" i="137"/>
  <c r="O60" i="137"/>
  <c r="N60" i="137"/>
  <c r="M60" i="137"/>
  <c r="L60" i="137"/>
  <c r="H60" i="137"/>
  <c r="G60" i="137"/>
  <c r="E60" i="137"/>
  <c r="D60" i="137"/>
  <c r="C60" i="137"/>
  <c r="S59" i="137"/>
  <c r="R59" i="137"/>
  <c r="J59" i="137"/>
  <c r="I59" i="137"/>
  <c r="S58" i="137"/>
  <c r="R58" i="137"/>
  <c r="J58" i="137"/>
  <c r="I58" i="137"/>
  <c r="S57" i="137"/>
  <c r="R57" i="137"/>
  <c r="J57" i="137"/>
  <c r="I57" i="137"/>
  <c r="S56" i="137"/>
  <c r="R56" i="137"/>
  <c r="J56" i="137"/>
  <c r="I56" i="137"/>
  <c r="S55" i="137"/>
  <c r="R55" i="137"/>
  <c r="J55" i="137"/>
  <c r="I55" i="137"/>
  <c r="U54" i="137"/>
  <c r="V54" i="137" s="1"/>
  <c r="S54" i="137"/>
  <c r="R54" i="137"/>
  <c r="J54" i="137"/>
  <c r="I54" i="137"/>
  <c r="W54" i="137" s="1"/>
  <c r="U53" i="137"/>
  <c r="V53" i="137" s="1"/>
  <c r="S53" i="137"/>
  <c r="R53" i="137"/>
  <c r="J53" i="137"/>
  <c r="I53" i="137"/>
  <c r="W53" i="137" s="1"/>
  <c r="U52" i="137"/>
  <c r="V52" i="137" s="1"/>
  <c r="S52" i="137"/>
  <c r="R52" i="137"/>
  <c r="J52" i="137"/>
  <c r="I52" i="137"/>
  <c r="W52" i="137" s="1"/>
  <c r="U51" i="137"/>
  <c r="V51" i="137" s="1"/>
  <c r="S51" i="137"/>
  <c r="R51" i="137"/>
  <c r="J51" i="137"/>
  <c r="I51" i="137"/>
  <c r="W51" i="137" s="1"/>
  <c r="U50" i="137"/>
  <c r="V50" i="137" s="1"/>
  <c r="S50" i="137"/>
  <c r="R50" i="137"/>
  <c r="J50" i="137"/>
  <c r="I50" i="137"/>
  <c r="W50" i="137" s="1"/>
  <c r="U49" i="137"/>
  <c r="V49" i="137" s="1"/>
  <c r="S49" i="137"/>
  <c r="R49" i="137"/>
  <c r="J49" i="137"/>
  <c r="I49" i="137"/>
  <c r="W49" i="137" s="1"/>
  <c r="U48" i="137"/>
  <c r="V48" i="137" s="1"/>
  <c r="S48" i="137"/>
  <c r="R48" i="137"/>
  <c r="J48" i="137"/>
  <c r="I48" i="137"/>
  <c r="U47" i="137"/>
  <c r="V47" i="137" s="1"/>
  <c r="S47" i="137"/>
  <c r="R47" i="137"/>
  <c r="J47" i="137"/>
  <c r="I47" i="137"/>
  <c r="W47" i="137" s="1"/>
  <c r="U46" i="137"/>
  <c r="V46" i="137" s="1"/>
  <c r="S46" i="137"/>
  <c r="R46" i="137"/>
  <c r="J46" i="137"/>
  <c r="I46" i="137"/>
  <c r="W46" i="137" s="1"/>
  <c r="S45" i="137"/>
  <c r="R45" i="137"/>
  <c r="J45" i="137"/>
  <c r="I45" i="137"/>
  <c r="U44" i="137"/>
  <c r="V44" i="137" s="1"/>
  <c r="S44" i="137"/>
  <c r="R44" i="137"/>
  <c r="J44" i="137"/>
  <c r="I44" i="137"/>
  <c r="S43" i="137"/>
  <c r="R43" i="137"/>
  <c r="J43" i="137"/>
  <c r="I43" i="137"/>
  <c r="U42" i="137"/>
  <c r="V42" i="137" s="1"/>
  <c r="S42" i="137"/>
  <c r="R42" i="137"/>
  <c r="J42" i="137"/>
  <c r="I42" i="137"/>
  <c r="W42" i="137" s="1"/>
  <c r="U41" i="137"/>
  <c r="V41" i="137" s="1"/>
  <c r="S41" i="137"/>
  <c r="R41" i="137"/>
  <c r="J41" i="137"/>
  <c r="I41" i="137"/>
  <c r="U40" i="137"/>
  <c r="V40" i="137" s="1"/>
  <c r="S40" i="137"/>
  <c r="R40" i="137"/>
  <c r="J40" i="137"/>
  <c r="I40" i="137"/>
  <c r="W40" i="137" s="1"/>
  <c r="U39" i="137"/>
  <c r="V39" i="137" s="1"/>
  <c r="S39" i="137"/>
  <c r="R39" i="137"/>
  <c r="J39" i="137"/>
  <c r="I39" i="137"/>
  <c r="W39" i="137" s="1"/>
  <c r="U38" i="137"/>
  <c r="V38" i="137" s="1"/>
  <c r="S38" i="137"/>
  <c r="R38" i="137"/>
  <c r="J38" i="137"/>
  <c r="I38" i="137"/>
  <c r="U37" i="137"/>
  <c r="V37" i="137" s="1"/>
  <c r="S37" i="137"/>
  <c r="R37" i="137"/>
  <c r="J37" i="137"/>
  <c r="I37" i="137"/>
  <c r="W37" i="137" s="1"/>
  <c r="U36" i="137"/>
  <c r="V36" i="137" s="1"/>
  <c r="S36" i="137"/>
  <c r="R36" i="137"/>
  <c r="J36" i="137"/>
  <c r="I36" i="137"/>
  <c r="W36" i="137" s="1"/>
  <c r="U35" i="137"/>
  <c r="V35" i="137" s="1"/>
  <c r="S35" i="137"/>
  <c r="R35" i="137"/>
  <c r="J35" i="137"/>
  <c r="U34" i="137"/>
  <c r="V34" i="137" s="1"/>
  <c r="S34" i="137"/>
  <c r="R34" i="137"/>
  <c r="J34" i="137"/>
  <c r="I34" i="137"/>
  <c r="W34" i="137" s="1"/>
  <c r="U33" i="137"/>
  <c r="V33" i="137" s="1"/>
  <c r="S33" i="137"/>
  <c r="R33" i="137"/>
  <c r="J33" i="137"/>
  <c r="I33" i="137"/>
  <c r="W33" i="137" s="1"/>
  <c r="U32" i="137"/>
  <c r="V32" i="137" s="1"/>
  <c r="S32" i="137"/>
  <c r="R32" i="137"/>
  <c r="J32" i="137"/>
  <c r="I32" i="137"/>
  <c r="W32" i="137" s="1"/>
  <c r="U31" i="137"/>
  <c r="V31" i="137" s="1"/>
  <c r="S31" i="137"/>
  <c r="R31" i="137"/>
  <c r="J31" i="137"/>
  <c r="I31" i="137"/>
  <c r="W31" i="137" s="1"/>
  <c r="U30" i="137"/>
  <c r="V30" i="137" s="1"/>
  <c r="S30" i="137"/>
  <c r="R30" i="137"/>
  <c r="J30" i="137"/>
  <c r="U29" i="137"/>
  <c r="V29" i="137" s="1"/>
  <c r="S29" i="137"/>
  <c r="R29" i="137"/>
  <c r="J29" i="137"/>
  <c r="U28" i="137"/>
  <c r="V28" i="137" s="1"/>
  <c r="S28" i="137"/>
  <c r="R28" i="137"/>
  <c r="J28" i="137"/>
  <c r="I28" i="137"/>
  <c r="W28" i="137" s="1"/>
  <c r="U27" i="137"/>
  <c r="V27" i="137" s="1"/>
  <c r="S27" i="137"/>
  <c r="R27" i="137"/>
  <c r="J27" i="137"/>
  <c r="I27" i="137"/>
  <c r="W27" i="137" s="1"/>
  <c r="BE26" i="137"/>
  <c r="U26" i="137"/>
  <c r="V26" i="137" s="1"/>
  <c r="S26" i="137"/>
  <c r="R26" i="137"/>
  <c r="J26" i="137"/>
  <c r="I26" i="137"/>
  <c r="U25" i="137"/>
  <c r="V25" i="137" s="1"/>
  <c r="S25" i="137"/>
  <c r="R25" i="137"/>
  <c r="J25" i="137"/>
  <c r="I25" i="137"/>
  <c r="W25" i="137" s="1"/>
  <c r="U24" i="137"/>
  <c r="V24" i="137" s="1"/>
  <c r="S24" i="137"/>
  <c r="R24" i="137"/>
  <c r="J24" i="137"/>
  <c r="I24" i="137"/>
  <c r="U23" i="137"/>
  <c r="V23" i="137" s="1"/>
  <c r="S23" i="137"/>
  <c r="R23" i="137"/>
  <c r="J23" i="137"/>
  <c r="I23" i="137"/>
  <c r="U22" i="137"/>
  <c r="V22" i="137" s="1"/>
  <c r="S22" i="137"/>
  <c r="R22" i="137"/>
  <c r="J22" i="137"/>
  <c r="I22" i="137"/>
  <c r="W22" i="137" s="1"/>
  <c r="U21" i="137"/>
  <c r="V21" i="137" s="1"/>
  <c r="S21" i="137"/>
  <c r="R21" i="137"/>
  <c r="J21" i="137"/>
  <c r="I21" i="137"/>
  <c r="W21" i="137" s="1"/>
  <c r="U20" i="137"/>
  <c r="V20" i="137" s="1"/>
  <c r="S20" i="137"/>
  <c r="R20" i="137"/>
  <c r="J20" i="137"/>
  <c r="I20" i="137"/>
  <c r="U19" i="137"/>
  <c r="V19" i="137" s="1"/>
  <c r="S19" i="137"/>
  <c r="R19" i="137"/>
  <c r="J19" i="137"/>
  <c r="I19" i="137"/>
  <c r="W19" i="137" s="1"/>
  <c r="U18" i="137"/>
  <c r="V18" i="137" s="1"/>
  <c r="S18" i="137"/>
  <c r="R18" i="137"/>
  <c r="J18" i="137"/>
  <c r="I18" i="137"/>
  <c r="W18" i="137" s="1"/>
  <c r="U17" i="137"/>
  <c r="V17" i="137" s="1"/>
  <c r="S17" i="137"/>
  <c r="R17" i="137"/>
  <c r="J17" i="137"/>
  <c r="I17" i="137"/>
  <c r="W17" i="137" s="1"/>
  <c r="U16" i="137"/>
  <c r="V16" i="137" s="1"/>
  <c r="S16" i="137"/>
  <c r="R16" i="137"/>
  <c r="J16" i="137"/>
  <c r="I16" i="137"/>
  <c r="W16" i="137" s="1"/>
  <c r="U15" i="137"/>
  <c r="V15" i="137" s="1"/>
  <c r="S15" i="137"/>
  <c r="R15" i="137"/>
  <c r="J15" i="137"/>
  <c r="I15" i="137"/>
  <c r="W15" i="137" s="1"/>
  <c r="U14" i="137"/>
  <c r="V14" i="137" s="1"/>
  <c r="S14" i="137"/>
  <c r="R14" i="137"/>
  <c r="J14" i="137"/>
  <c r="I14" i="137"/>
  <c r="U13" i="137"/>
  <c r="V13" i="137" s="1"/>
  <c r="S13" i="137"/>
  <c r="R13" i="137"/>
  <c r="J13" i="137"/>
  <c r="I13" i="137"/>
  <c r="U12" i="137"/>
  <c r="V12" i="137" s="1"/>
  <c r="S12" i="137"/>
  <c r="R12" i="137"/>
  <c r="J12" i="137"/>
  <c r="I12" i="137"/>
  <c r="U11" i="137"/>
  <c r="V11" i="137" s="1"/>
  <c r="S11" i="137"/>
  <c r="R11" i="137"/>
  <c r="J11" i="137"/>
  <c r="I11" i="137"/>
  <c r="W11" i="137" s="1"/>
  <c r="U10" i="137"/>
  <c r="V10" i="137" s="1"/>
  <c r="S10" i="137"/>
  <c r="R10" i="137"/>
  <c r="J10" i="137"/>
  <c r="I10" i="137"/>
  <c r="W10" i="137" s="1"/>
  <c r="U9" i="137"/>
  <c r="V9" i="137" s="1"/>
  <c r="S9" i="137"/>
  <c r="R9" i="137"/>
  <c r="J9" i="137"/>
  <c r="I9" i="137"/>
  <c r="W9" i="137" s="1"/>
  <c r="A9" i="137"/>
  <c r="A10" i="137" s="1"/>
  <c r="A11" i="137" s="1"/>
  <c r="A12" i="137" s="1"/>
  <c r="A13" i="137" s="1"/>
  <c r="A14" i="137" s="1"/>
  <c r="A15" i="137" s="1"/>
  <c r="A16" i="137" s="1"/>
  <c r="A17" i="137" s="1"/>
  <c r="A18" i="137" s="1"/>
  <c r="A19" i="137" s="1"/>
  <c r="A20" i="137" s="1"/>
  <c r="A21" i="137" s="1"/>
  <c r="A22" i="137" s="1"/>
  <c r="A23" i="137" s="1"/>
  <c r="A24" i="137" s="1"/>
  <c r="A25" i="137" s="1"/>
  <c r="A26" i="137" s="1"/>
  <c r="A27" i="137" s="1"/>
  <c r="A28" i="137" s="1"/>
  <c r="A29" i="137" s="1"/>
  <c r="A30" i="137" s="1"/>
  <c r="A31" i="137" s="1"/>
  <c r="A32" i="137" s="1"/>
  <c r="A33" i="137" s="1"/>
  <c r="A34" i="137" s="1"/>
  <c r="A35" i="137" s="1"/>
  <c r="A36" i="137" s="1"/>
  <c r="A37" i="137" s="1"/>
  <c r="A38" i="137" s="1"/>
  <c r="A39" i="137" s="1"/>
  <c r="A40" i="137" s="1"/>
  <c r="A41" i="137" s="1"/>
  <c r="A42" i="137" s="1"/>
  <c r="A43" i="137" s="1"/>
  <c r="A44" i="137" s="1"/>
  <c r="A45" i="137" s="1"/>
  <c r="A46" i="137" s="1"/>
  <c r="A47" i="137" s="1"/>
  <c r="A48" i="137" s="1"/>
  <c r="A49" i="137" s="1"/>
  <c r="A50" i="137" s="1"/>
  <c r="A51" i="137" s="1"/>
  <c r="A52" i="137" s="1"/>
  <c r="A53" i="137" s="1"/>
  <c r="A54" i="137" s="1"/>
  <c r="A55" i="137" s="1"/>
  <c r="A56" i="137" s="1"/>
  <c r="A57" i="137" s="1"/>
  <c r="A58" i="137" s="1"/>
  <c r="A59" i="137" s="1"/>
  <c r="U8" i="137"/>
  <c r="S8" i="137"/>
  <c r="R8" i="137"/>
  <c r="J8" i="137"/>
  <c r="I8" i="137"/>
  <c r="Q60" i="136"/>
  <c r="P60" i="136"/>
  <c r="O60" i="136"/>
  <c r="N60" i="136"/>
  <c r="M60" i="136"/>
  <c r="L60" i="136"/>
  <c r="H60" i="136"/>
  <c r="G60" i="136"/>
  <c r="E60" i="136"/>
  <c r="D60" i="136"/>
  <c r="C60" i="136"/>
  <c r="S59" i="136"/>
  <c r="R59" i="136"/>
  <c r="J59" i="136"/>
  <c r="I59" i="136"/>
  <c r="S58" i="136"/>
  <c r="R58" i="136"/>
  <c r="J58" i="136"/>
  <c r="I58" i="136"/>
  <c r="S57" i="136"/>
  <c r="R57" i="136"/>
  <c r="J57" i="136"/>
  <c r="I57" i="136"/>
  <c r="S56" i="136"/>
  <c r="R56" i="136"/>
  <c r="J56" i="136"/>
  <c r="I56" i="136"/>
  <c r="S55" i="136"/>
  <c r="R55" i="136"/>
  <c r="J55" i="136"/>
  <c r="I55" i="136"/>
  <c r="U54" i="136"/>
  <c r="V54" i="136" s="1"/>
  <c r="S54" i="136"/>
  <c r="R54" i="136"/>
  <c r="J54" i="136"/>
  <c r="I54" i="136"/>
  <c r="W54" i="136" s="1"/>
  <c r="U53" i="136"/>
  <c r="V53" i="136" s="1"/>
  <c r="S53" i="136"/>
  <c r="R53" i="136"/>
  <c r="J53" i="136"/>
  <c r="I53" i="136"/>
  <c r="W53" i="136" s="1"/>
  <c r="U52" i="136"/>
  <c r="V52" i="136" s="1"/>
  <c r="S52" i="136"/>
  <c r="R52" i="136"/>
  <c r="J52" i="136"/>
  <c r="I52" i="136"/>
  <c r="W52" i="136" s="1"/>
  <c r="U51" i="136"/>
  <c r="V51" i="136" s="1"/>
  <c r="S51" i="136"/>
  <c r="R51" i="136"/>
  <c r="J51" i="136"/>
  <c r="I51" i="136"/>
  <c r="W51" i="136" s="1"/>
  <c r="U50" i="136"/>
  <c r="V50" i="136" s="1"/>
  <c r="S50" i="136"/>
  <c r="R50" i="136"/>
  <c r="J50" i="136"/>
  <c r="I50" i="136"/>
  <c r="W50" i="136" s="1"/>
  <c r="U49" i="136"/>
  <c r="V49" i="136" s="1"/>
  <c r="S49" i="136"/>
  <c r="R49" i="136"/>
  <c r="J49" i="136"/>
  <c r="I49" i="136"/>
  <c r="W49" i="136" s="1"/>
  <c r="U48" i="136"/>
  <c r="V48" i="136" s="1"/>
  <c r="S48" i="136"/>
  <c r="R48" i="136"/>
  <c r="J48" i="136"/>
  <c r="I48" i="136"/>
  <c r="U47" i="136"/>
  <c r="V47" i="136" s="1"/>
  <c r="S47" i="136"/>
  <c r="R47" i="136"/>
  <c r="J47" i="136"/>
  <c r="I47" i="136"/>
  <c r="W47" i="136" s="1"/>
  <c r="U46" i="136"/>
  <c r="V46" i="136" s="1"/>
  <c r="S46" i="136"/>
  <c r="R46" i="136"/>
  <c r="J46" i="136"/>
  <c r="I46" i="136"/>
  <c r="W46" i="136" s="1"/>
  <c r="S45" i="136"/>
  <c r="R45" i="136"/>
  <c r="J45" i="136"/>
  <c r="I45" i="136"/>
  <c r="U44" i="136"/>
  <c r="V44" i="136" s="1"/>
  <c r="S44" i="136"/>
  <c r="R44" i="136"/>
  <c r="J44" i="136"/>
  <c r="I44" i="136"/>
  <c r="S43" i="136"/>
  <c r="R43" i="136"/>
  <c r="J43" i="136"/>
  <c r="I43" i="136"/>
  <c r="U42" i="136"/>
  <c r="V42" i="136" s="1"/>
  <c r="S42" i="136"/>
  <c r="R42" i="136"/>
  <c r="J42" i="136"/>
  <c r="I42" i="136"/>
  <c r="W42" i="136" s="1"/>
  <c r="U41" i="136"/>
  <c r="V41" i="136" s="1"/>
  <c r="S41" i="136"/>
  <c r="R41" i="136"/>
  <c r="J41" i="136"/>
  <c r="I41" i="136"/>
  <c r="W41" i="136" s="1"/>
  <c r="U40" i="136"/>
  <c r="V40" i="136" s="1"/>
  <c r="S40" i="136"/>
  <c r="R40" i="136"/>
  <c r="J40" i="136"/>
  <c r="I40" i="136"/>
  <c r="W40" i="136" s="1"/>
  <c r="U39" i="136"/>
  <c r="V39" i="136" s="1"/>
  <c r="S39" i="136"/>
  <c r="R39" i="136"/>
  <c r="J39" i="136"/>
  <c r="I39" i="136"/>
  <c r="W39" i="136" s="1"/>
  <c r="U38" i="136"/>
  <c r="V38" i="136" s="1"/>
  <c r="S38" i="136"/>
  <c r="R38" i="136"/>
  <c r="J38" i="136"/>
  <c r="I38" i="136"/>
  <c r="W38" i="136" s="1"/>
  <c r="U37" i="136"/>
  <c r="V37" i="136" s="1"/>
  <c r="S37" i="136"/>
  <c r="R37" i="136"/>
  <c r="J37" i="136"/>
  <c r="I37" i="136"/>
  <c r="W37" i="136" s="1"/>
  <c r="U36" i="136"/>
  <c r="V36" i="136" s="1"/>
  <c r="S36" i="136"/>
  <c r="R36" i="136"/>
  <c r="J36" i="136"/>
  <c r="I36" i="136"/>
  <c r="W36" i="136" s="1"/>
  <c r="U35" i="136"/>
  <c r="V35" i="136" s="1"/>
  <c r="S35" i="136"/>
  <c r="R35" i="136"/>
  <c r="J35" i="136"/>
  <c r="I35" i="136"/>
  <c r="U34" i="136"/>
  <c r="V34" i="136" s="1"/>
  <c r="S34" i="136"/>
  <c r="R34" i="136"/>
  <c r="J34" i="136"/>
  <c r="I34" i="136"/>
  <c r="W34" i="136" s="1"/>
  <c r="U33" i="136"/>
  <c r="V33" i="136" s="1"/>
  <c r="S33" i="136"/>
  <c r="R33" i="136"/>
  <c r="J33" i="136"/>
  <c r="I33" i="136"/>
  <c r="W33" i="136" s="1"/>
  <c r="U32" i="136"/>
  <c r="V32" i="136" s="1"/>
  <c r="S32" i="136"/>
  <c r="R32" i="136"/>
  <c r="J32" i="136"/>
  <c r="I32" i="136"/>
  <c r="W32" i="136" s="1"/>
  <c r="U31" i="136"/>
  <c r="V31" i="136" s="1"/>
  <c r="S31" i="136"/>
  <c r="R31" i="136"/>
  <c r="J31" i="136"/>
  <c r="I31" i="136"/>
  <c r="W31" i="136" s="1"/>
  <c r="U30" i="136"/>
  <c r="V30" i="136" s="1"/>
  <c r="S30" i="136"/>
  <c r="R30" i="136"/>
  <c r="J30" i="136"/>
  <c r="I30" i="136"/>
  <c r="W30" i="136" s="1"/>
  <c r="U29" i="136"/>
  <c r="V29" i="136" s="1"/>
  <c r="S29" i="136"/>
  <c r="R29" i="136"/>
  <c r="J29" i="136"/>
  <c r="I29" i="136"/>
  <c r="W29" i="136" s="1"/>
  <c r="U28" i="136"/>
  <c r="V28" i="136" s="1"/>
  <c r="S28" i="136"/>
  <c r="R28" i="136"/>
  <c r="J28" i="136"/>
  <c r="I28" i="136"/>
  <c r="W28" i="136" s="1"/>
  <c r="U27" i="136"/>
  <c r="V27" i="136" s="1"/>
  <c r="S27" i="136"/>
  <c r="R27" i="136"/>
  <c r="J27" i="136"/>
  <c r="I27" i="136"/>
  <c r="W27" i="136" s="1"/>
  <c r="BE26" i="136"/>
  <c r="U26" i="136"/>
  <c r="V26" i="136" s="1"/>
  <c r="S26" i="136"/>
  <c r="R26" i="136"/>
  <c r="J26" i="136"/>
  <c r="I26" i="136"/>
  <c r="U25" i="136"/>
  <c r="V25" i="136" s="1"/>
  <c r="S25" i="136"/>
  <c r="R25" i="136"/>
  <c r="J25" i="136"/>
  <c r="I25" i="136"/>
  <c r="W25" i="136" s="1"/>
  <c r="U24" i="136"/>
  <c r="V24" i="136" s="1"/>
  <c r="S24" i="136"/>
  <c r="R24" i="136"/>
  <c r="J24" i="136"/>
  <c r="I24" i="136"/>
  <c r="U23" i="136"/>
  <c r="V23" i="136" s="1"/>
  <c r="S23" i="136"/>
  <c r="R23" i="136"/>
  <c r="J23" i="136"/>
  <c r="I23" i="136"/>
  <c r="W23" i="136" s="1"/>
  <c r="U22" i="136"/>
  <c r="V22" i="136" s="1"/>
  <c r="S22" i="136"/>
  <c r="R22" i="136"/>
  <c r="J22" i="136"/>
  <c r="I22" i="136"/>
  <c r="W22" i="136" s="1"/>
  <c r="U21" i="136"/>
  <c r="V21" i="136" s="1"/>
  <c r="S21" i="136"/>
  <c r="R21" i="136"/>
  <c r="J21" i="136"/>
  <c r="I21" i="136"/>
  <c r="W21" i="136" s="1"/>
  <c r="U20" i="136"/>
  <c r="V20" i="136" s="1"/>
  <c r="S20" i="136"/>
  <c r="R20" i="136"/>
  <c r="J20" i="136"/>
  <c r="I20" i="136"/>
  <c r="U19" i="136"/>
  <c r="V19" i="136" s="1"/>
  <c r="S19" i="136"/>
  <c r="R19" i="136"/>
  <c r="J19" i="136"/>
  <c r="I19" i="136"/>
  <c r="W19" i="136" s="1"/>
  <c r="U18" i="136"/>
  <c r="V18" i="136" s="1"/>
  <c r="S18" i="136"/>
  <c r="R18" i="136"/>
  <c r="J18" i="136"/>
  <c r="I18" i="136"/>
  <c r="W18" i="136" s="1"/>
  <c r="U17" i="136"/>
  <c r="V17" i="136" s="1"/>
  <c r="S17" i="136"/>
  <c r="R17" i="136"/>
  <c r="J17" i="136"/>
  <c r="I17" i="136"/>
  <c r="W17" i="136" s="1"/>
  <c r="U16" i="136"/>
  <c r="V16" i="136" s="1"/>
  <c r="S16" i="136"/>
  <c r="R16" i="136"/>
  <c r="J16" i="136"/>
  <c r="I16" i="136"/>
  <c r="W16" i="136" s="1"/>
  <c r="U15" i="136"/>
  <c r="V15" i="136" s="1"/>
  <c r="S15" i="136"/>
  <c r="R15" i="136"/>
  <c r="J15" i="136"/>
  <c r="I15" i="136"/>
  <c r="W15" i="136" s="1"/>
  <c r="U14" i="136"/>
  <c r="V14" i="136" s="1"/>
  <c r="S14" i="136"/>
  <c r="R14" i="136"/>
  <c r="J14" i="136"/>
  <c r="I14" i="136"/>
  <c r="W14" i="136" s="1"/>
  <c r="U13" i="136"/>
  <c r="V13" i="136" s="1"/>
  <c r="S13" i="136"/>
  <c r="R13" i="136"/>
  <c r="J13" i="136"/>
  <c r="I13" i="136"/>
  <c r="U12" i="136"/>
  <c r="V12" i="136" s="1"/>
  <c r="S12" i="136"/>
  <c r="R12" i="136"/>
  <c r="J12" i="136"/>
  <c r="I12" i="136"/>
  <c r="U11" i="136"/>
  <c r="V11" i="136" s="1"/>
  <c r="S11" i="136"/>
  <c r="R11" i="136"/>
  <c r="J11" i="136"/>
  <c r="I11" i="136"/>
  <c r="W11" i="136" s="1"/>
  <c r="U10" i="136"/>
  <c r="V10" i="136" s="1"/>
  <c r="S10" i="136"/>
  <c r="R10" i="136"/>
  <c r="J10" i="136"/>
  <c r="I10" i="136"/>
  <c r="W10" i="136" s="1"/>
  <c r="U9" i="136"/>
  <c r="V9" i="136" s="1"/>
  <c r="S9" i="136"/>
  <c r="R9" i="136"/>
  <c r="J9" i="136"/>
  <c r="I9" i="136"/>
  <c r="W9" i="136" s="1"/>
  <c r="A9" i="136"/>
  <c r="A10" i="136" s="1"/>
  <c r="A11" i="136" s="1"/>
  <c r="A12" i="136" s="1"/>
  <c r="A13" i="136" s="1"/>
  <c r="A14" i="136" s="1"/>
  <c r="A15" i="136" s="1"/>
  <c r="A16" i="136" s="1"/>
  <c r="A17" i="136" s="1"/>
  <c r="A18" i="136" s="1"/>
  <c r="A19" i="136" s="1"/>
  <c r="A20" i="136" s="1"/>
  <c r="A21" i="136" s="1"/>
  <c r="A22" i="136" s="1"/>
  <c r="A23" i="136" s="1"/>
  <c r="A24" i="136" s="1"/>
  <c r="A25" i="136" s="1"/>
  <c r="A26" i="136" s="1"/>
  <c r="A27" i="136" s="1"/>
  <c r="A28" i="136" s="1"/>
  <c r="A29" i="136" s="1"/>
  <c r="A30" i="136" s="1"/>
  <c r="A31" i="136" s="1"/>
  <c r="A32" i="136" s="1"/>
  <c r="A33" i="136" s="1"/>
  <c r="A34" i="136" s="1"/>
  <c r="A35" i="136" s="1"/>
  <c r="A36" i="136" s="1"/>
  <c r="A37" i="136" s="1"/>
  <c r="A38" i="136" s="1"/>
  <c r="A39" i="136" s="1"/>
  <c r="A40" i="136" s="1"/>
  <c r="A41" i="136" s="1"/>
  <c r="A42" i="136" s="1"/>
  <c r="A43" i="136" s="1"/>
  <c r="A44" i="136" s="1"/>
  <c r="A45" i="136" s="1"/>
  <c r="A46" i="136" s="1"/>
  <c r="A47" i="136" s="1"/>
  <c r="A48" i="136" s="1"/>
  <c r="A49" i="136" s="1"/>
  <c r="A50" i="136" s="1"/>
  <c r="A51" i="136" s="1"/>
  <c r="A52" i="136" s="1"/>
  <c r="A53" i="136" s="1"/>
  <c r="A54" i="136" s="1"/>
  <c r="A55" i="136" s="1"/>
  <c r="A56" i="136" s="1"/>
  <c r="A57" i="136" s="1"/>
  <c r="A58" i="136" s="1"/>
  <c r="A59" i="136" s="1"/>
  <c r="U8" i="136"/>
  <c r="S8" i="136"/>
  <c r="R8" i="136"/>
  <c r="J8" i="136"/>
  <c r="I8" i="136"/>
  <c r="Q60" i="135"/>
  <c r="P60" i="135"/>
  <c r="O60" i="135"/>
  <c r="N60" i="135"/>
  <c r="M60" i="135"/>
  <c r="L60" i="135"/>
  <c r="H60" i="135"/>
  <c r="G60" i="135"/>
  <c r="E60" i="135"/>
  <c r="D60" i="135"/>
  <c r="C60" i="135"/>
  <c r="S59" i="135"/>
  <c r="R59" i="135"/>
  <c r="J59" i="135"/>
  <c r="I59" i="135"/>
  <c r="S58" i="135"/>
  <c r="R58" i="135"/>
  <c r="J58" i="135"/>
  <c r="I58" i="135"/>
  <c r="S57" i="135"/>
  <c r="R57" i="135"/>
  <c r="J57" i="135"/>
  <c r="I57" i="135"/>
  <c r="S56" i="135"/>
  <c r="R56" i="135"/>
  <c r="J56" i="135"/>
  <c r="I56" i="135"/>
  <c r="S55" i="135"/>
  <c r="R55" i="135"/>
  <c r="J55" i="135"/>
  <c r="I55" i="135"/>
  <c r="U54" i="135"/>
  <c r="V54" i="135" s="1"/>
  <c r="S54" i="135"/>
  <c r="R54" i="135"/>
  <c r="J54" i="135"/>
  <c r="I54" i="135"/>
  <c r="W54" i="135" s="1"/>
  <c r="U53" i="135"/>
  <c r="V53" i="135" s="1"/>
  <c r="S53" i="135"/>
  <c r="R53" i="135"/>
  <c r="J53" i="135"/>
  <c r="I53" i="135"/>
  <c r="W53" i="135" s="1"/>
  <c r="U52" i="135"/>
  <c r="V52" i="135" s="1"/>
  <c r="S52" i="135"/>
  <c r="R52" i="135"/>
  <c r="J52" i="135"/>
  <c r="I52" i="135"/>
  <c r="W52" i="135" s="1"/>
  <c r="U51" i="135"/>
  <c r="V51" i="135" s="1"/>
  <c r="S51" i="135"/>
  <c r="R51" i="135"/>
  <c r="J51" i="135"/>
  <c r="I51" i="135"/>
  <c r="W51" i="135" s="1"/>
  <c r="U50" i="135"/>
  <c r="V50" i="135" s="1"/>
  <c r="S50" i="135"/>
  <c r="R50" i="135"/>
  <c r="J50" i="135"/>
  <c r="I50" i="135"/>
  <c r="W50" i="135" s="1"/>
  <c r="U49" i="135"/>
  <c r="V49" i="135" s="1"/>
  <c r="S49" i="135"/>
  <c r="R49" i="135"/>
  <c r="J49" i="135"/>
  <c r="I49" i="135"/>
  <c r="W49" i="135" s="1"/>
  <c r="U48" i="135"/>
  <c r="V48" i="135" s="1"/>
  <c r="S48" i="135"/>
  <c r="R48" i="135"/>
  <c r="J48" i="135"/>
  <c r="I48" i="135"/>
  <c r="U47" i="135"/>
  <c r="V47" i="135" s="1"/>
  <c r="S47" i="135"/>
  <c r="R47" i="135"/>
  <c r="J47" i="135"/>
  <c r="I47" i="135"/>
  <c r="W47" i="135" s="1"/>
  <c r="U46" i="135"/>
  <c r="V46" i="135" s="1"/>
  <c r="S46" i="135"/>
  <c r="R46" i="135"/>
  <c r="J46" i="135"/>
  <c r="I46" i="135"/>
  <c r="W46" i="135" s="1"/>
  <c r="S45" i="135"/>
  <c r="R45" i="135"/>
  <c r="J45" i="135"/>
  <c r="I45" i="135"/>
  <c r="U44" i="135"/>
  <c r="V44" i="135" s="1"/>
  <c r="S44" i="135"/>
  <c r="R44" i="135"/>
  <c r="J44" i="135"/>
  <c r="I44" i="135"/>
  <c r="W44" i="135" s="1"/>
  <c r="S43" i="135"/>
  <c r="R43" i="135"/>
  <c r="J43" i="135"/>
  <c r="I43" i="135"/>
  <c r="U42" i="135"/>
  <c r="V42" i="135" s="1"/>
  <c r="S42" i="135"/>
  <c r="R42" i="135"/>
  <c r="J42" i="135"/>
  <c r="I42" i="135"/>
  <c r="W42" i="135" s="1"/>
  <c r="U41" i="135"/>
  <c r="V41" i="135" s="1"/>
  <c r="S41" i="135"/>
  <c r="R41" i="135"/>
  <c r="J41" i="135"/>
  <c r="I41" i="135"/>
  <c r="U40" i="135"/>
  <c r="V40" i="135" s="1"/>
  <c r="S40" i="135"/>
  <c r="R40" i="135"/>
  <c r="J40" i="135"/>
  <c r="I40" i="135"/>
  <c r="W40" i="135" s="1"/>
  <c r="U39" i="135"/>
  <c r="V39" i="135" s="1"/>
  <c r="S39" i="135"/>
  <c r="R39" i="135"/>
  <c r="J39" i="135"/>
  <c r="I39" i="135"/>
  <c r="W39" i="135" s="1"/>
  <c r="U38" i="135"/>
  <c r="V38" i="135" s="1"/>
  <c r="S38" i="135"/>
  <c r="R38" i="135"/>
  <c r="J38" i="135"/>
  <c r="I38" i="135"/>
  <c r="U37" i="135"/>
  <c r="V37" i="135" s="1"/>
  <c r="S37" i="135"/>
  <c r="R37" i="135"/>
  <c r="J37" i="135"/>
  <c r="I37" i="135"/>
  <c r="W37" i="135" s="1"/>
  <c r="U36" i="135"/>
  <c r="V36" i="135" s="1"/>
  <c r="S36" i="135"/>
  <c r="R36" i="135"/>
  <c r="J36" i="135"/>
  <c r="I36" i="135"/>
  <c r="W36" i="135" s="1"/>
  <c r="U35" i="135"/>
  <c r="V35" i="135" s="1"/>
  <c r="S35" i="135"/>
  <c r="R35" i="135"/>
  <c r="J35" i="135"/>
  <c r="I35" i="135"/>
  <c r="U34" i="135"/>
  <c r="V34" i="135" s="1"/>
  <c r="S34" i="135"/>
  <c r="R34" i="135"/>
  <c r="J34" i="135"/>
  <c r="I34" i="135"/>
  <c r="W34" i="135" s="1"/>
  <c r="U33" i="135"/>
  <c r="V33" i="135" s="1"/>
  <c r="S33" i="135"/>
  <c r="R33" i="135"/>
  <c r="J33" i="135"/>
  <c r="I33" i="135"/>
  <c r="W33" i="135" s="1"/>
  <c r="U32" i="135"/>
  <c r="V32" i="135" s="1"/>
  <c r="S32" i="135"/>
  <c r="R32" i="135"/>
  <c r="J32" i="135"/>
  <c r="I32" i="135"/>
  <c r="W32" i="135" s="1"/>
  <c r="U31" i="135"/>
  <c r="V31" i="135" s="1"/>
  <c r="S31" i="135"/>
  <c r="R31" i="135"/>
  <c r="J31" i="135"/>
  <c r="I31" i="135"/>
  <c r="W31" i="135" s="1"/>
  <c r="U30" i="135"/>
  <c r="V30" i="135" s="1"/>
  <c r="S30" i="135"/>
  <c r="R30" i="135"/>
  <c r="J30" i="135"/>
  <c r="I30" i="135"/>
  <c r="W30" i="135" s="1"/>
  <c r="U29" i="135"/>
  <c r="V29" i="135" s="1"/>
  <c r="S29" i="135"/>
  <c r="R29" i="135"/>
  <c r="J29" i="135"/>
  <c r="I29" i="135"/>
  <c r="W29" i="135" s="1"/>
  <c r="U28" i="135"/>
  <c r="V28" i="135" s="1"/>
  <c r="S28" i="135"/>
  <c r="R28" i="135"/>
  <c r="J28" i="135"/>
  <c r="I28" i="135"/>
  <c r="W28" i="135" s="1"/>
  <c r="U27" i="135"/>
  <c r="V27" i="135" s="1"/>
  <c r="S27" i="135"/>
  <c r="R27" i="135"/>
  <c r="J27" i="135"/>
  <c r="I27" i="135"/>
  <c r="W27" i="135" s="1"/>
  <c r="BE26" i="135"/>
  <c r="U26" i="135"/>
  <c r="V26" i="135" s="1"/>
  <c r="S26" i="135"/>
  <c r="R26" i="135"/>
  <c r="J26" i="135"/>
  <c r="I26" i="135"/>
  <c r="W26" i="135" s="1"/>
  <c r="U25" i="135"/>
  <c r="V25" i="135" s="1"/>
  <c r="S25" i="135"/>
  <c r="R25" i="135"/>
  <c r="J25" i="135"/>
  <c r="I25" i="135"/>
  <c r="W25" i="135" s="1"/>
  <c r="U24" i="135"/>
  <c r="V24" i="135" s="1"/>
  <c r="S24" i="135"/>
  <c r="R24" i="135"/>
  <c r="J24" i="135"/>
  <c r="I24" i="135"/>
  <c r="U23" i="135"/>
  <c r="V23" i="135" s="1"/>
  <c r="S23" i="135"/>
  <c r="R23" i="135"/>
  <c r="J23" i="135"/>
  <c r="I23" i="135"/>
  <c r="U22" i="135"/>
  <c r="V22" i="135" s="1"/>
  <c r="S22" i="135"/>
  <c r="R22" i="135"/>
  <c r="J22" i="135"/>
  <c r="I22" i="135"/>
  <c r="W22" i="135" s="1"/>
  <c r="U21" i="135"/>
  <c r="V21" i="135" s="1"/>
  <c r="S21" i="135"/>
  <c r="R21" i="135"/>
  <c r="J21" i="135"/>
  <c r="I21" i="135"/>
  <c r="W21" i="135" s="1"/>
  <c r="U20" i="135"/>
  <c r="V20" i="135" s="1"/>
  <c r="S20" i="135"/>
  <c r="R20" i="135"/>
  <c r="J20" i="135"/>
  <c r="I20" i="135"/>
  <c r="U19" i="135"/>
  <c r="V19" i="135" s="1"/>
  <c r="S19" i="135"/>
  <c r="R19" i="135"/>
  <c r="J19" i="135"/>
  <c r="I19" i="135"/>
  <c r="W19" i="135" s="1"/>
  <c r="U18" i="135"/>
  <c r="V18" i="135" s="1"/>
  <c r="S18" i="135"/>
  <c r="R18" i="135"/>
  <c r="J18" i="135"/>
  <c r="I18" i="135"/>
  <c r="W18" i="135" s="1"/>
  <c r="U17" i="135"/>
  <c r="V17" i="135" s="1"/>
  <c r="S17" i="135"/>
  <c r="R17" i="135"/>
  <c r="J17" i="135"/>
  <c r="I17" i="135"/>
  <c r="W17" i="135" s="1"/>
  <c r="U16" i="135"/>
  <c r="V16" i="135" s="1"/>
  <c r="S16" i="135"/>
  <c r="R16" i="135"/>
  <c r="J16" i="135"/>
  <c r="I16" i="135"/>
  <c r="W16" i="135" s="1"/>
  <c r="U15" i="135"/>
  <c r="V15" i="135" s="1"/>
  <c r="S15" i="135"/>
  <c r="R15" i="135"/>
  <c r="J15" i="135"/>
  <c r="I15" i="135"/>
  <c r="W15" i="135" s="1"/>
  <c r="U14" i="135"/>
  <c r="V14" i="135" s="1"/>
  <c r="S14" i="135"/>
  <c r="R14" i="135"/>
  <c r="J14" i="135"/>
  <c r="I14" i="135"/>
  <c r="W14" i="135" s="1"/>
  <c r="U13" i="135"/>
  <c r="V13" i="135" s="1"/>
  <c r="S13" i="135"/>
  <c r="R13" i="135"/>
  <c r="J13" i="135"/>
  <c r="I13" i="135"/>
  <c r="W13" i="135" s="1"/>
  <c r="U12" i="135"/>
  <c r="V12" i="135" s="1"/>
  <c r="S12" i="135"/>
  <c r="R12" i="135"/>
  <c r="J12" i="135"/>
  <c r="I12" i="135"/>
  <c r="W12" i="135" s="1"/>
  <c r="U11" i="135"/>
  <c r="V11" i="135" s="1"/>
  <c r="S11" i="135"/>
  <c r="R11" i="135"/>
  <c r="J11" i="135"/>
  <c r="I11" i="135"/>
  <c r="W11" i="135" s="1"/>
  <c r="U10" i="135"/>
  <c r="V10" i="135" s="1"/>
  <c r="S10" i="135"/>
  <c r="R10" i="135"/>
  <c r="J10" i="135"/>
  <c r="I10" i="135"/>
  <c r="W10" i="135" s="1"/>
  <c r="U9" i="135"/>
  <c r="V9" i="135" s="1"/>
  <c r="S9" i="135"/>
  <c r="R9" i="135"/>
  <c r="J9" i="135"/>
  <c r="I9" i="135"/>
  <c r="W9" i="135" s="1"/>
  <c r="A9" i="135"/>
  <c r="A10" i="135" s="1"/>
  <c r="A11" i="135" s="1"/>
  <c r="A12" i="135" s="1"/>
  <c r="A13" i="135" s="1"/>
  <c r="A14" i="135" s="1"/>
  <c r="A15" i="135" s="1"/>
  <c r="A16" i="135" s="1"/>
  <c r="A17" i="135" s="1"/>
  <c r="A18" i="135" s="1"/>
  <c r="A19" i="135" s="1"/>
  <c r="A20" i="135" s="1"/>
  <c r="A21" i="135" s="1"/>
  <c r="A22" i="135" s="1"/>
  <c r="A23" i="135" s="1"/>
  <c r="A24" i="135" s="1"/>
  <c r="A25" i="135" s="1"/>
  <c r="A26" i="135" s="1"/>
  <c r="A27" i="135" s="1"/>
  <c r="A28" i="135" s="1"/>
  <c r="A29" i="135" s="1"/>
  <c r="A30" i="135" s="1"/>
  <c r="A31" i="135" s="1"/>
  <c r="A32" i="135" s="1"/>
  <c r="A33" i="135" s="1"/>
  <c r="A34" i="135" s="1"/>
  <c r="A35" i="135" s="1"/>
  <c r="A36" i="135" s="1"/>
  <c r="A37" i="135" s="1"/>
  <c r="A38" i="135" s="1"/>
  <c r="A39" i="135" s="1"/>
  <c r="A40" i="135" s="1"/>
  <c r="A41" i="135" s="1"/>
  <c r="A42" i="135" s="1"/>
  <c r="A43" i="135" s="1"/>
  <c r="A44" i="135" s="1"/>
  <c r="A45" i="135" s="1"/>
  <c r="A46" i="135" s="1"/>
  <c r="A47" i="135" s="1"/>
  <c r="A48" i="135" s="1"/>
  <c r="A49" i="135" s="1"/>
  <c r="A50" i="135" s="1"/>
  <c r="A51" i="135" s="1"/>
  <c r="A52" i="135" s="1"/>
  <c r="A53" i="135" s="1"/>
  <c r="A54" i="135" s="1"/>
  <c r="A55" i="135" s="1"/>
  <c r="A56" i="135" s="1"/>
  <c r="A57" i="135" s="1"/>
  <c r="A58" i="135" s="1"/>
  <c r="A59" i="135" s="1"/>
  <c r="U8" i="135"/>
  <c r="S8" i="135"/>
  <c r="S60" i="135" s="1"/>
  <c r="R8" i="135"/>
  <c r="J8" i="135"/>
  <c r="J60" i="135" s="1"/>
  <c r="I8" i="135"/>
  <c r="Q60" i="134"/>
  <c r="P60" i="134"/>
  <c r="O60" i="134"/>
  <c r="N60" i="134"/>
  <c r="M60" i="134"/>
  <c r="L60" i="134"/>
  <c r="H60" i="134"/>
  <c r="G60" i="134"/>
  <c r="E60" i="134"/>
  <c r="D60" i="134"/>
  <c r="C60" i="134"/>
  <c r="S59" i="134"/>
  <c r="R59" i="134"/>
  <c r="J59" i="134"/>
  <c r="I59" i="134"/>
  <c r="S58" i="134"/>
  <c r="R58" i="134"/>
  <c r="J58" i="134"/>
  <c r="I58" i="134"/>
  <c r="S57" i="134"/>
  <c r="R57" i="134"/>
  <c r="J57" i="134"/>
  <c r="I57" i="134"/>
  <c r="S56" i="134"/>
  <c r="R56" i="134"/>
  <c r="J56" i="134"/>
  <c r="I56" i="134"/>
  <c r="S55" i="134"/>
  <c r="R55" i="134"/>
  <c r="J55" i="134"/>
  <c r="I55" i="134"/>
  <c r="U54" i="134"/>
  <c r="V54" i="134" s="1"/>
  <c r="S54" i="134"/>
  <c r="R54" i="134"/>
  <c r="J54" i="134"/>
  <c r="I54" i="134"/>
  <c r="W54" i="134" s="1"/>
  <c r="U53" i="134"/>
  <c r="V53" i="134" s="1"/>
  <c r="S53" i="134"/>
  <c r="R53" i="134"/>
  <c r="J53" i="134"/>
  <c r="I53" i="134"/>
  <c r="W53" i="134" s="1"/>
  <c r="V52" i="134"/>
  <c r="U52" i="134"/>
  <c r="S52" i="134"/>
  <c r="R52" i="134"/>
  <c r="J52" i="134"/>
  <c r="I52" i="134"/>
  <c r="W52" i="134" s="1"/>
  <c r="U51" i="134"/>
  <c r="V51" i="134" s="1"/>
  <c r="S51" i="134"/>
  <c r="R51" i="134"/>
  <c r="J51" i="134"/>
  <c r="I51" i="134"/>
  <c r="W51" i="134" s="1"/>
  <c r="U50" i="134"/>
  <c r="V50" i="134" s="1"/>
  <c r="S50" i="134"/>
  <c r="R50" i="134"/>
  <c r="J50" i="134"/>
  <c r="I50" i="134"/>
  <c r="W50" i="134" s="1"/>
  <c r="U49" i="134"/>
  <c r="V49" i="134" s="1"/>
  <c r="S49" i="134"/>
  <c r="R49" i="134"/>
  <c r="J49" i="134"/>
  <c r="I49" i="134"/>
  <c r="W49" i="134" s="1"/>
  <c r="U48" i="134"/>
  <c r="V48" i="134" s="1"/>
  <c r="S48" i="134"/>
  <c r="R48" i="134"/>
  <c r="J48" i="134"/>
  <c r="I48" i="134"/>
  <c r="W48" i="134" s="1"/>
  <c r="U47" i="134"/>
  <c r="V47" i="134" s="1"/>
  <c r="S47" i="134"/>
  <c r="R47" i="134"/>
  <c r="J47" i="134"/>
  <c r="I47" i="134"/>
  <c r="W47" i="134" s="1"/>
  <c r="U46" i="134"/>
  <c r="V46" i="134" s="1"/>
  <c r="S46" i="134"/>
  <c r="R46" i="134"/>
  <c r="J46" i="134"/>
  <c r="I46" i="134"/>
  <c r="W46" i="134" s="1"/>
  <c r="S45" i="134"/>
  <c r="R45" i="134"/>
  <c r="J45" i="134"/>
  <c r="I45" i="134"/>
  <c r="U44" i="134"/>
  <c r="V44" i="134" s="1"/>
  <c r="S44" i="134"/>
  <c r="R44" i="134"/>
  <c r="J44" i="134"/>
  <c r="I44" i="134"/>
  <c r="W44" i="134" s="1"/>
  <c r="S43" i="134"/>
  <c r="R43" i="134"/>
  <c r="J43" i="134"/>
  <c r="I43" i="134"/>
  <c r="U42" i="134"/>
  <c r="V42" i="134" s="1"/>
  <c r="S42" i="134"/>
  <c r="R42" i="134"/>
  <c r="J42" i="134"/>
  <c r="I42" i="134"/>
  <c r="W42" i="134" s="1"/>
  <c r="U41" i="134"/>
  <c r="V41" i="134" s="1"/>
  <c r="S41" i="134"/>
  <c r="R41" i="134"/>
  <c r="J41" i="134"/>
  <c r="I41" i="134"/>
  <c r="W41" i="134" s="1"/>
  <c r="U40" i="134"/>
  <c r="V40" i="134" s="1"/>
  <c r="S40" i="134"/>
  <c r="R40" i="134"/>
  <c r="J40" i="134"/>
  <c r="I40" i="134"/>
  <c r="W40" i="134" s="1"/>
  <c r="U39" i="134"/>
  <c r="V39" i="134" s="1"/>
  <c r="S39" i="134"/>
  <c r="R39" i="134"/>
  <c r="J39" i="134"/>
  <c r="I39" i="134"/>
  <c r="W39" i="134" s="1"/>
  <c r="U38" i="134"/>
  <c r="V38" i="134" s="1"/>
  <c r="S38" i="134"/>
  <c r="R38" i="134"/>
  <c r="J38" i="134"/>
  <c r="I38" i="134"/>
  <c r="W38" i="134" s="1"/>
  <c r="U37" i="134"/>
  <c r="V37" i="134" s="1"/>
  <c r="S37" i="134"/>
  <c r="R37" i="134"/>
  <c r="J37" i="134"/>
  <c r="I37" i="134"/>
  <c r="W37" i="134" s="1"/>
  <c r="U36" i="134"/>
  <c r="V36" i="134" s="1"/>
  <c r="S36" i="134"/>
  <c r="R36" i="134"/>
  <c r="J36" i="134"/>
  <c r="I36" i="134"/>
  <c r="W36" i="134" s="1"/>
  <c r="U35" i="134"/>
  <c r="V35" i="134" s="1"/>
  <c r="S35" i="134"/>
  <c r="R35" i="134"/>
  <c r="J35" i="134"/>
  <c r="I35" i="134"/>
  <c r="W35" i="134" s="1"/>
  <c r="U34" i="134"/>
  <c r="V34" i="134" s="1"/>
  <c r="S34" i="134"/>
  <c r="R34" i="134"/>
  <c r="J34" i="134"/>
  <c r="I34" i="134"/>
  <c r="W34" i="134" s="1"/>
  <c r="U33" i="134"/>
  <c r="V33" i="134" s="1"/>
  <c r="S33" i="134"/>
  <c r="R33" i="134"/>
  <c r="J33" i="134"/>
  <c r="I33" i="134"/>
  <c r="W33" i="134" s="1"/>
  <c r="U32" i="134"/>
  <c r="V32" i="134" s="1"/>
  <c r="S32" i="134"/>
  <c r="R32" i="134"/>
  <c r="J32" i="134"/>
  <c r="I32" i="134"/>
  <c r="W32" i="134" s="1"/>
  <c r="U31" i="134"/>
  <c r="V31" i="134" s="1"/>
  <c r="S31" i="134"/>
  <c r="R31" i="134"/>
  <c r="J31" i="134"/>
  <c r="I31" i="134"/>
  <c r="W31" i="134" s="1"/>
  <c r="U30" i="134"/>
  <c r="V30" i="134" s="1"/>
  <c r="S30" i="134"/>
  <c r="R30" i="134"/>
  <c r="J30" i="134"/>
  <c r="I30" i="134"/>
  <c r="W30" i="134" s="1"/>
  <c r="U29" i="134"/>
  <c r="V29" i="134" s="1"/>
  <c r="S29" i="134"/>
  <c r="R29" i="134"/>
  <c r="J29" i="134"/>
  <c r="I29" i="134"/>
  <c r="W29" i="134" s="1"/>
  <c r="U28" i="134"/>
  <c r="V28" i="134" s="1"/>
  <c r="S28" i="134"/>
  <c r="R28" i="134"/>
  <c r="J28" i="134"/>
  <c r="I28" i="134"/>
  <c r="W28" i="134" s="1"/>
  <c r="U27" i="134"/>
  <c r="V27" i="134" s="1"/>
  <c r="S27" i="134"/>
  <c r="R27" i="134"/>
  <c r="J27" i="134"/>
  <c r="I27" i="134"/>
  <c r="W27" i="134" s="1"/>
  <c r="BE26" i="134"/>
  <c r="U26" i="134"/>
  <c r="V26" i="134" s="1"/>
  <c r="S26" i="134"/>
  <c r="R26" i="134"/>
  <c r="J26" i="134"/>
  <c r="I26" i="134"/>
  <c r="W26" i="134" s="1"/>
  <c r="U25" i="134"/>
  <c r="V25" i="134" s="1"/>
  <c r="S25" i="134"/>
  <c r="R25" i="134"/>
  <c r="J25" i="134"/>
  <c r="I25" i="134"/>
  <c r="W25" i="134" s="1"/>
  <c r="U24" i="134"/>
  <c r="V24" i="134" s="1"/>
  <c r="S24" i="134"/>
  <c r="R24" i="134"/>
  <c r="J24" i="134"/>
  <c r="I24" i="134"/>
  <c r="W24" i="134" s="1"/>
  <c r="U23" i="134"/>
  <c r="V23" i="134" s="1"/>
  <c r="S23" i="134"/>
  <c r="R23" i="134"/>
  <c r="J23" i="134"/>
  <c r="I23" i="134"/>
  <c r="W23" i="134" s="1"/>
  <c r="U22" i="134"/>
  <c r="V22" i="134" s="1"/>
  <c r="S22" i="134"/>
  <c r="R22" i="134"/>
  <c r="J22" i="134"/>
  <c r="I22" i="134"/>
  <c r="W22" i="134" s="1"/>
  <c r="U21" i="134"/>
  <c r="V21" i="134" s="1"/>
  <c r="S21" i="134"/>
  <c r="R21" i="134"/>
  <c r="J21" i="134"/>
  <c r="I21" i="134"/>
  <c r="W21" i="134" s="1"/>
  <c r="U20" i="134"/>
  <c r="V20" i="134" s="1"/>
  <c r="S20" i="134"/>
  <c r="R20" i="134"/>
  <c r="J20" i="134"/>
  <c r="I20" i="134"/>
  <c r="W20" i="134" s="1"/>
  <c r="U19" i="134"/>
  <c r="V19" i="134" s="1"/>
  <c r="S19" i="134"/>
  <c r="R19" i="134"/>
  <c r="J19" i="134"/>
  <c r="I19" i="134"/>
  <c r="W19" i="134" s="1"/>
  <c r="U18" i="134"/>
  <c r="V18" i="134" s="1"/>
  <c r="S18" i="134"/>
  <c r="R18" i="134"/>
  <c r="J18" i="134"/>
  <c r="I18" i="134"/>
  <c r="W18" i="134" s="1"/>
  <c r="U17" i="134"/>
  <c r="V17" i="134" s="1"/>
  <c r="S17" i="134"/>
  <c r="R17" i="134"/>
  <c r="J17" i="134"/>
  <c r="I17" i="134"/>
  <c r="W17" i="134" s="1"/>
  <c r="U16" i="134"/>
  <c r="V16" i="134" s="1"/>
  <c r="S16" i="134"/>
  <c r="R16" i="134"/>
  <c r="J16" i="134"/>
  <c r="I16" i="134"/>
  <c r="W16" i="134" s="1"/>
  <c r="U15" i="134"/>
  <c r="V15" i="134" s="1"/>
  <c r="S15" i="134"/>
  <c r="R15" i="134"/>
  <c r="J15" i="134"/>
  <c r="I15" i="134"/>
  <c r="W15" i="134" s="1"/>
  <c r="U14" i="134"/>
  <c r="V14" i="134" s="1"/>
  <c r="S14" i="134"/>
  <c r="R14" i="134"/>
  <c r="J14" i="134"/>
  <c r="I14" i="134"/>
  <c r="W14" i="134" s="1"/>
  <c r="U13" i="134"/>
  <c r="V13" i="134" s="1"/>
  <c r="S13" i="134"/>
  <c r="R13" i="134"/>
  <c r="J13" i="134"/>
  <c r="I13" i="134"/>
  <c r="W13" i="134" s="1"/>
  <c r="U12" i="134"/>
  <c r="V12" i="134" s="1"/>
  <c r="S12" i="134"/>
  <c r="R12" i="134"/>
  <c r="J12" i="134"/>
  <c r="I12" i="134"/>
  <c r="W12" i="134" s="1"/>
  <c r="U11" i="134"/>
  <c r="V11" i="134" s="1"/>
  <c r="S11" i="134"/>
  <c r="R11" i="134"/>
  <c r="J11" i="134"/>
  <c r="I11" i="134"/>
  <c r="W11" i="134" s="1"/>
  <c r="U10" i="134"/>
  <c r="V10" i="134" s="1"/>
  <c r="S10" i="134"/>
  <c r="R10" i="134"/>
  <c r="J10" i="134"/>
  <c r="I10" i="134"/>
  <c r="W10" i="134" s="1"/>
  <c r="U9" i="134"/>
  <c r="V9" i="134" s="1"/>
  <c r="S9" i="134"/>
  <c r="R9" i="134"/>
  <c r="J9" i="134"/>
  <c r="I9" i="134"/>
  <c r="W9" i="134" s="1"/>
  <c r="A9" i="134"/>
  <c r="A10" i="134" s="1"/>
  <c r="A11" i="134" s="1"/>
  <c r="A12" i="134" s="1"/>
  <c r="A13" i="134" s="1"/>
  <c r="A14" i="134" s="1"/>
  <c r="A15" i="134" s="1"/>
  <c r="A16" i="134" s="1"/>
  <c r="A17" i="134" s="1"/>
  <c r="A18" i="134" s="1"/>
  <c r="A19" i="134" s="1"/>
  <c r="A20" i="134" s="1"/>
  <c r="A21" i="134" s="1"/>
  <c r="A22" i="134" s="1"/>
  <c r="A23" i="134" s="1"/>
  <c r="A24" i="134" s="1"/>
  <c r="A25" i="134" s="1"/>
  <c r="A26" i="134" s="1"/>
  <c r="A27" i="134" s="1"/>
  <c r="A28" i="134" s="1"/>
  <c r="A29" i="134" s="1"/>
  <c r="A30" i="134" s="1"/>
  <c r="A31" i="134" s="1"/>
  <c r="A32" i="134" s="1"/>
  <c r="A33" i="134" s="1"/>
  <c r="A34" i="134" s="1"/>
  <c r="A35" i="134" s="1"/>
  <c r="A36" i="134" s="1"/>
  <c r="A37" i="134" s="1"/>
  <c r="A38" i="134" s="1"/>
  <c r="A39" i="134" s="1"/>
  <c r="A40" i="134" s="1"/>
  <c r="A41" i="134" s="1"/>
  <c r="A42" i="134" s="1"/>
  <c r="A43" i="134" s="1"/>
  <c r="A44" i="134" s="1"/>
  <c r="A45" i="134" s="1"/>
  <c r="A46" i="134" s="1"/>
  <c r="A47" i="134" s="1"/>
  <c r="A48" i="134" s="1"/>
  <c r="A49" i="134" s="1"/>
  <c r="A50" i="134" s="1"/>
  <c r="A51" i="134" s="1"/>
  <c r="A52" i="134" s="1"/>
  <c r="A53" i="134" s="1"/>
  <c r="A54" i="134" s="1"/>
  <c r="A55" i="134" s="1"/>
  <c r="A56" i="134" s="1"/>
  <c r="A57" i="134" s="1"/>
  <c r="A58" i="134" s="1"/>
  <c r="A59" i="134" s="1"/>
  <c r="U8" i="134"/>
  <c r="S8" i="134"/>
  <c r="S60" i="134" s="1"/>
  <c r="R8" i="134"/>
  <c r="R60" i="134" s="1"/>
  <c r="J8" i="134"/>
  <c r="J60" i="134" s="1"/>
  <c r="I8" i="134"/>
  <c r="C44" i="129"/>
  <c r="Q60" i="133"/>
  <c r="P60" i="133"/>
  <c r="O60" i="133"/>
  <c r="N60" i="133"/>
  <c r="M60" i="133"/>
  <c r="L60" i="133"/>
  <c r="H60" i="133"/>
  <c r="G60" i="133"/>
  <c r="E60" i="133"/>
  <c r="D60" i="133"/>
  <c r="C60" i="133"/>
  <c r="S59" i="133"/>
  <c r="R59" i="133"/>
  <c r="J59" i="133"/>
  <c r="I59" i="133"/>
  <c r="S58" i="133"/>
  <c r="R58" i="133"/>
  <c r="J58" i="133"/>
  <c r="I58" i="133"/>
  <c r="S57" i="133"/>
  <c r="R57" i="133"/>
  <c r="J57" i="133"/>
  <c r="I57" i="133"/>
  <c r="S56" i="133"/>
  <c r="R56" i="133"/>
  <c r="J56" i="133"/>
  <c r="I56" i="133"/>
  <c r="S55" i="133"/>
  <c r="R55" i="133"/>
  <c r="J55" i="133"/>
  <c r="I55" i="133"/>
  <c r="U54" i="133"/>
  <c r="V54" i="133" s="1"/>
  <c r="S54" i="133"/>
  <c r="R54" i="133"/>
  <c r="J54" i="133"/>
  <c r="I54" i="133"/>
  <c r="W54" i="133" s="1"/>
  <c r="U53" i="133"/>
  <c r="V53" i="133" s="1"/>
  <c r="S53" i="133"/>
  <c r="R53" i="133"/>
  <c r="J53" i="133"/>
  <c r="I53" i="133"/>
  <c r="W53" i="133" s="1"/>
  <c r="U52" i="133"/>
  <c r="V52" i="133" s="1"/>
  <c r="S52" i="133"/>
  <c r="R52" i="133"/>
  <c r="J52" i="133"/>
  <c r="I52" i="133"/>
  <c r="W52" i="133" s="1"/>
  <c r="U51" i="133"/>
  <c r="V51" i="133" s="1"/>
  <c r="S51" i="133"/>
  <c r="R51" i="133"/>
  <c r="J51" i="133"/>
  <c r="I51" i="133"/>
  <c r="W51" i="133" s="1"/>
  <c r="U50" i="133"/>
  <c r="V50" i="133" s="1"/>
  <c r="S50" i="133"/>
  <c r="R50" i="133"/>
  <c r="J50" i="133"/>
  <c r="I50" i="133"/>
  <c r="W50" i="133" s="1"/>
  <c r="U49" i="133"/>
  <c r="V49" i="133" s="1"/>
  <c r="S49" i="133"/>
  <c r="R49" i="133"/>
  <c r="J49" i="133"/>
  <c r="I49" i="133"/>
  <c r="U48" i="133"/>
  <c r="V48" i="133" s="1"/>
  <c r="S48" i="133"/>
  <c r="R48" i="133"/>
  <c r="J48" i="133"/>
  <c r="I48" i="133"/>
  <c r="W48" i="133" s="1"/>
  <c r="U47" i="133"/>
  <c r="V47" i="133" s="1"/>
  <c r="S47" i="133"/>
  <c r="R47" i="133"/>
  <c r="J47" i="133"/>
  <c r="I47" i="133"/>
  <c r="W47" i="133" s="1"/>
  <c r="U46" i="133"/>
  <c r="V46" i="133" s="1"/>
  <c r="S46" i="133"/>
  <c r="R46" i="133"/>
  <c r="J46" i="133"/>
  <c r="I46" i="133"/>
  <c r="W46" i="133" s="1"/>
  <c r="S45" i="133"/>
  <c r="R45" i="133"/>
  <c r="J45" i="133"/>
  <c r="I45" i="133"/>
  <c r="U44" i="133"/>
  <c r="V44" i="133" s="1"/>
  <c r="S44" i="133"/>
  <c r="R44" i="133"/>
  <c r="J44" i="133"/>
  <c r="I44" i="133"/>
  <c r="W44" i="133" s="1"/>
  <c r="S43" i="133"/>
  <c r="R43" i="133"/>
  <c r="J43" i="133"/>
  <c r="I43" i="133"/>
  <c r="U42" i="133"/>
  <c r="V42" i="133" s="1"/>
  <c r="S42" i="133"/>
  <c r="R42" i="133"/>
  <c r="J42" i="133"/>
  <c r="I42" i="133"/>
  <c r="W42" i="133" s="1"/>
  <c r="U41" i="133"/>
  <c r="V41" i="133" s="1"/>
  <c r="S41" i="133"/>
  <c r="R41" i="133"/>
  <c r="J41" i="133"/>
  <c r="I41" i="133"/>
  <c r="U40" i="133"/>
  <c r="V40" i="133" s="1"/>
  <c r="S40" i="133"/>
  <c r="R40" i="133"/>
  <c r="J40" i="133"/>
  <c r="I40" i="133"/>
  <c r="W40" i="133" s="1"/>
  <c r="U39" i="133"/>
  <c r="V39" i="133" s="1"/>
  <c r="S39" i="133"/>
  <c r="R39" i="133"/>
  <c r="J39" i="133"/>
  <c r="I39" i="133"/>
  <c r="W39" i="133" s="1"/>
  <c r="U38" i="133"/>
  <c r="V38" i="133" s="1"/>
  <c r="S38" i="133"/>
  <c r="R38" i="133"/>
  <c r="J38" i="133"/>
  <c r="I38" i="133"/>
  <c r="W38" i="133" s="1"/>
  <c r="U37" i="133"/>
  <c r="V37" i="133" s="1"/>
  <c r="S37" i="133"/>
  <c r="R37" i="133"/>
  <c r="J37" i="133"/>
  <c r="I37" i="133"/>
  <c r="W37" i="133" s="1"/>
  <c r="U36" i="133"/>
  <c r="V36" i="133" s="1"/>
  <c r="S36" i="133"/>
  <c r="R36" i="133"/>
  <c r="J36" i="133"/>
  <c r="I36" i="133"/>
  <c r="W36" i="133" s="1"/>
  <c r="U35" i="133"/>
  <c r="V35" i="133" s="1"/>
  <c r="S35" i="133"/>
  <c r="R35" i="133"/>
  <c r="J35" i="133"/>
  <c r="I35" i="133"/>
  <c r="W35" i="133" s="1"/>
  <c r="U34" i="133"/>
  <c r="V34" i="133" s="1"/>
  <c r="S34" i="133"/>
  <c r="R34" i="133"/>
  <c r="J34" i="133"/>
  <c r="I34" i="133"/>
  <c r="W34" i="133" s="1"/>
  <c r="U33" i="133"/>
  <c r="V33" i="133" s="1"/>
  <c r="S33" i="133"/>
  <c r="R33" i="133"/>
  <c r="J33" i="133"/>
  <c r="I33" i="133"/>
  <c r="W33" i="133" s="1"/>
  <c r="U32" i="133"/>
  <c r="V32" i="133" s="1"/>
  <c r="S32" i="133"/>
  <c r="R32" i="133"/>
  <c r="J32" i="133"/>
  <c r="I32" i="133"/>
  <c r="W32" i="133" s="1"/>
  <c r="U31" i="133"/>
  <c r="V31" i="133" s="1"/>
  <c r="S31" i="133"/>
  <c r="R31" i="133"/>
  <c r="J31" i="133"/>
  <c r="I31" i="133"/>
  <c r="W31" i="133" s="1"/>
  <c r="U30" i="133"/>
  <c r="V30" i="133" s="1"/>
  <c r="S30" i="133"/>
  <c r="R30" i="133"/>
  <c r="J30" i="133"/>
  <c r="I30" i="133"/>
  <c r="W30" i="133" s="1"/>
  <c r="U29" i="133"/>
  <c r="V29" i="133" s="1"/>
  <c r="S29" i="133"/>
  <c r="R29" i="133"/>
  <c r="J29" i="133"/>
  <c r="I29" i="133"/>
  <c r="W29" i="133" s="1"/>
  <c r="U28" i="133"/>
  <c r="V28" i="133" s="1"/>
  <c r="S28" i="133"/>
  <c r="R28" i="133"/>
  <c r="J28" i="133"/>
  <c r="I28" i="133"/>
  <c r="W28" i="133" s="1"/>
  <c r="U27" i="133"/>
  <c r="V27" i="133" s="1"/>
  <c r="S27" i="133"/>
  <c r="R27" i="133"/>
  <c r="J27" i="133"/>
  <c r="I27" i="133"/>
  <c r="W27" i="133" s="1"/>
  <c r="BE26" i="133"/>
  <c r="U26" i="133"/>
  <c r="V26" i="133" s="1"/>
  <c r="S26" i="133"/>
  <c r="R26" i="133"/>
  <c r="J26" i="133"/>
  <c r="I26" i="133"/>
  <c r="W26" i="133" s="1"/>
  <c r="U25" i="133"/>
  <c r="V25" i="133" s="1"/>
  <c r="S25" i="133"/>
  <c r="R25" i="133"/>
  <c r="J25" i="133"/>
  <c r="I25" i="133"/>
  <c r="W25" i="133" s="1"/>
  <c r="U24" i="133"/>
  <c r="V24" i="133" s="1"/>
  <c r="S24" i="133"/>
  <c r="R24" i="133"/>
  <c r="J24" i="133"/>
  <c r="I24" i="133"/>
  <c r="W24" i="133" s="1"/>
  <c r="U23" i="133"/>
  <c r="V23" i="133" s="1"/>
  <c r="S23" i="133"/>
  <c r="R23" i="133"/>
  <c r="J23" i="133"/>
  <c r="I23" i="133"/>
  <c r="W23" i="133" s="1"/>
  <c r="U22" i="133"/>
  <c r="V22" i="133" s="1"/>
  <c r="S22" i="133"/>
  <c r="R22" i="133"/>
  <c r="J22" i="133"/>
  <c r="I22" i="133"/>
  <c r="W22" i="133" s="1"/>
  <c r="U21" i="133"/>
  <c r="V21" i="133" s="1"/>
  <c r="S21" i="133"/>
  <c r="R21" i="133"/>
  <c r="J21" i="133"/>
  <c r="I21" i="133"/>
  <c r="W21" i="133" s="1"/>
  <c r="U20" i="133"/>
  <c r="V20" i="133" s="1"/>
  <c r="S20" i="133"/>
  <c r="R20" i="133"/>
  <c r="J20" i="133"/>
  <c r="I20" i="133"/>
  <c r="U19" i="133"/>
  <c r="V19" i="133" s="1"/>
  <c r="S19" i="133"/>
  <c r="R19" i="133"/>
  <c r="J19" i="133"/>
  <c r="I19" i="133"/>
  <c r="W19" i="133" s="1"/>
  <c r="U18" i="133"/>
  <c r="V18" i="133" s="1"/>
  <c r="S18" i="133"/>
  <c r="R18" i="133"/>
  <c r="J18" i="133"/>
  <c r="I18" i="133"/>
  <c r="W18" i="133" s="1"/>
  <c r="U17" i="133"/>
  <c r="V17" i="133" s="1"/>
  <c r="S17" i="133"/>
  <c r="R17" i="133"/>
  <c r="J17" i="133"/>
  <c r="I17" i="133"/>
  <c r="W17" i="133" s="1"/>
  <c r="U16" i="133"/>
  <c r="V16" i="133" s="1"/>
  <c r="S16" i="133"/>
  <c r="R16" i="133"/>
  <c r="J16" i="133"/>
  <c r="I16" i="133"/>
  <c r="W16" i="133" s="1"/>
  <c r="U15" i="133"/>
  <c r="V15" i="133" s="1"/>
  <c r="S15" i="133"/>
  <c r="R15" i="133"/>
  <c r="J15" i="133"/>
  <c r="I15" i="133"/>
  <c r="W15" i="133" s="1"/>
  <c r="U14" i="133"/>
  <c r="V14" i="133" s="1"/>
  <c r="S14" i="133"/>
  <c r="R14" i="133"/>
  <c r="J14" i="133"/>
  <c r="I14" i="133"/>
  <c r="W14" i="133" s="1"/>
  <c r="U13" i="133"/>
  <c r="V13" i="133" s="1"/>
  <c r="S13" i="133"/>
  <c r="R13" i="133"/>
  <c r="J13" i="133"/>
  <c r="I13" i="133"/>
  <c r="U12" i="133"/>
  <c r="V12" i="133" s="1"/>
  <c r="S12" i="133"/>
  <c r="R12" i="133"/>
  <c r="J12" i="133"/>
  <c r="I12" i="133"/>
  <c r="U11" i="133"/>
  <c r="V11" i="133" s="1"/>
  <c r="S11" i="133"/>
  <c r="R11" i="133"/>
  <c r="J11" i="133"/>
  <c r="I11" i="133"/>
  <c r="W11" i="133" s="1"/>
  <c r="U10" i="133"/>
  <c r="V10" i="133" s="1"/>
  <c r="S10" i="133"/>
  <c r="R10" i="133"/>
  <c r="J10" i="133"/>
  <c r="I10" i="133"/>
  <c r="W10" i="133" s="1"/>
  <c r="U9" i="133"/>
  <c r="V9" i="133" s="1"/>
  <c r="S9" i="133"/>
  <c r="R9" i="133"/>
  <c r="J9" i="133"/>
  <c r="I9" i="133"/>
  <c r="W9" i="133" s="1"/>
  <c r="A9" i="133"/>
  <c r="A10" i="133" s="1"/>
  <c r="A11" i="133" s="1"/>
  <c r="A12" i="133" s="1"/>
  <c r="A13" i="133" s="1"/>
  <c r="A14" i="133" s="1"/>
  <c r="A15" i="133" s="1"/>
  <c r="A16" i="133" s="1"/>
  <c r="A17" i="133" s="1"/>
  <c r="A18" i="133" s="1"/>
  <c r="A19" i="133" s="1"/>
  <c r="A20" i="133" s="1"/>
  <c r="A21" i="133" s="1"/>
  <c r="A22" i="133" s="1"/>
  <c r="A23" i="133" s="1"/>
  <c r="A24" i="133" s="1"/>
  <c r="A25" i="133" s="1"/>
  <c r="A26" i="133" s="1"/>
  <c r="A27" i="133" s="1"/>
  <c r="A28" i="133" s="1"/>
  <c r="A29" i="133" s="1"/>
  <c r="A30" i="133" s="1"/>
  <c r="A31" i="133" s="1"/>
  <c r="A32" i="133" s="1"/>
  <c r="A33" i="133" s="1"/>
  <c r="A34" i="133" s="1"/>
  <c r="A35" i="133" s="1"/>
  <c r="A36" i="133" s="1"/>
  <c r="A37" i="133" s="1"/>
  <c r="A38" i="133" s="1"/>
  <c r="A39" i="133" s="1"/>
  <c r="A40" i="133" s="1"/>
  <c r="A41" i="133" s="1"/>
  <c r="A42" i="133" s="1"/>
  <c r="A43" i="133" s="1"/>
  <c r="A44" i="133" s="1"/>
  <c r="A45" i="133" s="1"/>
  <c r="A46" i="133" s="1"/>
  <c r="A47" i="133" s="1"/>
  <c r="A48" i="133" s="1"/>
  <c r="A49" i="133" s="1"/>
  <c r="A50" i="133" s="1"/>
  <c r="A51" i="133" s="1"/>
  <c r="A52" i="133" s="1"/>
  <c r="A53" i="133" s="1"/>
  <c r="A54" i="133" s="1"/>
  <c r="A55" i="133" s="1"/>
  <c r="A56" i="133" s="1"/>
  <c r="A57" i="133" s="1"/>
  <c r="A58" i="133" s="1"/>
  <c r="A59" i="133" s="1"/>
  <c r="U8" i="133"/>
  <c r="S8" i="133"/>
  <c r="S60" i="133" s="1"/>
  <c r="R8" i="133"/>
  <c r="J8" i="133"/>
  <c r="I8" i="133"/>
  <c r="Q60" i="132"/>
  <c r="P60" i="132"/>
  <c r="O60" i="132"/>
  <c r="N60" i="132"/>
  <c r="M60" i="132"/>
  <c r="L60" i="132"/>
  <c r="H60" i="132"/>
  <c r="G60" i="132"/>
  <c r="E60" i="132"/>
  <c r="D60" i="132"/>
  <c r="C60" i="132"/>
  <c r="S59" i="132"/>
  <c r="R59" i="132"/>
  <c r="J59" i="132"/>
  <c r="I59" i="132"/>
  <c r="S58" i="132"/>
  <c r="R58" i="132"/>
  <c r="J58" i="132"/>
  <c r="I58" i="132"/>
  <c r="S57" i="132"/>
  <c r="R57" i="132"/>
  <c r="J57" i="132"/>
  <c r="I57" i="132"/>
  <c r="S56" i="132"/>
  <c r="R56" i="132"/>
  <c r="J56" i="132"/>
  <c r="I56" i="132"/>
  <c r="S55" i="132"/>
  <c r="R55" i="132"/>
  <c r="J55" i="132"/>
  <c r="I55" i="132"/>
  <c r="U54" i="132"/>
  <c r="V54" i="132" s="1"/>
  <c r="S54" i="132"/>
  <c r="R54" i="132"/>
  <c r="J54" i="132"/>
  <c r="I54" i="132"/>
  <c r="W54" i="132" s="1"/>
  <c r="U53" i="132"/>
  <c r="V53" i="132" s="1"/>
  <c r="S53" i="132"/>
  <c r="R53" i="132"/>
  <c r="J53" i="132"/>
  <c r="I53" i="132"/>
  <c r="W53" i="132" s="1"/>
  <c r="U52" i="132"/>
  <c r="V52" i="132" s="1"/>
  <c r="S52" i="132"/>
  <c r="R52" i="132"/>
  <c r="J52" i="132"/>
  <c r="I52" i="132"/>
  <c r="W52" i="132" s="1"/>
  <c r="U51" i="132"/>
  <c r="V51" i="132" s="1"/>
  <c r="S51" i="132"/>
  <c r="R51" i="132"/>
  <c r="J51" i="132"/>
  <c r="I51" i="132"/>
  <c r="W51" i="132" s="1"/>
  <c r="U50" i="132"/>
  <c r="V50" i="132" s="1"/>
  <c r="S50" i="132"/>
  <c r="R50" i="132"/>
  <c r="J50" i="132"/>
  <c r="I50" i="132"/>
  <c r="W50" i="132" s="1"/>
  <c r="U49" i="132"/>
  <c r="V49" i="132" s="1"/>
  <c r="S49" i="132"/>
  <c r="R49" i="132"/>
  <c r="J49" i="132"/>
  <c r="I49" i="132"/>
  <c r="W49" i="132" s="1"/>
  <c r="U48" i="132"/>
  <c r="V48" i="132" s="1"/>
  <c r="S48" i="132"/>
  <c r="R48" i="132"/>
  <c r="J48" i="132"/>
  <c r="I48" i="132"/>
  <c r="U47" i="132"/>
  <c r="V47" i="132" s="1"/>
  <c r="S47" i="132"/>
  <c r="R47" i="132"/>
  <c r="J47" i="132"/>
  <c r="I47" i="132"/>
  <c r="W47" i="132" s="1"/>
  <c r="U46" i="132"/>
  <c r="V46" i="132" s="1"/>
  <c r="S46" i="132"/>
  <c r="R46" i="132"/>
  <c r="J46" i="132"/>
  <c r="I46" i="132"/>
  <c r="W46" i="132" s="1"/>
  <c r="S45" i="132"/>
  <c r="R45" i="132"/>
  <c r="J45" i="132"/>
  <c r="I45" i="132"/>
  <c r="U44" i="132"/>
  <c r="V44" i="132" s="1"/>
  <c r="S44" i="132"/>
  <c r="R44" i="132"/>
  <c r="J44" i="132"/>
  <c r="I44" i="132"/>
  <c r="S43" i="132"/>
  <c r="R43" i="132"/>
  <c r="J43" i="132"/>
  <c r="I43" i="132"/>
  <c r="U42" i="132"/>
  <c r="V42" i="132" s="1"/>
  <c r="S42" i="132"/>
  <c r="R42" i="132"/>
  <c r="J42" i="132"/>
  <c r="I42" i="132"/>
  <c r="W42" i="132" s="1"/>
  <c r="U41" i="132"/>
  <c r="V41" i="132" s="1"/>
  <c r="S41" i="132"/>
  <c r="R41" i="132"/>
  <c r="J41" i="132"/>
  <c r="I41" i="132"/>
  <c r="U40" i="132"/>
  <c r="V40" i="132" s="1"/>
  <c r="S40" i="132"/>
  <c r="R40" i="132"/>
  <c r="J40" i="132"/>
  <c r="I40" i="132"/>
  <c r="W40" i="132" s="1"/>
  <c r="U39" i="132"/>
  <c r="V39" i="132" s="1"/>
  <c r="S39" i="132"/>
  <c r="R39" i="132"/>
  <c r="J39" i="132"/>
  <c r="I39" i="132"/>
  <c r="W39" i="132" s="1"/>
  <c r="U38" i="132"/>
  <c r="V38" i="132" s="1"/>
  <c r="S38" i="132"/>
  <c r="R38" i="132"/>
  <c r="J38" i="132"/>
  <c r="I38" i="132"/>
  <c r="W38" i="132" s="1"/>
  <c r="U37" i="132"/>
  <c r="V37" i="132" s="1"/>
  <c r="S37" i="132"/>
  <c r="R37" i="132"/>
  <c r="J37" i="132"/>
  <c r="I37" i="132"/>
  <c r="W37" i="132" s="1"/>
  <c r="U36" i="132"/>
  <c r="V36" i="132" s="1"/>
  <c r="S36" i="132"/>
  <c r="R36" i="132"/>
  <c r="J36" i="132"/>
  <c r="I36" i="132"/>
  <c r="W36" i="132" s="1"/>
  <c r="U35" i="132"/>
  <c r="V35" i="132" s="1"/>
  <c r="S35" i="132"/>
  <c r="R35" i="132"/>
  <c r="J35" i="132"/>
  <c r="I35" i="132"/>
  <c r="U34" i="132"/>
  <c r="V34" i="132" s="1"/>
  <c r="S34" i="132"/>
  <c r="R34" i="132"/>
  <c r="J34" i="132"/>
  <c r="I34" i="132"/>
  <c r="W34" i="132" s="1"/>
  <c r="U33" i="132"/>
  <c r="V33" i="132" s="1"/>
  <c r="S33" i="132"/>
  <c r="R33" i="132"/>
  <c r="J33" i="132"/>
  <c r="I33" i="132"/>
  <c r="W33" i="132" s="1"/>
  <c r="U32" i="132"/>
  <c r="V32" i="132" s="1"/>
  <c r="S32" i="132"/>
  <c r="R32" i="132"/>
  <c r="J32" i="132"/>
  <c r="I32" i="132"/>
  <c r="W32" i="132" s="1"/>
  <c r="U31" i="132"/>
  <c r="V31" i="132" s="1"/>
  <c r="S31" i="132"/>
  <c r="R31" i="132"/>
  <c r="J31" i="132"/>
  <c r="I31" i="132"/>
  <c r="W31" i="132" s="1"/>
  <c r="U30" i="132"/>
  <c r="V30" i="132" s="1"/>
  <c r="S30" i="132"/>
  <c r="R30" i="132"/>
  <c r="J30" i="132"/>
  <c r="I30" i="132"/>
  <c r="U29" i="132"/>
  <c r="V29" i="132" s="1"/>
  <c r="S29" i="132"/>
  <c r="R29" i="132"/>
  <c r="J29" i="132"/>
  <c r="I29" i="132"/>
  <c r="W29" i="132" s="1"/>
  <c r="U28" i="132"/>
  <c r="V28" i="132" s="1"/>
  <c r="S28" i="132"/>
  <c r="R28" i="132"/>
  <c r="J28" i="132"/>
  <c r="I28" i="132"/>
  <c r="W28" i="132" s="1"/>
  <c r="U27" i="132"/>
  <c r="V27" i="132" s="1"/>
  <c r="S27" i="132"/>
  <c r="R27" i="132"/>
  <c r="J27" i="132"/>
  <c r="I27" i="132"/>
  <c r="W27" i="132" s="1"/>
  <c r="BE26" i="132"/>
  <c r="U26" i="132"/>
  <c r="V26" i="132" s="1"/>
  <c r="S26" i="132"/>
  <c r="R26" i="132"/>
  <c r="J26" i="132"/>
  <c r="I26" i="132"/>
  <c r="W26" i="132" s="1"/>
  <c r="U25" i="132"/>
  <c r="V25" i="132" s="1"/>
  <c r="S25" i="132"/>
  <c r="R25" i="132"/>
  <c r="J25" i="132"/>
  <c r="I25" i="132"/>
  <c r="W25" i="132" s="1"/>
  <c r="U24" i="132"/>
  <c r="V24" i="132" s="1"/>
  <c r="S24" i="132"/>
  <c r="R24" i="132"/>
  <c r="J24" i="132"/>
  <c r="I24" i="132"/>
  <c r="U23" i="132"/>
  <c r="V23" i="132" s="1"/>
  <c r="S23" i="132"/>
  <c r="R23" i="132"/>
  <c r="J23" i="132"/>
  <c r="I23" i="132"/>
  <c r="W23" i="132" s="1"/>
  <c r="U22" i="132"/>
  <c r="V22" i="132" s="1"/>
  <c r="S22" i="132"/>
  <c r="R22" i="132"/>
  <c r="J22" i="132"/>
  <c r="I22" i="132"/>
  <c r="W22" i="132" s="1"/>
  <c r="U21" i="132"/>
  <c r="V21" i="132" s="1"/>
  <c r="S21" i="132"/>
  <c r="R21" i="132"/>
  <c r="J21" i="132"/>
  <c r="I21" i="132"/>
  <c r="W21" i="132" s="1"/>
  <c r="U20" i="132"/>
  <c r="V20" i="132" s="1"/>
  <c r="S20" i="132"/>
  <c r="R20" i="132"/>
  <c r="J20" i="132"/>
  <c r="I20" i="132"/>
  <c r="W20" i="132" s="1"/>
  <c r="U19" i="132"/>
  <c r="V19" i="132" s="1"/>
  <c r="S19" i="132"/>
  <c r="R19" i="132"/>
  <c r="J19" i="132"/>
  <c r="I19" i="132"/>
  <c r="W19" i="132" s="1"/>
  <c r="U18" i="132"/>
  <c r="V18" i="132" s="1"/>
  <c r="S18" i="132"/>
  <c r="R18" i="132"/>
  <c r="J18" i="132"/>
  <c r="I18" i="132"/>
  <c r="W18" i="132" s="1"/>
  <c r="U17" i="132"/>
  <c r="V17" i="132" s="1"/>
  <c r="S17" i="132"/>
  <c r="R17" i="132"/>
  <c r="J17" i="132"/>
  <c r="I17" i="132"/>
  <c r="W17" i="132" s="1"/>
  <c r="U16" i="132"/>
  <c r="V16" i="132" s="1"/>
  <c r="S16" i="132"/>
  <c r="R16" i="132"/>
  <c r="J16" i="132"/>
  <c r="I16" i="132"/>
  <c r="W16" i="132" s="1"/>
  <c r="U15" i="132"/>
  <c r="V15" i="132" s="1"/>
  <c r="S15" i="132"/>
  <c r="R15" i="132"/>
  <c r="J15" i="132"/>
  <c r="I15" i="132"/>
  <c r="W15" i="132" s="1"/>
  <c r="U14" i="132"/>
  <c r="V14" i="132" s="1"/>
  <c r="S14" i="132"/>
  <c r="R14" i="132"/>
  <c r="J14" i="132"/>
  <c r="I14" i="132"/>
  <c r="U13" i="132"/>
  <c r="V13" i="132" s="1"/>
  <c r="S13" i="132"/>
  <c r="R13" i="132"/>
  <c r="J13" i="132"/>
  <c r="I13" i="132"/>
  <c r="U12" i="132"/>
  <c r="V12" i="132" s="1"/>
  <c r="S12" i="132"/>
  <c r="R12" i="132"/>
  <c r="J12" i="132"/>
  <c r="I12" i="132"/>
  <c r="W12" i="132" s="1"/>
  <c r="U11" i="132"/>
  <c r="V11" i="132" s="1"/>
  <c r="S11" i="132"/>
  <c r="R11" i="132"/>
  <c r="J11" i="132"/>
  <c r="I11" i="132"/>
  <c r="W11" i="132" s="1"/>
  <c r="U10" i="132"/>
  <c r="V10" i="132" s="1"/>
  <c r="S10" i="132"/>
  <c r="R10" i="132"/>
  <c r="J10" i="132"/>
  <c r="I10" i="132"/>
  <c r="W10" i="132" s="1"/>
  <c r="U9" i="132"/>
  <c r="V9" i="132" s="1"/>
  <c r="S9" i="132"/>
  <c r="R9" i="132"/>
  <c r="J9" i="132"/>
  <c r="I9" i="132"/>
  <c r="W9" i="132" s="1"/>
  <c r="A9" i="132"/>
  <c r="A10" i="132" s="1"/>
  <c r="A11" i="132" s="1"/>
  <c r="A12" i="132" s="1"/>
  <c r="A13" i="132" s="1"/>
  <c r="A14" i="132" s="1"/>
  <c r="A15" i="132" s="1"/>
  <c r="A16" i="132" s="1"/>
  <c r="A17" i="132" s="1"/>
  <c r="A18" i="132" s="1"/>
  <c r="A19" i="132" s="1"/>
  <c r="A20" i="132" s="1"/>
  <c r="A21" i="132" s="1"/>
  <c r="A22" i="132" s="1"/>
  <c r="A23" i="132" s="1"/>
  <c r="A24" i="132" s="1"/>
  <c r="A25" i="132" s="1"/>
  <c r="A26" i="132" s="1"/>
  <c r="A27" i="132" s="1"/>
  <c r="A28" i="132" s="1"/>
  <c r="A29" i="132" s="1"/>
  <c r="A30" i="132" s="1"/>
  <c r="A31" i="132" s="1"/>
  <c r="A32" i="132" s="1"/>
  <c r="A33" i="132" s="1"/>
  <c r="A34" i="132" s="1"/>
  <c r="A35" i="132" s="1"/>
  <c r="A36" i="132" s="1"/>
  <c r="A37" i="132" s="1"/>
  <c r="A38" i="132" s="1"/>
  <c r="A39" i="132" s="1"/>
  <c r="A40" i="132" s="1"/>
  <c r="A41" i="132" s="1"/>
  <c r="A42" i="132" s="1"/>
  <c r="A43" i="132" s="1"/>
  <c r="A44" i="132" s="1"/>
  <c r="A45" i="132" s="1"/>
  <c r="A46" i="132" s="1"/>
  <c r="A47" i="132" s="1"/>
  <c r="A48" i="132" s="1"/>
  <c r="A49" i="132" s="1"/>
  <c r="A50" i="132" s="1"/>
  <c r="A51" i="132" s="1"/>
  <c r="A52" i="132" s="1"/>
  <c r="A53" i="132" s="1"/>
  <c r="A54" i="132" s="1"/>
  <c r="A55" i="132" s="1"/>
  <c r="A56" i="132" s="1"/>
  <c r="A57" i="132" s="1"/>
  <c r="A58" i="132" s="1"/>
  <c r="A59" i="132" s="1"/>
  <c r="U8" i="132"/>
  <c r="S8" i="132"/>
  <c r="S60" i="132" s="1"/>
  <c r="R8" i="132"/>
  <c r="J8" i="132"/>
  <c r="I8" i="132"/>
  <c r="C38" i="128"/>
  <c r="I54" i="128"/>
  <c r="W54" i="128" s="1"/>
  <c r="I53" i="128"/>
  <c r="W53" i="128" s="1"/>
  <c r="I52" i="128"/>
  <c r="W52" i="128" s="1"/>
  <c r="I51" i="128"/>
  <c r="W51" i="128" s="1"/>
  <c r="I50" i="128"/>
  <c r="W50" i="128" s="1"/>
  <c r="I49" i="128"/>
  <c r="I48" i="128"/>
  <c r="I47" i="128"/>
  <c r="W47" i="128" s="1"/>
  <c r="I46" i="128"/>
  <c r="W46" i="128" s="1"/>
  <c r="I45" i="128"/>
  <c r="I44" i="128"/>
  <c r="W44" i="128" s="1"/>
  <c r="I43" i="128"/>
  <c r="I42" i="128"/>
  <c r="W42" i="128" s="1"/>
  <c r="I41" i="128"/>
  <c r="I40" i="128"/>
  <c r="W40" i="128" s="1"/>
  <c r="I39" i="128"/>
  <c r="W39" i="128" s="1"/>
  <c r="I38" i="128"/>
  <c r="I37" i="128"/>
  <c r="I27" i="128"/>
  <c r="I28" i="128"/>
  <c r="I29" i="128"/>
  <c r="I30" i="128"/>
  <c r="I31" i="128"/>
  <c r="I32" i="128"/>
  <c r="I33" i="128"/>
  <c r="W33" i="128" s="1"/>
  <c r="I34" i="128"/>
  <c r="I35" i="128"/>
  <c r="I36" i="128"/>
  <c r="W36" i="128" s="1"/>
  <c r="W37" i="128"/>
  <c r="I26" i="128"/>
  <c r="C13" i="127"/>
  <c r="Q60" i="131"/>
  <c r="P60" i="131"/>
  <c r="O60" i="131"/>
  <c r="N60" i="131"/>
  <c r="M60" i="131"/>
  <c r="L60" i="131"/>
  <c r="H60" i="131"/>
  <c r="G60" i="131"/>
  <c r="E60" i="131"/>
  <c r="D60" i="131"/>
  <c r="C60" i="131"/>
  <c r="S59" i="131"/>
  <c r="R59" i="131"/>
  <c r="J59" i="131"/>
  <c r="I59" i="131"/>
  <c r="S58" i="131"/>
  <c r="R58" i="131"/>
  <c r="J58" i="131"/>
  <c r="I58" i="131"/>
  <c r="S57" i="131"/>
  <c r="R57" i="131"/>
  <c r="J57" i="131"/>
  <c r="I57" i="131"/>
  <c r="S56" i="131"/>
  <c r="R56" i="131"/>
  <c r="J56" i="131"/>
  <c r="I56" i="131"/>
  <c r="S55" i="131"/>
  <c r="R55" i="131"/>
  <c r="J55" i="131"/>
  <c r="I55" i="131"/>
  <c r="U54" i="131"/>
  <c r="V54" i="131" s="1"/>
  <c r="S54" i="131"/>
  <c r="R54" i="131"/>
  <c r="J54" i="131"/>
  <c r="I54" i="131"/>
  <c r="W54" i="131" s="1"/>
  <c r="U53" i="131"/>
  <c r="V53" i="131" s="1"/>
  <c r="S53" i="131"/>
  <c r="R53" i="131"/>
  <c r="J53" i="131"/>
  <c r="I53" i="131"/>
  <c r="W53" i="131" s="1"/>
  <c r="U52" i="131"/>
  <c r="V52" i="131" s="1"/>
  <c r="S52" i="131"/>
  <c r="R52" i="131"/>
  <c r="J52" i="131"/>
  <c r="I52" i="131"/>
  <c r="W52" i="131" s="1"/>
  <c r="U51" i="131"/>
  <c r="V51" i="131" s="1"/>
  <c r="S51" i="131"/>
  <c r="R51" i="131"/>
  <c r="J51" i="131"/>
  <c r="I51" i="131"/>
  <c r="W51" i="131" s="1"/>
  <c r="U50" i="131"/>
  <c r="V50" i="131" s="1"/>
  <c r="S50" i="131"/>
  <c r="R50" i="131"/>
  <c r="J50" i="131"/>
  <c r="I50" i="131"/>
  <c r="W50" i="131" s="1"/>
  <c r="U49" i="131"/>
  <c r="V49" i="131" s="1"/>
  <c r="S49" i="131"/>
  <c r="R49" i="131"/>
  <c r="J49" i="131"/>
  <c r="I49" i="131"/>
  <c r="W49" i="131" s="1"/>
  <c r="U48" i="131"/>
  <c r="V48" i="131" s="1"/>
  <c r="S48" i="131"/>
  <c r="R48" i="131"/>
  <c r="J48" i="131"/>
  <c r="I48" i="131"/>
  <c r="W48" i="131" s="1"/>
  <c r="U47" i="131"/>
  <c r="V47" i="131" s="1"/>
  <c r="S47" i="131"/>
  <c r="R47" i="131"/>
  <c r="J47" i="131"/>
  <c r="I47" i="131"/>
  <c r="W47" i="131" s="1"/>
  <c r="U46" i="131"/>
  <c r="V46" i="131" s="1"/>
  <c r="S46" i="131"/>
  <c r="R46" i="131"/>
  <c r="J46" i="131"/>
  <c r="I46" i="131"/>
  <c r="W46" i="131" s="1"/>
  <c r="S45" i="131"/>
  <c r="R45" i="131"/>
  <c r="J45" i="131"/>
  <c r="I45" i="131"/>
  <c r="U44" i="131"/>
  <c r="V44" i="131" s="1"/>
  <c r="S44" i="131"/>
  <c r="R44" i="131"/>
  <c r="J44" i="131"/>
  <c r="I44" i="131"/>
  <c r="S43" i="131"/>
  <c r="R43" i="131"/>
  <c r="J43" i="131"/>
  <c r="I43" i="131"/>
  <c r="U42" i="131"/>
  <c r="V42" i="131" s="1"/>
  <c r="S42" i="131"/>
  <c r="R42" i="131"/>
  <c r="J42" i="131"/>
  <c r="I42" i="131"/>
  <c r="W42" i="131" s="1"/>
  <c r="U41" i="131"/>
  <c r="V41" i="131" s="1"/>
  <c r="S41" i="131"/>
  <c r="R41" i="131"/>
  <c r="J41" i="131"/>
  <c r="I41" i="131"/>
  <c r="W41" i="131" s="1"/>
  <c r="U40" i="131"/>
  <c r="V40" i="131" s="1"/>
  <c r="S40" i="131"/>
  <c r="R40" i="131"/>
  <c r="J40" i="131"/>
  <c r="I40" i="131"/>
  <c r="W40" i="131" s="1"/>
  <c r="U39" i="131"/>
  <c r="V39" i="131" s="1"/>
  <c r="S39" i="131"/>
  <c r="R39" i="131"/>
  <c r="J39" i="131"/>
  <c r="I39" i="131"/>
  <c r="W39" i="131" s="1"/>
  <c r="U38" i="131"/>
  <c r="V38" i="131" s="1"/>
  <c r="S38" i="131"/>
  <c r="R38" i="131"/>
  <c r="J38" i="131"/>
  <c r="I38" i="131"/>
  <c r="W38" i="131" s="1"/>
  <c r="U37" i="131"/>
  <c r="V37" i="131" s="1"/>
  <c r="S37" i="131"/>
  <c r="R37" i="131"/>
  <c r="J37" i="131"/>
  <c r="I37" i="131"/>
  <c r="W37" i="131" s="1"/>
  <c r="U36" i="131"/>
  <c r="V36" i="131" s="1"/>
  <c r="S36" i="131"/>
  <c r="R36" i="131"/>
  <c r="J36" i="131"/>
  <c r="I36" i="131"/>
  <c r="W36" i="131" s="1"/>
  <c r="U35" i="131"/>
  <c r="V35" i="131" s="1"/>
  <c r="S35" i="131"/>
  <c r="R35" i="131"/>
  <c r="J35" i="131"/>
  <c r="I35" i="131"/>
  <c r="U34" i="131"/>
  <c r="V34" i="131" s="1"/>
  <c r="S34" i="131"/>
  <c r="R34" i="131"/>
  <c r="J34" i="131"/>
  <c r="I34" i="131"/>
  <c r="W34" i="131" s="1"/>
  <c r="U33" i="131"/>
  <c r="V33" i="131" s="1"/>
  <c r="S33" i="131"/>
  <c r="R33" i="131"/>
  <c r="J33" i="131"/>
  <c r="I33" i="131"/>
  <c r="W33" i="131" s="1"/>
  <c r="U32" i="131"/>
  <c r="V32" i="131" s="1"/>
  <c r="S32" i="131"/>
  <c r="R32" i="131"/>
  <c r="J32" i="131"/>
  <c r="I32" i="131"/>
  <c r="W32" i="131" s="1"/>
  <c r="U31" i="131"/>
  <c r="V31" i="131" s="1"/>
  <c r="S31" i="131"/>
  <c r="R31" i="131"/>
  <c r="J31" i="131"/>
  <c r="I31" i="131"/>
  <c r="W31" i="131" s="1"/>
  <c r="U30" i="131"/>
  <c r="V30" i="131" s="1"/>
  <c r="S30" i="131"/>
  <c r="R30" i="131"/>
  <c r="J30" i="131"/>
  <c r="I30" i="131"/>
  <c r="U29" i="131"/>
  <c r="V29" i="131" s="1"/>
  <c r="S29" i="131"/>
  <c r="R29" i="131"/>
  <c r="J29" i="131"/>
  <c r="I29" i="131"/>
  <c r="W29" i="131" s="1"/>
  <c r="U28" i="131"/>
  <c r="V28" i="131" s="1"/>
  <c r="S28" i="131"/>
  <c r="R28" i="131"/>
  <c r="J28" i="131"/>
  <c r="I28" i="131"/>
  <c r="W28" i="131" s="1"/>
  <c r="U27" i="131"/>
  <c r="V27" i="131" s="1"/>
  <c r="S27" i="131"/>
  <c r="R27" i="131"/>
  <c r="J27" i="131"/>
  <c r="I27" i="131"/>
  <c r="W27" i="131" s="1"/>
  <c r="BE26" i="131"/>
  <c r="U26" i="131"/>
  <c r="V26" i="131" s="1"/>
  <c r="S26" i="131"/>
  <c r="R26" i="131"/>
  <c r="J26" i="131"/>
  <c r="I26" i="131"/>
  <c r="U25" i="131"/>
  <c r="V25" i="131" s="1"/>
  <c r="S25" i="131"/>
  <c r="R25" i="131"/>
  <c r="J25" i="131"/>
  <c r="I25" i="131"/>
  <c r="W25" i="131" s="1"/>
  <c r="U24" i="131"/>
  <c r="V24" i="131" s="1"/>
  <c r="S24" i="131"/>
  <c r="R24" i="131"/>
  <c r="J24" i="131"/>
  <c r="I24" i="131"/>
  <c r="U23" i="131"/>
  <c r="V23" i="131" s="1"/>
  <c r="S23" i="131"/>
  <c r="R23" i="131"/>
  <c r="J23" i="131"/>
  <c r="I23" i="131"/>
  <c r="U22" i="131"/>
  <c r="V22" i="131" s="1"/>
  <c r="S22" i="131"/>
  <c r="R22" i="131"/>
  <c r="J22" i="131"/>
  <c r="I22" i="131"/>
  <c r="W22" i="131" s="1"/>
  <c r="U21" i="131"/>
  <c r="V21" i="131" s="1"/>
  <c r="S21" i="131"/>
  <c r="R21" i="131"/>
  <c r="J21" i="131"/>
  <c r="I21" i="131"/>
  <c r="U20" i="131"/>
  <c r="V20" i="131" s="1"/>
  <c r="S20" i="131"/>
  <c r="R20" i="131"/>
  <c r="J20" i="131"/>
  <c r="I20" i="131"/>
  <c r="U19" i="131"/>
  <c r="V19" i="131" s="1"/>
  <c r="S19" i="131"/>
  <c r="R19" i="131"/>
  <c r="J19" i="131"/>
  <c r="I19" i="131"/>
  <c r="W19" i="131" s="1"/>
  <c r="U18" i="131"/>
  <c r="V18" i="131" s="1"/>
  <c r="S18" i="131"/>
  <c r="R18" i="131"/>
  <c r="J18" i="131"/>
  <c r="I18" i="131"/>
  <c r="W18" i="131" s="1"/>
  <c r="U17" i="131"/>
  <c r="V17" i="131" s="1"/>
  <c r="S17" i="131"/>
  <c r="R17" i="131"/>
  <c r="J17" i="131"/>
  <c r="I17" i="131"/>
  <c r="W17" i="131" s="1"/>
  <c r="U16" i="131"/>
  <c r="V16" i="131" s="1"/>
  <c r="S16" i="131"/>
  <c r="R16" i="131"/>
  <c r="J16" i="131"/>
  <c r="I16" i="131"/>
  <c r="W16" i="131" s="1"/>
  <c r="U15" i="131"/>
  <c r="V15" i="131" s="1"/>
  <c r="S15" i="131"/>
  <c r="R15" i="131"/>
  <c r="J15" i="131"/>
  <c r="I15" i="131"/>
  <c r="W15" i="131" s="1"/>
  <c r="U14" i="131"/>
  <c r="V14" i="131" s="1"/>
  <c r="S14" i="131"/>
  <c r="R14" i="131"/>
  <c r="J14" i="131"/>
  <c r="I14" i="131"/>
  <c r="W14" i="131" s="1"/>
  <c r="U13" i="131"/>
  <c r="V13" i="131" s="1"/>
  <c r="S13" i="131"/>
  <c r="R13" i="131"/>
  <c r="J13" i="131"/>
  <c r="I13" i="131"/>
  <c r="W13" i="131" s="1"/>
  <c r="U12" i="131"/>
  <c r="V12" i="131" s="1"/>
  <c r="S12" i="131"/>
  <c r="R12" i="131"/>
  <c r="J12" i="131"/>
  <c r="I12" i="131"/>
  <c r="U11" i="131"/>
  <c r="V11" i="131" s="1"/>
  <c r="S11" i="131"/>
  <c r="R11" i="131"/>
  <c r="J11" i="131"/>
  <c r="I11" i="131"/>
  <c r="W11" i="131" s="1"/>
  <c r="U10" i="131"/>
  <c r="V10" i="131" s="1"/>
  <c r="S10" i="131"/>
  <c r="R10" i="131"/>
  <c r="J10" i="131"/>
  <c r="I10" i="131"/>
  <c r="W10" i="131" s="1"/>
  <c r="U9" i="131"/>
  <c r="V9" i="131" s="1"/>
  <c r="S9" i="131"/>
  <c r="R9" i="131"/>
  <c r="J9" i="131"/>
  <c r="I9" i="131"/>
  <c r="W9" i="131" s="1"/>
  <c r="A9" i="131"/>
  <c r="A10" i="131" s="1"/>
  <c r="A11" i="131" s="1"/>
  <c r="A12" i="131" s="1"/>
  <c r="A13" i="131" s="1"/>
  <c r="A14" i="131" s="1"/>
  <c r="A15" i="131" s="1"/>
  <c r="A16" i="131" s="1"/>
  <c r="A17" i="131" s="1"/>
  <c r="A18" i="131" s="1"/>
  <c r="A19" i="131" s="1"/>
  <c r="A20" i="131" s="1"/>
  <c r="A21" i="131" s="1"/>
  <c r="A22" i="131" s="1"/>
  <c r="A23" i="131" s="1"/>
  <c r="A24" i="131" s="1"/>
  <c r="A25" i="131" s="1"/>
  <c r="A26" i="131" s="1"/>
  <c r="A27" i="131" s="1"/>
  <c r="A28" i="131" s="1"/>
  <c r="A29" i="131" s="1"/>
  <c r="A30" i="131" s="1"/>
  <c r="A31" i="131" s="1"/>
  <c r="A32" i="131" s="1"/>
  <c r="A33" i="131" s="1"/>
  <c r="A34" i="131" s="1"/>
  <c r="A35" i="131" s="1"/>
  <c r="A36" i="131" s="1"/>
  <c r="A37" i="131" s="1"/>
  <c r="A38" i="131" s="1"/>
  <c r="A39" i="131" s="1"/>
  <c r="A40" i="131" s="1"/>
  <c r="A41" i="131" s="1"/>
  <c r="A42" i="131" s="1"/>
  <c r="A43" i="131" s="1"/>
  <c r="A44" i="131" s="1"/>
  <c r="A45" i="131" s="1"/>
  <c r="A46" i="131" s="1"/>
  <c r="A47" i="131" s="1"/>
  <c r="A48" i="131" s="1"/>
  <c r="A49" i="131" s="1"/>
  <c r="A50" i="131" s="1"/>
  <c r="A51" i="131" s="1"/>
  <c r="A52" i="131" s="1"/>
  <c r="A53" i="131" s="1"/>
  <c r="A54" i="131" s="1"/>
  <c r="A55" i="131" s="1"/>
  <c r="A56" i="131" s="1"/>
  <c r="A57" i="131" s="1"/>
  <c r="A58" i="131" s="1"/>
  <c r="A59" i="131" s="1"/>
  <c r="U8" i="131"/>
  <c r="S8" i="131"/>
  <c r="S60" i="131" s="1"/>
  <c r="R8" i="131"/>
  <c r="J8" i="131"/>
  <c r="J60" i="131" s="1"/>
  <c r="I8" i="131"/>
  <c r="Q60" i="130"/>
  <c r="P60" i="130"/>
  <c r="O60" i="130"/>
  <c r="N60" i="130"/>
  <c r="M60" i="130"/>
  <c r="L60" i="130"/>
  <c r="H60" i="130"/>
  <c r="G60" i="130"/>
  <c r="E60" i="130"/>
  <c r="D60" i="130"/>
  <c r="C60" i="130"/>
  <c r="S59" i="130"/>
  <c r="R59" i="130"/>
  <c r="J59" i="130"/>
  <c r="I59" i="130"/>
  <c r="S58" i="130"/>
  <c r="R58" i="130"/>
  <c r="J58" i="130"/>
  <c r="I58" i="130"/>
  <c r="S57" i="130"/>
  <c r="R57" i="130"/>
  <c r="J57" i="130"/>
  <c r="I57" i="130"/>
  <c r="S56" i="130"/>
  <c r="R56" i="130"/>
  <c r="J56" i="130"/>
  <c r="I56" i="130"/>
  <c r="S55" i="130"/>
  <c r="R55" i="130"/>
  <c r="J55" i="130"/>
  <c r="I55" i="130"/>
  <c r="U54" i="130"/>
  <c r="V54" i="130" s="1"/>
  <c r="S54" i="130"/>
  <c r="R54" i="130"/>
  <c r="J54" i="130"/>
  <c r="I54" i="130"/>
  <c r="W54" i="130" s="1"/>
  <c r="U53" i="130"/>
  <c r="V53" i="130" s="1"/>
  <c r="S53" i="130"/>
  <c r="R53" i="130"/>
  <c r="J53" i="130"/>
  <c r="I53" i="130"/>
  <c r="W53" i="130" s="1"/>
  <c r="U52" i="130"/>
  <c r="V52" i="130" s="1"/>
  <c r="S52" i="130"/>
  <c r="R52" i="130"/>
  <c r="J52" i="130"/>
  <c r="I52" i="130"/>
  <c r="W52" i="130" s="1"/>
  <c r="U51" i="130"/>
  <c r="V51" i="130" s="1"/>
  <c r="S51" i="130"/>
  <c r="R51" i="130"/>
  <c r="J51" i="130"/>
  <c r="I51" i="130"/>
  <c r="W51" i="130" s="1"/>
  <c r="U50" i="130"/>
  <c r="V50" i="130" s="1"/>
  <c r="S50" i="130"/>
  <c r="R50" i="130"/>
  <c r="J50" i="130"/>
  <c r="I50" i="130"/>
  <c r="W50" i="130" s="1"/>
  <c r="U49" i="130"/>
  <c r="V49" i="130" s="1"/>
  <c r="S49" i="130"/>
  <c r="R49" i="130"/>
  <c r="J49" i="130"/>
  <c r="I49" i="130"/>
  <c r="W49" i="130" s="1"/>
  <c r="U48" i="130"/>
  <c r="V48" i="130" s="1"/>
  <c r="S48" i="130"/>
  <c r="R48" i="130"/>
  <c r="J48" i="130"/>
  <c r="I48" i="130"/>
  <c r="W48" i="130" s="1"/>
  <c r="U47" i="130"/>
  <c r="V47" i="130" s="1"/>
  <c r="S47" i="130"/>
  <c r="R47" i="130"/>
  <c r="J47" i="130"/>
  <c r="I47" i="130"/>
  <c r="W47" i="130" s="1"/>
  <c r="U46" i="130"/>
  <c r="V46" i="130" s="1"/>
  <c r="S46" i="130"/>
  <c r="R46" i="130"/>
  <c r="J46" i="130"/>
  <c r="I46" i="130"/>
  <c r="W46" i="130" s="1"/>
  <c r="S45" i="130"/>
  <c r="R45" i="130"/>
  <c r="J45" i="130"/>
  <c r="I45" i="130"/>
  <c r="U44" i="130"/>
  <c r="V44" i="130" s="1"/>
  <c r="S44" i="130"/>
  <c r="R44" i="130"/>
  <c r="J44" i="130"/>
  <c r="I44" i="130"/>
  <c r="W44" i="130" s="1"/>
  <c r="S43" i="130"/>
  <c r="R43" i="130"/>
  <c r="J43" i="130"/>
  <c r="I43" i="130"/>
  <c r="U42" i="130"/>
  <c r="V42" i="130" s="1"/>
  <c r="S42" i="130"/>
  <c r="R42" i="130"/>
  <c r="J42" i="130"/>
  <c r="I42" i="130"/>
  <c r="W42" i="130" s="1"/>
  <c r="U41" i="130"/>
  <c r="V41" i="130" s="1"/>
  <c r="S41" i="130"/>
  <c r="R41" i="130"/>
  <c r="J41" i="130"/>
  <c r="I41" i="130"/>
  <c r="U40" i="130"/>
  <c r="V40" i="130" s="1"/>
  <c r="S40" i="130"/>
  <c r="R40" i="130"/>
  <c r="J40" i="130"/>
  <c r="I40" i="130"/>
  <c r="W40" i="130" s="1"/>
  <c r="U39" i="130"/>
  <c r="V39" i="130" s="1"/>
  <c r="S39" i="130"/>
  <c r="R39" i="130"/>
  <c r="J39" i="130"/>
  <c r="I39" i="130"/>
  <c r="W39" i="130" s="1"/>
  <c r="U38" i="130"/>
  <c r="V38" i="130" s="1"/>
  <c r="S38" i="130"/>
  <c r="R38" i="130"/>
  <c r="J38" i="130"/>
  <c r="I38" i="130"/>
  <c r="U37" i="130"/>
  <c r="V37" i="130" s="1"/>
  <c r="S37" i="130"/>
  <c r="R37" i="130"/>
  <c r="J37" i="130"/>
  <c r="I37" i="130"/>
  <c r="W37" i="130" s="1"/>
  <c r="U36" i="130"/>
  <c r="V36" i="130" s="1"/>
  <c r="S36" i="130"/>
  <c r="R36" i="130"/>
  <c r="J36" i="130"/>
  <c r="I36" i="130"/>
  <c r="W36" i="130" s="1"/>
  <c r="U35" i="130"/>
  <c r="V35" i="130" s="1"/>
  <c r="S35" i="130"/>
  <c r="R35" i="130"/>
  <c r="J35" i="130"/>
  <c r="I35" i="130"/>
  <c r="W35" i="130" s="1"/>
  <c r="U34" i="130"/>
  <c r="V34" i="130" s="1"/>
  <c r="S34" i="130"/>
  <c r="R34" i="130"/>
  <c r="J34" i="130"/>
  <c r="I34" i="130"/>
  <c r="W34" i="130" s="1"/>
  <c r="U33" i="130"/>
  <c r="V33" i="130" s="1"/>
  <c r="S33" i="130"/>
  <c r="R33" i="130"/>
  <c r="J33" i="130"/>
  <c r="I33" i="130"/>
  <c r="W33" i="130" s="1"/>
  <c r="U32" i="130"/>
  <c r="V32" i="130" s="1"/>
  <c r="S32" i="130"/>
  <c r="R32" i="130"/>
  <c r="J32" i="130"/>
  <c r="I32" i="130"/>
  <c r="W32" i="130" s="1"/>
  <c r="U31" i="130"/>
  <c r="V31" i="130" s="1"/>
  <c r="S31" i="130"/>
  <c r="R31" i="130"/>
  <c r="J31" i="130"/>
  <c r="I31" i="130"/>
  <c r="W31" i="130" s="1"/>
  <c r="U30" i="130"/>
  <c r="V30" i="130" s="1"/>
  <c r="S30" i="130"/>
  <c r="R30" i="130"/>
  <c r="J30" i="130"/>
  <c r="I30" i="130"/>
  <c r="W30" i="130" s="1"/>
  <c r="U29" i="130"/>
  <c r="V29" i="130" s="1"/>
  <c r="S29" i="130"/>
  <c r="R29" i="130"/>
  <c r="J29" i="130"/>
  <c r="I29" i="130"/>
  <c r="W29" i="130" s="1"/>
  <c r="U28" i="130"/>
  <c r="V28" i="130" s="1"/>
  <c r="S28" i="130"/>
  <c r="R28" i="130"/>
  <c r="J28" i="130"/>
  <c r="I28" i="130"/>
  <c r="W28" i="130" s="1"/>
  <c r="U27" i="130"/>
  <c r="V27" i="130" s="1"/>
  <c r="S27" i="130"/>
  <c r="R27" i="130"/>
  <c r="J27" i="130"/>
  <c r="I27" i="130"/>
  <c r="W27" i="130" s="1"/>
  <c r="BE26" i="130"/>
  <c r="U26" i="130"/>
  <c r="V26" i="130" s="1"/>
  <c r="S26" i="130"/>
  <c r="R26" i="130"/>
  <c r="J26" i="130"/>
  <c r="I26" i="130"/>
  <c r="U25" i="130"/>
  <c r="V25" i="130" s="1"/>
  <c r="S25" i="130"/>
  <c r="R25" i="130"/>
  <c r="J25" i="130"/>
  <c r="I25" i="130"/>
  <c r="W25" i="130" s="1"/>
  <c r="U24" i="130"/>
  <c r="V24" i="130" s="1"/>
  <c r="S24" i="130"/>
  <c r="R24" i="130"/>
  <c r="J24" i="130"/>
  <c r="I24" i="130"/>
  <c r="W24" i="130" s="1"/>
  <c r="U23" i="130"/>
  <c r="V23" i="130" s="1"/>
  <c r="S23" i="130"/>
  <c r="R23" i="130"/>
  <c r="J23" i="130"/>
  <c r="I23" i="130"/>
  <c r="U22" i="130"/>
  <c r="V22" i="130" s="1"/>
  <c r="S22" i="130"/>
  <c r="R22" i="130"/>
  <c r="J22" i="130"/>
  <c r="I22" i="130"/>
  <c r="W22" i="130" s="1"/>
  <c r="U21" i="130"/>
  <c r="V21" i="130" s="1"/>
  <c r="S21" i="130"/>
  <c r="R21" i="130"/>
  <c r="J21" i="130"/>
  <c r="I21" i="130"/>
  <c r="W21" i="130" s="1"/>
  <c r="U20" i="130"/>
  <c r="V20" i="130" s="1"/>
  <c r="S20" i="130"/>
  <c r="R20" i="130"/>
  <c r="J20" i="130"/>
  <c r="I20" i="130"/>
  <c r="U19" i="130"/>
  <c r="V19" i="130" s="1"/>
  <c r="S19" i="130"/>
  <c r="R19" i="130"/>
  <c r="J19" i="130"/>
  <c r="I19" i="130"/>
  <c r="W19" i="130" s="1"/>
  <c r="U18" i="130"/>
  <c r="V18" i="130" s="1"/>
  <c r="S18" i="130"/>
  <c r="R18" i="130"/>
  <c r="J18" i="130"/>
  <c r="I18" i="130"/>
  <c r="W18" i="130" s="1"/>
  <c r="U17" i="130"/>
  <c r="V17" i="130" s="1"/>
  <c r="S17" i="130"/>
  <c r="R17" i="130"/>
  <c r="J17" i="130"/>
  <c r="I17" i="130"/>
  <c r="W17" i="130" s="1"/>
  <c r="U16" i="130"/>
  <c r="V16" i="130" s="1"/>
  <c r="S16" i="130"/>
  <c r="R16" i="130"/>
  <c r="J16" i="130"/>
  <c r="I16" i="130"/>
  <c r="W16" i="130" s="1"/>
  <c r="U15" i="130"/>
  <c r="V15" i="130" s="1"/>
  <c r="S15" i="130"/>
  <c r="R15" i="130"/>
  <c r="J15" i="130"/>
  <c r="I15" i="130"/>
  <c r="W15" i="130" s="1"/>
  <c r="U14" i="130"/>
  <c r="V14" i="130" s="1"/>
  <c r="S14" i="130"/>
  <c r="R14" i="130"/>
  <c r="J14" i="130"/>
  <c r="I14" i="130"/>
  <c r="W14" i="130" s="1"/>
  <c r="U13" i="130"/>
  <c r="V13" i="130" s="1"/>
  <c r="S13" i="130"/>
  <c r="R13" i="130"/>
  <c r="J13" i="130"/>
  <c r="I13" i="130"/>
  <c r="W13" i="130" s="1"/>
  <c r="U12" i="130"/>
  <c r="V12" i="130" s="1"/>
  <c r="S12" i="130"/>
  <c r="R12" i="130"/>
  <c r="J12" i="130"/>
  <c r="I12" i="130"/>
  <c r="U11" i="130"/>
  <c r="V11" i="130" s="1"/>
  <c r="S11" i="130"/>
  <c r="R11" i="130"/>
  <c r="J11" i="130"/>
  <c r="I11" i="130"/>
  <c r="W11" i="130" s="1"/>
  <c r="U10" i="130"/>
  <c r="V10" i="130" s="1"/>
  <c r="S10" i="130"/>
  <c r="R10" i="130"/>
  <c r="J10" i="130"/>
  <c r="I10" i="130"/>
  <c r="W10" i="130" s="1"/>
  <c r="U9" i="130"/>
  <c r="V9" i="130" s="1"/>
  <c r="S9" i="130"/>
  <c r="R9" i="130"/>
  <c r="J9" i="130"/>
  <c r="I9" i="130"/>
  <c r="W9" i="130" s="1"/>
  <c r="A9" i="130"/>
  <c r="A10" i="130" s="1"/>
  <c r="A11" i="130" s="1"/>
  <c r="A12" i="130" s="1"/>
  <c r="A13" i="130" s="1"/>
  <c r="A14" i="130" s="1"/>
  <c r="A15" i="130" s="1"/>
  <c r="A16" i="130" s="1"/>
  <c r="A17" i="130" s="1"/>
  <c r="A18" i="130" s="1"/>
  <c r="A19" i="130" s="1"/>
  <c r="A20" i="130" s="1"/>
  <c r="A21" i="130" s="1"/>
  <c r="A22" i="130" s="1"/>
  <c r="A23" i="130" s="1"/>
  <c r="A24" i="130" s="1"/>
  <c r="A25" i="130" s="1"/>
  <c r="A26" i="130" s="1"/>
  <c r="A27" i="130" s="1"/>
  <c r="A28" i="130" s="1"/>
  <c r="A29" i="130" s="1"/>
  <c r="A30" i="130" s="1"/>
  <c r="A31" i="130" s="1"/>
  <c r="A32" i="130" s="1"/>
  <c r="A33" i="130" s="1"/>
  <c r="A34" i="130" s="1"/>
  <c r="A35" i="130" s="1"/>
  <c r="A36" i="130" s="1"/>
  <c r="A37" i="130" s="1"/>
  <c r="A38" i="130" s="1"/>
  <c r="A39" i="130" s="1"/>
  <c r="A40" i="130" s="1"/>
  <c r="A41" i="130" s="1"/>
  <c r="A42" i="130" s="1"/>
  <c r="A43" i="130" s="1"/>
  <c r="A44" i="130" s="1"/>
  <c r="A45" i="130" s="1"/>
  <c r="A46" i="130" s="1"/>
  <c r="A47" i="130" s="1"/>
  <c r="A48" i="130" s="1"/>
  <c r="A49" i="130" s="1"/>
  <c r="A50" i="130" s="1"/>
  <c r="A51" i="130" s="1"/>
  <c r="A52" i="130" s="1"/>
  <c r="A53" i="130" s="1"/>
  <c r="A54" i="130" s="1"/>
  <c r="A55" i="130" s="1"/>
  <c r="A56" i="130" s="1"/>
  <c r="A57" i="130" s="1"/>
  <c r="A58" i="130" s="1"/>
  <c r="A59" i="130" s="1"/>
  <c r="U8" i="130"/>
  <c r="S8" i="130"/>
  <c r="S60" i="130" s="1"/>
  <c r="R8" i="130"/>
  <c r="J8" i="130"/>
  <c r="J60" i="130" s="1"/>
  <c r="I8" i="130"/>
  <c r="Q60" i="129"/>
  <c r="P60" i="129"/>
  <c r="O60" i="129"/>
  <c r="N60" i="129"/>
  <c r="M60" i="129"/>
  <c r="L60" i="129"/>
  <c r="H60" i="129"/>
  <c r="G60" i="129"/>
  <c r="E60" i="129"/>
  <c r="D60" i="129"/>
  <c r="C60" i="129"/>
  <c r="S59" i="129"/>
  <c r="R59" i="129"/>
  <c r="J59" i="129"/>
  <c r="I59" i="129"/>
  <c r="S58" i="129"/>
  <c r="R58" i="129"/>
  <c r="J58" i="129"/>
  <c r="I58" i="129"/>
  <c r="S57" i="129"/>
  <c r="R57" i="129"/>
  <c r="J57" i="129"/>
  <c r="I57" i="129"/>
  <c r="S56" i="129"/>
  <c r="R56" i="129"/>
  <c r="J56" i="129"/>
  <c r="I56" i="129"/>
  <c r="S55" i="129"/>
  <c r="R55" i="129"/>
  <c r="J55" i="129"/>
  <c r="I55" i="129"/>
  <c r="U54" i="129"/>
  <c r="V54" i="129" s="1"/>
  <c r="S54" i="129"/>
  <c r="R54" i="129"/>
  <c r="J54" i="129"/>
  <c r="I54" i="129"/>
  <c r="W54" i="129" s="1"/>
  <c r="U53" i="129"/>
  <c r="V53" i="129" s="1"/>
  <c r="S53" i="129"/>
  <c r="R53" i="129"/>
  <c r="J53" i="129"/>
  <c r="I53" i="129"/>
  <c r="W53" i="129" s="1"/>
  <c r="U52" i="129"/>
  <c r="V52" i="129" s="1"/>
  <c r="S52" i="129"/>
  <c r="R52" i="129"/>
  <c r="J52" i="129"/>
  <c r="I52" i="129"/>
  <c r="W52" i="129" s="1"/>
  <c r="U51" i="129"/>
  <c r="V51" i="129" s="1"/>
  <c r="S51" i="129"/>
  <c r="R51" i="129"/>
  <c r="J51" i="129"/>
  <c r="I51" i="129"/>
  <c r="W51" i="129" s="1"/>
  <c r="U50" i="129"/>
  <c r="V50" i="129" s="1"/>
  <c r="S50" i="129"/>
  <c r="R50" i="129"/>
  <c r="J50" i="129"/>
  <c r="I50" i="129"/>
  <c r="W50" i="129" s="1"/>
  <c r="U49" i="129"/>
  <c r="V49" i="129" s="1"/>
  <c r="S49" i="129"/>
  <c r="R49" i="129"/>
  <c r="J49" i="129"/>
  <c r="I49" i="129"/>
  <c r="W49" i="129" s="1"/>
  <c r="U48" i="129"/>
  <c r="V48" i="129" s="1"/>
  <c r="S48" i="129"/>
  <c r="R48" i="129"/>
  <c r="J48" i="129"/>
  <c r="I48" i="129"/>
  <c r="W48" i="129" s="1"/>
  <c r="U47" i="129"/>
  <c r="V47" i="129" s="1"/>
  <c r="S47" i="129"/>
  <c r="R47" i="129"/>
  <c r="J47" i="129"/>
  <c r="I47" i="129"/>
  <c r="W47" i="129" s="1"/>
  <c r="U46" i="129"/>
  <c r="V46" i="129" s="1"/>
  <c r="S46" i="129"/>
  <c r="R46" i="129"/>
  <c r="J46" i="129"/>
  <c r="I46" i="129"/>
  <c r="W46" i="129" s="1"/>
  <c r="S45" i="129"/>
  <c r="R45" i="129"/>
  <c r="J45" i="129"/>
  <c r="I45" i="129"/>
  <c r="U44" i="129"/>
  <c r="V44" i="129" s="1"/>
  <c r="S44" i="129"/>
  <c r="R44" i="129"/>
  <c r="J44" i="129"/>
  <c r="I44" i="129"/>
  <c r="W44" i="129" s="1"/>
  <c r="S43" i="129"/>
  <c r="R43" i="129"/>
  <c r="J43" i="129"/>
  <c r="I43" i="129"/>
  <c r="U42" i="129"/>
  <c r="V42" i="129" s="1"/>
  <c r="S42" i="129"/>
  <c r="R42" i="129"/>
  <c r="J42" i="129"/>
  <c r="I42" i="129"/>
  <c r="W42" i="129" s="1"/>
  <c r="U41" i="129"/>
  <c r="V41" i="129" s="1"/>
  <c r="S41" i="129"/>
  <c r="R41" i="129"/>
  <c r="J41" i="129"/>
  <c r="I41" i="129"/>
  <c r="U40" i="129"/>
  <c r="V40" i="129" s="1"/>
  <c r="S40" i="129"/>
  <c r="R40" i="129"/>
  <c r="J40" i="129"/>
  <c r="I40" i="129"/>
  <c r="W40" i="129" s="1"/>
  <c r="U39" i="129"/>
  <c r="V39" i="129" s="1"/>
  <c r="S39" i="129"/>
  <c r="R39" i="129"/>
  <c r="J39" i="129"/>
  <c r="I39" i="129"/>
  <c r="W39" i="129" s="1"/>
  <c r="U38" i="129"/>
  <c r="V38" i="129" s="1"/>
  <c r="S38" i="129"/>
  <c r="R38" i="129"/>
  <c r="J38" i="129"/>
  <c r="I38" i="129"/>
  <c r="U37" i="129"/>
  <c r="V37" i="129" s="1"/>
  <c r="S37" i="129"/>
  <c r="R37" i="129"/>
  <c r="J37" i="129"/>
  <c r="I37" i="129"/>
  <c r="W37" i="129" s="1"/>
  <c r="U36" i="129"/>
  <c r="V36" i="129" s="1"/>
  <c r="S36" i="129"/>
  <c r="R36" i="129"/>
  <c r="J36" i="129"/>
  <c r="I36" i="129"/>
  <c r="W36" i="129" s="1"/>
  <c r="U35" i="129"/>
  <c r="V35" i="129" s="1"/>
  <c r="S35" i="129"/>
  <c r="R35" i="129"/>
  <c r="J35" i="129"/>
  <c r="I35" i="129"/>
  <c r="W35" i="129" s="1"/>
  <c r="U34" i="129"/>
  <c r="V34" i="129" s="1"/>
  <c r="S34" i="129"/>
  <c r="R34" i="129"/>
  <c r="J34" i="129"/>
  <c r="I34" i="129"/>
  <c r="W34" i="129" s="1"/>
  <c r="U33" i="129"/>
  <c r="V33" i="129" s="1"/>
  <c r="S33" i="129"/>
  <c r="R33" i="129"/>
  <c r="J33" i="129"/>
  <c r="I33" i="129"/>
  <c r="W33" i="129" s="1"/>
  <c r="U32" i="129"/>
  <c r="V32" i="129" s="1"/>
  <c r="S32" i="129"/>
  <c r="R32" i="129"/>
  <c r="J32" i="129"/>
  <c r="I32" i="129"/>
  <c r="W32" i="129" s="1"/>
  <c r="U31" i="129"/>
  <c r="V31" i="129" s="1"/>
  <c r="S31" i="129"/>
  <c r="R31" i="129"/>
  <c r="J31" i="129"/>
  <c r="I31" i="129"/>
  <c r="W31" i="129" s="1"/>
  <c r="U30" i="129"/>
  <c r="V30" i="129" s="1"/>
  <c r="S30" i="129"/>
  <c r="R30" i="129"/>
  <c r="J30" i="129"/>
  <c r="I30" i="129"/>
  <c r="W30" i="129" s="1"/>
  <c r="U29" i="129"/>
  <c r="V29" i="129" s="1"/>
  <c r="S29" i="129"/>
  <c r="R29" i="129"/>
  <c r="J29" i="129"/>
  <c r="I29" i="129"/>
  <c r="W29" i="129" s="1"/>
  <c r="U28" i="129"/>
  <c r="V28" i="129" s="1"/>
  <c r="S28" i="129"/>
  <c r="R28" i="129"/>
  <c r="J28" i="129"/>
  <c r="I28" i="129"/>
  <c r="W28" i="129" s="1"/>
  <c r="U27" i="129"/>
  <c r="V27" i="129" s="1"/>
  <c r="S27" i="129"/>
  <c r="R27" i="129"/>
  <c r="J27" i="129"/>
  <c r="I27" i="129"/>
  <c r="W27" i="129" s="1"/>
  <c r="BE26" i="129"/>
  <c r="U26" i="129"/>
  <c r="V26" i="129" s="1"/>
  <c r="S26" i="129"/>
  <c r="R26" i="129"/>
  <c r="J26" i="129"/>
  <c r="I26" i="129"/>
  <c r="W26" i="129" s="1"/>
  <c r="U25" i="129"/>
  <c r="V25" i="129" s="1"/>
  <c r="S25" i="129"/>
  <c r="R25" i="129"/>
  <c r="J25" i="129"/>
  <c r="I25" i="129"/>
  <c r="W25" i="129" s="1"/>
  <c r="U24" i="129"/>
  <c r="V24" i="129" s="1"/>
  <c r="S24" i="129"/>
  <c r="R24" i="129"/>
  <c r="J24" i="129"/>
  <c r="I24" i="129"/>
  <c r="U23" i="129"/>
  <c r="V23" i="129" s="1"/>
  <c r="S23" i="129"/>
  <c r="R23" i="129"/>
  <c r="J23" i="129"/>
  <c r="I23" i="129"/>
  <c r="W23" i="129" s="1"/>
  <c r="U22" i="129"/>
  <c r="V22" i="129" s="1"/>
  <c r="S22" i="129"/>
  <c r="R22" i="129"/>
  <c r="J22" i="129"/>
  <c r="I22" i="129"/>
  <c r="W22" i="129" s="1"/>
  <c r="U21" i="129"/>
  <c r="V21" i="129" s="1"/>
  <c r="S21" i="129"/>
  <c r="R21" i="129"/>
  <c r="J21" i="129"/>
  <c r="I21" i="129"/>
  <c r="W21" i="129" s="1"/>
  <c r="U20" i="129"/>
  <c r="V20" i="129" s="1"/>
  <c r="S20" i="129"/>
  <c r="R20" i="129"/>
  <c r="J20" i="129"/>
  <c r="I20" i="129"/>
  <c r="W20" i="129" s="1"/>
  <c r="U19" i="129"/>
  <c r="V19" i="129" s="1"/>
  <c r="S19" i="129"/>
  <c r="R19" i="129"/>
  <c r="J19" i="129"/>
  <c r="I19" i="129"/>
  <c r="W19" i="129" s="1"/>
  <c r="U18" i="129"/>
  <c r="V18" i="129" s="1"/>
  <c r="S18" i="129"/>
  <c r="R18" i="129"/>
  <c r="J18" i="129"/>
  <c r="I18" i="129"/>
  <c r="W18" i="129" s="1"/>
  <c r="U17" i="129"/>
  <c r="V17" i="129" s="1"/>
  <c r="S17" i="129"/>
  <c r="R17" i="129"/>
  <c r="J17" i="129"/>
  <c r="I17" i="129"/>
  <c r="W17" i="129" s="1"/>
  <c r="U16" i="129"/>
  <c r="V16" i="129" s="1"/>
  <c r="S16" i="129"/>
  <c r="R16" i="129"/>
  <c r="J16" i="129"/>
  <c r="I16" i="129"/>
  <c r="W16" i="129" s="1"/>
  <c r="U15" i="129"/>
  <c r="V15" i="129" s="1"/>
  <c r="S15" i="129"/>
  <c r="R15" i="129"/>
  <c r="J15" i="129"/>
  <c r="I15" i="129"/>
  <c r="W15" i="129" s="1"/>
  <c r="U14" i="129"/>
  <c r="V14" i="129" s="1"/>
  <c r="S14" i="129"/>
  <c r="R14" i="129"/>
  <c r="J14" i="129"/>
  <c r="I14" i="129"/>
  <c r="W14" i="129" s="1"/>
  <c r="U13" i="129"/>
  <c r="V13" i="129" s="1"/>
  <c r="S13" i="129"/>
  <c r="R13" i="129"/>
  <c r="J13" i="129"/>
  <c r="I13" i="129"/>
  <c r="W13" i="129" s="1"/>
  <c r="U12" i="129"/>
  <c r="V12" i="129" s="1"/>
  <c r="S12" i="129"/>
  <c r="R12" i="129"/>
  <c r="J12" i="129"/>
  <c r="I12" i="129"/>
  <c r="U11" i="129"/>
  <c r="V11" i="129" s="1"/>
  <c r="S11" i="129"/>
  <c r="R11" i="129"/>
  <c r="J11" i="129"/>
  <c r="I11" i="129"/>
  <c r="W11" i="129" s="1"/>
  <c r="U10" i="129"/>
  <c r="V10" i="129" s="1"/>
  <c r="S10" i="129"/>
  <c r="R10" i="129"/>
  <c r="J10" i="129"/>
  <c r="I10" i="129"/>
  <c r="W10" i="129" s="1"/>
  <c r="U9" i="129"/>
  <c r="V9" i="129" s="1"/>
  <c r="S9" i="129"/>
  <c r="R9" i="129"/>
  <c r="J9" i="129"/>
  <c r="I9" i="129"/>
  <c r="W9" i="129" s="1"/>
  <c r="A9" i="129"/>
  <c r="A10" i="129" s="1"/>
  <c r="A11" i="129" s="1"/>
  <c r="A12" i="129" s="1"/>
  <c r="A13" i="129" s="1"/>
  <c r="A14" i="129" s="1"/>
  <c r="A15" i="129" s="1"/>
  <c r="A16" i="129" s="1"/>
  <c r="A17" i="129" s="1"/>
  <c r="A18" i="129" s="1"/>
  <c r="A19" i="129" s="1"/>
  <c r="A20" i="129" s="1"/>
  <c r="A21" i="129" s="1"/>
  <c r="A22" i="129" s="1"/>
  <c r="A23" i="129" s="1"/>
  <c r="A24" i="129" s="1"/>
  <c r="A25" i="129" s="1"/>
  <c r="A26" i="129" s="1"/>
  <c r="A27" i="129" s="1"/>
  <c r="A28" i="129" s="1"/>
  <c r="A29" i="129" s="1"/>
  <c r="A30" i="129" s="1"/>
  <c r="A31" i="129" s="1"/>
  <c r="A32" i="129" s="1"/>
  <c r="A33" i="129" s="1"/>
  <c r="A34" i="129" s="1"/>
  <c r="A35" i="129" s="1"/>
  <c r="A36" i="129" s="1"/>
  <c r="A37" i="129" s="1"/>
  <c r="A38" i="129" s="1"/>
  <c r="A39" i="129" s="1"/>
  <c r="A40" i="129" s="1"/>
  <c r="A41" i="129" s="1"/>
  <c r="A42" i="129" s="1"/>
  <c r="A43" i="129" s="1"/>
  <c r="A44" i="129" s="1"/>
  <c r="A45" i="129" s="1"/>
  <c r="A46" i="129" s="1"/>
  <c r="A47" i="129" s="1"/>
  <c r="A48" i="129" s="1"/>
  <c r="A49" i="129" s="1"/>
  <c r="A50" i="129" s="1"/>
  <c r="A51" i="129" s="1"/>
  <c r="A52" i="129" s="1"/>
  <c r="A53" i="129" s="1"/>
  <c r="A54" i="129" s="1"/>
  <c r="A55" i="129" s="1"/>
  <c r="A56" i="129" s="1"/>
  <c r="A57" i="129" s="1"/>
  <c r="A58" i="129" s="1"/>
  <c r="A59" i="129" s="1"/>
  <c r="U8" i="129"/>
  <c r="S8" i="129"/>
  <c r="S60" i="129" s="1"/>
  <c r="R8" i="129"/>
  <c r="R60" i="129" s="1"/>
  <c r="J8" i="129"/>
  <c r="J60" i="129" s="1"/>
  <c r="I8" i="129"/>
  <c r="A49" i="126"/>
  <c r="C48" i="125"/>
  <c r="I48" i="125" s="1"/>
  <c r="W48" i="125" s="1"/>
  <c r="C44" i="125"/>
  <c r="Q60" i="128"/>
  <c r="P60" i="128"/>
  <c r="O60" i="128"/>
  <c r="N60" i="128"/>
  <c r="M60" i="128"/>
  <c r="L60" i="128"/>
  <c r="H60" i="128"/>
  <c r="G60" i="128"/>
  <c r="E60" i="128"/>
  <c r="D60" i="128"/>
  <c r="C60" i="128"/>
  <c r="S59" i="128"/>
  <c r="R59" i="128"/>
  <c r="J59" i="128"/>
  <c r="I59" i="128"/>
  <c r="S58" i="128"/>
  <c r="R58" i="128"/>
  <c r="J58" i="128"/>
  <c r="I58" i="128"/>
  <c r="S57" i="128"/>
  <c r="R57" i="128"/>
  <c r="J57" i="128"/>
  <c r="I57" i="128"/>
  <c r="S56" i="128"/>
  <c r="R56" i="128"/>
  <c r="J56" i="128"/>
  <c r="I56" i="128"/>
  <c r="S55" i="128"/>
  <c r="R55" i="128"/>
  <c r="J55" i="128"/>
  <c r="I55" i="128"/>
  <c r="U54" i="128"/>
  <c r="V54" i="128" s="1"/>
  <c r="S54" i="128"/>
  <c r="R54" i="128"/>
  <c r="J54" i="128"/>
  <c r="V53" i="128"/>
  <c r="U53" i="128"/>
  <c r="S53" i="128"/>
  <c r="R53" i="128"/>
  <c r="J53" i="128"/>
  <c r="U52" i="128"/>
  <c r="V52" i="128" s="1"/>
  <c r="S52" i="128"/>
  <c r="R52" i="128"/>
  <c r="J52" i="128"/>
  <c r="U51" i="128"/>
  <c r="V51" i="128" s="1"/>
  <c r="S51" i="128"/>
  <c r="R51" i="128"/>
  <c r="J51" i="128"/>
  <c r="V50" i="128"/>
  <c r="U50" i="128"/>
  <c r="S50" i="128"/>
  <c r="R50" i="128"/>
  <c r="J50" i="128"/>
  <c r="U49" i="128"/>
  <c r="V49" i="128" s="1"/>
  <c r="S49" i="128"/>
  <c r="R49" i="128"/>
  <c r="J49" i="128"/>
  <c r="U48" i="128"/>
  <c r="V48" i="128" s="1"/>
  <c r="S48" i="128"/>
  <c r="R48" i="128"/>
  <c r="J48" i="128"/>
  <c r="V47" i="128"/>
  <c r="U47" i="128"/>
  <c r="S47" i="128"/>
  <c r="R47" i="128"/>
  <c r="J47" i="128"/>
  <c r="U46" i="128"/>
  <c r="V46" i="128" s="1"/>
  <c r="S46" i="128"/>
  <c r="R46" i="128"/>
  <c r="J46" i="128"/>
  <c r="S45" i="128"/>
  <c r="R45" i="128"/>
  <c r="J45" i="128"/>
  <c r="U44" i="128"/>
  <c r="V44" i="128" s="1"/>
  <c r="S44" i="128"/>
  <c r="R44" i="128"/>
  <c r="J44" i="128"/>
  <c r="S43" i="128"/>
  <c r="R43" i="128"/>
  <c r="J43" i="128"/>
  <c r="U42" i="128"/>
  <c r="V42" i="128" s="1"/>
  <c r="S42" i="128"/>
  <c r="R42" i="128"/>
  <c r="J42" i="128"/>
  <c r="U41" i="128"/>
  <c r="V41" i="128" s="1"/>
  <c r="S41" i="128"/>
  <c r="R41" i="128"/>
  <c r="J41" i="128"/>
  <c r="V40" i="128"/>
  <c r="U40" i="128"/>
  <c r="S40" i="128"/>
  <c r="R40" i="128"/>
  <c r="J40" i="128"/>
  <c r="U39" i="128"/>
  <c r="V39" i="128" s="1"/>
  <c r="S39" i="128"/>
  <c r="R39" i="128"/>
  <c r="J39" i="128"/>
  <c r="U38" i="128"/>
  <c r="V38" i="128" s="1"/>
  <c r="S38" i="128"/>
  <c r="R38" i="128"/>
  <c r="J38" i="128"/>
  <c r="V37" i="128"/>
  <c r="U37" i="128"/>
  <c r="S37" i="128"/>
  <c r="R37" i="128"/>
  <c r="J37" i="128"/>
  <c r="U36" i="128"/>
  <c r="V36" i="128" s="1"/>
  <c r="S36" i="128"/>
  <c r="R36" i="128"/>
  <c r="J36" i="128"/>
  <c r="U35" i="128"/>
  <c r="V35" i="128" s="1"/>
  <c r="S35" i="128"/>
  <c r="R35" i="128"/>
  <c r="J35" i="128"/>
  <c r="W35" i="128" s="1"/>
  <c r="V34" i="128"/>
  <c r="U34" i="128"/>
  <c r="S34" i="128"/>
  <c r="R34" i="128"/>
  <c r="J34" i="128"/>
  <c r="W34" i="128"/>
  <c r="U33" i="128"/>
  <c r="V33" i="128" s="1"/>
  <c r="S33" i="128"/>
  <c r="R33" i="128"/>
  <c r="J33" i="128"/>
  <c r="U32" i="128"/>
  <c r="V32" i="128" s="1"/>
  <c r="S32" i="128"/>
  <c r="R32" i="128"/>
  <c r="J32" i="128"/>
  <c r="W32" i="128"/>
  <c r="V31" i="128"/>
  <c r="U31" i="128"/>
  <c r="S31" i="128"/>
  <c r="R31" i="128"/>
  <c r="J31" i="128"/>
  <c r="W31" i="128"/>
  <c r="U30" i="128"/>
  <c r="V30" i="128" s="1"/>
  <c r="S30" i="128"/>
  <c r="R30" i="128"/>
  <c r="J30" i="128"/>
  <c r="W30" i="128" s="1"/>
  <c r="U29" i="128"/>
  <c r="V29" i="128" s="1"/>
  <c r="S29" i="128"/>
  <c r="R29" i="128"/>
  <c r="J29" i="128"/>
  <c r="W29" i="128"/>
  <c r="A29" i="128"/>
  <c r="A30" i="128" s="1"/>
  <c r="A31" i="128" s="1"/>
  <c r="A32" i="128" s="1"/>
  <c r="A33" i="128" s="1"/>
  <c r="A34" i="128" s="1"/>
  <c r="A35" i="128" s="1"/>
  <c r="A36" i="128" s="1"/>
  <c r="A37" i="128" s="1"/>
  <c r="A38" i="128" s="1"/>
  <c r="A39" i="128" s="1"/>
  <c r="A40" i="128" s="1"/>
  <c r="A41" i="128" s="1"/>
  <c r="A42" i="128" s="1"/>
  <c r="A43" i="128" s="1"/>
  <c r="A44" i="128" s="1"/>
  <c r="A45" i="128" s="1"/>
  <c r="A46" i="128" s="1"/>
  <c r="A47" i="128" s="1"/>
  <c r="A48" i="128" s="1"/>
  <c r="A49" i="128" s="1"/>
  <c r="A50" i="128" s="1"/>
  <c r="A51" i="128" s="1"/>
  <c r="A52" i="128" s="1"/>
  <c r="A53" i="128" s="1"/>
  <c r="A54" i="128" s="1"/>
  <c r="A55" i="128" s="1"/>
  <c r="A56" i="128" s="1"/>
  <c r="A57" i="128" s="1"/>
  <c r="A58" i="128" s="1"/>
  <c r="A59" i="128" s="1"/>
  <c r="V28" i="128"/>
  <c r="U28" i="128"/>
  <c r="S28" i="128"/>
  <c r="R28" i="128"/>
  <c r="J28" i="128"/>
  <c r="W28" i="128"/>
  <c r="U27" i="128"/>
  <c r="V27" i="128" s="1"/>
  <c r="S27" i="128"/>
  <c r="R27" i="128"/>
  <c r="J27" i="128"/>
  <c r="W27" i="128"/>
  <c r="BE26" i="128"/>
  <c r="V26" i="128"/>
  <c r="U26" i="128"/>
  <c r="S26" i="128"/>
  <c r="R26" i="128"/>
  <c r="J26" i="128"/>
  <c r="U25" i="128"/>
  <c r="V25" i="128" s="1"/>
  <c r="S25" i="128"/>
  <c r="R25" i="128"/>
  <c r="J25" i="128"/>
  <c r="I25" i="128"/>
  <c r="U24" i="128"/>
  <c r="V24" i="128" s="1"/>
  <c r="S24" i="128"/>
  <c r="R24" i="128"/>
  <c r="J24" i="128"/>
  <c r="I24" i="128"/>
  <c r="V23" i="128"/>
  <c r="U23" i="128"/>
  <c r="S23" i="128"/>
  <c r="R23" i="128"/>
  <c r="J23" i="128"/>
  <c r="I23" i="128"/>
  <c r="U22" i="128"/>
  <c r="V22" i="128" s="1"/>
  <c r="S22" i="128"/>
  <c r="R22" i="128"/>
  <c r="J22" i="128"/>
  <c r="I22" i="128"/>
  <c r="W21" i="128"/>
  <c r="U21" i="128"/>
  <c r="V21" i="128" s="1"/>
  <c r="S21" i="128"/>
  <c r="R21" i="128"/>
  <c r="J21" i="128"/>
  <c r="I21" i="128"/>
  <c r="V20" i="128"/>
  <c r="U20" i="128"/>
  <c r="S20" i="128"/>
  <c r="R20" i="128"/>
  <c r="J20" i="128"/>
  <c r="I20" i="128"/>
  <c r="W20" i="128" s="1"/>
  <c r="U19" i="128"/>
  <c r="V19" i="128" s="1"/>
  <c r="S19" i="128"/>
  <c r="R19" i="128"/>
  <c r="J19" i="128"/>
  <c r="W19" i="128" s="1"/>
  <c r="I19" i="128"/>
  <c r="U18" i="128"/>
  <c r="V18" i="128" s="1"/>
  <c r="S18" i="128"/>
  <c r="R18" i="128"/>
  <c r="J18" i="128"/>
  <c r="I18" i="128"/>
  <c r="W18" i="128" s="1"/>
  <c r="V17" i="128"/>
  <c r="U17" i="128"/>
  <c r="S17" i="128"/>
  <c r="R17" i="128"/>
  <c r="J17" i="128"/>
  <c r="I17" i="128"/>
  <c r="W17" i="128" s="1"/>
  <c r="U16" i="128"/>
  <c r="V16" i="128" s="1"/>
  <c r="S16" i="128"/>
  <c r="R16" i="128"/>
  <c r="J16" i="128"/>
  <c r="I16" i="128"/>
  <c r="U15" i="128"/>
  <c r="V15" i="128" s="1"/>
  <c r="S15" i="128"/>
  <c r="R15" i="128"/>
  <c r="J15" i="128"/>
  <c r="I15" i="128"/>
  <c r="W15" i="128" s="1"/>
  <c r="V14" i="128"/>
  <c r="U14" i="128"/>
  <c r="S14" i="128"/>
  <c r="R14" i="128"/>
  <c r="J14" i="128"/>
  <c r="I14" i="128"/>
  <c r="W14" i="128" s="1"/>
  <c r="U13" i="128"/>
  <c r="V13" i="128" s="1"/>
  <c r="S13" i="128"/>
  <c r="R13" i="128"/>
  <c r="J13" i="128"/>
  <c r="I13" i="128"/>
  <c r="U12" i="128"/>
  <c r="V12" i="128" s="1"/>
  <c r="S12" i="128"/>
  <c r="R12" i="128"/>
  <c r="J12" i="128"/>
  <c r="W12" i="128" s="1"/>
  <c r="I12" i="128"/>
  <c r="V11" i="128"/>
  <c r="U11" i="128"/>
  <c r="S11" i="128"/>
  <c r="R11" i="128"/>
  <c r="J11" i="128"/>
  <c r="I11" i="128"/>
  <c r="W11" i="128" s="1"/>
  <c r="U10" i="128"/>
  <c r="V10" i="128" s="1"/>
  <c r="S10" i="128"/>
  <c r="R10" i="128"/>
  <c r="J10" i="128"/>
  <c r="I10" i="128"/>
  <c r="W10" i="128" s="1"/>
  <c r="U9" i="128"/>
  <c r="V9" i="128" s="1"/>
  <c r="S9" i="128"/>
  <c r="R9" i="128"/>
  <c r="J9" i="128"/>
  <c r="I9" i="128"/>
  <c r="W9" i="128" s="1"/>
  <c r="A9" i="128"/>
  <c r="A10" i="128" s="1"/>
  <c r="A11" i="128" s="1"/>
  <c r="A12" i="128" s="1"/>
  <c r="A13" i="128" s="1"/>
  <c r="A14" i="128" s="1"/>
  <c r="A15" i="128" s="1"/>
  <c r="A16" i="128" s="1"/>
  <c r="A17" i="128" s="1"/>
  <c r="A18" i="128" s="1"/>
  <c r="A19" i="128" s="1"/>
  <c r="A20" i="128" s="1"/>
  <c r="A21" i="128" s="1"/>
  <c r="A22" i="128" s="1"/>
  <c r="A23" i="128" s="1"/>
  <c r="A24" i="128" s="1"/>
  <c r="A25" i="128" s="1"/>
  <c r="A26" i="128" s="1"/>
  <c r="A27" i="128" s="1"/>
  <c r="A28" i="128" s="1"/>
  <c r="V8" i="128"/>
  <c r="U8" i="128"/>
  <c r="S8" i="128"/>
  <c r="R8" i="128"/>
  <c r="J8" i="128"/>
  <c r="I8" i="128"/>
  <c r="Q60" i="127"/>
  <c r="P60" i="127"/>
  <c r="O60" i="127"/>
  <c r="N60" i="127"/>
  <c r="M60" i="127"/>
  <c r="L60" i="127"/>
  <c r="H60" i="127"/>
  <c r="G60" i="127"/>
  <c r="E60" i="127"/>
  <c r="D60" i="127"/>
  <c r="S59" i="127"/>
  <c r="R59" i="127"/>
  <c r="J59" i="127"/>
  <c r="I59" i="127"/>
  <c r="S58" i="127"/>
  <c r="R58" i="127"/>
  <c r="J58" i="127"/>
  <c r="I58" i="127"/>
  <c r="S57" i="127"/>
  <c r="R57" i="127"/>
  <c r="J57" i="127"/>
  <c r="I57" i="127"/>
  <c r="S56" i="127"/>
  <c r="R56" i="127"/>
  <c r="J56" i="127"/>
  <c r="I56" i="127"/>
  <c r="S55" i="127"/>
  <c r="R55" i="127"/>
  <c r="J55" i="127"/>
  <c r="I55" i="127"/>
  <c r="U54" i="127"/>
  <c r="V54" i="127" s="1"/>
  <c r="S54" i="127"/>
  <c r="R54" i="127"/>
  <c r="J54" i="127"/>
  <c r="I54" i="127"/>
  <c r="W54" i="127" s="1"/>
  <c r="U53" i="127"/>
  <c r="V53" i="127" s="1"/>
  <c r="S53" i="127"/>
  <c r="R53" i="127"/>
  <c r="J53" i="127"/>
  <c r="I53" i="127"/>
  <c r="W53" i="127" s="1"/>
  <c r="V52" i="127"/>
  <c r="U52" i="127"/>
  <c r="S52" i="127"/>
  <c r="R52" i="127"/>
  <c r="J52" i="127"/>
  <c r="I52" i="127"/>
  <c r="W52" i="127" s="1"/>
  <c r="U51" i="127"/>
  <c r="V51" i="127" s="1"/>
  <c r="S51" i="127"/>
  <c r="R51" i="127"/>
  <c r="J51" i="127"/>
  <c r="I51" i="127"/>
  <c r="W51" i="127" s="1"/>
  <c r="U50" i="127"/>
  <c r="V50" i="127" s="1"/>
  <c r="S50" i="127"/>
  <c r="R50" i="127"/>
  <c r="J50" i="127"/>
  <c r="I50" i="127"/>
  <c r="W50" i="127" s="1"/>
  <c r="U49" i="127"/>
  <c r="V49" i="127" s="1"/>
  <c r="S49" i="127"/>
  <c r="R49" i="127"/>
  <c r="J49" i="127"/>
  <c r="I49" i="127"/>
  <c r="W49" i="127" s="1"/>
  <c r="U48" i="127"/>
  <c r="V48" i="127" s="1"/>
  <c r="S48" i="127"/>
  <c r="R48" i="127"/>
  <c r="J48" i="127"/>
  <c r="I48" i="127"/>
  <c r="W48" i="127" s="1"/>
  <c r="U47" i="127"/>
  <c r="V47" i="127" s="1"/>
  <c r="S47" i="127"/>
  <c r="R47" i="127"/>
  <c r="J47" i="127"/>
  <c r="I47" i="127"/>
  <c r="W47" i="127" s="1"/>
  <c r="U46" i="127"/>
  <c r="V46" i="127" s="1"/>
  <c r="S46" i="127"/>
  <c r="R46" i="127"/>
  <c r="J46" i="127"/>
  <c r="I46" i="127"/>
  <c r="W46" i="127" s="1"/>
  <c r="S45" i="127"/>
  <c r="R45" i="127"/>
  <c r="J45" i="127"/>
  <c r="I45" i="127"/>
  <c r="U44" i="127"/>
  <c r="V44" i="127" s="1"/>
  <c r="S44" i="127"/>
  <c r="R44" i="127"/>
  <c r="J44" i="127"/>
  <c r="I44" i="127"/>
  <c r="W44" i="127" s="1"/>
  <c r="S43" i="127"/>
  <c r="R43" i="127"/>
  <c r="J43" i="127"/>
  <c r="I43" i="127"/>
  <c r="U42" i="127"/>
  <c r="V42" i="127" s="1"/>
  <c r="S42" i="127"/>
  <c r="R42" i="127"/>
  <c r="J42" i="127"/>
  <c r="I42" i="127"/>
  <c r="U41" i="127"/>
  <c r="V41" i="127" s="1"/>
  <c r="S41" i="127"/>
  <c r="R41" i="127"/>
  <c r="J41" i="127"/>
  <c r="I41" i="127"/>
  <c r="V40" i="127"/>
  <c r="U40" i="127"/>
  <c r="S40" i="127"/>
  <c r="R40" i="127"/>
  <c r="J40" i="127"/>
  <c r="I40" i="127"/>
  <c r="W40" i="127" s="1"/>
  <c r="U39" i="127"/>
  <c r="V39" i="127" s="1"/>
  <c r="S39" i="127"/>
  <c r="R39" i="127"/>
  <c r="J39" i="127"/>
  <c r="I39" i="127"/>
  <c r="U38" i="127"/>
  <c r="V38" i="127" s="1"/>
  <c r="S38" i="127"/>
  <c r="R38" i="127"/>
  <c r="J38" i="127"/>
  <c r="I38" i="127"/>
  <c r="V37" i="127"/>
  <c r="U37" i="127"/>
  <c r="S37" i="127"/>
  <c r="R37" i="127"/>
  <c r="J37" i="127"/>
  <c r="I37" i="127"/>
  <c r="W37" i="127" s="1"/>
  <c r="U36" i="127"/>
  <c r="V36" i="127" s="1"/>
  <c r="S36" i="127"/>
  <c r="R36" i="127"/>
  <c r="J36" i="127"/>
  <c r="W36" i="127" s="1"/>
  <c r="I36" i="127"/>
  <c r="U35" i="127"/>
  <c r="V35" i="127" s="1"/>
  <c r="S35" i="127"/>
  <c r="R35" i="127"/>
  <c r="J35" i="127"/>
  <c r="I35" i="127"/>
  <c r="W35" i="127" s="1"/>
  <c r="V34" i="127"/>
  <c r="U34" i="127"/>
  <c r="S34" i="127"/>
  <c r="R34" i="127"/>
  <c r="J34" i="127"/>
  <c r="I34" i="127"/>
  <c r="W34" i="127" s="1"/>
  <c r="U33" i="127"/>
  <c r="V33" i="127" s="1"/>
  <c r="S33" i="127"/>
  <c r="R33" i="127"/>
  <c r="J33" i="127"/>
  <c r="I33" i="127"/>
  <c r="U32" i="127"/>
  <c r="V32" i="127" s="1"/>
  <c r="S32" i="127"/>
  <c r="R32" i="127"/>
  <c r="J32" i="127"/>
  <c r="I32" i="127"/>
  <c r="W32" i="127" s="1"/>
  <c r="V31" i="127"/>
  <c r="U31" i="127"/>
  <c r="S31" i="127"/>
  <c r="R31" i="127"/>
  <c r="J31" i="127"/>
  <c r="I31" i="127"/>
  <c r="W31" i="127" s="1"/>
  <c r="U30" i="127"/>
  <c r="V30" i="127" s="1"/>
  <c r="S30" i="127"/>
  <c r="R30" i="127"/>
  <c r="J30" i="127"/>
  <c r="I30" i="127"/>
  <c r="U29" i="127"/>
  <c r="V29" i="127" s="1"/>
  <c r="S29" i="127"/>
  <c r="R29" i="127"/>
  <c r="J29" i="127"/>
  <c r="I29" i="127"/>
  <c r="W29" i="127" s="1"/>
  <c r="V28" i="127"/>
  <c r="U28" i="127"/>
  <c r="S28" i="127"/>
  <c r="R28" i="127"/>
  <c r="J28" i="127"/>
  <c r="I28" i="127"/>
  <c r="W28" i="127" s="1"/>
  <c r="U27" i="127"/>
  <c r="V27" i="127" s="1"/>
  <c r="S27" i="127"/>
  <c r="R27" i="127"/>
  <c r="J27" i="127"/>
  <c r="W27" i="127" s="1"/>
  <c r="I27" i="127"/>
  <c r="BE26" i="127"/>
  <c r="V26" i="127"/>
  <c r="U26" i="127"/>
  <c r="S26" i="127"/>
  <c r="R26" i="127"/>
  <c r="J26" i="127"/>
  <c r="W26" i="127" s="1"/>
  <c r="I26" i="127"/>
  <c r="V25" i="127"/>
  <c r="U25" i="127"/>
  <c r="S25" i="127"/>
  <c r="R25" i="127"/>
  <c r="J25" i="127"/>
  <c r="I25" i="127"/>
  <c r="W25" i="127" s="1"/>
  <c r="V24" i="127"/>
  <c r="U24" i="127"/>
  <c r="S24" i="127"/>
  <c r="R24" i="127"/>
  <c r="J24" i="127"/>
  <c r="I24" i="127"/>
  <c r="W24" i="127" s="1"/>
  <c r="V23" i="127"/>
  <c r="U23" i="127"/>
  <c r="S23" i="127"/>
  <c r="R23" i="127"/>
  <c r="J23" i="127"/>
  <c r="I23" i="127"/>
  <c r="W23" i="127" s="1"/>
  <c r="V22" i="127"/>
  <c r="U22" i="127"/>
  <c r="S22" i="127"/>
  <c r="R22" i="127"/>
  <c r="J22" i="127"/>
  <c r="I22" i="127"/>
  <c r="V21" i="127"/>
  <c r="U21" i="127"/>
  <c r="S21" i="127"/>
  <c r="R21" i="127"/>
  <c r="J21" i="127"/>
  <c r="I21" i="127"/>
  <c r="V20" i="127"/>
  <c r="U20" i="127"/>
  <c r="S20" i="127"/>
  <c r="R20" i="127"/>
  <c r="J20" i="127"/>
  <c r="I20" i="127"/>
  <c r="W20" i="127" s="1"/>
  <c r="V19" i="127"/>
  <c r="U19" i="127"/>
  <c r="S19" i="127"/>
  <c r="R19" i="127"/>
  <c r="J19" i="127"/>
  <c r="W19" i="127" s="1"/>
  <c r="I19" i="127"/>
  <c r="V18" i="127"/>
  <c r="U18" i="127"/>
  <c r="S18" i="127"/>
  <c r="R18" i="127"/>
  <c r="J18" i="127"/>
  <c r="I18" i="127"/>
  <c r="W18" i="127" s="1"/>
  <c r="W17" i="127"/>
  <c r="V17" i="127"/>
  <c r="U17" i="127"/>
  <c r="S17" i="127"/>
  <c r="R17" i="127"/>
  <c r="J17" i="127"/>
  <c r="I17" i="127"/>
  <c r="V16" i="127"/>
  <c r="U16" i="127"/>
  <c r="S16" i="127"/>
  <c r="R16" i="127"/>
  <c r="J16" i="127"/>
  <c r="I16" i="127"/>
  <c r="W16" i="127" s="1"/>
  <c r="V15" i="127"/>
  <c r="U15" i="127"/>
  <c r="S15" i="127"/>
  <c r="R15" i="127"/>
  <c r="J15" i="127"/>
  <c r="I15" i="127"/>
  <c r="W15" i="127" s="1"/>
  <c r="V14" i="127"/>
  <c r="U14" i="127"/>
  <c r="S14" i="127"/>
  <c r="R14" i="127"/>
  <c r="J14" i="127"/>
  <c r="I14" i="127"/>
  <c r="W14" i="127" s="1"/>
  <c r="U13" i="127"/>
  <c r="V13" i="127" s="1"/>
  <c r="S13" i="127"/>
  <c r="R13" i="127"/>
  <c r="J13" i="127"/>
  <c r="V12" i="127"/>
  <c r="U12" i="127"/>
  <c r="S12" i="127"/>
  <c r="R12" i="127"/>
  <c r="J12" i="127"/>
  <c r="I12" i="127"/>
  <c r="V11" i="127"/>
  <c r="U11" i="127"/>
  <c r="S11" i="127"/>
  <c r="R11" i="127"/>
  <c r="J11" i="127"/>
  <c r="I11" i="127"/>
  <c r="W11" i="127" s="1"/>
  <c r="V10" i="127"/>
  <c r="U10" i="127"/>
  <c r="S10" i="127"/>
  <c r="R10" i="127"/>
  <c r="J10" i="127"/>
  <c r="I10" i="127"/>
  <c r="V9" i="127"/>
  <c r="U9" i="127"/>
  <c r="S9" i="127"/>
  <c r="R9" i="127"/>
  <c r="J9" i="127"/>
  <c r="I9" i="127"/>
  <c r="W9" i="127" s="1"/>
  <c r="A9" i="127"/>
  <c r="A10" i="127" s="1"/>
  <c r="A11" i="127" s="1"/>
  <c r="A12" i="127" s="1"/>
  <c r="A13" i="127" s="1"/>
  <c r="A14" i="127" s="1"/>
  <c r="A15" i="127" s="1"/>
  <c r="A16" i="127" s="1"/>
  <c r="A17" i="127" s="1"/>
  <c r="A18" i="127" s="1"/>
  <c r="A19" i="127" s="1"/>
  <c r="A20" i="127" s="1"/>
  <c r="A21" i="127" s="1"/>
  <c r="A22" i="127" s="1"/>
  <c r="A23" i="127" s="1"/>
  <c r="A24" i="127" s="1"/>
  <c r="A25" i="127" s="1"/>
  <c r="A26" i="127" s="1"/>
  <c r="A27" i="127" s="1"/>
  <c r="A28" i="127" s="1"/>
  <c r="A29" i="127" s="1"/>
  <c r="A30" i="127" s="1"/>
  <c r="A31" i="127" s="1"/>
  <c r="A32" i="127" s="1"/>
  <c r="A33" i="127" s="1"/>
  <c r="A34" i="127" s="1"/>
  <c r="A35" i="127" s="1"/>
  <c r="A36" i="127" s="1"/>
  <c r="A37" i="127" s="1"/>
  <c r="A38" i="127" s="1"/>
  <c r="A39" i="127" s="1"/>
  <c r="A40" i="127" s="1"/>
  <c r="A41" i="127" s="1"/>
  <c r="A42" i="127" s="1"/>
  <c r="A43" i="127" s="1"/>
  <c r="A44" i="127" s="1"/>
  <c r="A45" i="127" s="1"/>
  <c r="A46" i="127" s="1"/>
  <c r="A47" i="127" s="1"/>
  <c r="A48" i="127" s="1"/>
  <c r="A49" i="127" s="1"/>
  <c r="A50" i="127" s="1"/>
  <c r="A51" i="127" s="1"/>
  <c r="A52" i="127" s="1"/>
  <c r="A53" i="127" s="1"/>
  <c r="A54" i="127" s="1"/>
  <c r="A55" i="127" s="1"/>
  <c r="A56" i="127" s="1"/>
  <c r="A57" i="127" s="1"/>
  <c r="A58" i="127" s="1"/>
  <c r="A59" i="127" s="1"/>
  <c r="U8" i="127"/>
  <c r="V8" i="127" s="1"/>
  <c r="S8" i="127"/>
  <c r="S60" i="127" s="1"/>
  <c r="R8" i="127"/>
  <c r="J8" i="127"/>
  <c r="I8" i="127"/>
  <c r="Q60" i="126"/>
  <c r="P60" i="126"/>
  <c r="O60" i="126"/>
  <c r="N60" i="126"/>
  <c r="M60" i="126"/>
  <c r="L60" i="126"/>
  <c r="H60" i="126"/>
  <c r="G60" i="126"/>
  <c r="E60" i="126"/>
  <c r="D60" i="126"/>
  <c r="C60" i="126"/>
  <c r="S59" i="126"/>
  <c r="R59" i="126"/>
  <c r="J59" i="126"/>
  <c r="I59" i="126"/>
  <c r="S58" i="126"/>
  <c r="R58" i="126"/>
  <c r="J58" i="126"/>
  <c r="I58" i="126"/>
  <c r="S57" i="126"/>
  <c r="R57" i="126"/>
  <c r="J57" i="126"/>
  <c r="I57" i="126"/>
  <c r="S56" i="126"/>
  <c r="R56" i="126"/>
  <c r="J56" i="126"/>
  <c r="I56" i="126"/>
  <c r="S55" i="126"/>
  <c r="R55" i="126"/>
  <c r="J55" i="126"/>
  <c r="I55" i="126"/>
  <c r="U54" i="126"/>
  <c r="V54" i="126" s="1"/>
  <c r="S54" i="126"/>
  <c r="R54" i="126"/>
  <c r="J54" i="126"/>
  <c r="I54" i="126"/>
  <c r="W54" i="126" s="1"/>
  <c r="U53" i="126"/>
  <c r="V53" i="126" s="1"/>
  <c r="S53" i="126"/>
  <c r="R53" i="126"/>
  <c r="J53" i="126"/>
  <c r="I53" i="126"/>
  <c r="W53" i="126" s="1"/>
  <c r="U52" i="126"/>
  <c r="V52" i="126" s="1"/>
  <c r="S52" i="126"/>
  <c r="R52" i="126"/>
  <c r="J52" i="126"/>
  <c r="I52" i="126"/>
  <c r="W52" i="126" s="1"/>
  <c r="U51" i="126"/>
  <c r="V51" i="126" s="1"/>
  <c r="S51" i="126"/>
  <c r="R51" i="126"/>
  <c r="J51" i="126"/>
  <c r="I51" i="126"/>
  <c r="W51" i="126" s="1"/>
  <c r="U50" i="126"/>
  <c r="V50" i="126" s="1"/>
  <c r="S50" i="126"/>
  <c r="R50" i="126"/>
  <c r="J50" i="126"/>
  <c r="I50" i="126"/>
  <c r="W50" i="126" s="1"/>
  <c r="U49" i="126"/>
  <c r="V49" i="126" s="1"/>
  <c r="S49" i="126"/>
  <c r="R49" i="126"/>
  <c r="J49" i="126"/>
  <c r="I49" i="126"/>
  <c r="W49" i="126" s="1"/>
  <c r="U48" i="126"/>
  <c r="V48" i="126" s="1"/>
  <c r="S48" i="126"/>
  <c r="R48" i="126"/>
  <c r="J48" i="126"/>
  <c r="I48" i="126"/>
  <c r="U47" i="126"/>
  <c r="V47" i="126" s="1"/>
  <c r="S47" i="126"/>
  <c r="R47" i="126"/>
  <c r="J47" i="126"/>
  <c r="I47" i="126"/>
  <c r="W47" i="126" s="1"/>
  <c r="U46" i="126"/>
  <c r="V46" i="126" s="1"/>
  <c r="S46" i="126"/>
  <c r="R46" i="126"/>
  <c r="J46" i="126"/>
  <c r="I46" i="126"/>
  <c r="W46" i="126" s="1"/>
  <c r="S45" i="126"/>
  <c r="R45" i="126"/>
  <c r="J45" i="126"/>
  <c r="I45" i="126"/>
  <c r="U44" i="126"/>
  <c r="V44" i="126" s="1"/>
  <c r="S44" i="126"/>
  <c r="R44" i="126"/>
  <c r="J44" i="126"/>
  <c r="I44" i="126"/>
  <c r="S43" i="126"/>
  <c r="R43" i="126"/>
  <c r="J43" i="126"/>
  <c r="I43" i="126"/>
  <c r="U42" i="126"/>
  <c r="V42" i="126" s="1"/>
  <c r="S42" i="126"/>
  <c r="R42" i="126"/>
  <c r="J42" i="126"/>
  <c r="I42" i="126"/>
  <c r="W42" i="126" s="1"/>
  <c r="U41" i="126"/>
  <c r="V41" i="126" s="1"/>
  <c r="S41" i="126"/>
  <c r="R41" i="126"/>
  <c r="J41" i="126"/>
  <c r="I41" i="126"/>
  <c r="V40" i="126"/>
  <c r="U40" i="126"/>
  <c r="S40" i="126"/>
  <c r="R40" i="126"/>
  <c r="J40" i="126"/>
  <c r="I40" i="126"/>
  <c r="W40" i="126" s="1"/>
  <c r="V39" i="126"/>
  <c r="U39" i="126"/>
  <c r="S39" i="126"/>
  <c r="R39" i="126"/>
  <c r="J39" i="126"/>
  <c r="I39" i="126"/>
  <c r="W39" i="126" s="1"/>
  <c r="U38" i="126"/>
  <c r="V38" i="126" s="1"/>
  <c r="S38" i="126"/>
  <c r="R38" i="126"/>
  <c r="J38" i="126"/>
  <c r="I38" i="126"/>
  <c r="V37" i="126"/>
  <c r="U37" i="126"/>
  <c r="S37" i="126"/>
  <c r="R37" i="126"/>
  <c r="J37" i="126"/>
  <c r="I37" i="126"/>
  <c r="W37" i="126" s="1"/>
  <c r="W36" i="126"/>
  <c r="U36" i="126"/>
  <c r="V36" i="126" s="1"/>
  <c r="S36" i="126"/>
  <c r="R36" i="126"/>
  <c r="J36" i="126"/>
  <c r="I36" i="126"/>
  <c r="U35" i="126"/>
  <c r="V35" i="126" s="1"/>
  <c r="S35" i="126"/>
  <c r="R35" i="126"/>
  <c r="J35" i="126"/>
  <c r="I35" i="126"/>
  <c r="V34" i="126"/>
  <c r="U34" i="126"/>
  <c r="S34" i="126"/>
  <c r="R34" i="126"/>
  <c r="J34" i="126"/>
  <c r="I34" i="126"/>
  <c r="W34" i="126" s="1"/>
  <c r="U33" i="126"/>
  <c r="V33" i="126" s="1"/>
  <c r="S33" i="126"/>
  <c r="R33" i="126"/>
  <c r="J33" i="126"/>
  <c r="I33" i="126"/>
  <c r="W32" i="126"/>
  <c r="V32" i="126"/>
  <c r="U32" i="126"/>
  <c r="S32" i="126"/>
  <c r="R32" i="126"/>
  <c r="J32" i="126"/>
  <c r="I32" i="126"/>
  <c r="U31" i="126"/>
  <c r="V31" i="126" s="1"/>
  <c r="S31" i="126"/>
  <c r="R31" i="126"/>
  <c r="J31" i="126"/>
  <c r="I31" i="126"/>
  <c r="W31" i="126" s="1"/>
  <c r="U30" i="126"/>
  <c r="V30" i="126" s="1"/>
  <c r="S30" i="126"/>
  <c r="R30" i="126"/>
  <c r="J30" i="126"/>
  <c r="I30" i="126"/>
  <c r="W29" i="126"/>
  <c r="V29" i="126"/>
  <c r="U29" i="126"/>
  <c r="S29" i="126"/>
  <c r="R29" i="126"/>
  <c r="J29" i="126"/>
  <c r="I29" i="126"/>
  <c r="W28" i="126"/>
  <c r="V28" i="126"/>
  <c r="U28" i="126"/>
  <c r="S28" i="126"/>
  <c r="R28" i="126"/>
  <c r="J28" i="126"/>
  <c r="I28" i="126"/>
  <c r="W27" i="126"/>
  <c r="U27" i="126"/>
  <c r="V27" i="126" s="1"/>
  <c r="S27" i="126"/>
  <c r="R27" i="126"/>
  <c r="J27" i="126"/>
  <c r="I27" i="126"/>
  <c r="BE26" i="126"/>
  <c r="V26" i="126"/>
  <c r="U26" i="126"/>
  <c r="S26" i="126"/>
  <c r="R26" i="126"/>
  <c r="J26" i="126"/>
  <c r="W26" i="126" s="1"/>
  <c r="I26" i="126"/>
  <c r="V25" i="126"/>
  <c r="U25" i="126"/>
  <c r="S25" i="126"/>
  <c r="R25" i="126"/>
  <c r="J25" i="126"/>
  <c r="I25" i="126"/>
  <c r="W25" i="126" s="1"/>
  <c r="U24" i="126"/>
  <c r="V24" i="126" s="1"/>
  <c r="S24" i="126"/>
  <c r="R24" i="126"/>
  <c r="J24" i="126"/>
  <c r="I24" i="126"/>
  <c r="V23" i="126"/>
  <c r="U23" i="126"/>
  <c r="S23" i="126"/>
  <c r="R23" i="126"/>
  <c r="J23" i="126"/>
  <c r="I23" i="126"/>
  <c r="W23" i="126" s="1"/>
  <c r="V22" i="126"/>
  <c r="U22" i="126"/>
  <c r="S22" i="126"/>
  <c r="R22" i="126"/>
  <c r="J22" i="126"/>
  <c r="I22" i="126"/>
  <c r="W22" i="126" s="1"/>
  <c r="U21" i="126"/>
  <c r="V21" i="126" s="1"/>
  <c r="S21" i="126"/>
  <c r="R21" i="126"/>
  <c r="J21" i="126"/>
  <c r="I21" i="126"/>
  <c r="V20" i="126"/>
  <c r="U20" i="126"/>
  <c r="S20" i="126"/>
  <c r="R20" i="126"/>
  <c r="J20" i="126"/>
  <c r="I20" i="126"/>
  <c r="W19" i="126"/>
  <c r="V19" i="126"/>
  <c r="U19" i="126"/>
  <c r="S19" i="126"/>
  <c r="R19" i="126"/>
  <c r="J19" i="126"/>
  <c r="I19" i="126"/>
  <c r="U18" i="126"/>
  <c r="V18" i="126" s="1"/>
  <c r="S18" i="126"/>
  <c r="R18" i="126"/>
  <c r="J18" i="126"/>
  <c r="I18" i="126"/>
  <c r="W18" i="126" s="1"/>
  <c r="W17" i="126"/>
  <c r="V17" i="126"/>
  <c r="U17" i="126"/>
  <c r="S17" i="126"/>
  <c r="R17" i="126"/>
  <c r="J17" i="126"/>
  <c r="I17" i="126"/>
  <c r="V16" i="126"/>
  <c r="U16" i="126"/>
  <c r="S16" i="126"/>
  <c r="R16" i="126"/>
  <c r="J16" i="126"/>
  <c r="I16" i="126"/>
  <c r="W16" i="126" s="1"/>
  <c r="U15" i="126"/>
  <c r="V15" i="126" s="1"/>
  <c r="S15" i="126"/>
  <c r="R15" i="126"/>
  <c r="J15" i="126"/>
  <c r="I15" i="126"/>
  <c r="W15" i="126" s="1"/>
  <c r="V14" i="126"/>
  <c r="U14" i="126"/>
  <c r="S14" i="126"/>
  <c r="R14" i="126"/>
  <c r="J14" i="126"/>
  <c r="I14" i="126"/>
  <c r="U13" i="126"/>
  <c r="V13" i="126" s="1"/>
  <c r="S13" i="126"/>
  <c r="R13" i="126"/>
  <c r="J13" i="126"/>
  <c r="I13" i="126"/>
  <c r="U12" i="126"/>
  <c r="V12" i="126" s="1"/>
  <c r="S12" i="126"/>
  <c r="R12" i="126"/>
  <c r="J12" i="126"/>
  <c r="W12" i="126" s="1"/>
  <c r="I12" i="126"/>
  <c r="U11" i="126"/>
  <c r="V11" i="126" s="1"/>
  <c r="S11" i="126"/>
  <c r="R11" i="126"/>
  <c r="J11" i="126"/>
  <c r="I11" i="126"/>
  <c r="W11" i="126" s="1"/>
  <c r="U10" i="126"/>
  <c r="V10" i="126" s="1"/>
  <c r="S10" i="126"/>
  <c r="R10" i="126"/>
  <c r="J10" i="126"/>
  <c r="I10" i="126"/>
  <c r="W10" i="126" s="1"/>
  <c r="A10" i="126"/>
  <c r="A11" i="126" s="1"/>
  <c r="A12" i="126" s="1"/>
  <c r="A13" i="126" s="1"/>
  <c r="A14" i="126" s="1"/>
  <c r="A15" i="126" s="1"/>
  <c r="A16" i="126" s="1"/>
  <c r="A17" i="126" s="1"/>
  <c r="A18" i="126" s="1"/>
  <c r="A19" i="126" s="1"/>
  <c r="A20" i="126" s="1"/>
  <c r="A21" i="126" s="1"/>
  <c r="A22" i="126" s="1"/>
  <c r="A23" i="126" s="1"/>
  <c r="A24" i="126" s="1"/>
  <c r="A25" i="126" s="1"/>
  <c r="A26" i="126" s="1"/>
  <c r="A27" i="126" s="1"/>
  <c r="A28" i="126" s="1"/>
  <c r="A29" i="126" s="1"/>
  <c r="A30" i="126" s="1"/>
  <c r="A31" i="126" s="1"/>
  <c r="A32" i="126" s="1"/>
  <c r="A33" i="126" s="1"/>
  <c r="A34" i="126" s="1"/>
  <c r="A35" i="126" s="1"/>
  <c r="A36" i="126" s="1"/>
  <c r="A37" i="126" s="1"/>
  <c r="A38" i="126" s="1"/>
  <c r="A39" i="126" s="1"/>
  <c r="A40" i="126" s="1"/>
  <c r="A41" i="126" s="1"/>
  <c r="A42" i="126" s="1"/>
  <c r="A43" i="126" s="1"/>
  <c r="A44" i="126" s="1"/>
  <c r="A45" i="126" s="1"/>
  <c r="A46" i="126" s="1"/>
  <c r="A47" i="126" s="1"/>
  <c r="A48" i="126" s="1"/>
  <c r="U9" i="126"/>
  <c r="V9" i="126" s="1"/>
  <c r="S9" i="126"/>
  <c r="R9" i="126"/>
  <c r="J9" i="126"/>
  <c r="I9" i="126"/>
  <c r="W9" i="126" s="1"/>
  <c r="A9" i="126"/>
  <c r="U8" i="126"/>
  <c r="S8" i="126"/>
  <c r="R8" i="126"/>
  <c r="J8" i="126"/>
  <c r="I8" i="126"/>
  <c r="Q60" i="125"/>
  <c r="P60" i="125"/>
  <c r="O60" i="125"/>
  <c r="N60" i="125"/>
  <c r="M60" i="125"/>
  <c r="L60" i="125"/>
  <c r="H60" i="125"/>
  <c r="G60" i="125"/>
  <c r="E60" i="125"/>
  <c r="D60" i="125"/>
  <c r="S59" i="125"/>
  <c r="R59" i="125"/>
  <c r="J59" i="125"/>
  <c r="I59" i="125"/>
  <c r="S58" i="125"/>
  <c r="R58" i="125"/>
  <c r="J58" i="125"/>
  <c r="I58" i="125"/>
  <c r="S57" i="125"/>
  <c r="R57" i="125"/>
  <c r="J57" i="125"/>
  <c r="I57" i="125"/>
  <c r="S56" i="125"/>
  <c r="R56" i="125"/>
  <c r="J56" i="125"/>
  <c r="I56" i="125"/>
  <c r="S55" i="125"/>
  <c r="R55" i="125"/>
  <c r="J55" i="125"/>
  <c r="I55" i="125"/>
  <c r="V54" i="125"/>
  <c r="U54" i="125"/>
  <c r="S54" i="125"/>
  <c r="R54" i="125"/>
  <c r="J54" i="125"/>
  <c r="I54" i="125"/>
  <c r="W54" i="125" s="1"/>
  <c r="U53" i="125"/>
  <c r="V53" i="125" s="1"/>
  <c r="S53" i="125"/>
  <c r="R53" i="125"/>
  <c r="J53" i="125"/>
  <c r="I53" i="125"/>
  <c r="U52" i="125"/>
  <c r="V52" i="125" s="1"/>
  <c r="S52" i="125"/>
  <c r="R52" i="125"/>
  <c r="J52" i="125"/>
  <c r="I52" i="125"/>
  <c r="W52" i="125" s="1"/>
  <c r="V51" i="125"/>
  <c r="U51" i="125"/>
  <c r="S51" i="125"/>
  <c r="R51" i="125"/>
  <c r="J51" i="125"/>
  <c r="I51" i="125"/>
  <c r="W51" i="125" s="1"/>
  <c r="U50" i="125"/>
  <c r="V50" i="125" s="1"/>
  <c r="S50" i="125"/>
  <c r="R50" i="125"/>
  <c r="J50" i="125"/>
  <c r="I50" i="125"/>
  <c r="W50" i="125" s="1"/>
  <c r="U49" i="125"/>
  <c r="V49" i="125" s="1"/>
  <c r="S49" i="125"/>
  <c r="R49" i="125"/>
  <c r="J49" i="125"/>
  <c r="I49" i="125"/>
  <c r="W49" i="125" s="1"/>
  <c r="V48" i="125"/>
  <c r="U48" i="125"/>
  <c r="S48" i="125"/>
  <c r="R48" i="125"/>
  <c r="J48" i="125"/>
  <c r="U47" i="125"/>
  <c r="V47" i="125" s="1"/>
  <c r="S47" i="125"/>
  <c r="R47" i="125"/>
  <c r="J47" i="125"/>
  <c r="I47" i="125"/>
  <c r="U46" i="125"/>
  <c r="V46" i="125" s="1"/>
  <c r="S46" i="125"/>
  <c r="R46" i="125"/>
  <c r="J46" i="125"/>
  <c r="I46" i="125"/>
  <c r="W46" i="125" s="1"/>
  <c r="S45" i="125"/>
  <c r="R45" i="125"/>
  <c r="J45" i="125"/>
  <c r="I45" i="125"/>
  <c r="U44" i="125"/>
  <c r="V44" i="125" s="1"/>
  <c r="S44" i="125"/>
  <c r="R44" i="125"/>
  <c r="J44" i="125"/>
  <c r="S43" i="125"/>
  <c r="R43" i="125"/>
  <c r="J43" i="125"/>
  <c r="I43" i="125"/>
  <c r="U42" i="125"/>
  <c r="V42" i="125" s="1"/>
  <c r="S42" i="125"/>
  <c r="R42" i="125"/>
  <c r="J42" i="125"/>
  <c r="I42" i="125"/>
  <c r="W42" i="125" s="1"/>
  <c r="A42" i="125"/>
  <c r="A43" i="125" s="1"/>
  <c r="A44" i="125" s="1"/>
  <c r="A45" i="125" s="1"/>
  <c r="A46" i="125" s="1"/>
  <c r="A47" i="125" s="1"/>
  <c r="A48" i="125" s="1"/>
  <c r="A49" i="125" s="1"/>
  <c r="A50" i="125" s="1"/>
  <c r="A51" i="125" s="1"/>
  <c r="A52" i="125" s="1"/>
  <c r="A53" i="125" s="1"/>
  <c r="A54" i="125" s="1"/>
  <c r="A55" i="125" s="1"/>
  <c r="A56" i="125" s="1"/>
  <c r="A57" i="125" s="1"/>
  <c r="A58" i="125" s="1"/>
  <c r="A59" i="125" s="1"/>
  <c r="U41" i="125"/>
  <c r="V41" i="125" s="1"/>
  <c r="S41" i="125"/>
  <c r="R41" i="125"/>
  <c r="J41" i="125"/>
  <c r="I41" i="125"/>
  <c r="V40" i="125"/>
  <c r="U40" i="125"/>
  <c r="S40" i="125"/>
  <c r="R40" i="125"/>
  <c r="J40" i="125"/>
  <c r="I40" i="125"/>
  <c r="W40" i="125" s="1"/>
  <c r="U39" i="125"/>
  <c r="V39" i="125" s="1"/>
  <c r="S39" i="125"/>
  <c r="R39" i="125"/>
  <c r="J39" i="125"/>
  <c r="I39" i="125"/>
  <c r="W39" i="125" s="1"/>
  <c r="U38" i="125"/>
  <c r="V38" i="125" s="1"/>
  <c r="S38" i="125"/>
  <c r="R38" i="125"/>
  <c r="J38" i="125"/>
  <c r="I38" i="125"/>
  <c r="W38" i="125" s="1"/>
  <c r="U37" i="125"/>
  <c r="V37" i="125" s="1"/>
  <c r="S37" i="125"/>
  <c r="R37" i="125"/>
  <c r="J37" i="125"/>
  <c r="I37" i="125"/>
  <c r="W37" i="125" s="1"/>
  <c r="W36" i="125"/>
  <c r="U36" i="125"/>
  <c r="V36" i="125" s="1"/>
  <c r="S36" i="125"/>
  <c r="R36" i="125"/>
  <c r="J36" i="125"/>
  <c r="I36" i="125"/>
  <c r="U35" i="125"/>
  <c r="V35" i="125" s="1"/>
  <c r="S35" i="125"/>
  <c r="R35" i="125"/>
  <c r="J35" i="125"/>
  <c r="I35" i="125"/>
  <c r="U34" i="125"/>
  <c r="V34" i="125" s="1"/>
  <c r="S34" i="125"/>
  <c r="R34" i="125"/>
  <c r="J34" i="125"/>
  <c r="I34" i="125"/>
  <c r="W34" i="125" s="1"/>
  <c r="U33" i="125"/>
  <c r="V33" i="125" s="1"/>
  <c r="S33" i="125"/>
  <c r="R33" i="125"/>
  <c r="J33" i="125"/>
  <c r="I33" i="125"/>
  <c r="W33" i="125" s="1"/>
  <c r="U32" i="125"/>
  <c r="V32" i="125" s="1"/>
  <c r="S32" i="125"/>
  <c r="R32" i="125"/>
  <c r="J32" i="125"/>
  <c r="I32" i="125"/>
  <c r="W32" i="125" s="1"/>
  <c r="U31" i="125"/>
  <c r="V31" i="125" s="1"/>
  <c r="S31" i="125"/>
  <c r="R31" i="125"/>
  <c r="J31" i="125"/>
  <c r="I31" i="125"/>
  <c r="W31" i="125" s="1"/>
  <c r="U30" i="125"/>
  <c r="V30" i="125" s="1"/>
  <c r="S30" i="125"/>
  <c r="R30" i="125"/>
  <c r="J30" i="125"/>
  <c r="I30" i="125"/>
  <c r="W30" i="125" s="1"/>
  <c r="U29" i="125"/>
  <c r="V29" i="125" s="1"/>
  <c r="S29" i="125"/>
  <c r="R29" i="125"/>
  <c r="J29" i="125"/>
  <c r="I29" i="125"/>
  <c r="W29" i="125" s="1"/>
  <c r="W28" i="125"/>
  <c r="U28" i="125"/>
  <c r="V28" i="125" s="1"/>
  <c r="S28" i="125"/>
  <c r="R28" i="125"/>
  <c r="J28" i="125"/>
  <c r="I28" i="125"/>
  <c r="W27" i="125"/>
  <c r="U27" i="125"/>
  <c r="V27" i="125" s="1"/>
  <c r="S27" i="125"/>
  <c r="R27" i="125"/>
  <c r="J27" i="125"/>
  <c r="I27" i="125"/>
  <c r="BE26" i="125"/>
  <c r="U26" i="125"/>
  <c r="V26" i="125" s="1"/>
  <c r="S26" i="125"/>
  <c r="R26" i="125"/>
  <c r="J26" i="125"/>
  <c r="I26" i="125"/>
  <c r="U25" i="125"/>
  <c r="V25" i="125" s="1"/>
  <c r="S25" i="125"/>
  <c r="R25" i="125"/>
  <c r="J25" i="125"/>
  <c r="I25" i="125"/>
  <c r="W25" i="125" s="1"/>
  <c r="V24" i="125"/>
  <c r="U24" i="125"/>
  <c r="S24" i="125"/>
  <c r="R24" i="125"/>
  <c r="J24" i="125"/>
  <c r="I24" i="125"/>
  <c r="W24" i="125" s="1"/>
  <c r="U23" i="125"/>
  <c r="V23" i="125" s="1"/>
  <c r="S23" i="125"/>
  <c r="R23" i="125"/>
  <c r="J23" i="125"/>
  <c r="I23" i="125"/>
  <c r="U22" i="125"/>
  <c r="V22" i="125" s="1"/>
  <c r="S22" i="125"/>
  <c r="R22" i="125"/>
  <c r="J22" i="125"/>
  <c r="I22" i="125"/>
  <c r="W22" i="125" s="1"/>
  <c r="A22" i="125"/>
  <c r="A23" i="125" s="1"/>
  <c r="A24" i="125" s="1"/>
  <c r="A25" i="125" s="1"/>
  <c r="A26" i="125" s="1"/>
  <c r="A27" i="125" s="1"/>
  <c r="A28" i="125" s="1"/>
  <c r="A29" i="125" s="1"/>
  <c r="A30" i="125" s="1"/>
  <c r="A31" i="125" s="1"/>
  <c r="A32" i="125" s="1"/>
  <c r="A33" i="125" s="1"/>
  <c r="A34" i="125" s="1"/>
  <c r="A35" i="125" s="1"/>
  <c r="A36" i="125" s="1"/>
  <c r="A37" i="125" s="1"/>
  <c r="A38" i="125" s="1"/>
  <c r="A39" i="125" s="1"/>
  <c r="A40" i="125" s="1"/>
  <c r="A41" i="125" s="1"/>
  <c r="U21" i="125"/>
  <c r="V21" i="125" s="1"/>
  <c r="S21" i="125"/>
  <c r="R21" i="125"/>
  <c r="J21" i="125"/>
  <c r="I21" i="125"/>
  <c r="W21" i="125" s="1"/>
  <c r="U20" i="125"/>
  <c r="V20" i="125" s="1"/>
  <c r="S20" i="125"/>
  <c r="R20" i="125"/>
  <c r="J20" i="125"/>
  <c r="I20" i="125"/>
  <c r="W20" i="125" s="1"/>
  <c r="U19" i="125"/>
  <c r="V19" i="125" s="1"/>
  <c r="S19" i="125"/>
  <c r="R19" i="125"/>
  <c r="J19" i="125"/>
  <c r="I19" i="125"/>
  <c r="W19" i="125" s="1"/>
  <c r="U18" i="125"/>
  <c r="V18" i="125" s="1"/>
  <c r="S18" i="125"/>
  <c r="R18" i="125"/>
  <c r="J18" i="125"/>
  <c r="I18" i="125"/>
  <c r="W18" i="125" s="1"/>
  <c r="U17" i="125"/>
  <c r="V17" i="125" s="1"/>
  <c r="S17" i="125"/>
  <c r="R17" i="125"/>
  <c r="J17" i="125"/>
  <c r="I17" i="125"/>
  <c r="W17" i="125" s="1"/>
  <c r="U16" i="125"/>
  <c r="V16" i="125" s="1"/>
  <c r="S16" i="125"/>
  <c r="R16" i="125"/>
  <c r="J16" i="125"/>
  <c r="I16" i="125"/>
  <c r="W16" i="125" s="1"/>
  <c r="U15" i="125"/>
  <c r="V15" i="125" s="1"/>
  <c r="S15" i="125"/>
  <c r="R15" i="125"/>
  <c r="J15" i="125"/>
  <c r="I15" i="125"/>
  <c r="W15" i="125" s="1"/>
  <c r="U14" i="125"/>
  <c r="V14" i="125" s="1"/>
  <c r="S14" i="125"/>
  <c r="R14" i="125"/>
  <c r="J14" i="125"/>
  <c r="I14" i="125"/>
  <c r="W14" i="125" s="1"/>
  <c r="U13" i="125"/>
  <c r="V13" i="125" s="1"/>
  <c r="S13" i="125"/>
  <c r="R13" i="125"/>
  <c r="J13" i="125"/>
  <c r="I13" i="125"/>
  <c r="W13" i="125" s="1"/>
  <c r="A13" i="125"/>
  <c r="A14" i="125" s="1"/>
  <c r="A15" i="125" s="1"/>
  <c r="A16" i="125" s="1"/>
  <c r="A17" i="125" s="1"/>
  <c r="A18" i="125" s="1"/>
  <c r="A19" i="125" s="1"/>
  <c r="A20" i="125" s="1"/>
  <c r="A21" i="125" s="1"/>
  <c r="U12" i="125"/>
  <c r="V12" i="125" s="1"/>
  <c r="S12" i="125"/>
  <c r="R12" i="125"/>
  <c r="J12" i="125"/>
  <c r="I12" i="125"/>
  <c r="W12" i="125" s="1"/>
  <c r="U11" i="125"/>
  <c r="V11" i="125" s="1"/>
  <c r="S11" i="125"/>
  <c r="R11" i="125"/>
  <c r="J11" i="125"/>
  <c r="I11" i="125"/>
  <c r="W11" i="125" s="1"/>
  <c r="U10" i="125"/>
  <c r="V10" i="125" s="1"/>
  <c r="S10" i="125"/>
  <c r="R10" i="125"/>
  <c r="J10" i="125"/>
  <c r="I10" i="125"/>
  <c r="W10" i="125" s="1"/>
  <c r="A10" i="125"/>
  <c r="A11" i="125" s="1"/>
  <c r="A12" i="125" s="1"/>
  <c r="U9" i="125"/>
  <c r="V9" i="125" s="1"/>
  <c r="S9" i="125"/>
  <c r="R9" i="125"/>
  <c r="J9" i="125"/>
  <c r="I9" i="125"/>
  <c r="A9" i="125"/>
  <c r="U8" i="125"/>
  <c r="V8" i="125" s="1"/>
  <c r="S8" i="125"/>
  <c r="R8" i="125"/>
  <c r="J8" i="125"/>
  <c r="I8" i="125"/>
  <c r="Q60" i="122"/>
  <c r="P60" i="122"/>
  <c r="O60" i="122"/>
  <c r="N60" i="122"/>
  <c r="M60" i="122"/>
  <c r="L60" i="122"/>
  <c r="H60" i="122"/>
  <c r="G60" i="122"/>
  <c r="E60" i="122"/>
  <c r="D60" i="122"/>
  <c r="C60" i="122"/>
  <c r="S59" i="122"/>
  <c r="R59" i="122"/>
  <c r="J59" i="122"/>
  <c r="I59" i="122"/>
  <c r="S58" i="122"/>
  <c r="R58" i="122"/>
  <c r="J58" i="122"/>
  <c r="I58" i="122"/>
  <c r="S57" i="122"/>
  <c r="R57" i="122"/>
  <c r="J57" i="122"/>
  <c r="I57" i="122"/>
  <c r="S56" i="122"/>
  <c r="R56" i="122"/>
  <c r="J56" i="122"/>
  <c r="I56" i="122"/>
  <c r="S55" i="122"/>
  <c r="R55" i="122"/>
  <c r="J55" i="122"/>
  <c r="I55" i="122"/>
  <c r="W54" i="122"/>
  <c r="V54" i="122"/>
  <c r="U54" i="122"/>
  <c r="S54" i="122"/>
  <c r="R54" i="122"/>
  <c r="J54" i="122"/>
  <c r="I54" i="122"/>
  <c r="U53" i="122"/>
  <c r="V53" i="122" s="1"/>
  <c r="S53" i="122"/>
  <c r="R53" i="122"/>
  <c r="J53" i="122"/>
  <c r="W53" i="122" s="1"/>
  <c r="I53" i="122"/>
  <c r="V52" i="122"/>
  <c r="U52" i="122"/>
  <c r="S52" i="122"/>
  <c r="R52" i="122"/>
  <c r="J52" i="122"/>
  <c r="I52" i="122"/>
  <c r="W52" i="122" s="1"/>
  <c r="W51" i="122"/>
  <c r="V51" i="122"/>
  <c r="U51" i="122"/>
  <c r="S51" i="122"/>
  <c r="R51" i="122"/>
  <c r="J51" i="122"/>
  <c r="I51" i="122"/>
  <c r="U50" i="122"/>
  <c r="V50" i="122" s="1"/>
  <c r="S50" i="122"/>
  <c r="R50" i="122"/>
  <c r="J50" i="122"/>
  <c r="W50" i="122" s="1"/>
  <c r="I50" i="122"/>
  <c r="U49" i="122"/>
  <c r="V49" i="122" s="1"/>
  <c r="S49" i="122"/>
  <c r="R49" i="122"/>
  <c r="J49" i="122"/>
  <c r="I49" i="122"/>
  <c r="W49" i="122" s="1"/>
  <c r="W48" i="122"/>
  <c r="V48" i="122"/>
  <c r="U48" i="122"/>
  <c r="S48" i="122"/>
  <c r="R48" i="122"/>
  <c r="J48" i="122"/>
  <c r="I48" i="122"/>
  <c r="W47" i="122"/>
  <c r="U47" i="122"/>
  <c r="V47" i="122" s="1"/>
  <c r="S47" i="122"/>
  <c r="R47" i="122"/>
  <c r="J47" i="122"/>
  <c r="I47" i="122"/>
  <c r="V46" i="122"/>
  <c r="U46" i="122"/>
  <c r="S46" i="122"/>
  <c r="R46" i="122"/>
  <c r="J46" i="122"/>
  <c r="I46" i="122"/>
  <c r="W46" i="122" s="1"/>
  <c r="S45" i="122"/>
  <c r="R45" i="122"/>
  <c r="J45" i="122"/>
  <c r="I45" i="122"/>
  <c r="V44" i="122"/>
  <c r="U44" i="122"/>
  <c r="S44" i="122"/>
  <c r="R44" i="122"/>
  <c r="J44" i="122"/>
  <c r="W44" i="122" s="1"/>
  <c r="I44" i="122"/>
  <c r="S43" i="122"/>
  <c r="R43" i="122"/>
  <c r="J43" i="122"/>
  <c r="I43" i="122"/>
  <c r="U42" i="122"/>
  <c r="V42" i="122" s="1"/>
  <c r="S42" i="122"/>
  <c r="R42" i="122"/>
  <c r="J42" i="122"/>
  <c r="I42" i="122"/>
  <c r="W42" i="122" s="1"/>
  <c r="U41" i="122"/>
  <c r="V41" i="122" s="1"/>
  <c r="S41" i="122"/>
  <c r="R41" i="122"/>
  <c r="J41" i="122"/>
  <c r="I41" i="122"/>
  <c r="W41" i="122" s="1"/>
  <c r="W40" i="122"/>
  <c r="U40" i="122"/>
  <c r="V40" i="122" s="1"/>
  <c r="S40" i="122"/>
  <c r="R40" i="122"/>
  <c r="J40" i="122"/>
  <c r="I40" i="122"/>
  <c r="U39" i="122"/>
  <c r="V39" i="122" s="1"/>
  <c r="S39" i="122"/>
  <c r="R39" i="122"/>
  <c r="J39" i="122"/>
  <c r="I39" i="122"/>
  <c r="W39" i="122" s="1"/>
  <c r="U38" i="122"/>
  <c r="V38" i="122" s="1"/>
  <c r="S38" i="122"/>
  <c r="R38" i="122"/>
  <c r="J38" i="122"/>
  <c r="I38" i="122"/>
  <c r="W38" i="122" s="1"/>
  <c r="W37" i="122"/>
  <c r="U37" i="122"/>
  <c r="V37" i="122" s="1"/>
  <c r="S37" i="122"/>
  <c r="R37" i="122"/>
  <c r="J37" i="122"/>
  <c r="I37" i="122"/>
  <c r="U36" i="122"/>
  <c r="V36" i="122" s="1"/>
  <c r="S36" i="122"/>
  <c r="R36" i="122"/>
  <c r="J36" i="122"/>
  <c r="I36" i="122"/>
  <c r="W36" i="122" s="1"/>
  <c r="U35" i="122"/>
  <c r="V35" i="122" s="1"/>
  <c r="S35" i="122"/>
  <c r="R35" i="122"/>
  <c r="J35" i="122"/>
  <c r="I35" i="122"/>
  <c r="W35" i="122" s="1"/>
  <c r="W34" i="122"/>
  <c r="U34" i="122"/>
  <c r="V34" i="122" s="1"/>
  <c r="S34" i="122"/>
  <c r="R34" i="122"/>
  <c r="J34" i="122"/>
  <c r="I34" i="122"/>
  <c r="U33" i="122"/>
  <c r="V33" i="122" s="1"/>
  <c r="S33" i="122"/>
  <c r="R33" i="122"/>
  <c r="J33" i="122"/>
  <c r="I33" i="122"/>
  <c r="W33" i="122" s="1"/>
  <c r="U32" i="122"/>
  <c r="V32" i="122" s="1"/>
  <c r="S32" i="122"/>
  <c r="R32" i="122"/>
  <c r="J32" i="122"/>
  <c r="I32" i="122"/>
  <c r="W32" i="122" s="1"/>
  <c r="U31" i="122"/>
  <c r="V31" i="122" s="1"/>
  <c r="S31" i="122"/>
  <c r="R31" i="122"/>
  <c r="J31" i="122"/>
  <c r="I31" i="122"/>
  <c r="W31" i="122" s="1"/>
  <c r="U30" i="122"/>
  <c r="V30" i="122" s="1"/>
  <c r="S30" i="122"/>
  <c r="R30" i="122"/>
  <c r="J30" i="122"/>
  <c r="I30" i="122"/>
  <c r="W30" i="122" s="1"/>
  <c r="A30" i="122"/>
  <c r="A31" i="122" s="1"/>
  <c r="A32" i="122" s="1"/>
  <c r="A33" i="122" s="1"/>
  <c r="A34" i="122" s="1"/>
  <c r="A35" i="122" s="1"/>
  <c r="A36" i="122" s="1"/>
  <c r="A37" i="122" s="1"/>
  <c r="A38" i="122" s="1"/>
  <c r="A39" i="122" s="1"/>
  <c r="A40" i="122" s="1"/>
  <c r="A41" i="122" s="1"/>
  <c r="A42" i="122" s="1"/>
  <c r="A43" i="122" s="1"/>
  <c r="A44" i="122" s="1"/>
  <c r="A45" i="122" s="1"/>
  <c r="A46" i="122" s="1"/>
  <c r="A47" i="122" s="1"/>
  <c r="A48" i="122" s="1"/>
  <c r="A49" i="122" s="1"/>
  <c r="A50" i="122" s="1"/>
  <c r="A51" i="122" s="1"/>
  <c r="A52" i="122" s="1"/>
  <c r="A53" i="122" s="1"/>
  <c r="A54" i="122" s="1"/>
  <c r="A55" i="122" s="1"/>
  <c r="A56" i="122" s="1"/>
  <c r="A57" i="122" s="1"/>
  <c r="A58" i="122" s="1"/>
  <c r="A59" i="122" s="1"/>
  <c r="U29" i="122"/>
  <c r="V29" i="122" s="1"/>
  <c r="S29" i="122"/>
  <c r="R29" i="122"/>
  <c r="J29" i="122"/>
  <c r="I29" i="122"/>
  <c r="W29" i="122" s="1"/>
  <c r="U28" i="122"/>
  <c r="V28" i="122" s="1"/>
  <c r="S28" i="122"/>
  <c r="S60" i="122" s="1"/>
  <c r="R28" i="122"/>
  <c r="J28" i="122"/>
  <c r="I28" i="122"/>
  <c r="W28" i="122" s="1"/>
  <c r="U27" i="122"/>
  <c r="V27" i="122" s="1"/>
  <c r="S27" i="122"/>
  <c r="R27" i="122"/>
  <c r="J27" i="122"/>
  <c r="I27" i="122"/>
  <c r="W27" i="122" s="1"/>
  <c r="BE26" i="122"/>
  <c r="U26" i="122"/>
  <c r="V26" i="122" s="1"/>
  <c r="S26" i="122"/>
  <c r="R26" i="122"/>
  <c r="J26" i="122"/>
  <c r="I26" i="122"/>
  <c r="W26" i="122" s="1"/>
  <c r="U25" i="122"/>
  <c r="V25" i="122" s="1"/>
  <c r="S25" i="122"/>
  <c r="R25" i="122"/>
  <c r="J25" i="122"/>
  <c r="I25" i="122"/>
  <c r="W25" i="122" s="1"/>
  <c r="V24" i="122"/>
  <c r="U24" i="122"/>
  <c r="S24" i="122"/>
  <c r="R24" i="122"/>
  <c r="J24" i="122"/>
  <c r="I24" i="122"/>
  <c r="W24" i="122" s="1"/>
  <c r="U23" i="122"/>
  <c r="V23" i="122" s="1"/>
  <c r="S23" i="122"/>
  <c r="R23" i="122"/>
  <c r="J23" i="122"/>
  <c r="I23" i="122"/>
  <c r="U22" i="122"/>
  <c r="V22" i="122" s="1"/>
  <c r="S22" i="122"/>
  <c r="R22" i="122"/>
  <c r="J22" i="122"/>
  <c r="I22" i="122"/>
  <c r="W22" i="122" s="1"/>
  <c r="V21" i="122"/>
  <c r="U21" i="122"/>
  <c r="S21" i="122"/>
  <c r="R21" i="122"/>
  <c r="J21" i="122"/>
  <c r="I21" i="122"/>
  <c r="W21" i="122" s="1"/>
  <c r="U20" i="122"/>
  <c r="V20" i="122" s="1"/>
  <c r="S20" i="122"/>
  <c r="R20" i="122"/>
  <c r="J20" i="122"/>
  <c r="I20" i="122"/>
  <c r="U19" i="122"/>
  <c r="V19" i="122" s="1"/>
  <c r="S19" i="122"/>
  <c r="R19" i="122"/>
  <c r="J19" i="122"/>
  <c r="I19" i="122"/>
  <c r="W19" i="122" s="1"/>
  <c r="V18" i="122"/>
  <c r="U18" i="122"/>
  <c r="S18" i="122"/>
  <c r="R18" i="122"/>
  <c r="J18" i="122"/>
  <c r="I18" i="122"/>
  <c r="W18" i="122" s="1"/>
  <c r="U17" i="122"/>
  <c r="V17" i="122" s="1"/>
  <c r="S17" i="122"/>
  <c r="R17" i="122"/>
  <c r="J17" i="122"/>
  <c r="I17" i="122"/>
  <c r="W17" i="122" s="1"/>
  <c r="U16" i="122"/>
  <c r="V16" i="122" s="1"/>
  <c r="S16" i="122"/>
  <c r="R16" i="122"/>
  <c r="J16" i="122"/>
  <c r="I16" i="122"/>
  <c r="W16" i="122" s="1"/>
  <c r="V15" i="122"/>
  <c r="U15" i="122"/>
  <c r="S15" i="122"/>
  <c r="R15" i="122"/>
  <c r="J15" i="122"/>
  <c r="I15" i="122"/>
  <c r="W15" i="122" s="1"/>
  <c r="U14" i="122"/>
  <c r="V14" i="122" s="1"/>
  <c r="S14" i="122"/>
  <c r="R14" i="122"/>
  <c r="J14" i="122"/>
  <c r="I14" i="122"/>
  <c r="U13" i="122"/>
  <c r="V13" i="122" s="1"/>
  <c r="S13" i="122"/>
  <c r="R13" i="122"/>
  <c r="J13" i="122"/>
  <c r="I13" i="122"/>
  <c r="W13" i="122" s="1"/>
  <c r="V12" i="122"/>
  <c r="U12" i="122"/>
  <c r="S12" i="122"/>
  <c r="R12" i="122"/>
  <c r="J12" i="122"/>
  <c r="I12" i="122"/>
  <c r="W12" i="122" s="1"/>
  <c r="U11" i="122"/>
  <c r="V11" i="122" s="1"/>
  <c r="S11" i="122"/>
  <c r="R11" i="122"/>
  <c r="J11" i="122"/>
  <c r="W11" i="122" s="1"/>
  <c r="I11" i="122"/>
  <c r="U10" i="122"/>
  <c r="V10" i="122" s="1"/>
  <c r="S10" i="122"/>
  <c r="R10" i="122"/>
  <c r="J10" i="122"/>
  <c r="I10" i="122"/>
  <c r="W10" i="122" s="1"/>
  <c r="V9" i="122"/>
  <c r="U9" i="122"/>
  <c r="S9" i="122"/>
  <c r="R9" i="122"/>
  <c r="J9" i="122"/>
  <c r="I9" i="122"/>
  <c r="W9" i="122" s="1"/>
  <c r="A9" i="122"/>
  <c r="A10" i="122" s="1"/>
  <c r="A11" i="122" s="1"/>
  <c r="A12" i="122" s="1"/>
  <c r="A13" i="122" s="1"/>
  <c r="A14" i="122" s="1"/>
  <c r="A15" i="122" s="1"/>
  <c r="A16" i="122" s="1"/>
  <c r="A17" i="122" s="1"/>
  <c r="A18" i="122" s="1"/>
  <c r="A19" i="122" s="1"/>
  <c r="A20" i="122" s="1"/>
  <c r="A21" i="122" s="1"/>
  <c r="A22" i="122" s="1"/>
  <c r="A23" i="122" s="1"/>
  <c r="A24" i="122" s="1"/>
  <c r="A25" i="122" s="1"/>
  <c r="A26" i="122" s="1"/>
  <c r="A27" i="122" s="1"/>
  <c r="A28" i="122" s="1"/>
  <c r="A29" i="122" s="1"/>
  <c r="U8" i="122"/>
  <c r="V8" i="122" s="1"/>
  <c r="S8" i="122"/>
  <c r="R8" i="122"/>
  <c r="J8" i="122"/>
  <c r="I8" i="122"/>
  <c r="Q60" i="121"/>
  <c r="P60" i="121"/>
  <c r="O60" i="121"/>
  <c r="N60" i="121"/>
  <c r="M60" i="121"/>
  <c r="L60" i="121"/>
  <c r="H60" i="121"/>
  <c r="G60" i="121"/>
  <c r="E60" i="121"/>
  <c r="D60" i="121"/>
  <c r="C60" i="121"/>
  <c r="S59" i="121"/>
  <c r="R59" i="121"/>
  <c r="J59" i="121"/>
  <c r="I59" i="121"/>
  <c r="S58" i="121"/>
  <c r="R58" i="121"/>
  <c r="J58" i="121"/>
  <c r="I58" i="121"/>
  <c r="S57" i="121"/>
  <c r="R57" i="121"/>
  <c r="J57" i="121"/>
  <c r="I57" i="121"/>
  <c r="S56" i="121"/>
  <c r="R56" i="121"/>
  <c r="J56" i="121"/>
  <c r="I56" i="121"/>
  <c r="S55" i="121"/>
  <c r="R55" i="121"/>
  <c r="J55" i="121"/>
  <c r="I55" i="121"/>
  <c r="W54" i="121"/>
  <c r="U54" i="121"/>
  <c r="V54" i="121" s="1"/>
  <c r="S54" i="121"/>
  <c r="R54" i="121"/>
  <c r="J54" i="121"/>
  <c r="I54" i="121"/>
  <c r="W53" i="121"/>
  <c r="U53" i="121"/>
  <c r="V53" i="121" s="1"/>
  <c r="S53" i="121"/>
  <c r="R53" i="121"/>
  <c r="J53" i="121"/>
  <c r="I53" i="121"/>
  <c r="A53" i="121"/>
  <c r="A54" i="121" s="1"/>
  <c r="A55" i="121" s="1"/>
  <c r="A56" i="121" s="1"/>
  <c r="A57" i="121" s="1"/>
  <c r="A58" i="121" s="1"/>
  <c r="A59" i="121" s="1"/>
  <c r="U52" i="121"/>
  <c r="V52" i="121" s="1"/>
  <c r="S52" i="121"/>
  <c r="R52" i="121"/>
  <c r="J52" i="121"/>
  <c r="I52" i="121"/>
  <c r="W52" i="121" s="1"/>
  <c r="W51" i="121"/>
  <c r="V51" i="121"/>
  <c r="U51" i="121"/>
  <c r="S51" i="121"/>
  <c r="R51" i="121"/>
  <c r="J51" i="121"/>
  <c r="I51" i="121"/>
  <c r="W50" i="121"/>
  <c r="U50" i="121"/>
  <c r="V50" i="121" s="1"/>
  <c r="S50" i="121"/>
  <c r="R50" i="121"/>
  <c r="J50" i="121"/>
  <c r="I50" i="121"/>
  <c r="U49" i="121"/>
  <c r="V49" i="121" s="1"/>
  <c r="S49" i="121"/>
  <c r="R49" i="121"/>
  <c r="J49" i="121"/>
  <c r="I49" i="121"/>
  <c r="W49" i="121" s="1"/>
  <c r="W48" i="121"/>
  <c r="U48" i="121"/>
  <c r="V48" i="121" s="1"/>
  <c r="S48" i="121"/>
  <c r="R48" i="121"/>
  <c r="J48" i="121"/>
  <c r="I48" i="121"/>
  <c r="W47" i="121"/>
  <c r="U47" i="121"/>
  <c r="V47" i="121" s="1"/>
  <c r="S47" i="121"/>
  <c r="R47" i="121"/>
  <c r="J47" i="121"/>
  <c r="I47" i="121"/>
  <c r="U46" i="121"/>
  <c r="V46" i="121" s="1"/>
  <c r="S46" i="121"/>
  <c r="R46" i="121"/>
  <c r="J46" i="121"/>
  <c r="I46" i="121"/>
  <c r="W46" i="121" s="1"/>
  <c r="S45" i="121"/>
  <c r="R45" i="121"/>
  <c r="J45" i="121"/>
  <c r="I45" i="121"/>
  <c r="U44" i="121"/>
  <c r="V44" i="121" s="1"/>
  <c r="S44" i="121"/>
  <c r="S60" i="121" s="1"/>
  <c r="R44" i="121"/>
  <c r="J44" i="121"/>
  <c r="I44" i="121"/>
  <c r="W44" i="121" s="1"/>
  <c r="S43" i="121"/>
  <c r="R43" i="121"/>
  <c r="J43" i="121"/>
  <c r="I43" i="121"/>
  <c r="U42" i="121"/>
  <c r="V42" i="121" s="1"/>
  <c r="S42" i="121"/>
  <c r="R42" i="121"/>
  <c r="J42" i="121"/>
  <c r="I42" i="121"/>
  <c r="W42" i="121" s="1"/>
  <c r="V41" i="121"/>
  <c r="U41" i="121"/>
  <c r="S41" i="121"/>
  <c r="R41" i="121"/>
  <c r="J41" i="121"/>
  <c r="I41" i="121"/>
  <c r="W41" i="121" s="1"/>
  <c r="U40" i="121"/>
  <c r="V40" i="121" s="1"/>
  <c r="S40" i="121"/>
  <c r="R40" i="121"/>
  <c r="J40" i="121"/>
  <c r="I40" i="121"/>
  <c r="U39" i="121"/>
  <c r="V39" i="121" s="1"/>
  <c r="S39" i="121"/>
  <c r="R39" i="121"/>
  <c r="J39" i="121"/>
  <c r="I39" i="121"/>
  <c r="W39" i="121" s="1"/>
  <c r="V38" i="121"/>
  <c r="U38" i="121"/>
  <c r="S38" i="121"/>
  <c r="R38" i="121"/>
  <c r="J38" i="121"/>
  <c r="I38" i="121"/>
  <c r="W38" i="121" s="1"/>
  <c r="U37" i="121"/>
  <c r="V37" i="121" s="1"/>
  <c r="S37" i="121"/>
  <c r="R37" i="121"/>
  <c r="J37" i="121"/>
  <c r="I37" i="121"/>
  <c r="U36" i="121"/>
  <c r="V36" i="121" s="1"/>
  <c r="S36" i="121"/>
  <c r="R36" i="121"/>
  <c r="J36" i="121"/>
  <c r="I36" i="121"/>
  <c r="W36" i="121" s="1"/>
  <c r="V35" i="121"/>
  <c r="U35" i="121"/>
  <c r="S35" i="121"/>
  <c r="R35" i="121"/>
  <c r="J35" i="121"/>
  <c r="I35" i="121"/>
  <c r="W35" i="121" s="1"/>
  <c r="U34" i="121"/>
  <c r="V34" i="121" s="1"/>
  <c r="S34" i="121"/>
  <c r="R34" i="121"/>
  <c r="J34" i="121"/>
  <c r="I34" i="121"/>
  <c r="U33" i="121"/>
  <c r="V33" i="121" s="1"/>
  <c r="S33" i="121"/>
  <c r="R33" i="121"/>
  <c r="J33" i="121"/>
  <c r="I33" i="121"/>
  <c r="W33" i="121" s="1"/>
  <c r="V32" i="121"/>
  <c r="U32" i="121"/>
  <c r="S32" i="121"/>
  <c r="R32" i="121"/>
  <c r="J32" i="121"/>
  <c r="I32" i="121"/>
  <c r="W32" i="121" s="1"/>
  <c r="U31" i="121"/>
  <c r="V31" i="121" s="1"/>
  <c r="S31" i="121"/>
  <c r="R31" i="121"/>
  <c r="J31" i="121"/>
  <c r="I31" i="121"/>
  <c r="U30" i="121"/>
  <c r="V30" i="121" s="1"/>
  <c r="S30" i="121"/>
  <c r="R30" i="121"/>
  <c r="J30" i="121"/>
  <c r="I30" i="121"/>
  <c r="W30" i="121" s="1"/>
  <c r="V29" i="121"/>
  <c r="U29" i="121"/>
  <c r="S29" i="121"/>
  <c r="R29" i="121"/>
  <c r="J29" i="121"/>
  <c r="I29" i="121"/>
  <c r="W29" i="121" s="1"/>
  <c r="U28" i="121"/>
  <c r="V28" i="121" s="1"/>
  <c r="S28" i="121"/>
  <c r="R28" i="121"/>
  <c r="J28" i="121"/>
  <c r="I28" i="121"/>
  <c r="U27" i="121"/>
  <c r="V27" i="121" s="1"/>
  <c r="S27" i="121"/>
  <c r="R27" i="121"/>
  <c r="J27" i="121"/>
  <c r="I27" i="121"/>
  <c r="W27" i="121" s="1"/>
  <c r="BE26" i="121"/>
  <c r="U26" i="121"/>
  <c r="V26" i="121" s="1"/>
  <c r="S26" i="121"/>
  <c r="R26" i="121"/>
  <c r="J26" i="121"/>
  <c r="W26" i="121" s="1"/>
  <c r="I26" i="121"/>
  <c r="V25" i="121"/>
  <c r="U25" i="121"/>
  <c r="S25" i="121"/>
  <c r="R25" i="121"/>
  <c r="J25" i="121"/>
  <c r="I25" i="121"/>
  <c r="W25" i="121" s="1"/>
  <c r="W24" i="121"/>
  <c r="V24" i="121"/>
  <c r="U24" i="121"/>
  <c r="S24" i="121"/>
  <c r="R24" i="121"/>
  <c r="J24" i="121"/>
  <c r="I24" i="121"/>
  <c r="W23" i="121"/>
  <c r="U23" i="121"/>
  <c r="V23" i="121" s="1"/>
  <c r="S23" i="121"/>
  <c r="R23" i="121"/>
  <c r="J23" i="121"/>
  <c r="I23" i="121"/>
  <c r="V22" i="121"/>
  <c r="U22" i="121"/>
  <c r="S22" i="121"/>
  <c r="R22" i="121"/>
  <c r="J22" i="121"/>
  <c r="I22" i="121"/>
  <c r="W22" i="121" s="1"/>
  <c r="W21" i="121"/>
  <c r="V21" i="121"/>
  <c r="U21" i="121"/>
  <c r="S21" i="121"/>
  <c r="R21" i="121"/>
  <c r="J21" i="121"/>
  <c r="I21" i="121"/>
  <c r="W20" i="121"/>
  <c r="U20" i="121"/>
  <c r="V20" i="121" s="1"/>
  <c r="S20" i="121"/>
  <c r="R20" i="121"/>
  <c r="J20" i="121"/>
  <c r="I20" i="121"/>
  <c r="U19" i="121"/>
  <c r="V19" i="121" s="1"/>
  <c r="S19" i="121"/>
  <c r="R19" i="121"/>
  <c r="J19" i="121"/>
  <c r="I19" i="121"/>
  <c r="W19" i="121" s="1"/>
  <c r="W18" i="121"/>
  <c r="V18" i="121"/>
  <c r="U18" i="121"/>
  <c r="S18" i="121"/>
  <c r="R18" i="121"/>
  <c r="J18" i="121"/>
  <c r="I18" i="121"/>
  <c r="V17" i="121"/>
  <c r="U17" i="121"/>
  <c r="S17" i="121"/>
  <c r="R17" i="121"/>
  <c r="J17" i="121"/>
  <c r="W17" i="121" s="1"/>
  <c r="I17" i="121"/>
  <c r="V16" i="121"/>
  <c r="U16" i="121"/>
  <c r="S16" i="121"/>
  <c r="R16" i="121"/>
  <c r="J16" i="121"/>
  <c r="I16" i="121"/>
  <c r="W16" i="121" s="1"/>
  <c r="W15" i="121"/>
  <c r="V15" i="121"/>
  <c r="U15" i="121"/>
  <c r="S15" i="121"/>
  <c r="R15" i="121"/>
  <c r="J15" i="121"/>
  <c r="I15" i="121"/>
  <c r="W14" i="121"/>
  <c r="U14" i="121"/>
  <c r="V14" i="121" s="1"/>
  <c r="S14" i="121"/>
  <c r="R14" i="121"/>
  <c r="J14" i="121"/>
  <c r="I14" i="121"/>
  <c r="U13" i="121"/>
  <c r="V13" i="121" s="1"/>
  <c r="S13" i="121"/>
  <c r="R13" i="121"/>
  <c r="J13" i="121"/>
  <c r="I13" i="121"/>
  <c r="W13" i="121" s="1"/>
  <c r="W12" i="121"/>
  <c r="V12" i="121"/>
  <c r="U12" i="121"/>
  <c r="S12" i="121"/>
  <c r="R12" i="121"/>
  <c r="J12" i="121"/>
  <c r="I12" i="121"/>
  <c r="W11" i="121"/>
  <c r="V11" i="121"/>
  <c r="U11" i="121"/>
  <c r="S11" i="121"/>
  <c r="R11" i="121"/>
  <c r="J11" i="121"/>
  <c r="I11" i="121"/>
  <c r="U10" i="121"/>
  <c r="V10" i="121" s="1"/>
  <c r="S10" i="121"/>
  <c r="R10" i="121"/>
  <c r="J10" i="121"/>
  <c r="I10" i="121"/>
  <c r="W10" i="121" s="1"/>
  <c r="W9" i="121"/>
  <c r="V9" i="121"/>
  <c r="U9" i="121"/>
  <c r="S9" i="121"/>
  <c r="R9" i="121"/>
  <c r="J9" i="121"/>
  <c r="I9" i="121"/>
  <c r="A9" i="121"/>
  <c r="A10" i="121" s="1"/>
  <c r="A11" i="121" s="1"/>
  <c r="A12" i="121" s="1"/>
  <c r="A13" i="121" s="1"/>
  <c r="A14" i="121" s="1"/>
  <c r="A15" i="121" s="1"/>
  <c r="A16" i="121" s="1"/>
  <c r="A17" i="121" s="1"/>
  <c r="A18" i="121" s="1"/>
  <c r="A19" i="121" s="1"/>
  <c r="A20" i="121" s="1"/>
  <c r="A21" i="121" s="1"/>
  <c r="A22" i="121" s="1"/>
  <c r="A23" i="121" s="1"/>
  <c r="A24" i="121" s="1"/>
  <c r="A25" i="121" s="1"/>
  <c r="A26" i="121" s="1"/>
  <c r="A27" i="121" s="1"/>
  <c r="A28" i="121" s="1"/>
  <c r="A29" i="121" s="1"/>
  <c r="A30" i="121" s="1"/>
  <c r="A31" i="121" s="1"/>
  <c r="A32" i="121" s="1"/>
  <c r="A33" i="121" s="1"/>
  <c r="A34" i="121" s="1"/>
  <c r="A35" i="121" s="1"/>
  <c r="A36" i="121" s="1"/>
  <c r="A37" i="121" s="1"/>
  <c r="A38" i="121" s="1"/>
  <c r="A39" i="121" s="1"/>
  <c r="A40" i="121" s="1"/>
  <c r="A41" i="121" s="1"/>
  <c r="A42" i="121" s="1"/>
  <c r="A43" i="121" s="1"/>
  <c r="A44" i="121" s="1"/>
  <c r="A45" i="121" s="1"/>
  <c r="A46" i="121" s="1"/>
  <c r="A47" i="121" s="1"/>
  <c r="A48" i="121" s="1"/>
  <c r="A49" i="121" s="1"/>
  <c r="A50" i="121" s="1"/>
  <c r="A51" i="121" s="1"/>
  <c r="A52" i="121" s="1"/>
  <c r="W8" i="121"/>
  <c r="V8" i="121"/>
  <c r="U8" i="121"/>
  <c r="S8" i="121"/>
  <c r="R8" i="121"/>
  <c r="J8" i="121"/>
  <c r="I8" i="121"/>
  <c r="Q60" i="120"/>
  <c r="P60" i="120"/>
  <c r="O60" i="120"/>
  <c r="N60" i="120"/>
  <c r="M60" i="120"/>
  <c r="L60" i="120"/>
  <c r="H60" i="120"/>
  <c r="G60" i="120"/>
  <c r="E60" i="120"/>
  <c r="D60" i="120"/>
  <c r="C60" i="120"/>
  <c r="S59" i="120"/>
  <c r="R59" i="120"/>
  <c r="J59" i="120"/>
  <c r="I59" i="120"/>
  <c r="S58" i="120"/>
  <c r="R58" i="120"/>
  <c r="J58" i="120"/>
  <c r="I58" i="120"/>
  <c r="S57" i="120"/>
  <c r="R57" i="120"/>
  <c r="J57" i="120"/>
  <c r="I57" i="120"/>
  <c r="S56" i="120"/>
  <c r="R56" i="120"/>
  <c r="J56" i="120"/>
  <c r="I56" i="120"/>
  <c r="S55" i="120"/>
  <c r="R55" i="120"/>
  <c r="J55" i="120"/>
  <c r="I55" i="120"/>
  <c r="U54" i="120"/>
  <c r="V54" i="120" s="1"/>
  <c r="S54" i="120"/>
  <c r="R54" i="120"/>
  <c r="J54" i="120"/>
  <c r="I54" i="120"/>
  <c r="W54" i="120" s="1"/>
  <c r="U53" i="120"/>
  <c r="V53" i="120" s="1"/>
  <c r="S53" i="120"/>
  <c r="R53" i="120"/>
  <c r="J53" i="120"/>
  <c r="I53" i="120"/>
  <c r="W53" i="120" s="1"/>
  <c r="U52" i="120"/>
  <c r="V52" i="120" s="1"/>
  <c r="S52" i="120"/>
  <c r="R52" i="120"/>
  <c r="J52" i="120"/>
  <c r="I52" i="120"/>
  <c r="W52" i="120" s="1"/>
  <c r="U51" i="120"/>
  <c r="V51" i="120" s="1"/>
  <c r="S51" i="120"/>
  <c r="R51" i="120"/>
  <c r="J51" i="120"/>
  <c r="I51" i="120"/>
  <c r="W51" i="120" s="1"/>
  <c r="U50" i="120"/>
  <c r="V50" i="120" s="1"/>
  <c r="S50" i="120"/>
  <c r="R50" i="120"/>
  <c r="J50" i="120"/>
  <c r="I50" i="120"/>
  <c r="W50" i="120" s="1"/>
  <c r="U49" i="120"/>
  <c r="V49" i="120" s="1"/>
  <c r="S49" i="120"/>
  <c r="R49" i="120"/>
  <c r="J49" i="120"/>
  <c r="I49" i="120"/>
  <c r="W49" i="120" s="1"/>
  <c r="U48" i="120"/>
  <c r="V48" i="120" s="1"/>
  <c r="S48" i="120"/>
  <c r="R48" i="120"/>
  <c r="J48" i="120"/>
  <c r="I48" i="120"/>
  <c r="W48" i="120" s="1"/>
  <c r="U47" i="120"/>
  <c r="V47" i="120" s="1"/>
  <c r="S47" i="120"/>
  <c r="R47" i="120"/>
  <c r="J47" i="120"/>
  <c r="I47" i="120"/>
  <c r="W47" i="120" s="1"/>
  <c r="U46" i="120"/>
  <c r="V46" i="120" s="1"/>
  <c r="S46" i="120"/>
  <c r="R46" i="120"/>
  <c r="J46" i="120"/>
  <c r="I46" i="120"/>
  <c r="W46" i="120" s="1"/>
  <c r="S45" i="120"/>
  <c r="R45" i="120"/>
  <c r="J45" i="120"/>
  <c r="I45" i="120"/>
  <c r="V44" i="120"/>
  <c r="U44" i="120"/>
  <c r="S44" i="120"/>
  <c r="R44" i="120"/>
  <c r="J44" i="120"/>
  <c r="I44" i="120"/>
  <c r="S43" i="120"/>
  <c r="R43" i="120"/>
  <c r="J43" i="120"/>
  <c r="I43" i="120"/>
  <c r="W42" i="120"/>
  <c r="U42" i="120"/>
  <c r="V42" i="120" s="1"/>
  <c r="S42" i="120"/>
  <c r="R42" i="120"/>
  <c r="J42" i="120"/>
  <c r="I42" i="120"/>
  <c r="V41" i="120"/>
  <c r="U41" i="120"/>
  <c r="S41" i="120"/>
  <c r="R41" i="120"/>
  <c r="J41" i="120"/>
  <c r="I41" i="120"/>
  <c r="W41" i="120" s="1"/>
  <c r="W40" i="120"/>
  <c r="U40" i="120"/>
  <c r="V40" i="120" s="1"/>
  <c r="S40" i="120"/>
  <c r="R40" i="120"/>
  <c r="J40" i="120"/>
  <c r="I40" i="120"/>
  <c r="W39" i="120"/>
  <c r="V39" i="120"/>
  <c r="U39" i="120"/>
  <c r="S39" i="120"/>
  <c r="R39" i="120"/>
  <c r="J39" i="120"/>
  <c r="I39" i="120"/>
  <c r="V38" i="120"/>
  <c r="U38" i="120"/>
  <c r="S38" i="120"/>
  <c r="R38" i="120"/>
  <c r="J38" i="120"/>
  <c r="W38" i="120" s="1"/>
  <c r="I38" i="120"/>
  <c r="U37" i="120"/>
  <c r="V37" i="120" s="1"/>
  <c r="S37" i="120"/>
  <c r="R37" i="120"/>
  <c r="J37" i="120"/>
  <c r="W37" i="120" s="1"/>
  <c r="I37" i="120"/>
  <c r="U36" i="120"/>
  <c r="V36" i="120" s="1"/>
  <c r="S36" i="120"/>
  <c r="R36" i="120"/>
  <c r="J36" i="120"/>
  <c r="I36" i="120"/>
  <c r="W36" i="120" s="1"/>
  <c r="W35" i="120"/>
  <c r="V35" i="120"/>
  <c r="U35" i="120"/>
  <c r="S35" i="120"/>
  <c r="R35" i="120"/>
  <c r="J35" i="120"/>
  <c r="I35" i="120"/>
  <c r="U34" i="120"/>
  <c r="V34" i="120" s="1"/>
  <c r="S34" i="120"/>
  <c r="R34" i="120"/>
  <c r="J34" i="120"/>
  <c r="W34" i="120" s="1"/>
  <c r="I34" i="120"/>
  <c r="V33" i="120"/>
  <c r="U33" i="120"/>
  <c r="S33" i="120"/>
  <c r="R33" i="120"/>
  <c r="J33" i="120"/>
  <c r="I33" i="120"/>
  <c r="W33" i="120" s="1"/>
  <c r="V32" i="120"/>
  <c r="U32" i="120"/>
  <c r="S32" i="120"/>
  <c r="R32" i="120"/>
  <c r="J32" i="120"/>
  <c r="W32" i="120" s="1"/>
  <c r="I32" i="120"/>
  <c r="U31" i="120"/>
  <c r="V31" i="120" s="1"/>
  <c r="S31" i="120"/>
  <c r="R31" i="120"/>
  <c r="J31" i="120"/>
  <c r="W31" i="120" s="1"/>
  <c r="I31" i="120"/>
  <c r="V30" i="120"/>
  <c r="U30" i="120"/>
  <c r="S30" i="120"/>
  <c r="R30" i="120"/>
  <c r="J30" i="120"/>
  <c r="I30" i="120"/>
  <c r="W30" i="120" s="1"/>
  <c r="V29" i="120"/>
  <c r="U29" i="120"/>
  <c r="S29" i="120"/>
  <c r="R29" i="120"/>
  <c r="J29" i="120"/>
  <c r="I29" i="120"/>
  <c r="W29" i="120" s="1"/>
  <c r="U28" i="120"/>
  <c r="V28" i="120" s="1"/>
  <c r="S28" i="120"/>
  <c r="R28" i="120"/>
  <c r="J28" i="120"/>
  <c r="W28" i="120" s="1"/>
  <c r="I28" i="120"/>
  <c r="V27" i="120"/>
  <c r="U27" i="120"/>
  <c r="S27" i="120"/>
  <c r="R27" i="120"/>
  <c r="J27" i="120"/>
  <c r="I27" i="120"/>
  <c r="W27" i="120" s="1"/>
  <c r="BE26" i="120"/>
  <c r="W26" i="120"/>
  <c r="V26" i="120"/>
  <c r="U26" i="120"/>
  <c r="S26" i="120"/>
  <c r="R26" i="120"/>
  <c r="J26" i="120"/>
  <c r="I26" i="120"/>
  <c r="U25" i="120"/>
  <c r="V25" i="120" s="1"/>
  <c r="S25" i="120"/>
  <c r="R25" i="120"/>
  <c r="J25" i="120"/>
  <c r="I25" i="120"/>
  <c r="W25" i="120" s="1"/>
  <c r="W24" i="120"/>
  <c r="V24" i="120"/>
  <c r="U24" i="120"/>
  <c r="S24" i="120"/>
  <c r="R24" i="120"/>
  <c r="J24" i="120"/>
  <c r="I24" i="120"/>
  <c r="W23" i="120"/>
  <c r="U23" i="120"/>
  <c r="V23" i="120" s="1"/>
  <c r="S23" i="120"/>
  <c r="R23" i="120"/>
  <c r="J23" i="120"/>
  <c r="I23" i="120"/>
  <c r="U22" i="120"/>
  <c r="V22" i="120" s="1"/>
  <c r="S22" i="120"/>
  <c r="R22" i="120"/>
  <c r="J22" i="120"/>
  <c r="I22" i="120"/>
  <c r="W22" i="120" s="1"/>
  <c r="V21" i="120"/>
  <c r="U21" i="120"/>
  <c r="S21" i="120"/>
  <c r="R21" i="120"/>
  <c r="J21" i="120"/>
  <c r="I21" i="120"/>
  <c r="W21" i="120" s="1"/>
  <c r="W20" i="120"/>
  <c r="U20" i="120"/>
  <c r="V20" i="120" s="1"/>
  <c r="S20" i="120"/>
  <c r="R20" i="120"/>
  <c r="J20" i="120"/>
  <c r="I20" i="120"/>
  <c r="V19" i="120"/>
  <c r="U19" i="120"/>
  <c r="S19" i="120"/>
  <c r="R19" i="120"/>
  <c r="J19" i="120"/>
  <c r="I19" i="120"/>
  <c r="W19" i="120" s="1"/>
  <c r="U18" i="120"/>
  <c r="V18" i="120" s="1"/>
  <c r="S18" i="120"/>
  <c r="R18" i="120"/>
  <c r="J18" i="120"/>
  <c r="I18" i="120"/>
  <c r="W18" i="120" s="1"/>
  <c r="W17" i="120"/>
  <c r="U17" i="120"/>
  <c r="V17" i="120" s="1"/>
  <c r="S17" i="120"/>
  <c r="R17" i="120"/>
  <c r="J17" i="120"/>
  <c r="I17" i="120"/>
  <c r="U16" i="120"/>
  <c r="V16" i="120" s="1"/>
  <c r="S16" i="120"/>
  <c r="R16" i="120"/>
  <c r="J16" i="120"/>
  <c r="I16" i="120"/>
  <c r="W16" i="120" s="1"/>
  <c r="U15" i="120"/>
  <c r="V15" i="120" s="1"/>
  <c r="S15" i="120"/>
  <c r="R15" i="120"/>
  <c r="J15" i="120"/>
  <c r="I15" i="120"/>
  <c r="W15" i="120" s="1"/>
  <c r="W14" i="120"/>
  <c r="U14" i="120"/>
  <c r="V14" i="120" s="1"/>
  <c r="S14" i="120"/>
  <c r="R14" i="120"/>
  <c r="J14" i="120"/>
  <c r="I14" i="120"/>
  <c r="U13" i="120"/>
  <c r="V13" i="120" s="1"/>
  <c r="S13" i="120"/>
  <c r="R13" i="120"/>
  <c r="J13" i="120"/>
  <c r="I13" i="120"/>
  <c r="W13" i="120" s="1"/>
  <c r="U12" i="120"/>
  <c r="V12" i="120" s="1"/>
  <c r="S12" i="120"/>
  <c r="R12" i="120"/>
  <c r="J12" i="120"/>
  <c r="I12" i="120"/>
  <c r="W12" i="120" s="1"/>
  <c r="W11" i="120"/>
  <c r="U11" i="120"/>
  <c r="V11" i="120" s="1"/>
  <c r="S11" i="120"/>
  <c r="R11" i="120"/>
  <c r="J11" i="120"/>
  <c r="I11" i="120"/>
  <c r="U10" i="120"/>
  <c r="V10" i="120" s="1"/>
  <c r="S10" i="120"/>
  <c r="R10" i="120"/>
  <c r="J10" i="120"/>
  <c r="I10" i="120"/>
  <c r="W10" i="120" s="1"/>
  <c r="U9" i="120"/>
  <c r="V9" i="120" s="1"/>
  <c r="S9" i="120"/>
  <c r="R9" i="120"/>
  <c r="J9" i="120"/>
  <c r="I9" i="120"/>
  <c r="W9" i="120" s="1"/>
  <c r="A9" i="120"/>
  <c r="A10" i="120" s="1"/>
  <c r="A11" i="120" s="1"/>
  <c r="A12" i="120" s="1"/>
  <c r="A13" i="120" s="1"/>
  <c r="A14" i="120" s="1"/>
  <c r="A15" i="120" s="1"/>
  <c r="A16" i="120" s="1"/>
  <c r="A17" i="120" s="1"/>
  <c r="A18" i="120" s="1"/>
  <c r="A19" i="120" s="1"/>
  <c r="A20" i="120" s="1"/>
  <c r="A21" i="120" s="1"/>
  <c r="A22" i="120" s="1"/>
  <c r="A23" i="120" s="1"/>
  <c r="A24" i="120" s="1"/>
  <c r="A25" i="120" s="1"/>
  <c r="A26" i="120" s="1"/>
  <c r="A27" i="120" s="1"/>
  <c r="A28" i="120" s="1"/>
  <c r="A29" i="120" s="1"/>
  <c r="A30" i="120" s="1"/>
  <c r="A31" i="120" s="1"/>
  <c r="A32" i="120" s="1"/>
  <c r="A33" i="120" s="1"/>
  <c r="A34" i="120" s="1"/>
  <c r="A35" i="120" s="1"/>
  <c r="A36" i="120" s="1"/>
  <c r="A37" i="120" s="1"/>
  <c r="A38" i="120" s="1"/>
  <c r="A39" i="120" s="1"/>
  <c r="A40" i="120" s="1"/>
  <c r="A41" i="120" s="1"/>
  <c r="A42" i="120" s="1"/>
  <c r="A43" i="120" s="1"/>
  <c r="A44" i="120" s="1"/>
  <c r="A45" i="120" s="1"/>
  <c r="A46" i="120" s="1"/>
  <c r="A47" i="120" s="1"/>
  <c r="A48" i="120" s="1"/>
  <c r="A49" i="120" s="1"/>
  <c r="A50" i="120" s="1"/>
  <c r="A51" i="120" s="1"/>
  <c r="A52" i="120" s="1"/>
  <c r="A53" i="120" s="1"/>
  <c r="A54" i="120" s="1"/>
  <c r="A55" i="120" s="1"/>
  <c r="A56" i="120" s="1"/>
  <c r="A57" i="120" s="1"/>
  <c r="A58" i="120" s="1"/>
  <c r="A59" i="120" s="1"/>
  <c r="W8" i="120"/>
  <c r="U8" i="120"/>
  <c r="V8" i="120" s="1"/>
  <c r="S8" i="120"/>
  <c r="R8" i="120"/>
  <c r="J8" i="120"/>
  <c r="I8" i="120"/>
  <c r="Q60" i="119"/>
  <c r="P60" i="119"/>
  <c r="O60" i="119"/>
  <c r="N60" i="119"/>
  <c r="M60" i="119"/>
  <c r="L60" i="119"/>
  <c r="H60" i="119"/>
  <c r="G60" i="119"/>
  <c r="E60" i="119"/>
  <c r="D60" i="119"/>
  <c r="C60" i="119"/>
  <c r="S59" i="119"/>
  <c r="R59" i="119"/>
  <c r="J59" i="119"/>
  <c r="I59" i="119"/>
  <c r="S58" i="119"/>
  <c r="R58" i="119"/>
  <c r="J58" i="119"/>
  <c r="I58" i="119"/>
  <c r="S57" i="119"/>
  <c r="R57" i="119"/>
  <c r="J57" i="119"/>
  <c r="I57" i="119"/>
  <c r="S56" i="119"/>
  <c r="R56" i="119"/>
  <c r="J56" i="119"/>
  <c r="I56" i="119"/>
  <c r="S55" i="119"/>
  <c r="R55" i="119"/>
  <c r="J55" i="119"/>
  <c r="I55" i="119"/>
  <c r="U54" i="119"/>
  <c r="V54" i="119" s="1"/>
  <c r="S54" i="119"/>
  <c r="R54" i="119"/>
  <c r="J54" i="119"/>
  <c r="I54" i="119"/>
  <c r="W54" i="119" s="1"/>
  <c r="U53" i="119"/>
  <c r="V53" i="119" s="1"/>
  <c r="S53" i="119"/>
  <c r="R53" i="119"/>
  <c r="J53" i="119"/>
  <c r="I53" i="119"/>
  <c r="W53" i="119" s="1"/>
  <c r="V52" i="119"/>
  <c r="U52" i="119"/>
  <c r="S52" i="119"/>
  <c r="R52" i="119"/>
  <c r="J52" i="119"/>
  <c r="I52" i="119"/>
  <c r="W52" i="119" s="1"/>
  <c r="U51" i="119"/>
  <c r="V51" i="119" s="1"/>
  <c r="S51" i="119"/>
  <c r="R51" i="119"/>
  <c r="J51" i="119"/>
  <c r="I51" i="119"/>
  <c r="W51" i="119" s="1"/>
  <c r="U50" i="119"/>
  <c r="V50" i="119" s="1"/>
  <c r="S50" i="119"/>
  <c r="R50" i="119"/>
  <c r="J50" i="119"/>
  <c r="I50" i="119"/>
  <c r="W50" i="119" s="1"/>
  <c r="V49" i="119"/>
  <c r="U49" i="119"/>
  <c r="S49" i="119"/>
  <c r="R49" i="119"/>
  <c r="J49" i="119"/>
  <c r="I49" i="119"/>
  <c r="W49" i="119" s="1"/>
  <c r="V48" i="119"/>
  <c r="U48" i="119"/>
  <c r="S48" i="119"/>
  <c r="R48" i="119"/>
  <c r="J48" i="119"/>
  <c r="I48" i="119"/>
  <c r="W48" i="119" s="1"/>
  <c r="U47" i="119"/>
  <c r="V47" i="119" s="1"/>
  <c r="S47" i="119"/>
  <c r="R47" i="119"/>
  <c r="J47" i="119"/>
  <c r="I47" i="119"/>
  <c r="W47" i="119" s="1"/>
  <c r="V46" i="119"/>
  <c r="U46" i="119"/>
  <c r="S46" i="119"/>
  <c r="R46" i="119"/>
  <c r="J46" i="119"/>
  <c r="I46" i="119"/>
  <c r="W46" i="119" s="1"/>
  <c r="S45" i="119"/>
  <c r="R45" i="119"/>
  <c r="J45" i="119"/>
  <c r="I45" i="119"/>
  <c r="W44" i="119"/>
  <c r="U44" i="119"/>
  <c r="V44" i="119" s="1"/>
  <c r="S44" i="119"/>
  <c r="R44" i="119"/>
  <c r="J44" i="119"/>
  <c r="I44" i="119"/>
  <c r="S43" i="119"/>
  <c r="R43" i="119"/>
  <c r="J43" i="119"/>
  <c r="I43" i="119"/>
  <c r="W42" i="119"/>
  <c r="V42" i="119"/>
  <c r="U42" i="119"/>
  <c r="S42" i="119"/>
  <c r="R42" i="119"/>
  <c r="J42" i="119"/>
  <c r="I42" i="119"/>
  <c r="V41" i="119"/>
  <c r="U41" i="119"/>
  <c r="S41" i="119"/>
  <c r="R41" i="119"/>
  <c r="J41" i="119"/>
  <c r="I41" i="119"/>
  <c r="W41" i="119" s="1"/>
  <c r="U40" i="119"/>
  <c r="V40" i="119" s="1"/>
  <c r="S40" i="119"/>
  <c r="R40" i="119"/>
  <c r="J40" i="119"/>
  <c r="W40" i="119" s="1"/>
  <c r="I40" i="119"/>
  <c r="W39" i="119"/>
  <c r="V39" i="119"/>
  <c r="U39" i="119"/>
  <c r="S39" i="119"/>
  <c r="R39" i="119"/>
  <c r="J39" i="119"/>
  <c r="I39" i="119"/>
  <c r="V38" i="119"/>
  <c r="U38" i="119"/>
  <c r="S38" i="119"/>
  <c r="R38" i="119"/>
  <c r="J38" i="119"/>
  <c r="I38" i="119"/>
  <c r="W38" i="119" s="1"/>
  <c r="U37" i="119"/>
  <c r="V37" i="119" s="1"/>
  <c r="S37" i="119"/>
  <c r="R37" i="119"/>
  <c r="J37" i="119"/>
  <c r="W37" i="119" s="1"/>
  <c r="I37" i="119"/>
  <c r="W36" i="119"/>
  <c r="V36" i="119"/>
  <c r="U36" i="119"/>
  <c r="S36" i="119"/>
  <c r="R36" i="119"/>
  <c r="J36" i="119"/>
  <c r="I36" i="119"/>
  <c r="V35" i="119"/>
  <c r="U35" i="119"/>
  <c r="S35" i="119"/>
  <c r="R35" i="119"/>
  <c r="J35" i="119"/>
  <c r="I35" i="119"/>
  <c r="U34" i="119"/>
  <c r="V34" i="119" s="1"/>
  <c r="S34" i="119"/>
  <c r="R34" i="119"/>
  <c r="J34" i="119"/>
  <c r="W34" i="119" s="1"/>
  <c r="I34" i="119"/>
  <c r="W33" i="119"/>
  <c r="V33" i="119"/>
  <c r="U33" i="119"/>
  <c r="S33" i="119"/>
  <c r="R33" i="119"/>
  <c r="J33" i="119"/>
  <c r="I33" i="119"/>
  <c r="V32" i="119"/>
  <c r="U32" i="119"/>
  <c r="S32" i="119"/>
  <c r="R32" i="119"/>
  <c r="J32" i="119"/>
  <c r="I32" i="119"/>
  <c r="W32" i="119" s="1"/>
  <c r="U31" i="119"/>
  <c r="V31" i="119" s="1"/>
  <c r="S31" i="119"/>
  <c r="R31" i="119"/>
  <c r="J31" i="119"/>
  <c r="W31" i="119" s="1"/>
  <c r="I31" i="119"/>
  <c r="W30" i="119"/>
  <c r="V30" i="119"/>
  <c r="U30" i="119"/>
  <c r="S30" i="119"/>
  <c r="R30" i="119"/>
  <c r="J30" i="119"/>
  <c r="I30" i="119"/>
  <c r="V29" i="119"/>
  <c r="U29" i="119"/>
  <c r="S29" i="119"/>
  <c r="R29" i="119"/>
  <c r="J29" i="119"/>
  <c r="I29" i="119"/>
  <c r="W29" i="119" s="1"/>
  <c r="U28" i="119"/>
  <c r="V28" i="119" s="1"/>
  <c r="S28" i="119"/>
  <c r="R28" i="119"/>
  <c r="J28" i="119"/>
  <c r="W28" i="119" s="1"/>
  <c r="I28" i="119"/>
  <c r="A28" i="119"/>
  <c r="A29" i="119" s="1"/>
  <c r="A30" i="119" s="1"/>
  <c r="A31" i="119" s="1"/>
  <c r="A32" i="119" s="1"/>
  <c r="A33" i="119" s="1"/>
  <c r="A34" i="119" s="1"/>
  <c r="A35" i="119" s="1"/>
  <c r="A36" i="119" s="1"/>
  <c r="A37" i="119" s="1"/>
  <c r="A38" i="119" s="1"/>
  <c r="A39" i="119" s="1"/>
  <c r="A40" i="119" s="1"/>
  <c r="A41" i="119" s="1"/>
  <c r="A42" i="119" s="1"/>
  <c r="A43" i="119" s="1"/>
  <c r="A44" i="119" s="1"/>
  <c r="A45" i="119" s="1"/>
  <c r="A46" i="119" s="1"/>
  <c r="A47" i="119" s="1"/>
  <c r="A48" i="119" s="1"/>
  <c r="A49" i="119" s="1"/>
  <c r="A50" i="119" s="1"/>
  <c r="A51" i="119" s="1"/>
  <c r="A52" i="119" s="1"/>
  <c r="A53" i="119" s="1"/>
  <c r="A54" i="119" s="1"/>
  <c r="A55" i="119" s="1"/>
  <c r="A56" i="119" s="1"/>
  <c r="A57" i="119" s="1"/>
  <c r="A58" i="119" s="1"/>
  <c r="A59" i="119" s="1"/>
  <c r="W27" i="119"/>
  <c r="V27" i="119"/>
  <c r="U27" i="119"/>
  <c r="S27" i="119"/>
  <c r="R27" i="119"/>
  <c r="J27" i="119"/>
  <c r="I27" i="119"/>
  <c r="BE26" i="119"/>
  <c r="W26" i="119"/>
  <c r="U26" i="119"/>
  <c r="V26" i="119" s="1"/>
  <c r="S26" i="119"/>
  <c r="R26" i="119"/>
  <c r="J26" i="119"/>
  <c r="I26" i="119"/>
  <c r="U25" i="119"/>
  <c r="V25" i="119" s="1"/>
  <c r="S25" i="119"/>
  <c r="R25" i="119"/>
  <c r="J25" i="119"/>
  <c r="I25" i="119"/>
  <c r="W25" i="119" s="1"/>
  <c r="W24" i="119"/>
  <c r="U24" i="119"/>
  <c r="V24" i="119" s="1"/>
  <c r="S24" i="119"/>
  <c r="R24" i="119"/>
  <c r="J24" i="119"/>
  <c r="I24" i="119"/>
  <c r="W23" i="119"/>
  <c r="U23" i="119"/>
  <c r="V23" i="119" s="1"/>
  <c r="S23" i="119"/>
  <c r="R23" i="119"/>
  <c r="J23" i="119"/>
  <c r="I23" i="119"/>
  <c r="U22" i="119"/>
  <c r="V22" i="119" s="1"/>
  <c r="S22" i="119"/>
  <c r="R22" i="119"/>
  <c r="J22" i="119"/>
  <c r="I22" i="119"/>
  <c r="W22" i="119" s="1"/>
  <c r="W21" i="119"/>
  <c r="U21" i="119"/>
  <c r="V21" i="119" s="1"/>
  <c r="S21" i="119"/>
  <c r="R21" i="119"/>
  <c r="J21" i="119"/>
  <c r="I21" i="119"/>
  <c r="W20" i="119"/>
  <c r="U20" i="119"/>
  <c r="V20" i="119" s="1"/>
  <c r="S20" i="119"/>
  <c r="R20" i="119"/>
  <c r="J20" i="119"/>
  <c r="I20" i="119"/>
  <c r="U19" i="119"/>
  <c r="V19" i="119" s="1"/>
  <c r="S19" i="119"/>
  <c r="R19" i="119"/>
  <c r="J19" i="119"/>
  <c r="I19" i="119"/>
  <c r="W19" i="119" s="1"/>
  <c r="W18" i="119"/>
  <c r="U18" i="119"/>
  <c r="V18" i="119" s="1"/>
  <c r="S18" i="119"/>
  <c r="R18" i="119"/>
  <c r="J18" i="119"/>
  <c r="I18" i="119"/>
  <c r="W17" i="119"/>
  <c r="U17" i="119"/>
  <c r="V17" i="119" s="1"/>
  <c r="S17" i="119"/>
  <c r="R17" i="119"/>
  <c r="J17" i="119"/>
  <c r="I17" i="119"/>
  <c r="U16" i="119"/>
  <c r="V16" i="119" s="1"/>
  <c r="S16" i="119"/>
  <c r="R16" i="119"/>
  <c r="J16" i="119"/>
  <c r="I16" i="119"/>
  <c r="W16" i="119" s="1"/>
  <c r="W15" i="119"/>
  <c r="U15" i="119"/>
  <c r="V15" i="119" s="1"/>
  <c r="S15" i="119"/>
  <c r="R15" i="119"/>
  <c r="J15" i="119"/>
  <c r="I15" i="119"/>
  <c r="W14" i="119"/>
  <c r="U14" i="119"/>
  <c r="V14" i="119" s="1"/>
  <c r="S14" i="119"/>
  <c r="R14" i="119"/>
  <c r="J14" i="119"/>
  <c r="I14" i="119"/>
  <c r="U13" i="119"/>
  <c r="V13" i="119" s="1"/>
  <c r="S13" i="119"/>
  <c r="R13" i="119"/>
  <c r="J13" i="119"/>
  <c r="I13" i="119"/>
  <c r="W13" i="119" s="1"/>
  <c r="W12" i="119"/>
  <c r="U12" i="119"/>
  <c r="V12" i="119" s="1"/>
  <c r="S12" i="119"/>
  <c r="R12" i="119"/>
  <c r="J12" i="119"/>
  <c r="I12" i="119"/>
  <c r="W11" i="119"/>
  <c r="U11" i="119"/>
  <c r="V11" i="119" s="1"/>
  <c r="S11" i="119"/>
  <c r="R11" i="119"/>
  <c r="J11" i="119"/>
  <c r="I11" i="119"/>
  <c r="A11" i="119"/>
  <c r="A12" i="119" s="1"/>
  <c r="A13" i="119" s="1"/>
  <c r="A14" i="119" s="1"/>
  <c r="A15" i="119" s="1"/>
  <c r="A16" i="119" s="1"/>
  <c r="A17" i="119" s="1"/>
  <c r="A18" i="119" s="1"/>
  <c r="A19" i="119" s="1"/>
  <c r="A20" i="119" s="1"/>
  <c r="A21" i="119" s="1"/>
  <c r="A22" i="119" s="1"/>
  <c r="A23" i="119" s="1"/>
  <c r="A24" i="119" s="1"/>
  <c r="A25" i="119" s="1"/>
  <c r="A26" i="119" s="1"/>
  <c r="A27" i="119" s="1"/>
  <c r="U10" i="119"/>
  <c r="V10" i="119" s="1"/>
  <c r="S10" i="119"/>
  <c r="R10" i="119"/>
  <c r="J10" i="119"/>
  <c r="I10" i="119"/>
  <c r="W10" i="119" s="1"/>
  <c r="A10" i="119"/>
  <c r="W9" i="119"/>
  <c r="U9" i="119"/>
  <c r="V9" i="119" s="1"/>
  <c r="S9" i="119"/>
  <c r="R9" i="119"/>
  <c r="J9" i="119"/>
  <c r="I9" i="119"/>
  <c r="A9" i="119"/>
  <c r="W8" i="119"/>
  <c r="U8" i="119"/>
  <c r="S8" i="119"/>
  <c r="R8" i="119"/>
  <c r="J8" i="119"/>
  <c r="I8" i="119"/>
  <c r="Q60" i="124"/>
  <c r="P60" i="124"/>
  <c r="O60" i="124"/>
  <c r="N60" i="124"/>
  <c r="M60" i="124"/>
  <c r="L60" i="124"/>
  <c r="H60" i="124"/>
  <c r="G60" i="124"/>
  <c r="E60" i="124"/>
  <c r="D60" i="124"/>
  <c r="C60" i="124"/>
  <c r="S59" i="124"/>
  <c r="R59" i="124"/>
  <c r="J59" i="124"/>
  <c r="I59" i="124"/>
  <c r="S58" i="124"/>
  <c r="R58" i="124"/>
  <c r="J58" i="124"/>
  <c r="I58" i="124"/>
  <c r="S57" i="124"/>
  <c r="R57" i="124"/>
  <c r="J57" i="124"/>
  <c r="I57" i="124"/>
  <c r="S56" i="124"/>
  <c r="R56" i="124"/>
  <c r="J56" i="124"/>
  <c r="I56" i="124"/>
  <c r="S55" i="124"/>
  <c r="R55" i="124"/>
  <c r="J55" i="124"/>
  <c r="I55" i="124"/>
  <c r="W54" i="124"/>
  <c r="U54" i="124"/>
  <c r="V54" i="124" s="1"/>
  <c r="S54" i="124"/>
  <c r="R54" i="124"/>
  <c r="J54" i="124"/>
  <c r="I54" i="124"/>
  <c r="U53" i="124"/>
  <c r="V53" i="124" s="1"/>
  <c r="S53" i="124"/>
  <c r="R53" i="124"/>
  <c r="J53" i="124"/>
  <c r="I53" i="124"/>
  <c r="W53" i="124" s="1"/>
  <c r="V52" i="124"/>
  <c r="U52" i="124"/>
  <c r="S52" i="124"/>
  <c r="R52" i="124"/>
  <c r="J52" i="124"/>
  <c r="I52" i="124"/>
  <c r="W52" i="124" s="1"/>
  <c r="W51" i="124"/>
  <c r="U51" i="124"/>
  <c r="V51" i="124" s="1"/>
  <c r="S51" i="124"/>
  <c r="R51" i="124"/>
  <c r="J51" i="124"/>
  <c r="I51" i="124"/>
  <c r="U50" i="124"/>
  <c r="V50" i="124" s="1"/>
  <c r="S50" i="124"/>
  <c r="R50" i="124"/>
  <c r="J50" i="124"/>
  <c r="I50" i="124"/>
  <c r="W50" i="124" s="1"/>
  <c r="V49" i="124"/>
  <c r="U49" i="124"/>
  <c r="S49" i="124"/>
  <c r="R49" i="124"/>
  <c r="J49" i="124"/>
  <c r="I49" i="124"/>
  <c r="W49" i="124" s="1"/>
  <c r="W48" i="124"/>
  <c r="U48" i="124"/>
  <c r="V48" i="124" s="1"/>
  <c r="S48" i="124"/>
  <c r="R48" i="124"/>
  <c r="J48" i="124"/>
  <c r="I48" i="124"/>
  <c r="U47" i="124"/>
  <c r="V47" i="124" s="1"/>
  <c r="S47" i="124"/>
  <c r="R47" i="124"/>
  <c r="J47" i="124"/>
  <c r="I47" i="124"/>
  <c r="W47" i="124" s="1"/>
  <c r="V46" i="124"/>
  <c r="U46" i="124"/>
  <c r="S46" i="124"/>
  <c r="R46" i="124"/>
  <c r="J46" i="124"/>
  <c r="I46" i="124"/>
  <c r="W46" i="124" s="1"/>
  <c r="S45" i="124"/>
  <c r="R45" i="124"/>
  <c r="J45" i="124"/>
  <c r="I45" i="124"/>
  <c r="V44" i="124"/>
  <c r="U44" i="124"/>
  <c r="S44" i="124"/>
  <c r="R44" i="124"/>
  <c r="J44" i="124"/>
  <c r="W44" i="124" s="1"/>
  <c r="I44" i="124"/>
  <c r="S43" i="124"/>
  <c r="R43" i="124"/>
  <c r="J43" i="124"/>
  <c r="I43" i="124"/>
  <c r="U42" i="124"/>
  <c r="V42" i="124" s="1"/>
  <c r="S42" i="124"/>
  <c r="R42" i="124"/>
  <c r="J42" i="124"/>
  <c r="I42" i="124"/>
  <c r="W42" i="124" s="1"/>
  <c r="W41" i="124"/>
  <c r="U41" i="124"/>
  <c r="V41" i="124" s="1"/>
  <c r="S41" i="124"/>
  <c r="R41" i="124"/>
  <c r="J41" i="124"/>
  <c r="I41" i="124"/>
  <c r="W40" i="124"/>
  <c r="U40" i="124"/>
  <c r="V40" i="124" s="1"/>
  <c r="S40" i="124"/>
  <c r="R40" i="124"/>
  <c r="J40" i="124"/>
  <c r="I40" i="124"/>
  <c r="U39" i="124"/>
  <c r="V39" i="124" s="1"/>
  <c r="S39" i="124"/>
  <c r="R39" i="124"/>
  <c r="J39" i="124"/>
  <c r="I39" i="124"/>
  <c r="W39" i="124" s="1"/>
  <c r="W38" i="124"/>
  <c r="U38" i="124"/>
  <c r="V38" i="124" s="1"/>
  <c r="S38" i="124"/>
  <c r="R38" i="124"/>
  <c r="J38" i="124"/>
  <c r="I38" i="124"/>
  <c r="W37" i="124"/>
  <c r="U37" i="124"/>
  <c r="V37" i="124" s="1"/>
  <c r="S37" i="124"/>
  <c r="R37" i="124"/>
  <c r="J37" i="124"/>
  <c r="I37" i="124"/>
  <c r="U36" i="124"/>
  <c r="V36" i="124" s="1"/>
  <c r="S36" i="124"/>
  <c r="R36" i="124"/>
  <c r="J36" i="124"/>
  <c r="I36" i="124"/>
  <c r="W36" i="124" s="1"/>
  <c r="W35" i="124"/>
  <c r="U35" i="124"/>
  <c r="V35" i="124" s="1"/>
  <c r="S35" i="124"/>
  <c r="R35" i="124"/>
  <c r="J35" i="124"/>
  <c r="I35" i="124"/>
  <c r="W34" i="124"/>
  <c r="U34" i="124"/>
  <c r="V34" i="124" s="1"/>
  <c r="S34" i="124"/>
  <c r="R34" i="124"/>
  <c r="J34" i="124"/>
  <c r="I34" i="124"/>
  <c r="U33" i="124"/>
  <c r="V33" i="124" s="1"/>
  <c r="S33" i="124"/>
  <c r="R33" i="124"/>
  <c r="J33" i="124"/>
  <c r="I33" i="124"/>
  <c r="W33" i="124" s="1"/>
  <c r="W32" i="124"/>
  <c r="U32" i="124"/>
  <c r="V32" i="124" s="1"/>
  <c r="S32" i="124"/>
  <c r="R32" i="124"/>
  <c r="J32" i="124"/>
  <c r="I32" i="124"/>
  <c r="W31" i="124"/>
  <c r="U31" i="124"/>
  <c r="V31" i="124" s="1"/>
  <c r="S31" i="124"/>
  <c r="R31" i="124"/>
  <c r="J31" i="124"/>
  <c r="I31" i="124"/>
  <c r="U30" i="124"/>
  <c r="V30" i="124" s="1"/>
  <c r="S30" i="124"/>
  <c r="R30" i="124"/>
  <c r="J30" i="124"/>
  <c r="I30" i="124"/>
  <c r="W30" i="124" s="1"/>
  <c r="W29" i="124"/>
  <c r="U29" i="124"/>
  <c r="V29" i="124" s="1"/>
  <c r="S29" i="124"/>
  <c r="R29" i="124"/>
  <c r="J29" i="124"/>
  <c r="I29" i="124"/>
  <c r="W28" i="124"/>
  <c r="U28" i="124"/>
  <c r="V28" i="124" s="1"/>
  <c r="S28" i="124"/>
  <c r="R28" i="124"/>
  <c r="J28" i="124"/>
  <c r="I28" i="124"/>
  <c r="U27" i="124"/>
  <c r="V27" i="124" s="1"/>
  <c r="S27" i="124"/>
  <c r="R27" i="124"/>
  <c r="J27" i="124"/>
  <c r="I27" i="124"/>
  <c r="W27" i="124" s="1"/>
  <c r="BE26" i="124"/>
  <c r="U26" i="124"/>
  <c r="V26" i="124" s="1"/>
  <c r="S26" i="124"/>
  <c r="R26" i="124"/>
  <c r="J26" i="124"/>
  <c r="I26" i="124"/>
  <c r="W26" i="124" s="1"/>
  <c r="V25" i="124"/>
  <c r="U25" i="124"/>
  <c r="S25" i="124"/>
  <c r="R25" i="124"/>
  <c r="J25" i="124"/>
  <c r="I25" i="124"/>
  <c r="W25" i="124" s="1"/>
  <c r="V24" i="124"/>
  <c r="U24" i="124"/>
  <c r="S24" i="124"/>
  <c r="R24" i="124"/>
  <c r="J24" i="124"/>
  <c r="I24" i="124"/>
  <c r="U23" i="124"/>
  <c r="V23" i="124" s="1"/>
  <c r="S23" i="124"/>
  <c r="R23" i="124"/>
  <c r="J23" i="124"/>
  <c r="I23" i="124"/>
  <c r="W23" i="124" s="1"/>
  <c r="V22" i="124"/>
  <c r="U22" i="124"/>
  <c r="S22" i="124"/>
  <c r="R22" i="124"/>
  <c r="J22" i="124"/>
  <c r="I22" i="124"/>
  <c r="W22" i="124" s="1"/>
  <c r="V21" i="124"/>
  <c r="U21" i="124"/>
  <c r="S21" i="124"/>
  <c r="R21" i="124"/>
  <c r="J21" i="124"/>
  <c r="I21" i="124"/>
  <c r="W21" i="124" s="1"/>
  <c r="U20" i="124"/>
  <c r="V20" i="124" s="1"/>
  <c r="S20" i="124"/>
  <c r="R20" i="124"/>
  <c r="J20" i="124"/>
  <c r="I20" i="124"/>
  <c r="W20" i="124" s="1"/>
  <c r="V19" i="124"/>
  <c r="U19" i="124"/>
  <c r="S19" i="124"/>
  <c r="R19" i="124"/>
  <c r="J19" i="124"/>
  <c r="I19" i="124"/>
  <c r="W19" i="124" s="1"/>
  <c r="V18" i="124"/>
  <c r="U18" i="124"/>
  <c r="S18" i="124"/>
  <c r="R18" i="124"/>
  <c r="J18" i="124"/>
  <c r="I18" i="124"/>
  <c r="W18" i="124" s="1"/>
  <c r="U17" i="124"/>
  <c r="V17" i="124" s="1"/>
  <c r="S17" i="124"/>
  <c r="R17" i="124"/>
  <c r="J17" i="124"/>
  <c r="I17" i="124"/>
  <c r="W17" i="124" s="1"/>
  <c r="V16" i="124"/>
  <c r="U16" i="124"/>
  <c r="S16" i="124"/>
  <c r="R16" i="124"/>
  <c r="J16" i="124"/>
  <c r="I16" i="124"/>
  <c r="W16" i="124" s="1"/>
  <c r="V15" i="124"/>
  <c r="U15" i="124"/>
  <c r="S15" i="124"/>
  <c r="R15" i="124"/>
  <c r="J15" i="124"/>
  <c r="I15" i="124"/>
  <c r="U14" i="124"/>
  <c r="V14" i="124" s="1"/>
  <c r="S14" i="124"/>
  <c r="R14" i="124"/>
  <c r="J14" i="124"/>
  <c r="I14" i="124"/>
  <c r="W14" i="124" s="1"/>
  <c r="V13" i="124"/>
  <c r="U13" i="124"/>
  <c r="S13" i="124"/>
  <c r="R13" i="124"/>
  <c r="J13" i="124"/>
  <c r="I13" i="124"/>
  <c r="W13" i="124" s="1"/>
  <c r="V12" i="124"/>
  <c r="U12" i="124"/>
  <c r="S12" i="124"/>
  <c r="R12" i="124"/>
  <c r="J12" i="124"/>
  <c r="I12" i="124"/>
  <c r="W12" i="124" s="1"/>
  <c r="A12" i="124"/>
  <c r="A13" i="124" s="1"/>
  <c r="A14" i="124" s="1"/>
  <c r="A15" i="124" s="1"/>
  <c r="A16" i="124" s="1"/>
  <c r="A17" i="124" s="1"/>
  <c r="A18" i="124" s="1"/>
  <c r="A19" i="124" s="1"/>
  <c r="A20" i="124" s="1"/>
  <c r="A21" i="124" s="1"/>
  <c r="A22" i="124" s="1"/>
  <c r="A23" i="124" s="1"/>
  <c r="A24" i="124" s="1"/>
  <c r="A25" i="124" s="1"/>
  <c r="A26" i="124" s="1"/>
  <c r="A27" i="124" s="1"/>
  <c r="A28" i="124" s="1"/>
  <c r="A29" i="124" s="1"/>
  <c r="A30" i="124" s="1"/>
  <c r="A31" i="124" s="1"/>
  <c r="A32" i="124" s="1"/>
  <c r="A33" i="124" s="1"/>
  <c r="A34" i="124" s="1"/>
  <c r="A35" i="124" s="1"/>
  <c r="A36" i="124" s="1"/>
  <c r="A37" i="124" s="1"/>
  <c r="A38" i="124" s="1"/>
  <c r="A39" i="124" s="1"/>
  <c r="A40" i="124" s="1"/>
  <c r="A41" i="124" s="1"/>
  <c r="A42" i="124" s="1"/>
  <c r="A43" i="124" s="1"/>
  <c r="A44" i="124" s="1"/>
  <c r="A45" i="124" s="1"/>
  <c r="A46" i="124" s="1"/>
  <c r="A47" i="124" s="1"/>
  <c r="A48" i="124" s="1"/>
  <c r="A49" i="124" s="1"/>
  <c r="A50" i="124" s="1"/>
  <c r="A51" i="124" s="1"/>
  <c r="A52" i="124" s="1"/>
  <c r="A53" i="124" s="1"/>
  <c r="A54" i="124" s="1"/>
  <c r="A55" i="124" s="1"/>
  <c r="A56" i="124" s="1"/>
  <c r="A57" i="124" s="1"/>
  <c r="A58" i="124" s="1"/>
  <c r="A59" i="124" s="1"/>
  <c r="U11" i="124"/>
  <c r="V11" i="124" s="1"/>
  <c r="S11" i="124"/>
  <c r="R11" i="124"/>
  <c r="J11" i="124"/>
  <c r="I11" i="124"/>
  <c r="W11" i="124" s="1"/>
  <c r="A11" i="124"/>
  <c r="V10" i="124"/>
  <c r="U10" i="124"/>
  <c r="S10" i="124"/>
  <c r="R10" i="124"/>
  <c r="J10" i="124"/>
  <c r="I10" i="124"/>
  <c r="V9" i="124"/>
  <c r="U9" i="124"/>
  <c r="S9" i="124"/>
  <c r="R9" i="124"/>
  <c r="J9" i="124"/>
  <c r="I9" i="124"/>
  <c r="A9" i="124"/>
  <c r="A10" i="124" s="1"/>
  <c r="U8" i="124"/>
  <c r="V8" i="124" s="1"/>
  <c r="S8" i="124"/>
  <c r="R8" i="124"/>
  <c r="J8" i="124"/>
  <c r="I8" i="124"/>
  <c r="W8" i="124" s="1"/>
  <c r="Q60" i="118"/>
  <c r="P60" i="118"/>
  <c r="O60" i="118"/>
  <c r="N60" i="118"/>
  <c r="M60" i="118"/>
  <c r="L60" i="118"/>
  <c r="H60" i="118"/>
  <c r="G60" i="118"/>
  <c r="E60" i="118"/>
  <c r="D60" i="118"/>
  <c r="C60" i="118"/>
  <c r="S59" i="118"/>
  <c r="R59" i="118"/>
  <c r="J59" i="118"/>
  <c r="I59" i="118"/>
  <c r="S58" i="118"/>
  <c r="R58" i="118"/>
  <c r="J58" i="118"/>
  <c r="I58" i="118"/>
  <c r="S57" i="118"/>
  <c r="R57" i="118"/>
  <c r="J57" i="118"/>
  <c r="I57" i="118"/>
  <c r="S56" i="118"/>
  <c r="R56" i="118"/>
  <c r="J56" i="118"/>
  <c r="I56" i="118"/>
  <c r="S55" i="118"/>
  <c r="R55" i="118"/>
  <c r="J55" i="118"/>
  <c r="I55" i="118"/>
  <c r="U54" i="118"/>
  <c r="V54" i="118" s="1"/>
  <c r="S54" i="118"/>
  <c r="R54" i="118"/>
  <c r="J54" i="118"/>
  <c r="W54" i="118" s="1"/>
  <c r="I54" i="118"/>
  <c r="V53" i="118"/>
  <c r="U53" i="118"/>
  <c r="S53" i="118"/>
  <c r="R53" i="118"/>
  <c r="J53" i="118"/>
  <c r="I53" i="118"/>
  <c r="W53" i="118" s="1"/>
  <c r="V52" i="118"/>
  <c r="U52" i="118"/>
  <c r="S52" i="118"/>
  <c r="R52" i="118"/>
  <c r="J52" i="118"/>
  <c r="I52" i="118"/>
  <c r="W52" i="118" s="1"/>
  <c r="U51" i="118"/>
  <c r="V51" i="118" s="1"/>
  <c r="S51" i="118"/>
  <c r="R51" i="118"/>
  <c r="J51" i="118"/>
  <c r="W51" i="118" s="1"/>
  <c r="I51" i="118"/>
  <c r="V50" i="118"/>
  <c r="U50" i="118"/>
  <c r="S50" i="118"/>
  <c r="R50" i="118"/>
  <c r="J50" i="118"/>
  <c r="I50" i="118"/>
  <c r="W50" i="118" s="1"/>
  <c r="V49" i="118"/>
  <c r="U49" i="118"/>
  <c r="S49" i="118"/>
  <c r="R49" i="118"/>
  <c r="J49" i="118"/>
  <c r="I49" i="118"/>
  <c r="W49" i="118" s="1"/>
  <c r="U48" i="118"/>
  <c r="V48" i="118" s="1"/>
  <c r="S48" i="118"/>
  <c r="R48" i="118"/>
  <c r="J48" i="118"/>
  <c r="W48" i="118" s="1"/>
  <c r="I48" i="118"/>
  <c r="V47" i="118"/>
  <c r="U47" i="118"/>
  <c r="S47" i="118"/>
  <c r="R47" i="118"/>
  <c r="J47" i="118"/>
  <c r="I47" i="118"/>
  <c r="W47" i="118" s="1"/>
  <c r="V46" i="118"/>
  <c r="U46" i="118"/>
  <c r="S46" i="118"/>
  <c r="R46" i="118"/>
  <c r="J46" i="118"/>
  <c r="I46" i="118"/>
  <c r="W46" i="118" s="1"/>
  <c r="S45" i="118"/>
  <c r="R45" i="118"/>
  <c r="J45" i="118"/>
  <c r="I45" i="118"/>
  <c r="W44" i="118"/>
  <c r="U44" i="118"/>
  <c r="V44" i="118" s="1"/>
  <c r="S44" i="118"/>
  <c r="R44" i="118"/>
  <c r="J44" i="118"/>
  <c r="I44" i="118"/>
  <c r="S43" i="118"/>
  <c r="R43" i="118"/>
  <c r="J43" i="118"/>
  <c r="I43" i="118"/>
  <c r="V42" i="118"/>
  <c r="U42" i="118"/>
  <c r="S42" i="118"/>
  <c r="R42" i="118"/>
  <c r="J42" i="118"/>
  <c r="I42" i="118"/>
  <c r="W42" i="118" s="1"/>
  <c r="V41" i="118"/>
  <c r="U41" i="118"/>
  <c r="S41" i="118"/>
  <c r="R41" i="118"/>
  <c r="J41" i="118"/>
  <c r="I41" i="118"/>
  <c r="W41" i="118" s="1"/>
  <c r="U40" i="118"/>
  <c r="V40" i="118" s="1"/>
  <c r="S40" i="118"/>
  <c r="R40" i="118"/>
  <c r="J40" i="118"/>
  <c r="W40" i="118" s="1"/>
  <c r="I40" i="118"/>
  <c r="V39" i="118"/>
  <c r="U39" i="118"/>
  <c r="S39" i="118"/>
  <c r="R39" i="118"/>
  <c r="J39" i="118"/>
  <c r="I39" i="118"/>
  <c r="W39" i="118" s="1"/>
  <c r="V38" i="118"/>
  <c r="U38" i="118"/>
  <c r="S38" i="118"/>
  <c r="R38" i="118"/>
  <c r="J38" i="118"/>
  <c r="I38" i="118"/>
  <c r="W38" i="118" s="1"/>
  <c r="U37" i="118"/>
  <c r="V37" i="118" s="1"/>
  <c r="S37" i="118"/>
  <c r="R37" i="118"/>
  <c r="J37" i="118"/>
  <c r="W37" i="118" s="1"/>
  <c r="I37" i="118"/>
  <c r="V36" i="118"/>
  <c r="U36" i="118"/>
  <c r="S36" i="118"/>
  <c r="R36" i="118"/>
  <c r="J36" i="118"/>
  <c r="I36" i="118"/>
  <c r="W36" i="118" s="1"/>
  <c r="V35" i="118"/>
  <c r="U35" i="118"/>
  <c r="S35" i="118"/>
  <c r="R35" i="118"/>
  <c r="J35" i="118"/>
  <c r="I35" i="118"/>
  <c r="U34" i="118"/>
  <c r="V34" i="118" s="1"/>
  <c r="S34" i="118"/>
  <c r="R34" i="118"/>
  <c r="J34" i="118"/>
  <c r="W34" i="118" s="1"/>
  <c r="I34" i="118"/>
  <c r="V33" i="118"/>
  <c r="U33" i="118"/>
  <c r="S33" i="118"/>
  <c r="R33" i="118"/>
  <c r="J33" i="118"/>
  <c r="I33" i="118"/>
  <c r="W33" i="118" s="1"/>
  <c r="V32" i="118"/>
  <c r="U32" i="118"/>
  <c r="S32" i="118"/>
  <c r="R32" i="118"/>
  <c r="J32" i="118"/>
  <c r="I32" i="118"/>
  <c r="W32" i="118" s="1"/>
  <c r="U31" i="118"/>
  <c r="V31" i="118" s="1"/>
  <c r="S31" i="118"/>
  <c r="R31" i="118"/>
  <c r="J31" i="118"/>
  <c r="W31" i="118" s="1"/>
  <c r="I31" i="118"/>
  <c r="V30" i="118"/>
  <c r="U30" i="118"/>
  <c r="S30" i="118"/>
  <c r="R30" i="118"/>
  <c r="J30" i="118"/>
  <c r="I30" i="118"/>
  <c r="W30" i="118" s="1"/>
  <c r="V29" i="118"/>
  <c r="U29" i="118"/>
  <c r="S29" i="118"/>
  <c r="R29" i="118"/>
  <c r="J29" i="118"/>
  <c r="I29" i="118"/>
  <c r="W29" i="118" s="1"/>
  <c r="U28" i="118"/>
  <c r="V28" i="118" s="1"/>
  <c r="S28" i="118"/>
  <c r="R28" i="118"/>
  <c r="J28" i="118"/>
  <c r="W28" i="118" s="1"/>
  <c r="I28" i="118"/>
  <c r="V27" i="118"/>
  <c r="U27" i="118"/>
  <c r="S27" i="118"/>
  <c r="R27" i="118"/>
  <c r="J27" i="118"/>
  <c r="I27" i="118"/>
  <c r="W27" i="118" s="1"/>
  <c r="BE26" i="118"/>
  <c r="U26" i="118"/>
  <c r="V26" i="118" s="1"/>
  <c r="S26" i="118"/>
  <c r="R26" i="118"/>
  <c r="J26" i="118"/>
  <c r="I26" i="118"/>
  <c r="W26" i="118" s="1"/>
  <c r="V25" i="118"/>
  <c r="U25" i="118"/>
  <c r="S25" i="118"/>
  <c r="R25" i="118"/>
  <c r="J25" i="118"/>
  <c r="I25" i="118"/>
  <c r="W25" i="118" s="1"/>
  <c r="W24" i="118"/>
  <c r="U24" i="118"/>
  <c r="V24" i="118" s="1"/>
  <c r="S24" i="118"/>
  <c r="R24" i="118"/>
  <c r="J24" i="118"/>
  <c r="I24" i="118"/>
  <c r="U23" i="118"/>
  <c r="V23" i="118" s="1"/>
  <c r="S23" i="118"/>
  <c r="R23" i="118"/>
  <c r="J23" i="118"/>
  <c r="I23" i="118"/>
  <c r="W23" i="118" s="1"/>
  <c r="V22" i="118"/>
  <c r="U22" i="118"/>
  <c r="S22" i="118"/>
  <c r="R22" i="118"/>
  <c r="J22" i="118"/>
  <c r="I22" i="118"/>
  <c r="W22" i="118" s="1"/>
  <c r="W21" i="118"/>
  <c r="U21" i="118"/>
  <c r="V21" i="118" s="1"/>
  <c r="S21" i="118"/>
  <c r="R21" i="118"/>
  <c r="J21" i="118"/>
  <c r="I21" i="118"/>
  <c r="U20" i="118"/>
  <c r="V20" i="118" s="1"/>
  <c r="S20" i="118"/>
  <c r="R20" i="118"/>
  <c r="J20" i="118"/>
  <c r="I20" i="118"/>
  <c r="W20" i="118" s="1"/>
  <c r="V19" i="118"/>
  <c r="U19" i="118"/>
  <c r="S19" i="118"/>
  <c r="R19" i="118"/>
  <c r="J19" i="118"/>
  <c r="I19" i="118"/>
  <c r="W19" i="118" s="1"/>
  <c r="W18" i="118"/>
  <c r="U18" i="118"/>
  <c r="V18" i="118" s="1"/>
  <c r="S18" i="118"/>
  <c r="R18" i="118"/>
  <c r="J18" i="118"/>
  <c r="I18" i="118"/>
  <c r="U17" i="118"/>
  <c r="V17" i="118" s="1"/>
  <c r="S17" i="118"/>
  <c r="R17" i="118"/>
  <c r="R60" i="118" s="1"/>
  <c r="J17" i="118"/>
  <c r="I17" i="118"/>
  <c r="W17" i="118" s="1"/>
  <c r="V16" i="118"/>
  <c r="U16" i="118"/>
  <c r="S16" i="118"/>
  <c r="R16" i="118"/>
  <c r="J16" i="118"/>
  <c r="I16" i="118"/>
  <c r="W16" i="118" s="1"/>
  <c r="W15" i="118"/>
  <c r="U15" i="118"/>
  <c r="V15" i="118" s="1"/>
  <c r="S15" i="118"/>
  <c r="R15" i="118"/>
  <c r="J15" i="118"/>
  <c r="I15" i="118"/>
  <c r="U14" i="118"/>
  <c r="V14" i="118" s="1"/>
  <c r="S14" i="118"/>
  <c r="R14" i="118"/>
  <c r="J14" i="118"/>
  <c r="I14" i="118"/>
  <c r="W14" i="118" s="1"/>
  <c r="V13" i="118"/>
  <c r="U13" i="118"/>
  <c r="S13" i="118"/>
  <c r="R13" i="118"/>
  <c r="J13" i="118"/>
  <c r="I13" i="118"/>
  <c r="W13" i="118" s="1"/>
  <c r="W12" i="118"/>
  <c r="U12" i="118"/>
  <c r="V12" i="118" s="1"/>
  <c r="S12" i="118"/>
  <c r="R12" i="118"/>
  <c r="J12" i="118"/>
  <c r="I12" i="118"/>
  <c r="U11" i="118"/>
  <c r="V11" i="118" s="1"/>
  <c r="S11" i="118"/>
  <c r="R11" i="118"/>
  <c r="J11" i="118"/>
  <c r="I11" i="118"/>
  <c r="W11" i="118" s="1"/>
  <c r="V10" i="118"/>
  <c r="U10" i="118"/>
  <c r="S10" i="118"/>
  <c r="R10" i="118"/>
  <c r="J10" i="118"/>
  <c r="I10" i="118"/>
  <c r="W10" i="118" s="1"/>
  <c r="W9" i="118"/>
  <c r="U9" i="118"/>
  <c r="V9" i="118" s="1"/>
  <c r="S9" i="118"/>
  <c r="R9" i="118"/>
  <c r="J9" i="118"/>
  <c r="I9" i="118"/>
  <c r="A9" i="118"/>
  <c r="A10" i="118" s="1"/>
  <c r="A11" i="118" s="1"/>
  <c r="A12" i="118" s="1"/>
  <c r="A13" i="118" s="1"/>
  <c r="A14" i="118" s="1"/>
  <c r="A15" i="118" s="1"/>
  <c r="A16" i="118" s="1"/>
  <c r="A17" i="118" s="1"/>
  <c r="A18" i="118" s="1"/>
  <c r="A19" i="118" s="1"/>
  <c r="A20" i="118" s="1"/>
  <c r="A21" i="118" s="1"/>
  <c r="A22" i="118" s="1"/>
  <c r="A23" i="118" s="1"/>
  <c r="A24" i="118" s="1"/>
  <c r="A25" i="118" s="1"/>
  <c r="A26" i="118" s="1"/>
  <c r="A27" i="118" s="1"/>
  <c r="A28" i="118" s="1"/>
  <c r="A29" i="118" s="1"/>
  <c r="A30" i="118" s="1"/>
  <c r="A31" i="118" s="1"/>
  <c r="A32" i="118" s="1"/>
  <c r="A33" i="118" s="1"/>
  <c r="A34" i="118" s="1"/>
  <c r="A35" i="118" s="1"/>
  <c r="A36" i="118" s="1"/>
  <c r="A37" i="118" s="1"/>
  <c r="A38" i="118" s="1"/>
  <c r="A39" i="118" s="1"/>
  <c r="A40" i="118" s="1"/>
  <c r="A41" i="118" s="1"/>
  <c r="A42" i="118" s="1"/>
  <c r="A43" i="118" s="1"/>
  <c r="A44" i="118" s="1"/>
  <c r="A45" i="118" s="1"/>
  <c r="A46" i="118" s="1"/>
  <c r="A47" i="118" s="1"/>
  <c r="A48" i="118" s="1"/>
  <c r="A49" i="118" s="1"/>
  <c r="A50" i="118" s="1"/>
  <c r="A51" i="118" s="1"/>
  <c r="A52" i="118" s="1"/>
  <c r="A53" i="118" s="1"/>
  <c r="A54" i="118" s="1"/>
  <c r="A55" i="118" s="1"/>
  <c r="A56" i="118" s="1"/>
  <c r="A57" i="118" s="1"/>
  <c r="A58" i="118" s="1"/>
  <c r="A59" i="118" s="1"/>
  <c r="U8" i="118"/>
  <c r="V8" i="118" s="1"/>
  <c r="S8" i="118"/>
  <c r="R8" i="118"/>
  <c r="J8" i="118"/>
  <c r="I8" i="118"/>
  <c r="W8" i="118" s="1"/>
  <c r="Q60" i="117"/>
  <c r="P60" i="117"/>
  <c r="O60" i="117"/>
  <c r="N60" i="117"/>
  <c r="M60" i="117"/>
  <c r="L60" i="117"/>
  <c r="J60" i="117"/>
  <c r="H60" i="117"/>
  <c r="G60" i="117"/>
  <c r="E60" i="117"/>
  <c r="D60" i="117"/>
  <c r="C60" i="117"/>
  <c r="S59" i="117"/>
  <c r="R59" i="117"/>
  <c r="J59" i="117"/>
  <c r="I59" i="117"/>
  <c r="S58" i="117"/>
  <c r="R58" i="117"/>
  <c r="J58" i="117"/>
  <c r="I58" i="117"/>
  <c r="S57" i="117"/>
  <c r="R57" i="117"/>
  <c r="J57" i="117"/>
  <c r="I57" i="117"/>
  <c r="S56" i="117"/>
  <c r="R56" i="117"/>
  <c r="J56" i="117"/>
  <c r="I56" i="117"/>
  <c r="S55" i="117"/>
  <c r="R55" i="117"/>
  <c r="J55" i="117"/>
  <c r="I55" i="117"/>
  <c r="W54" i="117"/>
  <c r="U54" i="117"/>
  <c r="V54" i="117" s="1"/>
  <c r="S54" i="117"/>
  <c r="R54" i="117"/>
  <c r="J54" i="117"/>
  <c r="I54" i="117"/>
  <c r="U53" i="117"/>
  <c r="V53" i="117" s="1"/>
  <c r="S53" i="117"/>
  <c r="R53" i="117"/>
  <c r="J53" i="117"/>
  <c r="I53" i="117"/>
  <c r="W53" i="117" s="1"/>
  <c r="W52" i="117"/>
  <c r="U52" i="117"/>
  <c r="V52" i="117" s="1"/>
  <c r="S52" i="117"/>
  <c r="R52" i="117"/>
  <c r="J52" i="117"/>
  <c r="I52" i="117"/>
  <c r="W51" i="117"/>
  <c r="U51" i="117"/>
  <c r="V51" i="117" s="1"/>
  <c r="S51" i="117"/>
  <c r="R51" i="117"/>
  <c r="J51" i="117"/>
  <c r="I51" i="117"/>
  <c r="U50" i="117"/>
  <c r="V50" i="117" s="1"/>
  <c r="S50" i="117"/>
  <c r="R50" i="117"/>
  <c r="J50" i="117"/>
  <c r="I50" i="117"/>
  <c r="W50" i="117" s="1"/>
  <c r="W49" i="117"/>
  <c r="U49" i="117"/>
  <c r="V49" i="117" s="1"/>
  <c r="S49" i="117"/>
  <c r="R49" i="117"/>
  <c r="J49" i="117"/>
  <c r="I49" i="117"/>
  <c r="W48" i="117"/>
  <c r="U48" i="117"/>
  <c r="V48" i="117" s="1"/>
  <c r="S48" i="117"/>
  <c r="R48" i="117"/>
  <c r="J48" i="117"/>
  <c r="I48" i="117"/>
  <c r="U47" i="117"/>
  <c r="V47" i="117" s="1"/>
  <c r="S47" i="117"/>
  <c r="R47" i="117"/>
  <c r="J47" i="117"/>
  <c r="I47" i="117"/>
  <c r="W47" i="117" s="1"/>
  <c r="W46" i="117"/>
  <c r="U46" i="117"/>
  <c r="V46" i="117" s="1"/>
  <c r="S46" i="117"/>
  <c r="R46" i="117"/>
  <c r="J46" i="117"/>
  <c r="I46" i="117"/>
  <c r="S45" i="117"/>
  <c r="R45" i="117"/>
  <c r="J45" i="117"/>
  <c r="I45" i="117"/>
  <c r="U44" i="117"/>
  <c r="V44" i="117" s="1"/>
  <c r="S44" i="117"/>
  <c r="R44" i="117"/>
  <c r="J44" i="117"/>
  <c r="I44" i="117"/>
  <c r="W44" i="117" s="1"/>
  <c r="S43" i="117"/>
  <c r="R43" i="117"/>
  <c r="J43" i="117"/>
  <c r="I43" i="117"/>
  <c r="V42" i="117"/>
  <c r="U42" i="117"/>
  <c r="S42" i="117"/>
  <c r="R42" i="117"/>
  <c r="J42" i="117"/>
  <c r="I42" i="117"/>
  <c r="W42" i="117" s="1"/>
  <c r="W41" i="117"/>
  <c r="U41" i="117"/>
  <c r="V41" i="117" s="1"/>
  <c r="S41" i="117"/>
  <c r="R41" i="117"/>
  <c r="J41" i="117"/>
  <c r="I41" i="117"/>
  <c r="U40" i="117"/>
  <c r="V40" i="117" s="1"/>
  <c r="S40" i="117"/>
  <c r="R40" i="117"/>
  <c r="J40" i="117"/>
  <c r="I40" i="117"/>
  <c r="W40" i="117" s="1"/>
  <c r="V39" i="117"/>
  <c r="U39" i="117"/>
  <c r="S39" i="117"/>
  <c r="R39" i="117"/>
  <c r="J39" i="117"/>
  <c r="I39" i="117"/>
  <c r="W39" i="117" s="1"/>
  <c r="W38" i="117"/>
  <c r="U38" i="117"/>
  <c r="V38" i="117" s="1"/>
  <c r="S38" i="117"/>
  <c r="R38" i="117"/>
  <c r="J38" i="117"/>
  <c r="I38" i="117"/>
  <c r="U37" i="117"/>
  <c r="V37" i="117" s="1"/>
  <c r="S37" i="117"/>
  <c r="R37" i="117"/>
  <c r="J37" i="117"/>
  <c r="I37" i="117"/>
  <c r="W37" i="117" s="1"/>
  <c r="V36" i="117"/>
  <c r="U36" i="117"/>
  <c r="S36" i="117"/>
  <c r="R36" i="117"/>
  <c r="J36" i="117"/>
  <c r="I36" i="117"/>
  <c r="W36" i="117" s="1"/>
  <c r="W35" i="117"/>
  <c r="U35" i="117"/>
  <c r="V35" i="117" s="1"/>
  <c r="S35" i="117"/>
  <c r="R35" i="117"/>
  <c r="J35" i="117"/>
  <c r="I35" i="117"/>
  <c r="U34" i="117"/>
  <c r="V34" i="117" s="1"/>
  <c r="S34" i="117"/>
  <c r="R34" i="117"/>
  <c r="J34" i="117"/>
  <c r="I34" i="117"/>
  <c r="W34" i="117" s="1"/>
  <c r="V33" i="117"/>
  <c r="U33" i="117"/>
  <c r="S33" i="117"/>
  <c r="R33" i="117"/>
  <c r="J33" i="117"/>
  <c r="I33" i="117"/>
  <c r="W33" i="117" s="1"/>
  <c r="W32" i="117"/>
  <c r="U32" i="117"/>
  <c r="V32" i="117" s="1"/>
  <c r="S32" i="117"/>
  <c r="R32" i="117"/>
  <c r="J32" i="117"/>
  <c r="I32" i="117"/>
  <c r="U31" i="117"/>
  <c r="V31" i="117" s="1"/>
  <c r="S31" i="117"/>
  <c r="R31" i="117"/>
  <c r="J31" i="117"/>
  <c r="I31" i="117"/>
  <c r="W31" i="117" s="1"/>
  <c r="V30" i="117"/>
  <c r="U30" i="117"/>
  <c r="S30" i="117"/>
  <c r="R30" i="117"/>
  <c r="J30" i="117"/>
  <c r="I30" i="117"/>
  <c r="W30" i="117" s="1"/>
  <c r="W29" i="117"/>
  <c r="U29" i="117"/>
  <c r="V29" i="117" s="1"/>
  <c r="S29" i="117"/>
  <c r="R29" i="117"/>
  <c r="J29" i="117"/>
  <c r="I29" i="117"/>
  <c r="U28" i="117"/>
  <c r="S28" i="117"/>
  <c r="R28" i="117"/>
  <c r="J28" i="117"/>
  <c r="I28" i="117"/>
  <c r="W28" i="117" s="1"/>
  <c r="V27" i="117"/>
  <c r="U27" i="117"/>
  <c r="S27" i="117"/>
  <c r="R27" i="117"/>
  <c r="J27" i="117"/>
  <c r="I27" i="117"/>
  <c r="W27" i="117" s="1"/>
  <c r="BE26" i="117"/>
  <c r="W26" i="117"/>
  <c r="V26" i="117"/>
  <c r="U26" i="117"/>
  <c r="S26" i="117"/>
  <c r="R26" i="117"/>
  <c r="J26" i="117"/>
  <c r="I26" i="117"/>
  <c r="V25" i="117"/>
  <c r="U25" i="117"/>
  <c r="S25" i="117"/>
  <c r="R25" i="117"/>
  <c r="J25" i="117"/>
  <c r="I25" i="117"/>
  <c r="V24" i="117"/>
  <c r="U24" i="117"/>
  <c r="S24" i="117"/>
  <c r="R24" i="117"/>
  <c r="J24" i="117"/>
  <c r="W24" i="117" s="1"/>
  <c r="I24" i="117"/>
  <c r="W23" i="117"/>
  <c r="V23" i="117"/>
  <c r="U23" i="117"/>
  <c r="S23" i="117"/>
  <c r="R23" i="117"/>
  <c r="J23" i="117"/>
  <c r="I23" i="117"/>
  <c r="V22" i="117"/>
  <c r="U22" i="117"/>
  <c r="S22" i="117"/>
  <c r="R22" i="117"/>
  <c r="J22" i="117"/>
  <c r="I22" i="117"/>
  <c r="W22" i="117" s="1"/>
  <c r="V21" i="117"/>
  <c r="U21" i="117"/>
  <c r="S21" i="117"/>
  <c r="R21" i="117"/>
  <c r="J21" i="117"/>
  <c r="W21" i="117" s="1"/>
  <c r="I21" i="117"/>
  <c r="W20" i="117"/>
  <c r="V20" i="117"/>
  <c r="U20" i="117"/>
  <c r="S20" i="117"/>
  <c r="R20" i="117"/>
  <c r="J20" i="117"/>
  <c r="I20" i="117"/>
  <c r="V19" i="117"/>
  <c r="U19" i="117"/>
  <c r="S19" i="117"/>
  <c r="R19" i="117"/>
  <c r="J19" i="117"/>
  <c r="I19" i="117"/>
  <c r="W19" i="117" s="1"/>
  <c r="V18" i="117"/>
  <c r="U18" i="117"/>
  <c r="S18" i="117"/>
  <c r="R18" i="117"/>
  <c r="J18" i="117"/>
  <c r="W18" i="117" s="1"/>
  <c r="I18" i="117"/>
  <c r="W17" i="117"/>
  <c r="V17" i="117"/>
  <c r="U17" i="117"/>
  <c r="S17" i="117"/>
  <c r="R17" i="117"/>
  <c r="J17" i="117"/>
  <c r="I17" i="117"/>
  <c r="V16" i="117"/>
  <c r="U16" i="117"/>
  <c r="S16" i="117"/>
  <c r="R16" i="117"/>
  <c r="J16" i="117"/>
  <c r="I16" i="117"/>
  <c r="U15" i="117"/>
  <c r="V15" i="117" s="1"/>
  <c r="S15" i="117"/>
  <c r="R15" i="117"/>
  <c r="J15" i="117"/>
  <c r="W15" i="117" s="1"/>
  <c r="I15" i="117"/>
  <c r="W14" i="117"/>
  <c r="V14" i="117"/>
  <c r="U14" i="117"/>
  <c r="S14" i="117"/>
  <c r="R14" i="117"/>
  <c r="J14" i="117"/>
  <c r="I14" i="117"/>
  <c r="V13" i="117"/>
  <c r="U13" i="117"/>
  <c r="S13" i="117"/>
  <c r="R13" i="117"/>
  <c r="J13" i="117"/>
  <c r="I13" i="117"/>
  <c r="W13" i="117" s="1"/>
  <c r="U12" i="117"/>
  <c r="V12" i="117" s="1"/>
  <c r="S12" i="117"/>
  <c r="R12" i="117"/>
  <c r="J12" i="117"/>
  <c r="W12" i="117" s="1"/>
  <c r="I12" i="117"/>
  <c r="W11" i="117"/>
  <c r="V11" i="117"/>
  <c r="U11" i="117"/>
  <c r="S11" i="117"/>
  <c r="R11" i="117"/>
  <c r="J11" i="117"/>
  <c r="I11" i="117"/>
  <c r="V10" i="117"/>
  <c r="U10" i="117"/>
  <c r="S10" i="117"/>
  <c r="R10" i="117"/>
  <c r="J10" i="117"/>
  <c r="I10" i="117"/>
  <c r="W10" i="117" s="1"/>
  <c r="U9" i="117"/>
  <c r="V9" i="117" s="1"/>
  <c r="S9" i="117"/>
  <c r="R9" i="117"/>
  <c r="J9" i="117"/>
  <c r="W9" i="117" s="1"/>
  <c r="I9" i="117"/>
  <c r="A9" i="117"/>
  <c r="A10" i="117" s="1"/>
  <c r="A11" i="117" s="1"/>
  <c r="A12" i="117" s="1"/>
  <c r="A13" i="117" s="1"/>
  <c r="A14" i="117" s="1"/>
  <c r="A15" i="117" s="1"/>
  <c r="A16" i="117" s="1"/>
  <c r="A17" i="117" s="1"/>
  <c r="A18" i="117" s="1"/>
  <c r="A19" i="117" s="1"/>
  <c r="A20" i="117" s="1"/>
  <c r="A21" i="117" s="1"/>
  <c r="A22" i="117" s="1"/>
  <c r="A23" i="117" s="1"/>
  <c r="A24" i="117" s="1"/>
  <c r="A25" i="117" s="1"/>
  <c r="A26" i="117" s="1"/>
  <c r="A27" i="117" s="1"/>
  <c r="A28" i="117" s="1"/>
  <c r="A29" i="117" s="1"/>
  <c r="A30" i="117" s="1"/>
  <c r="A31" i="117" s="1"/>
  <c r="A32" i="117" s="1"/>
  <c r="A33" i="117" s="1"/>
  <c r="A34" i="117" s="1"/>
  <c r="A35" i="117" s="1"/>
  <c r="A36" i="117" s="1"/>
  <c r="A37" i="117" s="1"/>
  <c r="A38" i="117" s="1"/>
  <c r="A39" i="117" s="1"/>
  <c r="A40" i="117" s="1"/>
  <c r="A41" i="117" s="1"/>
  <c r="A42" i="117" s="1"/>
  <c r="A43" i="117" s="1"/>
  <c r="A44" i="117" s="1"/>
  <c r="A45" i="117" s="1"/>
  <c r="A46" i="117" s="1"/>
  <c r="A47" i="117" s="1"/>
  <c r="A48" i="117" s="1"/>
  <c r="A49" i="117" s="1"/>
  <c r="A50" i="117" s="1"/>
  <c r="A51" i="117" s="1"/>
  <c r="A52" i="117" s="1"/>
  <c r="A53" i="117" s="1"/>
  <c r="A54" i="117" s="1"/>
  <c r="A55" i="117" s="1"/>
  <c r="A56" i="117" s="1"/>
  <c r="A57" i="117" s="1"/>
  <c r="A58" i="117" s="1"/>
  <c r="A59" i="117" s="1"/>
  <c r="W8" i="117"/>
  <c r="V8" i="117"/>
  <c r="U8" i="117"/>
  <c r="S8" i="117"/>
  <c r="R8" i="117"/>
  <c r="J8" i="117"/>
  <c r="I8" i="117"/>
  <c r="BE26" i="89"/>
  <c r="A18" i="89"/>
  <c r="A19" i="89" s="1"/>
  <c r="A20" i="89" s="1"/>
  <c r="A21" i="89" s="1"/>
  <c r="A22" i="89" s="1"/>
  <c r="A23" i="89" s="1"/>
  <c r="A24" i="89" s="1"/>
  <c r="A25" i="89" s="1"/>
  <c r="A26" i="89" s="1"/>
  <c r="A27" i="89" s="1"/>
  <c r="A28" i="89" s="1"/>
  <c r="A29" i="89" s="1"/>
  <c r="A30" i="89" s="1"/>
  <c r="A31" i="89" s="1"/>
  <c r="A32" i="89" s="1"/>
  <c r="A33" i="89" s="1"/>
  <c r="A34" i="89" s="1"/>
  <c r="A35" i="89" s="1"/>
  <c r="A36" i="89" s="1"/>
  <c r="A37" i="89" s="1"/>
  <c r="A38" i="89" s="1"/>
  <c r="A39" i="89" s="1"/>
  <c r="A40" i="89" s="1"/>
  <c r="A41" i="89" s="1"/>
  <c r="A42" i="89" s="1"/>
  <c r="A43" i="89" s="1"/>
  <c r="A44" i="89" s="1"/>
  <c r="A45" i="89" s="1"/>
  <c r="A46" i="89" s="1"/>
  <c r="A47" i="89" s="1"/>
  <c r="A48" i="89" s="1"/>
  <c r="A49" i="89" s="1"/>
  <c r="A50" i="89" s="1"/>
  <c r="A51" i="89" s="1"/>
  <c r="A52" i="89" s="1"/>
  <c r="A53" i="89" s="1"/>
  <c r="A54" i="89" s="1"/>
  <c r="A55" i="89" s="1"/>
  <c r="A56" i="89" s="1"/>
  <c r="A57" i="89" s="1"/>
  <c r="A58" i="89" s="1"/>
  <c r="A59" i="89" s="1"/>
  <c r="A10" i="89"/>
  <c r="A11" i="89" s="1"/>
  <c r="A12" i="89" s="1"/>
  <c r="A13" i="89" s="1"/>
  <c r="A14" i="89" s="1"/>
  <c r="A15" i="89" s="1"/>
  <c r="A16" i="89" s="1"/>
  <c r="A17" i="89" s="1"/>
  <c r="A9" i="89"/>
  <c r="Q60" i="123"/>
  <c r="P60" i="123"/>
  <c r="O60" i="123"/>
  <c r="N60" i="123"/>
  <c r="M60" i="123"/>
  <c r="L60" i="123"/>
  <c r="H60" i="123"/>
  <c r="G60" i="123"/>
  <c r="E60" i="123"/>
  <c r="D60" i="123"/>
  <c r="C60" i="123"/>
  <c r="S59" i="123"/>
  <c r="R59" i="123"/>
  <c r="J59" i="123"/>
  <c r="I59" i="123"/>
  <c r="S58" i="123"/>
  <c r="R58" i="123"/>
  <c r="J58" i="123"/>
  <c r="I58" i="123"/>
  <c r="S57" i="123"/>
  <c r="R57" i="123"/>
  <c r="J57" i="123"/>
  <c r="I57" i="123"/>
  <c r="S56" i="123"/>
  <c r="R56" i="123"/>
  <c r="J56" i="123"/>
  <c r="I56" i="123"/>
  <c r="S55" i="123"/>
  <c r="R55" i="123"/>
  <c r="J55" i="123"/>
  <c r="I55" i="123"/>
  <c r="V54" i="123"/>
  <c r="U54" i="123"/>
  <c r="S54" i="123"/>
  <c r="R54" i="123"/>
  <c r="J54" i="123"/>
  <c r="I54" i="123"/>
  <c r="W54" i="123" s="1"/>
  <c r="U53" i="123"/>
  <c r="V53" i="123" s="1"/>
  <c r="S53" i="123"/>
  <c r="R53" i="123"/>
  <c r="J53" i="123"/>
  <c r="I53" i="123"/>
  <c r="W53" i="123" s="1"/>
  <c r="V52" i="123"/>
  <c r="U52" i="123"/>
  <c r="S52" i="123"/>
  <c r="R52" i="123"/>
  <c r="J52" i="123"/>
  <c r="I52" i="123"/>
  <c r="W52" i="123" s="1"/>
  <c r="V51" i="123"/>
  <c r="U51" i="123"/>
  <c r="S51" i="123"/>
  <c r="R51" i="123"/>
  <c r="J51" i="123"/>
  <c r="I51" i="123"/>
  <c r="U50" i="123"/>
  <c r="V50" i="123" s="1"/>
  <c r="S50" i="123"/>
  <c r="R50" i="123"/>
  <c r="J50" i="123"/>
  <c r="I50" i="123"/>
  <c r="W50" i="123" s="1"/>
  <c r="V49" i="123"/>
  <c r="U49" i="123"/>
  <c r="S49" i="123"/>
  <c r="R49" i="123"/>
  <c r="J49" i="123"/>
  <c r="I49" i="123"/>
  <c r="W49" i="123" s="1"/>
  <c r="V48" i="123"/>
  <c r="U48" i="123"/>
  <c r="S48" i="123"/>
  <c r="R48" i="123"/>
  <c r="J48" i="123"/>
  <c r="I48" i="123"/>
  <c r="W48" i="123" s="1"/>
  <c r="U47" i="123"/>
  <c r="V47" i="123" s="1"/>
  <c r="S47" i="123"/>
  <c r="R47" i="123"/>
  <c r="J47" i="123"/>
  <c r="I47" i="123"/>
  <c r="W47" i="123" s="1"/>
  <c r="V46" i="123"/>
  <c r="U46" i="123"/>
  <c r="S46" i="123"/>
  <c r="R46" i="123"/>
  <c r="J46" i="123"/>
  <c r="I46" i="123"/>
  <c r="W46" i="123" s="1"/>
  <c r="S45" i="123"/>
  <c r="R45" i="123"/>
  <c r="J45" i="123"/>
  <c r="I45" i="123"/>
  <c r="W44" i="123"/>
  <c r="U44" i="123"/>
  <c r="V44" i="123" s="1"/>
  <c r="S44" i="123"/>
  <c r="R44" i="123"/>
  <c r="J44" i="123"/>
  <c r="I44" i="123"/>
  <c r="S43" i="123"/>
  <c r="R43" i="123"/>
  <c r="J43" i="123"/>
  <c r="I43" i="123"/>
  <c r="W42" i="123"/>
  <c r="V42" i="123"/>
  <c r="U42" i="123"/>
  <c r="S42" i="123"/>
  <c r="R42" i="123"/>
  <c r="J42" i="123"/>
  <c r="I42" i="123"/>
  <c r="V41" i="123"/>
  <c r="U41" i="123"/>
  <c r="S41" i="123"/>
  <c r="R41" i="123"/>
  <c r="J41" i="123"/>
  <c r="W41" i="123" s="1"/>
  <c r="I41" i="123"/>
  <c r="U40" i="123"/>
  <c r="V40" i="123" s="1"/>
  <c r="S40" i="123"/>
  <c r="R40" i="123"/>
  <c r="J40" i="123"/>
  <c r="W40" i="123" s="1"/>
  <c r="I40" i="123"/>
  <c r="W39" i="123"/>
  <c r="V39" i="123"/>
  <c r="U39" i="123"/>
  <c r="S39" i="123"/>
  <c r="R39" i="123"/>
  <c r="J39" i="123"/>
  <c r="I39" i="123"/>
  <c r="V38" i="123"/>
  <c r="U38" i="123"/>
  <c r="S38" i="123"/>
  <c r="R38" i="123"/>
  <c r="J38" i="123"/>
  <c r="I38" i="123"/>
  <c r="W38" i="123" s="1"/>
  <c r="U37" i="123"/>
  <c r="V37" i="123" s="1"/>
  <c r="S37" i="123"/>
  <c r="R37" i="123"/>
  <c r="J37" i="123"/>
  <c r="W37" i="123" s="1"/>
  <c r="I37" i="123"/>
  <c r="W36" i="123"/>
  <c r="V36" i="123"/>
  <c r="U36" i="123"/>
  <c r="S36" i="123"/>
  <c r="R36" i="123"/>
  <c r="J36" i="123"/>
  <c r="I36" i="123"/>
  <c r="V35" i="123"/>
  <c r="U35" i="123"/>
  <c r="S35" i="123"/>
  <c r="R35" i="123"/>
  <c r="J35" i="123"/>
  <c r="I35" i="123"/>
  <c r="W35" i="123" s="1"/>
  <c r="U34" i="123"/>
  <c r="V34" i="123" s="1"/>
  <c r="S34" i="123"/>
  <c r="R34" i="123"/>
  <c r="J34" i="123"/>
  <c r="W34" i="123" s="1"/>
  <c r="I34" i="123"/>
  <c r="W33" i="123"/>
  <c r="V33" i="123"/>
  <c r="U33" i="123"/>
  <c r="S33" i="123"/>
  <c r="R33" i="123"/>
  <c r="J33" i="123"/>
  <c r="I33" i="123"/>
  <c r="V32" i="123"/>
  <c r="U32" i="123"/>
  <c r="S32" i="123"/>
  <c r="R32" i="123"/>
  <c r="J32" i="123"/>
  <c r="I32" i="123"/>
  <c r="U31" i="123"/>
  <c r="V31" i="123" s="1"/>
  <c r="S31" i="123"/>
  <c r="R31" i="123"/>
  <c r="J31" i="123"/>
  <c r="W31" i="123" s="1"/>
  <c r="I31" i="123"/>
  <c r="W30" i="123"/>
  <c r="V30" i="123"/>
  <c r="U30" i="123"/>
  <c r="S30" i="123"/>
  <c r="R30" i="123"/>
  <c r="J30" i="123"/>
  <c r="I30" i="123"/>
  <c r="V29" i="123"/>
  <c r="U29" i="123"/>
  <c r="S29" i="123"/>
  <c r="R29" i="123"/>
  <c r="J29" i="123"/>
  <c r="I29" i="123"/>
  <c r="U28" i="123"/>
  <c r="V28" i="123" s="1"/>
  <c r="S28" i="123"/>
  <c r="R28" i="123"/>
  <c r="J28" i="123"/>
  <c r="W28" i="123" s="1"/>
  <c r="I28" i="123"/>
  <c r="A28" i="123"/>
  <c r="A29" i="123" s="1"/>
  <c r="A30" i="123" s="1"/>
  <c r="A31" i="123" s="1"/>
  <c r="A32" i="123" s="1"/>
  <c r="A33" i="123" s="1"/>
  <c r="A34" i="123" s="1"/>
  <c r="A35" i="123" s="1"/>
  <c r="A36" i="123" s="1"/>
  <c r="A37" i="123" s="1"/>
  <c r="A38" i="123" s="1"/>
  <c r="A39" i="123" s="1"/>
  <c r="A40" i="123" s="1"/>
  <c r="A41" i="123" s="1"/>
  <c r="A42" i="123" s="1"/>
  <c r="A43" i="123" s="1"/>
  <c r="A44" i="123" s="1"/>
  <c r="A45" i="123" s="1"/>
  <c r="A46" i="123" s="1"/>
  <c r="A47" i="123" s="1"/>
  <c r="A48" i="123" s="1"/>
  <c r="A49" i="123" s="1"/>
  <c r="A50" i="123" s="1"/>
  <c r="A51" i="123" s="1"/>
  <c r="A52" i="123" s="1"/>
  <c r="A53" i="123" s="1"/>
  <c r="A54" i="123" s="1"/>
  <c r="A55" i="123" s="1"/>
  <c r="A56" i="123" s="1"/>
  <c r="A57" i="123" s="1"/>
  <c r="A58" i="123" s="1"/>
  <c r="A59" i="123" s="1"/>
  <c r="W27" i="123"/>
  <c r="V27" i="123"/>
  <c r="U27" i="123"/>
  <c r="S27" i="123"/>
  <c r="R27" i="123"/>
  <c r="J27" i="123"/>
  <c r="I27" i="123"/>
  <c r="BE26" i="123"/>
  <c r="W26" i="123"/>
  <c r="U26" i="123"/>
  <c r="V26" i="123" s="1"/>
  <c r="S26" i="123"/>
  <c r="R26" i="123"/>
  <c r="J26" i="123"/>
  <c r="I26" i="123"/>
  <c r="U25" i="123"/>
  <c r="V25" i="123" s="1"/>
  <c r="S25" i="123"/>
  <c r="R25" i="123"/>
  <c r="J25" i="123"/>
  <c r="I25" i="123"/>
  <c r="W25" i="123" s="1"/>
  <c r="W24" i="123"/>
  <c r="U24" i="123"/>
  <c r="V24" i="123" s="1"/>
  <c r="S24" i="123"/>
  <c r="R24" i="123"/>
  <c r="J24" i="123"/>
  <c r="I24" i="123"/>
  <c r="W23" i="123"/>
  <c r="U23" i="123"/>
  <c r="V23" i="123" s="1"/>
  <c r="S23" i="123"/>
  <c r="R23" i="123"/>
  <c r="J23" i="123"/>
  <c r="I23" i="123"/>
  <c r="U22" i="123"/>
  <c r="V22" i="123" s="1"/>
  <c r="S22" i="123"/>
  <c r="R22" i="123"/>
  <c r="J22" i="123"/>
  <c r="I22" i="123"/>
  <c r="W22" i="123" s="1"/>
  <c r="W21" i="123"/>
  <c r="U21" i="123"/>
  <c r="V21" i="123" s="1"/>
  <c r="S21" i="123"/>
  <c r="R21" i="123"/>
  <c r="J21" i="123"/>
  <c r="I21" i="123"/>
  <c r="W20" i="123"/>
  <c r="U20" i="123"/>
  <c r="V20" i="123" s="1"/>
  <c r="S20" i="123"/>
  <c r="R20" i="123"/>
  <c r="J20" i="123"/>
  <c r="I20" i="123"/>
  <c r="U19" i="123"/>
  <c r="V19" i="123" s="1"/>
  <c r="S19" i="123"/>
  <c r="R19" i="123"/>
  <c r="J19" i="123"/>
  <c r="I19" i="123"/>
  <c r="W19" i="123" s="1"/>
  <c r="W18" i="123"/>
  <c r="U18" i="123"/>
  <c r="V18" i="123" s="1"/>
  <c r="S18" i="123"/>
  <c r="R18" i="123"/>
  <c r="J18" i="123"/>
  <c r="I18" i="123"/>
  <c r="W17" i="123"/>
  <c r="U17" i="123"/>
  <c r="V17" i="123" s="1"/>
  <c r="S17" i="123"/>
  <c r="R17" i="123"/>
  <c r="J17" i="123"/>
  <c r="I17" i="123"/>
  <c r="U16" i="123"/>
  <c r="V16" i="123" s="1"/>
  <c r="S16" i="123"/>
  <c r="R16" i="123"/>
  <c r="J16" i="123"/>
  <c r="I16" i="123"/>
  <c r="W16" i="123" s="1"/>
  <c r="W15" i="123"/>
  <c r="U15" i="123"/>
  <c r="V15" i="123" s="1"/>
  <c r="S15" i="123"/>
  <c r="R15" i="123"/>
  <c r="J15" i="123"/>
  <c r="I15" i="123"/>
  <c r="W14" i="123"/>
  <c r="U14" i="123"/>
  <c r="V14" i="123" s="1"/>
  <c r="S14" i="123"/>
  <c r="R14" i="123"/>
  <c r="J14" i="123"/>
  <c r="I14" i="123"/>
  <c r="U13" i="123"/>
  <c r="V13" i="123" s="1"/>
  <c r="S13" i="123"/>
  <c r="R13" i="123"/>
  <c r="J13" i="123"/>
  <c r="I13" i="123"/>
  <c r="W13" i="123" s="1"/>
  <c r="W12" i="123"/>
  <c r="U12" i="123"/>
  <c r="V12" i="123" s="1"/>
  <c r="S12" i="123"/>
  <c r="R12" i="123"/>
  <c r="J12" i="123"/>
  <c r="I12" i="123"/>
  <c r="W11" i="123"/>
  <c r="U11" i="123"/>
  <c r="V11" i="123" s="1"/>
  <c r="S11" i="123"/>
  <c r="R11" i="123"/>
  <c r="J11" i="123"/>
  <c r="I11" i="123"/>
  <c r="U10" i="123"/>
  <c r="V10" i="123" s="1"/>
  <c r="S10" i="123"/>
  <c r="R10" i="123"/>
  <c r="J10" i="123"/>
  <c r="I10" i="123"/>
  <c r="W10" i="123" s="1"/>
  <c r="A10" i="123"/>
  <c r="A11" i="123" s="1"/>
  <c r="A12" i="123" s="1"/>
  <c r="A13" i="123" s="1"/>
  <c r="A14" i="123" s="1"/>
  <c r="A15" i="123" s="1"/>
  <c r="A16" i="123" s="1"/>
  <c r="A17" i="123" s="1"/>
  <c r="A18" i="123" s="1"/>
  <c r="A19" i="123" s="1"/>
  <c r="A20" i="123" s="1"/>
  <c r="A21" i="123" s="1"/>
  <c r="A22" i="123" s="1"/>
  <c r="A23" i="123" s="1"/>
  <c r="A24" i="123" s="1"/>
  <c r="A25" i="123" s="1"/>
  <c r="A26" i="123" s="1"/>
  <c r="A27" i="123" s="1"/>
  <c r="W9" i="123"/>
  <c r="U9" i="123"/>
  <c r="V9" i="123" s="1"/>
  <c r="S9" i="123"/>
  <c r="R9" i="123"/>
  <c r="J9" i="123"/>
  <c r="I9" i="123"/>
  <c r="A9" i="123"/>
  <c r="W8" i="123"/>
  <c r="U8" i="123"/>
  <c r="V8" i="123" s="1"/>
  <c r="S8" i="123"/>
  <c r="R8" i="123"/>
  <c r="J8" i="123"/>
  <c r="I8" i="123"/>
  <c r="W60" i="141" l="1"/>
  <c r="W41" i="140"/>
  <c r="W38" i="140"/>
  <c r="W35" i="140"/>
  <c r="W24" i="140"/>
  <c r="J60" i="140"/>
  <c r="W12" i="140"/>
  <c r="R60" i="140"/>
  <c r="W48" i="138"/>
  <c r="W41" i="138"/>
  <c r="W38" i="138"/>
  <c r="W35" i="138"/>
  <c r="W30" i="138"/>
  <c r="W26" i="138"/>
  <c r="W24" i="138"/>
  <c r="W23" i="138"/>
  <c r="W14" i="138"/>
  <c r="W13" i="138"/>
  <c r="V8" i="140"/>
  <c r="V60" i="140" s="1"/>
  <c r="U60" i="140"/>
  <c r="W8" i="140"/>
  <c r="W60" i="140" s="1"/>
  <c r="I60" i="140"/>
  <c r="W48" i="137"/>
  <c r="W44" i="137"/>
  <c r="W41" i="137"/>
  <c r="W38" i="137"/>
  <c r="W30" i="137"/>
  <c r="W26" i="137"/>
  <c r="W24" i="137"/>
  <c r="W23" i="137"/>
  <c r="W20" i="137"/>
  <c r="J60" i="137"/>
  <c r="W14" i="137"/>
  <c r="S60" i="137"/>
  <c r="W13" i="137"/>
  <c r="W12" i="137"/>
  <c r="R60" i="137"/>
  <c r="W48" i="136"/>
  <c r="W44" i="136"/>
  <c r="W35" i="136"/>
  <c r="W26" i="136"/>
  <c r="W24" i="136"/>
  <c r="J60" i="136"/>
  <c r="W20" i="136"/>
  <c r="S60" i="136"/>
  <c r="W13" i="136"/>
  <c r="W12" i="136"/>
  <c r="R60" i="136"/>
  <c r="W48" i="135"/>
  <c r="W41" i="135"/>
  <c r="W38" i="135"/>
  <c r="W35" i="135"/>
  <c r="W24" i="135"/>
  <c r="W23" i="135"/>
  <c r="W20" i="135"/>
  <c r="R60" i="135"/>
  <c r="W48" i="139"/>
  <c r="W44" i="139"/>
  <c r="W41" i="139"/>
  <c r="W38" i="139"/>
  <c r="W26" i="139"/>
  <c r="W23" i="139"/>
  <c r="W21" i="139"/>
  <c r="W20" i="139"/>
  <c r="W14" i="139"/>
  <c r="W12" i="139"/>
  <c r="R60" i="139"/>
  <c r="V8" i="139"/>
  <c r="V60" i="139" s="1"/>
  <c r="U60" i="139"/>
  <c r="I60" i="139"/>
  <c r="W8" i="139"/>
  <c r="W60" i="139" s="1"/>
  <c r="W49" i="133"/>
  <c r="W41" i="133"/>
  <c r="R60" i="133"/>
  <c r="J60" i="133"/>
  <c r="W20" i="133"/>
  <c r="W13" i="133"/>
  <c r="W12" i="133"/>
  <c r="V8" i="138"/>
  <c r="V60" i="138" s="1"/>
  <c r="U60" i="138"/>
  <c r="I60" i="138"/>
  <c r="W8" i="138"/>
  <c r="V8" i="137"/>
  <c r="V60" i="137" s="1"/>
  <c r="U60" i="137"/>
  <c r="W8" i="137"/>
  <c r="I60" i="137"/>
  <c r="U60" i="136"/>
  <c r="V8" i="136"/>
  <c r="V60" i="136" s="1"/>
  <c r="I60" i="136"/>
  <c r="W8" i="136"/>
  <c r="W60" i="136" s="1"/>
  <c r="V8" i="135"/>
  <c r="V60" i="135" s="1"/>
  <c r="U60" i="135"/>
  <c r="W8" i="135"/>
  <c r="W60" i="135" s="1"/>
  <c r="I60" i="135"/>
  <c r="V8" i="134"/>
  <c r="V60" i="134" s="1"/>
  <c r="U60" i="134"/>
  <c r="I60" i="134"/>
  <c r="W8" i="134"/>
  <c r="W60" i="134" s="1"/>
  <c r="W48" i="132"/>
  <c r="W44" i="132"/>
  <c r="W41" i="132"/>
  <c r="J60" i="132"/>
  <c r="W35" i="132"/>
  <c r="W30" i="132"/>
  <c r="W24" i="132"/>
  <c r="W14" i="132"/>
  <c r="W13" i="132"/>
  <c r="R60" i="132"/>
  <c r="W41" i="129"/>
  <c r="W38" i="129"/>
  <c r="W24" i="129"/>
  <c r="W12" i="129"/>
  <c r="W41" i="130"/>
  <c r="W38" i="130"/>
  <c r="W26" i="130"/>
  <c r="W23" i="130"/>
  <c r="W20" i="130"/>
  <c r="W12" i="130"/>
  <c r="R60" i="130"/>
  <c r="V8" i="133"/>
  <c r="V60" i="133" s="1"/>
  <c r="U60" i="133"/>
  <c r="W8" i="133"/>
  <c r="W60" i="133" s="1"/>
  <c r="I60" i="133"/>
  <c r="V8" i="132"/>
  <c r="V60" i="132" s="1"/>
  <c r="U60" i="132"/>
  <c r="I60" i="132"/>
  <c r="W8" i="132"/>
  <c r="W60" i="132" s="1"/>
  <c r="W44" i="131"/>
  <c r="W35" i="131"/>
  <c r="W30" i="131"/>
  <c r="W26" i="131"/>
  <c r="W24" i="131"/>
  <c r="W23" i="131"/>
  <c r="W21" i="131"/>
  <c r="W20" i="131"/>
  <c r="W12" i="131"/>
  <c r="R60" i="131"/>
  <c r="W48" i="128"/>
  <c r="W41" i="128"/>
  <c r="W38" i="128"/>
  <c r="W49" i="128"/>
  <c r="W26" i="128"/>
  <c r="W25" i="128"/>
  <c r="W24" i="128"/>
  <c r="W23" i="128"/>
  <c r="W22" i="128"/>
  <c r="R60" i="128"/>
  <c r="J60" i="128"/>
  <c r="W42" i="127"/>
  <c r="W41" i="127"/>
  <c r="W39" i="127"/>
  <c r="W38" i="127"/>
  <c r="W33" i="127"/>
  <c r="W30" i="127"/>
  <c r="W22" i="127"/>
  <c r="W21" i="127"/>
  <c r="C60" i="127"/>
  <c r="I13" i="127"/>
  <c r="W12" i="127"/>
  <c r="W10" i="127"/>
  <c r="W8" i="127"/>
  <c r="V8" i="131"/>
  <c r="V60" i="131" s="1"/>
  <c r="U60" i="131"/>
  <c r="W8" i="131"/>
  <c r="I60" i="131"/>
  <c r="U60" i="130"/>
  <c r="V8" i="130"/>
  <c r="V60" i="130" s="1"/>
  <c r="I60" i="130"/>
  <c r="W8" i="130"/>
  <c r="V8" i="129"/>
  <c r="V60" i="129" s="1"/>
  <c r="U60" i="129"/>
  <c r="I60" i="129"/>
  <c r="W8" i="129"/>
  <c r="A50" i="126"/>
  <c r="A51" i="126" s="1"/>
  <c r="A52" i="126" s="1"/>
  <c r="A53" i="126" s="1"/>
  <c r="A54" i="126" s="1"/>
  <c r="A55" i="126" s="1"/>
  <c r="A56" i="126" s="1"/>
  <c r="A57" i="126" s="1"/>
  <c r="A58" i="126" s="1"/>
  <c r="A59" i="126" s="1"/>
  <c r="W48" i="126"/>
  <c r="W44" i="126"/>
  <c r="W41" i="126"/>
  <c r="W38" i="126"/>
  <c r="W35" i="126"/>
  <c r="W33" i="126"/>
  <c r="W30" i="126"/>
  <c r="W24" i="126"/>
  <c r="W21" i="126"/>
  <c r="W20" i="126"/>
  <c r="W14" i="126"/>
  <c r="U60" i="126"/>
  <c r="W13" i="126"/>
  <c r="W8" i="126"/>
  <c r="C60" i="125"/>
  <c r="I44" i="125"/>
  <c r="W41" i="125"/>
  <c r="W35" i="125"/>
  <c r="W26" i="125"/>
  <c r="W23" i="125"/>
  <c r="S60" i="125"/>
  <c r="V60" i="125"/>
  <c r="W8" i="125"/>
  <c r="W51" i="123"/>
  <c r="W24" i="124"/>
  <c r="W9" i="124"/>
  <c r="W8" i="122"/>
  <c r="J60" i="122"/>
  <c r="V60" i="124"/>
  <c r="W32" i="123"/>
  <c r="I60" i="123"/>
  <c r="I60" i="117"/>
  <c r="W15" i="124"/>
  <c r="S60" i="124"/>
  <c r="R60" i="119"/>
  <c r="J60" i="123"/>
  <c r="R60" i="117"/>
  <c r="U60" i="118"/>
  <c r="I60" i="119"/>
  <c r="R60" i="123"/>
  <c r="S60" i="117"/>
  <c r="W16" i="117"/>
  <c r="W60" i="117" s="1"/>
  <c r="W25" i="117"/>
  <c r="U60" i="117"/>
  <c r="V28" i="117"/>
  <c r="J60" i="118"/>
  <c r="U60" i="119"/>
  <c r="V8" i="119"/>
  <c r="V60" i="119" s="1"/>
  <c r="I60" i="124"/>
  <c r="R60" i="120"/>
  <c r="U60" i="123"/>
  <c r="S60" i="123"/>
  <c r="V60" i="123"/>
  <c r="W29" i="123"/>
  <c r="W60" i="123" s="1"/>
  <c r="V60" i="117"/>
  <c r="S60" i="118"/>
  <c r="J60" i="124"/>
  <c r="V60" i="118"/>
  <c r="W35" i="118"/>
  <c r="W60" i="118" s="1"/>
  <c r="I60" i="118"/>
  <c r="R60" i="124"/>
  <c r="W35" i="119"/>
  <c r="W60" i="119" s="1"/>
  <c r="V60" i="120"/>
  <c r="S60" i="119"/>
  <c r="S60" i="120"/>
  <c r="I60" i="122"/>
  <c r="U60" i="127"/>
  <c r="V60" i="127"/>
  <c r="W10" i="124"/>
  <c r="W60" i="124" s="1"/>
  <c r="W31" i="121"/>
  <c r="W40" i="121"/>
  <c r="R60" i="122"/>
  <c r="W9" i="125"/>
  <c r="W47" i="125"/>
  <c r="U60" i="128"/>
  <c r="J60" i="127"/>
  <c r="V60" i="128"/>
  <c r="S60" i="128"/>
  <c r="I60" i="121"/>
  <c r="J60" i="121"/>
  <c r="V60" i="122"/>
  <c r="W13" i="128"/>
  <c r="R60" i="121"/>
  <c r="W20" i="122"/>
  <c r="U60" i="124"/>
  <c r="W34" i="121"/>
  <c r="U60" i="121"/>
  <c r="I60" i="126"/>
  <c r="V60" i="121"/>
  <c r="J60" i="126"/>
  <c r="I60" i="120"/>
  <c r="W44" i="120"/>
  <c r="W60" i="120" s="1"/>
  <c r="W14" i="122"/>
  <c r="W23" i="122"/>
  <c r="J60" i="125"/>
  <c r="R60" i="126"/>
  <c r="W16" i="128"/>
  <c r="J60" i="119"/>
  <c r="J60" i="120"/>
  <c r="W28" i="121"/>
  <c r="W37" i="121"/>
  <c r="W60" i="121" s="1"/>
  <c r="R60" i="125"/>
  <c r="W53" i="125"/>
  <c r="S60" i="126"/>
  <c r="R60" i="127"/>
  <c r="I60" i="128"/>
  <c r="W8" i="128"/>
  <c r="U60" i="122"/>
  <c r="V8" i="126"/>
  <c r="V60" i="126" s="1"/>
  <c r="U60" i="120"/>
  <c r="U60" i="125"/>
  <c r="W60" i="138" l="1"/>
  <c r="W60" i="137"/>
  <c r="W60" i="129"/>
  <c r="W60" i="130"/>
  <c r="W60" i="131"/>
  <c r="W13" i="127"/>
  <c r="W60" i="127" s="1"/>
  <c r="I60" i="127"/>
  <c r="W60" i="126"/>
  <c r="W44" i="125"/>
  <c r="I60" i="125"/>
  <c r="W60" i="125"/>
  <c r="W60" i="128"/>
  <c r="W60" i="12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U5" authorId="0" shapeId="0" xr:uid="{00000000-0006-0000-0000-000001000000}">
      <text>
        <r>
          <rPr>
            <b/>
            <sz val="9"/>
            <rFont val="Tahoma"/>
            <charset val="1"/>
          </rPr>
          <t>User:</t>
        </r>
        <r>
          <rPr>
            <sz val="9"/>
            <rFont val="Tahoma"/>
            <charset val="1"/>
          </rPr>
          <t xml:space="preserve">
Total Inventory 
Bottle Per Case
All Route</t>
        </r>
      </text>
    </comment>
    <comment ref="V5" authorId="0" shapeId="0" xr:uid="{00000000-0006-0000-0000-000002000000}">
      <text>
        <r>
          <rPr>
            <b/>
            <sz val="9"/>
            <rFont val="Tahoma"/>
            <charset val="1"/>
          </rPr>
          <t>User:</t>
        </r>
        <r>
          <rPr>
            <sz val="9"/>
            <rFont val="Tahoma"/>
            <charset val="1"/>
          </rPr>
          <t xml:space="preserve">
Total Inventory
Per Case</t>
        </r>
      </text>
    </comment>
    <comment ref="W5" authorId="0" shapeId="0" xr:uid="{00000000-0006-0000-0000-000003000000}">
      <text>
        <r>
          <rPr>
            <b/>
            <sz val="9"/>
            <rFont val="Tahoma"/>
            <charset val="1"/>
          </rPr>
          <t>User:</t>
        </r>
        <r>
          <rPr>
            <sz val="9"/>
            <rFont val="Tahoma"/>
            <charset val="1"/>
          </rPr>
          <t xml:space="preserve">
Total Ending Inventory
Bottle Per Case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U5" authorId="0" shapeId="0" xr:uid="{00000000-0006-0000-0100-000001000000}">
      <text>
        <r>
          <rPr>
            <b/>
            <sz val="9"/>
            <rFont val="Tahoma"/>
            <charset val="1"/>
          </rPr>
          <t>User:</t>
        </r>
        <r>
          <rPr>
            <sz val="9"/>
            <rFont val="Tahoma"/>
            <charset val="1"/>
          </rPr>
          <t xml:space="preserve">
Total Inventory 
Bottle Per Case
All Route</t>
        </r>
      </text>
    </comment>
    <comment ref="V5" authorId="0" shapeId="0" xr:uid="{00000000-0006-0000-0100-000002000000}">
      <text>
        <r>
          <rPr>
            <b/>
            <sz val="9"/>
            <rFont val="Tahoma"/>
            <charset val="1"/>
          </rPr>
          <t>User:</t>
        </r>
        <r>
          <rPr>
            <sz val="9"/>
            <rFont val="Tahoma"/>
            <charset val="1"/>
          </rPr>
          <t xml:space="preserve">
Total Inventory
Per Case</t>
        </r>
      </text>
    </comment>
    <comment ref="W5" authorId="0" shapeId="0" xr:uid="{00000000-0006-0000-0100-000003000000}">
      <text>
        <r>
          <rPr>
            <b/>
            <sz val="9"/>
            <rFont val="Tahoma"/>
            <charset val="1"/>
          </rPr>
          <t>User:</t>
        </r>
        <r>
          <rPr>
            <sz val="9"/>
            <rFont val="Tahoma"/>
            <charset val="1"/>
          </rPr>
          <t xml:space="preserve">
Total Ending Inventory
Bottle Per Case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U5" authorId="0" shapeId="0" xr:uid="{00000000-0006-0000-0200-000001000000}">
      <text>
        <r>
          <rPr>
            <b/>
            <sz val="9"/>
            <rFont val="Tahoma"/>
            <charset val="1"/>
          </rPr>
          <t>User:</t>
        </r>
        <r>
          <rPr>
            <sz val="9"/>
            <rFont val="Tahoma"/>
            <charset val="1"/>
          </rPr>
          <t xml:space="preserve">
Total Inventory 
Bottle Per Case
All Route</t>
        </r>
      </text>
    </comment>
    <comment ref="V5" authorId="0" shapeId="0" xr:uid="{00000000-0006-0000-0200-000002000000}">
      <text>
        <r>
          <rPr>
            <b/>
            <sz val="9"/>
            <rFont val="Tahoma"/>
            <charset val="1"/>
          </rPr>
          <t>User:</t>
        </r>
        <r>
          <rPr>
            <sz val="9"/>
            <rFont val="Tahoma"/>
            <charset val="1"/>
          </rPr>
          <t xml:space="preserve">
Total Inventory
Per Case</t>
        </r>
      </text>
    </comment>
    <comment ref="W5" authorId="0" shapeId="0" xr:uid="{00000000-0006-0000-0200-000003000000}">
      <text>
        <r>
          <rPr>
            <b/>
            <sz val="9"/>
            <rFont val="Tahoma"/>
            <charset val="1"/>
          </rPr>
          <t>User:</t>
        </r>
        <r>
          <rPr>
            <sz val="9"/>
            <rFont val="Tahoma"/>
            <charset val="1"/>
          </rPr>
          <t xml:space="preserve">
Total Ending Inventory
Bottle Per Case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U5" authorId="0" shapeId="0" xr:uid="{00000000-0006-0000-0300-000001000000}">
      <text>
        <r>
          <rPr>
            <b/>
            <sz val="9"/>
            <rFont val="Tahoma"/>
            <charset val="1"/>
          </rPr>
          <t>User:</t>
        </r>
        <r>
          <rPr>
            <sz val="9"/>
            <rFont val="Tahoma"/>
            <charset val="1"/>
          </rPr>
          <t xml:space="preserve">
Total Inventory 
Bottle Per Case
All Route</t>
        </r>
      </text>
    </comment>
    <comment ref="V5" authorId="0" shapeId="0" xr:uid="{00000000-0006-0000-0300-000002000000}">
      <text>
        <r>
          <rPr>
            <b/>
            <sz val="9"/>
            <rFont val="Tahoma"/>
            <charset val="1"/>
          </rPr>
          <t>User:</t>
        </r>
        <r>
          <rPr>
            <sz val="9"/>
            <rFont val="Tahoma"/>
            <charset val="1"/>
          </rPr>
          <t xml:space="preserve">
Total Inventory
Per Case</t>
        </r>
      </text>
    </comment>
    <comment ref="W5" authorId="0" shapeId="0" xr:uid="{00000000-0006-0000-0300-000003000000}">
      <text>
        <r>
          <rPr>
            <b/>
            <sz val="9"/>
            <rFont val="Tahoma"/>
            <charset val="1"/>
          </rPr>
          <t>User:</t>
        </r>
        <r>
          <rPr>
            <sz val="9"/>
            <rFont val="Tahoma"/>
            <charset val="1"/>
          </rPr>
          <t xml:space="preserve">
Total Ending Inventory
Bottle Per Case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U5" authorId="0" shapeId="0" xr:uid="{00000000-0006-0000-0400-000001000000}">
      <text>
        <r>
          <rPr>
            <b/>
            <sz val="9"/>
            <rFont val="Tahoma"/>
            <charset val="1"/>
          </rPr>
          <t>User:</t>
        </r>
        <r>
          <rPr>
            <sz val="9"/>
            <rFont val="Tahoma"/>
            <charset val="1"/>
          </rPr>
          <t xml:space="preserve">
Total Inventory 
Bottle Per Case
All Route</t>
        </r>
      </text>
    </comment>
    <comment ref="V5" authorId="0" shapeId="0" xr:uid="{00000000-0006-0000-0400-000002000000}">
      <text>
        <r>
          <rPr>
            <b/>
            <sz val="9"/>
            <rFont val="Tahoma"/>
            <charset val="1"/>
          </rPr>
          <t>User:</t>
        </r>
        <r>
          <rPr>
            <sz val="9"/>
            <rFont val="Tahoma"/>
            <charset val="1"/>
          </rPr>
          <t xml:space="preserve">
Total Inventory
Per Case</t>
        </r>
      </text>
    </comment>
    <comment ref="W5" authorId="0" shapeId="0" xr:uid="{00000000-0006-0000-0400-000003000000}">
      <text>
        <r>
          <rPr>
            <b/>
            <sz val="9"/>
            <rFont val="Tahoma"/>
            <charset val="1"/>
          </rPr>
          <t>User:</t>
        </r>
        <r>
          <rPr>
            <sz val="9"/>
            <rFont val="Tahoma"/>
            <charset val="1"/>
          </rPr>
          <t xml:space="preserve">
Total Ending Inventory
Bottle Per Case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U5" authorId="0" shapeId="0" xr:uid="{00000000-0006-0000-0500-000001000000}">
      <text>
        <r>
          <rPr>
            <b/>
            <sz val="9"/>
            <rFont val="Tahoma"/>
            <charset val="1"/>
          </rPr>
          <t>User:</t>
        </r>
        <r>
          <rPr>
            <sz val="9"/>
            <rFont val="Tahoma"/>
            <charset val="1"/>
          </rPr>
          <t xml:space="preserve">
Total Inventory 
Bottle Per Case
All Route</t>
        </r>
      </text>
    </comment>
    <comment ref="V5" authorId="0" shapeId="0" xr:uid="{00000000-0006-0000-0500-000002000000}">
      <text>
        <r>
          <rPr>
            <b/>
            <sz val="9"/>
            <rFont val="Tahoma"/>
            <charset val="1"/>
          </rPr>
          <t>User:</t>
        </r>
        <r>
          <rPr>
            <sz val="9"/>
            <rFont val="Tahoma"/>
            <charset val="1"/>
          </rPr>
          <t xml:space="preserve">
Total Inventory
Per Case</t>
        </r>
      </text>
    </comment>
    <comment ref="W5" authorId="0" shapeId="0" xr:uid="{00000000-0006-0000-0500-000003000000}">
      <text>
        <r>
          <rPr>
            <b/>
            <sz val="9"/>
            <rFont val="Tahoma"/>
            <charset val="1"/>
          </rPr>
          <t>User:</t>
        </r>
        <r>
          <rPr>
            <sz val="9"/>
            <rFont val="Tahoma"/>
            <charset val="1"/>
          </rPr>
          <t xml:space="preserve">
Total Ending Inventory
Bottle Per Case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U5" authorId="0" shapeId="0" xr:uid="{00000000-0006-0000-0600-000001000000}">
      <text>
        <r>
          <rPr>
            <b/>
            <sz val="9"/>
            <rFont val="Tahoma"/>
            <charset val="1"/>
          </rPr>
          <t>User:</t>
        </r>
        <r>
          <rPr>
            <sz val="9"/>
            <rFont val="Tahoma"/>
            <charset val="1"/>
          </rPr>
          <t xml:space="preserve">
Total Inventory 
Bottle Per Case
All Route</t>
        </r>
      </text>
    </comment>
    <comment ref="V5" authorId="0" shapeId="0" xr:uid="{00000000-0006-0000-0600-000002000000}">
      <text>
        <r>
          <rPr>
            <b/>
            <sz val="9"/>
            <rFont val="Tahoma"/>
            <charset val="1"/>
          </rPr>
          <t>User:</t>
        </r>
        <r>
          <rPr>
            <sz val="9"/>
            <rFont val="Tahoma"/>
            <charset val="1"/>
          </rPr>
          <t xml:space="preserve">
Total Inventory
Per Case</t>
        </r>
      </text>
    </comment>
    <comment ref="W5" authorId="0" shapeId="0" xr:uid="{00000000-0006-0000-0600-000003000000}">
      <text>
        <r>
          <rPr>
            <b/>
            <sz val="9"/>
            <rFont val="Tahoma"/>
            <charset val="1"/>
          </rPr>
          <t>User:</t>
        </r>
        <r>
          <rPr>
            <sz val="9"/>
            <rFont val="Tahoma"/>
            <charset val="1"/>
          </rPr>
          <t xml:space="preserve">
Total Ending Inventory
Bottle Per Case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U5" authorId="0" shapeId="0" xr:uid="{00000000-0006-0000-0700-000001000000}">
      <text>
        <r>
          <rPr>
            <b/>
            <sz val="9"/>
            <rFont val="Tahoma"/>
            <charset val="1"/>
          </rPr>
          <t>User:</t>
        </r>
        <r>
          <rPr>
            <sz val="9"/>
            <rFont val="Tahoma"/>
            <charset val="1"/>
          </rPr>
          <t xml:space="preserve">
Total Inventory 
Bottle Per Case
All Route</t>
        </r>
      </text>
    </comment>
    <comment ref="V5" authorId="0" shapeId="0" xr:uid="{00000000-0006-0000-0700-000002000000}">
      <text>
        <r>
          <rPr>
            <b/>
            <sz val="9"/>
            <rFont val="Tahoma"/>
            <charset val="1"/>
          </rPr>
          <t>User:</t>
        </r>
        <r>
          <rPr>
            <sz val="9"/>
            <rFont val="Tahoma"/>
            <charset val="1"/>
          </rPr>
          <t xml:space="preserve">
Total Inventory
Per Case</t>
        </r>
      </text>
    </comment>
    <comment ref="W5" authorId="0" shapeId="0" xr:uid="{00000000-0006-0000-0700-000003000000}">
      <text>
        <r>
          <rPr>
            <b/>
            <sz val="9"/>
            <rFont val="Tahoma"/>
            <charset val="1"/>
          </rPr>
          <t>User:</t>
        </r>
        <r>
          <rPr>
            <sz val="9"/>
            <rFont val="Tahoma"/>
            <charset val="1"/>
          </rPr>
          <t xml:space="preserve">
Total Ending Inventory
Bottle Per Case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U5" authorId="0" shapeId="0" xr:uid="{00000000-0006-0000-0800-000001000000}">
      <text>
        <r>
          <rPr>
            <b/>
            <sz val="9"/>
            <rFont val="Tahoma"/>
            <charset val="1"/>
          </rPr>
          <t>User:</t>
        </r>
        <r>
          <rPr>
            <sz val="9"/>
            <rFont val="Tahoma"/>
            <charset val="1"/>
          </rPr>
          <t xml:space="preserve">
Total Inventory 
Bottle Per Case
All Route</t>
        </r>
      </text>
    </comment>
    <comment ref="V5" authorId="0" shapeId="0" xr:uid="{00000000-0006-0000-0800-000002000000}">
      <text>
        <r>
          <rPr>
            <b/>
            <sz val="9"/>
            <rFont val="Tahoma"/>
            <charset val="1"/>
          </rPr>
          <t>User:</t>
        </r>
        <r>
          <rPr>
            <sz val="9"/>
            <rFont val="Tahoma"/>
            <charset val="1"/>
          </rPr>
          <t xml:space="preserve">
Total Inventory
Per Case</t>
        </r>
      </text>
    </comment>
    <comment ref="W5" authorId="0" shapeId="0" xr:uid="{00000000-0006-0000-0800-000003000000}">
      <text>
        <r>
          <rPr>
            <b/>
            <sz val="9"/>
            <rFont val="Tahoma"/>
            <charset val="1"/>
          </rPr>
          <t>User:</t>
        </r>
        <r>
          <rPr>
            <sz val="9"/>
            <rFont val="Tahoma"/>
            <charset val="1"/>
          </rPr>
          <t xml:space="preserve">
Total Ending Inventory
Bottle Per Case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U5" authorId="0" shapeId="0" xr:uid="{00000000-0006-0000-0900-000001000000}">
      <text>
        <r>
          <rPr>
            <b/>
            <sz val="9"/>
            <rFont val="Tahoma"/>
            <charset val="1"/>
          </rPr>
          <t>User:</t>
        </r>
        <r>
          <rPr>
            <sz val="9"/>
            <rFont val="Tahoma"/>
            <charset val="1"/>
          </rPr>
          <t xml:space="preserve">
Total Inventory 
Bottle Per Case
All Route</t>
        </r>
      </text>
    </comment>
    <comment ref="V5" authorId="0" shapeId="0" xr:uid="{00000000-0006-0000-0900-000002000000}">
      <text>
        <r>
          <rPr>
            <b/>
            <sz val="9"/>
            <rFont val="Tahoma"/>
            <charset val="1"/>
          </rPr>
          <t>User:</t>
        </r>
        <r>
          <rPr>
            <sz val="9"/>
            <rFont val="Tahoma"/>
            <charset val="1"/>
          </rPr>
          <t xml:space="preserve">
Total Inventory
Per Case</t>
        </r>
      </text>
    </comment>
    <comment ref="W5" authorId="0" shapeId="0" xr:uid="{00000000-0006-0000-0900-000003000000}">
      <text>
        <r>
          <rPr>
            <b/>
            <sz val="9"/>
            <rFont val="Tahoma"/>
            <charset val="1"/>
          </rPr>
          <t>User:</t>
        </r>
        <r>
          <rPr>
            <sz val="9"/>
            <rFont val="Tahoma"/>
            <charset val="1"/>
          </rPr>
          <t xml:space="preserve">
Total Ending Inventory
Bottle Per Case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U5" authorId="0" shapeId="0" xr:uid="{00000000-0006-0000-0A00-000001000000}">
      <text>
        <r>
          <rPr>
            <b/>
            <sz val="9"/>
            <rFont val="Tahoma"/>
            <charset val="1"/>
          </rPr>
          <t>User:</t>
        </r>
        <r>
          <rPr>
            <sz val="9"/>
            <rFont val="Tahoma"/>
            <charset val="1"/>
          </rPr>
          <t xml:space="preserve">
Total Inventory 
Bottle Per Case
All Route</t>
        </r>
      </text>
    </comment>
    <comment ref="V5" authorId="0" shapeId="0" xr:uid="{00000000-0006-0000-0A00-000002000000}">
      <text>
        <r>
          <rPr>
            <b/>
            <sz val="9"/>
            <rFont val="Tahoma"/>
            <charset val="1"/>
          </rPr>
          <t>User:</t>
        </r>
        <r>
          <rPr>
            <sz val="9"/>
            <rFont val="Tahoma"/>
            <charset val="1"/>
          </rPr>
          <t xml:space="preserve">
Total Inventory
Per Case</t>
        </r>
      </text>
    </comment>
    <comment ref="W5" authorId="0" shapeId="0" xr:uid="{00000000-0006-0000-0A00-000003000000}">
      <text>
        <r>
          <rPr>
            <b/>
            <sz val="9"/>
            <rFont val="Tahoma"/>
            <charset val="1"/>
          </rPr>
          <t>User:</t>
        </r>
        <r>
          <rPr>
            <sz val="9"/>
            <rFont val="Tahoma"/>
            <charset val="1"/>
          </rPr>
          <t xml:space="preserve">
Total Ending Inventory
Bottle Per Case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U5" authorId="0" shapeId="0" xr:uid="{00000000-0006-0000-0B00-000001000000}">
      <text>
        <r>
          <rPr>
            <b/>
            <sz val="9"/>
            <rFont val="Tahoma"/>
            <charset val="1"/>
          </rPr>
          <t>User:</t>
        </r>
        <r>
          <rPr>
            <sz val="9"/>
            <rFont val="Tahoma"/>
            <charset val="1"/>
          </rPr>
          <t xml:space="preserve">
Total Inventory 
Bottle Per Case
All Route</t>
        </r>
      </text>
    </comment>
    <comment ref="V5" authorId="0" shapeId="0" xr:uid="{00000000-0006-0000-0B00-000002000000}">
      <text>
        <r>
          <rPr>
            <b/>
            <sz val="9"/>
            <rFont val="Tahoma"/>
            <charset val="1"/>
          </rPr>
          <t>User:</t>
        </r>
        <r>
          <rPr>
            <sz val="9"/>
            <rFont val="Tahoma"/>
            <charset val="1"/>
          </rPr>
          <t xml:space="preserve">
Total Inventory
Per Case</t>
        </r>
      </text>
    </comment>
    <comment ref="W5" authorId="0" shapeId="0" xr:uid="{00000000-0006-0000-0B00-000003000000}">
      <text>
        <r>
          <rPr>
            <b/>
            <sz val="9"/>
            <rFont val="Tahoma"/>
            <charset val="1"/>
          </rPr>
          <t>User:</t>
        </r>
        <r>
          <rPr>
            <sz val="9"/>
            <rFont val="Tahoma"/>
            <charset val="1"/>
          </rPr>
          <t xml:space="preserve">
Total Ending Inventory
Bottle Per Case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U5" authorId="0" shapeId="0" xr:uid="{00000000-0006-0000-0C00-000001000000}">
      <text>
        <r>
          <rPr>
            <b/>
            <sz val="9"/>
            <rFont val="Tahoma"/>
            <charset val="1"/>
          </rPr>
          <t>User:</t>
        </r>
        <r>
          <rPr>
            <sz val="9"/>
            <rFont val="Tahoma"/>
            <charset val="1"/>
          </rPr>
          <t xml:space="preserve">
Total Inventory 
Bottle Per Case
All Route</t>
        </r>
      </text>
    </comment>
    <comment ref="V5" authorId="0" shapeId="0" xr:uid="{00000000-0006-0000-0C00-000002000000}">
      <text>
        <r>
          <rPr>
            <b/>
            <sz val="9"/>
            <rFont val="Tahoma"/>
            <charset val="1"/>
          </rPr>
          <t>User:</t>
        </r>
        <r>
          <rPr>
            <sz val="9"/>
            <rFont val="Tahoma"/>
            <charset val="1"/>
          </rPr>
          <t xml:space="preserve">
Total Inventory
Per Case</t>
        </r>
      </text>
    </comment>
    <comment ref="W5" authorId="0" shapeId="0" xr:uid="{00000000-0006-0000-0C00-000003000000}">
      <text>
        <r>
          <rPr>
            <b/>
            <sz val="9"/>
            <rFont val="Tahoma"/>
            <charset val="1"/>
          </rPr>
          <t>User:</t>
        </r>
        <r>
          <rPr>
            <sz val="9"/>
            <rFont val="Tahoma"/>
            <charset val="1"/>
          </rPr>
          <t xml:space="preserve">
Total Ending Inventory
Bottle Per Case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U5" authorId="0" shapeId="0" xr:uid="{3B961185-434A-417E-B2B7-AFEA6F657537}">
      <text>
        <r>
          <rPr>
            <b/>
            <sz val="9"/>
            <rFont val="Tahoma"/>
            <charset val="1"/>
          </rPr>
          <t>User:</t>
        </r>
        <r>
          <rPr>
            <sz val="9"/>
            <rFont val="Tahoma"/>
            <charset val="1"/>
          </rPr>
          <t xml:space="preserve">
Total Inventory 
Bottle Per Case
All Route</t>
        </r>
      </text>
    </comment>
    <comment ref="V5" authorId="0" shapeId="0" xr:uid="{CBA94CF9-3238-4252-BABA-0757F134FBC1}">
      <text>
        <r>
          <rPr>
            <b/>
            <sz val="9"/>
            <rFont val="Tahoma"/>
            <charset val="1"/>
          </rPr>
          <t>User:</t>
        </r>
        <r>
          <rPr>
            <sz val="9"/>
            <rFont val="Tahoma"/>
            <charset val="1"/>
          </rPr>
          <t xml:space="preserve">
Total Inventory
Per Case</t>
        </r>
      </text>
    </comment>
    <comment ref="W5" authorId="0" shapeId="0" xr:uid="{917D3741-0168-4955-BFC8-5326B8FC72EA}">
      <text>
        <r>
          <rPr>
            <b/>
            <sz val="9"/>
            <rFont val="Tahoma"/>
            <charset val="1"/>
          </rPr>
          <t>User:</t>
        </r>
        <r>
          <rPr>
            <sz val="9"/>
            <rFont val="Tahoma"/>
            <charset val="1"/>
          </rPr>
          <t xml:space="preserve">
Total Ending Inventory
Bottle Per Case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U5" authorId="0" shapeId="0" xr:uid="{BB3F66DE-8D9D-4E46-A066-1A566716DFB3}">
      <text>
        <r>
          <rPr>
            <b/>
            <sz val="9"/>
            <rFont val="Tahoma"/>
            <charset val="1"/>
          </rPr>
          <t>User:</t>
        </r>
        <r>
          <rPr>
            <sz val="9"/>
            <rFont val="Tahoma"/>
            <charset val="1"/>
          </rPr>
          <t xml:space="preserve">
Total Inventory 
Bottle Per Case
All Route</t>
        </r>
      </text>
    </comment>
    <comment ref="V5" authorId="0" shapeId="0" xr:uid="{FD047F36-FA51-4A2A-884A-FFFE2120B51E}">
      <text>
        <r>
          <rPr>
            <b/>
            <sz val="9"/>
            <rFont val="Tahoma"/>
            <charset val="1"/>
          </rPr>
          <t>User:</t>
        </r>
        <r>
          <rPr>
            <sz val="9"/>
            <rFont val="Tahoma"/>
            <charset val="1"/>
          </rPr>
          <t xml:space="preserve">
Total Inventory
Per Case</t>
        </r>
      </text>
    </comment>
    <comment ref="W5" authorId="0" shapeId="0" xr:uid="{5EBEA0C8-603B-418E-848F-B3FE0B744C31}">
      <text>
        <r>
          <rPr>
            <b/>
            <sz val="9"/>
            <rFont val="Tahoma"/>
            <charset val="1"/>
          </rPr>
          <t>User:</t>
        </r>
        <r>
          <rPr>
            <sz val="9"/>
            <rFont val="Tahoma"/>
            <charset val="1"/>
          </rPr>
          <t xml:space="preserve">
Total Ending Inventory
Bottle Per Case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U5" authorId="0" shapeId="0" xr:uid="{12D56860-6B0B-47D6-8ACC-643EB2D9365C}">
      <text>
        <r>
          <rPr>
            <b/>
            <sz val="9"/>
            <rFont val="Tahoma"/>
            <charset val="1"/>
          </rPr>
          <t>User:</t>
        </r>
        <r>
          <rPr>
            <sz val="9"/>
            <rFont val="Tahoma"/>
            <charset val="1"/>
          </rPr>
          <t xml:space="preserve">
Total Inventory 
Bottle Per Case
All Route</t>
        </r>
      </text>
    </comment>
    <comment ref="V5" authorId="0" shapeId="0" xr:uid="{769D81AF-1A2F-4932-8E86-ECA331DF19AC}">
      <text>
        <r>
          <rPr>
            <b/>
            <sz val="9"/>
            <rFont val="Tahoma"/>
            <charset val="1"/>
          </rPr>
          <t>User:</t>
        </r>
        <r>
          <rPr>
            <sz val="9"/>
            <rFont val="Tahoma"/>
            <charset val="1"/>
          </rPr>
          <t xml:space="preserve">
Total Inventory
Per Case</t>
        </r>
      </text>
    </comment>
    <comment ref="W5" authorId="0" shapeId="0" xr:uid="{45FAE459-7B32-4EE6-9967-4EFDBC4C8489}">
      <text>
        <r>
          <rPr>
            <b/>
            <sz val="9"/>
            <rFont val="Tahoma"/>
            <charset val="1"/>
          </rPr>
          <t>User:</t>
        </r>
        <r>
          <rPr>
            <sz val="9"/>
            <rFont val="Tahoma"/>
            <charset val="1"/>
          </rPr>
          <t xml:space="preserve">
Total Ending Inventory
Bottle Per Case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U5" authorId="0" shapeId="0" xr:uid="{A43B8253-ACFA-45ED-A709-39FCFEA46831}">
      <text>
        <r>
          <rPr>
            <b/>
            <sz val="9"/>
            <rFont val="Tahoma"/>
            <charset val="1"/>
          </rPr>
          <t>User:</t>
        </r>
        <r>
          <rPr>
            <sz val="9"/>
            <rFont val="Tahoma"/>
            <charset val="1"/>
          </rPr>
          <t xml:space="preserve">
Total Inventory 
Bottle Per Case
All Route</t>
        </r>
      </text>
    </comment>
    <comment ref="V5" authorId="0" shapeId="0" xr:uid="{6710E446-F558-438F-BB28-3B13566A984E}">
      <text>
        <r>
          <rPr>
            <b/>
            <sz val="9"/>
            <rFont val="Tahoma"/>
            <charset val="1"/>
          </rPr>
          <t>User:</t>
        </r>
        <r>
          <rPr>
            <sz val="9"/>
            <rFont val="Tahoma"/>
            <charset val="1"/>
          </rPr>
          <t xml:space="preserve">
Total Inventory
Per Case</t>
        </r>
      </text>
    </comment>
    <comment ref="W5" authorId="0" shapeId="0" xr:uid="{C5CEA6DF-222B-40BF-9CBD-20B566AF40D9}">
      <text>
        <r>
          <rPr>
            <b/>
            <sz val="9"/>
            <rFont val="Tahoma"/>
            <charset val="1"/>
          </rPr>
          <t>User:</t>
        </r>
        <r>
          <rPr>
            <sz val="9"/>
            <rFont val="Tahoma"/>
            <charset val="1"/>
          </rPr>
          <t xml:space="preserve">
Total Ending Inventory
Bottle Per Case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U5" authorId="0" shapeId="0" xr:uid="{156C5B5E-AC76-46F8-86D0-3831EF065B6D}">
      <text>
        <r>
          <rPr>
            <b/>
            <sz val="9"/>
            <rFont val="Tahoma"/>
            <charset val="1"/>
          </rPr>
          <t>User:</t>
        </r>
        <r>
          <rPr>
            <sz val="9"/>
            <rFont val="Tahoma"/>
            <charset val="1"/>
          </rPr>
          <t xml:space="preserve">
Total Inventory 
Bottle Per Case
All Route</t>
        </r>
      </text>
    </comment>
    <comment ref="V5" authorId="0" shapeId="0" xr:uid="{1EEDED97-1877-4DCE-89B1-F143FBB67E83}">
      <text>
        <r>
          <rPr>
            <b/>
            <sz val="9"/>
            <rFont val="Tahoma"/>
            <charset val="1"/>
          </rPr>
          <t>User:</t>
        </r>
        <r>
          <rPr>
            <sz val="9"/>
            <rFont val="Tahoma"/>
            <charset val="1"/>
          </rPr>
          <t xml:space="preserve">
Total Inventory
Per Case</t>
        </r>
      </text>
    </comment>
    <comment ref="W5" authorId="0" shapeId="0" xr:uid="{E093B08F-BCB3-4D2E-89D0-58FD9947DA4C}">
      <text>
        <r>
          <rPr>
            <b/>
            <sz val="9"/>
            <rFont val="Tahoma"/>
            <charset val="1"/>
          </rPr>
          <t>User:</t>
        </r>
        <r>
          <rPr>
            <sz val="9"/>
            <rFont val="Tahoma"/>
            <charset val="1"/>
          </rPr>
          <t xml:space="preserve">
Total Ending Inventory
Bottle Per Case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U5" authorId="0" shapeId="0" xr:uid="{B2D9FE76-398E-41D0-8986-F67DE217E641}">
      <text>
        <r>
          <rPr>
            <b/>
            <sz val="9"/>
            <rFont val="Tahoma"/>
            <charset val="1"/>
          </rPr>
          <t>User:</t>
        </r>
        <r>
          <rPr>
            <sz val="9"/>
            <rFont val="Tahoma"/>
            <charset val="1"/>
          </rPr>
          <t xml:space="preserve">
Total Inventory 
Bottle Per Case
All Route</t>
        </r>
      </text>
    </comment>
    <comment ref="V5" authorId="0" shapeId="0" xr:uid="{D8B3F6F8-7400-4549-874C-6D896DDE4235}">
      <text>
        <r>
          <rPr>
            <b/>
            <sz val="9"/>
            <rFont val="Tahoma"/>
            <charset val="1"/>
          </rPr>
          <t>User:</t>
        </r>
        <r>
          <rPr>
            <sz val="9"/>
            <rFont val="Tahoma"/>
            <charset val="1"/>
          </rPr>
          <t xml:space="preserve">
Total Inventory
Per Case</t>
        </r>
      </text>
    </comment>
    <comment ref="W5" authorId="0" shapeId="0" xr:uid="{8F95A808-9756-48BE-BE16-0897B77F2ECD}">
      <text>
        <r>
          <rPr>
            <b/>
            <sz val="9"/>
            <rFont val="Tahoma"/>
            <charset val="1"/>
          </rPr>
          <t>User:</t>
        </r>
        <r>
          <rPr>
            <sz val="9"/>
            <rFont val="Tahoma"/>
            <charset val="1"/>
          </rPr>
          <t xml:space="preserve">
Total Ending Inventory
Bottle Per Case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U5" authorId="0" shapeId="0" xr:uid="{6E973E6E-6773-47DF-900A-DBE8758E13FF}">
      <text>
        <r>
          <rPr>
            <b/>
            <sz val="9"/>
            <rFont val="Tahoma"/>
            <charset val="1"/>
          </rPr>
          <t>User:</t>
        </r>
        <r>
          <rPr>
            <sz val="9"/>
            <rFont val="Tahoma"/>
            <charset val="1"/>
          </rPr>
          <t xml:space="preserve">
Total Inventory 
Bottle Per Case
All Route</t>
        </r>
      </text>
    </comment>
    <comment ref="V5" authorId="0" shapeId="0" xr:uid="{6B6B4D85-D501-4989-9650-B5900DCFDEDB}">
      <text>
        <r>
          <rPr>
            <b/>
            <sz val="9"/>
            <rFont val="Tahoma"/>
            <charset val="1"/>
          </rPr>
          <t>User:</t>
        </r>
        <r>
          <rPr>
            <sz val="9"/>
            <rFont val="Tahoma"/>
            <charset val="1"/>
          </rPr>
          <t xml:space="preserve">
Total Inventory
Per Case</t>
        </r>
      </text>
    </comment>
    <comment ref="W5" authorId="0" shapeId="0" xr:uid="{4F75EC98-8A15-44FC-8A18-D714BB5F8206}">
      <text>
        <r>
          <rPr>
            <b/>
            <sz val="9"/>
            <rFont val="Tahoma"/>
            <charset val="1"/>
          </rPr>
          <t>User:</t>
        </r>
        <r>
          <rPr>
            <sz val="9"/>
            <rFont val="Tahoma"/>
            <charset val="1"/>
          </rPr>
          <t xml:space="preserve">
Total Ending Inventory
Bottle Per Case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U5" authorId="0" shapeId="0" xr:uid="{8C4124B8-F47A-4D55-A1BE-B71B3B2C9D51}">
      <text>
        <r>
          <rPr>
            <b/>
            <sz val="9"/>
            <rFont val="Tahoma"/>
            <charset val="1"/>
          </rPr>
          <t>User:</t>
        </r>
        <r>
          <rPr>
            <sz val="9"/>
            <rFont val="Tahoma"/>
            <charset val="1"/>
          </rPr>
          <t xml:space="preserve">
Total Inventory 
Bottle Per Case
All Route</t>
        </r>
      </text>
    </comment>
    <comment ref="V5" authorId="0" shapeId="0" xr:uid="{F55FB04B-D1F6-4D89-BA45-FFAC6B85FEB1}">
      <text>
        <r>
          <rPr>
            <b/>
            <sz val="9"/>
            <rFont val="Tahoma"/>
            <charset val="1"/>
          </rPr>
          <t>User:</t>
        </r>
        <r>
          <rPr>
            <sz val="9"/>
            <rFont val="Tahoma"/>
            <charset val="1"/>
          </rPr>
          <t xml:space="preserve">
Total Inventory
Per Case</t>
        </r>
      </text>
    </comment>
    <comment ref="W5" authorId="0" shapeId="0" xr:uid="{62F30E21-FFBB-4C98-A179-6BECD82F8A78}">
      <text>
        <r>
          <rPr>
            <b/>
            <sz val="9"/>
            <rFont val="Tahoma"/>
            <charset val="1"/>
          </rPr>
          <t>User:</t>
        </r>
        <r>
          <rPr>
            <sz val="9"/>
            <rFont val="Tahoma"/>
            <charset val="1"/>
          </rPr>
          <t xml:space="preserve">
Total Ending Inventory
Bottle Per Case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U5" authorId="0" shapeId="0" xr:uid="{270567C3-E96F-497F-8014-0AEE4D9A4BA7}">
      <text>
        <r>
          <rPr>
            <b/>
            <sz val="9"/>
            <rFont val="Tahoma"/>
            <charset val="1"/>
          </rPr>
          <t>User:</t>
        </r>
        <r>
          <rPr>
            <sz val="9"/>
            <rFont val="Tahoma"/>
            <charset val="1"/>
          </rPr>
          <t xml:space="preserve">
Total Inventory 
Bottle Per Case
All Route</t>
        </r>
      </text>
    </comment>
    <comment ref="V5" authorId="0" shapeId="0" xr:uid="{73E1996C-ADAA-48F0-B597-528C55A797F0}">
      <text>
        <r>
          <rPr>
            <b/>
            <sz val="9"/>
            <rFont val="Tahoma"/>
            <charset val="1"/>
          </rPr>
          <t>User:</t>
        </r>
        <r>
          <rPr>
            <sz val="9"/>
            <rFont val="Tahoma"/>
            <charset val="1"/>
          </rPr>
          <t xml:space="preserve">
Total Inventory
Per Case</t>
        </r>
      </text>
    </comment>
    <comment ref="W5" authorId="0" shapeId="0" xr:uid="{D040914E-0F39-402A-A4F4-4CBFA9DE995A}">
      <text>
        <r>
          <rPr>
            <b/>
            <sz val="9"/>
            <rFont val="Tahoma"/>
            <charset val="1"/>
          </rPr>
          <t>User:</t>
        </r>
        <r>
          <rPr>
            <sz val="9"/>
            <rFont val="Tahoma"/>
            <charset val="1"/>
          </rPr>
          <t xml:space="preserve">
Total Ending Inventory
Bottle Per Case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U5" authorId="0" shapeId="0" xr:uid="{0770EFF8-0837-46A7-94DA-97A18D899550}">
      <text>
        <r>
          <rPr>
            <b/>
            <sz val="9"/>
            <rFont val="Tahoma"/>
            <charset val="1"/>
          </rPr>
          <t>User:</t>
        </r>
        <r>
          <rPr>
            <sz val="9"/>
            <rFont val="Tahoma"/>
            <charset val="1"/>
          </rPr>
          <t xml:space="preserve">
Total Inventory 
Bottle Per Case
All Route</t>
        </r>
      </text>
    </comment>
    <comment ref="V5" authorId="0" shapeId="0" xr:uid="{F0B8C3E4-BE09-4A93-B870-78E9B3B169E5}">
      <text>
        <r>
          <rPr>
            <b/>
            <sz val="9"/>
            <rFont val="Tahoma"/>
            <charset val="1"/>
          </rPr>
          <t>User:</t>
        </r>
        <r>
          <rPr>
            <sz val="9"/>
            <rFont val="Tahoma"/>
            <charset val="1"/>
          </rPr>
          <t xml:space="preserve">
Total Inventory
Per Case</t>
        </r>
      </text>
    </comment>
    <comment ref="W5" authorId="0" shapeId="0" xr:uid="{C2249D09-CD6F-4155-96A4-58C1DEAC5A43}">
      <text>
        <r>
          <rPr>
            <b/>
            <sz val="9"/>
            <rFont val="Tahoma"/>
            <charset val="1"/>
          </rPr>
          <t>User:</t>
        </r>
        <r>
          <rPr>
            <sz val="9"/>
            <rFont val="Tahoma"/>
            <charset val="1"/>
          </rPr>
          <t xml:space="preserve">
Total Ending Inventory
Bottle Per Case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U5" authorId="0" shapeId="0" xr:uid="{A9D414F0-ADE5-4312-8BE3-83B81AA7651E}">
      <text>
        <r>
          <rPr>
            <b/>
            <sz val="9"/>
            <rFont val="Tahoma"/>
            <charset val="1"/>
          </rPr>
          <t>User:</t>
        </r>
        <r>
          <rPr>
            <sz val="9"/>
            <rFont val="Tahoma"/>
            <charset val="1"/>
          </rPr>
          <t xml:space="preserve">
Total Inventory 
Bottle Per Case
All Route</t>
        </r>
      </text>
    </comment>
    <comment ref="V5" authorId="0" shapeId="0" xr:uid="{76009CBB-D8AA-4EC1-96D1-BF2872AB50DA}">
      <text>
        <r>
          <rPr>
            <b/>
            <sz val="9"/>
            <rFont val="Tahoma"/>
            <charset val="1"/>
          </rPr>
          <t>User:</t>
        </r>
        <r>
          <rPr>
            <sz val="9"/>
            <rFont val="Tahoma"/>
            <charset val="1"/>
          </rPr>
          <t xml:space="preserve">
Total Inventory
Per Case</t>
        </r>
      </text>
    </comment>
    <comment ref="W5" authorId="0" shapeId="0" xr:uid="{D24F432C-987F-486A-9910-357E3D1B1D5B}">
      <text>
        <r>
          <rPr>
            <b/>
            <sz val="9"/>
            <rFont val="Tahoma"/>
            <charset val="1"/>
          </rPr>
          <t>User:</t>
        </r>
        <r>
          <rPr>
            <sz val="9"/>
            <rFont val="Tahoma"/>
            <charset val="1"/>
          </rPr>
          <t xml:space="preserve">
Total Ending Inventory
Bottle Per Case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U5" authorId="0" shapeId="0" xr:uid="{ADE28180-A08E-47AE-923A-596E474411AF}">
      <text>
        <r>
          <rPr>
            <b/>
            <sz val="9"/>
            <rFont val="Tahoma"/>
            <charset val="1"/>
          </rPr>
          <t>User:</t>
        </r>
        <r>
          <rPr>
            <sz val="9"/>
            <rFont val="Tahoma"/>
            <charset val="1"/>
          </rPr>
          <t xml:space="preserve">
Total Inventory 
Bottle Per Case
All Route</t>
        </r>
      </text>
    </comment>
    <comment ref="V5" authorId="0" shapeId="0" xr:uid="{4EF1FD99-8F4D-4E07-9300-0BDE98511C5E}">
      <text>
        <r>
          <rPr>
            <b/>
            <sz val="9"/>
            <rFont val="Tahoma"/>
            <charset val="1"/>
          </rPr>
          <t>User:</t>
        </r>
        <r>
          <rPr>
            <sz val="9"/>
            <rFont val="Tahoma"/>
            <charset val="1"/>
          </rPr>
          <t xml:space="preserve">
Total Inventory
Per Case</t>
        </r>
      </text>
    </comment>
    <comment ref="W5" authorId="0" shapeId="0" xr:uid="{889706B2-3221-4937-9FFF-937F86D1BF67}">
      <text>
        <r>
          <rPr>
            <b/>
            <sz val="9"/>
            <rFont val="Tahoma"/>
            <charset val="1"/>
          </rPr>
          <t>User:</t>
        </r>
        <r>
          <rPr>
            <sz val="9"/>
            <rFont val="Tahoma"/>
            <charset val="1"/>
          </rPr>
          <t xml:space="preserve">
Total Ending Inventory
Bottle Per Case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U5" authorId="0" shapeId="0" xr:uid="{BF67BC9E-4103-42A8-8196-7666EF0221CE}">
      <text>
        <r>
          <rPr>
            <b/>
            <sz val="9"/>
            <rFont val="Tahoma"/>
            <charset val="1"/>
          </rPr>
          <t>User:</t>
        </r>
        <r>
          <rPr>
            <sz val="9"/>
            <rFont val="Tahoma"/>
            <charset val="1"/>
          </rPr>
          <t xml:space="preserve">
Total Inventory 
Bottle Per Case
All Route</t>
        </r>
      </text>
    </comment>
    <comment ref="V5" authorId="0" shapeId="0" xr:uid="{08E74893-B968-448F-A00F-EAB261B04DFC}">
      <text>
        <r>
          <rPr>
            <b/>
            <sz val="9"/>
            <rFont val="Tahoma"/>
            <charset val="1"/>
          </rPr>
          <t>User:</t>
        </r>
        <r>
          <rPr>
            <sz val="9"/>
            <rFont val="Tahoma"/>
            <charset val="1"/>
          </rPr>
          <t xml:space="preserve">
Total Inventory
Per Case</t>
        </r>
      </text>
    </comment>
    <comment ref="W5" authorId="0" shapeId="0" xr:uid="{1D4EA9A6-C12F-4EE9-9CA3-5DE8F5262673}">
      <text>
        <r>
          <rPr>
            <b/>
            <sz val="9"/>
            <rFont val="Tahoma"/>
            <charset val="1"/>
          </rPr>
          <t>User:</t>
        </r>
        <r>
          <rPr>
            <sz val="9"/>
            <rFont val="Tahoma"/>
            <charset val="1"/>
          </rPr>
          <t xml:space="preserve">
Total Ending Inventory
Bottle Per Case</t>
        </r>
      </text>
    </comment>
  </commentList>
</comments>
</file>

<file path=xl/sharedStrings.xml><?xml version="1.0" encoding="utf-8"?>
<sst xmlns="http://schemas.openxmlformats.org/spreadsheetml/2006/main" count="2756" uniqueCount="82">
  <si>
    <t>GUILLERMO BEVERAGE DISTRIBUTION SERVICES</t>
  </si>
  <si>
    <t>DATE</t>
  </si>
  <si>
    <t>DAILY SALES/ STOCK ISSUANCE AND RECEIPTS</t>
  </si>
  <si>
    <t>FULL SKU</t>
  </si>
  <si>
    <t>BEG INVTY</t>
  </si>
  <si>
    <t>BOTT.</t>
  </si>
  <si>
    <t>WITHDRAWAL (+)</t>
  </si>
  <si>
    <t>TOTAL
SALES (-)</t>
  </si>
  <si>
    <t>ENDING INVTY</t>
  </si>
  <si>
    <t>SALES TO TRADE</t>
  </si>
  <si>
    <t>WW</t>
  </si>
  <si>
    <t>PROMO</t>
  </si>
  <si>
    <t>ROUTE 1</t>
  </si>
  <si>
    <t>ROUTE 2</t>
  </si>
  <si>
    <t>ROUTE 3</t>
  </si>
  <si>
    <t>TOTAL</t>
  </si>
  <si>
    <t>BOTT. PER CASE</t>
  </si>
  <si>
    <t>TI PER CASE</t>
  </si>
  <si>
    <t>TOTAL BOTT PER CASE</t>
  </si>
  <si>
    <t>MONTH TO DATE</t>
  </si>
  <si>
    <t>CB</t>
  </si>
  <si>
    <t>CIB</t>
  </si>
  <si>
    <t>CC</t>
  </si>
  <si>
    <t>CIC</t>
  </si>
  <si>
    <t>C10C</t>
  </si>
  <si>
    <t>HTA</t>
  </si>
  <si>
    <t>PAMB</t>
  </si>
  <si>
    <t>PAMC</t>
  </si>
  <si>
    <t>KRB</t>
  </si>
  <si>
    <t>KRC</t>
  </si>
  <si>
    <t>CBC</t>
  </si>
  <si>
    <t>SMLL</t>
  </si>
  <si>
    <t>CBB</t>
  </si>
  <si>
    <t>SDB</t>
  </si>
  <si>
    <t>SDC</t>
  </si>
  <si>
    <t>CNB</t>
  </si>
  <si>
    <t>CLC</t>
  </si>
  <si>
    <t>SMZB</t>
  </si>
  <si>
    <t>SMLB</t>
  </si>
  <si>
    <t>SMLC</t>
  </si>
  <si>
    <t>SML500C</t>
  </si>
  <si>
    <t>FBA</t>
  </si>
  <si>
    <t>FBL</t>
  </si>
  <si>
    <t>FBLY</t>
  </si>
  <si>
    <t>FBAC</t>
  </si>
  <si>
    <t>FBLC</t>
  </si>
  <si>
    <t>FBLYC</t>
  </si>
  <si>
    <t>PP</t>
  </si>
  <si>
    <t>RHSL</t>
  </si>
  <si>
    <t>PPG</t>
  </si>
  <si>
    <t>PL</t>
  </si>
  <si>
    <t>PPC</t>
  </si>
  <si>
    <t>PP500C</t>
  </si>
  <si>
    <t>RHS</t>
  </si>
  <si>
    <t>RHP</t>
  </si>
  <si>
    <t>HTL</t>
  </si>
  <si>
    <t>RHL</t>
  </si>
  <si>
    <t>HTS</t>
  </si>
  <si>
    <t>RHC</t>
  </si>
  <si>
    <t>RH500C</t>
  </si>
  <si>
    <t>SMFB</t>
  </si>
  <si>
    <t>SMFC</t>
  </si>
  <si>
    <t>GE320</t>
  </si>
  <si>
    <t>GEK</t>
  </si>
  <si>
    <t>HSC</t>
  </si>
  <si>
    <t>MGYZ</t>
  </si>
  <si>
    <t>BEER
CONV</t>
  </si>
  <si>
    <t>TODAY STT</t>
  </si>
  <si>
    <t>PREV STT</t>
  </si>
  <si>
    <t>MTD STT</t>
  </si>
  <si>
    <t>NAB</t>
  </si>
  <si>
    <t>EMPTIES</t>
  </si>
  <si>
    <t>EMPTIES
RETURN</t>
  </si>
  <si>
    <t>TOTAL
EMPTIES RECEIVED</t>
  </si>
  <si>
    <t>EMPTIES
ON HAND</t>
  </si>
  <si>
    <t>SHL</t>
  </si>
  <si>
    <t>BOT</t>
  </si>
  <si>
    <t>PL/RHL</t>
  </si>
  <si>
    <t>RH5</t>
  </si>
  <si>
    <t>FB/SML/RHS</t>
  </si>
  <si>
    <t>HT</t>
  </si>
  <si>
    <t>PALLETS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</si>
</sst>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_-* #,##0.0_-;\-* #,##0.0_-;_-* &quot;-&quot;??_-;_-@_-"/>
    <numFmt numFmtId="166" formatCode="[$-F800]dddd\,\ mmmm\ dd\,\ yyyy"/>
    <numFmt numFmtId="167" formatCode="_(* #,##0_);_(* \(#,##0\);_(* &quot;-&quot;??_);_(@_)"/>
  </numFmts>
  <fonts count="9">
    <font>
      <sz val="11"/>
      <color theme="1"/>
      <name val="Calibri"/>
      <charset val="134"/>
      <scheme val="minor"/>
    </font>
    <font>
      <b/>
      <sz val="14"/>
      <name val="Calibri"/>
      <charset val="134"/>
      <scheme val="minor"/>
    </font>
    <font>
      <sz val="14"/>
      <name val="Calibri"/>
      <charset val="134"/>
      <scheme val="minor"/>
    </font>
    <font>
      <b/>
      <sz val="10"/>
      <name val="Calibri"/>
      <charset val="134"/>
      <scheme val="minor"/>
    </font>
    <font>
      <b/>
      <sz val="12"/>
      <name val="Calibri"/>
      <charset val="134"/>
      <scheme val="minor"/>
    </font>
    <font>
      <sz val="11"/>
      <color theme="1"/>
      <name val="Calibri"/>
      <charset val="134"/>
      <scheme val="minor"/>
    </font>
    <font>
      <sz val="10"/>
      <name val="Arial"/>
      <charset val="134"/>
    </font>
    <font>
      <sz val="9"/>
      <name val="Tahoma"/>
      <charset val="1"/>
    </font>
    <font>
      <b/>
      <sz val="9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8" tint="0.79995117038483843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9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rgb="FFFF0000"/>
      </bottom>
      <diagonal/>
    </border>
    <border>
      <left/>
      <right style="thin">
        <color auto="1"/>
      </right>
      <top style="thin">
        <color auto="1"/>
      </top>
      <bottom style="medium">
        <color rgb="FFFF0000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rgb="FFFF0000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rgb="FFCC3399"/>
      </bottom>
      <diagonal/>
    </border>
    <border>
      <left/>
      <right style="thin">
        <color auto="1"/>
      </right>
      <top style="thin">
        <color auto="1"/>
      </top>
      <bottom style="medium">
        <color rgb="FFCC3399"/>
      </bottom>
      <diagonal/>
    </border>
    <border>
      <left style="medium">
        <color auto="1"/>
      </left>
      <right style="thin">
        <color auto="1"/>
      </right>
      <top style="medium">
        <color rgb="FFCC3399"/>
      </top>
      <bottom style="medium">
        <color rgb="FF00B0F0"/>
      </bottom>
      <diagonal/>
    </border>
    <border>
      <left/>
      <right style="thin">
        <color auto="1"/>
      </right>
      <top style="medium">
        <color rgb="FFCC3399"/>
      </top>
      <bottom style="medium">
        <color rgb="FF00B0F0"/>
      </bottom>
      <diagonal/>
    </border>
    <border>
      <left style="medium">
        <color auto="1"/>
      </left>
      <right style="thin">
        <color auto="1"/>
      </right>
      <top/>
      <bottom style="medium">
        <color rgb="FFFF0000"/>
      </bottom>
      <diagonal/>
    </border>
    <border>
      <left/>
      <right style="thin">
        <color auto="1"/>
      </right>
      <top/>
      <bottom style="medium">
        <color rgb="FFFF0000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rgb="FFFF0000"/>
      </bottom>
      <diagonal/>
    </border>
    <border>
      <left style="thin">
        <color auto="1"/>
      </left>
      <right/>
      <top style="thin">
        <color auto="1"/>
      </top>
      <bottom style="medium">
        <color rgb="FFFF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rgb="FFCC3399"/>
      </bottom>
      <diagonal/>
    </border>
    <border>
      <left style="thin">
        <color auto="1"/>
      </left>
      <right/>
      <top style="thin">
        <color auto="1"/>
      </top>
      <bottom style="medium">
        <color rgb="FFCC3399"/>
      </bottom>
      <diagonal/>
    </border>
    <border>
      <left style="thin">
        <color auto="1"/>
      </left>
      <right style="thin">
        <color auto="1"/>
      </right>
      <top style="medium">
        <color rgb="FFCC3399"/>
      </top>
      <bottom style="medium">
        <color rgb="FF00B0F0"/>
      </bottom>
      <diagonal/>
    </border>
    <border>
      <left style="thin">
        <color auto="1"/>
      </left>
      <right/>
      <top style="medium">
        <color rgb="FFCC3399"/>
      </top>
      <bottom style="medium">
        <color rgb="FF00B0F0"/>
      </bottom>
      <diagonal/>
    </border>
    <border>
      <left style="thin">
        <color auto="1"/>
      </left>
      <right style="thin">
        <color auto="1"/>
      </right>
      <top/>
      <bottom style="medium">
        <color rgb="FFFF0000"/>
      </bottom>
      <diagonal/>
    </border>
    <border>
      <left style="thin">
        <color auto="1"/>
      </left>
      <right/>
      <top/>
      <bottom style="medium">
        <color rgb="FFFF0000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/>
      <top/>
      <bottom style="medium">
        <color rgb="FFFF0000"/>
      </bottom>
      <diagonal/>
    </border>
    <border>
      <left style="thin">
        <color auto="1"/>
      </left>
      <right style="medium">
        <color auto="1"/>
      </right>
      <top style="medium">
        <color rgb="FFFF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rgb="FFFF0000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rgb="FFFF0000"/>
      </bottom>
      <diagonal/>
    </border>
    <border>
      <left style="thin">
        <color auto="1"/>
      </left>
      <right/>
      <top/>
      <bottom style="medium">
        <color rgb="FFCC3399"/>
      </bottom>
      <diagonal/>
    </border>
    <border>
      <left style="thin">
        <color auto="1"/>
      </left>
      <right style="medium">
        <color auto="1"/>
      </right>
      <top/>
      <bottom style="medium">
        <color rgb="FFCC3399"/>
      </bottom>
      <diagonal/>
    </border>
    <border>
      <left/>
      <right/>
      <top/>
      <bottom style="medium">
        <color rgb="FFCC3399"/>
      </bottom>
      <diagonal/>
    </border>
    <border>
      <left style="thin">
        <color auto="1"/>
      </left>
      <right style="thin">
        <color auto="1"/>
      </right>
      <top/>
      <bottom style="medium">
        <color rgb="FFCC3399"/>
      </bottom>
      <diagonal/>
    </border>
    <border>
      <left style="thin">
        <color auto="1"/>
      </left>
      <right style="medium">
        <color auto="1"/>
      </right>
      <top style="medium">
        <color rgb="FFCC3399"/>
      </top>
      <bottom style="medium">
        <color rgb="FF00B0F0"/>
      </bottom>
      <diagonal/>
    </border>
    <border>
      <left/>
      <right/>
      <top style="medium">
        <color rgb="FFCC3399"/>
      </top>
      <bottom style="medium">
        <color rgb="FF00B0F0"/>
      </bottom>
      <diagonal/>
    </border>
    <border>
      <left style="thin">
        <color auto="1"/>
      </left>
      <right style="medium">
        <color auto="1"/>
      </right>
      <top style="medium">
        <color rgb="FF00B0F0"/>
      </top>
      <bottom style="medium">
        <color rgb="FFFF0000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medium">
        <color auto="1"/>
      </right>
      <top style="medium">
        <color auto="1"/>
      </top>
      <bottom style="medium">
        <color rgb="FFFF0000"/>
      </bottom>
      <diagonal/>
    </border>
    <border>
      <left style="thin">
        <color theme="1"/>
      </left>
      <right style="thin">
        <color theme="1"/>
      </right>
      <top style="medium">
        <color rgb="FFFF0000"/>
      </top>
      <bottom style="thin">
        <color theme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rgb="FFFF0000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rgb="FFCC3399"/>
      </bottom>
      <diagonal/>
    </border>
    <border>
      <left style="thin">
        <color theme="1"/>
      </left>
      <right style="medium">
        <color auto="1"/>
      </right>
      <top style="medium">
        <color auto="1"/>
      </top>
      <bottom style="medium">
        <color rgb="FFCC3399"/>
      </bottom>
      <diagonal/>
    </border>
    <border>
      <left style="thin">
        <color theme="1"/>
      </left>
      <right style="thin">
        <color theme="1"/>
      </right>
      <top style="medium">
        <color rgb="FFCC3399"/>
      </top>
      <bottom style="medium">
        <color rgb="FF00B0F0"/>
      </bottom>
      <diagonal/>
    </border>
    <border>
      <left style="thin">
        <color theme="1"/>
      </left>
      <right style="medium">
        <color auto="1"/>
      </right>
      <top style="medium">
        <color rgb="FFCC3399"/>
      </top>
      <bottom style="medium">
        <color rgb="FF00B0F0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/>
      <right style="medium">
        <color auto="1"/>
      </right>
      <top/>
      <bottom/>
      <diagonal/>
    </border>
    <border>
      <left style="thin">
        <color theme="1"/>
      </left>
      <right style="thin">
        <color theme="1"/>
      </right>
      <top style="medium">
        <color rgb="FF00B0F0"/>
      </top>
      <bottom style="medium">
        <color rgb="FFFF0000"/>
      </bottom>
      <diagonal/>
    </border>
    <border>
      <left style="thin">
        <color theme="1"/>
      </left>
      <right style="medium">
        <color auto="1"/>
      </right>
      <top style="medium">
        <color rgb="FF00B0F0"/>
      </top>
      <bottom style="medium">
        <color rgb="FFFF0000"/>
      </bottom>
      <diagonal/>
    </border>
    <border>
      <left style="thin">
        <color theme="1"/>
      </left>
      <right style="medium">
        <color auto="1"/>
      </right>
      <top style="medium">
        <color rgb="FFFF0000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rgb="FFFF0000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 style="medium">
        <color theme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</borders>
  <cellStyleXfs count="4">
    <xf numFmtId="0" fontId="0" fillId="0" borderId="0"/>
    <xf numFmtId="0" fontId="6" fillId="0" borderId="0"/>
    <xf numFmtId="164" fontId="6" fillId="0" borderId="0" applyFont="0" applyFill="0" applyBorder="0" applyAlignment="0" applyProtection="0"/>
    <xf numFmtId="43" fontId="5" fillId="0" borderId="0" applyFont="0" applyFill="0" applyBorder="0" applyAlignment="0" applyProtection="0"/>
  </cellStyleXfs>
  <cellXfs count="206">
    <xf numFmtId="0" fontId="0" fillId="0" borderId="0" xfId="0"/>
    <xf numFmtId="0" fontId="1" fillId="0" borderId="0" xfId="1" applyFont="1" applyAlignment="1">
      <alignment horizontal="center" vertical="center"/>
    </xf>
    <xf numFmtId="0" fontId="1" fillId="0" borderId="0" xfId="1" applyFont="1" applyAlignment="1">
      <alignment vertical="center"/>
    </xf>
    <xf numFmtId="0" fontId="2" fillId="0" borderId="0" xfId="1" applyFont="1" applyAlignment="1">
      <alignment vertical="center"/>
    </xf>
    <xf numFmtId="0" fontId="1" fillId="0" borderId="0" xfId="1" applyFont="1" applyAlignment="1">
      <alignment horizontal="center" vertical="center" wrapText="1"/>
    </xf>
    <xf numFmtId="0" fontId="1" fillId="0" borderId="1" xfId="1" applyFont="1" applyBorder="1" applyAlignment="1">
      <alignment horizontal="center" vertical="center" wrapText="1"/>
    </xf>
    <xf numFmtId="0" fontId="1" fillId="0" borderId="2" xfId="1" applyFont="1" applyBorder="1" applyAlignment="1">
      <alignment horizontal="center" vertical="center" wrapText="1"/>
    </xf>
    <xf numFmtId="0" fontId="1" fillId="0" borderId="3" xfId="1" applyFont="1" applyBorder="1" applyAlignment="1">
      <alignment vertical="center"/>
    </xf>
    <xf numFmtId="165" fontId="2" fillId="2" borderId="3" xfId="3" applyNumberFormat="1" applyFont="1" applyFill="1" applyBorder="1" applyAlignment="1">
      <alignment vertical="center"/>
    </xf>
    <xf numFmtId="165" fontId="2" fillId="2" borderId="4" xfId="3" applyNumberFormat="1" applyFont="1" applyFill="1" applyBorder="1" applyAlignment="1">
      <alignment vertical="center"/>
    </xf>
    <xf numFmtId="3" fontId="2" fillId="2" borderId="3" xfId="3" applyNumberFormat="1" applyFont="1" applyFill="1" applyBorder="1" applyAlignment="1">
      <alignment vertical="center"/>
    </xf>
    <xf numFmtId="3" fontId="2" fillId="2" borderId="4" xfId="3" applyNumberFormat="1" applyFont="1" applyFill="1" applyBorder="1" applyAlignment="1">
      <alignment vertical="center"/>
    </xf>
    <xf numFmtId="0" fontId="1" fillId="0" borderId="5" xfId="1" applyFont="1" applyBorder="1" applyAlignment="1">
      <alignment vertical="center"/>
    </xf>
    <xf numFmtId="3" fontId="2" fillId="2" borderId="5" xfId="3" applyNumberFormat="1" applyFont="1" applyFill="1" applyBorder="1" applyAlignment="1">
      <alignment vertical="center"/>
    </xf>
    <xf numFmtId="3" fontId="2" fillId="2" borderId="6" xfId="3" applyNumberFormat="1" applyFont="1" applyFill="1" applyBorder="1" applyAlignment="1">
      <alignment vertical="center"/>
    </xf>
    <xf numFmtId="0" fontId="1" fillId="0" borderId="7" xfId="1" applyFont="1" applyBorder="1" applyAlignment="1">
      <alignment vertical="center"/>
    </xf>
    <xf numFmtId="0" fontId="1" fillId="0" borderId="8" xfId="1" applyFont="1" applyBorder="1" applyAlignment="1">
      <alignment vertical="center"/>
    </xf>
    <xf numFmtId="0" fontId="1" fillId="0" borderId="9" xfId="1" applyFont="1" applyBorder="1" applyAlignment="1">
      <alignment vertical="center"/>
    </xf>
    <xf numFmtId="3" fontId="2" fillId="2" borderId="9" xfId="3" applyNumberFormat="1" applyFont="1" applyFill="1" applyBorder="1" applyAlignment="1">
      <alignment vertical="center"/>
    </xf>
    <xf numFmtId="3" fontId="2" fillId="2" borderId="10" xfId="3" applyNumberFormat="1" applyFont="1" applyFill="1" applyBorder="1" applyAlignment="1">
      <alignment vertical="center"/>
    </xf>
    <xf numFmtId="0" fontId="1" fillId="0" borderId="11" xfId="1" applyFont="1" applyBorder="1" applyAlignment="1">
      <alignment vertical="center"/>
    </xf>
    <xf numFmtId="3" fontId="2" fillId="2" borderId="11" xfId="3" applyNumberFormat="1" applyFont="1" applyFill="1" applyBorder="1" applyAlignment="1">
      <alignment vertical="center"/>
    </xf>
    <xf numFmtId="3" fontId="2" fillId="2" borderId="12" xfId="3" applyNumberFormat="1" applyFont="1" applyFill="1" applyBorder="1" applyAlignment="1">
      <alignment vertical="center"/>
    </xf>
    <xf numFmtId="0" fontId="1" fillId="0" borderId="13" xfId="1" applyFont="1" applyBorder="1" applyAlignment="1">
      <alignment vertical="center"/>
    </xf>
    <xf numFmtId="3" fontId="2" fillId="2" borderId="13" xfId="3" applyNumberFormat="1" applyFont="1" applyFill="1" applyBorder="1" applyAlignment="1">
      <alignment vertical="center"/>
    </xf>
    <xf numFmtId="3" fontId="2" fillId="2" borderId="14" xfId="3" applyNumberFormat="1" applyFont="1" applyFill="1" applyBorder="1" applyAlignment="1">
      <alignment vertical="center"/>
    </xf>
    <xf numFmtId="3" fontId="2" fillId="2" borderId="15" xfId="3" applyNumberFormat="1" applyFont="1" applyFill="1" applyBorder="1" applyAlignment="1">
      <alignment vertical="center"/>
    </xf>
    <xf numFmtId="3" fontId="2" fillId="2" borderId="16" xfId="3" applyNumberFormat="1" applyFont="1" applyFill="1" applyBorder="1" applyAlignment="1">
      <alignment vertical="center"/>
    </xf>
    <xf numFmtId="0" fontId="1" fillId="0" borderId="17" xfId="1" applyFont="1" applyBorder="1" applyAlignment="1">
      <alignment vertical="center" wrapText="1"/>
    </xf>
    <xf numFmtId="165" fontId="1" fillId="0" borderId="17" xfId="3" applyNumberFormat="1" applyFont="1" applyFill="1" applyBorder="1" applyAlignment="1">
      <alignment vertical="center"/>
    </xf>
    <xf numFmtId="165" fontId="1" fillId="0" borderId="18" xfId="3" applyNumberFormat="1" applyFont="1" applyFill="1" applyBorder="1" applyAlignment="1">
      <alignment vertical="center"/>
    </xf>
    <xf numFmtId="0" fontId="1" fillId="0" borderId="18" xfId="1" applyFont="1" applyBorder="1" applyAlignment="1">
      <alignment horizontal="center" vertical="center" wrapText="1"/>
    </xf>
    <xf numFmtId="0" fontId="1" fillId="0" borderId="21" xfId="1" applyFont="1" applyBorder="1" applyAlignment="1">
      <alignment horizontal="center" vertical="center" wrapText="1"/>
    </xf>
    <xf numFmtId="165" fontId="2" fillId="2" borderId="22" xfId="3" applyNumberFormat="1" applyFont="1" applyFill="1" applyBorder="1" applyAlignment="1">
      <alignment vertical="center"/>
    </xf>
    <xf numFmtId="165" fontId="2" fillId="0" borderId="22" xfId="3" applyNumberFormat="1" applyFont="1" applyFill="1" applyBorder="1" applyAlignment="1">
      <alignment vertical="center"/>
    </xf>
    <xf numFmtId="165" fontId="2" fillId="0" borderId="23" xfId="3" applyNumberFormat="1" applyFont="1" applyFill="1" applyBorder="1" applyAlignment="1">
      <alignment vertical="center"/>
    </xf>
    <xf numFmtId="3" fontId="2" fillId="2" borderId="22" xfId="3" applyNumberFormat="1" applyFont="1" applyFill="1" applyBorder="1" applyAlignment="1">
      <alignment vertical="center"/>
    </xf>
    <xf numFmtId="3" fontId="2" fillId="0" borderId="22" xfId="3" applyNumberFormat="1" applyFont="1" applyFill="1" applyBorder="1" applyAlignment="1">
      <alignment vertical="center"/>
    </xf>
    <xf numFmtId="3" fontId="2" fillId="0" borderId="23" xfId="3" applyNumberFormat="1" applyFont="1" applyFill="1" applyBorder="1" applyAlignment="1">
      <alignment vertical="center"/>
    </xf>
    <xf numFmtId="3" fontId="2" fillId="2" borderId="24" xfId="3" applyNumberFormat="1" applyFont="1" applyFill="1" applyBorder="1" applyAlignment="1">
      <alignment vertical="center"/>
    </xf>
    <xf numFmtId="3" fontId="2" fillId="0" borderId="24" xfId="3" applyNumberFormat="1" applyFont="1" applyFill="1" applyBorder="1" applyAlignment="1">
      <alignment vertical="center"/>
    </xf>
    <xf numFmtId="3" fontId="2" fillId="0" borderId="25" xfId="3" applyNumberFormat="1" applyFont="1" applyFill="1" applyBorder="1" applyAlignment="1">
      <alignment vertical="center"/>
    </xf>
    <xf numFmtId="3" fontId="2" fillId="2" borderId="26" xfId="3" applyNumberFormat="1" applyFont="1" applyFill="1" applyBorder="1" applyAlignment="1">
      <alignment vertical="center"/>
    </xf>
    <xf numFmtId="3" fontId="2" fillId="0" borderId="26" xfId="3" applyNumberFormat="1" applyFont="1" applyFill="1" applyBorder="1" applyAlignment="1">
      <alignment vertical="center"/>
    </xf>
    <xf numFmtId="3" fontId="2" fillId="0" borderId="27" xfId="3" applyNumberFormat="1" applyFont="1" applyFill="1" applyBorder="1" applyAlignment="1">
      <alignment vertical="center"/>
    </xf>
    <xf numFmtId="3" fontId="2" fillId="2" borderId="28" xfId="3" applyNumberFormat="1" applyFont="1" applyFill="1" applyBorder="1" applyAlignment="1">
      <alignment vertical="center"/>
    </xf>
    <xf numFmtId="3" fontId="2" fillId="0" borderId="28" xfId="3" applyNumberFormat="1" applyFont="1" applyFill="1" applyBorder="1" applyAlignment="1">
      <alignment vertical="center"/>
    </xf>
    <xf numFmtId="3" fontId="2" fillId="0" borderId="29" xfId="3" applyNumberFormat="1" applyFont="1" applyFill="1" applyBorder="1" applyAlignment="1">
      <alignment vertical="center"/>
    </xf>
    <xf numFmtId="3" fontId="2" fillId="2" borderId="30" xfId="3" applyNumberFormat="1" applyFont="1" applyFill="1" applyBorder="1" applyAlignment="1">
      <alignment vertical="center"/>
    </xf>
    <xf numFmtId="3" fontId="2" fillId="0" borderId="30" xfId="3" applyNumberFormat="1" applyFont="1" applyFill="1" applyBorder="1" applyAlignment="1">
      <alignment vertical="center"/>
    </xf>
    <xf numFmtId="3" fontId="2" fillId="0" borderId="31" xfId="3" applyNumberFormat="1" applyFont="1" applyFill="1" applyBorder="1" applyAlignment="1">
      <alignment vertical="center"/>
    </xf>
    <xf numFmtId="3" fontId="2" fillId="2" borderId="32" xfId="3" applyNumberFormat="1" applyFont="1" applyFill="1" applyBorder="1" applyAlignment="1">
      <alignment vertical="center"/>
    </xf>
    <xf numFmtId="3" fontId="2" fillId="0" borderId="32" xfId="3" applyNumberFormat="1" applyFont="1" applyFill="1" applyBorder="1" applyAlignment="1">
      <alignment vertical="center"/>
    </xf>
    <xf numFmtId="3" fontId="2" fillId="0" borderId="33" xfId="3" applyNumberFormat="1" applyFont="1" applyFill="1" applyBorder="1" applyAlignment="1">
      <alignment vertical="center"/>
    </xf>
    <xf numFmtId="165" fontId="1" fillId="0" borderId="21" xfId="3" applyNumberFormat="1" applyFont="1" applyFill="1" applyBorder="1" applyAlignment="1">
      <alignment vertical="center"/>
    </xf>
    <xf numFmtId="165" fontId="1" fillId="0" borderId="34" xfId="3" applyNumberFormat="1" applyFont="1" applyFill="1" applyBorder="1" applyAlignment="1">
      <alignment vertical="center"/>
    </xf>
    <xf numFmtId="165" fontId="1" fillId="0" borderId="35" xfId="3" applyNumberFormat="1" applyFont="1" applyFill="1" applyBorder="1" applyAlignment="1">
      <alignment vertical="center"/>
    </xf>
    <xf numFmtId="0" fontId="2" fillId="0" borderId="37" xfId="1" applyFont="1" applyBorder="1" applyAlignment="1">
      <alignment horizontal="center" vertical="center" wrapText="1"/>
    </xf>
    <xf numFmtId="0" fontId="2" fillId="0" borderId="0" xfId="1" applyFont="1" applyAlignment="1">
      <alignment horizontal="center" vertical="center" wrapText="1"/>
    </xf>
    <xf numFmtId="0" fontId="2" fillId="0" borderId="38" xfId="1" applyFont="1" applyBorder="1" applyAlignment="1">
      <alignment horizontal="center" vertical="center" wrapText="1"/>
    </xf>
    <xf numFmtId="0" fontId="1" fillId="0" borderId="42" xfId="1" applyFont="1" applyBorder="1" applyAlignment="1">
      <alignment horizontal="center" vertical="center"/>
    </xf>
    <xf numFmtId="165" fontId="2" fillId="0" borderId="43" xfId="3" applyNumberFormat="1" applyFont="1" applyFill="1" applyBorder="1" applyAlignment="1">
      <alignment vertical="center"/>
    </xf>
    <xf numFmtId="165" fontId="2" fillId="0" borderId="0" xfId="3" applyNumberFormat="1" applyFont="1" applyAlignment="1">
      <alignment vertical="center"/>
    </xf>
    <xf numFmtId="3" fontId="2" fillId="0" borderId="43" xfId="3" applyNumberFormat="1" applyFont="1" applyFill="1" applyBorder="1" applyAlignment="1">
      <alignment vertical="center"/>
    </xf>
    <xf numFmtId="3" fontId="2" fillId="0" borderId="44" xfId="3" applyNumberFormat="1" applyFont="1" applyFill="1" applyBorder="1" applyAlignment="1">
      <alignment vertical="center"/>
    </xf>
    <xf numFmtId="165" fontId="2" fillId="0" borderId="45" xfId="3" applyNumberFormat="1" applyFont="1" applyBorder="1" applyAlignment="1">
      <alignment vertical="center"/>
    </xf>
    <xf numFmtId="3" fontId="2" fillId="0" borderId="46" xfId="3" applyNumberFormat="1" applyFont="1" applyFill="1" applyBorder="1" applyAlignment="1">
      <alignment vertical="center"/>
    </xf>
    <xf numFmtId="165" fontId="1" fillId="0" borderId="45" xfId="3" applyNumberFormat="1" applyFont="1" applyBorder="1" applyAlignment="1">
      <alignment vertical="center"/>
    </xf>
    <xf numFmtId="3" fontId="2" fillId="0" borderId="47" xfId="3" applyNumberFormat="1" applyFont="1" applyFill="1" applyBorder="1" applyAlignment="1">
      <alignment vertical="center"/>
    </xf>
    <xf numFmtId="165" fontId="1" fillId="0" borderId="0" xfId="3" applyNumberFormat="1" applyFont="1" applyAlignment="1">
      <alignment vertical="center"/>
    </xf>
    <xf numFmtId="3" fontId="2" fillId="0" borderId="48" xfId="3" applyNumberFormat="1" applyFont="1" applyFill="1" applyBorder="1" applyAlignment="1">
      <alignment vertical="center"/>
    </xf>
    <xf numFmtId="3" fontId="2" fillId="0" borderId="49" xfId="3" applyNumberFormat="1" applyFont="1" applyFill="1" applyBorder="1" applyAlignment="1">
      <alignment vertical="center"/>
    </xf>
    <xf numFmtId="3" fontId="2" fillId="0" borderId="50" xfId="3" applyNumberFormat="1" applyFont="1" applyFill="1" applyBorder="1" applyAlignment="1">
      <alignment vertical="center"/>
    </xf>
    <xf numFmtId="165" fontId="2" fillId="0" borderId="51" xfId="3" applyNumberFormat="1" applyFont="1" applyBorder="1" applyAlignment="1">
      <alignment vertical="center"/>
    </xf>
    <xf numFmtId="3" fontId="2" fillId="2" borderId="52" xfId="3" applyNumberFormat="1" applyFont="1" applyFill="1" applyBorder="1" applyAlignment="1">
      <alignment vertical="center"/>
    </xf>
    <xf numFmtId="3" fontId="2" fillId="0" borderId="53" xfId="3" applyNumberFormat="1" applyFont="1" applyFill="1" applyBorder="1" applyAlignment="1">
      <alignment vertical="center"/>
    </xf>
    <xf numFmtId="165" fontId="2" fillId="0" borderId="54" xfId="3" applyNumberFormat="1" applyFont="1" applyBorder="1" applyAlignment="1">
      <alignment vertical="center"/>
    </xf>
    <xf numFmtId="3" fontId="2" fillId="0" borderId="55" xfId="3" applyNumberFormat="1" applyFont="1" applyFill="1" applyBorder="1" applyAlignment="1">
      <alignment vertical="center"/>
    </xf>
    <xf numFmtId="165" fontId="1" fillId="0" borderId="41" xfId="3" applyNumberFormat="1" applyFont="1" applyFill="1" applyBorder="1" applyAlignment="1">
      <alignment vertical="center"/>
    </xf>
    <xf numFmtId="3" fontId="1" fillId="0" borderId="21" xfId="3" applyNumberFormat="1" applyFont="1" applyFill="1" applyBorder="1" applyAlignment="1">
      <alignment vertical="center"/>
    </xf>
    <xf numFmtId="0" fontId="2" fillId="0" borderId="39" xfId="1" applyFont="1" applyBorder="1" applyAlignment="1">
      <alignment vertical="center"/>
    </xf>
    <xf numFmtId="165" fontId="1" fillId="0" borderId="56" xfId="3" applyNumberFormat="1" applyFont="1" applyBorder="1" applyAlignment="1">
      <alignment vertical="center"/>
    </xf>
    <xf numFmtId="0" fontId="2" fillId="0" borderId="57" xfId="1" applyFont="1" applyBorder="1" applyAlignment="1">
      <alignment vertical="center"/>
    </xf>
    <xf numFmtId="165" fontId="1" fillId="3" borderId="7" xfId="3" applyNumberFormat="1" applyFont="1" applyFill="1" applyBorder="1" applyAlignment="1">
      <alignment vertical="center"/>
    </xf>
    <xf numFmtId="165" fontId="1" fillId="0" borderId="7" xfId="3" applyNumberFormat="1" applyFont="1" applyBorder="1" applyAlignment="1">
      <alignment vertical="center"/>
    </xf>
    <xf numFmtId="0" fontId="3" fillId="0" borderId="59" xfId="1" applyFont="1" applyBorder="1" applyAlignment="1">
      <alignment horizontal="center" vertical="center"/>
    </xf>
    <xf numFmtId="0" fontId="1" fillId="0" borderId="34" xfId="1" applyFont="1" applyBorder="1" applyAlignment="1">
      <alignment horizontal="center" vertical="center"/>
    </xf>
    <xf numFmtId="165" fontId="1" fillId="0" borderId="19" xfId="3" applyNumberFormat="1" applyFont="1" applyBorder="1" applyAlignment="1">
      <alignment vertical="center"/>
    </xf>
    <xf numFmtId="165" fontId="1" fillId="0" borderId="20" xfId="3" applyNumberFormat="1" applyFont="1" applyBorder="1" applyAlignment="1">
      <alignment vertical="center"/>
    </xf>
    <xf numFmtId="165" fontId="1" fillId="3" borderId="60" xfId="3" applyNumberFormat="1" applyFont="1" applyFill="1" applyBorder="1" applyAlignment="1">
      <alignment vertical="center"/>
    </xf>
    <xf numFmtId="165" fontId="1" fillId="3" borderId="61" xfId="3" applyNumberFormat="1" applyFont="1" applyFill="1" applyBorder="1" applyAlignment="1">
      <alignment vertical="center"/>
    </xf>
    <xf numFmtId="165" fontId="1" fillId="0" borderId="60" xfId="3" applyNumberFormat="1" applyFont="1" applyBorder="1" applyAlignment="1">
      <alignment vertical="center"/>
    </xf>
    <xf numFmtId="165" fontId="1" fillId="0" borderId="61" xfId="3" applyNumberFormat="1" applyFont="1" applyBorder="1" applyAlignment="1">
      <alignment vertical="center"/>
    </xf>
    <xf numFmtId="0" fontId="1" fillId="0" borderId="44" xfId="1" applyFont="1" applyBorder="1" applyAlignment="1">
      <alignment horizontal="center" vertical="center" wrapText="1"/>
    </xf>
    <xf numFmtId="0" fontId="3" fillId="0" borderId="10" xfId="1" applyFont="1" applyBorder="1" applyAlignment="1">
      <alignment horizontal="center" vertical="center"/>
    </xf>
    <xf numFmtId="0" fontId="1" fillId="0" borderId="62" xfId="1" applyFont="1" applyBorder="1" applyAlignment="1">
      <alignment horizontal="center" vertical="center"/>
    </xf>
    <xf numFmtId="165" fontId="2" fillId="2" borderId="23" xfId="3" applyNumberFormat="1" applyFont="1" applyFill="1" applyBorder="1" applyAlignment="1">
      <alignment vertical="center"/>
    </xf>
    <xf numFmtId="165" fontId="2" fillId="0" borderId="63" xfId="3" applyNumberFormat="1" applyFont="1" applyFill="1" applyBorder="1" applyAlignment="1">
      <alignment vertical="center"/>
    </xf>
    <xf numFmtId="165" fontId="2" fillId="4" borderId="2" xfId="3" applyNumberFormat="1" applyFont="1" applyFill="1" applyBorder="1" applyAlignment="1">
      <alignment vertical="center"/>
    </xf>
    <xf numFmtId="3" fontId="2" fillId="2" borderId="23" xfId="3" applyNumberFormat="1" applyFont="1" applyFill="1" applyBorder="1" applyAlignment="1">
      <alignment vertical="center"/>
    </xf>
    <xf numFmtId="3" fontId="2" fillId="0" borderId="63" xfId="3" applyNumberFormat="1" applyFont="1" applyFill="1" applyBorder="1" applyAlignment="1">
      <alignment vertical="center"/>
    </xf>
    <xf numFmtId="3" fontId="2" fillId="4" borderId="2" xfId="3" applyNumberFormat="1" applyFont="1" applyFill="1" applyBorder="1" applyAlignment="1">
      <alignment vertical="center"/>
    </xf>
    <xf numFmtId="3" fontId="2" fillId="2" borderId="33" xfId="3" applyNumberFormat="1" applyFont="1" applyFill="1" applyBorder="1" applyAlignment="1">
      <alignment vertical="center"/>
    </xf>
    <xf numFmtId="3" fontId="2" fillId="0" borderId="64" xfId="3" applyNumberFormat="1" applyFont="1" applyFill="1" applyBorder="1" applyAlignment="1">
      <alignment vertical="center"/>
    </xf>
    <xf numFmtId="3" fontId="2" fillId="4" borderId="65" xfId="3" applyNumberFormat="1" applyFont="1" applyFill="1" applyBorder="1" applyAlignment="1">
      <alignment vertical="center"/>
    </xf>
    <xf numFmtId="3" fontId="2" fillId="0" borderId="66" xfId="3" applyNumberFormat="1" applyFont="1" applyFill="1" applyBorder="1" applyAlignment="1">
      <alignment vertical="center"/>
    </xf>
    <xf numFmtId="3" fontId="2" fillId="4" borderId="67" xfId="3" applyNumberFormat="1" applyFont="1" applyFill="1" applyBorder="1" applyAlignment="1">
      <alignment vertical="center"/>
    </xf>
    <xf numFmtId="3" fontId="2" fillId="0" borderId="68" xfId="3" applyNumberFormat="1" applyFont="1" applyFill="1" applyBorder="1" applyAlignment="1">
      <alignment vertical="center"/>
    </xf>
    <xf numFmtId="3" fontId="2" fillId="0" borderId="69" xfId="3" applyNumberFormat="1" applyFont="1" applyFill="1" applyBorder="1" applyAlignment="1">
      <alignment vertical="center"/>
    </xf>
    <xf numFmtId="3" fontId="2" fillId="2" borderId="49" xfId="3" applyNumberFormat="1" applyFont="1" applyFill="1" applyBorder="1" applyAlignment="1">
      <alignment vertical="center"/>
    </xf>
    <xf numFmtId="3" fontId="2" fillId="0" borderId="70" xfId="3" applyNumberFormat="1" applyFont="1" applyFill="1" applyBorder="1" applyAlignment="1">
      <alignment vertical="center"/>
    </xf>
    <xf numFmtId="3" fontId="2" fillId="4" borderId="71" xfId="3" applyNumberFormat="1" applyFont="1" applyFill="1" applyBorder="1" applyAlignment="1">
      <alignment vertical="center"/>
    </xf>
    <xf numFmtId="3" fontId="2" fillId="2" borderId="31" xfId="3" applyNumberFormat="1" applyFont="1" applyFill="1" applyBorder="1" applyAlignment="1">
      <alignment vertical="center"/>
    </xf>
    <xf numFmtId="3" fontId="2" fillId="0" borderId="72" xfId="3" applyNumberFormat="1" applyFont="1" applyFill="1" applyBorder="1" applyAlignment="1">
      <alignment vertical="center"/>
    </xf>
    <xf numFmtId="3" fontId="2" fillId="4" borderId="73" xfId="3" applyNumberFormat="1" applyFont="1" applyFill="1" applyBorder="1" applyAlignment="1">
      <alignment vertical="center"/>
    </xf>
    <xf numFmtId="3" fontId="2" fillId="0" borderId="74" xfId="3" applyNumberFormat="1" applyFont="1" applyFill="1" applyBorder="1" applyAlignment="1">
      <alignment vertical="center"/>
    </xf>
    <xf numFmtId="3" fontId="2" fillId="4" borderId="75" xfId="3" applyNumberFormat="1" applyFont="1" applyFill="1" applyBorder="1" applyAlignment="1">
      <alignment vertical="center"/>
    </xf>
    <xf numFmtId="3" fontId="2" fillId="0" borderId="76" xfId="3" applyNumberFormat="1" applyFont="1" applyFill="1" applyBorder="1" applyAlignment="1">
      <alignment vertical="center"/>
    </xf>
    <xf numFmtId="3" fontId="2" fillId="4" borderId="77" xfId="3" applyNumberFormat="1" applyFont="1" applyFill="1" applyBorder="1" applyAlignment="1">
      <alignment vertical="center"/>
    </xf>
    <xf numFmtId="3" fontId="2" fillId="4" borderId="78" xfId="3" applyNumberFormat="1" applyFont="1" applyFill="1" applyBorder="1" applyAlignment="1">
      <alignment vertical="center"/>
    </xf>
    <xf numFmtId="3" fontId="2" fillId="4" borderId="79" xfId="3" applyNumberFormat="1" applyFont="1" applyFill="1" applyBorder="1" applyAlignment="1">
      <alignment vertical="center"/>
    </xf>
    <xf numFmtId="3" fontId="1" fillId="0" borderId="80" xfId="3" applyNumberFormat="1" applyFont="1" applyFill="1" applyBorder="1" applyAlignment="1">
      <alignment vertical="center"/>
    </xf>
    <xf numFmtId="3" fontId="1" fillId="0" borderId="35" xfId="3" applyNumberFormat="1" applyFont="1" applyFill="1" applyBorder="1" applyAlignment="1">
      <alignment vertical="center"/>
    </xf>
    <xf numFmtId="3" fontId="1" fillId="0" borderId="81" xfId="3" applyNumberFormat="1" applyFont="1" applyFill="1" applyBorder="1" applyAlignment="1">
      <alignment vertical="center"/>
    </xf>
    <xf numFmtId="165" fontId="1" fillId="0" borderId="82" xfId="3" applyNumberFormat="1" applyFont="1" applyBorder="1" applyAlignment="1">
      <alignment vertical="center"/>
    </xf>
    <xf numFmtId="165" fontId="1" fillId="0" borderId="39" xfId="3" applyNumberFormat="1" applyFont="1" applyBorder="1" applyAlignment="1">
      <alignment vertical="center"/>
    </xf>
    <xf numFmtId="165" fontId="1" fillId="3" borderId="83" xfId="3" applyNumberFormat="1" applyFont="1" applyFill="1" applyBorder="1" applyAlignment="1">
      <alignment vertical="center"/>
    </xf>
    <xf numFmtId="165" fontId="1" fillId="3" borderId="57" xfId="3" applyNumberFormat="1" applyFont="1" applyFill="1" applyBorder="1" applyAlignment="1">
      <alignment vertical="center"/>
    </xf>
    <xf numFmtId="165" fontId="1" fillId="0" borderId="83" xfId="3" applyNumberFormat="1" applyFont="1" applyBorder="1" applyAlignment="1">
      <alignment vertical="center"/>
    </xf>
    <xf numFmtId="165" fontId="1" fillId="0" borderId="57" xfId="3" applyNumberFormat="1" applyFont="1" applyBorder="1" applyAlignment="1">
      <alignment vertical="center"/>
    </xf>
    <xf numFmtId="0" fontId="1" fillId="0" borderId="42" xfId="1" applyFont="1" applyBorder="1" applyAlignment="1">
      <alignment horizontal="center" vertical="center" wrapText="1"/>
    </xf>
    <xf numFmtId="0" fontId="1" fillId="0" borderId="84" xfId="1" applyFont="1" applyBorder="1" applyAlignment="1">
      <alignment horizontal="center" vertical="center" wrapText="1"/>
    </xf>
    <xf numFmtId="0" fontId="1" fillId="0" borderId="62" xfId="1" applyFont="1" applyBorder="1" applyAlignment="1">
      <alignment horizontal="center" vertical="center" wrapText="1"/>
    </xf>
    <xf numFmtId="0" fontId="1" fillId="0" borderId="81" xfId="1" applyFont="1" applyBorder="1" applyAlignment="1">
      <alignment horizontal="center" vertical="center" wrapText="1"/>
    </xf>
    <xf numFmtId="165" fontId="2" fillId="2" borderId="38" xfId="3" applyNumberFormat="1" applyFont="1" applyFill="1" applyBorder="1" applyAlignment="1">
      <alignment vertical="center"/>
    </xf>
    <xf numFmtId="165" fontId="2" fillId="2" borderId="61" xfId="3" applyNumberFormat="1" applyFont="1" applyFill="1" applyBorder="1" applyAlignment="1">
      <alignment vertical="center"/>
    </xf>
    <xf numFmtId="165" fontId="2" fillId="2" borderId="15" xfId="3" applyNumberFormat="1" applyFont="1" applyFill="1" applyBorder="1" applyAlignment="1">
      <alignment vertical="center"/>
    </xf>
    <xf numFmtId="165" fontId="2" fillId="2" borderId="85" xfId="3" applyNumberFormat="1" applyFont="1" applyFill="1" applyBorder="1" applyAlignment="1">
      <alignment vertical="center"/>
    </xf>
    <xf numFmtId="165" fontId="2" fillId="2" borderId="45" xfId="3" applyNumberFormat="1" applyFont="1" applyFill="1" applyBorder="1" applyAlignment="1">
      <alignment vertical="center"/>
    </xf>
    <xf numFmtId="165" fontId="2" fillId="0" borderId="48" xfId="3" applyNumberFormat="1" applyFont="1" applyFill="1" applyBorder="1" applyAlignment="1">
      <alignment vertical="center"/>
    </xf>
    <xf numFmtId="165" fontId="2" fillId="2" borderId="47" xfId="3" applyNumberFormat="1" applyFont="1" applyFill="1" applyBorder="1" applyAlignment="1">
      <alignment vertical="center"/>
    </xf>
    <xf numFmtId="165" fontId="2" fillId="2" borderId="24" xfId="3" applyNumberFormat="1" applyFont="1" applyFill="1" applyBorder="1" applyAlignment="1">
      <alignment vertical="center"/>
    </xf>
    <xf numFmtId="165" fontId="2" fillId="2" borderId="9" xfId="3" applyNumberFormat="1" applyFont="1" applyFill="1" applyBorder="1" applyAlignment="1">
      <alignment vertical="center"/>
    </xf>
    <xf numFmtId="165" fontId="2" fillId="2" borderId="0" xfId="3" applyNumberFormat="1" applyFont="1" applyFill="1" applyBorder="1" applyAlignment="1">
      <alignment vertical="center"/>
    </xf>
    <xf numFmtId="165" fontId="2" fillId="0" borderId="57" xfId="3" applyNumberFormat="1" applyFont="1" applyFill="1" applyBorder="1" applyAlignment="1">
      <alignment vertical="center"/>
    </xf>
    <xf numFmtId="165" fontId="2" fillId="2" borderId="11" xfId="3" applyNumberFormat="1" applyFont="1" applyFill="1" applyBorder="1" applyAlignment="1">
      <alignment vertical="center"/>
    </xf>
    <xf numFmtId="165" fontId="2" fillId="2" borderId="28" xfId="3" applyNumberFormat="1" applyFont="1" applyFill="1" applyBorder="1" applyAlignment="1">
      <alignment vertical="center"/>
    </xf>
    <xf numFmtId="165" fontId="2" fillId="0" borderId="50" xfId="3" applyNumberFormat="1" applyFont="1" applyFill="1" applyBorder="1" applyAlignment="1">
      <alignment vertical="center"/>
    </xf>
    <xf numFmtId="165" fontId="2" fillId="2" borderId="13" xfId="3" applyNumberFormat="1" applyFont="1" applyFill="1" applyBorder="1" applyAlignment="1">
      <alignment vertical="center"/>
    </xf>
    <xf numFmtId="165" fontId="2" fillId="2" borderId="30" xfId="3" applyNumberFormat="1" applyFont="1" applyFill="1" applyBorder="1" applyAlignment="1">
      <alignment vertical="center"/>
    </xf>
    <xf numFmtId="165" fontId="2" fillId="2" borderId="54" xfId="3" applyNumberFormat="1" applyFont="1" applyFill="1" applyBorder="1" applyAlignment="1">
      <alignment vertical="center"/>
    </xf>
    <xf numFmtId="165" fontId="2" fillId="0" borderId="53" xfId="3" applyNumberFormat="1" applyFont="1" applyFill="1" applyBorder="1" applyAlignment="1">
      <alignment vertical="center"/>
    </xf>
    <xf numFmtId="165" fontId="1" fillId="0" borderId="85" xfId="3" applyNumberFormat="1" applyFont="1" applyFill="1" applyBorder="1" applyAlignment="1">
      <alignment vertical="center"/>
    </xf>
    <xf numFmtId="165" fontId="1" fillId="0" borderId="86" xfId="3" applyNumberFormat="1" applyFont="1" applyFill="1" applyBorder="1" applyAlignment="1">
      <alignment vertical="center"/>
    </xf>
    <xf numFmtId="0" fontId="2" fillId="0" borderId="87" xfId="1" applyFont="1" applyBorder="1" applyAlignment="1">
      <alignment vertical="center"/>
    </xf>
    <xf numFmtId="2" fontId="2" fillId="0" borderId="0" xfId="1" applyNumberFormat="1" applyFont="1" applyAlignment="1">
      <alignment vertical="center"/>
    </xf>
    <xf numFmtId="166" fontId="1" fillId="0" borderId="0" xfId="1" applyNumberFormat="1" applyFont="1" applyAlignment="1">
      <alignment horizontal="center" vertical="center"/>
    </xf>
    <xf numFmtId="166" fontId="1" fillId="0" borderId="0" xfId="1" applyNumberFormat="1" applyFont="1" applyAlignment="1">
      <alignment vertical="center"/>
    </xf>
    <xf numFmtId="167" fontId="2" fillId="0" borderId="0" xfId="1" applyNumberFormat="1" applyFont="1" applyAlignment="1">
      <alignment vertical="center"/>
    </xf>
    <xf numFmtId="0" fontId="1" fillId="0" borderId="88" xfId="1" applyFont="1" applyBorder="1" applyAlignment="1">
      <alignment vertical="center"/>
    </xf>
    <xf numFmtId="0" fontId="2" fillId="0" borderId="22" xfId="1" applyFont="1" applyBorder="1" applyAlignment="1">
      <alignment vertical="center"/>
    </xf>
    <xf numFmtId="167" fontId="2" fillId="0" borderId="22" xfId="2" applyNumberFormat="1" applyFont="1" applyFill="1" applyBorder="1" applyAlignment="1">
      <alignment vertical="center"/>
    </xf>
    <xf numFmtId="0" fontId="2" fillId="0" borderId="61" xfId="1" applyFont="1" applyBorder="1" applyAlignment="1">
      <alignment vertical="center"/>
    </xf>
    <xf numFmtId="167" fontId="2" fillId="0" borderId="61" xfId="2" applyNumberFormat="1" applyFont="1" applyFill="1" applyBorder="1" applyAlignment="1">
      <alignment vertical="center"/>
    </xf>
    <xf numFmtId="0" fontId="2" fillId="0" borderId="89" xfId="1" applyFont="1" applyBorder="1" applyAlignment="1">
      <alignment horizontal="center" vertical="center"/>
    </xf>
    <xf numFmtId="0" fontId="2" fillId="0" borderId="86" xfId="1" applyFont="1" applyBorder="1" applyAlignment="1">
      <alignment horizontal="center" vertical="center"/>
    </xf>
    <xf numFmtId="0" fontId="1" fillId="0" borderId="90" xfId="1" applyFont="1" applyBorder="1" applyAlignment="1">
      <alignment horizontal="center" vertical="center" wrapText="1"/>
    </xf>
    <xf numFmtId="0" fontId="2" fillId="0" borderId="41" xfId="1" applyFont="1" applyBorder="1" applyAlignment="1">
      <alignment vertical="center"/>
    </xf>
    <xf numFmtId="165" fontId="1" fillId="0" borderId="17" xfId="3" applyNumberFormat="1" applyFont="1" applyBorder="1" applyAlignment="1">
      <alignment vertical="center"/>
    </xf>
    <xf numFmtId="0" fontId="1" fillId="0" borderId="88" xfId="1" applyFont="1" applyBorder="1" applyAlignment="1">
      <alignment horizontal="center" vertical="center"/>
    </xf>
    <xf numFmtId="165" fontId="1" fillId="0" borderId="18" xfId="3" applyNumberFormat="1" applyFont="1" applyBorder="1" applyAlignment="1">
      <alignment vertical="center"/>
    </xf>
    <xf numFmtId="165" fontId="1" fillId="0" borderId="21" xfId="3" applyNumberFormat="1" applyFont="1" applyBorder="1" applyAlignment="1">
      <alignment vertical="center"/>
    </xf>
    <xf numFmtId="0" fontId="1" fillId="0" borderId="91" xfId="1" applyFont="1" applyBorder="1" applyAlignment="1">
      <alignment horizontal="center" vertical="center"/>
    </xf>
    <xf numFmtId="0" fontId="1" fillId="0" borderId="84" xfId="1" applyFont="1" applyBorder="1" applyAlignment="1">
      <alignment horizontal="center" vertical="center"/>
    </xf>
    <xf numFmtId="165" fontId="1" fillId="0" borderId="80" xfId="3" applyNumberFormat="1" applyFont="1" applyBorder="1" applyAlignment="1">
      <alignment vertical="center"/>
    </xf>
    <xf numFmtId="165" fontId="1" fillId="0" borderId="41" xfId="3" applyNumberFormat="1" applyFont="1" applyBorder="1" applyAlignment="1">
      <alignment vertical="center"/>
    </xf>
    <xf numFmtId="0" fontId="1" fillId="0" borderId="92" xfId="1" applyFont="1" applyBorder="1" applyAlignment="1">
      <alignment horizontal="center" vertical="center"/>
    </xf>
    <xf numFmtId="0" fontId="3" fillId="0" borderId="90" xfId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165" fontId="1" fillId="5" borderId="86" xfId="3" applyNumberFormat="1" applyFont="1" applyFill="1" applyBorder="1" applyAlignment="1">
      <alignment vertical="center"/>
    </xf>
    <xf numFmtId="0" fontId="1" fillId="0" borderId="1" xfId="1" applyFont="1" applyBorder="1" applyAlignment="1">
      <alignment horizontal="center" vertical="center" wrapText="1"/>
    </xf>
    <xf numFmtId="0" fontId="1" fillId="0" borderId="2" xfId="1" applyFont="1" applyBorder="1" applyAlignment="1">
      <alignment horizontal="center" vertical="center" wrapText="1"/>
    </xf>
    <xf numFmtId="0" fontId="1" fillId="0" borderId="21" xfId="1" applyFont="1" applyBorder="1" applyAlignment="1">
      <alignment horizontal="center" vertical="center" wrapText="1"/>
    </xf>
    <xf numFmtId="166" fontId="1" fillId="0" borderId="40" xfId="1" applyNumberFormat="1" applyFont="1" applyBorder="1" applyAlignment="1">
      <alignment horizontal="center" vertical="center"/>
    </xf>
    <xf numFmtId="166" fontId="1" fillId="0" borderId="58" xfId="1" applyNumberFormat="1" applyFont="1" applyBorder="1" applyAlignment="1">
      <alignment horizontal="center" vertical="center"/>
    </xf>
    <xf numFmtId="166" fontId="1" fillId="0" borderId="2" xfId="1" applyNumberFormat="1" applyFont="1" applyBorder="1" applyAlignment="1">
      <alignment horizontal="center" vertical="center"/>
    </xf>
    <xf numFmtId="0" fontId="1" fillId="0" borderId="19" xfId="1" applyFont="1" applyBorder="1" applyAlignment="1">
      <alignment horizontal="center" vertical="center"/>
    </xf>
    <xf numFmtId="0" fontId="1" fillId="0" borderId="20" xfId="1" applyFont="1" applyBorder="1" applyAlignment="1">
      <alignment horizontal="center" vertical="center"/>
    </xf>
    <xf numFmtId="0" fontId="1" fillId="0" borderId="40" xfId="1" applyFont="1" applyBorder="1" applyAlignment="1">
      <alignment horizontal="center" vertical="center"/>
    </xf>
    <xf numFmtId="0" fontId="1" fillId="0" borderId="58" xfId="1" applyFont="1" applyBorder="1" applyAlignment="1">
      <alignment horizontal="center" vertical="center"/>
    </xf>
    <xf numFmtId="0" fontId="1" fillId="0" borderId="37" xfId="1" applyFont="1" applyBorder="1" applyAlignment="1">
      <alignment horizontal="center" vertical="center"/>
    </xf>
    <xf numFmtId="0" fontId="1" fillId="0" borderId="2" xfId="1" applyFont="1" applyBorder="1" applyAlignment="1">
      <alignment horizontal="center" vertical="center"/>
    </xf>
    <xf numFmtId="0" fontId="1" fillId="0" borderId="1" xfId="1" applyFont="1" applyBorder="1" applyAlignment="1">
      <alignment horizontal="center" vertical="center" wrapText="1"/>
    </xf>
    <xf numFmtId="0" fontId="1" fillId="0" borderId="2" xfId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0" fontId="1" fillId="0" borderId="20" xfId="1" applyFont="1" applyBorder="1" applyAlignment="1">
      <alignment horizontal="center" vertical="center" wrapText="1"/>
    </xf>
    <xf numFmtId="0" fontId="1" fillId="0" borderId="21" xfId="1" applyFont="1" applyBorder="1" applyAlignment="1">
      <alignment horizontal="center" vertical="center" wrapText="1"/>
    </xf>
    <xf numFmtId="0" fontId="2" fillId="0" borderId="36" xfId="1" applyFont="1" applyBorder="1" applyAlignment="1">
      <alignment horizontal="center" vertical="center" wrapText="1"/>
    </xf>
    <xf numFmtId="0" fontId="2" fillId="0" borderId="9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0" fontId="2" fillId="0" borderId="7" xfId="1" applyFont="1" applyBorder="1" applyAlignment="1">
      <alignment horizontal="center" vertical="center"/>
    </xf>
    <xf numFmtId="0" fontId="2" fillId="0" borderId="17" xfId="1" applyFont="1" applyBorder="1" applyAlignment="1">
      <alignment horizontal="center" vertical="center"/>
    </xf>
    <xf numFmtId="0" fontId="3" fillId="0" borderId="20" xfId="1" applyFont="1" applyBorder="1" applyAlignment="1">
      <alignment horizontal="center" vertical="center" wrapText="1"/>
    </xf>
    <xf numFmtId="0" fontId="3" fillId="0" borderId="21" xfId="1" applyFont="1" applyBorder="1" applyAlignment="1">
      <alignment horizontal="center" vertical="center" wrapText="1"/>
    </xf>
    <xf numFmtId="0" fontId="1" fillId="0" borderId="39" xfId="1" applyFont="1" applyBorder="1" applyAlignment="1">
      <alignment horizontal="center" vertical="center" wrapText="1"/>
    </xf>
    <xf numFmtId="0" fontId="1" fillId="0" borderId="41" xfId="1" applyFont="1" applyBorder="1" applyAlignment="1">
      <alignment horizontal="center" vertical="center" wrapText="1"/>
    </xf>
  </cellXfs>
  <cellStyles count="4">
    <cellStyle name="Comma" xfId="3" builtinId="3"/>
    <cellStyle name="Comma 3" xfId="2" xr:uid="{00000000-0005-0000-0000-000002000000}"/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mruColors>
      <color rgb="FFCC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.xml"/><Relationship Id="rId1" Type="http://schemas.openxmlformats.org/officeDocument/2006/relationships/vmlDrawing" Target="../drawings/vmlDrawing19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.xml"/><Relationship Id="rId1" Type="http://schemas.openxmlformats.org/officeDocument/2006/relationships/vmlDrawing" Target="../drawings/vmlDrawing20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1.xml"/><Relationship Id="rId1" Type="http://schemas.openxmlformats.org/officeDocument/2006/relationships/vmlDrawing" Target="../drawings/vmlDrawing21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2.xml"/><Relationship Id="rId1" Type="http://schemas.openxmlformats.org/officeDocument/2006/relationships/vmlDrawing" Target="../drawings/vmlDrawing22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3.xml"/><Relationship Id="rId1" Type="http://schemas.openxmlformats.org/officeDocument/2006/relationships/vmlDrawing" Target="../drawings/vmlDrawing23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4.xml"/><Relationship Id="rId1" Type="http://schemas.openxmlformats.org/officeDocument/2006/relationships/vmlDrawing" Target="../drawings/vmlDrawing24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5.xml"/><Relationship Id="rId1" Type="http://schemas.openxmlformats.org/officeDocument/2006/relationships/vmlDrawing" Target="../drawings/vmlDrawing25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6.xml"/><Relationship Id="rId1" Type="http://schemas.openxmlformats.org/officeDocument/2006/relationships/vmlDrawing" Target="../drawings/vmlDrawing2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H90"/>
  <sheetViews>
    <sheetView view="pageBreakPreview" zoomScale="55" zoomScaleNormal="85" zoomScalePageLayoutView="80" workbookViewId="0">
      <selection activeCell="W60" sqref="W60"/>
    </sheetView>
  </sheetViews>
  <sheetFormatPr defaultColWidth="9.140625" defaultRowHeight="18.75"/>
  <cols>
    <col min="1" max="1" width="5.42578125" style="3" customWidth="1"/>
    <col min="2" max="2" width="12.28515625" style="3" customWidth="1"/>
    <col min="3" max="3" width="12.7109375" style="3" customWidth="1"/>
    <col min="4" max="4" width="8" style="3" customWidth="1"/>
    <col min="5" max="5" width="12.140625" style="3" customWidth="1"/>
    <col min="6" max="6" width="9.85546875" style="3" customWidth="1"/>
    <col min="7" max="7" width="11" style="3" customWidth="1"/>
    <col min="8" max="8" width="8" style="3" customWidth="1"/>
    <col min="9" max="9" width="14.7109375" style="3" customWidth="1"/>
    <col min="10" max="10" width="8.28515625" style="3" customWidth="1"/>
    <col min="11" max="11" width="1.28515625" style="3" customWidth="1"/>
    <col min="12" max="12" width="11" style="3" customWidth="1"/>
    <col min="13" max="13" width="7.85546875" style="3" customWidth="1"/>
    <col min="14" max="14" width="11" style="3" customWidth="1"/>
    <col min="15" max="15" width="6.5703125" style="3" customWidth="1"/>
    <col min="16" max="16" width="11" style="3" customWidth="1"/>
    <col min="17" max="17" width="6.5703125" style="3" customWidth="1"/>
    <col min="18" max="18" width="9.5703125" style="3" customWidth="1"/>
    <col min="19" max="19" width="8.140625" style="3" customWidth="1"/>
    <col min="20" max="20" width="1.28515625" style="3" customWidth="1"/>
    <col min="21" max="21" width="12.7109375" style="3" customWidth="1"/>
    <col min="22" max="22" width="12.7109375" style="3" hidden="1" customWidth="1"/>
    <col min="23" max="23" width="14.5703125" style="3" customWidth="1"/>
    <col min="24" max="24" width="11.5703125" style="3" customWidth="1"/>
    <col min="25" max="25" width="2" style="3" customWidth="1"/>
    <col min="26" max="26" width="10.5703125" style="3" customWidth="1"/>
    <col min="27" max="55" width="7.28515625" style="3" customWidth="1"/>
    <col min="56" max="56" width="1.5703125" style="3" customWidth="1"/>
    <col min="57" max="57" width="9.42578125" style="3" customWidth="1"/>
    <col min="58" max="58" width="1.28515625" style="3" customWidth="1"/>
    <col min="59" max="59" width="12.7109375" style="3" customWidth="1"/>
    <col min="60" max="60" width="10.28515625" style="3" customWidth="1"/>
    <col min="61" max="16384" width="9.140625" style="3"/>
  </cols>
  <sheetData>
    <row r="1" spans="1:60">
      <c r="B1" s="2" t="s">
        <v>0</v>
      </c>
      <c r="N1" s="3" t="s">
        <v>1</v>
      </c>
      <c r="P1" s="183"/>
      <c r="Q1" s="184"/>
      <c r="R1" s="184"/>
      <c r="S1" s="184"/>
      <c r="T1" s="184"/>
      <c r="U1" s="184"/>
      <c r="V1" s="184"/>
      <c r="W1" s="184"/>
      <c r="X1" s="185"/>
    </row>
    <row r="2" spans="1:60" ht="15" customHeight="1">
      <c r="B2" s="2" t="s">
        <v>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4" spans="1:60" ht="19.5" customHeight="1">
      <c r="A4" s="4"/>
      <c r="B4" s="192" t="s">
        <v>3</v>
      </c>
      <c r="C4" s="193" t="s">
        <v>4</v>
      </c>
      <c r="D4" s="194" t="s">
        <v>5</v>
      </c>
      <c r="E4" s="186" t="s">
        <v>6</v>
      </c>
      <c r="F4" s="187"/>
      <c r="G4" s="195" t="s">
        <v>7</v>
      </c>
      <c r="H4" s="202" t="s">
        <v>5</v>
      </c>
      <c r="I4" s="204" t="s">
        <v>8</v>
      </c>
      <c r="J4" s="202" t="s">
        <v>5</v>
      </c>
      <c r="L4" s="188" t="s">
        <v>9</v>
      </c>
      <c r="M4" s="189"/>
      <c r="N4" s="189"/>
      <c r="O4" s="189"/>
      <c r="P4" s="189"/>
      <c r="Q4" s="189"/>
      <c r="R4" s="189"/>
      <c r="S4" s="189"/>
      <c r="T4" s="189"/>
      <c r="U4" s="189"/>
      <c r="V4" s="190"/>
      <c r="W4" s="189"/>
      <c r="X4" s="191"/>
    </row>
    <row r="5" spans="1:60" s="1" customFormat="1" ht="56.25">
      <c r="A5" s="4"/>
      <c r="B5" s="192"/>
      <c r="C5" s="193"/>
      <c r="D5" s="194"/>
      <c r="E5" s="31" t="s">
        <v>10</v>
      </c>
      <c r="F5" s="32" t="s">
        <v>11</v>
      </c>
      <c r="G5" s="196"/>
      <c r="H5" s="203"/>
      <c r="I5" s="205"/>
      <c r="J5" s="203"/>
      <c r="L5" s="60" t="s">
        <v>12</v>
      </c>
      <c r="M5" s="85" t="s">
        <v>5</v>
      </c>
      <c r="N5" s="86" t="s">
        <v>13</v>
      </c>
      <c r="O5" s="85" t="s">
        <v>5</v>
      </c>
      <c r="P5" s="86" t="s">
        <v>14</v>
      </c>
      <c r="Q5" s="85" t="s">
        <v>5</v>
      </c>
      <c r="R5" s="93" t="s">
        <v>15</v>
      </c>
      <c r="S5" s="94" t="s">
        <v>5</v>
      </c>
      <c r="T5" s="95"/>
      <c r="U5" s="130" t="s">
        <v>16</v>
      </c>
      <c r="V5" s="131" t="s">
        <v>17</v>
      </c>
      <c r="W5" s="132" t="s">
        <v>18</v>
      </c>
      <c r="X5" s="133" t="s">
        <v>19</v>
      </c>
      <c r="AL5" s="156"/>
      <c r="AM5" s="156"/>
      <c r="AN5" s="156"/>
      <c r="AO5" s="156"/>
      <c r="AP5" s="156"/>
      <c r="AQ5" s="156"/>
      <c r="AR5" s="156"/>
      <c r="AS5" s="156"/>
      <c r="AT5" s="156"/>
      <c r="AU5" s="156"/>
      <c r="AV5" s="156"/>
      <c r="AW5" s="156"/>
      <c r="AX5" s="156"/>
      <c r="AY5" s="156"/>
      <c r="AZ5" s="156"/>
      <c r="BA5" s="156"/>
      <c r="BB5" s="156"/>
      <c r="BC5" s="156"/>
      <c r="BD5" s="156"/>
      <c r="BE5" s="156"/>
      <c r="BF5" s="156"/>
      <c r="BG5" s="156"/>
      <c r="BH5" s="156"/>
    </row>
    <row r="6" spans="1:60" s="1" customFormat="1">
      <c r="B6" s="7"/>
      <c r="C6" s="8"/>
      <c r="D6" s="9"/>
      <c r="E6" s="33"/>
      <c r="F6" s="33"/>
      <c r="G6" s="34"/>
      <c r="H6" s="35"/>
      <c r="I6" s="35"/>
      <c r="J6" s="61"/>
      <c r="K6" s="62"/>
      <c r="L6" s="33"/>
      <c r="M6" s="33"/>
      <c r="N6" s="33"/>
      <c r="O6" s="33"/>
      <c r="P6" s="33"/>
      <c r="Q6" s="96"/>
      <c r="R6" s="97"/>
      <c r="S6" s="98"/>
      <c r="T6" s="62"/>
      <c r="U6" s="8"/>
      <c r="V6" s="33"/>
      <c r="W6" s="134"/>
      <c r="X6" s="61"/>
      <c r="AL6" s="156"/>
      <c r="AM6" s="156"/>
      <c r="AN6" s="156"/>
      <c r="AO6" s="156"/>
      <c r="AP6" s="156"/>
      <c r="AQ6" s="156"/>
      <c r="AR6" s="156"/>
      <c r="AS6" s="156"/>
      <c r="AT6" s="156"/>
      <c r="AU6" s="156"/>
      <c r="AV6" s="156"/>
      <c r="AW6" s="156"/>
      <c r="AX6" s="156"/>
      <c r="AY6" s="156"/>
      <c r="AZ6" s="156"/>
      <c r="BA6" s="156"/>
      <c r="BB6" s="156"/>
      <c r="BC6" s="156"/>
      <c r="BD6" s="156"/>
      <c r="BE6" s="156"/>
      <c r="BF6" s="156"/>
      <c r="BG6" s="156"/>
      <c r="BH6" s="156"/>
    </row>
    <row r="7" spans="1:60" s="1" customFormat="1">
      <c r="B7" s="7"/>
      <c r="C7" s="8"/>
      <c r="D7" s="9"/>
      <c r="E7" s="33"/>
      <c r="F7" s="33"/>
      <c r="G7" s="34"/>
      <c r="H7" s="35"/>
      <c r="I7" s="35"/>
      <c r="J7" s="61"/>
      <c r="K7" s="62"/>
      <c r="L7" s="33"/>
      <c r="M7" s="33"/>
      <c r="N7" s="33"/>
      <c r="O7" s="33"/>
      <c r="P7" s="33"/>
      <c r="Q7" s="96"/>
      <c r="R7" s="97"/>
      <c r="S7" s="98"/>
      <c r="T7" s="62"/>
      <c r="U7" s="8"/>
      <c r="V7" s="135"/>
      <c r="W7" s="134"/>
      <c r="X7" s="61"/>
      <c r="AL7" s="156"/>
      <c r="AM7" s="156"/>
      <c r="AN7" s="156"/>
      <c r="AO7" s="156"/>
      <c r="AP7" s="156"/>
      <c r="AQ7" s="156"/>
      <c r="AR7" s="156"/>
      <c r="AS7" s="156"/>
      <c r="AT7" s="156"/>
      <c r="AU7" s="156"/>
      <c r="AV7" s="156"/>
      <c r="AW7" s="156"/>
      <c r="AX7" s="156"/>
      <c r="AY7" s="156"/>
      <c r="AZ7" s="156"/>
      <c r="BA7" s="156"/>
      <c r="BB7" s="156"/>
      <c r="BC7" s="156"/>
      <c r="BD7" s="156"/>
      <c r="BE7" s="156"/>
      <c r="BF7" s="156"/>
      <c r="BG7" s="156"/>
      <c r="BH7" s="156"/>
    </row>
    <row r="8" spans="1:60">
      <c r="A8" s="1">
        <v>1</v>
      </c>
      <c r="B8" s="7" t="s">
        <v>20</v>
      </c>
      <c r="C8" s="10"/>
      <c r="D8" s="11"/>
      <c r="E8" s="36"/>
      <c r="F8" s="36"/>
      <c r="G8" s="37"/>
      <c r="H8" s="38"/>
      <c r="I8" s="38"/>
      <c r="J8" s="63"/>
      <c r="K8" s="62"/>
      <c r="L8" s="36"/>
      <c r="M8" s="36"/>
      <c r="N8" s="36"/>
      <c r="O8" s="36"/>
      <c r="P8" s="36"/>
      <c r="Q8" s="99"/>
      <c r="R8" s="100"/>
      <c r="S8" s="101"/>
      <c r="T8" s="62"/>
      <c r="U8" s="8"/>
      <c r="V8" s="135"/>
      <c r="W8" s="134"/>
      <c r="X8" s="61"/>
      <c r="AL8" s="157"/>
      <c r="AM8" s="157"/>
      <c r="AN8" s="157"/>
      <c r="AO8" s="157"/>
      <c r="AP8" s="157"/>
      <c r="AQ8" s="157"/>
      <c r="AR8" s="157"/>
      <c r="AS8" s="157"/>
      <c r="AT8" s="157"/>
      <c r="AU8" s="157"/>
      <c r="AV8" s="157"/>
      <c r="AW8" s="157"/>
      <c r="AX8" s="157"/>
      <c r="AY8" s="157"/>
      <c r="AZ8" s="157"/>
      <c r="BA8" s="157"/>
      <c r="BB8" s="157"/>
      <c r="BC8" s="157"/>
      <c r="BD8" s="157"/>
      <c r="BE8" s="157"/>
      <c r="BF8" s="157"/>
      <c r="BG8" s="157"/>
      <c r="BH8" s="157"/>
    </row>
    <row r="9" spans="1:60">
      <c r="A9" s="1">
        <f t="shared" ref="A9:A59" si="0">A8+1</f>
        <v>2</v>
      </c>
      <c r="B9" s="12" t="s">
        <v>21</v>
      </c>
      <c r="C9" s="13"/>
      <c r="D9" s="14"/>
      <c r="E9" s="39"/>
      <c r="F9" s="39"/>
      <c r="G9" s="40"/>
      <c r="H9" s="41"/>
      <c r="I9" s="40"/>
      <c r="J9" s="64"/>
      <c r="K9" s="65"/>
      <c r="L9" s="51"/>
      <c r="M9" s="51"/>
      <c r="N9" s="51"/>
      <c r="O9" s="51"/>
      <c r="P9" s="51"/>
      <c r="Q9" s="102"/>
      <c r="R9" s="103"/>
      <c r="S9" s="104"/>
      <c r="T9" s="65"/>
      <c r="U9" s="136"/>
      <c r="V9" s="137"/>
      <c r="W9" s="138"/>
      <c r="X9" s="139"/>
      <c r="AL9" s="157"/>
      <c r="AM9" s="157"/>
      <c r="AN9" s="157"/>
      <c r="AO9" s="157"/>
      <c r="AP9" s="157"/>
      <c r="AQ9" s="157"/>
      <c r="AR9" s="157"/>
      <c r="AS9" s="157"/>
      <c r="AT9" s="157"/>
      <c r="AU9" s="157"/>
      <c r="AV9" s="157"/>
      <c r="AW9" s="157"/>
      <c r="AX9" s="157"/>
      <c r="AY9" s="157"/>
      <c r="AZ9" s="157"/>
      <c r="BA9" s="157"/>
      <c r="BB9" s="157"/>
      <c r="BC9" s="157"/>
      <c r="BD9" s="157"/>
      <c r="BE9" s="157"/>
      <c r="BF9" s="157"/>
      <c r="BG9" s="157"/>
      <c r="BH9" s="157"/>
    </row>
    <row r="10" spans="1:60">
      <c r="A10" s="1">
        <f t="shared" si="0"/>
        <v>3</v>
      </c>
      <c r="B10" s="7" t="s">
        <v>22</v>
      </c>
      <c r="C10" s="10"/>
      <c r="D10" s="11"/>
      <c r="E10" s="36"/>
      <c r="F10" s="36"/>
      <c r="G10" s="37"/>
      <c r="H10" s="38"/>
      <c r="I10" s="38"/>
      <c r="J10" s="66"/>
      <c r="K10" s="62"/>
      <c r="L10" s="36"/>
      <c r="M10" s="36"/>
      <c r="N10" s="36"/>
      <c r="O10" s="36"/>
      <c r="P10" s="36"/>
      <c r="Q10" s="99"/>
      <c r="R10" s="105"/>
      <c r="S10" s="106"/>
      <c r="T10" s="62"/>
      <c r="U10" s="8"/>
      <c r="V10" s="140"/>
      <c r="W10" s="134"/>
      <c r="X10" s="61"/>
      <c r="AL10" s="157"/>
      <c r="AM10" s="157"/>
      <c r="AN10" s="157"/>
      <c r="AO10" s="157"/>
      <c r="AP10" s="157"/>
      <c r="AQ10" s="157"/>
      <c r="AR10" s="157"/>
      <c r="AS10" s="157"/>
      <c r="AT10" s="157"/>
      <c r="AU10" s="157"/>
      <c r="AV10" s="157"/>
      <c r="AW10" s="157"/>
      <c r="AX10" s="157"/>
      <c r="AY10" s="157"/>
      <c r="AZ10" s="157"/>
      <c r="BA10" s="157"/>
      <c r="BB10" s="157"/>
      <c r="BC10" s="157"/>
      <c r="BD10" s="157"/>
      <c r="BE10" s="157"/>
      <c r="BF10" s="157"/>
      <c r="BG10" s="157"/>
      <c r="BH10" s="157"/>
    </row>
    <row r="11" spans="1:60">
      <c r="A11" s="1">
        <f t="shared" si="0"/>
        <v>4</v>
      </c>
      <c r="B11" s="15" t="s">
        <v>23</v>
      </c>
      <c r="C11" s="10"/>
      <c r="D11" s="11"/>
      <c r="E11" s="36"/>
      <c r="F11" s="36"/>
      <c r="G11" s="37"/>
      <c r="H11" s="38"/>
      <c r="I11" s="38"/>
      <c r="J11" s="63"/>
      <c r="K11" s="62"/>
      <c r="L11" s="36"/>
      <c r="M11" s="36"/>
      <c r="N11" s="36"/>
      <c r="O11" s="36"/>
      <c r="P11" s="36"/>
      <c r="Q11" s="99"/>
      <c r="R11" s="100"/>
      <c r="S11" s="101"/>
      <c r="T11" s="62"/>
      <c r="U11" s="8"/>
      <c r="V11" s="135"/>
      <c r="W11" s="134"/>
      <c r="X11" s="61"/>
      <c r="AL11" s="157"/>
      <c r="AM11" s="157"/>
      <c r="AN11" s="157"/>
      <c r="AO11" s="157"/>
      <c r="AP11" s="157"/>
      <c r="AQ11" s="157"/>
      <c r="AR11" s="157"/>
      <c r="AS11" s="157"/>
      <c r="AT11" s="157"/>
      <c r="AU11" s="157"/>
      <c r="AV11" s="157"/>
      <c r="AW11" s="157"/>
      <c r="AX11" s="157"/>
      <c r="AY11" s="157"/>
      <c r="AZ11" s="157"/>
      <c r="BA11" s="157"/>
      <c r="BB11" s="157"/>
      <c r="BC11" s="157"/>
      <c r="BD11" s="157"/>
      <c r="BE11" s="157"/>
      <c r="BF11" s="157"/>
      <c r="BG11" s="157"/>
      <c r="BH11" s="157"/>
    </row>
    <row r="12" spans="1:60">
      <c r="A12" s="1">
        <f t="shared" si="0"/>
        <v>5</v>
      </c>
      <c r="B12" s="15" t="s">
        <v>24</v>
      </c>
      <c r="C12" s="10"/>
      <c r="D12" s="11"/>
      <c r="E12" s="36"/>
      <c r="F12" s="36"/>
      <c r="G12" s="37"/>
      <c r="H12" s="38"/>
      <c r="I12" s="38"/>
      <c r="J12" s="63"/>
      <c r="K12" s="62"/>
      <c r="L12" s="36"/>
      <c r="M12" s="36"/>
      <c r="N12" s="36"/>
      <c r="O12" s="36"/>
      <c r="P12" s="36"/>
      <c r="Q12" s="99"/>
      <c r="R12" s="100"/>
      <c r="S12" s="101"/>
      <c r="T12" s="62"/>
      <c r="U12" s="8"/>
      <c r="V12" s="135"/>
      <c r="W12" s="134"/>
      <c r="X12" s="61"/>
      <c r="AL12" s="157"/>
      <c r="AM12" s="157"/>
      <c r="AN12" s="157"/>
      <c r="AO12" s="157"/>
      <c r="AP12" s="157"/>
      <c r="AQ12" s="157"/>
      <c r="AR12" s="157"/>
      <c r="AS12" s="157"/>
      <c r="AT12" s="157"/>
      <c r="AU12" s="157"/>
      <c r="AV12" s="157"/>
      <c r="AW12" s="157"/>
      <c r="AX12" s="157"/>
      <c r="AY12" s="157"/>
      <c r="AZ12" s="157"/>
      <c r="BA12" s="157"/>
      <c r="BB12" s="157"/>
      <c r="BC12" s="157"/>
      <c r="BD12" s="157"/>
      <c r="BE12" s="157"/>
      <c r="BF12" s="157"/>
      <c r="BG12" s="157"/>
      <c r="BH12" s="157"/>
    </row>
    <row r="13" spans="1:60" s="2" customFormat="1">
      <c r="A13" s="1">
        <f t="shared" si="0"/>
        <v>6</v>
      </c>
      <c r="B13" s="12" t="s">
        <v>25</v>
      </c>
      <c r="C13" s="13"/>
      <c r="D13" s="14"/>
      <c r="E13" s="39"/>
      <c r="F13" s="39"/>
      <c r="G13" s="40"/>
      <c r="H13" s="41"/>
      <c r="I13" s="44"/>
      <c r="J13" s="64"/>
      <c r="K13" s="67"/>
      <c r="L13" s="51"/>
      <c r="M13" s="51"/>
      <c r="N13" s="51"/>
      <c r="O13" s="51"/>
      <c r="P13" s="51"/>
      <c r="Q13" s="102"/>
      <c r="R13" s="107"/>
      <c r="S13" s="104"/>
      <c r="T13" s="67"/>
      <c r="U13" s="136"/>
      <c r="V13" s="141"/>
      <c r="W13" s="138"/>
      <c r="X13" s="139"/>
      <c r="Y13" s="3"/>
      <c r="AD13" s="3"/>
      <c r="AG13" s="3"/>
      <c r="AH13" s="3"/>
      <c r="AI13" s="3"/>
      <c r="AJ13" s="3"/>
      <c r="AK13" s="3"/>
      <c r="AL13" s="157"/>
      <c r="AM13" s="157"/>
      <c r="AN13" s="157"/>
      <c r="AO13" s="157"/>
      <c r="AP13" s="157"/>
      <c r="AQ13" s="157"/>
      <c r="AR13" s="157"/>
      <c r="AS13" s="157"/>
      <c r="AT13" s="157"/>
      <c r="AU13" s="157"/>
      <c r="AV13" s="157"/>
      <c r="AW13" s="157"/>
      <c r="AX13" s="157"/>
      <c r="AY13" s="157"/>
      <c r="AZ13" s="157"/>
      <c r="BA13" s="157"/>
      <c r="BB13" s="157"/>
      <c r="BC13" s="157"/>
      <c r="BD13" s="157"/>
      <c r="BE13" s="157"/>
      <c r="BF13" s="157"/>
      <c r="BG13" s="157"/>
      <c r="BH13" s="157"/>
    </row>
    <row r="14" spans="1:60">
      <c r="A14" s="1">
        <f t="shared" si="0"/>
        <v>7</v>
      </c>
      <c r="B14" s="7" t="s">
        <v>26</v>
      </c>
      <c r="C14" s="10"/>
      <c r="D14" s="11"/>
      <c r="E14" s="36"/>
      <c r="F14" s="36"/>
      <c r="G14" s="37"/>
      <c r="H14" s="38"/>
      <c r="I14" s="68"/>
      <c r="J14" s="66"/>
      <c r="K14" s="62"/>
      <c r="L14" s="36"/>
      <c r="M14" s="36"/>
      <c r="N14" s="36"/>
      <c r="O14" s="36"/>
      <c r="P14" s="36"/>
      <c r="Q14" s="99"/>
      <c r="R14" s="108"/>
      <c r="S14" s="106"/>
      <c r="T14" s="62"/>
      <c r="U14" s="8"/>
      <c r="V14" s="33"/>
      <c r="W14" s="134"/>
      <c r="X14" s="61"/>
      <c r="AL14" s="157"/>
      <c r="AM14" s="157"/>
      <c r="AN14" s="157"/>
      <c r="AO14" s="157"/>
      <c r="AP14" s="157"/>
      <c r="AQ14" s="157"/>
      <c r="AR14" s="157"/>
      <c r="AS14" s="157"/>
      <c r="AT14" s="157"/>
      <c r="AU14" s="157"/>
      <c r="AV14" s="157"/>
      <c r="AW14" s="157"/>
      <c r="AX14" s="157"/>
      <c r="AY14" s="157"/>
      <c r="AZ14" s="157"/>
      <c r="BA14" s="157"/>
      <c r="BB14" s="157"/>
      <c r="BC14" s="157"/>
      <c r="BD14" s="157"/>
      <c r="BE14" s="157"/>
      <c r="BF14" s="157"/>
      <c r="BG14" s="157"/>
      <c r="BH14" s="157"/>
    </row>
    <row r="15" spans="1:60">
      <c r="A15" s="1">
        <f t="shared" si="0"/>
        <v>8</v>
      </c>
      <c r="B15" s="15" t="s">
        <v>27</v>
      </c>
      <c r="C15" s="10"/>
      <c r="D15" s="11"/>
      <c r="E15" s="36"/>
      <c r="F15" s="36"/>
      <c r="G15" s="37"/>
      <c r="H15" s="38"/>
      <c r="I15" s="38"/>
      <c r="J15" s="63"/>
      <c r="K15" s="62"/>
      <c r="L15" s="36"/>
      <c r="M15" s="36"/>
      <c r="N15" s="36"/>
      <c r="O15" s="36"/>
      <c r="P15" s="36"/>
      <c r="Q15" s="99"/>
      <c r="R15" s="100"/>
      <c r="S15" s="101"/>
      <c r="T15" s="62"/>
      <c r="U15" s="8"/>
      <c r="V15" s="135"/>
      <c r="W15" s="134"/>
      <c r="X15" s="61"/>
      <c r="AL15" s="157"/>
      <c r="AM15" s="157"/>
      <c r="AN15" s="157"/>
      <c r="AO15" s="157"/>
      <c r="AP15" s="157"/>
      <c r="AQ15" s="157"/>
      <c r="AR15" s="157"/>
      <c r="AS15" s="157"/>
      <c r="AT15" s="157"/>
      <c r="AU15" s="157"/>
      <c r="AV15" s="157"/>
      <c r="AW15" s="157"/>
      <c r="AX15" s="157"/>
      <c r="AY15" s="157"/>
      <c r="AZ15" s="157"/>
      <c r="BA15" s="157"/>
      <c r="BB15" s="157"/>
      <c r="BC15" s="157"/>
      <c r="BD15" s="157"/>
      <c r="BE15" s="157"/>
      <c r="BF15" s="157"/>
      <c r="BG15" s="157"/>
      <c r="BH15" s="157"/>
    </row>
    <row r="16" spans="1:60">
      <c r="A16" s="1">
        <f t="shared" si="0"/>
        <v>9</v>
      </c>
      <c r="B16" s="15" t="s">
        <v>28</v>
      </c>
      <c r="C16" s="10"/>
      <c r="D16" s="11"/>
      <c r="E16" s="36"/>
      <c r="F16" s="36"/>
      <c r="G16" s="37"/>
      <c r="H16" s="38"/>
      <c r="I16" s="38"/>
      <c r="J16" s="63"/>
      <c r="K16" s="62"/>
      <c r="L16" s="36"/>
      <c r="M16" s="36"/>
      <c r="N16" s="36"/>
      <c r="O16" s="36"/>
      <c r="P16" s="36"/>
      <c r="Q16" s="99"/>
      <c r="R16" s="100"/>
      <c r="S16" s="101"/>
      <c r="T16" s="62"/>
      <c r="U16" s="8"/>
      <c r="V16" s="135"/>
      <c r="W16" s="134"/>
      <c r="X16" s="61"/>
      <c r="AL16" s="157"/>
      <c r="AM16" s="157"/>
      <c r="AN16" s="157"/>
      <c r="AO16" s="157"/>
      <c r="AP16" s="157"/>
      <c r="AQ16" s="157"/>
      <c r="AR16" s="157"/>
      <c r="AS16" s="157"/>
      <c r="AT16" s="157"/>
      <c r="AU16" s="157"/>
      <c r="AV16" s="157"/>
      <c r="AW16" s="157"/>
      <c r="AX16" s="157"/>
      <c r="AY16" s="157"/>
      <c r="AZ16" s="157"/>
      <c r="BA16" s="157"/>
      <c r="BB16" s="157"/>
      <c r="BC16" s="157"/>
      <c r="BD16" s="157"/>
      <c r="BE16" s="157"/>
      <c r="BF16" s="157"/>
      <c r="BG16" s="157"/>
      <c r="BH16" s="157"/>
    </row>
    <row r="17" spans="1:60">
      <c r="A17" s="1">
        <f t="shared" si="0"/>
        <v>10</v>
      </c>
      <c r="B17" s="15" t="s">
        <v>29</v>
      </c>
      <c r="C17" s="10"/>
      <c r="D17" s="11"/>
      <c r="E17" s="36"/>
      <c r="F17" s="36"/>
      <c r="G17" s="37"/>
      <c r="H17" s="38"/>
      <c r="I17" s="38"/>
      <c r="J17" s="63"/>
      <c r="K17" s="62"/>
      <c r="L17" s="36"/>
      <c r="M17" s="36"/>
      <c r="N17" s="36"/>
      <c r="O17" s="36"/>
      <c r="P17" s="36"/>
      <c r="Q17" s="99"/>
      <c r="R17" s="100"/>
      <c r="S17" s="101"/>
      <c r="T17" s="62"/>
      <c r="U17" s="8"/>
      <c r="V17" s="135"/>
      <c r="W17" s="134"/>
      <c r="X17" s="61"/>
      <c r="AL17" s="157"/>
      <c r="AM17" s="157"/>
      <c r="AN17" s="157"/>
      <c r="AO17" s="157"/>
      <c r="AP17" s="157"/>
      <c r="AQ17" s="157"/>
      <c r="AR17" s="157"/>
      <c r="AS17" s="157"/>
      <c r="AT17" s="157"/>
      <c r="AU17" s="157"/>
      <c r="AV17" s="157"/>
      <c r="AW17" s="157"/>
      <c r="AX17" s="157"/>
      <c r="AY17" s="157"/>
      <c r="AZ17" s="157"/>
      <c r="BA17" s="157"/>
      <c r="BB17" s="157"/>
      <c r="BC17" s="157"/>
      <c r="BD17" s="157"/>
      <c r="BE17" s="157"/>
      <c r="BF17" s="157"/>
      <c r="BG17" s="157"/>
      <c r="BH17" s="157"/>
    </row>
    <row r="18" spans="1:60">
      <c r="A18" s="1">
        <f t="shared" si="0"/>
        <v>11</v>
      </c>
      <c r="B18" s="15" t="s">
        <v>30</v>
      </c>
      <c r="C18" s="10"/>
      <c r="D18" s="11"/>
      <c r="E18" s="36"/>
      <c r="F18" s="36"/>
      <c r="G18" s="37"/>
      <c r="H18" s="38"/>
      <c r="I18" s="38"/>
      <c r="J18" s="63"/>
      <c r="K18" s="62"/>
      <c r="L18" s="36"/>
      <c r="M18" s="36"/>
      <c r="N18" s="36"/>
      <c r="O18" s="36"/>
      <c r="P18" s="36"/>
      <c r="Q18" s="99"/>
      <c r="R18" s="100"/>
      <c r="S18" s="101"/>
      <c r="T18" s="62"/>
      <c r="U18" s="8"/>
      <c r="V18" s="135"/>
      <c r="W18" s="134"/>
      <c r="X18" s="61"/>
      <c r="AL18" s="157"/>
      <c r="AM18" s="157"/>
      <c r="AN18" s="157"/>
      <c r="AO18" s="157"/>
      <c r="AP18" s="157"/>
      <c r="AQ18" s="157"/>
      <c r="AR18" s="157"/>
      <c r="AS18" s="157"/>
      <c r="AT18" s="157"/>
      <c r="AU18" s="157"/>
      <c r="AV18" s="157"/>
      <c r="AW18" s="157"/>
      <c r="AX18" s="157"/>
      <c r="AY18" s="157"/>
      <c r="AZ18" s="157"/>
      <c r="BA18" s="157"/>
      <c r="BB18" s="157"/>
      <c r="BC18" s="157"/>
      <c r="BD18" s="157"/>
      <c r="BE18" s="157"/>
      <c r="BF18" s="157"/>
      <c r="BG18" s="157"/>
      <c r="BH18" s="157"/>
    </row>
    <row r="19" spans="1:60" ht="18.75" hidden="1" customHeight="1">
      <c r="A19" s="1">
        <f t="shared" si="0"/>
        <v>12</v>
      </c>
      <c r="B19" s="15" t="s">
        <v>31</v>
      </c>
      <c r="C19" s="10"/>
      <c r="D19" s="11"/>
      <c r="E19" s="36"/>
      <c r="F19" s="36"/>
      <c r="G19" s="37"/>
      <c r="H19" s="38"/>
      <c r="I19" s="38"/>
      <c r="J19" s="63"/>
      <c r="K19" s="62"/>
      <c r="L19" s="36"/>
      <c r="M19" s="36"/>
      <c r="N19" s="36"/>
      <c r="O19" s="36"/>
      <c r="P19" s="36"/>
      <c r="Q19" s="99"/>
      <c r="R19" s="100"/>
      <c r="S19" s="101"/>
      <c r="T19" s="62"/>
      <c r="U19" s="8"/>
      <c r="V19" s="135"/>
      <c r="W19" s="134"/>
      <c r="X19" s="61"/>
      <c r="AL19" s="157"/>
      <c r="AM19" s="157"/>
      <c r="AN19" s="157"/>
      <c r="AO19" s="157"/>
      <c r="AP19" s="157"/>
      <c r="AQ19" s="157"/>
      <c r="AR19" s="157"/>
      <c r="AS19" s="157"/>
      <c r="AT19" s="157"/>
      <c r="AU19" s="157"/>
      <c r="AV19" s="157"/>
      <c r="AW19" s="157"/>
      <c r="AX19" s="157"/>
      <c r="AY19" s="157"/>
      <c r="AZ19" s="157"/>
      <c r="BA19" s="157"/>
      <c r="BB19" s="157"/>
      <c r="BC19" s="157"/>
      <c r="BD19" s="157"/>
      <c r="BE19" s="157"/>
      <c r="BF19" s="157"/>
      <c r="BG19" s="157"/>
      <c r="BH19" s="157"/>
    </row>
    <row r="20" spans="1:60">
      <c r="A20" s="1">
        <f t="shared" si="0"/>
        <v>13</v>
      </c>
      <c r="B20" s="15" t="s">
        <v>32</v>
      </c>
      <c r="C20" s="10"/>
      <c r="D20" s="11"/>
      <c r="E20" s="36"/>
      <c r="F20" s="36"/>
      <c r="G20" s="37"/>
      <c r="H20" s="38"/>
      <c r="I20" s="38"/>
      <c r="J20" s="63"/>
      <c r="K20" s="62"/>
      <c r="L20" s="36"/>
      <c r="M20" s="36"/>
      <c r="N20" s="36"/>
      <c r="O20" s="36"/>
      <c r="P20" s="36"/>
      <c r="Q20" s="99"/>
      <c r="R20" s="100"/>
      <c r="S20" s="101"/>
      <c r="T20" s="62"/>
      <c r="U20" s="8"/>
      <c r="V20" s="135"/>
      <c r="W20" s="134"/>
      <c r="X20" s="61"/>
      <c r="AL20" s="157"/>
      <c r="AM20" s="157"/>
      <c r="AN20" s="157"/>
      <c r="AO20" s="157"/>
      <c r="AP20" s="157"/>
      <c r="AQ20" s="157"/>
      <c r="AR20" s="157"/>
      <c r="AS20" s="157"/>
      <c r="AT20" s="157"/>
      <c r="AU20" s="157"/>
      <c r="AV20" s="157"/>
      <c r="AW20" s="157"/>
      <c r="AX20" s="157"/>
      <c r="AY20" s="157"/>
      <c r="AZ20" s="157"/>
      <c r="BA20" s="157"/>
      <c r="BB20" s="157"/>
      <c r="BC20" s="157"/>
      <c r="BD20" s="157"/>
      <c r="BE20" s="157"/>
      <c r="BF20" s="157"/>
      <c r="BG20" s="157"/>
      <c r="BH20" s="157"/>
    </row>
    <row r="21" spans="1:60">
      <c r="A21" s="1">
        <f t="shared" si="0"/>
        <v>14</v>
      </c>
      <c r="B21" s="15" t="s">
        <v>33</v>
      </c>
      <c r="C21" s="10"/>
      <c r="D21" s="11"/>
      <c r="E21" s="36"/>
      <c r="F21" s="36"/>
      <c r="G21" s="37"/>
      <c r="H21" s="38"/>
      <c r="I21" s="38"/>
      <c r="J21" s="63"/>
      <c r="K21" s="62"/>
      <c r="L21" s="36"/>
      <c r="M21" s="36"/>
      <c r="N21" s="36"/>
      <c r="O21" s="36"/>
      <c r="P21" s="36"/>
      <c r="Q21" s="99"/>
      <c r="R21" s="100"/>
      <c r="S21" s="101"/>
      <c r="T21" s="62"/>
      <c r="U21" s="8"/>
      <c r="V21" s="135"/>
      <c r="W21" s="134"/>
      <c r="X21" s="61"/>
      <c r="AL21" s="157"/>
      <c r="AM21" s="157"/>
      <c r="AN21" s="157"/>
      <c r="AO21" s="157"/>
      <c r="AP21" s="157"/>
      <c r="AQ21" s="157"/>
      <c r="AR21" s="157"/>
      <c r="AS21" s="157"/>
      <c r="AT21" s="157"/>
      <c r="AU21" s="157"/>
      <c r="AV21" s="157"/>
      <c r="AW21" s="157"/>
      <c r="AX21" s="157"/>
      <c r="AY21" s="157"/>
      <c r="AZ21" s="157"/>
      <c r="BA21" s="157"/>
      <c r="BB21" s="157"/>
      <c r="BC21" s="157"/>
      <c r="BD21" s="157"/>
      <c r="BE21" s="157"/>
      <c r="BF21" s="157"/>
      <c r="BG21" s="157"/>
      <c r="BH21" s="157"/>
    </row>
    <row r="22" spans="1:60">
      <c r="A22" s="1">
        <f t="shared" si="0"/>
        <v>15</v>
      </c>
      <c r="B22" s="15" t="s">
        <v>34</v>
      </c>
      <c r="C22" s="10"/>
      <c r="D22" s="11"/>
      <c r="E22" s="36"/>
      <c r="F22" s="36"/>
      <c r="G22" s="37"/>
      <c r="H22" s="38"/>
      <c r="I22" s="38"/>
      <c r="J22" s="63"/>
      <c r="K22" s="62"/>
      <c r="L22" s="36"/>
      <c r="M22" s="36"/>
      <c r="N22" s="36"/>
      <c r="O22" s="36"/>
      <c r="P22" s="36"/>
      <c r="Q22" s="99"/>
      <c r="R22" s="100"/>
      <c r="S22" s="101"/>
      <c r="T22" s="62"/>
      <c r="U22" s="8"/>
      <c r="V22" s="135"/>
      <c r="W22" s="134"/>
      <c r="X22" s="61"/>
      <c r="AL22" s="157"/>
      <c r="AM22" s="157"/>
      <c r="AN22" s="157"/>
      <c r="AO22" s="157"/>
      <c r="AP22" s="157"/>
      <c r="AQ22" s="157"/>
      <c r="AR22" s="157"/>
      <c r="AS22" s="157"/>
      <c r="AT22" s="157"/>
      <c r="AU22" s="157"/>
      <c r="AV22" s="157"/>
      <c r="AW22" s="157"/>
      <c r="AX22" s="157"/>
      <c r="AY22" s="157"/>
      <c r="AZ22" s="157"/>
      <c r="BA22" s="157"/>
      <c r="BB22" s="157"/>
      <c r="BC22" s="157"/>
      <c r="BD22" s="157"/>
      <c r="BE22" s="157"/>
      <c r="BF22" s="157"/>
      <c r="BG22" s="157"/>
      <c r="BH22" s="157"/>
    </row>
    <row r="23" spans="1:60" s="2" customFormat="1">
      <c r="A23" s="1">
        <f t="shared" si="0"/>
        <v>16</v>
      </c>
      <c r="B23" s="15" t="s">
        <v>35</v>
      </c>
      <c r="C23" s="10"/>
      <c r="D23" s="11"/>
      <c r="E23" s="36"/>
      <c r="F23" s="36"/>
      <c r="G23" s="37"/>
      <c r="H23" s="38"/>
      <c r="I23" s="38"/>
      <c r="J23" s="63"/>
      <c r="K23" s="69"/>
      <c r="L23" s="36"/>
      <c r="M23" s="36"/>
      <c r="N23" s="36"/>
      <c r="O23" s="36"/>
      <c r="P23" s="36"/>
      <c r="Q23" s="99"/>
      <c r="R23" s="100"/>
      <c r="S23" s="101"/>
      <c r="T23" s="69"/>
      <c r="U23" s="8"/>
      <c r="V23" s="135"/>
      <c r="W23" s="134"/>
      <c r="X23" s="61"/>
      <c r="Y23" s="3"/>
      <c r="AD23" s="3"/>
      <c r="AG23" s="3"/>
      <c r="AH23" s="3"/>
      <c r="AI23" s="3"/>
      <c r="AJ23" s="3"/>
      <c r="AK23" s="3"/>
      <c r="AL23" s="157"/>
      <c r="AM23" s="157"/>
      <c r="AN23" s="157"/>
      <c r="AO23" s="157"/>
      <c r="AP23" s="157"/>
      <c r="AQ23" s="157"/>
      <c r="AR23" s="157"/>
      <c r="AS23" s="157"/>
      <c r="AT23" s="157"/>
      <c r="AU23" s="157"/>
      <c r="AV23" s="157"/>
      <c r="AW23" s="157"/>
      <c r="AX23" s="157"/>
      <c r="AY23" s="157"/>
      <c r="AZ23" s="157"/>
      <c r="BA23" s="157"/>
      <c r="BB23" s="157"/>
      <c r="BC23" s="157"/>
      <c r="BD23" s="157"/>
      <c r="BE23" s="157"/>
      <c r="BF23" s="157"/>
      <c r="BG23" s="157"/>
      <c r="BH23" s="157"/>
    </row>
    <row r="24" spans="1:60" s="2" customFormat="1">
      <c r="A24" s="1">
        <f t="shared" si="0"/>
        <v>17</v>
      </c>
      <c r="B24" s="15" t="s">
        <v>36</v>
      </c>
      <c r="C24" s="10"/>
      <c r="D24" s="11"/>
      <c r="E24" s="36"/>
      <c r="F24" s="36"/>
      <c r="G24" s="37"/>
      <c r="H24" s="38"/>
      <c r="I24" s="38"/>
      <c r="J24" s="63"/>
      <c r="K24" s="69"/>
      <c r="L24" s="36"/>
      <c r="M24" s="36"/>
      <c r="N24" s="36"/>
      <c r="O24" s="36"/>
      <c r="P24" s="36"/>
      <c r="Q24" s="99"/>
      <c r="R24" s="100"/>
      <c r="S24" s="101"/>
      <c r="T24" s="69"/>
      <c r="U24" s="8"/>
      <c r="V24" s="135"/>
      <c r="W24" s="134"/>
      <c r="X24" s="61"/>
      <c r="Y24" s="3"/>
      <c r="AD24" s="3"/>
      <c r="AG24" s="3"/>
      <c r="AH24" s="3"/>
      <c r="AI24" s="3"/>
      <c r="AJ24" s="3"/>
      <c r="AK24" s="3"/>
      <c r="AL24" s="157"/>
      <c r="AM24" s="157"/>
      <c r="AN24" s="157"/>
      <c r="AO24" s="157"/>
      <c r="AP24" s="157"/>
      <c r="AQ24" s="157"/>
      <c r="AR24" s="157"/>
      <c r="AS24" s="157"/>
      <c r="AT24" s="157"/>
      <c r="AU24" s="157"/>
      <c r="AV24" s="157"/>
      <c r="AW24" s="157"/>
      <c r="AX24" s="157"/>
      <c r="AY24" s="157"/>
      <c r="AZ24" s="157"/>
      <c r="BA24" s="157"/>
      <c r="BB24" s="157"/>
      <c r="BC24" s="157"/>
      <c r="BD24" s="157"/>
      <c r="BE24" s="157"/>
      <c r="BF24" s="157"/>
      <c r="BG24" s="157"/>
      <c r="BH24" s="157"/>
    </row>
    <row r="25" spans="1:60">
      <c r="A25" s="1">
        <f t="shared" si="0"/>
        <v>18</v>
      </c>
      <c r="B25" s="15" t="s">
        <v>37</v>
      </c>
      <c r="C25" s="10"/>
      <c r="D25" s="11"/>
      <c r="E25" s="36"/>
      <c r="F25" s="36"/>
      <c r="G25" s="37"/>
      <c r="H25" s="38"/>
      <c r="I25" s="38"/>
      <c r="J25" s="63"/>
      <c r="K25" s="62"/>
      <c r="L25" s="36"/>
      <c r="M25" s="36"/>
      <c r="N25" s="36"/>
      <c r="O25" s="36"/>
      <c r="P25" s="36"/>
      <c r="Q25" s="99"/>
      <c r="R25" s="100"/>
      <c r="S25" s="101"/>
      <c r="T25" s="62"/>
      <c r="U25" s="8"/>
      <c r="V25" s="135"/>
      <c r="W25" s="134"/>
      <c r="X25" s="61"/>
      <c r="AL25" s="157"/>
      <c r="AM25" s="157"/>
      <c r="AN25" s="157"/>
      <c r="AO25" s="157"/>
      <c r="AP25" s="157"/>
      <c r="AQ25" s="157"/>
      <c r="AR25" s="157"/>
      <c r="AS25" s="157"/>
      <c r="AT25" s="157"/>
      <c r="AU25" s="157"/>
      <c r="AV25" s="157"/>
      <c r="AW25" s="157"/>
      <c r="AX25" s="157"/>
      <c r="AY25" s="157"/>
      <c r="AZ25" s="157"/>
      <c r="BA25" s="157"/>
      <c r="BB25" s="157"/>
      <c r="BC25" s="157"/>
      <c r="BD25" s="157"/>
      <c r="BE25" s="157"/>
      <c r="BF25" s="157"/>
      <c r="BG25" s="157"/>
      <c r="BH25" s="157"/>
    </row>
    <row r="26" spans="1:60">
      <c r="A26" s="1">
        <f t="shared" si="0"/>
        <v>19</v>
      </c>
      <c r="B26" s="15" t="s">
        <v>38</v>
      </c>
      <c r="C26" s="10"/>
      <c r="D26" s="11"/>
      <c r="E26" s="36"/>
      <c r="F26" s="36"/>
      <c r="G26" s="37"/>
      <c r="H26" s="38"/>
      <c r="I26" s="38"/>
      <c r="J26" s="63"/>
      <c r="K26" s="62"/>
      <c r="L26" s="36"/>
      <c r="M26" s="36"/>
      <c r="N26" s="36"/>
      <c r="O26" s="36"/>
      <c r="P26" s="36"/>
      <c r="Q26" s="99"/>
      <c r="R26" s="100"/>
      <c r="S26" s="101"/>
      <c r="T26" s="62"/>
      <c r="U26" s="8"/>
      <c r="V26" s="135"/>
      <c r="W26" s="134"/>
      <c r="X26" s="61"/>
      <c r="BE26" s="158" t="e">
        <f>#REF!-BE25</f>
        <v>#REF!</v>
      </c>
    </row>
    <row r="27" spans="1:60" s="2" customFormat="1">
      <c r="A27" s="1">
        <f t="shared" si="0"/>
        <v>20</v>
      </c>
      <c r="B27" s="15" t="s">
        <v>39</v>
      </c>
      <c r="C27" s="10"/>
      <c r="D27" s="11"/>
      <c r="E27" s="36"/>
      <c r="F27" s="36"/>
      <c r="G27" s="37"/>
      <c r="H27" s="38"/>
      <c r="I27" s="38"/>
      <c r="J27" s="63"/>
      <c r="K27" s="69"/>
      <c r="L27" s="36"/>
      <c r="M27" s="36"/>
      <c r="N27" s="36"/>
      <c r="O27" s="36"/>
      <c r="P27" s="36"/>
      <c r="Q27" s="99"/>
      <c r="R27" s="100"/>
      <c r="S27" s="101"/>
      <c r="T27" s="69"/>
      <c r="U27" s="8"/>
      <c r="V27" s="135"/>
      <c r="W27" s="134"/>
      <c r="X27" s="61"/>
      <c r="Y27" s="3"/>
      <c r="AD27" s="3"/>
      <c r="AG27" s="3"/>
      <c r="AH27" s="3"/>
      <c r="AI27" s="3"/>
      <c r="AJ27" s="3"/>
      <c r="AK27" s="3"/>
    </row>
    <row r="28" spans="1:60" s="2" customFormat="1">
      <c r="A28" s="1">
        <f t="shared" si="0"/>
        <v>21</v>
      </c>
      <c r="B28" s="15" t="s">
        <v>40</v>
      </c>
      <c r="C28" s="10"/>
      <c r="D28" s="11"/>
      <c r="E28" s="36"/>
      <c r="F28" s="36"/>
      <c r="G28" s="37"/>
      <c r="H28" s="38"/>
      <c r="I28" s="38"/>
      <c r="J28" s="63"/>
      <c r="K28" s="69"/>
      <c r="L28" s="36"/>
      <c r="M28" s="36"/>
      <c r="N28" s="36"/>
      <c r="O28" s="36"/>
      <c r="P28" s="36"/>
      <c r="Q28" s="99"/>
      <c r="R28" s="100"/>
      <c r="S28" s="101"/>
      <c r="T28" s="69"/>
      <c r="U28" s="8"/>
      <c r="V28" s="135"/>
      <c r="W28" s="134"/>
      <c r="X28" s="61"/>
      <c r="Y28" s="3"/>
      <c r="AD28" s="3"/>
      <c r="AG28" s="3"/>
      <c r="AH28" s="3"/>
      <c r="AI28" s="3"/>
      <c r="AJ28" s="3"/>
      <c r="AK28" s="3"/>
    </row>
    <row r="29" spans="1:60" s="2" customFormat="1">
      <c r="A29" s="1">
        <f t="shared" si="0"/>
        <v>22</v>
      </c>
      <c r="B29" s="15" t="s">
        <v>41</v>
      </c>
      <c r="C29" s="10"/>
      <c r="D29" s="11"/>
      <c r="E29" s="36"/>
      <c r="F29" s="36"/>
      <c r="G29" s="37"/>
      <c r="H29" s="38"/>
      <c r="I29" s="38"/>
      <c r="J29" s="63"/>
      <c r="K29" s="69"/>
      <c r="L29" s="36"/>
      <c r="M29" s="36"/>
      <c r="N29" s="36"/>
      <c r="O29" s="36"/>
      <c r="P29" s="36"/>
      <c r="Q29" s="99"/>
      <c r="R29" s="100"/>
      <c r="S29" s="101"/>
      <c r="T29" s="69"/>
      <c r="U29" s="8"/>
      <c r="V29" s="135"/>
      <c r="W29" s="134"/>
      <c r="X29" s="61"/>
      <c r="Y29" s="3"/>
      <c r="AD29" s="3"/>
      <c r="AG29" s="3"/>
      <c r="AH29" s="3"/>
      <c r="AI29" s="3"/>
      <c r="AJ29" s="3"/>
      <c r="AK29" s="3"/>
    </row>
    <row r="30" spans="1:60">
      <c r="A30" s="1">
        <f t="shared" si="0"/>
        <v>23</v>
      </c>
      <c r="B30" s="15" t="s">
        <v>42</v>
      </c>
      <c r="C30" s="10"/>
      <c r="D30" s="11"/>
      <c r="E30" s="36"/>
      <c r="F30" s="36"/>
      <c r="G30" s="37"/>
      <c r="H30" s="38"/>
      <c r="I30" s="38"/>
      <c r="J30" s="63"/>
      <c r="K30" s="62"/>
      <c r="L30" s="36"/>
      <c r="M30" s="36"/>
      <c r="N30" s="36"/>
      <c r="O30" s="36"/>
      <c r="P30" s="36"/>
      <c r="Q30" s="99"/>
      <c r="R30" s="100"/>
      <c r="S30" s="101"/>
      <c r="T30" s="62"/>
      <c r="U30" s="8"/>
      <c r="V30" s="135"/>
      <c r="W30" s="134"/>
      <c r="X30" s="61"/>
    </row>
    <row r="31" spans="1:60">
      <c r="A31" s="1">
        <f t="shared" si="0"/>
        <v>24</v>
      </c>
      <c r="B31" s="15" t="s">
        <v>43</v>
      </c>
      <c r="C31" s="10"/>
      <c r="D31" s="11"/>
      <c r="E31" s="36"/>
      <c r="F31" s="36"/>
      <c r="G31" s="37"/>
      <c r="H31" s="38"/>
      <c r="I31" s="38"/>
      <c r="J31" s="63"/>
      <c r="K31" s="62"/>
      <c r="L31" s="36"/>
      <c r="M31" s="36"/>
      <c r="N31" s="36"/>
      <c r="O31" s="36"/>
      <c r="P31" s="36"/>
      <c r="Q31" s="99"/>
      <c r="R31" s="100"/>
      <c r="S31" s="101"/>
      <c r="T31" s="62"/>
      <c r="U31" s="8"/>
      <c r="V31" s="135"/>
      <c r="W31" s="134"/>
      <c r="X31" s="61"/>
    </row>
    <row r="32" spans="1:60">
      <c r="A32" s="1">
        <f t="shared" si="0"/>
        <v>25</v>
      </c>
      <c r="B32" s="15" t="s">
        <v>44</v>
      </c>
      <c r="C32" s="10"/>
      <c r="D32" s="11"/>
      <c r="E32" s="36"/>
      <c r="F32" s="36"/>
      <c r="G32" s="37"/>
      <c r="H32" s="38"/>
      <c r="I32" s="38"/>
      <c r="J32" s="63"/>
      <c r="K32" s="62"/>
      <c r="L32" s="36"/>
      <c r="M32" s="36"/>
      <c r="N32" s="36"/>
      <c r="O32" s="36"/>
      <c r="P32" s="36"/>
      <c r="Q32" s="99"/>
      <c r="R32" s="100"/>
      <c r="S32" s="101"/>
      <c r="T32" s="62"/>
      <c r="U32" s="8"/>
      <c r="V32" s="135"/>
      <c r="W32" s="134"/>
      <c r="X32" s="61"/>
    </row>
    <row r="33" spans="1:26">
      <c r="A33" s="1">
        <f t="shared" si="0"/>
        <v>26</v>
      </c>
      <c r="B33" s="15" t="s">
        <v>45</v>
      </c>
      <c r="C33" s="10"/>
      <c r="D33" s="11"/>
      <c r="E33" s="36"/>
      <c r="F33" s="36"/>
      <c r="G33" s="37"/>
      <c r="H33" s="38"/>
      <c r="I33" s="38"/>
      <c r="J33" s="63"/>
      <c r="K33" s="62"/>
      <c r="L33" s="36"/>
      <c r="M33" s="36"/>
      <c r="N33" s="36"/>
      <c r="O33" s="36"/>
      <c r="P33" s="36"/>
      <c r="Q33" s="99"/>
      <c r="R33" s="100"/>
      <c r="S33" s="101"/>
      <c r="T33" s="62"/>
      <c r="U33" s="8"/>
      <c r="V33" s="135"/>
      <c r="W33" s="134"/>
      <c r="X33" s="61"/>
    </row>
    <row r="34" spans="1:26">
      <c r="A34" s="1">
        <f t="shared" si="0"/>
        <v>27</v>
      </c>
      <c r="B34" s="15" t="s">
        <v>46</v>
      </c>
      <c r="C34" s="10"/>
      <c r="D34" s="11"/>
      <c r="E34" s="36"/>
      <c r="F34" s="36"/>
      <c r="G34" s="37"/>
      <c r="H34" s="38"/>
      <c r="I34" s="38"/>
      <c r="J34" s="63"/>
      <c r="K34" s="62"/>
      <c r="L34" s="36"/>
      <c r="M34" s="36"/>
      <c r="N34" s="36"/>
      <c r="O34" s="36"/>
      <c r="P34" s="36"/>
      <c r="Q34" s="99"/>
      <c r="R34" s="100"/>
      <c r="S34" s="101"/>
      <c r="T34" s="62"/>
      <c r="U34" s="8"/>
      <c r="V34" s="135"/>
      <c r="W34" s="134"/>
      <c r="X34" s="61"/>
    </row>
    <row r="35" spans="1:26">
      <c r="A35" s="1">
        <f t="shared" si="0"/>
        <v>28</v>
      </c>
      <c r="B35" s="15" t="s">
        <v>47</v>
      </c>
      <c r="C35" s="10"/>
      <c r="D35" s="11"/>
      <c r="E35" s="36"/>
      <c r="F35" s="36"/>
      <c r="G35" s="37"/>
      <c r="H35" s="38"/>
      <c r="I35" s="38"/>
      <c r="J35" s="63"/>
      <c r="K35" s="62"/>
      <c r="L35" s="36"/>
      <c r="M35" s="36"/>
      <c r="N35" s="36"/>
      <c r="O35" s="36"/>
      <c r="P35" s="36"/>
      <c r="Q35" s="99"/>
      <c r="R35" s="100"/>
      <c r="S35" s="101"/>
      <c r="T35" s="62"/>
      <c r="U35" s="8"/>
      <c r="V35" s="135"/>
      <c r="W35" s="134"/>
      <c r="X35" s="61"/>
    </row>
    <row r="36" spans="1:26" ht="18.75" hidden="1" customHeight="1">
      <c r="A36" s="1">
        <f t="shared" si="0"/>
        <v>29</v>
      </c>
      <c r="B36" s="15" t="s">
        <v>48</v>
      </c>
      <c r="C36" s="10"/>
      <c r="D36" s="11"/>
      <c r="E36" s="36"/>
      <c r="F36" s="36"/>
      <c r="G36" s="37"/>
      <c r="H36" s="38"/>
      <c r="I36" s="38"/>
      <c r="J36" s="63"/>
      <c r="K36" s="62"/>
      <c r="L36" s="36"/>
      <c r="M36" s="36"/>
      <c r="N36" s="36"/>
      <c r="O36" s="36"/>
      <c r="P36" s="36"/>
      <c r="Q36" s="99"/>
      <c r="R36" s="100"/>
      <c r="S36" s="101"/>
      <c r="T36" s="62"/>
      <c r="U36" s="8"/>
      <c r="V36" s="135"/>
      <c r="W36" s="134"/>
      <c r="X36" s="61"/>
    </row>
    <row r="37" spans="1:26" ht="18.75" customHeight="1">
      <c r="A37" s="1">
        <f t="shared" si="0"/>
        <v>30</v>
      </c>
      <c r="B37" s="15" t="s">
        <v>49</v>
      </c>
      <c r="C37" s="10"/>
      <c r="D37" s="11"/>
      <c r="E37" s="36"/>
      <c r="F37" s="36"/>
      <c r="G37" s="37"/>
      <c r="H37" s="38"/>
      <c r="I37" s="38"/>
      <c r="J37" s="63"/>
      <c r="K37" s="62"/>
      <c r="L37" s="36"/>
      <c r="M37" s="36"/>
      <c r="N37" s="36"/>
      <c r="O37" s="36"/>
      <c r="P37" s="36"/>
      <c r="Q37" s="99"/>
      <c r="R37" s="100"/>
      <c r="S37" s="101"/>
      <c r="T37" s="62"/>
      <c r="U37" s="8"/>
      <c r="V37" s="135"/>
      <c r="W37" s="134"/>
      <c r="X37" s="61"/>
    </row>
    <row r="38" spans="1:26">
      <c r="A38" s="1">
        <f t="shared" si="0"/>
        <v>31</v>
      </c>
      <c r="B38" s="16" t="s">
        <v>50</v>
      </c>
      <c r="C38" s="13"/>
      <c r="D38" s="14"/>
      <c r="E38" s="39"/>
      <c r="F38" s="39"/>
      <c r="G38" s="40"/>
      <c r="H38" s="41"/>
      <c r="I38" s="53"/>
      <c r="J38" s="70"/>
      <c r="K38" s="65"/>
      <c r="L38" s="51"/>
      <c r="M38" s="51"/>
      <c r="N38" s="51"/>
      <c r="O38" s="51"/>
      <c r="P38" s="51"/>
      <c r="Q38" s="102"/>
      <c r="R38" s="107"/>
      <c r="S38" s="104"/>
      <c r="T38" s="65"/>
      <c r="U38" s="136"/>
      <c r="V38" s="141"/>
      <c r="W38" s="138"/>
      <c r="X38" s="139"/>
    </row>
    <row r="39" spans="1:26">
      <c r="A39" s="1">
        <f t="shared" si="0"/>
        <v>32</v>
      </c>
      <c r="B39" s="7" t="s">
        <v>51</v>
      </c>
      <c r="C39" s="10"/>
      <c r="D39" s="11"/>
      <c r="E39" s="36"/>
      <c r="F39" s="36"/>
      <c r="G39" s="37"/>
      <c r="H39" s="38"/>
      <c r="I39" s="37"/>
      <c r="J39" s="63"/>
      <c r="K39" s="62"/>
      <c r="L39" s="36"/>
      <c r="M39" s="36"/>
      <c r="N39" s="36"/>
      <c r="O39" s="36"/>
      <c r="P39" s="36"/>
      <c r="Q39" s="99"/>
      <c r="R39" s="108"/>
      <c r="S39" s="106"/>
      <c r="T39" s="62"/>
      <c r="U39" s="8"/>
      <c r="V39" s="33"/>
      <c r="W39" s="134"/>
      <c r="X39" s="61"/>
    </row>
    <row r="40" spans="1:26">
      <c r="A40" s="1">
        <f t="shared" si="0"/>
        <v>33</v>
      </c>
      <c r="B40" s="17" t="s">
        <v>52</v>
      </c>
      <c r="C40" s="18"/>
      <c r="D40" s="19"/>
      <c r="E40" s="42"/>
      <c r="F40" s="42"/>
      <c r="G40" s="43"/>
      <c r="H40" s="44"/>
      <c r="I40" s="38"/>
      <c r="J40" s="63"/>
      <c r="K40" s="62"/>
      <c r="L40" s="36"/>
      <c r="M40" s="36"/>
      <c r="N40" s="36"/>
      <c r="O40" s="36"/>
      <c r="P40" s="36"/>
      <c r="Q40" s="99"/>
      <c r="R40" s="100"/>
      <c r="S40" s="101"/>
      <c r="T40" s="62"/>
      <c r="U40" s="142"/>
      <c r="V40" s="135"/>
      <c r="W40" s="143"/>
      <c r="X40" s="144"/>
    </row>
    <row r="41" spans="1:26">
      <c r="A41" s="1">
        <f t="shared" si="0"/>
        <v>34</v>
      </c>
      <c r="B41" s="20" t="s">
        <v>53</v>
      </c>
      <c r="C41" s="21"/>
      <c r="D41" s="22"/>
      <c r="E41" s="45"/>
      <c r="F41" s="45"/>
      <c r="G41" s="46"/>
      <c r="H41" s="47"/>
      <c r="I41" s="71"/>
      <c r="J41" s="72"/>
      <c r="K41" s="73"/>
      <c r="L41" s="74"/>
      <c r="M41" s="74"/>
      <c r="N41" s="74"/>
      <c r="O41" s="74"/>
      <c r="P41" s="74"/>
      <c r="Q41" s="109"/>
      <c r="R41" s="110"/>
      <c r="S41" s="111"/>
      <c r="T41" s="73"/>
      <c r="U41" s="145"/>
      <c r="V41" s="146"/>
      <c r="W41" s="146"/>
      <c r="X41" s="147"/>
    </row>
    <row r="42" spans="1:26">
      <c r="A42" s="1">
        <f t="shared" si="0"/>
        <v>35</v>
      </c>
      <c r="B42" s="23" t="s">
        <v>54</v>
      </c>
      <c r="C42" s="24"/>
      <c r="D42" s="25"/>
      <c r="E42" s="48"/>
      <c r="F42" s="48"/>
      <c r="G42" s="49"/>
      <c r="H42" s="50"/>
      <c r="I42" s="49"/>
      <c r="J42" s="75"/>
      <c r="K42" s="76"/>
      <c r="L42" s="48"/>
      <c r="M42" s="48"/>
      <c r="N42" s="48"/>
      <c r="O42" s="48"/>
      <c r="P42" s="48"/>
      <c r="Q42" s="112"/>
      <c r="R42" s="113"/>
      <c r="S42" s="114"/>
      <c r="T42" s="76"/>
      <c r="U42" s="148"/>
      <c r="V42" s="149"/>
      <c r="W42" s="150"/>
      <c r="X42" s="151"/>
    </row>
    <row r="43" spans="1:26" ht="18.75" hidden="1" customHeight="1">
      <c r="A43" s="1">
        <f t="shared" si="0"/>
        <v>36</v>
      </c>
      <c r="B43" s="7" t="s">
        <v>55</v>
      </c>
      <c r="C43" s="10"/>
      <c r="D43" s="11"/>
      <c r="E43" s="36"/>
      <c r="F43" s="36"/>
      <c r="G43" s="37"/>
      <c r="H43" s="38"/>
      <c r="I43" s="38"/>
      <c r="J43" s="64"/>
      <c r="K43" s="62"/>
      <c r="L43" s="36"/>
      <c r="M43" s="36"/>
      <c r="N43" s="36"/>
      <c r="O43" s="36"/>
      <c r="P43" s="36"/>
      <c r="Q43" s="99"/>
      <c r="R43" s="115"/>
      <c r="S43" s="116"/>
      <c r="T43" s="62"/>
      <c r="U43" s="8"/>
      <c r="V43" s="33"/>
      <c r="W43" s="134"/>
      <c r="X43" s="61"/>
    </row>
    <row r="44" spans="1:26">
      <c r="A44" s="1">
        <f t="shared" si="0"/>
        <v>37</v>
      </c>
      <c r="B44" s="12" t="s">
        <v>56</v>
      </c>
      <c r="C44" s="13"/>
      <c r="D44" s="14"/>
      <c r="E44" s="39"/>
      <c r="F44" s="39"/>
      <c r="G44" s="40"/>
      <c r="H44" s="41"/>
      <c r="I44" s="38"/>
      <c r="J44" s="77"/>
      <c r="K44" s="65"/>
      <c r="L44" s="51"/>
      <c r="M44" s="51"/>
      <c r="N44" s="51"/>
      <c r="O44" s="51"/>
      <c r="P44" s="51"/>
      <c r="Q44" s="102"/>
      <c r="R44" s="117"/>
      <c r="S44" s="118"/>
      <c r="T44" s="65"/>
      <c r="U44" s="136"/>
      <c r="V44" s="135"/>
      <c r="W44" s="138"/>
      <c r="X44" s="139"/>
      <c r="Z44" s="155"/>
    </row>
    <row r="45" spans="1:26" ht="18.75" hidden="1" customHeight="1">
      <c r="A45" s="1">
        <f t="shared" si="0"/>
        <v>38</v>
      </c>
      <c r="B45" s="7" t="s">
        <v>57</v>
      </c>
      <c r="C45" s="10"/>
      <c r="D45" s="11"/>
      <c r="E45" s="36"/>
      <c r="F45" s="36"/>
      <c r="G45" s="37"/>
      <c r="H45" s="38"/>
      <c r="I45" s="44"/>
      <c r="J45" s="63"/>
      <c r="K45" s="62"/>
      <c r="L45" s="36"/>
      <c r="M45" s="36"/>
      <c r="N45" s="36"/>
      <c r="O45" s="36"/>
      <c r="P45" s="36"/>
      <c r="Q45" s="99"/>
      <c r="R45" s="108"/>
      <c r="S45" s="116"/>
      <c r="T45" s="62"/>
      <c r="U45" s="8"/>
      <c r="V45" s="137"/>
      <c r="W45" s="134"/>
      <c r="X45" s="61"/>
    </row>
    <row r="46" spans="1:26">
      <c r="A46" s="1">
        <f t="shared" si="0"/>
        <v>39</v>
      </c>
      <c r="B46" s="15" t="s">
        <v>58</v>
      </c>
      <c r="C46" s="10"/>
      <c r="D46" s="11"/>
      <c r="E46" s="36"/>
      <c r="F46" s="36"/>
      <c r="G46" s="37"/>
      <c r="H46" s="38"/>
      <c r="I46" s="68"/>
      <c r="J46" s="63"/>
      <c r="K46" s="62"/>
      <c r="L46" s="36"/>
      <c r="M46" s="36"/>
      <c r="N46" s="36"/>
      <c r="O46" s="36"/>
      <c r="P46" s="36"/>
      <c r="Q46" s="99"/>
      <c r="R46" s="100"/>
      <c r="S46" s="119"/>
      <c r="T46" s="62"/>
      <c r="U46" s="8"/>
      <c r="V46" s="140"/>
      <c r="W46" s="134"/>
      <c r="X46" s="61"/>
    </row>
    <row r="47" spans="1:26">
      <c r="A47" s="1">
        <f t="shared" si="0"/>
        <v>40</v>
      </c>
      <c r="B47" s="15" t="s">
        <v>59</v>
      </c>
      <c r="C47" s="10"/>
      <c r="D47" s="11"/>
      <c r="E47" s="36"/>
      <c r="F47" s="36"/>
      <c r="G47" s="37"/>
      <c r="H47" s="38"/>
      <c r="I47" s="38"/>
      <c r="J47" s="63"/>
      <c r="K47" s="62"/>
      <c r="L47" s="36"/>
      <c r="M47" s="36"/>
      <c r="N47" s="36"/>
      <c r="O47" s="36"/>
      <c r="P47" s="36"/>
      <c r="Q47" s="99"/>
      <c r="R47" s="100"/>
      <c r="S47" s="101"/>
      <c r="T47" s="62"/>
      <c r="U47" s="8"/>
      <c r="V47" s="135"/>
      <c r="W47" s="134"/>
      <c r="X47" s="61"/>
    </row>
    <row r="48" spans="1:26">
      <c r="A48" s="1">
        <f t="shared" si="0"/>
        <v>41</v>
      </c>
      <c r="B48" s="12" t="s">
        <v>48</v>
      </c>
      <c r="C48" s="26"/>
      <c r="D48" s="27"/>
      <c r="E48" s="51"/>
      <c r="F48" s="51"/>
      <c r="G48" s="52"/>
      <c r="H48" s="53"/>
      <c r="I48" s="53"/>
      <c r="J48" s="70"/>
      <c r="K48" s="65"/>
      <c r="L48" s="51"/>
      <c r="M48" s="51"/>
      <c r="N48" s="51"/>
      <c r="O48" s="51"/>
      <c r="P48" s="51"/>
      <c r="Q48" s="102"/>
      <c r="R48" s="107"/>
      <c r="S48" s="120"/>
      <c r="T48" s="65"/>
      <c r="U48" s="136"/>
      <c r="V48" s="141"/>
      <c r="W48" s="138"/>
      <c r="X48" s="139"/>
    </row>
    <row r="49" spans="1:24">
      <c r="A49" s="1">
        <f t="shared" si="0"/>
        <v>42</v>
      </c>
      <c r="B49" s="7" t="s">
        <v>60</v>
      </c>
      <c r="C49" s="10"/>
      <c r="D49" s="11"/>
      <c r="E49" s="36"/>
      <c r="F49" s="36"/>
      <c r="G49" s="37"/>
      <c r="H49" s="38"/>
      <c r="I49" s="38"/>
      <c r="J49" s="63"/>
      <c r="K49" s="62"/>
      <c r="L49" s="36"/>
      <c r="M49" s="36"/>
      <c r="N49" s="36"/>
      <c r="O49" s="36"/>
      <c r="P49" s="36"/>
      <c r="Q49" s="99"/>
      <c r="R49" s="108"/>
      <c r="S49" s="106"/>
      <c r="T49" s="62"/>
      <c r="U49" s="8"/>
      <c r="V49" s="33"/>
      <c r="W49" s="134"/>
      <c r="X49" s="61"/>
    </row>
    <row r="50" spans="1:24">
      <c r="A50" s="1">
        <f t="shared" si="0"/>
        <v>43</v>
      </c>
      <c r="B50" s="15" t="s">
        <v>61</v>
      </c>
      <c r="C50" s="10"/>
      <c r="D50" s="11"/>
      <c r="E50" s="36"/>
      <c r="F50" s="36"/>
      <c r="G50" s="37"/>
      <c r="H50" s="38"/>
      <c r="I50" s="38"/>
      <c r="J50" s="63"/>
      <c r="K50" s="62"/>
      <c r="L50" s="36"/>
      <c r="M50" s="36"/>
      <c r="N50" s="36"/>
      <c r="O50" s="36"/>
      <c r="P50" s="36"/>
      <c r="Q50" s="99"/>
      <c r="R50" s="100"/>
      <c r="S50" s="101"/>
      <c r="T50" s="62"/>
      <c r="U50" s="8"/>
      <c r="V50" s="135"/>
      <c r="W50" s="134"/>
      <c r="X50" s="61"/>
    </row>
    <row r="51" spans="1:24">
      <c r="A51" s="1">
        <f t="shared" si="0"/>
        <v>44</v>
      </c>
      <c r="B51" s="15" t="s">
        <v>62</v>
      </c>
      <c r="C51" s="10"/>
      <c r="D51" s="11"/>
      <c r="E51" s="36"/>
      <c r="F51" s="36"/>
      <c r="G51" s="37"/>
      <c r="H51" s="38"/>
      <c r="I51" s="38"/>
      <c r="J51" s="63"/>
      <c r="K51" s="62"/>
      <c r="L51" s="36"/>
      <c r="M51" s="36"/>
      <c r="N51" s="36"/>
      <c r="O51" s="36"/>
      <c r="P51" s="36"/>
      <c r="Q51" s="99"/>
      <c r="R51" s="100"/>
      <c r="S51" s="101"/>
      <c r="T51" s="62"/>
      <c r="U51" s="8"/>
      <c r="V51" s="135"/>
      <c r="W51" s="134"/>
      <c r="X51" s="61"/>
    </row>
    <row r="52" spans="1:24">
      <c r="A52" s="1">
        <f t="shared" si="0"/>
        <v>45</v>
      </c>
      <c r="B52" s="12" t="s">
        <v>63</v>
      </c>
      <c r="C52" s="26"/>
      <c r="D52" s="27"/>
      <c r="E52" s="51"/>
      <c r="F52" s="51"/>
      <c r="G52" s="52"/>
      <c r="H52" s="53"/>
      <c r="I52" s="53"/>
      <c r="J52" s="70"/>
      <c r="K52" s="65"/>
      <c r="L52" s="51"/>
      <c r="M52" s="51"/>
      <c r="N52" s="51"/>
      <c r="O52" s="51"/>
      <c r="P52" s="51"/>
      <c r="Q52" s="102"/>
      <c r="R52" s="107"/>
      <c r="S52" s="120"/>
      <c r="T52" s="65"/>
      <c r="U52" s="136"/>
      <c r="V52" s="141"/>
      <c r="W52" s="138"/>
      <c r="X52" s="139"/>
    </row>
    <row r="53" spans="1:24">
      <c r="A53" s="1">
        <f t="shared" si="0"/>
        <v>46</v>
      </c>
      <c r="B53" s="7" t="s">
        <v>64</v>
      </c>
      <c r="C53" s="10"/>
      <c r="D53" s="11"/>
      <c r="E53" s="36"/>
      <c r="F53" s="36"/>
      <c r="G53" s="37"/>
      <c r="H53" s="38"/>
      <c r="I53" s="38"/>
      <c r="J53" s="63"/>
      <c r="K53" s="62"/>
      <c r="L53" s="36"/>
      <c r="M53" s="36"/>
      <c r="N53" s="36"/>
      <c r="O53" s="36"/>
      <c r="P53" s="36"/>
      <c r="Q53" s="99"/>
      <c r="R53" s="108"/>
      <c r="S53" s="106"/>
      <c r="T53" s="62"/>
      <c r="U53" s="8"/>
      <c r="V53" s="33"/>
      <c r="W53" s="134"/>
      <c r="X53" s="61"/>
    </row>
    <row r="54" spans="1:24">
      <c r="A54" s="1">
        <f t="shared" si="0"/>
        <v>47</v>
      </c>
      <c r="B54" s="15" t="s">
        <v>65</v>
      </c>
      <c r="C54" s="10"/>
      <c r="D54" s="11"/>
      <c r="E54" s="36"/>
      <c r="F54" s="36"/>
      <c r="G54" s="37"/>
      <c r="H54" s="38"/>
      <c r="I54" s="38"/>
      <c r="J54" s="63"/>
      <c r="K54" s="62"/>
      <c r="L54" s="36"/>
      <c r="M54" s="36"/>
      <c r="N54" s="36"/>
      <c r="O54" s="36"/>
      <c r="P54" s="36"/>
      <c r="Q54" s="99"/>
      <c r="R54" s="100"/>
      <c r="S54" s="101"/>
      <c r="T54" s="62"/>
      <c r="U54" s="8"/>
      <c r="V54" s="135"/>
      <c r="W54" s="134"/>
      <c r="X54" s="61"/>
    </row>
    <row r="55" spans="1:24">
      <c r="A55" s="1">
        <f t="shared" si="0"/>
        <v>48</v>
      </c>
      <c r="B55" s="15"/>
      <c r="C55" s="10"/>
      <c r="D55" s="11"/>
      <c r="E55" s="36"/>
      <c r="F55" s="36"/>
      <c r="G55" s="37"/>
      <c r="H55" s="38"/>
      <c r="I55" s="38"/>
      <c r="J55" s="63"/>
      <c r="K55" s="62"/>
      <c r="L55" s="36"/>
      <c r="M55" s="36"/>
      <c r="N55" s="36"/>
      <c r="O55" s="36"/>
      <c r="P55" s="36"/>
      <c r="Q55" s="99"/>
      <c r="R55" s="100"/>
      <c r="S55" s="101"/>
      <c r="T55" s="62"/>
      <c r="U55" s="8"/>
      <c r="V55" s="135"/>
      <c r="W55" s="134"/>
      <c r="X55" s="61"/>
    </row>
    <row r="56" spans="1:24">
      <c r="A56" s="1">
        <f t="shared" si="0"/>
        <v>49</v>
      </c>
      <c r="B56" s="15"/>
      <c r="C56" s="10"/>
      <c r="D56" s="11"/>
      <c r="E56" s="36"/>
      <c r="F56" s="36"/>
      <c r="G56" s="37"/>
      <c r="H56" s="38"/>
      <c r="I56" s="38"/>
      <c r="J56" s="63"/>
      <c r="K56" s="62"/>
      <c r="L56" s="36"/>
      <c r="M56" s="36"/>
      <c r="N56" s="36"/>
      <c r="O56" s="36"/>
      <c r="P56" s="36"/>
      <c r="Q56" s="99"/>
      <c r="R56" s="100"/>
      <c r="S56" s="101"/>
      <c r="T56" s="62"/>
      <c r="U56" s="8"/>
      <c r="V56" s="135"/>
      <c r="W56" s="134"/>
      <c r="X56" s="61"/>
    </row>
    <row r="57" spans="1:24">
      <c r="A57" s="1">
        <f t="shared" si="0"/>
        <v>50</v>
      </c>
      <c r="B57" s="15"/>
      <c r="C57" s="10"/>
      <c r="D57" s="11"/>
      <c r="E57" s="36"/>
      <c r="F57" s="36"/>
      <c r="G57" s="37"/>
      <c r="H57" s="38"/>
      <c r="I57" s="38"/>
      <c r="J57" s="63"/>
      <c r="K57" s="62"/>
      <c r="L57" s="36"/>
      <c r="M57" s="36"/>
      <c r="N57" s="36"/>
      <c r="O57" s="36"/>
      <c r="P57" s="36"/>
      <c r="Q57" s="99"/>
      <c r="R57" s="100"/>
      <c r="S57" s="101"/>
      <c r="T57" s="62"/>
      <c r="U57" s="8"/>
      <c r="V57" s="135"/>
      <c r="W57" s="134"/>
      <c r="X57" s="61"/>
    </row>
    <row r="58" spans="1:24">
      <c r="A58" s="1">
        <f t="shared" si="0"/>
        <v>51</v>
      </c>
      <c r="B58" s="15"/>
      <c r="C58" s="10"/>
      <c r="D58" s="11"/>
      <c r="E58" s="36"/>
      <c r="F58" s="36"/>
      <c r="G58" s="37"/>
      <c r="H58" s="38"/>
      <c r="I58" s="38"/>
      <c r="J58" s="63"/>
      <c r="K58" s="62"/>
      <c r="L58" s="36"/>
      <c r="M58" s="36"/>
      <c r="N58" s="36"/>
      <c r="O58" s="36"/>
      <c r="P58" s="36"/>
      <c r="Q58" s="99"/>
      <c r="R58" s="100"/>
      <c r="S58" s="101"/>
      <c r="T58" s="62"/>
      <c r="U58" s="8"/>
      <c r="V58" s="135"/>
      <c r="W58" s="134"/>
      <c r="X58" s="61"/>
    </row>
    <row r="59" spans="1:24">
      <c r="A59" s="1">
        <f t="shared" si="0"/>
        <v>52</v>
      </c>
      <c r="B59" s="15"/>
      <c r="C59" s="10"/>
      <c r="D59" s="11"/>
      <c r="E59" s="36"/>
      <c r="F59" s="36"/>
      <c r="G59" s="37"/>
      <c r="H59" s="38"/>
      <c r="I59" s="38"/>
      <c r="J59" s="63"/>
      <c r="K59" s="62"/>
      <c r="L59" s="36"/>
      <c r="M59" s="36"/>
      <c r="N59" s="36"/>
      <c r="O59" s="36"/>
      <c r="P59" s="36"/>
      <c r="Q59" s="99"/>
      <c r="R59" s="100"/>
      <c r="S59" s="101"/>
      <c r="T59" s="62"/>
      <c r="U59" s="8"/>
      <c r="V59" s="135"/>
      <c r="W59" s="134"/>
      <c r="X59" s="61"/>
    </row>
    <row r="60" spans="1:24" s="2" customFormat="1">
      <c r="B60" s="28" t="s">
        <v>15</v>
      </c>
      <c r="C60" s="29"/>
      <c r="D60" s="30"/>
      <c r="E60" s="54"/>
      <c r="F60" s="54"/>
      <c r="G60" s="55"/>
      <c r="H60" s="56"/>
      <c r="I60" s="56"/>
      <c r="J60" s="78"/>
      <c r="L60" s="79"/>
      <c r="M60" s="79"/>
      <c r="N60" s="79"/>
      <c r="O60" s="79"/>
      <c r="P60" s="79"/>
      <c r="Q60" s="121"/>
      <c r="R60" s="122"/>
      <c r="S60" s="123"/>
      <c r="U60" s="29"/>
      <c r="V60" s="152"/>
      <c r="W60" s="153"/>
      <c r="X60" s="78"/>
    </row>
    <row r="61" spans="1:24">
      <c r="V61" s="154"/>
    </row>
    <row r="62" spans="1:24" ht="18.75" customHeight="1">
      <c r="G62" s="197" t="s">
        <v>66</v>
      </c>
      <c r="H62" s="57"/>
      <c r="I62" s="57"/>
      <c r="J62" s="80" t="s">
        <v>67</v>
      </c>
      <c r="L62" s="81"/>
      <c r="M62" s="87"/>
      <c r="N62" s="88"/>
      <c r="O62" s="88"/>
      <c r="P62" s="88"/>
      <c r="Q62" s="124"/>
      <c r="R62" s="124"/>
      <c r="S62" s="125"/>
    </row>
    <row r="63" spans="1:24">
      <c r="G63" s="198"/>
      <c r="H63" s="58"/>
      <c r="I63" s="58"/>
      <c r="J63" s="82" t="s">
        <v>68</v>
      </c>
      <c r="L63" s="83"/>
      <c r="M63" s="89"/>
      <c r="N63" s="90"/>
      <c r="O63" s="90"/>
      <c r="P63" s="90"/>
      <c r="Q63" s="126"/>
      <c r="R63" s="126"/>
      <c r="S63" s="127"/>
    </row>
    <row r="64" spans="1:24">
      <c r="G64" s="199"/>
      <c r="H64" s="59"/>
      <c r="I64" s="59"/>
      <c r="J64" s="82" t="s">
        <v>69</v>
      </c>
      <c r="L64" s="84"/>
      <c r="M64" s="91"/>
      <c r="N64" s="92"/>
      <c r="O64" s="92"/>
      <c r="P64" s="92"/>
      <c r="Q64" s="128"/>
      <c r="R64" s="128"/>
      <c r="S64" s="129"/>
    </row>
    <row r="65" spans="2:24">
      <c r="G65" s="200" t="s">
        <v>70</v>
      </c>
      <c r="H65" s="164"/>
      <c r="I65" s="164"/>
      <c r="J65" s="82" t="s">
        <v>67</v>
      </c>
      <c r="L65" s="84"/>
      <c r="M65" s="91"/>
      <c r="N65" s="92"/>
      <c r="O65" s="92"/>
      <c r="P65" s="92"/>
      <c r="Q65" s="128"/>
      <c r="R65" s="128"/>
      <c r="S65" s="129"/>
    </row>
    <row r="66" spans="2:24">
      <c r="G66" s="200"/>
      <c r="H66" s="164"/>
      <c r="I66" s="164"/>
      <c r="J66" s="82" t="s">
        <v>68</v>
      </c>
      <c r="L66" s="83"/>
      <c r="M66" s="89"/>
      <c r="N66" s="90"/>
      <c r="O66" s="90"/>
      <c r="P66" s="90"/>
      <c r="Q66" s="126"/>
      <c r="R66" s="126"/>
      <c r="S66" s="127"/>
    </row>
    <row r="67" spans="2:24">
      <c r="G67" s="201"/>
      <c r="H67" s="165"/>
      <c r="I67" s="165"/>
      <c r="J67" s="167" t="s">
        <v>69</v>
      </c>
      <c r="L67" s="168"/>
      <c r="M67" s="170"/>
      <c r="N67" s="171"/>
      <c r="O67" s="171"/>
      <c r="P67" s="171"/>
      <c r="Q67" s="174"/>
      <c r="R67" s="174"/>
      <c r="S67" s="175"/>
    </row>
    <row r="69" spans="2:24" ht="49.5" customHeight="1">
      <c r="B69" s="159" t="s">
        <v>71</v>
      </c>
      <c r="C69" s="5" t="s">
        <v>4</v>
      </c>
      <c r="D69" s="6"/>
      <c r="E69" s="166" t="s">
        <v>72</v>
      </c>
      <c r="L69" s="169" t="s">
        <v>12</v>
      </c>
      <c r="M69" s="172"/>
      <c r="N69" s="173" t="s">
        <v>13</v>
      </c>
      <c r="O69" s="173"/>
      <c r="P69" s="173" t="s">
        <v>14</v>
      </c>
      <c r="Q69" s="176"/>
      <c r="R69" s="176"/>
      <c r="S69" s="177" t="s">
        <v>73</v>
      </c>
      <c r="X69" s="178" t="s">
        <v>74</v>
      </c>
    </row>
    <row r="70" spans="2:24">
      <c r="B70" s="160" t="s">
        <v>47</v>
      </c>
      <c r="C70" s="161"/>
      <c r="D70" s="161"/>
      <c r="E70" s="163"/>
      <c r="L70" s="161"/>
      <c r="M70" s="161"/>
      <c r="N70" s="161"/>
      <c r="O70" s="161"/>
      <c r="P70" s="161"/>
      <c r="Q70" s="161"/>
      <c r="R70" s="161"/>
      <c r="S70" s="161"/>
      <c r="X70" s="163"/>
    </row>
    <row r="71" spans="2:24">
      <c r="B71" s="162" t="s">
        <v>75</v>
      </c>
      <c r="C71" s="161"/>
      <c r="D71" s="161"/>
      <c r="E71" s="163"/>
      <c r="L71" s="163"/>
      <c r="M71" s="163"/>
      <c r="N71" s="163"/>
      <c r="O71" s="163"/>
      <c r="P71" s="163"/>
      <c r="Q71" s="163"/>
      <c r="R71" s="163"/>
      <c r="S71" s="163"/>
      <c r="X71" s="163"/>
    </row>
    <row r="72" spans="2:24">
      <c r="B72" s="162" t="s">
        <v>76</v>
      </c>
      <c r="C72" s="161"/>
      <c r="D72" s="161"/>
      <c r="E72" s="163"/>
      <c r="L72" s="163"/>
      <c r="M72" s="163"/>
      <c r="N72" s="163"/>
      <c r="O72" s="163"/>
      <c r="P72" s="163"/>
      <c r="Q72" s="163"/>
      <c r="R72" s="163"/>
      <c r="S72" s="163"/>
      <c r="X72" s="163"/>
    </row>
    <row r="73" spans="2:24" ht="11.25" customHeight="1"/>
    <row r="74" spans="2:24">
      <c r="B74" s="162" t="s">
        <v>77</v>
      </c>
      <c r="C74" s="163"/>
      <c r="D74" s="163"/>
      <c r="E74" s="163"/>
      <c r="L74" s="163"/>
      <c r="M74" s="163"/>
      <c r="N74" s="163"/>
      <c r="O74" s="163"/>
      <c r="P74" s="163"/>
      <c r="Q74" s="163"/>
      <c r="R74" s="163"/>
      <c r="S74" s="163"/>
      <c r="X74" s="163"/>
    </row>
    <row r="75" spans="2:24">
      <c r="B75" s="162" t="s">
        <v>75</v>
      </c>
      <c r="C75" s="163"/>
      <c r="D75" s="163"/>
      <c r="E75" s="163"/>
      <c r="L75" s="163"/>
      <c r="M75" s="163"/>
      <c r="N75" s="163"/>
      <c r="O75" s="163"/>
      <c r="P75" s="163"/>
      <c r="Q75" s="163"/>
      <c r="R75" s="163"/>
      <c r="S75" s="163"/>
      <c r="X75" s="163"/>
    </row>
    <row r="76" spans="2:24">
      <c r="B76" s="162" t="s">
        <v>76</v>
      </c>
      <c r="C76" s="163"/>
      <c r="D76" s="163"/>
      <c r="E76" s="163"/>
      <c r="L76" s="163"/>
      <c r="M76" s="163"/>
      <c r="N76" s="163"/>
      <c r="O76" s="163"/>
      <c r="P76" s="163"/>
      <c r="Q76" s="163"/>
      <c r="R76" s="163"/>
      <c r="S76" s="163"/>
      <c r="X76" s="163"/>
    </row>
    <row r="77" spans="2:24" ht="11.25" customHeight="1"/>
    <row r="78" spans="2:24">
      <c r="B78" s="162" t="s">
        <v>78</v>
      </c>
      <c r="C78" s="163"/>
      <c r="D78" s="163"/>
      <c r="E78" s="163"/>
      <c r="L78" s="163"/>
      <c r="M78" s="163"/>
      <c r="N78" s="163"/>
      <c r="O78" s="163"/>
      <c r="P78" s="163"/>
      <c r="Q78" s="163"/>
      <c r="R78" s="163"/>
      <c r="S78" s="163"/>
      <c r="X78" s="163"/>
    </row>
    <row r="79" spans="2:24">
      <c r="B79" s="162" t="s">
        <v>75</v>
      </c>
      <c r="C79" s="163"/>
      <c r="D79" s="163"/>
      <c r="E79" s="163"/>
      <c r="L79" s="163"/>
      <c r="M79" s="163"/>
      <c r="N79" s="163"/>
      <c r="O79" s="163"/>
      <c r="P79" s="163"/>
      <c r="Q79" s="163"/>
      <c r="R79" s="163"/>
      <c r="S79" s="163"/>
      <c r="X79" s="163"/>
    </row>
    <row r="80" spans="2:24">
      <c r="B80" s="162" t="s">
        <v>76</v>
      </c>
      <c r="C80" s="163"/>
      <c r="D80" s="163"/>
      <c r="E80" s="163"/>
      <c r="L80" s="163"/>
      <c r="M80" s="163"/>
      <c r="N80" s="163"/>
      <c r="O80" s="163"/>
      <c r="P80" s="163"/>
      <c r="Q80" s="163"/>
      <c r="R80" s="163"/>
      <c r="S80" s="163"/>
      <c r="X80" s="163"/>
    </row>
    <row r="81" spans="2:24" ht="11.25" customHeight="1"/>
    <row r="82" spans="2:24">
      <c r="B82" s="162" t="s">
        <v>79</v>
      </c>
      <c r="C82" s="163"/>
      <c r="D82" s="163"/>
      <c r="E82" s="163"/>
      <c r="L82" s="163"/>
      <c r="M82" s="163"/>
      <c r="N82" s="163"/>
      <c r="O82" s="163"/>
      <c r="P82" s="163"/>
      <c r="Q82" s="163"/>
      <c r="R82" s="163"/>
      <c r="S82" s="163"/>
      <c r="X82" s="163"/>
    </row>
    <row r="83" spans="2:24">
      <c r="B83" s="162" t="s">
        <v>75</v>
      </c>
      <c r="C83" s="163"/>
      <c r="D83" s="163"/>
      <c r="E83" s="163"/>
      <c r="L83" s="163"/>
      <c r="M83" s="163"/>
      <c r="N83" s="163"/>
      <c r="O83" s="163"/>
      <c r="P83" s="163"/>
      <c r="Q83" s="163"/>
      <c r="R83" s="163"/>
      <c r="S83" s="163"/>
      <c r="X83" s="163"/>
    </row>
    <row r="84" spans="2:24">
      <c r="B84" s="162" t="s">
        <v>76</v>
      </c>
      <c r="C84" s="161"/>
      <c r="D84" s="161"/>
      <c r="E84" s="163"/>
      <c r="L84" s="163"/>
      <c r="M84" s="163"/>
      <c r="N84" s="163"/>
      <c r="O84" s="163"/>
      <c r="P84" s="163"/>
      <c r="Q84" s="163"/>
      <c r="R84" s="163"/>
      <c r="S84" s="163"/>
      <c r="X84" s="163"/>
    </row>
    <row r="85" spans="2:24" ht="11.25" customHeight="1"/>
    <row r="86" spans="2:24">
      <c r="B86" s="162" t="s">
        <v>80</v>
      </c>
      <c r="C86" s="163"/>
      <c r="D86" s="163"/>
      <c r="E86" s="163"/>
      <c r="L86" s="163"/>
      <c r="M86" s="163"/>
      <c r="N86" s="163"/>
      <c r="O86" s="163"/>
      <c r="P86" s="163"/>
      <c r="Q86" s="163"/>
      <c r="R86" s="163"/>
      <c r="S86" s="163"/>
      <c r="X86" s="163"/>
    </row>
    <row r="87" spans="2:24">
      <c r="B87" s="162" t="s">
        <v>75</v>
      </c>
      <c r="C87" s="163"/>
      <c r="D87" s="163"/>
      <c r="E87" s="163"/>
      <c r="L87" s="163"/>
      <c r="M87" s="163"/>
      <c r="N87" s="163"/>
      <c r="O87" s="163"/>
      <c r="P87" s="163"/>
      <c r="Q87" s="163"/>
      <c r="R87" s="163"/>
      <c r="S87" s="163"/>
      <c r="X87" s="163"/>
    </row>
    <row r="88" spans="2:24">
      <c r="B88" s="162" t="s">
        <v>76</v>
      </c>
      <c r="C88" s="163"/>
      <c r="D88" s="163"/>
      <c r="E88" s="163"/>
      <c r="L88" s="163"/>
      <c r="M88" s="163"/>
      <c r="N88" s="163"/>
      <c r="O88" s="163"/>
      <c r="P88" s="163"/>
      <c r="Q88" s="163"/>
      <c r="R88" s="163"/>
      <c r="S88" s="163"/>
      <c r="X88" s="163"/>
    </row>
    <row r="90" spans="2:24">
      <c r="B90" s="162" t="s">
        <v>81</v>
      </c>
      <c r="C90" s="163"/>
      <c r="D90" s="163"/>
      <c r="E90" s="163"/>
      <c r="L90" s="163"/>
      <c r="M90" s="163"/>
      <c r="N90" s="163"/>
      <c r="O90" s="163"/>
      <c r="P90" s="163"/>
      <c r="Q90" s="163"/>
      <c r="R90" s="163"/>
      <c r="S90" s="163"/>
      <c r="X90" s="163"/>
    </row>
  </sheetData>
  <mergeCells count="12">
    <mergeCell ref="G62:G64"/>
    <mergeCell ref="G65:G67"/>
    <mergeCell ref="H4:H5"/>
    <mergeCell ref="I4:I5"/>
    <mergeCell ref="J4:J5"/>
    <mergeCell ref="P1:X1"/>
    <mergeCell ref="E4:F4"/>
    <mergeCell ref="L4:X4"/>
    <mergeCell ref="B4:B5"/>
    <mergeCell ref="C4:C5"/>
    <mergeCell ref="D4:D5"/>
    <mergeCell ref="G4:G5"/>
  </mergeCells>
  <printOptions horizontalCentered="1" verticalCentered="1"/>
  <pageMargins left="0.196850393700787" right="0.196850393700787" top="0.196850393700787" bottom="0.196850393700787" header="0" footer="0"/>
  <pageSetup paperSize="9" scale="46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H90"/>
  <sheetViews>
    <sheetView zoomScale="55" zoomScaleNormal="55" zoomScaleSheetLayoutView="85" zoomScalePageLayoutView="80" workbookViewId="0">
      <selection activeCell="P1" sqref="P1:X1"/>
    </sheetView>
  </sheetViews>
  <sheetFormatPr defaultColWidth="9.140625" defaultRowHeight="18.75"/>
  <cols>
    <col min="1" max="1" width="5.42578125" style="3" customWidth="1"/>
    <col min="2" max="2" width="12.28515625" style="3" customWidth="1"/>
    <col min="3" max="3" width="12.7109375" style="3" customWidth="1"/>
    <col min="4" max="4" width="8" style="3" customWidth="1"/>
    <col min="5" max="5" width="12.140625" style="3" customWidth="1"/>
    <col min="6" max="6" width="9.85546875" style="3" customWidth="1"/>
    <col min="7" max="7" width="11" style="3" customWidth="1"/>
    <col min="8" max="8" width="8" style="3" customWidth="1"/>
    <col min="9" max="9" width="14.7109375" style="3" customWidth="1"/>
    <col min="10" max="10" width="8.28515625" style="3" customWidth="1"/>
    <col min="11" max="11" width="1.28515625" style="3" customWidth="1"/>
    <col min="12" max="12" width="11" style="3" customWidth="1"/>
    <col min="13" max="13" width="7.85546875" style="3" customWidth="1"/>
    <col min="14" max="14" width="11" style="3" customWidth="1"/>
    <col min="15" max="15" width="6.5703125" style="3" customWidth="1"/>
    <col min="16" max="16" width="11" style="3" customWidth="1"/>
    <col min="17" max="17" width="6.5703125" style="3" customWidth="1"/>
    <col min="18" max="18" width="9.5703125" style="3" customWidth="1"/>
    <col min="19" max="19" width="8.140625" style="3" customWidth="1"/>
    <col min="20" max="20" width="1.28515625" style="3" customWidth="1"/>
    <col min="21" max="21" width="12.7109375" style="3" customWidth="1"/>
    <col min="22" max="22" width="12.7109375" style="3" hidden="1" customWidth="1"/>
    <col min="23" max="23" width="14.5703125" style="3" customWidth="1"/>
    <col min="24" max="24" width="11.5703125" style="3" customWidth="1"/>
    <col min="25" max="25" width="2" style="3" customWidth="1"/>
    <col min="26" max="26" width="10.5703125" style="3" customWidth="1"/>
    <col min="27" max="55" width="7.28515625" style="3" customWidth="1"/>
    <col min="56" max="56" width="1.5703125" style="3" customWidth="1"/>
    <col min="57" max="57" width="9.42578125" style="3" customWidth="1"/>
    <col min="58" max="58" width="1.28515625" style="3" customWidth="1"/>
    <col min="59" max="59" width="12.7109375" style="3" customWidth="1"/>
    <col min="60" max="60" width="10.28515625" style="3" customWidth="1"/>
    <col min="61" max="16384" width="9.140625" style="3"/>
  </cols>
  <sheetData>
    <row r="1" spans="1:60">
      <c r="B1" s="2" t="s">
        <v>0</v>
      </c>
      <c r="N1" s="3" t="s">
        <v>1</v>
      </c>
      <c r="P1" s="183">
        <v>46143</v>
      </c>
      <c r="Q1" s="184"/>
      <c r="R1" s="184"/>
      <c r="S1" s="184"/>
      <c r="T1" s="184"/>
      <c r="U1" s="184"/>
      <c r="V1" s="184"/>
      <c r="W1" s="184"/>
      <c r="X1" s="185"/>
    </row>
    <row r="2" spans="1:60" ht="15" customHeight="1">
      <c r="B2" s="2" t="s">
        <v>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4" spans="1:60" ht="19.5" customHeight="1">
      <c r="A4" s="4"/>
      <c r="B4" s="192" t="s">
        <v>3</v>
      </c>
      <c r="C4" s="193" t="s">
        <v>4</v>
      </c>
      <c r="D4" s="194" t="s">
        <v>5</v>
      </c>
      <c r="E4" s="186" t="s">
        <v>6</v>
      </c>
      <c r="F4" s="187"/>
      <c r="G4" s="195" t="s">
        <v>7</v>
      </c>
      <c r="H4" s="202" t="s">
        <v>5</v>
      </c>
      <c r="I4" s="204" t="s">
        <v>8</v>
      </c>
      <c r="J4" s="202" t="s">
        <v>5</v>
      </c>
      <c r="L4" s="188" t="s">
        <v>9</v>
      </c>
      <c r="M4" s="189"/>
      <c r="N4" s="189"/>
      <c r="O4" s="189"/>
      <c r="P4" s="189"/>
      <c r="Q4" s="189"/>
      <c r="R4" s="189"/>
      <c r="S4" s="189"/>
      <c r="T4" s="189"/>
      <c r="U4" s="189"/>
      <c r="V4" s="190"/>
      <c r="W4" s="189"/>
      <c r="X4" s="191"/>
    </row>
    <row r="5" spans="1:60" s="1" customFormat="1" ht="56.25">
      <c r="A5" s="4"/>
      <c r="B5" s="192"/>
      <c r="C5" s="193"/>
      <c r="D5" s="194"/>
      <c r="E5" s="31" t="s">
        <v>10</v>
      </c>
      <c r="F5" s="32" t="s">
        <v>11</v>
      </c>
      <c r="G5" s="196"/>
      <c r="H5" s="203"/>
      <c r="I5" s="205"/>
      <c r="J5" s="203"/>
      <c r="L5" s="60" t="s">
        <v>12</v>
      </c>
      <c r="M5" s="85" t="s">
        <v>5</v>
      </c>
      <c r="N5" s="86" t="s">
        <v>13</v>
      </c>
      <c r="O5" s="85" t="s">
        <v>5</v>
      </c>
      <c r="P5" s="86" t="s">
        <v>14</v>
      </c>
      <c r="Q5" s="85" t="s">
        <v>5</v>
      </c>
      <c r="R5" s="93" t="s">
        <v>15</v>
      </c>
      <c r="S5" s="94" t="s">
        <v>5</v>
      </c>
      <c r="T5" s="95"/>
      <c r="U5" s="130" t="s">
        <v>16</v>
      </c>
      <c r="V5" s="131" t="s">
        <v>17</v>
      </c>
      <c r="W5" s="132" t="s">
        <v>18</v>
      </c>
      <c r="X5" s="133" t="s">
        <v>19</v>
      </c>
      <c r="AL5" s="156"/>
      <c r="AM5" s="156"/>
      <c r="AN5" s="156"/>
      <c r="AO5" s="156"/>
      <c r="AP5" s="156"/>
      <c r="AQ5" s="156"/>
      <c r="AR5" s="156"/>
      <c r="AS5" s="156"/>
      <c r="AT5" s="156"/>
      <c r="AU5" s="156"/>
      <c r="AV5" s="156"/>
      <c r="AW5" s="156"/>
      <c r="AX5" s="156"/>
      <c r="AY5" s="156"/>
      <c r="AZ5" s="156"/>
      <c r="BA5" s="156"/>
      <c r="BB5" s="156"/>
      <c r="BC5" s="156"/>
      <c r="BD5" s="156"/>
      <c r="BE5" s="156"/>
      <c r="BF5" s="156"/>
      <c r="BG5" s="156"/>
      <c r="BH5" s="156"/>
    </row>
    <row r="6" spans="1:60" s="1" customFormat="1">
      <c r="B6" s="7"/>
      <c r="C6" s="8"/>
      <c r="D6" s="9"/>
      <c r="E6" s="33"/>
      <c r="F6" s="33"/>
      <c r="G6" s="34"/>
      <c r="H6" s="35"/>
      <c r="I6" s="35"/>
      <c r="J6" s="61"/>
      <c r="K6" s="62"/>
      <c r="L6" s="33"/>
      <c r="M6" s="33"/>
      <c r="N6" s="33"/>
      <c r="O6" s="33"/>
      <c r="P6" s="33"/>
      <c r="Q6" s="96"/>
      <c r="R6" s="97"/>
      <c r="S6" s="98"/>
      <c r="T6" s="62"/>
      <c r="U6" s="8"/>
      <c r="V6" s="33"/>
      <c r="W6" s="134"/>
      <c r="X6" s="61"/>
      <c r="AL6" s="156"/>
      <c r="AM6" s="156"/>
      <c r="AN6" s="156"/>
      <c r="AO6" s="156"/>
      <c r="AP6" s="156"/>
      <c r="AQ6" s="156"/>
      <c r="AR6" s="156"/>
      <c r="AS6" s="156"/>
      <c r="AT6" s="156"/>
      <c r="AU6" s="156"/>
      <c r="AV6" s="156"/>
      <c r="AW6" s="156"/>
      <c r="AX6" s="156"/>
      <c r="AY6" s="156"/>
      <c r="AZ6" s="156"/>
      <c r="BA6" s="156"/>
      <c r="BB6" s="156"/>
      <c r="BC6" s="156"/>
      <c r="BD6" s="156"/>
      <c r="BE6" s="156"/>
      <c r="BF6" s="156"/>
      <c r="BG6" s="156"/>
      <c r="BH6" s="156"/>
    </row>
    <row r="7" spans="1:60" s="1" customFormat="1">
      <c r="B7" s="7"/>
      <c r="C7" s="8"/>
      <c r="D7" s="9"/>
      <c r="E7" s="33"/>
      <c r="F7" s="33"/>
      <c r="G7" s="34"/>
      <c r="H7" s="35"/>
      <c r="I7" s="35"/>
      <c r="J7" s="61"/>
      <c r="K7" s="62"/>
      <c r="L7" s="33"/>
      <c r="M7" s="33"/>
      <c r="N7" s="33"/>
      <c r="O7" s="33"/>
      <c r="P7" s="33"/>
      <c r="Q7" s="96"/>
      <c r="R7" s="97"/>
      <c r="S7" s="98"/>
      <c r="T7" s="62"/>
      <c r="U7" s="8"/>
      <c r="V7" s="135"/>
      <c r="W7" s="134"/>
      <c r="X7" s="61"/>
      <c r="AL7" s="156"/>
      <c r="AM7" s="156"/>
      <c r="AN7" s="156"/>
      <c r="AO7" s="156"/>
      <c r="AP7" s="156"/>
      <c r="AQ7" s="156"/>
      <c r="AR7" s="156"/>
      <c r="AS7" s="156"/>
      <c r="AT7" s="156"/>
      <c r="AU7" s="156"/>
      <c r="AV7" s="156"/>
      <c r="AW7" s="156"/>
      <c r="AX7" s="156"/>
      <c r="AY7" s="156"/>
      <c r="AZ7" s="156"/>
      <c r="BA7" s="156"/>
      <c r="BB7" s="156"/>
      <c r="BC7" s="156"/>
      <c r="BD7" s="156"/>
      <c r="BE7" s="156"/>
      <c r="BF7" s="156"/>
      <c r="BG7" s="156"/>
      <c r="BH7" s="156"/>
    </row>
    <row r="8" spans="1:60">
      <c r="A8" s="1">
        <v>1</v>
      </c>
      <c r="B8" s="7" t="s">
        <v>20</v>
      </c>
      <c r="C8" s="10">
        <v>29</v>
      </c>
      <c r="D8" s="11">
        <v>19</v>
      </c>
      <c r="E8" s="36"/>
      <c r="F8" s="36"/>
      <c r="G8" s="37"/>
      <c r="H8" s="38"/>
      <c r="I8" s="38">
        <f>C8-G8</f>
        <v>29</v>
      </c>
      <c r="J8" s="63">
        <f t="shared" ref="J8:J13" si="0">D8-H8</f>
        <v>19</v>
      </c>
      <c r="K8" s="62"/>
      <c r="L8" s="36"/>
      <c r="M8" s="36"/>
      <c r="N8" s="36"/>
      <c r="O8" s="36"/>
      <c r="P8" s="36"/>
      <c r="Q8" s="99"/>
      <c r="R8" s="100">
        <f t="shared" ref="R8:S12" si="1">L8+N8+P8</f>
        <v>0</v>
      </c>
      <c r="S8" s="101">
        <f t="shared" si="1"/>
        <v>0</v>
      </c>
      <c r="T8" s="62"/>
      <c r="U8" s="8">
        <f>L8*24+N8*24+P8*24</f>
        <v>0</v>
      </c>
      <c r="V8" s="135">
        <f>U8/24</f>
        <v>0</v>
      </c>
      <c r="W8" s="134">
        <f t="shared" ref="W8:W13" si="2">I8*24+J8</f>
        <v>715</v>
      </c>
      <c r="X8" s="61"/>
      <c r="AL8" s="157"/>
      <c r="AM8" s="157"/>
      <c r="AN8" s="157"/>
      <c r="AO8" s="157"/>
      <c r="AP8" s="157"/>
      <c r="AQ8" s="157"/>
      <c r="AR8" s="157"/>
      <c r="AS8" s="157"/>
      <c r="AT8" s="157"/>
      <c r="AU8" s="157"/>
      <c r="AV8" s="157"/>
      <c r="AW8" s="157"/>
      <c r="AX8" s="157"/>
      <c r="AY8" s="157"/>
      <c r="AZ8" s="157"/>
      <c r="BA8" s="157"/>
      <c r="BB8" s="157"/>
      <c r="BC8" s="157"/>
      <c r="BD8" s="157"/>
      <c r="BE8" s="157"/>
      <c r="BF8" s="157"/>
      <c r="BG8" s="157"/>
      <c r="BH8" s="157"/>
    </row>
    <row r="9" spans="1:60">
      <c r="A9" s="1">
        <f t="shared" ref="A9:A59" si="3">A8+1</f>
        <v>2</v>
      </c>
      <c r="B9" s="12" t="s">
        <v>21</v>
      </c>
      <c r="C9" s="13">
        <v>91</v>
      </c>
      <c r="D9" s="14"/>
      <c r="E9" s="39"/>
      <c r="F9" s="39"/>
      <c r="G9" s="40"/>
      <c r="H9" s="41"/>
      <c r="I9" s="40">
        <f t="shared" ref="I9:J59" si="4">C9-G9</f>
        <v>91</v>
      </c>
      <c r="J9" s="64">
        <f t="shared" si="0"/>
        <v>0</v>
      </c>
      <c r="K9" s="65"/>
      <c r="L9" s="51"/>
      <c r="M9" s="51"/>
      <c r="N9" s="51"/>
      <c r="O9" s="51"/>
      <c r="P9" s="51"/>
      <c r="Q9" s="102"/>
      <c r="R9" s="103">
        <f t="shared" si="1"/>
        <v>0</v>
      </c>
      <c r="S9" s="104">
        <f t="shared" si="1"/>
        <v>0</v>
      </c>
      <c r="T9" s="65"/>
      <c r="U9" s="136">
        <f>L9*24+N9*24+P9*24</f>
        <v>0</v>
      </c>
      <c r="V9" s="137">
        <f>U9/24</f>
        <v>0</v>
      </c>
      <c r="W9" s="138">
        <f t="shared" si="2"/>
        <v>2184</v>
      </c>
      <c r="X9" s="139"/>
      <c r="AL9" s="157"/>
      <c r="AM9" s="157"/>
      <c r="AN9" s="157"/>
      <c r="AO9" s="157"/>
      <c r="AP9" s="157"/>
      <c r="AQ9" s="157"/>
      <c r="AR9" s="157"/>
      <c r="AS9" s="157"/>
      <c r="AT9" s="157"/>
      <c r="AU9" s="157"/>
      <c r="AV9" s="157"/>
      <c r="AW9" s="157"/>
      <c r="AX9" s="157"/>
      <c r="AY9" s="157"/>
      <c r="AZ9" s="157"/>
      <c r="BA9" s="157"/>
      <c r="BB9" s="157"/>
      <c r="BC9" s="157"/>
      <c r="BD9" s="157"/>
      <c r="BE9" s="157"/>
      <c r="BF9" s="157"/>
      <c r="BG9" s="157"/>
      <c r="BH9" s="157"/>
    </row>
    <row r="10" spans="1:60">
      <c r="A10" s="1">
        <f t="shared" si="3"/>
        <v>3</v>
      </c>
      <c r="B10" s="7" t="s">
        <v>22</v>
      </c>
      <c r="C10" s="10">
        <v>78</v>
      </c>
      <c r="D10" s="11"/>
      <c r="E10" s="36"/>
      <c r="F10" s="36"/>
      <c r="G10" s="37">
        <v>2</v>
      </c>
      <c r="H10" s="38"/>
      <c r="I10" s="38">
        <f t="shared" si="4"/>
        <v>76</v>
      </c>
      <c r="J10" s="66">
        <f t="shared" si="0"/>
        <v>0</v>
      </c>
      <c r="K10" s="62"/>
      <c r="L10" s="36"/>
      <c r="M10" s="36"/>
      <c r="N10" s="36">
        <v>1</v>
      </c>
      <c r="O10" s="36"/>
      <c r="P10" s="36">
        <v>1</v>
      </c>
      <c r="Q10" s="99"/>
      <c r="R10" s="105">
        <f t="shared" si="1"/>
        <v>2</v>
      </c>
      <c r="S10" s="106">
        <f t="shared" si="1"/>
        <v>0</v>
      </c>
      <c r="T10" s="62"/>
      <c r="U10" s="8">
        <f>L10*24+N10*24+P10*24</f>
        <v>48</v>
      </c>
      <c r="V10" s="140">
        <f>U10/24</f>
        <v>2</v>
      </c>
      <c r="W10" s="134">
        <f t="shared" si="2"/>
        <v>1824</v>
      </c>
      <c r="X10" s="61"/>
      <c r="AL10" s="157"/>
      <c r="AM10" s="157"/>
      <c r="AN10" s="157"/>
      <c r="AO10" s="157"/>
      <c r="AP10" s="157"/>
      <c r="AQ10" s="157"/>
      <c r="AR10" s="157"/>
      <c r="AS10" s="157"/>
      <c r="AT10" s="157"/>
      <c r="AU10" s="157"/>
      <c r="AV10" s="157"/>
      <c r="AW10" s="157"/>
      <c r="AX10" s="157"/>
      <c r="AY10" s="157"/>
      <c r="AZ10" s="157"/>
      <c r="BA10" s="157"/>
      <c r="BB10" s="157"/>
      <c r="BC10" s="157"/>
      <c r="BD10" s="157"/>
      <c r="BE10" s="157"/>
      <c r="BF10" s="157"/>
      <c r="BG10" s="157"/>
      <c r="BH10" s="157"/>
    </row>
    <row r="11" spans="1:60">
      <c r="A11" s="1">
        <f t="shared" si="3"/>
        <v>4</v>
      </c>
      <c r="B11" s="15" t="s">
        <v>23</v>
      </c>
      <c r="C11" s="10">
        <v>86</v>
      </c>
      <c r="D11" s="11"/>
      <c r="E11" s="36"/>
      <c r="F11" s="36"/>
      <c r="G11" s="37">
        <v>1</v>
      </c>
      <c r="H11" s="38"/>
      <c r="I11" s="38">
        <f t="shared" si="4"/>
        <v>85</v>
      </c>
      <c r="J11" s="63">
        <f t="shared" si="0"/>
        <v>0</v>
      </c>
      <c r="K11" s="62"/>
      <c r="L11" s="36"/>
      <c r="M11" s="36"/>
      <c r="N11" s="36"/>
      <c r="O11" s="36"/>
      <c r="P11" s="36"/>
      <c r="Q11" s="99"/>
      <c r="R11" s="100">
        <f t="shared" si="1"/>
        <v>0</v>
      </c>
      <c r="S11" s="101">
        <f t="shared" si="1"/>
        <v>0</v>
      </c>
      <c r="T11" s="62"/>
      <c r="U11" s="8">
        <f>L11*24+N11*24+P11*24</f>
        <v>0</v>
      </c>
      <c r="V11" s="135">
        <f>U11/24</f>
        <v>0</v>
      </c>
      <c r="W11" s="134">
        <f t="shared" si="2"/>
        <v>2040</v>
      </c>
      <c r="X11" s="61"/>
      <c r="AL11" s="157"/>
      <c r="AM11" s="157"/>
      <c r="AN11" s="157"/>
      <c r="AO11" s="157"/>
      <c r="AP11" s="157"/>
      <c r="AQ11" s="157"/>
      <c r="AR11" s="157"/>
      <c r="AS11" s="157"/>
      <c r="AT11" s="157"/>
      <c r="AU11" s="157"/>
      <c r="AV11" s="157"/>
      <c r="AW11" s="157"/>
      <c r="AX11" s="157"/>
      <c r="AY11" s="157"/>
      <c r="AZ11" s="157"/>
      <c r="BA11" s="157"/>
      <c r="BB11" s="157"/>
      <c r="BC11" s="157"/>
      <c r="BD11" s="157"/>
      <c r="BE11" s="157"/>
      <c r="BF11" s="157"/>
      <c r="BG11" s="157"/>
      <c r="BH11" s="157"/>
    </row>
    <row r="12" spans="1:60">
      <c r="A12" s="1">
        <f t="shared" si="3"/>
        <v>5</v>
      </c>
      <c r="B12" s="15" t="s">
        <v>24</v>
      </c>
      <c r="C12" s="10">
        <v>1</v>
      </c>
      <c r="D12" s="11"/>
      <c r="E12" s="36"/>
      <c r="F12" s="36"/>
      <c r="G12" s="37"/>
      <c r="H12" s="38"/>
      <c r="I12" s="38">
        <f t="shared" si="4"/>
        <v>1</v>
      </c>
      <c r="J12" s="63">
        <f t="shared" si="0"/>
        <v>0</v>
      </c>
      <c r="K12" s="62"/>
      <c r="L12" s="36"/>
      <c r="M12" s="36"/>
      <c r="N12" s="36"/>
      <c r="O12" s="36"/>
      <c r="P12" s="36"/>
      <c r="Q12" s="99"/>
      <c r="R12" s="100">
        <f t="shared" si="1"/>
        <v>0</v>
      </c>
      <c r="S12" s="101">
        <f t="shared" si="1"/>
        <v>0</v>
      </c>
      <c r="T12" s="62"/>
      <c r="U12" s="8">
        <f t="shared" ref="U12:U37" si="5">L12*24+N12*24+P12*24</f>
        <v>0</v>
      </c>
      <c r="V12" s="135">
        <f t="shared" ref="V12:V41" si="6">U12/24</f>
        <v>0</v>
      </c>
      <c r="W12" s="134">
        <f t="shared" si="2"/>
        <v>24</v>
      </c>
      <c r="X12" s="61"/>
      <c r="AL12" s="157"/>
      <c r="AM12" s="157"/>
      <c r="AN12" s="157"/>
      <c r="AO12" s="157"/>
      <c r="AP12" s="157"/>
      <c r="AQ12" s="157"/>
      <c r="AR12" s="157"/>
      <c r="AS12" s="157"/>
      <c r="AT12" s="157"/>
      <c r="AU12" s="157"/>
      <c r="AV12" s="157"/>
      <c r="AW12" s="157"/>
      <c r="AX12" s="157"/>
      <c r="AY12" s="157"/>
      <c r="AZ12" s="157"/>
      <c r="BA12" s="157"/>
      <c r="BB12" s="157"/>
      <c r="BC12" s="157"/>
      <c r="BD12" s="157"/>
      <c r="BE12" s="157"/>
      <c r="BF12" s="157"/>
      <c r="BG12" s="157"/>
      <c r="BH12" s="157"/>
    </row>
    <row r="13" spans="1:60" s="2" customFormat="1">
      <c r="A13" s="1">
        <f t="shared" si="3"/>
        <v>6</v>
      </c>
      <c r="B13" s="12" t="s">
        <v>25</v>
      </c>
      <c r="C13" s="13">
        <v>3673</v>
      </c>
      <c r="D13" s="14">
        <v>20</v>
      </c>
      <c r="E13" s="39"/>
      <c r="F13" s="39"/>
      <c r="G13" s="40">
        <v>51</v>
      </c>
      <c r="H13" s="41">
        <v>8</v>
      </c>
      <c r="I13" s="44">
        <f t="shared" si="4"/>
        <v>3622</v>
      </c>
      <c r="J13" s="64">
        <f t="shared" si="0"/>
        <v>12</v>
      </c>
      <c r="K13" s="67"/>
      <c r="L13" s="51">
        <v>25</v>
      </c>
      <c r="M13" s="51">
        <v>3</v>
      </c>
      <c r="N13" s="51">
        <v>7</v>
      </c>
      <c r="O13" s="51">
        <v>5</v>
      </c>
      <c r="P13" s="51">
        <v>19</v>
      </c>
      <c r="Q13" s="102"/>
      <c r="R13" s="107">
        <f>L13+N13+P13</f>
        <v>51</v>
      </c>
      <c r="S13" s="104">
        <f>M13+O13+Q13</f>
        <v>8</v>
      </c>
      <c r="T13" s="67"/>
      <c r="U13" s="136">
        <f t="shared" si="5"/>
        <v>1224</v>
      </c>
      <c r="V13" s="141">
        <f t="shared" si="6"/>
        <v>51</v>
      </c>
      <c r="W13" s="138">
        <f t="shared" si="2"/>
        <v>86940</v>
      </c>
      <c r="X13" s="139"/>
      <c r="Y13" s="3"/>
      <c r="AD13" s="3"/>
      <c r="AG13" s="3"/>
      <c r="AH13" s="3"/>
      <c r="AI13" s="3"/>
      <c r="AJ13" s="3"/>
      <c r="AK13" s="3"/>
      <c r="AL13" s="157"/>
      <c r="AM13" s="157"/>
      <c r="AN13" s="157"/>
      <c r="AO13" s="157"/>
      <c r="AP13" s="157"/>
      <c r="AQ13" s="157"/>
      <c r="AR13" s="157"/>
      <c r="AS13" s="157"/>
      <c r="AT13" s="157"/>
      <c r="AU13" s="157"/>
      <c r="AV13" s="157"/>
      <c r="AW13" s="157"/>
      <c r="AX13" s="157"/>
      <c r="AY13" s="157"/>
      <c r="AZ13" s="157"/>
      <c r="BA13" s="157"/>
      <c r="BB13" s="157"/>
      <c r="BC13" s="157"/>
      <c r="BD13" s="157"/>
      <c r="BE13" s="157"/>
      <c r="BF13" s="157"/>
      <c r="BG13" s="157"/>
      <c r="BH13" s="157"/>
    </row>
    <row r="14" spans="1:60">
      <c r="A14" s="1">
        <f t="shared" si="3"/>
        <v>7</v>
      </c>
      <c r="B14" s="7" t="s">
        <v>26</v>
      </c>
      <c r="C14" s="10">
        <v>3</v>
      </c>
      <c r="D14" s="11">
        <v>16</v>
      </c>
      <c r="E14" s="36"/>
      <c r="F14" s="36"/>
      <c r="G14" s="37"/>
      <c r="H14" s="38"/>
      <c r="I14" s="68">
        <f t="shared" si="4"/>
        <v>3</v>
      </c>
      <c r="J14" s="66">
        <f t="shared" si="4"/>
        <v>16</v>
      </c>
      <c r="K14" s="62"/>
      <c r="L14" s="36"/>
      <c r="M14" s="36"/>
      <c r="N14" s="36"/>
      <c r="O14" s="36"/>
      <c r="P14" s="36"/>
      <c r="Q14" s="99"/>
      <c r="R14" s="108">
        <f t="shared" ref="R14:S59" si="7">L14+N14+P14</f>
        <v>0</v>
      </c>
      <c r="S14" s="106">
        <f t="shared" si="7"/>
        <v>0</v>
      </c>
      <c r="T14" s="62"/>
      <c r="U14" s="8">
        <f t="shared" si="5"/>
        <v>0</v>
      </c>
      <c r="V14" s="33">
        <f t="shared" si="6"/>
        <v>0</v>
      </c>
      <c r="W14" s="134">
        <f t="shared" ref="W14:W37" si="8">I14*24+J14</f>
        <v>88</v>
      </c>
      <c r="X14" s="61"/>
      <c r="AL14" s="157"/>
      <c r="AM14" s="157"/>
      <c r="AN14" s="157"/>
      <c r="AO14" s="157"/>
      <c r="AP14" s="157"/>
      <c r="AQ14" s="157"/>
      <c r="AR14" s="157"/>
      <c r="AS14" s="157"/>
      <c r="AT14" s="157"/>
      <c r="AU14" s="157"/>
      <c r="AV14" s="157"/>
      <c r="AW14" s="157"/>
      <c r="AX14" s="157"/>
      <c r="AY14" s="157"/>
      <c r="AZ14" s="157"/>
      <c r="BA14" s="157"/>
      <c r="BB14" s="157"/>
      <c r="BC14" s="157"/>
      <c r="BD14" s="157"/>
      <c r="BE14" s="157"/>
      <c r="BF14" s="157"/>
      <c r="BG14" s="157"/>
      <c r="BH14" s="157"/>
    </row>
    <row r="15" spans="1:60">
      <c r="A15" s="1">
        <f t="shared" si="3"/>
        <v>8</v>
      </c>
      <c r="B15" s="15" t="s">
        <v>27</v>
      </c>
      <c r="C15" s="10">
        <v>4</v>
      </c>
      <c r="D15" s="11"/>
      <c r="E15" s="36"/>
      <c r="F15" s="36"/>
      <c r="G15" s="37"/>
      <c r="H15" s="38"/>
      <c r="I15" s="38">
        <f t="shared" si="4"/>
        <v>4</v>
      </c>
      <c r="J15" s="63">
        <f t="shared" si="4"/>
        <v>0</v>
      </c>
      <c r="K15" s="62"/>
      <c r="L15" s="36"/>
      <c r="M15" s="36"/>
      <c r="N15" s="36"/>
      <c r="O15" s="36"/>
      <c r="P15" s="36"/>
      <c r="Q15" s="99"/>
      <c r="R15" s="100">
        <f t="shared" si="7"/>
        <v>0</v>
      </c>
      <c r="S15" s="101">
        <f t="shared" si="7"/>
        <v>0</v>
      </c>
      <c r="T15" s="62"/>
      <c r="U15" s="8">
        <f t="shared" si="5"/>
        <v>0</v>
      </c>
      <c r="V15" s="135">
        <f t="shared" si="6"/>
        <v>0</v>
      </c>
      <c r="W15" s="134">
        <f t="shared" si="8"/>
        <v>96</v>
      </c>
      <c r="X15" s="61"/>
      <c r="AL15" s="157"/>
      <c r="AM15" s="157"/>
      <c r="AN15" s="157"/>
      <c r="AO15" s="157"/>
      <c r="AP15" s="157"/>
      <c r="AQ15" s="157"/>
      <c r="AR15" s="157"/>
      <c r="AS15" s="157"/>
      <c r="AT15" s="157"/>
      <c r="AU15" s="157"/>
      <c r="AV15" s="157"/>
      <c r="AW15" s="157"/>
      <c r="AX15" s="157"/>
      <c r="AY15" s="157"/>
      <c r="AZ15" s="157"/>
      <c r="BA15" s="157"/>
      <c r="BB15" s="157"/>
      <c r="BC15" s="157"/>
      <c r="BD15" s="157"/>
      <c r="BE15" s="157"/>
      <c r="BF15" s="157"/>
      <c r="BG15" s="157"/>
      <c r="BH15" s="157"/>
    </row>
    <row r="16" spans="1:60">
      <c r="A16" s="1">
        <f t="shared" si="3"/>
        <v>9</v>
      </c>
      <c r="B16" s="15" t="s">
        <v>28</v>
      </c>
      <c r="C16" s="10">
        <v>1</v>
      </c>
      <c r="D16" s="11"/>
      <c r="E16" s="36"/>
      <c r="F16" s="36"/>
      <c r="G16" s="37"/>
      <c r="H16" s="38"/>
      <c r="I16" s="38">
        <f t="shared" si="4"/>
        <v>1</v>
      </c>
      <c r="J16" s="63">
        <f t="shared" si="4"/>
        <v>0</v>
      </c>
      <c r="K16" s="62"/>
      <c r="L16" s="36"/>
      <c r="M16" s="36"/>
      <c r="N16" s="36"/>
      <c r="O16" s="36"/>
      <c r="P16" s="36"/>
      <c r="Q16" s="99"/>
      <c r="R16" s="100">
        <f t="shared" si="7"/>
        <v>0</v>
      </c>
      <c r="S16" s="101">
        <f t="shared" si="7"/>
        <v>0</v>
      </c>
      <c r="T16" s="62"/>
      <c r="U16" s="8">
        <f t="shared" si="5"/>
        <v>0</v>
      </c>
      <c r="V16" s="135">
        <f t="shared" si="6"/>
        <v>0</v>
      </c>
      <c r="W16" s="134">
        <f t="shared" si="8"/>
        <v>24</v>
      </c>
      <c r="X16" s="61"/>
      <c r="AL16" s="157"/>
      <c r="AM16" s="157"/>
      <c r="AN16" s="157"/>
      <c r="AO16" s="157"/>
      <c r="AP16" s="157"/>
      <c r="AQ16" s="157"/>
      <c r="AR16" s="157"/>
      <c r="AS16" s="157"/>
      <c r="AT16" s="157"/>
      <c r="AU16" s="157"/>
      <c r="AV16" s="157"/>
      <c r="AW16" s="157"/>
      <c r="AX16" s="157"/>
      <c r="AY16" s="157"/>
      <c r="AZ16" s="157"/>
      <c r="BA16" s="157"/>
      <c r="BB16" s="157"/>
      <c r="BC16" s="157"/>
      <c r="BD16" s="157"/>
      <c r="BE16" s="157"/>
      <c r="BF16" s="157"/>
      <c r="BG16" s="157"/>
      <c r="BH16" s="157"/>
    </row>
    <row r="17" spans="1:60">
      <c r="A17" s="1">
        <f t="shared" si="3"/>
        <v>10</v>
      </c>
      <c r="B17" s="15" t="s">
        <v>29</v>
      </c>
      <c r="C17" s="10"/>
      <c r="D17" s="11"/>
      <c r="E17" s="36"/>
      <c r="F17" s="36"/>
      <c r="G17" s="37"/>
      <c r="H17" s="38"/>
      <c r="I17" s="38">
        <f t="shared" si="4"/>
        <v>0</v>
      </c>
      <c r="J17" s="63">
        <f t="shared" si="4"/>
        <v>0</v>
      </c>
      <c r="K17" s="62"/>
      <c r="L17" s="36"/>
      <c r="M17" s="36"/>
      <c r="N17" s="36"/>
      <c r="O17" s="36"/>
      <c r="P17" s="36"/>
      <c r="Q17" s="99"/>
      <c r="R17" s="100">
        <f t="shared" si="7"/>
        <v>0</v>
      </c>
      <c r="S17" s="101">
        <f t="shared" si="7"/>
        <v>0</v>
      </c>
      <c r="T17" s="62"/>
      <c r="U17" s="8">
        <f t="shared" si="5"/>
        <v>0</v>
      </c>
      <c r="V17" s="135">
        <f t="shared" si="6"/>
        <v>0</v>
      </c>
      <c r="W17" s="134">
        <f t="shared" si="8"/>
        <v>0</v>
      </c>
      <c r="X17" s="61"/>
      <c r="AL17" s="157"/>
      <c r="AM17" s="157"/>
      <c r="AN17" s="157"/>
      <c r="AO17" s="157"/>
      <c r="AP17" s="157"/>
      <c r="AQ17" s="157"/>
      <c r="AR17" s="157"/>
      <c r="AS17" s="157"/>
      <c r="AT17" s="157"/>
      <c r="AU17" s="157"/>
      <c r="AV17" s="157"/>
      <c r="AW17" s="157"/>
      <c r="AX17" s="157"/>
      <c r="AY17" s="157"/>
      <c r="AZ17" s="157"/>
      <c r="BA17" s="157"/>
      <c r="BB17" s="157"/>
      <c r="BC17" s="157"/>
      <c r="BD17" s="157"/>
      <c r="BE17" s="157"/>
      <c r="BF17" s="157"/>
      <c r="BG17" s="157"/>
      <c r="BH17" s="157"/>
    </row>
    <row r="18" spans="1:60">
      <c r="A18" s="1">
        <f t="shared" si="3"/>
        <v>11</v>
      </c>
      <c r="B18" s="15" t="s">
        <v>30</v>
      </c>
      <c r="C18" s="10">
        <v>3</v>
      </c>
      <c r="D18" s="11"/>
      <c r="E18" s="36"/>
      <c r="F18" s="36"/>
      <c r="G18" s="37"/>
      <c r="H18" s="38"/>
      <c r="I18" s="38">
        <f t="shared" si="4"/>
        <v>3</v>
      </c>
      <c r="J18" s="63">
        <f t="shared" si="4"/>
        <v>0</v>
      </c>
      <c r="K18" s="62"/>
      <c r="L18" s="36"/>
      <c r="M18" s="36"/>
      <c r="N18" s="36"/>
      <c r="O18" s="36"/>
      <c r="P18" s="36"/>
      <c r="Q18" s="99"/>
      <c r="R18" s="100">
        <f t="shared" si="7"/>
        <v>0</v>
      </c>
      <c r="S18" s="101">
        <f t="shared" si="7"/>
        <v>0</v>
      </c>
      <c r="T18" s="62"/>
      <c r="U18" s="8">
        <f t="shared" si="5"/>
        <v>0</v>
      </c>
      <c r="V18" s="135">
        <f t="shared" si="6"/>
        <v>0</v>
      </c>
      <c r="W18" s="134">
        <f t="shared" si="8"/>
        <v>72</v>
      </c>
      <c r="X18" s="61"/>
      <c r="AL18" s="157"/>
      <c r="AM18" s="157"/>
      <c r="AN18" s="157"/>
      <c r="AO18" s="157"/>
      <c r="AP18" s="157"/>
      <c r="AQ18" s="157"/>
      <c r="AR18" s="157"/>
      <c r="AS18" s="157"/>
      <c r="AT18" s="157"/>
      <c r="AU18" s="157"/>
      <c r="AV18" s="157"/>
      <c r="AW18" s="157"/>
      <c r="AX18" s="157"/>
      <c r="AY18" s="157"/>
      <c r="AZ18" s="157"/>
      <c r="BA18" s="157"/>
      <c r="BB18" s="157"/>
      <c r="BC18" s="157"/>
      <c r="BD18" s="157"/>
      <c r="BE18" s="157"/>
      <c r="BF18" s="157"/>
      <c r="BG18" s="157"/>
      <c r="BH18" s="157"/>
    </row>
    <row r="19" spans="1:60" ht="18.75" hidden="1" customHeight="1">
      <c r="A19" s="1">
        <f t="shared" si="3"/>
        <v>12</v>
      </c>
      <c r="B19" s="15" t="s">
        <v>31</v>
      </c>
      <c r="C19" s="10"/>
      <c r="D19" s="11"/>
      <c r="E19" s="36"/>
      <c r="F19" s="36"/>
      <c r="G19" s="37"/>
      <c r="H19" s="38"/>
      <c r="I19" s="38">
        <f t="shared" si="4"/>
        <v>0</v>
      </c>
      <c r="J19" s="63">
        <f t="shared" si="4"/>
        <v>0</v>
      </c>
      <c r="K19" s="62"/>
      <c r="L19" s="36"/>
      <c r="M19" s="36"/>
      <c r="N19" s="36"/>
      <c r="O19" s="36"/>
      <c r="P19" s="36"/>
      <c r="Q19" s="99"/>
      <c r="R19" s="100">
        <f t="shared" si="7"/>
        <v>0</v>
      </c>
      <c r="S19" s="101">
        <f t="shared" si="7"/>
        <v>0</v>
      </c>
      <c r="T19" s="62"/>
      <c r="U19" s="8">
        <f t="shared" si="5"/>
        <v>0</v>
      </c>
      <c r="V19" s="135">
        <f t="shared" si="6"/>
        <v>0</v>
      </c>
      <c r="W19" s="134">
        <f t="shared" si="8"/>
        <v>0</v>
      </c>
      <c r="X19" s="61"/>
      <c r="AL19" s="157"/>
      <c r="AM19" s="157"/>
      <c r="AN19" s="157"/>
      <c r="AO19" s="157"/>
      <c r="AP19" s="157"/>
      <c r="AQ19" s="157"/>
      <c r="AR19" s="157"/>
      <c r="AS19" s="157"/>
      <c r="AT19" s="157"/>
      <c r="AU19" s="157"/>
      <c r="AV19" s="157"/>
      <c r="AW19" s="157"/>
      <c r="AX19" s="157"/>
      <c r="AY19" s="157"/>
      <c r="AZ19" s="157"/>
      <c r="BA19" s="157"/>
      <c r="BB19" s="157"/>
      <c r="BC19" s="157"/>
      <c r="BD19" s="157"/>
      <c r="BE19" s="157"/>
      <c r="BF19" s="157"/>
      <c r="BG19" s="157"/>
      <c r="BH19" s="157"/>
    </row>
    <row r="20" spans="1:60">
      <c r="A20" s="1">
        <f t="shared" si="3"/>
        <v>13</v>
      </c>
      <c r="B20" s="15" t="s">
        <v>32</v>
      </c>
      <c r="C20" s="10">
        <v>4</v>
      </c>
      <c r="D20" s="11">
        <v>20</v>
      </c>
      <c r="E20" s="36"/>
      <c r="F20" s="36"/>
      <c r="G20" s="37"/>
      <c r="H20" s="38"/>
      <c r="I20" s="38">
        <f t="shared" si="4"/>
        <v>4</v>
      </c>
      <c r="J20" s="63">
        <f t="shared" si="4"/>
        <v>20</v>
      </c>
      <c r="K20" s="62"/>
      <c r="L20" s="36"/>
      <c r="M20" s="36"/>
      <c r="N20" s="36"/>
      <c r="O20" s="36"/>
      <c r="P20" s="36"/>
      <c r="Q20" s="99"/>
      <c r="R20" s="100">
        <f t="shared" si="7"/>
        <v>0</v>
      </c>
      <c r="S20" s="101">
        <f t="shared" si="7"/>
        <v>0</v>
      </c>
      <c r="T20" s="62"/>
      <c r="U20" s="8">
        <f t="shared" si="5"/>
        <v>0</v>
      </c>
      <c r="V20" s="135">
        <f t="shared" si="6"/>
        <v>0</v>
      </c>
      <c r="W20" s="134">
        <f t="shared" si="8"/>
        <v>116</v>
      </c>
      <c r="X20" s="61"/>
      <c r="AL20" s="157"/>
      <c r="AM20" s="157"/>
      <c r="AN20" s="157"/>
      <c r="AO20" s="157"/>
      <c r="AP20" s="157"/>
      <c r="AQ20" s="157"/>
      <c r="AR20" s="157"/>
      <c r="AS20" s="157"/>
      <c r="AT20" s="157"/>
      <c r="AU20" s="157"/>
      <c r="AV20" s="157"/>
      <c r="AW20" s="157"/>
      <c r="AX20" s="157"/>
      <c r="AY20" s="157"/>
      <c r="AZ20" s="157"/>
      <c r="BA20" s="157"/>
      <c r="BB20" s="157"/>
      <c r="BC20" s="157"/>
      <c r="BD20" s="157"/>
      <c r="BE20" s="157"/>
      <c r="BF20" s="157"/>
      <c r="BG20" s="157"/>
      <c r="BH20" s="157"/>
    </row>
    <row r="21" spans="1:60">
      <c r="A21" s="1">
        <f t="shared" si="3"/>
        <v>14</v>
      </c>
      <c r="B21" s="15" t="s">
        <v>33</v>
      </c>
      <c r="C21" s="10">
        <v>7</v>
      </c>
      <c r="D21" s="11">
        <v>16</v>
      </c>
      <c r="E21" s="36"/>
      <c r="F21" s="36"/>
      <c r="G21" s="37"/>
      <c r="H21" s="38"/>
      <c r="I21" s="38">
        <f t="shared" si="4"/>
        <v>7</v>
      </c>
      <c r="J21" s="63">
        <f t="shared" si="4"/>
        <v>16</v>
      </c>
      <c r="K21" s="62"/>
      <c r="L21" s="36"/>
      <c r="M21" s="36"/>
      <c r="N21" s="36"/>
      <c r="O21" s="36"/>
      <c r="P21" s="36"/>
      <c r="Q21" s="99"/>
      <c r="R21" s="100">
        <f t="shared" si="7"/>
        <v>0</v>
      </c>
      <c r="S21" s="101">
        <f t="shared" si="7"/>
        <v>0</v>
      </c>
      <c r="T21" s="62"/>
      <c r="U21" s="8">
        <f t="shared" si="5"/>
        <v>0</v>
      </c>
      <c r="V21" s="135">
        <f t="shared" si="6"/>
        <v>0</v>
      </c>
      <c r="W21" s="134">
        <f t="shared" si="8"/>
        <v>184</v>
      </c>
      <c r="X21" s="61"/>
      <c r="AL21" s="157"/>
      <c r="AM21" s="157"/>
      <c r="AN21" s="157"/>
      <c r="AO21" s="157"/>
      <c r="AP21" s="157"/>
      <c r="AQ21" s="157"/>
      <c r="AR21" s="157"/>
      <c r="AS21" s="157"/>
      <c r="AT21" s="157"/>
      <c r="AU21" s="157"/>
      <c r="AV21" s="157"/>
      <c r="AW21" s="157"/>
      <c r="AX21" s="157"/>
      <c r="AY21" s="157"/>
      <c r="AZ21" s="157"/>
      <c r="BA21" s="157"/>
      <c r="BB21" s="157"/>
      <c r="BC21" s="157"/>
      <c r="BD21" s="157"/>
      <c r="BE21" s="157"/>
      <c r="BF21" s="157"/>
      <c r="BG21" s="157"/>
      <c r="BH21" s="157"/>
    </row>
    <row r="22" spans="1:60">
      <c r="A22" s="1">
        <f t="shared" si="3"/>
        <v>15</v>
      </c>
      <c r="B22" s="15" t="s">
        <v>34</v>
      </c>
      <c r="C22" s="10">
        <v>4</v>
      </c>
      <c r="D22" s="11"/>
      <c r="E22" s="36"/>
      <c r="F22" s="36"/>
      <c r="G22" s="37"/>
      <c r="H22" s="38"/>
      <c r="I22" s="38">
        <f t="shared" si="4"/>
        <v>4</v>
      </c>
      <c r="J22" s="63">
        <f t="shared" si="4"/>
        <v>0</v>
      </c>
      <c r="K22" s="62"/>
      <c r="L22" s="36"/>
      <c r="M22" s="36"/>
      <c r="N22" s="36"/>
      <c r="O22" s="36"/>
      <c r="P22" s="36"/>
      <c r="Q22" s="99"/>
      <c r="R22" s="100">
        <f t="shared" si="7"/>
        <v>0</v>
      </c>
      <c r="S22" s="101">
        <f t="shared" si="7"/>
        <v>0</v>
      </c>
      <c r="T22" s="62"/>
      <c r="U22" s="8">
        <f t="shared" si="5"/>
        <v>0</v>
      </c>
      <c r="V22" s="135">
        <f t="shared" si="6"/>
        <v>0</v>
      </c>
      <c r="W22" s="134">
        <f t="shared" si="8"/>
        <v>96</v>
      </c>
      <c r="X22" s="61"/>
      <c r="AL22" s="157"/>
      <c r="AM22" s="157"/>
      <c r="AN22" s="157"/>
      <c r="AO22" s="157"/>
      <c r="AP22" s="157"/>
      <c r="AQ22" s="157"/>
      <c r="AR22" s="157"/>
      <c r="AS22" s="157"/>
      <c r="AT22" s="157"/>
      <c r="AU22" s="157"/>
      <c r="AV22" s="157"/>
      <c r="AW22" s="157"/>
      <c r="AX22" s="157"/>
      <c r="AY22" s="157"/>
      <c r="AZ22" s="157"/>
      <c r="BA22" s="157"/>
      <c r="BB22" s="157"/>
      <c r="BC22" s="157"/>
      <c r="BD22" s="157"/>
      <c r="BE22" s="157"/>
      <c r="BF22" s="157"/>
      <c r="BG22" s="157"/>
      <c r="BH22" s="157"/>
    </row>
    <row r="23" spans="1:60" s="2" customFormat="1">
      <c r="A23" s="1">
        <f t="shared" si="3"/>
        <v>16</v>
      </c>
      <c r="B23" s="15" t="s">
        <v>35</v>
      </c>
      <c r="C23" s="10">
        <v>1</v>
      </c>
      <c r="D23" s="11">
        <v>20</v>
      </c>
      <c r="E23" s="36"/>
      <c r="F23" s="36"/>
      <c r="G23" s="37"/>
      <c r="H23" s="38"/>
      <c r="I23" s="38">
        <f t="shared" si="4"/>
        <v>1</v>
      </c>
      <c r="J23" s="63">
        <f t="shared" si="4"/>
        <v>20</v>
      </c>
      <c r="K23" s="69"/>
      <c r="L23" s="36"/>
      <c r="M23" s="36"/>
      <c r="N23" s="36"/>
      <c r="O23" s="36"/>
      <c r="P23" s="36"/>
      <c r="Q23" s="99"/>
      <c r="R23" s="100">
        <f t="shared" si="7"/>
        <v>0</v>
      </c>
      <c r="S23" s="101">
        <f t="shared" si="7"/>
        <v>0</v>
      </c>
      <c r="T23" s="69"/>
      <c r="U23" s="8">
        <f t="shared" si="5"/>
        <v>0</v>
      </c>
      <c r="V23" s="135">
        <f t="shared" si="6"/>
        <v>0</v>
      </c>
      <c r="W23" s="134">
        <f t="shared" si="8"/>
        <v>44</v>
      </c>
      <c r="X23" s="61"/>
      <c r="Y23" s="3"/>
      <c r="AD23" s="3"/>
      <c r="AG23" s="3"/>
      <c r="AH23" s="3"/>
      <c r="AI23" s="3"/>
      <c r="AJ23" s="3"/>
      <c r="AK23" s="3"/>
      <c r="AL23" s="157"/>
      <c r="AM23" s="157"/>
      <c r="AN23" s="157"/>
      <c r="AO23" s="157"/>
      <c r="AP23" s="157"/>
      <c r="AQ23" s="157"/>
      <c r="AR23" s="157"/>
      <c r="AS23" s="157"/>
      <c r="AT23" s="157"/>
      <c r="AU23" s="157"/>
      <c r="AV23" s="157"/>
      <c r="AW23" s="157"/>
      <c r="AX23" s="157"/>
      <c r="AY23" s="157"/>
      <c r="AZ23" s="157"/>
      <c r="BA23" s="157"/>
      <c r="BB23" s="157"/>
      <c r="BC23" s="157"/>
      <c r="BD23" s="157"/>
      <c r="BE23" s="157"/>
      <c r="BF23" s="157"/>
      <c r="BG23" s="157"/>
      <c r="BH23" s="157"/>
    </row>
    <row r="24" spans="1:60" s="2" customFormat="1">
      <c r="A24" s="1">
        <f t="shared" si="3"/>
        <v>17</v>
      </c>
      <c r="B24" s="15" t="s">
        <v>36</v>
      </c>
      <c r="C24" s="10">
        <v>37</v>
      </c>
      <c r="D24" s="11">
        <v>19</v>
      </c>
      <c r="E24" s="36"/>
      <c r="F24" s="36"/>
      <c r="G24" s="37"/>
      <c r="H24" s="38"/>
      <c r="I24" s="38">
        <f t="shared" si="4"/>
        <v>37</v>
      </c>
      <c r="J24" s="63">
        <f t="shared" si="4"/>
        <v>19</v>
      </c>
      <c r="K24" s="69"/>
      <c r="L24" s="36"/>
      <c r="M24" s="36"/>
      <c r="N24" s="36"/>
      <c r="O24" s="36"/>
      <c r="P24" s="36"/>
      <c r="Q24" s="99"/>
      <c r="R24" s="100">
        <f t="shared" si="7"/>
        <v>0</v>
      </c>
      <c r="S24" s="101">
        <f t="shared" si="7"/>
        <v>0</v>
      </c>
      <c r="T24" s="69"/>
      <c r="U24" s="8">
        <f t="shared" si="5"/>
        <v>0</v>
      </c>
      <c r="V24" s="135">
        <f t="shared" si="6"/>
        <v>0</v>
      </c>
      <c r="W24" s="134">
        <f t="shared" si="8"/>
        <v>907</v>
      </c>
      <c r="X24" s="61"/>
      <c r="Y24" s="3"/>
      <c r="AD24" s="3"/>
      <c r="AG24" s="3"/>
      <c r="AH24" s="3"/>
      <c r="AI24" s="3"/>
      <c r="AJ24" s="3"/>
      <c r="AK24" s="3"/>
      <c r="AL24" s="157"/>
      <c r="AM24" s="157"/>
      <c r="AN24" s="157"/>
      <c r="AO24" s="157"/>
      <c r="AP24" s="157"/>
      <c r="AQ24" s="157"/>
      <c r="AR24" s="157"/>
      <c r="AS24" s="157"/>
      <c r="AT24" s="157"/>
      <c r="AU24" s="157"/>
      <c r="AV24" s="157"/>
      <c r="AW24" s="157"/>
      <c r="AX24" s="157"/>
      <c r="AY24" s="157"/>
      <c r="AZ24" s="157"/>
      <c r="BA24" s="157"/>
      <c r="BB24" s="157"/>
      <c r="BC24" s="157"/>
      <c r="BD24" s="157"/>
      <c r="BE24" s="157"/>
      <c r="BF24" s="157"/>
      <c r="BG24" s="157"/>
      <c r="BH24" s="157"/>
    </row>
    <row r="25" spans="1:60">
      <c r="A25" s="1">
        <f t="shared" si="3"/>
        <v>18</v>
      </c>
      <c r="B25" s="15" t="s">
        <v>37</v>
      </c>
      <c r="C25" s="10">
        <v>10</v>
      </c>
      <c r="D25" s="11"/>
      <c r="E25" s="36"/>
      <c r="F25" s="36"/>
      <c r="G25" s="37"/>
      <c r="H25" s="38"/>
      <c r="I25" s="38">
        <f t="shared" si="4"/>
        <v>10</v>
      </c>
      <c r="J25" s="63">
        <f t="shared" si="4"/>
        <v>0</v>
      </c>
      <c r="K25" s="62"/>
      <c r="L25" s="36"/>
      <c r="M25" s="36"/>
      <c r="N25" s="36"/>
      <c r="O25" s="36"/>
      <c r="P25" s="36"/>
      <c r="Q25" s="99"/>
      <c r="R25" s="100">
        <f t="shared" si="7"/>
        <v>0</v>
      </c>
      <c r="S25" s="101">
        <f t="shared" si="7"/>
        <v>0</v>
      </c>
      <c r="T25" s="62"/>
      <c r="U25" s="8">
        <f t="shared" si="5"/>
        <v>0</v>
      </c>
      <c r="V25" s="135">
        <f t="shared" si="6"/>
        <v>0</v>
      </c>
      <c r="W25" s="134">
        <f t="shared" si="8"/>
        <v>240</v>
      </c>
      <c r="X25" s="61"/>
      <c r="AL25" s="157"/>
      <c r="AM25" s="157"/>
      <c r="AN25" s="157"/>
      <c r="AO25" s="157"/>
      <c r="AP25" s="157"/>
      <c r="AQ25" s="157"/>
      <c r="AR25" s="157"/>
      <c r="AS25" s="157"/>
      <c r="AT25" s="157"/>
      <c r="AU25" s="157"/>
      <c r="AV25" s="157"/>
      <c r="AW25" s="157"/>
      <c r="AX25" s="157"/>
      <c r="AY25" s="157"/>
      <c r="AZ25" s="157"/>
      <c r="BA25" s="157"/>
      <c r="BB25" s="157"/>
      <c r="BC25" s="157"/>
      <c r="BD25" s="157"/>
      <c r="BE25" s="157"/>
      <c r="BF25" s="157"/>
      <c r="BG25" s="157"/>
      <c r="BH25" s="157"/>
    </row>
    <row r="26" spans="1:60">
      <c r="A26" s="1">
        <f t="shared" si="3"/>
        <v>19</v>
      </c>
      <c r="B26" s="15" t="s">
        <v>38</v>
      </c>
      <c r="C26" s="10"/>
      <c r="D26" s="11">
        <v>1</v>
      </c>
      <c r="E26" s="36"/>
      <c r="F26" s="36"/>
      <c r="G26" s="37"/>
      <c r="H26" s="38"/>
      <c r="I26" s="38">
        <f t="shared" si="4"/>
        <v>0</v>
      </c>
      <c r="J26" s="63">
        <f t="shared" si="4"/>
        <v>1</v>
      </c>
      <c r="K26" s="62"/>
      <c r="L26" s="36"/>
      <c r="M26" s="36"/>
      <c r="N26" s="36"/>
      <c r="O26" s="36"/>
      <c r="P26" s="36"/>
      <c r="Q26" s="99"/>
      <c r="R26" s="100">
        <f t="shared" si="7"/>
        <v>0</v>
      </c>
      <c r="S26" s="101">
        <f t="shared" si="7"/>
        <v>0</v>
      </c>
      <c r="T26" s="62"/>
      <c r="U26" s="8">
        <f t="shared" si="5"/>
        <v>0</v>
      </c>
      <c r="V26" s="135">
        <f t="shared" si="6"/>
        <v>0</v>
      </c>
      <c r="W26" s="134">
        <f t="shared" si="8"/>
        <v>1</v>
      </c>
      <c r="X26" s="61"/>
      <c r="BE26" s="158" t="e">
        <f>#REF!-BE25</f>
        <v>#REF!</v>
      </c>
    </row>
    <row r="27" spans="1:60" s="2" customFormat="1">
      <c r="A27" s="1">
        <f t="shared" si="3"/>
        <v>20</v>
      </c>
      <c r="B27" s="15" t="s">
        <v>39</v>
      </c>
      <c r="C27" s="10"/>
      <c r="D27" s="11"/>
      <c r="E27" s="36"/>
      <c r="F27" s="36"/>
      <c r="G27" s="37"/>
      <c r="H27" s="38"/>
      <c r="I27" s="38">
        <f t="shared" si="4"/>
        <v>0</v>
      </c>
      <c r="J27" s="63">
        <f t="shared" si="4"/>
        <v>0</v>
      </c>
      <c r="K27" s="69"/>
      <c r="L27" s="36"/>
      <c r="M27" s="36"/>
      <c r="N27" s="36"/>
      <c r="O27" s="36"/>
      <c r="P27" s="36"/>
      <c r="Q27" s="99"/>
      <c r="R27" s="100">
        <f t="shared" si="7"/>
        <v>0</v>
      </c>
      <c r="S27" s="101">
        <f t="shared" si="7"/>
        <v>0</v>
      </c>
      <c r="T27" s="69"/>
      <c r="U27" s="8">
        <f t="shared" si="5"/>
        <v>0</v>
      </c>
      <c r="V27" s="135">
        <f t="shared" si="6"/>
        <v>0</v>
      </c>
      <c r="W27" s="134">
        <f t="shared" si="8"/>
        <v>0</v>
      </c>
      <c r="X27" s="61"/>
      <c r="Y27" s="3"/>
      <c r="AD27" s="3"/>
      <c r="AG27" s="3"/>
      <c r="AH27" s="3"/>
      <c r="AI27" s="3"/>
      <c r="AJ27" s="3"/>
      <c r="AK27" s="3"/>
    </row>
    <row r="28" spans="1:60" s="2" customFormat="1">
      <c r="A28" s="1">
        <f t="shared" si="3"/>
        <v>21</v>
      </c>
      <c r="B28" s="15" t="s">
        <v>40</v>
      </c>
      <c r="C28" s="10"/>
      <c r="D28" s="11"/>
      <c r="E28" s="36"/>
      <c r="F28" s="36"/>
      <c r="G28" s="37"/>
      <c r="H28" s="38"/>
      <c r="I28" s="38">
        <f t="shared" si="4"/>
        <v>0</v>
      </c>
      <c r="J28" s="63">
        <f t="shared" si="4"/>
        <v>0</v>
      </c>
      <c r="K28" s="69"/>
      <c r="L28" s="36"/>
      <c r="M28" s="36"/>
      <c r="N28" s="36"/>
      <c r="O28" s="36"/>
      <c r="P28" s="36"/>
      <c r="Q28" s="99"/>
      <c r="R28" s="100">
        <f t="shared" si="7"/>
        <v>0</v>
      </c>
      <c r="S28" s="101">
        <f t="shared" si="7"/>
        <v>0</v>
      </c>
      <c r="T28" s="69"/>
      <c r="U28" s="8">
        <f t="shared" si="5"/>
        <v>0</v>
      </c>
      <c r="V28" s="135">
        <f t="shared" si="6"/>
        <v>0</v>
      </c>
      <c r="W28" s="134">
        <f t="shared" si="8"/>
        <v>0</v>
      </c>
      <c r="X28" s="61"/>
      <c r="Y28" s="3"/>
      <c r="AD28" s="3"/>
      <c r="AG28" s="3"/>
      <c r="AH28" s="3"/>
      <c r="AI28" s="3"/>
      <c r="AJ28" s="3"/>
      <c r="AK28" s="3"/>
    </row>
    <row r="29" spans="1:60" s="2" customFormat="1">
      <c r="A29" s="1">
        <f t="shared" si="3"/>
        <v>22</v>
      </c>
      <c r="B29" s="15" t="s">
        <v>41</v>
      </c>
      <c r="C29" s="10">
        <v>23</v>
      </c>
      <c r="D29" s="11"/>
      <c r="E29" s="36"/>
      <c r="F29" s="36"/>
      <c r="G29" s="37"/>
      <c r="H29" s="38"/>
      <c r="I29" s="38">
        <f t="shared" si="4"/>
        <v>23</v>
      </c>
      <c r="J29" s="63">
        <f t="shared" si="4"/>
        <v>0</v>
      </c>
      <c r="K29" s="69"/>
      <c r="L29" s="36"/>
      <c r="M29" s="36"/>
      <c r="N29" s="36"/>
      <c r="O29" s="36"/>
      <c r="P29" s="36"/>
      <c r="Q29" s="99"/>
      <c r="R29" s="100">
        <f t="shared" si="7"/>
        <v>0</v>
      </c>
      <c r="S29" s="101">
        <f t="shared" si="7"/>
        <v>0</v>
      </c>
      <c r="T29" s="69"/>
      <c r="U29" s="8">
        <f t="shared" si="5"/>
        <v>0</v>
      </c>
      <c r="V29" s="135">
        <f t="shared" si="6"/>
        <v>0</v>
      </c>
      <c r="W29" s="134">
        <f t="shared" si="8"/>
        <v>552</v>
      </c>
      <c r="X29" s="61"/>
      <c r="Y29" s="3"/>
      <c r="AD29" s="3"/>
      <c r="AG29" s="3"/>
      <c r="AH29" s="3"/>
      <c r="AI29" s="3"/>
      <c r="AJ29" s="3"/>
      <c r="AK29" s="3"/>
    </row>
    <row r="30" spans="1:60">
      <c r="A30" s="1">
        <f t="shared" si="3"/>
        <v>23</v>
      </c>
      <c r="B30" s="15" t="s">
        <v>42</v>
      </c>
      <c r="C30" s="10">
        <v>20</v>
      </c>
      <c r="D30" s="11"/>
      <c r="E30" s="36"/>
      <c r="F30" s="36"/>
      <c r="G30" s="37"/>
      <c r="H30" s="38"/>
      <c r="I30" s="38">
        <f t="shared" si="4"/>
        <v>20</v>
      </c>
      <c r="J30" s="63">
        <f t="shared" si="4"/>
        <v>0</v>
      </c>
      <c r="K30" s="62"/>
      <c r="L30" s="36"/>
      <c r="M30" s="36"/>
      <c r="N30" s="36"/>
      <c r="O30" s="36"/>
      <c r="P30" s="36"/>
      <c r="Q30" s="99"/>
      <c r="R30" s="100">
        <f t="shared" si="7"/>
        <v>0</v>
      </c>
      <c r="S30" s="101">
        <f t="shared" si="7"/>
        <v>0</v>
      </c>
      <c r="T30" s="62"/>
      <c r="U30" s="8">
        <f t="shared" si="5"/>
        <v>0</v>
      </c>
      <c r="V30" s="135">
        <f t="shared" si="6"/>
        <v>0</v>
      </c>
      <c r="W30" s="134">
        <f t="shared" si="8"/>
        <v>480</v>
      </c>
      <c r="X30" s="61"/>
    </row>
    <row r="31" spans="1:60">
      <c r="A31" s="1">
        <f t="shared" si="3"/>
        <v>24</v>
      </c>
      <c r="B31" s="15" t="s">
        <v>43</v>
      </c>
      <c r="C31" s="10">
        <v>15</v>
      </c>
      <c r="D31" s="11"/>
      <c r="E31" s="36"/>
      <c r="F31" s="36"/>
      <c r="G31" s="37"/>
      <c r="H31" s="38"/>
      <c r="I31" s="38">
        <f t="shared" si="4"/>
        <v>15</v>
      </c>
      <c r="J31" s="63">
        <f t="shared" si="4"/>
        <v>0</v>
      </c>
      <c r="K31" s="62"/>
      <c r="L31" s="36"/>
      <c r="M31" s="36"/>
      <c r="N31" s="36"/>
      <c r="O31" s="36"/>
      <c r="P31" s="36"/>
      <c r="Q31" s="99"/>
      <c r="R31" s="100">
        <f t="shared" si="7"/>
        <v>0</v>
      </c>
      <c r="S31" s="101">
        <f t="shared" si="7"/>
        <v>0</v>
      </c>
      <c r="T31" s="62"/>
      <c r="U31" s="8">
        <f t="shared" si="5"/>
        <v>0</v>
      </c>
      <c r="V31" s="135">
        <f t="shared" si="6"/>
        <v>0</v>
      </c>
      <c r="W31" s="134">
        <f t="shared" si="8"/>
        <v>360</v>
      </c>
      <c r="X31" s="61"/>
    </row>
    <row r="32" spans="1:60">
      <c r="A32" s="1">
        <f t="shared" si="3"/>
        <v>25</v>
      </c>
      <c r="B32" s="15" t="s">
        <v>44</v>
      </c>
      <c r="C32" s="10">
        <v>3</v>
      </c>
      <c r="D32" s="11"/>
      <c r="E32" s="36"/>
      <c r="F32" s="36"/>
      <c r="G32" s="37">
        <v>1</v>
      </c>
      <c r="H32" s="38"/>
      <c r="I32" s="38">
        <f t="shared" si="4"/>
        <v>2</v>
      </c>
      <c r="J32" s="63">
        <f t="shared" si="4"/>
        <v>0</v>
      </c>
      <c r="K32" s="62"/>
      <c r="L32" s="36"/>
      <c r="M32" s="36"/>
      <c r="N32" s="36">
        <v>1</v>
      </c>
      <c r="O32" s="36"/>
      <c r="P32" s="36"/>
      <c r="Q32" s="99"/>
      <c r="R32" s="100">
        <f t="shared" si="7"/>
        <v>1</v>
      </c>
      <c r="S32" s="101">
        <f t="shared" si="7"/>
        <v>0</v>
      </c>
      <c r="T32" s="62"/>
      <c r="U32" s="8">
        <f t="shared" si="5"/>
        <v>24</v>
      </c>
      <c r="V32" s="135">
        <f t="shared" si="6"/>
        <v>1</v>
      </c>
      <c r="W32" s="134">
        <f t="shared" si="8"/>
        <v>48</v>
      </c>
      <c r="X32" s="61"/>
    </row>
    <row r="33" spans="1:26">
      <c r="A33" s="1">
        <f t="shared" si="3"/>
        <v>26</v>
      </c>
      <c r="B33" s="15" t="s">
        <v>45</v>
      </c>
      <c r="C33" s="10">
        <v>5</v>
      </c>
      <c r="D33" s="11"/>
      <c r="E33" s="36"/>
      <c r="F33" s="36"/>
      <c r="G33" s="37"/>
      <c r="H33" s="38"/>
      <c r="I33" s="38">
        <f t="shared" si="4"/>
        <v>5</v>
      </c>
      <c r="J33" s="63">
        <f t="shared" si="4"/>
        <v>0</v>
      </c>
      <c r="K33" s="62"/>
      <c r="L33" s="36"/>
      <c r="M33" s="36"/>
      <c r="N33" s="36"/>
      <c r="O33" s="36"/>
      <c r="P33" s="36"/>
      <c r="Q33" s="99"/>
      <c r="R33" s="100">
        <f t="shared" si="7"/>
        <v>0</v>
      </c>
      <c r="S33" s="101">
        <f t="shared" si="7"/>
        <v>0</v>
      </c>
      <c r="T33" s="62"/>
      <c r="U33" s="8">
        <f t="shared" si="5"/>
        <v>0</v>
      </c>
      <c r="V33" s="135">
        <f t="shared" si="6"/>
        <v>0</v>
      </c>
      <c r="W33" s="134">
        <f t="shared" si="8"/>
        <v>120</v>
      </c>
      <c r="X33" s="61"/>
    </row>
    <row r="34" spans="1:26">
      <c r="A34" s="1">
        <f t="shared" si="3"/>
        <v>27</v>
      </c>
      <c r="B34" s="15" t="s">
        <v>46</v>
      </c>
      <c r="C34" s="10">
        <v>5</v>
      </c>
      <c r="D34" s="11"/>
      <c r="E34" s="36"/>
      <c r="F34" s="36"/>
      <c r="G34" s="37"/>
      <c r="H34" s="38"/>
      <c r="I34" s="38">
        <f t="shared" si="4"/>
        <v>5</v>
      </c>
      <c r="J34" s="63">
        <f t="shared" si="4"/>
        <v>0</v>
      </c>
      <c r="K34" s="62"/>
      <c r="L34" s="36"/>
      <c r="M34" s="36"/>
      <c r="N34" s="36"/>
      <c r="O34" s="36"/>
      <c r="P34" s="36"/>
      <c r="Q34" s="99"/>
      <c r="R34" s="100">
        <f t="shared" si="7"/>
        <v>0</v>
      </c>
      <c r="S34" s="101">
        <f t="shared" si="7"/>
        <v>0</v>
      </c>
      <c r="T34" s="62"/>
      <c r="U34" s="8">
        <f t="shared" si="5"/>
        <v>0</v>
      </c>
      <c r="V34" s="135">
        <f t="shared" si="6"/>
        <v>0</v>
      </c>
      <c r="W34" s="134">
        <f t="shared" si="8"/>
        <v>120</v>
      </c>
      <c r="X34" s="61"/>
    </row>
    <row r="35" spans="1:26">
      <c r="A35" s="1">
        <f t="shared" si="3"/>
        <v>28</v>
      </c>
      <c r="B35" s="15" t="s">
        <v>47</v>
      </c>
      <c r="C35" s="10">
        <v>117</v>
      </c>
      <c r="D35" s="11">
        <v>1</v>
      </c>
      <c r="E35" s="36"/>
      <c r="F35" s="36"/>
      <c r="G35" s="37"/>
      <c r="H35" s="38"/>
      <c r="I35" s="38">
        <f t="shared" si="4"/>
        <v>117</v>
      </c>
      <c r="J35" s="63">
        <f t="shared" si="4"/>
        <v>1</v>
      </c>
      <c r="K35" s="62"/>
      <c r="L35" s="36"/>
      <c r="M35" s="36"/>
      <c r="N35" s="36"/>
      <c r="O35" s="36"/>
      <c r="P35" s="36"/>
      <c r="Q35" s="99"/>
      <c r="R35" s="100">
        <f t="shared" si="7"/>
        <v>0</v>
      </c>
      <c r="S35" s="101">
        <f t="shared" si="7"/>
        <v>0</v>
      </c>
      <c r="T35" s="62"/>
      <c r="U35" s="8">
        <f t="shared" si="5"/>
        <v>0</v>
      </c>
      <c r="V35" s="135">
        <f t="shared" si="6"/>
        <v>0</v>
      </c>
      <c r="W35" s="134">
        <f t="shared" si="8"/>
        <v>2809</v>
      </c>
      <c r="X35" s="61"/>
    </row>
    <row r="36" spans="1:26" ht="18.75" hidden="1" customHeight="1">
      <c r="A36" s="1">
        <f t="shared" si="3"/>
        <v>29</v>
      </c>
      <c r="B36" s="15" t="s">
        <v>48</v>
      </c>
      <c r="C36" s="10"/>
      <c r="D36" s="11"/>
      <c r="E36" s="36"/>
      <c r="F36" s="36"/>
      <c r="G36" s="37"/>
      <c r="H36" s="38"/>
      <c r="I36" s="38">
        <f t="shared" si="4"/>
        <v>0</v>
      </c>
      <c r="J36" s="63">
        <f t="shared" si="4"/>
        <v>0</v>
      </c>
      <c r="K36" s="62"/>
      <c r="L36" s="36"/>
      <c r="M36" s="36"/>
      <c r="N36" s="36"/>
      <c r="O36" s="36"/>
      <c r="P36" s="36"/>
      <c r="Q36" s="99"/>
      <c r="R36" s="100">
        <f t="shared" si="7"/>
        <v>0</v>
      </c>
      <c r="S36" s="101">
        <f t="shared" si="7"/>
        <v>0</v>
      </c>
      <c r="T36" s="62"/>
      <c r="U36" s="8">
        <f t="shared" si="5"/>
        <v>0</v>
      </c>
      <c r="V36" s="135">
        <f t="shared" si="6"/>
        <v>0</v>
      </c>
      <c r="W36" s="134">
        <f t="shared" si="8"/>
        <v>0</v>
      </c>
      <c r="X36" s="61"/>
    </row>
    <row r="37" spans="1:26" ht="18.75" customHeight="1">
      <c r="A37" s="1">
        <f t="shared" si="3"/>
        <v>30</v>
      </c>
      <c r="B37" s="15" t="s">
        <v>49</v>
      </c>
      <c r="C37" s="10">
        <v>1</v>
      </c>
      <c r="D37" s="11"/>
      <c r="E37" s="36"/>
      <c r="F37" s="36"/>
      <c r="G37" s="37"/>
      <c r="H37" s="38"/>
      <c r="I37" s="38">
        <f t="shared" si="4"/>
        <v>1</v>
      </c>
      <c r="J37" s="63">
        <f t="shared" si="4"/>
        <v>0</v>
      </c>
      <c r="K37" s="62"/>
      <c r="L37" s="36"/>
      <c r="M37" s="36"/>
      <c r="N37" s="36"/>
      <c r="O37" s="36"/>
      <c r="P37" s="36"/>
      <c r="Q37" s="99"/>
      <c r="R37" s="100">
        <f t="shared" si="7"/>
        <v>0</v>
      </c>
      <c r="S37" s="101">
        <f t="shared" si="7"/>
        <v>0</v>
      </c>
      <c r="T37" s="62"/>
      <c r="U37" s="8">
        <f t="shared" si="5"/>
        <v>0</v>
      </c>
      <c r="V37" s="135">
        <f t="shared" si="6"/>
        <v>0</v>
      </c>
      <c r="W37" s="134">
        <f t="shared" si="8"/>
        <v>24</v>
      </c>
      <c r="X37" s="61"/>
    </row>
    <row r="38" spans="1:26">
      <c r="A38" s="1">
        <f t="shared" si="3"/>
        <v>31</v>
      </c>
      <c r="B38" s="16" t="s">
        <v>50</v>
      </c>
      <c r="C38" s="13">
        <v>6913</v>
      </c>
      <c r="D38" s="14">
        <v>2</v>
      </c>
      <c r="E38" s="39"/>
      <c r="F38" s="39"/>
      <c r="G38" s="40">
        <v>66</v>
      </c>
      <c r="H38" s="41"/>
      <c r="I38" s="53">
        <f t="shared" si="4"/>
        <v>6847</v>
      </c>
      <c r="J38" s="70">
        <f t="shared" si="4"/>
        <v>2</v>
      </c>
      <c r="K38" s="65"/>
      <c r="L38" s="51">
        <v>3</v>
      </c>
      <c r="M38" s="51"/>
      <c r="N38" s="51">
        <v>7</v>
      </c>
      <c r="O38" s="51"/>
      <c r="P38" s="51">
        <v>56</v>
      </c>
      <c r="Q38" s="102"/>
      <c r="R38" s="107">
        <f t="shared" si="7"/>
        <v>66</v>
      </c>
      <c r="S38" s="104">
        <f t="shared" si="7"/>
        <v>0</v>
      </c>
      <c r="T38" s="65"/>
      <c r="U38" s="136">
        <f>L38*6+N38*6+P38*6</f>
        <v>396</v>
      </c>
      <c r="V38" s="141">
        <f>U38/6</f>
        <v>66</v>
      </c>
      <c r="W38" s="138">
        <f>I38*6+J38</f>
        <v>41084</v>
      </c>
      <c r="X38" s="139"/>
    </row>
    <row r="39" spans="1:26">
      <c r="A39" s="1">
        <f t="shared" si="3"/>
        <v>32</v>
      </c>
      <c r="B39" s="7" t="s">
        <v>51</v>
      </c>
      <c r="C39" s="10">
        <v>2</v>
      </c>
      <c r="D39" s="11"/>
      <c r="E39" s="36"/>
      <c r="F39" s="36"/>
      <c r="G39" s="37"/>
      <c r="H39" s="38"/>
      <c r="I39" s="37">
        <f t="shared" si="4"/>
        <v>2</v>
      </c>
      <c r="J39" s="63">
        <f t="shared" si="4"/>
        <v>0</v>
      </c>
      <c r="K39" s="62"/>
      <c r="L39" s="36"/>
      <c r="M39" s="36"/>
      <c r="N39" s="36"/>
      <c r="O39" s="36"/>
      <c r="P39" s="36"/>
      <c r="Q39" s="99"/>
      <c r="R39" s="108">
        <f t="shared" si="7"/>
        <v>0</v>
      </c>
      <c r="S39" s="106">
        <f t="shared" si="7"/>
        <v>0</v>
      </c>
      <c r="T39" s="62"/>
      <c r="U39" s="8">
        <f t="shared" ref="U39:U41" si="9">L39*24+N39*24+P39*24</f>
        <v>0</v>
      </c>
      <c r="V39" s="33">
        <f t="shared" si="6"/>
        <v>0</v>
      </c>
      <c r="W39" s="134">
        <f t="shared" ref="W39:W41" si="10">I39*24+J39</f>
        <v>48</v>
      </c>
      <c r="X39" s="61"/>
    </row>
    <row r="40" spans="1:26">
      <c r="A40" s="1">
        <f t="shared" si="3"/>
        <v>33</v>
      </c>
      <c r="B40" s="17" t="s">
        <v>52</v>
      </c>
      <c r="C40" s="18">
        <v>1</v>
      </c>
      <c r="D40" s="19"/>
      <c r="E40" s="42"/>
      <c r="F40" s="42"/>
      <c r="G40" s="43"/>
      <c r="H40" s="44"/>
      <c r="I40" s="38">
        <f t="shared" si="4"/>
        <v>1</v>
      </c>
      <c r="J40" s="63">
        <f t="shared" si="4"/>
        <v>0</v>
      </c>
      <c r="K40" s="62"/>
      <c r="L40" s="36"/>
      <c r="M40" s="36"/>
      <c r="N40" s="36"/>
      <c r="O40" s="36"/>
      <c r="P40" s="36"/>
      <c r="Q40" s="99"/>
      <c r="R40" s="100">
        <f t="shared" si="7"/>
        <v>0</v>
      </c>
      <c r="S40" s="101">
        <f t="shared" si="7"/>
        <v>0</v>
      </c>
      <c r="T40" s="62"/>
      <c r="U40" s="142">
        <f t="shared" si="9"/>
        <v>0</v>
      </c>
      <c r="V40" s="135">
        <f t="shared" si="6"/>
        <v>0</v>
      </c>
      <c r="W40" s="143">
        <f t="shared" si="10"/>
        <v>24</v>
      </c>
      <c r="X40" s="144"/>
    </row>
    <row r="41" spans="1:26">
      <c r="A41" s="1">
        <f t="shared" si="3"/>
        <v>34</v>
      </c>
      <c r="B41" s="20" t="s">
        <v>53</v>
      </c>
      <c r="C41" s="21">
        <v>169</v>
      </c>
      <c r="D41" s="22">
        <v>20</v>
      </c>
      <c r="E41" s="45"/>
      <c r="F41" s="45"/>
      <c r="G41" s="46"/>
      <c r="H41" s="47"/>
      <c r="I41" s="71">
        <f t="shared" si="4"/>
        <v>169</v>
      </c>
      <c r="J41" s="72">
        <f t="shared" si="4"/>
        <v>20</v>
      </c>
      <c r="K41" s="73"/>
      <c r="L41" s="74"/>
      <c r="M41" s="74"/>
      <c r="N41" s="74"/>
      <c r="O41" s="74"/>
      <c r="P41" s="74"/>
      <c r="Q41" s="109"/>
      <c r="R41" s="110">
        <f t="shared" si="7"/>
        <v>0</v>
      </c>
      <c r="S41" s="111">
        <f t="shared" si="7"/>
        <v>0</v>
      </c>
      <c r="T41" s="73"/>
      <c r="U41" s="145">
        <f t="shared" si="9"/>
        <v>0</v>
      </c>
      <c r="V41" s="146">
        <f t="shared" si="6"/>
        <v>0</v>
      </c>
      <c r="W41" s="146">
        <f t="shared" si="10"/>
        <v>4076</v>
      </c>
      <c r="X41" s="147"/>
    </row>
    <row r="42" spans="1:26">
      <c r="A42" s="1">
        <f t="shared" si="3"/>
        <v>35</v>
      </c>
      <c r="B42" s="23" t="s">
        <v>54</v>
      </c>
      <c r="C42" s="24">
        <v>871</v>
      </c>
      <c r="D42" s="25">
        <v>11</v>
      </c>
      <c r="E42" s="48"/>
      <c r="F42" s="48"/>
      <c r="G42" s="49">
        <v>13</v>
      </c>
      <c r="H42" s="50"/>
      <c r="I42" s="49">
        <f t="shared" si="4"/>
        <v>858</v>
      </c>
      <c r="J42" s="75">
        <f t="shared" si="4"/>
        <v>11</v>
      </c>
      <c r="K42" s="76"/>
      <c r="L42" s="48"/>
      <c r="M42" s="48"/>
      <c r="N42" s="48">
        <v>6</v>
      </c>
      <c r="O42" s="48"/>
      <c r="P42" s="48">
        <v>7</v>
      </c>
      <c r="Q42" s="112"/>
      <c r="R42" s="113">
        <f t="shared" si="7"/>
        <v>13</v>
      </c>
      <c r="S42" s="114">
        <f t="shared" si="7"/>
        <v>0</v>
      </c>
      <c r="T42" s="76"/>
      <c r="U42" s="148">
        <f>L42*12+N42*12+P42*12</f>
        <v>156</v>
      </c>
      <c r="V42" s="149">
        <f>U42/12</f>
        <v>13</v>
      </c>
      <c r="W42" s="150">
        <f>I42*12+J42</f>
        <v>10307</v>
      </c>
      <c r="X42" s="151"/>
    </row>
    <row r="43" spans="1:26" ht="18.75" hidden="1" customHeight="1">
      <c r="A43" s="1">
        <f t="shared" si="3"/>
        <v>36</v>
      </c>
      <c r="B43" s="7" t="s">
        <v>55</v>
      </c>
      <c r="C43" s="10"/>
      <c r="D43" s="11"/>
      <c r="E43" s="36"/>
      <c r="F43" s="36"/>
      <c r="G43" s="37"/>
      <c r="H43" s="38"/>
      <c r="I43" s="38">
        <f t="shared" si="4"/>
        <v>0</v>
      </c>
      <c r="J43" s="64">
        <f t="shared" si="4"/>
        <v>0</v>
      </c>
      <c r="K43" s="62"/>
      <c r="L43" s="36"/>
      <c r="M43" s="36"/>
      <c r="N43" s="36"/>
      <c r="O43" s="36"/>
      <c r="P43" s="36"/>
      <c r="Q43" s="99"/>
      <c r="R43" s="115">
        <f t="shared" si="7"/>
        <v>0</v>
      </c>
      <c r="S43" s="116">
        <f t="shared" si="7"/>
        <v>0</v>
      </c>
      <c r="T43" s="62"/>
      <c r="U43" s="8"/>
      <c r="V43" s="33"/>
      <c r="W43" s="134"/>
      <c r="X43" s="61"/>
    </row>
    <row r="44" spans="1:26">
      <c r="A44" s="1">
        <f t="shared" si="3"/>
        <v>37</v>
      </c>
      <c r="B44" s="12" t="s">
        <v>56</v>
      </c>
      <c r="C44" s="13">
        <v>36498</v>
      </c>
      <c r="D44" s="14">
        <v>3</v>
      </c>
      <c r="E44" s="39"/>
      <c r="F44" s="39"/>
      <c r="G44" s="40">
        <v>1526</v>
      </c>
      <c r="H44" s="41"/>
      <c r="I44" s="38">
        <f>C44+E44-G44</f>
        <v>34972</v>
      </c>
      <c r="J44" s="77">
        <f t="shared" si="4"/>
        <v>3</v>
      </c>
      <c r="K44" s="65"/>
      <c r="L44" s="51">
        <v>704</v>
      </c>
      <c r="M44" s="51"/>
      <c r="N44" s="51">
        <v>292</v>
      </c>
      <c r="O44" s="51"/>
      <c r="P44" s="51">
        <v>530</v>
      </c>
      <c r="Q44" s="102"/>
      <c r="R44" s="117">
        <f t="shared" si="7"/>
        <v>1526</v>
      </c>
      <c r="S44" s="118">
        <f t="shared" si="7"/>
        <v>0</v>
      </c>
      <c r="T44" s="65"/>
      <c r="U44" s="136">
        <f>L44*6+N44*6+P44*6</f>
        <v>9156</v>
      </c>
      <c r="V44" s="135">
        <f>U44/6</f>
        <v>1526</v>
      </c>
      <c r="W44" s="138">
        <f>I44*6+J44</f>
        <v>209835</v>
      </c>
      <c r="X44" s="139"/>
      <c r="Z44" s="155"/>
    </row>
    <row r="45" spans="1:26" ht="18.75" hidden="1" customHeight="1">
      <c r="A45" s="1">
        <f t="shared" si="3"/>
        <v>38</v>
      </c>
      <c r="B45" s="7" t="s">
        <v>57</v>
      </c>
      <c r="C45" s="10"/>
      <c r="D45" s="11"/>
      <c r="E45" s="36"/>
      <c r="F45" s="36"/>
      <c r="G45" s="37"/>
      <c r="H45" s="38"/>
      <c r="I45" s="44">
        <f t="shared" si="4"/>
        <v>0</v>
      </c>
      <c r="J45" s="63">
        <f t="shared" si="4"/>
        <v>0</v>
      </c>
      <c r="K45" s="62"/>
      <c r="L45" s="36"/>
      <c r="M45" s="36"/>
      <c r="N45" s="36"/>
      <c r="O45" s="36"/>
      <c r="P45" s="36"/>
      <c r="Q45" s="99"/>
      <c r="R45" s="108">
        <f t="shared" si="7"/>
        <v>0</v>
      </c>
      <c r="S45" s="116">
        <f t="shared" si="7"/>
        <v>0</v>
      </c>
      <c r="T45" s="62"/>
      <c r="U45" s="8"/>
      <c r="V45" s="137"/>
      <c r="W45" s="134"/>
      <c r="X45" s="61"/>
    </row>
    <row r="46" spans="1:26">
      <c r="A46" s="1">
        <f t="shared" si="3"/>
        <v>39</v>
      </c>
      <c r="B46" s="15" t="s">
        <v>58</v>
      </c>
      <c r="C46" s="10">
        <v>15</v>
      </c>
      <c r="D46" s="11"/>
      <c r="E46" s="36"/>
      <c r="F46" s="36"/>
      <c r="G46" s="37"/>
      <c r="H46" s="38"/>
      <c r="I46" s="68">
        <f t="shared" si="4"/>
        <v>15</v>
      </c>
      <c r="J46" s="63">
        <f t="shared" si="4"/>
        <v>0</v>
      </c>
      <c r="K46" s="62"/>
      <c r="L46" s="36"/>
      <c r="M46" s="36"/>
      <c r="N46" s="36"/>
      <c r="O46" s="36"/>
      <c r="P46" s="36"/>
      <c r="Q46" s="99"/>
      <c r="R46" s="100">
        <f t="shared" si="7"/>
        <v>0</v>
      </c>
      <c r="S46" s="119">
        <f t="shared" si="7"/>
        <v>0</v>
      </c>
      <c r="T46" s="62"/>
      <c r="U46" s="8">
        <f t="shared" ref="U46:U47" si="11">L46*24+N46*24+P46*24</f>
        <v>0</v>
      </c>
      <c r="V46" s="140">
        <f t="shared" ref="V46:V47" si="12">U46/24</f>
        <v>0</v>
      </c>
      <c r="W46" s="134">
        <f t="shared" ref="W46:W47" si="13">I46*24+J46</f>
        <v>360</v>
      </c>
      <c r="X46" s="61"/>
    </row>
    <row r="47" spans="1:26">
      <c r="A47" s="1">
        <f t="shared" si="3"/>
        <v>40</v>
      </c>
      <c r="B47" s="15" t="s">
        <v>59</v>
      </c>
      <c r="C47" s="10"/>
      <c r="D47" s="11"/>
      <c r="E47" s="36"/>
      <c r="F47" s="36"/>
      <c r="G47" s="37"/>
      <c r="H47" s="38"/>
      <c r="I47" s="38">
        <f t="shared" si="4"/>
        <v>0</v>
      </c>
      <c r="J47" s="63">
        <f t="shared" si="4"/>
        <v>0</v>
      </c>
      <c r="K47" s="62"/>
      <c r="L47" s="36"/>
      <c r="M47" s="36"/>
      <c r="N47" s="36"/>
      <c r="O47" s="36"/>
      <c r="P47" s="36"/>
      <c r="Q47" s="99"/>
      <c r="R47" s="100">
        <f t="shared" si="7"/>
        <v>0</v>
      </c>
      <c r="S47" s="101">
        <f t="shared" si="7"/>
        <v>0</v>
      </c>
      <c r="T47" s="62"/>
      <c r="U47" s="8">
        <f t="shared" si="11"/>
        <v>0</v>
      </c>
      <c r="V47" s="135">
        <f t="shared" si="12"/>
        <v>0</v>
      </c>
      <c r="W47" s="134">
        <f t="shared" si="13"/>
        <v>0</v>
      </c>
      <c r="X47" s="61"/>
    </row>
    <row r="48" spans="1:26">
      <c r="A48" s="1">
        <f t="shared" si="3"/>
        <v>41</v>
      </c>
      <c r="B48" s="12" t="s">
        <v>48</v>
      </c>
      <c r="C48" s="26">
        <v>2838</v>
      </c>
      <c r="D48" s="27">
        <v>4</v>
      </c>
      <c r="E48" s="51"/>
      <c r="F48" s="51"/>
      <c r="G48" s="52">
        <v>1</v>
      </c>
      <c r="H48" s="53"/>
      <c r="I48" s="53">
        <f t="shared" si="4"/>
        <v>2837</v>
      </c>
      <c r="J48" s="70">
        <f t="shared" si="4"/>
        <v>4</v>
      </c>
      <c r="K48" s="65"/>
      <c r="L48" s="51"/>
      <c r="M48" s="51"/>
      <c r="N48" s="51">
        <v>1</v>
      </c>
      <c r="O48" s="51"/>
      <c r="P48" s="51"/>
      <c r="Q48" s="102"/>
      <c r="R48" s="107">
        <f t="shared" si="7"/>
        <v>1</v>
      </c>
      <c r="S48" s="120">
        <f t="shared" si="7"/>
        <v>0</v>
      </c>
      <c r="T48" s="65"/>
      <c r="U48" s="136">
        <f>L48*6+N48*6+P48*6</f>
        <v>6</v>
      </c>
      <c r="V48" s="141">
        <f>U48/6</f>
        <v>1</v>
      </c>
      <c r="W48" s="138">
        <f>I48*6+J48</f>
        <v>17026</v>
      </c>
      <c r="X48" s="139"/>
    </row>
    <row r="49" spans="1:24">
      <c r="A49" s="1">
        <f t="shared" si="3"/>
        <v>42</v>
      </c>
      <c r="B49" s="7" t="s">
        <v>60</v>
      </c>
      <c r="C49" s="10">
        <v>1</v>
      </c>
      <c r="D49" s="11"/>
      <c r="E49" s="36"/>
      <c r="F49" s="36"/>
      <c r="G49" s="37"/>
      <c r="H49" s="38"/>
      <c r="I49" s="38">
        <f t="shared" si="4"/>
        <v>1</v>
      </c>
      <c r="J49" s="63">
        <f t="shared" si="4"/>
        <v>0</v>
      </c>
      <c r="K49" s="62"/>
      <c r="L49" s="36"/>
      <c r="M49" s="36"/>
      <c r="N49" s="36"/>
      <c r="O49" s="36"/>
      <c r="P49" s="36"/>
      <c r="Q49" s="99"/>
      <c r="R49" s="108">
        <f t="shared" si="7"/>
        <v>0</v>
      </c>
      <c r="S49" s="106">
        <f t="shared" si="7"/>
        <v>0</v>
      </c>
      <c r="T49" s="62"/>
      <c r="U49" s="8">
        <f t="shared" ref="U49:U51" si="14">L49*24+N49*24+P49*24</f>
        <v>0</v>
      </c>
      <c r="V49" s="33">
        <f t="shared" ref="V49:V51" si="15">U49/24</f>
        <v>0</v>
      </c>
      <c r="W49" s="134">
        <f t="shared" ref="W49:W51" si="16">I49*24+J49</f>
        <v>24</v>
      </c>
      <c r="X49" s="61"/>
    </row>
    <row r="50" spans="1:24">
      <c r="A50" s="1">
        <f t="shared" si="3"/>
        <v>43</v>
      </c>
      <c r="B50" s="15" t="s">
        <v>61</v>
      </c>
      <c r="C50" s="10">
        <v>2</v>
      </c>
      <c r="D50" s="11"/>
      <c r="E50" s="36"/>
      <c r="F50" s="36"/>
      <c r="G50" s="37"/>
      <c r="H50" s="38"/>
      <c r="I50" s="38">
        <f t="shared" si="4"/>
        <v>2</v>
      </c>
      <c r="J50" s="63">
        <f t="shared" si="4"/>
        <v>0</v>
      </c>
      <c r="K50" s="62"/>
      <c r="L50" s="36"/>
      <c r="M50" s="36"/>
      <c r="N50" s="36"/>
      <c r="O50" s="36"/>
      <c r="P50" s="36"/>
      <c r="Q50" s="99"/>
      <c r="R50" s="100">
        <f t="shared" si="7"/>
        <v>0</v>
      </c>
      <c r="S50" s="101">
        <f t="shared" si="7"/>
        <v>0</v>
      </c>
      <c r="T50" s="62"/>
      <c r="U50" s="8">
        <f t="shared" si="14"/>
        <v>0</v>
      </c>
      <c r="V50" s="135">
        <f t="shared" si="15"/>
        <v>0</v>
      </c>
      <c r="W50" s="134">
        <f t="shared" si="16"/>
        <v>48</v>
      </c>
      <c r="X50" s="61"/>
    </row>
    <row r="51" spans="1:24">
      <c r="A51" s="1">
        <f t="shared" si="3"/>
        <v>44</v>
      </c>
      <c r="B51" s="15" t="s">
        <v>62</v>
      </c>
      <c r="C51" s="10"/>
      <c r="D51" s="11"/>
      <c r="E51" s="36"/>
      <c r="F51" s="36"/>
      <c r="G51" s="37"/>
      <c r="H51" s="38"/>
      <c r="I51" s="38">
        <f t="shared" si="4"/>
        <v>0</v>
      </c>
      <c r="J51" s="63">
        <f t="shared" si="4"/>
        <v>0</v>
      </c>
      <c r="K51" s="62"/>
      <c r="L51" s="36"/>
      <c r="M51" s="36"/>
      <c r="N51" s="36"/>
      <c r="O51" s="36"/>
      <c r="P51" s="36"/>
      <c r="Q51" s="99"/>
      <c r="R51" s="100">
        <f t="shared" si="7"/>
        <v>0</v>
      </c>
      <c r="S51" s="101">
        <f t="shared" si="7"/>
        <v>0</v>
      </c>
      <c r="T51" s="62"/>
      <c r="U51" s="8">
        <f t="shared" si="14"/>
        <v>0</v>
      </c>
      <c r="V51" s="135">
        <f t="shared" si="15"/>
        <v>0</v>
      </c>
      <c r="W51" s="134">
        <f t="shared" si="16"/>
        <v>0</v>
      </c>
      <c r="X51" s="61"/>
    </row>
    <row r="52" spans="1:24">
      <c r="A52" s="1">
        <f t="shared" si="3"/>
        <v>45</v>
      </c>
      <c r="B52" s="12" t="s">
        <v>63</v>
      </c>
      <c r="C52" s="26">
        <v>34</v>
      </c>
      <c r="D52" s="27"/>
      <c r="E52" s="51"/>
      <c r="F52" s="51"/>
      <c r="G52" s="52"/>
      <c r="H52" s="53"/>
      <c r="I52" s="53">
        <f t="shared" si="4"/>
        <v>34</v>
      </c>
      <c r="J52" s="70">
        <f t="shared" si="4"/>
        <v>0</v>
      </c>
      <c r="K52" s="65"/>
      <c r="L52" s="51"/>
      <c r="M52" s="51"/>
      <c r="N52" s="51"/>
      <c r="O52" s="51"/>
      <c r="P52" s="51"/>
      <c r="Q52" s="102"/>
      <c r="R52" s="107">
        <f t="shared" si="7"/>
        <v>0</v>
      </c>
      <c r="S52" s="120">
        <f t="shared" si="7"/>
        <v>0</v>
      </c>
      <c r="T52" s="65"/>
      <c r="U52" s="136">
        <f>L52*6+N52*6+P52*6</f>
        <v>0</v>
      </c>
      <c r="V52" s="141">
        <f>U52/6</f>
        <v>0</v>
      </c>
      <c r="W52" s="138">
        <f>I52*6+J52</f>
        <v>204</v>
      </c>
      <c r="X52" s="139"/>
    </row>
    <row r="53" spans="1:24">
      <c r="A53" s="1">
        <f t="shared" si="3"/>
        <v>46</v>
      </c>
      <c r="B53" s="7" t="s">
        <v>64</v>
      </c>
      <c r="C53" s="10">
        <v>2</v>
      </c>
      <c r="D53" s="11"/>
      <c r="E53" s="36"/>
      <c r="F53" s="36"/>
      <c r="G53" s="37"/>
      <c r="H53" s="38"/>
      <c r="I53" s="38">
        <f t="shared" si="4"/>
        <v>2</v>
      </c>
      <c r="J53" s="63">
        <f t="shared" si="4"/>
        <v>0</v>
      </c>
      <c r="K53" s="62"/>
      <c r="L53" s="36"/>
      <c r="M53" s="36"/>
      <c r="N53" s="36"/>
      <c r="O53" s="36"/>
      <c r="P53" s="36"/>
      <c r="Q53" s="99"/>
      <c r="R53" s="108">
        <f t="shared" si="7"/>
        <v>0</v>
      </c>
      <c r="S53" s="106">
        <f t="shared" si="7"/>
        <v>0</v>
      </c>
      <c r="T53" s="62"/>
      <c r="U53" s="8">
        <f t="shared" ref="U53:U54" si="17">L53*24+N53*24+P53*24</f>
        <v>0</v>
      </c>
      <c r="V53" s="33">
        <f t="shared" ref="V53:V54" si="18">U53/24</f>
        <v>0</v>
      </c>
      <c r="W53" s="134">
        <f t="shared" ref="W53:W54" si="19">I53*24+J53</f>
        <v>48</v>
      </c>
      <c r="X53" s="61"/>
    </row>
    <row r="54" spans="1:24">
      <c r="A54" s="1">
        <f t="shared" si="3"/>
        <v>47</v>
      </c>
      <c r="B54" s="15" t="s">
        <v>65</v>
      </c>
      <c r="C54" s="10">
        <v>12</v>
      </c>
      <c r="D54" s="11"/>
      <c r="E54" s="36"/>
      <c r="F54" s="36"/>
      <c r="G54" s="37"/>
      <c r="H54" s="38"/>
      <c r="I54" s="38">
        <f t="shared" si="4"/>
        <v>12</v>
      </c>
      <c r="J54" s="63">
        <f t="shared" si="4"/>
        <v>0</v>
      </c>
      <c r="K54" s="62"/>
      <c r="L54" s="36"/>
      <c r="M54" s="36"/>
      <c r="N54" s="36"/>
      <c r="O54" s="36"/>
      <c r="P54" s="36"/>
      <c r="Q54" s="99"/>
      <c r="R54" s="100">
        <f t="shared" si="7"/>
        <v>0</v>
      </c>
      <c r="S54" s="101">
        <f t="shared" si="7"/>
        <v>0</v>
      </c>
      <c r="T54" s="62"/>
      <c r="U54" s="8">
        <f t="shared" si="17"/>
        <v>0</v>
      </c>
      <c r="V54" s="135">
        <f t="shared" si="18"/>
        <v>0</v>
      </c>
      <c r="W54" s="134">
        <f t="shared" si="19"/>
        <v>288</v>
      </c>
      <c r="X54" s="61"/>
    </row>
    <row r="55" spans="1:24">
      <c r="A55" s="1">
        <f t="shared" si="3"/>
        <v>48</v>
      </c>
      <c r="B55" s="15"/>
      <c r="C55" s="10"/>
      <c r="D55" s="11"/>
      <c r="E55" s="36"/>
      <c r="F55" s="36"/>
      <c r="G55" s="37"/>
      <c r="H55" s="38"/>
      <c r="I55" s="38">
        <f t="shared" si="4"/>
        <v>0</v>
      </c>
      <c r="J55" s="63">
        <f t="shared" si="4"/>
        <v>0</v>
      </c>
      <c r="K55" s="62"/>
      <c r="L55" s="36"/>
      <c r="M55" s="36"/>
      <c r="N55" s="36"/>
      <c r="O55" s="36"/>
      <c r="P55" s="36"/>
      <c r="Q55" s="99"/>
      <c r="R55" s="100">
        <f t="shared" si="7"/>
        <v>0</v>
      </c>
      <c r="S55" s="101">
        <f t="shared" si="7"/>
        <v>0</v>
      </c>
      <c r="T55" s="62"/>
      <c r="U55" s="8"/>
      <c r="V55" s="135"/>
      <c r="W55" s="134"/>
      <c r="X55" s="61"/>
    </row>
    <row r="56" spans="1:24">
      <c r="A56" s="1">
        <f t="shared" si="3"/>
        <v>49</v>
      </c>
      <c r="B56" s="15"/>
      <c r="C56" s="10"/>
      <c r="D56" s="11"/>
      <c r="E56" s="36"/>
      <c r="F56" s="36"/>
      <c r="G56" s="37"/>
      <c r="H56" s="38"/>
      <c r="I56" s="38">
        <f t="shared" si="4"/>
        <v>0</v>
      </c>
      <c r="J56" s="63">
        <f t="shared" si="4"/>
        <v>0</v>
      </c>
      <c r="K56" s="62"/>
      <c r="L56" s="36"/>
      <c r="M56" s="36"/>
      <c r="N56" s="36"/>
      <c r="O56" s="36"/>
      <c r="P56" s="36"/>
      <c r="Q56" s="99"/>
      <c r="R56" s="100">
        <f t="shared" si="7"/>
        <v>0</v>
      </c>
      <c r="S56" s="101">
        <f t="shared" si="7"/>
        <v>0</v>
      </c>
      <c r="T56" s="62"/>
      <c r="U56" s="8"/>
      <c r="V56" s="135"/>
      <c r="W56" s="134"/>
      <c r="X56" s="61"/>
    </row>
    <row r="57" spans="1:24">
      <c r="A57" s="1">
        <f t="shared" si="3"/>
        <v>50</v>
      </c>
      <c r="B57" s="15"/>
      <c r="C57" s="10"/>
      <c r="D57" s="11"/>
      <c r="E57" s="36"/>
      <c r="F57" s="36"/>
      <c r="G57" s="37"/>
      <c r="H57" s="38"/>
      <c r="I57" s="38">
        <f t="shared" si="4"/>
        <v>0</v>
      </c>
      <c r="J57" s="63">
        <f t="shared" si="4"/>
        <v>0</v>
      </c>
      <c r="K57" s="62"/>
      <c r="L57" s="36"/>
      <c r="M57" s="36"/>
      <c r="N57" s="36"/>
      <c r="O57" s="36"/>
      <c r="P57" s="36"/>
      <c r="Q57" s="99"/>
      <c r="R57" s="100">
        <f t="shared" si="7"/>
        <v>0</v>
      </c>
      <c r="S57" s="101">
        <f t="shared" si="7"/>
        <v>0</v>
      </c>
      <c r="T57" s="62"/>
      <c r="U57" s="8"/>
      <c r="V57" s="135"/>
      <c r="W57" s="134"/>
      <c r="X57" s="61"/>
    </row>
    <row r="58" spans="1:24">
      <c r="A58" s="1">
        <f t="shared" si="3"/>
        <v>51</v>
      </c>
      <c r="B58" s="15"/>
      <c r="C58" s="10"/>
      <c r="D58" s="11"/>
      <c r="E58" s="36"/>
      <c r="F58" s="36"/>
      <c r="G58" s="37"/>
      <c r="H58" s="38"/>
      <c r="I58" s="38">
        <f t="shared" si="4"/>
        <v>0</v>
      </c>
      <c r="J58" s="63">
        <f t="shared" si="4"/>
        <v>0</v>
      </c>
      <c r="K58" s="62"/>
      <c r="L58" s="36"/>
      <c r="M58" s="36"/>
      <c r="N58" s="36"/>
      <c r="O58" s="36"/>
      <c r="P58" s="36"/>
      <c r="Q58" s="99"/>
      <c r="R58" s="100">
        <f t="shared" si="7"/>
        <v>0</v>
      </c>
      <c r="S58" s="101">
        <f t="shared" si="7"/>
        <v>0</v>
      </c>
      <c r="T58" s="62"/>
      <c r="U58" s="8"/>
      <c r="V58" s="135"/>
      <c r="W58" s="134"/>
      <c r="X58" s="61"/>
    </row>
    <row r="59" spans="1:24">
      <c r="A59" s="1">
        <f t="shared" si="3"/>
        <v>52</v>
      </c>
      <c r="B59" s="15"/>
      <c r="C59" s="10"/>
      <c r="D59" s="11"/>
      <c r="E59" s="36"/>
      <c r="F59" s="36"/>
      <c r="G59" s="37"/>
      <c r="H59" s="38"/>
      <c r="I59" s="38">
        <f t="shared" si="4"/>
        <v>0</v>
      </c>
      <c r="J59" s="63">
        <f t="shared" si="4"/>
        <v>0</v>
      </c>
      <c r="K59" s="62"/>
      <c r="L59" s="36"/>
      <c r="M59" s="36"/>
      <c r="N59" s="36"/>
      <c r="O59" s="36"/>
      <c r="P59" s="36"/>
      <c r="Q59" s="99"/>
      <c r="R59" s="100">
        <f t="shared" si="7"/>
        <v>0</v>
      </c>
      <c r="S59" s="101">
        <f t="shared" si="7"/>
        <v>0</v>
      </c>
      <c r="T59" s="62"/>
      <c r="U59" s="8"/>
      <c r="V59" s="135"/>
      <c r="W59" s="134"/>
      <c r="X59" s="61"/>
    </row>
    <row r="60" spans="1:24" s="2" customFormat="1">
      <c r="B60" s="28" t="s">
        <v>15</v>
      </c>
      <c r="C60" s="29">
        <f>SUM(C8:C59)</f>
        <v>51579</v>
      </c>
      <c r="D60" s="30">
        <f>SUM(D8:D59)</f>
        <v>172</v>
      </c>
      <c r="E60" s="54">
        <f>SUM(E8:E59)</f>
        <v>0</v>
      </c>
      <c r="F60" s="54"/>
      <c r="G60" s="55">
        <f>SUM(G8:G59)</f>
        <v>1661</v>
      </c>
      <c r="H60" s="56">
        <f>SUM(H8:H59)</f>
        <v>8</v>
      </c>
      <c r="I60" s="56">
        <f>SUM(I8:I59)</f>
        <v>49918</v>
      </c>
      <c r="J60" s="78">
        <f>SUM(J8:J59)</f>
        <v>164</v>
      </c>
      <c r="L60" s="79">
        <f t="shared" ref="L60:S60" si="20">SUM(L8:L59)</f>
        <v>732</v>
      </c>
      <c r="M60" s="79">
        <f t="shared" si="20"/>
        <v>3</v>
      </c>
      <c r="N60" s="79">
        <f t="shared" si="20"/>
        <v>315</v>
      </c>
      <c r="O60" s="79">
        <f t="shared" si="20"/>
        <v>5</v>
      </c>
      <c r="P60" s="79">
        <f t="shared" si="20"/>
        <v>613</v>
      </c>
      <c r="Q60" s="121">
        <f t="shared" si="20"/>
        <v>0</v>
      </c>
      <c r="R60" s="122">
        <f t="shared" si="20"/>
        <v>1660</v>
      </c>
      <c r="S60" s="123">
        <f t="shared" si="20"/>
        <v>8</v>
      </c>
      <c r="U60" s="29">
        <f>SUM(U8:U59)</f>
        <v>11010</v>
      </c>
      <c r="V60" s="152">
        <f>SUM(V8:V59)</f>
        <v>1660</v>
      </c>
      <c r="W60" s="179">
        <f>SUM(W8:W59)</f>
        <v>383480</v>
      </c>
      <c r="X60" s="78"/>
    </row>
    <row r="61" spans="1:24">
      <c r="V61" s="154"/>
    </row>
    <row r="62" spans="1:24" ht="18.75" customHeight="1">
      <c r="G62" s="197" t="s">
        <v>66</v>
      </c>
      <c r="H62" s="57"/>
      <c r="I62" s="57"/>
      <c r="J62" s="80" t="s">
        <v>67</v>
      </c>
      <c r="L62" s="81"/>
      <c r="M62" s="87"/>
      <c r="N62" s="88"/>
      <c r="O62" s="88"/>
      <c r="P62" s="88"/>
      <c r="Q62" s="124"/>
      <c r="R62" s="124"/>
      <c r="S62" s="125"/>
    </row>
    <row r="63" spans="1:24">
      <c r="G63" s="198"/>
      <c r="H63" s="58"/>
      <c r="I63" s="58"/>
      <c r="J63" s="82" t="s">
        <v>68</v>
      </c>
      <c r="L63" s="83"/>
      <c r="M63" s="89"/>
      <c r="N63" s="90"/>
      <c r="O63" s="90"/>
      <c r="P63" s="90"/>
      <c r="Q63" s="126"/>
      <c r="R63" s="126"/>
      <c r="S63" s="127"/>
    </row>
    <row r="64" spans="1:24">
      <c r="G64" s="199"/>
      <c r="H64" s="59"/>
      <c r="I64" s="59"/>
      <c r="J64" s="82" t="s">
        <v>69</v>
      </c>
      <c r="L64" s="84"/>
      <c r="M64" s="91"/>
      <c r="N64" s="92"/>
      <c r="O64" s="92"/>
      <c r="P64" s="92"/>
      <c r="Q64" s="128"/>
      <c r="R64" s="128"/>
      <c r="S64" s="129"/>
    </row>
    <row r="65" spans="2:24">
      <c r="G65" s="200" t="s">
        <v>70</v>
      </c>
      <c r="H65" s="164"/>
      <c r="I65" s="164"/>
      <c r="J65" s="82" t="s">
        <v>67</v>
      </c>
      <c r="L65" s="84"/>
      <c r="M65" s="91"/>
      <c r="N65" s="92"/>
      <c r="O65" s="92"/>
      <c r="P65" s="92"/>
      <c r="Q65" s="128"/>
      <c r="R65" s="128"/>
      <c r="S65" s="129"/>
    </row>
    <row r="66" spans="2:24">
      <c r="G66" s="200"/>
      <c r="H66" s="164"/>
      <c r="I66" s="164"/>
      <c r="J66" s="82" t="s">
        <v>68</v>
      </c>
      <c r="L66" s="83"/>
      <c r="M66" s="89"/>
      <c r="N66" s="90"/>
      <c r="O66" s="90"/>
      <c r="P66" s="90"/>
      <c r="Q66" s="126"/>
      <c r="R66" s="126"/>
      <c r="S66" s="127"/>
    </row>
    <row r="67" spans="2:24">
      <c r="G67" s="201"/>
      <c r="H67" s="165"/>
      <c r="I67" s="165"/>
      <c r="J67" s="167" t="s">
        <v>69</v>
      </c>
      <c r="L67" s="168"/>
      <c r="M67" s="170"/>
      <c r="N67" s="171"/>
      <c r="O67" s="171"/>
      <c r="P67" s="171"/>
      <c r="Q67" s="174"/>
      <c r="R67" s="174"/>
      <c r="S67" s="175"/>
    </row>
    <row r="69" spans="2:24" ht="49.5" customHeight="1">
      <c r="B69" s="159" t="s">
        <v>71</v>
      </c>
      <c r="C69" s="5" t="s">
        <v>4</v>
      </c>
      <c r="D69" s="6"/>
      <c r="E69" s="166" t="s">
        <v>72</v>
      </c>
      <c r="L69" s="169" t="s">
        <v>12</v>
      </c>
      <c r="M69" s="172"/>
      <c r="N69" s="173" t="s">
        <v>13</v>
      </c>
      <c r="O69" s="173"/>
      <c r="P69" s="173" t="s">
        <v>14</v>
      </c>
      <c r="Q69" s="176"/>
      <c r="R69" s="176"/>
      <c r="S69" s="177" t="s">
        <v>73</v>
      </c>
      <c r="X69" s="178" t="s">
        <v>74</v>
      </c>
    </row>
    <row r="70" spans="2:24">
      <c r="B70" s="160" t="s">
        <v>47</v>
      </c>
      <c r="C70" s="161"/>
      <c r="D70" s="161"/>
      <c r="E70" s="163"/>
      <c r="L70" s="161"/>
      <c r="M70" s="161"/>
      <c r="N70" s="161"/>
      <c r="O70" s="161"/>
      <c r="P70" s="161"/>
      <c r="Q70" s="161"/>
      <c r="R70" s="161"/>
      <c r="S70" s="161"/>
      <c r="X70" s="163"/>
    </row>
    <row r="71" spans="2:24">
      <c r="B71" s="162" t="s">
        <v>75</v>
      </c>
      <c r="C71" s="161"/>
      <c r="D71" s="161"/>
      <c r="E71" s="163"/>
      <c r="L71" s="163"/>
      <c r="M71" s="163"/>
      <c r="N71" s="163"/>
      <c r="O71" s="163"/>
      <c r="P71" s="163"/>
      <c r="Q71" s="163"/>
      <c r="R71" s="163"/>
      <c r="S71" s="163"/>
      <c r="X71" s="163"/>
    </row>
    <row r="72" spans="2:24">
      <c r="B72" s="162" t="s">
        <v>76</v>
      </c>
      <c r="C72" s="161"/>
      <c r="D72" s="161"/>
      <c r="E72" s="163"/>
      <c r="L72" s="163"/>
      <c r="M72" s="163"/>
      <c r="N72" s="163"/>
      <c r="O72" s="163"/>
      <c r="P72" s="163"/>
      <c r="Q72" s="163"/>
      <c r="R72" s="163"/>
      <c r="S72" s="163"/>
      <c r="X72" s="163"/>
    </row>
    <row r="73" spans="2:24" ht="11.25" customHeight="1"/>
    <row r="74" spans="2:24">
      <c r="B74" s="162" t="s">
        <v>77</v>
      </c>
      <c r="C74" s="163"/>
      <c r="D74" s="163"/>
      <c r="E74" s="163"/>
      <c r="L74" s="163"/>
      <c r="M74" s="163"/>
      <c r="N74" s="163"/>
      <c r="O74" s="163"/>
      <c r="P74" s="163"/>
      <c r="Q74" s="163"/>
      <c r="R74" s="163"/>
      <c r="S74" s="163"/>
      <c r="X74" s="163"/>
    </row>
    <row r="75" spans="2:24">
      <c r="B75" s="162" t="s">
        <v>75</v>
      </c>
      <c r="C75" s="163"/>
      <c r="D75" s="163"/>
      <c r="E75" s="163"/>
      <c r="L75" s="163"/>
      <c r="M75" s="163"/>
      <c r="N75" s="163"/>
      <c r="O75" s="163"/>
      <c r="P75" s="163"/>
      <c r="Q75" s="163"/>
      <c r="R75" s="163"/>
      <c r="S75" s="163"/>
      <c r="X75" s="163"/>
    </row>
    <row r="76" spans="2:24">
      <c r="B76" s="162" t="s">
        <v>76</v>
      </c>
      <c r="C76" s="163"/>
      <c r="D76" s="163"/>
      <c r="E76" s="163"/>
      <c r="L76" s="163"/>
      <c r="M76" s="163"/>
      <c r="N76" s="163"/>
      <c r="O76" s="163"/>
      <c r="P76" s="163"/>
      <c r="Q76" s="163"/>
      <c r="R76" s="163"/>
      <c r="S76" s="163"/>
      <c r="X76" s="163"/>
    </row>
    <row r="77" spans="2:24" ht="11.25" customHeight="1"/>
    <row r="78" spans="2:24">
      <c r="B78" s="162" t="s">
        <v>78</v>
      </c>
      <c r="C78" s="163"/>
      <c r="D78" s="163"/>
      <c r="E78" s="163"/>
      <c r="L78" s="163"/>
      <c r="M78" s="163"/>
      <c r="N78" s="163"/>
      <c r="O78" s="163"/>
      <c r="P78" s="163"/>
      <c r="Q78" s="163"/>
      <c r="R78" s="163"/>
      <c r="S78" s="163"/>
      <c r="X78" s="163"/>
    </row>
    <row r="79" spans="2:24">
      <c r="B79" s="162" t="s">
        <v>75</v>
      </c>
      <c r="C79" s="163"/>
      <c r="D79" s="163"/>
      <c r="E79" s="163"/>
      <c r="L79" s="163"/>
      <c r="M79" s="163"/>
      <c r="N79" s="163"/>
      <c r="O79" s="163"/>
      <c r="P79" s="163"/>
      <c r="Q79" s="163"/>
      <c r="R79" s="163"/>
      <c r="S79" s="163"/>
      <c r="X79" s="163"/>
    </row>
    <row r="80" spans="2:24">
      <c r="B80" s="162" t="s">
        <v>76</v>
      </c>
      <c r="C80" s="163"/>
      <c r="D80" s="163"/>
      <c r="E80" s="163"/>
      <c r="L80" s="163"/>
      <c r="M80" s="163"/>
      <c r="N80" s="163"/>
      <c r="O80" s="163"/>
      <c r="P80" s="163"/>
      <c r="Q80" s="163"/>
      <c r="R80" s="163"/>
      <c r="S80" s="163"/>
      <c r="X80" s="163"/>
    </row>
    <row r="81" spans="2:24" ht="11.25" customHeight="1"/>
    <row r="82" spans="2:24">
      <c r="B82" s="162" t="s">
        <v>79</v>
      </c>
      <c r="C82" s="163"/>
      <c r="D82" s="163"/>
      <c r="E82" s="163"/>
      <c r="L82" s="163"/>
      <c r="M82" s="163"/>
      <c r="N82" s="163"/>
      <c r="O82" s="163"/>
      <c r="P82" s="163"/>
      <c r="Q82" s="163"/>
      <c r="R82" s="163"/>
      <c r="S82" s="163"/>
      <c r="X82" s="163"/>
    </row>
    <row r="83" spans="2:24">
      <c r="B83" s="162" t="s">
        <v>75</v>
      </c>
      <c r="C83" s="163"/>
      <c r="D83" s="163"/>
      <c r="E83" s="163"/>
      <c r="L83" s="163"/>
      <c r="M83" s="163"/>
      <c r="N83" s="163"/>
      <c r="O83" s="163"/>
      <c r="P83" s="163"/>
      <c r="Q83" s="163"/>
      <c r="R83" s="163"/>
      <c r="S83" s="163"/>
      <c r="X83" s="163"/>
    </row>
    <row r="84" spans="2:24">
      <c r="B84" s="162" t="s">
        <v>76</v>
      </c>
      <c r="C84" s="161"/>
      <c r="D84" s="161"/>
      <c r="E84" s="163"/>
      <c r="L84" s="163"/>
      <c r="M84" s="163"/>
      <c r="N84" s="163"/>
      <c r="O84" s="163"/>
      <c r="P84" s="163"/>
      <c r="Q84" s="163"/>
      <c r="R84" s="163"/>
      <c r="S84" s="163"/>
      <c r="X84" s="163"/>
    </row>
    <row r="85" spans="2:24" ht="11.25" customHeight="1"/>
    <row r="86" spans="2:24">
      <c r="B86" s="162" t="s">
        <v>80</v>
      </c>
      <c r="C86" s="163"/>
      <c r="D86" s="163"/>
      <c r="E86" s="163"/>
      <c r="L86" s="163"/>
      <c r="M86" s="163"/>
      <c r="N86" s="163"/>
      <c r="O86" s="163"/>
      <c r="P86" s="163"/>
      <c r="Q86" s="163"/>
      <c r="R86" s="163"/>
      <c r="S86" s="163"/>
      <c r="X86" s="163"/>
    </row>
    <row r="87" spans="2:24">
      <c r="B87" s="162" t="s">
        <v>75</v>
      </c>
      <c r="C87" s="163"/>
      <c r="D87" s="163"/>
      <c r="E87" s="163"/>
      <c r="L87" s="163"/>
      <c r="M87" s="163"/>
      <c r="N87" s="163"/>
      <c r="O87" s="163"/>
      <c r="P87" s="163"/>
      <c r="Q87" s="163"/>
      <c r="R87" s="163"/>
      <c r="S87" s="163"/>
      <c r="X87" s="163"/>
    </row>
    <row r="88" spans="2:24">
      <c r="B88" s="162" t="s">
        <v>76</v>
      </c>
      <c r="C88" s="163"/>
      <c r="D88" s="163"/>
      <c r="E88" s="163"/>
      <c r="L88" s="163"/>
      <c r="M88" s="163"/>
      <c r="N88" s="163"/>
      <c r="O88" s="163"/>
      <c r="P88" s="163"/>
      <c r="Q88" s="163"/>
      <c r="R88" s="163"/>
      <c r="S88" s="163"/>
      <c r="X88" s="163"/>
    </row>
    <row r="90" spans="2:24">
      <c r="B90" s="162" t="s">
        <v>81</v>
      </c>
      <c r="C90" s="163"/>
      <c r="D90" s="163"/>
      <c r="E90" s="163"/>
      <c r="L90" s="163"/>
      <c r="M90" s="163"/>
      <c r="N90" s="163"/>
      <c r="O90" s="163"/>
      <c r="P90" s="163"/>
      <c r="Q90" s="163"/>
      <c r="R90" s="163"/>
      <c r="S90" s="163"/>
      <c r="X90" s="163"/>
    </row>
  </sheetData>
  <mergeCells count="12">
    <mergeCell ref="G62:G64"/>
    <mergeCell ref="G65:G67"/>
    <mergeCell ref="H4:H5"/>
    <mergeCell ref="I4:I5"/>
    <mergeCell ref="J4:J5"/>
    <mergeCell ref="P1:X1"/>
    <mergeCell ref="E4:F4"/>
    <mergeCell ref="L4:X4"/>
    <mergeCell ref="B4:B5"/>
    <mergeCell ref="C4:C5"/>
    <mergeCell ref="D4:D5"/>
    <mergeCell ref="G4:G5"/>
  </mergeCells>
  <printOptions horizontalCentered="1" verticalCentered="1"/>
  <pageMargins left="0.196850393700787" right="0.196850393700787" top="0.196850393700787" bottom="0.196850393700787" header="0.511811023622047" footer="0.511811023622047"/>
  <pageSetup paperSize="9" scale="51"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H90"/>
  <sheetViews>
    <sheetView zoomScale="55" zoomScaleNormal="55" zoomScaleSheetLayoutView="85" zoomScalePageLayoutView="80" workbookViewId="0">
      <selection activeCell="P1" sqref="P1:X1"/>
    </sheetView>
  </sheetViews>
  <sheetFormatPr defaultColWidth="9.140625" defaultRowHeight="18.75"/>
  <cols>
    <col min="1" max="1" width="5.42578125" style="3" customWidth="1"/>
    <col min="2" max="2" width="12.28515625" style="3" customWidth="1"/>
    <col min="3" max="3" width="12.7109375" style="3" customWidth="1"/>
    <col min="4" max="4" width="8" style="3" customWidth="1"/>
    <col min="5" max="5" width="12.140625" style="3" customWidth="1"/>
    <col min="6" max="6" width="9.85546875" style="3" customWidth="1"/>
    <col min="7" max="7" width="11" style="3" customWidth="1"/>
    <col min="8" max="8" width="8" style="3" customWidth="1"/>
    <col min="9" max="9" width="14.7109375" style="3" customWidth="1"/>
    <col min="10" max="10" width="8.28515625" style="3" customWidth="1"/>
    <col min="11" max="11" width="1.28515625" style="3" customWidth="1"/>
    <col min="12" max="12" width="11" style="3" customWidth="1"/>
    <col min="13" max="13" width="7.85546875" style="3" customWidth="1"/>
    <col min="14" max="14" width="11" style="3" customWidth="1"/>
    <col min="15" max="15" width="6.5703125" style="3" customWidth="1"/>
    <col min="16" max="16" width="11" style="3" customWidth="1"/>
    <col min="17" max="17" width="6.5703125" style="3" customWidth="1"/>
    <col min="18" max="18" width="9.5703125" style="3" customWidth="1"/>
    <col min="19" max="19" width="8.140625" style="3" customWidth="1"/>
    <col min="20" max="20" width="1.28515625" style="3" customWidth="1"/>
    <col min="21" max="21" width="12.7109375" style="3" customWidth="1"/>
    <col min="22" max="22" width="12.7109375" style="3" hidden="1" customWidth="1"/>
    <col min="23" max="23" width="14.5703125" style="3" customWidth="1"/>
    <col min="24" max="24" width="11.5703125" style="3" customWidth="1"/>
    <col min="25" max="25" width="2" style="3" customWidth="1"/>
    <col min="26" max="26" width="10.5703125" style="3" customWidth="1"/>
    <col min="27" max="55" width="7.28515625" style="3" customWidth="1"/>
    <col min="56" max="56" width="1.5703125" style="3" customWidth="1"/>
    <col min="57" max="57" width="9.42578125" style="3" customWidth="1"/>
    <col min="58" max="58" width="1.28515625" style="3" customWidth="1"/>
    <col min="59" max="59" width="12.7109375" style="3" customWidth="1"/>
    <col min="60" max="60" width="10.28515625" style="3" customWidth="1"/>
    <col min="61" max="16384" width="9.140625" style="3"/>
  </cols>
  <sheetData>
    <row r="1" spans="1:60">
      <c r="B1" s="2" t="s">
        <v>0</v>
      </c>
      <c r="N1" s="3" t="s">
        <v>1</v>
      </c>
      <c r="P1" s="183">
        <v>46144</v>
      </c>
      <c r="Q1" s="184"/>
      <c r="R1" s="184"/>
      <c r="S1" s="184"/>
      <c r="T1" s="184"/>
      <c r="U1" s="184"/>
      <c r="V1" s="184"/>
      <c r="W1" s="184"/>
      <c r="X1" s="185"/>
    </row>
    <row r="2" spans="1:60" ht="15" customHeight="1">
      <c r="B2" s="2" t="s">
        <v>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4" spans="1:60" ht="19.5" customHeight="1">
      <c r="A4" s="4"/>
      <c r="B4" s="192" t="s">
        <v>3</v>
      </c>
      <c r="C4" s="193" t="s">
        <v>4</v>
      </c>
      <c r="D4" s="194" t="s">
        <v>5</v>
      </c>
      <c r="E4" s="186" t="s">
        <v>6</v>
      </c>
      <c r="F4" s="187"/>
      <c r="G4" s="195" t="s">
        <v>7</v>
      </c>
      <c r="H4" s="202" t="s">
        <v>5</v>
      </c>
      <c r="I4" s="204" t="s">
        <v>8</v>
      </c>
      <c r="J4" s="202" t="s">
        <v>5</v>
      </c>
      <c r="L4" s="188" t="s">
        <v>9</v>
      </c>
      <c r="M4" s="189"/>
      <c r="N4" s="189"/>
      <c r="O4" s="189"/>
      <c r="P4" s="189"/>
      <c r="Q4" s="189"/>
      <c r="R4" s="189"/>
      <c r="S4" s="189"/>
      <c r="T4" s="189"/>
      <c r="U4" s="189"/>
      <c r="V4" s="190"/>
      <c r="W4" s="189"/>
      <c r="X4" s="191"/>
    </row>
    <row r="5" spans="1:60" s="1" customFormat="1" ht="56.25">
      <c r="A5" s="4"/>
      <c r="B5" s="192"/>
      <c r="C5" s="193"/>
      <c r="D5" s="194"/>
      <c r="E5" s="31" t="s">
        <v>10</v>
      </c>
      <c r="F5" s="32" t="s">
        <v>11</v>
      </c>
      <c r="G5" s="196"/>
      <c r="H5" s="203"/>
      <c r="I5" s="205"/>
      <c r="J5" s="203"/>
      <c r="L5" s="60" t="s">
        <v>12</v>
      </c>
      <c r="M5" s="85" t="s">
        <v>5</v>
      </c>
      <c r="N5" s="86" t="s">
        <v>13</v>
      </c>
      <c r="O5" s="85" t="s">
        <v>5</v>
      </c>
      <c r="P5" s="86" t="s">
        <v>14</v>
      </c>
      <c r="Q5" s="85" t="s">
        <v>5</v>
      </c>
      <c r="R5" s="93" t="s">
        <v>15</v>
      </c>
      <c r="S5" s="94" t="s">
        <v>5</v>
      </c>
      <c r="T5" s="95"/>
      <c r="U5" s="130" t="s">
        <v>16</v>
      </c>
      <c r="V5" s="131" t="s">
        <v>17</v>
      </c>
      <c r="W5" s="132" t="s">
        <v>18</v>
      </c>
      <c r="X5" s="133" t="s">
        <v>19</v>
      </c>
      <c r="AL5" s="156"/>
      <c r="AM5" s="156"/>
      <c r="AN5" s="156"/>
      <c r="AO5" s="156"/>
      <c r="AP5" s="156"/>
      <c r="AQ5" s="156"/>
      <c r="AR5" s="156"/>
      <c r="AS5" s="156"/>
      <c r="AT5" s="156"/>
      <c r="AU5" s="156"/>
      <c r="AV5" s="156"/>
      <c r="AW5" s="156"/>
      <c r="AX5" s="156"/>
      <c r="AY5" s="156"/>
      <c r="AZ5" s="156"/>
      <c r="BA5" s="156"/>
      <c r="BB5" s="156"/>
      <c r="BC5" s="156"/>
      <c r="BD5" s="156"/>
      <c r="BE5" s="156"/>
      <c r="BF5" s="156"/>
      <c r="BG5" s="156"/>
      <c r="BH5" s="156"/>
    </row>
    <row r="6" spans="1:60" s="1" customFormat="1">
      <c r="B6" s="7"/>
      <c r="C6" s="8"/>
      <c r="D6" s="9"/>
      <c r="E6" s="33"/>
      <c r="F6" s="33"/>
      <c r="G6" s="34"/>
      <c r="H6" s="35"/>
      <c r="I6" s="35"/>
      <c r="J6" s="61"/>
      <c r="K6" s="62"/>
      <c r="L6" s="33"/>
      <c r="M6" s="33"/>
      <c r="N6" s="33"/>
      <c r="O6" s="33"/>
      <c r="P6" s="33"/>
      <c r="Q6" s="96"/>
      <c r="R6" s="97"/>
      <c r="S6" s="98"/>
      <c r="T6" s="62"/>
      <c r="U6" s="8"/>
      <c r="V6" s="33"/>
      <c r="W6" s="134"/>
      <c r="X6" s="61"/>
      <c r="AL6" s="156"/>
      <c r="AM6" s="156"/>
      <c r="AN6" s="156"/>
      <c r="AO6" s="156"/>
      <c r="AP6" s="156"/>
      <c r="AQ6" s="156"/>
      <c r="AR6" s="156"/>
      <c r="AS6" s="156"/>
      <c r="AT6" s="156"/>
      <c r="AU6" s="156"/>
      <c r="AV6" s="156"/>
      <c r="AW6" s="156"/>
      <c r="AX6" s="156"/>
      <c r="AY6" s="156"/>
      <c r="AZ6" s="156"/>
      <c r="BA6" s="156"/>
      <c r="BB6" s="156"/>
      <c r="BC6" s="156"/>
      <c r="BD6" s="156"/>
      <c r="BE6" s="156"/>
      <c r="BF6" s="156"/>
      <c r="BG6" s="156"/>
      <c r="BH6" s="156"/>
    </row>
    <row r="7" spans="1:60" s="1" customFormat="1">
      <c r="B7" s="7"/>
      <c r="C7" s="8"/>
      <c r="D7" s="9"/>
      <c r="E7" s="33"/>
      <c r="F7" s="33"/>
      <c r="G7" s="34"/>
      <c r="H7" s="35"/>
      <c r="I7" s="35"/>
      <c r="J7" s="61"/>
      <c r="K7" s="62"/>
      <c r="L7" s="33"/>
      <c r="M7" s="33"/>
      <c r="N7" s="33"/>
      <c r="O7" s="33"/>
      <c r="P7" s="33"/>
      <c r="Q7" s="96"/>
      <c r="R7" s="97"/>
      <c r="S7" s="98"/>
      <c r="T7" s="62"/>
      <c r="U7" s="8"/>
      <c r="V7" s="135"/>
      <c r="W7" s="134"/>
      <c r="X7" s="61"/>
      <c r="AL7" s="156"/>
      <c r="AM7" s="156"/>
      <c r="AN7" s="156"/>
      <c r="AO7" s="156"/>
      <c r="AP7" s="156"/>
      <c r="AQ7" s="156"/>
      <c r="AR7" s="156"/>
      <c r="AS7" s="156"/>
      <c r="AT7" s="156"/>
      <c r="AU7" s="156"/>
      <c r="AV7" s="156"/>
      <c r="AW7" s="156"/>
      <c r="AX7" s="156"/>
      <c r="AY7" s="156"/>
      <c r="AZ7" s="156"/>
      <c r="BA7" s="156"/>
      <c r="BB7" s="156"/>
      <c r="BC7" s="156"/>
      <c r="BD7" s="156"/>
      <c r="BE7" s="156"/>
      <c r="BF7" s="156"/>
      <c r="BG7" s="156"/>
      <c r="BH7" s="156"/>
    </row>
    <row r="8" spans="1:60">
      <c r="A8" s="1">
        <v>1</v>
      </c>
      <c r="B8" s="7" t="s">
        <v>20</v>
      </c>
      <c r="C8" s="10">
        <v>29</v>
      </c>
      <c r="D8" s="11">
        <v>19</v>
      </c>
      <c r="E8" s="36"/>
      <c r="F8" s="36"/>
      <c r="G8" s="37">
        <v>2</v>
      </c>
      <c r="H8" s="38"/>
      <c r="I8" s="38">
        <f>C8-G8</f>
        <v>27</v>
      </c>
      <c r="J8" s="63">
        <f t="shared" ref="J8:J13" si="0">D8-H8</f>
        <v>19</v>
      </c>
      <c r="K8" s="62"/>
      <c r="L8" s="36"/>
      <c r="M8" s="36"/>
      <c r="N8" s="36"/>
      <c r="O8" s="36"/>
      <c r="P8" s="36">
        <v>2</v>
      </c>
      <c r="Q8" s="99"/>
      <c r="R8" s="100">
        <f t="shared" ref="R8:S12" si="1">L8+N8+P8</f>
        <v>2</v>
      </c>
      <c r="S8" s="101">
        <f t="shared" si="1"/>
        <v>0</v>
      </c>
      <c r="T8" s="62"/>
      <c r="U8" s="8">
        <f>L8*24+N8*24+P8*24</f>
        <v>48</v>
      </c>
      <c r="V8" s="135">
        <f>U8/24</f>
        <v>2</v>
      </c>
      <c r="W8" s="134">
        <f t="shared" ref="W8:W13" si="2">I8*24+J8</f>
        <v>667</v>
      </c>
      <c r="X8" s="61"/>
      <c r="AL8" s="157"/>
      <c r="AM8" s="157"/>
      <c r="AN8" s="157"/>
      <c r="AO8" s="157"/>
      <c r="AP8" s="157"/>
      <c r="AQ8" s="157"/>
      <c r="AR8" s="157"/>
      <c r="AS8" s="157"/>
      <c r="AT8" s="157"/>
      <c r="AU8" s="157"/>
      <c r="AV8" s="157"/>
      <c r="AW8" s="157"/>
      <c r="AX8" s="157"/>
      <c r="AY8" s="157"/>
      <c r="AZ8" s="157"/>
      <c r="BA8" s="157"/>
      <c r="BB8" s="157"/>
      <c r="BC8" s="157"/>
      <c r="BD8" s="157"/>
      <c r="BE8" s="157"/>
      <c r="BF8" s="157"/>
      <c r="BG8" s="157"/>
      <c r="BH8" s="157"/>
    </row>
    <row r="9" spans="1:60">
      <c r="A9" s="1">
        <f t="shared" ref="A9:A59" si="3">A8+1</f>
        <v>2</v>
      </c>
      <c r="B9" s="12" t="s">
        <v>21</v>
      </c>
      <c r="C9" s="13">
        <v>91</v>
      </c>
      <c r="D9" s="14"/>
      <c r="E9" s="39"/>
      <c r="F9" s="39"/>
      <c r="G9" s="40"/>
      <c r="H9" s="41"/>
      <c r="I9" s="40">
        <f t="shared" ref="I9:J59" si="4">C9-G9</f>
        <v>91</v>
      </c>
      <c r="J9" s="64">
        <f t="shared" si="0"/>
        <v>0</v>
      </c>
      <c r="K9" s="65"/>
      <c r="L9" s="51"/>
      <c r="M9" s="51"/>
      <c r="N9" s="51"/>
      <c r="O9" s="51"/>
      <c r="P9" s="51"/>
      <c r="Q9" s="102"/>
      <c r="R9" s="103">
        <f t="shared" si="1"/>
        <v>0</v>
      </c>
      <c r="S9" s="104">
        <f t="shared" si="1"/>
        <v>0</v>
      </c>
      <c r="T9" s="65"/>
      <c r="U9" s="136">
        <f>L9*24+N9*24+P9*24</f>
        <v>0</v>
      </c>
      <c r="V9" s="137">
        <f>U9/24</f>
        <v>0</v>
      </c>
      <c r="W9" s="138">
        <f t="shared" si="2"/>
        <v>2184</v>
      </c>
      <c r="X9" s="139"/>
      <c r="AL9" s="157"/>
      <c r="AM9" s="157"/>
      <c r="AN9" s="157"/>
      <c r="AO9" s="157"/>
      <c r="AP9" s="157"/>
      <c r="AQ9" s="157"/>
      <c r="AR9" s="157"/>
      <c r="AS9" s="157"/>
      <c r="AT9" s="157"/>
      <c r="AU9" s="157"/>
      <c r="AV9" s="157"/>
      <c r="AW9" s="157"/>
      <c r="AX9" s="157"/>
      <c r="AY9" s="157"/>
      <c r="AZ9" s="157"/>
      <c r="BA9" s="157"/>
      <c r="BB9" s="157"/>
      <c r="BC9" s="157"/>
      <c r="BD9" s="157"/>
      <c r="BE9" s="157"/>
      <c r="BF9" s="157"/>
      <c r="BG9" s="157"/>
      <c r="BH9" s="157"/>
    </row>
    <row r="10" spans="1:60">
      <c r="A10" s="1">
        <f t="shared" si="3"/>
        <v>3</v>
      </c>
      <c r="B10" s="7" t="s">
        <v>22</v>
      </c>
      <c r="C10" s="10">
        <v>76</v>
      </c>
      <c r="D10" s="11"/>
      <c r="E10" s="36"/>
      <c r="F10" s="36"/>
      <c r="G10" s="37"/>
      <c r="H10" s="38"/>
      <c r="I10" s="38">
        <f t="shared" si="4"/>
        <v>76</v>
      </c>
      <c r="J10" s="66">
        <f t="shared" si="0"/>
        <v>0</v>
      </c>
      <c r="K10" s="62"/>
      <c r="L10" s="36"/>
      <c r="M10" s="36"/>
      <c r="N10" s="36"/>
      <c r="O10" s="36"/>
      <c r="P10" s="36"/>
      <c r="Q10" s="99"/>
      <c r="R10" s="105">
        <f t="shared" si="1"/>
        <v>0</v>
      </c>
      <c r="S10" s="106">
        <f t="shared" si="1"/>
        <v>0</v>
      </c>
      <c r="T10" s="62"/>
      <c r="U10" s="8">
        <f>L10*24+N10*24+P10*24</f>
        <v>0</v>
      </c>
      <c r="V10" s="140">
        <f>U10/24</f>
        <v>0</v>
      </c>
      <c r="W10" s="134">
        <f t="shared" si="2"/>
        <v>1824</v>
      </c>
      <c r="X10" s="61"/>
      <c r="AL10" s="157"/>
      <c r="AM10" s="157"/>
      <c r="AN10" s="157"/>
      <c r="AO10" s="157"/>
      <c r="AP10" s="157"/>
      <c r="AQ10" s="157"/>
      <c r="AR10" s="157"/>
      <c r="AS10" s="157"/>
      <c r="AT10" s="157"/>
      <c r="AU10" s="157"/>
      <c r="AV10" s="157"/>
      <c r="AW10" s="157"/>
      <c r="AX10" s="157"/>
      <c r="AY10" s="157"/>
      <c r="AZ10" s="157"/>
      <c r="BA10" s="157"/>
      <c r="BB10" s="157"/>
      <c r="BC10" s="157"/>
      <c r="BD10" s="157"/>
      <c r="BE10" s="157"/>
      <c r="BF10" s="157"/>
      <c r="BG10" s="157"/>
      <c r="BH10" s="157"/>
    </row>
    <row r="11" spans="1:60">
      <c r="A11" s="1">
        <f t="shared" si="3"/>
        <v>4</v>
      </c>
      <c r="B11" s="15" t="s">
        <v>23</v>
      </c>
      <c r="C11" s="10">
        <v>85</v>
      </c>
      <c r="D11" s="11"/>
      <c r="E11" s="36"/>
      <c r="F11" s="36"/>
      <c r="G11" s="37">
        <v>5</v>
      </c>
      <c r="H11" s="38"/>
      <c r="I11" s="38">
        <f t="shared" si="4"/>
        <v>80</v>
      </c>
      <c r="J11" s="63">
        <f t="shared" si="0"/>
        <v>0</v>
      </c>
      <c r="K11" s="62"/>
      <c r="L11" s="36"/>
      <c r="M11" s="36"/>
      <c r="N11" s="36"/>
      <c r="O11" s="36"/>
      <c r="P11" s="36">
        <v>5</v>
      </c>
      <c r="Q11" s="99"/>
      <c r="R11" s="100">
        <f t="shared" si="1"/>
        <v>5</v>
      </c>
      <c r="S11" s="101">
        <f t="shared" si="1"/>
        <v>0</v>
      </c>
      <c r="T11" s="62"/>
      <c r="U11" s="8">
        <f>L11*24+N11*24+P11*24</f>
        <v>120</v>
      </c>
      <c r="V11" s="135">
        <f>U11/24</f>
        <v>5</v>
      </c>
      <c r="W11" s="134">
        <f t="shared" si="2"/>
        <v>1920</v>
      </c>
      <c r="X11" s="61"/>
      <c r="AL11" s="157"/>
      <c r="AM11" s="157"/>
      <c r="AN11" s="157"/>
      <c r="AO11" s="157"/>
      <c r="AP11" s="157"/>
      <c r="AQ11" s="157"/>
      <c r="AR11" s="157"/>
      <c r="AS11" s="157"/>
      <c r="AT11" s="157"/>
      <c r="AU11" s="157"/>
      <c r="AV11" s="157"/>
      <c r="AW11" s="157"/>
      <c r="AX11" s="157"/>
      <c r="AY11" s="157"/>
      <c r="AZ11" s="157"/>
      <c r="BA11" s="157"/>
      <c r="BB11" s="157"/>
      <c r="BC11" s="157"/>
      <c r="BD11" s="157"/>
      <c r="BE11" s="157"/>
      <c r="BF11" s="157"/>
      <c r="BG11" s="157"/>
      <c r="BH11" s="157"/>
    </row>
    <row r="12" spans="1:60">
      <c r="A12" s="1">
        <f t="shared" si="3"/>
        <v>5</v>
      </c>
      <c r="B12" s="15" t="s">
        <v>24</v>
      </c>
      <c r="C12" s="10">
        <v>1</v>
      </c>
      <c r="D12" s="11"/>
      <c r="E12" s="36"/>
      <c r="F12" s="36"/>
      <c r="G12" s="37"/>
      <c r="H12" s="38"/>
      <c r="I12" s="38">
        <f t="shared" si="4"/>
        <v>1</v>
      </c>
      <c r="J12" s="63">
        <f t="shared" si="0"/>
        <v>0</v>
      </c>
      <c r="K12" s="62"/>
      <c r="L12" s="36"/>
      <c r="M12" s="36"/>
      <c r="N12" s="36"/>
      <c r="O12" s="36"/>
      <c r="P12" s="36"/>
      <c r="Q12" s="99"/>
      <c r="R12" s="100">
        <f t="shared" si="1"/>
        <v>0</v>
      </c>
      <c r="S12" s="101">
        <f t="shared" si="1"/>
        <v>0</v>
      </c>
      <c r="T12" s="62"/>
      <c r="U12" s="8">
        <f t="shared" ref="U12:U37" si="5">L12*24+N12*24+P12*24</f>
        <v>0</v>
      </c>
      <c r="V12" s="135">
        <f t="shared" ref="V12:V41" si="6">U12/24</f>
        <v>0</v>
      </c>
      <c r="W12" s="134">
        <f t="shared" si="2"/>
        <v>24</v>
      </c>
      <c r="X12" s="61"/>
      <c r="AL12" s="157"/>
      <c r="AM12" s="157"/>
      <c r="AN12" s="157"/>
      <c r="AO12" s="157"/>
      <c r="AP12" s="157"/>
      <c r="AQ12" s="157"/>
      <c r="AR12" s="157"/>
      <c r="AS12" s="157"/>
      <c r="AT12" s="157"/>
      <c r="AU12" s="157"/>
      <c r="AV12" s="157"/>
      <c r="AW12" s="157"/>
      <c r="AX12" s="157"/>
      <c r="AY12" s="157"/>
      <c r="AZ12" s="157"/>
      <c r="BA12" s="157"/>
      <c r="BB12" s="157"/>
      <c r="BC12" s="157"/>
      <c r="BD12" s="157"/>
      <c r="BE12" s="157"/>
      <c r="BF12" s="157"/>
      <c r="BG12" s="157"/>
      <c r="BH12" s="157"/>
    </row>
    <row r="13" spans="1:60" s="2" customFormat="1">
      <c r="A13" s="1">
        <f t="shared" si="3"/>
        <v>6</v>
      </c>
      <c r="B13" s="12" t="s">
        <v>25</v>
      </c>
      <c r="C13" s="13">
        <v>3622</v>
      </c>
      <c r="D13" s="14">
        <v>12</v>
      </c>
      <c r="E13" s="39"/>
      <c r="F13" s="39"/>
      <c r="G13" s="40">
        <v>22</v>
      </c>
      <c r="H13" s="41"/>
      <c r="I13" s="44">
        <f t="shared" si="4"/>
        <v>3600</v>
      </c>
      <c r="J13" s="64">
        <f t="shared" si="0"/>
        <v>12</v>
      </c>
      <c r="K13" s="67"/>
      <c r="L13" s="51"/>
      <c r="M13" s="51"/>
      <c r="N13" s="51"/>
      <c r="O13" s="51"/>
      <c r="P13" s="51">
        <v>22</v>
      </c>
      <c r="Q13" s="102"/>
      <c r="R13" s="107">
        <f>L13+N13+P13</f>
        <v>22</v>
      </c>
      <c r="S13" s="104">
        <f>M13+O13+Q13</f>
        <v>0</v>
      </c>
      <c r="T13" s="67"/>
      <c r="U13" s="136">
        <f t="shared" si="5"/>
        <v>528</v>
      </c>
      <c r="V13" s="141">
        <f t="shared" si="6"/>
        <v>22</v>
      </c>
      <c r="W13" s="138">
        <f t="shared" si="2"/>
        <v>86412</v>
      </c>
      <c r="X13" s="139"/>
      <c r="Y13" s="3"/>
      <c r="AD13" s="3"/>
      <c r="AG13" s="3"/>
      <c r="AH13" s="3"/>
      <c r="AI13" s="3"/>
      <c r="AJ13" s="3"/>
      <c r="AK13" s="3"/>
      <c r="AL13" s="157"/>
      <c r="AM13" s="157"/>
      <c r="AN13" s="157"/>
      <c r="AO13" s="157"/>
      <c r="AP13" s="157"/>
      <c r="AQ13" s="157"/>
      <c r="AR13" s="157"/>
      <c r="AS13" s="157"/>
      <c r="AT13" s="157"/>
      <c r="AU13" s="157"/>
      <c r="AV13" s="157"/>
      <c r="AW13" s="157"/>
      <c r="AX13" s="157"/>
      <c r="AY13" s="157"/>
      <c r="AZ13" s="157"/>
      <c r="BA13" s="157"/>
      <c r="BB13" s="157"/>
      <c r="BC13" s="157"/>
      <c r="BD13" s="157"/>
      <c r="BE13" s="157"/>
      <c r="BF13" s="157"/>
      <c r="BG13" s="157"/>
      <c r="BH13" s="157"/>
    </row>
    <row r="14" spans="1:60">
      <c r="A14" s="1">
        <f t="shared" si="3"/>
        <v>7</v>
      </c>
      <c r="B14" s="7" t="s">
        <v>26</v>
      </c>
      <c r="C14" s="10">
        <v>3</v>
      </c>
      <c r="D14" s="11">
        <v>16</v>
      </c>
      <c r="E14" s="36"/>
      <c r="F14" s="36"/>
      <c r="G14" s="37"/>
      <c r="H14" s="38"/>
      <c r="I14" s="68">
        <f t="shared" si="4"/>
        <v>3</v>
      </c>
      <c r="J14" s="66">
        <f t="shared" si="4"/>
        <v>16</v>
      </c>
      <c r="K14" s="62"/>
      <c r="L14" s="36"/>
      <c r="M14" s="36"/>
      <c r="N14" s="36"/>
      <c r="O14" s="36"/>
      <c r="P14" s="36"/>
      <c r="Q14" s="99"/>
      <c r="R14" s="108">
        <f t="shared" ref="R14:S59" si="7">L14+N14+P14</f>
        <v>0</v>
      </c>
      <c r="S14" s="106">
        <f t="shared" si="7"/>
        <v>0</v>
      </c>
      <c r="T14" s="62"/>
      <c r="U14" s="8">
        <f t="shared" si="5"/>
        <v>0</v>
      </c>
      <c r="V14" s="33">
        <f t="shared" si="6"/>
        <v>0</v>
      </c>
      <c r="W14" s="134">
        <f t="shared" ref="W14:W37" si="8">I14*24+J14</f>
        <v>88</v>
      </c>
      <c r="X14" s="61"/>
      <c r="AL14" s="157"/>
      <c r="AM14" s="157"/>
      <c r="AN14" s="157"/>
      <c r="AO14" s="157"/>
      <c r="AP14" s="157"/>
      <c r="AQ14" s="157"/>
      <c r="AR14" s="157"/>
      <c r="AS14" s="157"/>
      <c r="AT14" s="157"/>
      <c r="AU14" s="157"/>
      <c r="AV14" s="157"/>
      <c r="AW14" s="157"/>
      <c r="AX14" s="157"/>
      <c r="AY14" s="157"/>
      <c r="AZ14" s="157"/>
      <c r="BA14" s="157"/>
      <c r="BB14" s="157"/>
      <c r="BC14" s="157"/>
      <c r="BD14" s="157"/>
      <c r="BE14" s="157"/>
      <c r="BF14" s="157"/>
      <c r="BG14" s="157"/>
      <c r="BH14" s="157"/>
    </row>
    <row r="15" spans="1:60">
      <c r="A15" s="1">
        <f t="shared" si="3"/>
        <v>8</v>
      </c>
      <c r="B15" s="15" t="s">
        <v>27</v>
      </c>
      <c r="C15" s="10">
        <v>4</v>
      </c>
      <c r="D15" s="11"/>
      <c r="E15" s="36"/>
      <c r="F15" s="36"/>
      <c r="G15" s="37"/>
      <c r="H15" s="38"/>
      <c r="I15" s="38">
        <f t="shared" si="4"/>
        <v>4</v>
      </c>
      <c r="J15" s="63">
        <f t="shared" si="4"/>
        <v>0</v>
      </c>
      <c r="K15" s="62"/>
      <c r="L15" s="36"/>
      <c r="M15" s="36"/>
      <c r="N15" s="36"/>
      <c r="O15" s="36"/>
      <c r="P15" s="36"/>
      <c r="Q15" s="99"/>
      <c r="R15" s="100">
        <f t="shared" si="7"/>
        <v>0</v>
      </c>
      <c r="S15" s="101">
        <f t="shared" si="7"/>
        <v>0</v>
      </c>
      <c r="T15" s="62"/>
      <c r="U15" s="8">
        <f t="shared" si="5"/>
        <v>0</v>
      </c>
      <c r="V15" s="135">
        <f t="shared" si="6"/>
        <v>0</v>
      </c>
      <c r="W15" s="134">
        <f t="shared" si="8"/>
        <v>96</v>
      </c>
      <c r="X15" s="61"/>
      <c r="AL15" s="157"/>
      <c r="AM15" s="157"/>
      <c r="AN15" s="157"/>
      <c r="AO15" s="157"/>
      <c r="AP15" s="157"/>
      <c r="AQ15" s="157"/>
      <c r="AR15" s="157"/>
      <c r="AS15" s="157"/>
      <c r="AT15" s="157"/>
      <c r="AU15" s="157"/>
      <c r="AV15" s="157"/>
      <c r="AW15" s="157"/>
      <c r="AX15" s="157"/>
      <c r="AY15" s="157"/>
      <c r="AZ15" s="157"/>
      <c r="BA15" s="157"/>
      <c r="BB15" s="157"/>
      <c r="BC15" s="157"/>
      <c r="BD15" s="157"/>
      <c r="BE15" s="157"/>
      <c r="BF15" s="157"/>
      <c r="BG15" s="157"/>
      <c r="BH15" s="157"/>
    </row>
    <row r="16" spans="1:60">
      <c r="A16" s="1">
        <f t="shared" si="3"/>
        <v>9</v>
      </c>
      <c r="B16" s="15" t="s">
        <v>28</v>
      </c>
      <c r="C16" s="10">
        <v>1</v>
      </c>
      <c r="D16" s="11"/>
      <c r="E16" s="36"/>
      <c r="F16" s="36"/>
      <c r="G16" s="37"/>
      <c r="H16" s="38"/>
      <c r="I16" s="38">
        <f t="shared" si="4"/>
        <v>1</v>
      </c>
      <c r="J16" s="63">
        <f t="shared" si="4"/>
        <v>0</v>
      </c>
      <c r="K16" s="62"/>
      <c r="L16" s="36"/>
      <c r="M16" s="36"/>
      <c r="N16" s="36"/>
      <c r="O16" s="36"/>
      <c r="P16" s="36"/>
      <c r="Q16" s="99"/>
      <c r="R16" s="100">
        <f t="shared" si="7"/>
        <v>0</v>
      </c>
      <c r="S16" s="101">
        <f t="shared" si="7"/>
        <v>0</v>
      </c>
      <c r="T16" s="62"/>
      <c r="U16" s="8">
        <f t="shared" si="5"/>
        <v>0</v>
      </c>
      <c r="V16" s="135">
        <f t="shared" si="6"/>
        <v>0</v>
      </c>
      <c r="W16" s="134">
        <f t="shared" si="8"/>
        <v>24</v>
      </c>
      <c r="X16" s="61"/>
      <c r="AL16" s="157"/>
      <c r="AM16" s="157"/>
      <c r="AN16" s="157"/>
      <c r="AO16" s="157"/>
      <c r="AP16" s="157"/>
      <c r="AQ16" s="157"/>
      <c r="AR16" s="157"/>
      <c r="AS16" s="157"/>
      <c r="AT16" s="157"/>
      <c r="AU16" s="157"/>
      <c r="AV16" s="157"/>
      <c r="AW16" s="157"/>
      <c r="AX16" s="157"/>
      <c r="AY16" s="157"/>
      <c r="AZ16" s="157"/>
      <c r="BA16" s="157"/>
      <c r="BB16" s="157"/>
      <c r="BC16" s="157"/>
      <c r="BD16" s="157"/>
      <c r="BE16" s="157"/>
      <c r="BF16" s="157"/>
      <c r="BG16" s="157"/>
      <c r="BH16" s="157"/>
    </row>
    <row r="17" spans="1:60">
      <c r="A17" s="1">
        <f t="shared" si="3"/>
        <v>10</v>
      </c>
      <c r="B17" s="15" t="s">
        <v>29</v>
      </c>
      <c r="C17" s="10"/>
      <c r="D17" s="11"/>
      <c r="E17" s="36"/>
      <c r="F17" s="36"/>
      <c r="G17" s="37"/>
      <c r="H17" s="38"/>
      <c r="I17" s="38">
        <f t="shared" si="4"/>
        <v>0</v>
      </c>
      <c r="J17" s="63">
        <f t="shared" si="4"/>
        <v>0</v>
      </c>
      <c r="K17" s="62"/>
      <c r="L17" s="36"/>
      <c r="M17" s="36"/>
      <c r="N17" s="36"/>
      <c r="O17" s="36"/>
      <c r="P17" s="36"/>
      <c r="Q17" s="99"/>
      <c r="R17" s="100">
        <f t="shared" si="7"/>
        <v>0</v>
      </c>
      <c r="S17" s="101">
        <f t="shared" si="7"/>
        <v>0</v>
      </c>
      <c r="T17" s="62"/>
      <c r="U17" s="8">
        <f t="shared" si="5"/>
        <v>0</v>
      </c>
      <c r="V17" s="135">
        <f t="shared" si="6"/>
        <v>0</v>
      </c>
      <c r="W17" s="134">
        <f t="shared" si="8"/>
        <v>0</v>
      </c>
      <c r="X17" s="61"/>
      <c r="AL17" s="157"/>
      <c r="AM17" s="157"/>
      <c r="AN17" s="157"/>
      <c r="AO17" s="157"/>
      <c r="AP17" s="157"/>
      <c r="AQ17" s="157"/>
      <c r="AR17" s="157"/>
      <c r="AS17" s="157"/>
      <c r="AT17" s="157"/>
      <c r="AU17" s="157"/>
      <c r="AV17" s="157"/>
      <c r="AW17" s="157"/>
      <c r="AX17" s="157"/>
      <c r="AY17" s="157"/>
      <c r="AZ17" s="157"/>
      <c r="BA17" s="157"/>
      <c r="BB17" s="157"/>
      <c r="BC17" s="157"/>
      <c r="BD17" s="157"/>
      <c r="BE17" s="157"/>
      <c r="BF17" s="157"/>
      <c r="BG17" s="157"/>
      <c r="BH17" s="157"/>
    </row>
    <row r="18" spans="1:60">
      <c r="A18" s="1">
        <f t="shared" si="3"/>
        <v>11</v>
      </c>
      <c r="B18" s="15" t="s">
        <v>30</v>
      </c>
      <c r="C18" s="10">
        <v>3</v>
      </c>
      <c r="D18" s="11"/>
      <c r="E18" s="36"/>
      <c r="F18" s="36"/>
      <c r="G18" s="37"/>
      <c r="H18" s="38"/>
      <c r="I18" s="38">
        <f t="shared" si="4"/>
        <v>3</v>
      </c>
      <c r="J18" s="63">
        <f t="shared" si="4"/>
        <v>0</v>
      </c>
      <c r="K18" s="62"/>
      <c r="L18" s="36"/>
      <c r="M18" s="36"/>
      <c r="N18" s="36"/>
      <c r="O18" s="36"/>
      <c r="P18" s="36"/>
      <c r="Q18" s="99"/>
      <c r="R18" s="100">
        <f t="shared" si="7"/>
        <v>0</v>
      </c>
      <c r="S18" s="101">
        <f t="shared" si="7"/>
        <v>0</v>
      </c>
      <c r="T18" s="62"/>
      <c r="U18" s="8">
        <f t="shared" si="5"/>
        <v>0</v>
      </c>
      <c r="V18" s="135">
        <f t="shared" si="6"/>
        <v>0</v>
      </c>
      <c r="W18" s="134">
        <f t="shared" si="8"/>
        <v>72</v>
      </c>
      <c r="X18" s="61"/>
      <c r="AL18" s="157"/>
      <c r="AM18" s="157"/>
      <c r="AN18" s="157"/>
      <c r="AO18" s="157"/>
      <c r="AP18" s="157"/>
      <c r="AQ18" s="157"/>
      <c r="AR18" s="157"/>
      <c r="AS18" s="157"/>
      <c r="AT18" s="157"/>
      <c r="AU18" s="157"/>
      <c r="AV18" s="157"/>
      <c r="AW18" s="157"/>
      <c r="AX18" s="157"/>
      <c r="AY18" s="157"/>
      <c r="AZ18" s="157"/>
      <c r="BA18" s="157"/>
      <c r="BB18" s="157"/>
      <c r="BC18" s="157"/>
      <c r="BD18" s="157"/>
      <c r="BE18" s="157"/>
      <c r="BF18" s="157"/>
      <c r="BG18" s="157"/>
      <c r="BH18" s="157"/>
    </row>
    <row r="19" spans="1:60" ht="18.75" hidden="1" customHeight="1">
      <c r="A19" s="1">
        <f t="shared" si="3"/>
        <v>12</v>
      </c>
      <c r="B19" s="15" t="s">
        <v>31</v>
      </c>
      <c r="C19" s="10"/>
      <c r="D19" s="11"/>
      <c r="E19" s="36"/>
      <c r="F19" s="36"/>
      <c r="G19" s="37"/>
      <c r="H19" s="38"/>
      <c r="I19" s="38">
        <f t="shared" si="4"/>
        <v>0</v>
      </c>
      <c r="J19" s="63">
        <f t="shared" si="4"/>
        <v>0</v>
      </c>
      <c r="K19" s="62"/>
      <c r="L19" s="36"/>
      <c r="M19" s="36"/>
      <c r="N19" s="36"/>
      <c r="O19" s="36"/>
      <c r="P19" s="36"/>
      <c r="Q19" s="99"/>
      <c r="R19" s="100">
        <f t="shared" si="7"/>
        <v>0</v>
      </c>
      <c r="S19" s="101">
        <f t="shared" si="7"/>
        <v>0</v>
      </c>
      <c r="T19" s="62"/>
      <c r="U19" s="8">
        <f t="shared" si="5"/>
        <v>0</v>
      </c>
      <c r="V19" s="135">
        <f t="shared" si="6"/>
        <v>0</v>
      </c>
      <c r="W19" s="134">
        <f t="shared" si="8"/>
        <v>0</v>
      </c>
      <c r="X19" s="61"/>
      <c r="AL19" s="157"/>
      <c r="AM19" s="157"/>
      <c r="AN19" s="157"/>
      <c r="AO19" s="157"/>
      <c r="AP19" s="157"/>
      <c r="AQ19" s="157"/>
      <c r="AR19" s="157"/>
      <c r="AS19" s="157"/>
      <c r="AT19" s="157"/>
      <c r="AU19" s="157"/>
      <c r="AV19" s="157"/>
      <c r="AW19" s="157"/>
      <c r="AX19" s="157"/>
      <c r="AY19" s="157"/>
      <c r="AZ19" s="157"/>
      <c r="BA19" s="157"/>
      <c r="BB19" s="157"/>
      <c r="BC19" s="157"/>
      <c r="BD19" s="157"/>
      <c r="BE19" s="157"/>
      <c r="BF19" s="157"/>
      <c r="BG19" s="157"/>
      <c r="BH19" s="157"/>
    </row>
    <row r="20" spans="1:60">
      <c r="A20" s="1">
        <f t="shared" si="3"/>
        <v>13</v>
      </c>
      <c r="B20" s="15" t="s">
        <v>32</v>
      </c>
      <c r="C20" s="10">
        <v>4</v>
      </c>
      <c r="D20" s="11">
        <v>20</v>
      </c>
      <c r="E20" s="36"/>
      <c r="F20" s="36"/>
      <c r="G20" s="37"/>
      <c r="H20" s="38"/>
      <c r="I20" s="38">
        <f t="shared" si="4"/>
        <v>4</v>
      </c>
      <c r="J20" s="63">
        <f t="shared" si="4"/>
        <v>20</v>
      </c>
      <c r="K20" s="62"/>
      <c r="L20" s="36"/>
      <c r="M20" s="36"/>
      <c r="N20" s="36"/>
      <c r="O20" s="36"/>
      <c r="P20" s="36"/>
      <c r="Q20" s="99"/>
      <c r="R20" s="100">
        <f t="shared" si="7"/>
        <v>0</v>
      </c>
      <c r="S20" s="101">
        <f t="shared" si="7"/>
        <v>0</v>
      </c>
      <c r="T20" s="62"/>
      <c r="U20" s="8">
        <f t="shared" si="5"/>
        <v>0</v>
      </c>
      <c r="V20" s="135">
        <f t="shared" si="6"/>
        <v>0</v>
      </c>
      <c r="W20" s="134">
        <f t="shared" si="8"/>
        <v>116</v>
      </c>
      <c r="X20" s="61"/>
      <c r="AL20" s="157"/>
      <c r="AM20" s="157"/>
      <c r="AN20" s="157"/>
      <c r="AO20" s="157"/>
      <c r="AP20" s="157"/>
      <c r="AQ20" s="157"/>
      <c r="AR20" s="157"/>
      <c r="AS20" s="157"/>
      <c r="AT20" s="157"/>
      <c r="AU20" s="157"/>
      <c r="AV20" s="157"/>
      <c r="AW20" s="157"/>
      <c r="AX20" s="157"/>
      <c r="AY20" s="157"/>
      <c r="AZ20" s="157"/>
      <c r="BA20" s="157"/>
      <c r="BB20" s="157"/>
      <c r="BC20" s="157"/>
      <c r="BD20" s="157"/>
      <c r="BE20" s="157"/>
      <c r="BF20" s="157"/>
      <c r="BG20" s="157"/>
      <c r="BH20" s="157"/>
    </row>
    <row r="21" spans="1:60">
      <c r="A21" s="1">
        <f t="shared" si="3"/>
        <v>14</v>
      </c>
      <c r="B21" s="15" t="s">
        <v>33</v>
      </c>
      <c r="C21" s="10">
        <v>7</v>
      </c>
      <c r="D21" s="11">
        <v>16</v>
      </c>
      <c r="E21" s="36"/>
      <c r="F21" s="36"/>
      <c r="G21" s="37"/>
      <c r="H21" s="38"/>
      <c r="I21" s="38">
        <f t="shared" si="4"/>
        <v>7</v>
      </c>
      <c r="J21" s="63">
        <f t="shared" si="4"/>
        <v>16</v>
      </c>
      <c r="K21" s="62"/>
      <c r="L21" s="36"/>
      <c r="M21" s="36"/>
      <c r="N21" s="36"/>
      <c r="O21" s="36"/>
      <c r="P21" s="36"/>
      <c r="Q21" s="99"/>
      <c r="R21" s="100">
        <f t="shared" si="7"/>
        <v>0</v>
      </c>
      <c r="S21" s="101">
        <f t="shared" si="7"/>
        <v>0</v>
      </c>
      <c r="T21" s="62"/>
      <c r="U21" s="8">
        <f t="shared" si="5"/>
        <v>0</v>
      </c>
      <c r="V21" s="135">
        <f t="shared" si="6"/>
        <v>0</v>
      </c>
      <c r="W21" s="134">
        <f t="shared" si="8"/>
        <v>184</v>
      </c>
      <c r="X21" s="61"/>
      <c r="AL21" s="157"/>
      <c r="AM21" s="157"/>
      <c r="AN21" s="157"/>
      <c r="AO21" s="157"/>
      <c r="AP21" s="157"/>
      <c r="AQ21" s="157"/>
      <c r="AR21" s="157"/>
      <c r="AS21" s="157"/>
      <c r="AT21" s="157"/>
      <c r="AU21" s="157"/>
      <c r="AV21" s="157"/>
      <c r="AW21" s="157"/>
      <c r="AX21" s="157"/>
      <c r="AY21" s="157"/>
      <c r="AZ21" s="157"/>
      <c r="BA21" s="157"/>
      <c r="BB21" s="157"/>
      <c r="BC21" s="157"/>
      <c r="BD21" s="157"/>
      <c r="BE21" s="157"/>
      <c r="BF21" s="157"/>
      <c r="BG21" s="157"/>
      <c r="BH21" s="157"/>
    </row>
    <row r="22" spans="1:60">
      <c r="A22" s="1">
        <f t="shared" si="3"/>
        <v>15</v>
      </c>
      <c r="B22" s="15" t="s">
        <v>34</v>
      </c>
      <c r="C22" s="10">
        <v>4</v>
      </c>
      <c r="D22" s="11"/>
      <c r="E22" s="36"/>
      <c r="F22" s="36"/>
      <c r="G22" s="37"/>
      <c r="H22" s="38"/>
      <c r="I22" s="38">
        <f t="shared" si="4"/>
        <v>4</v>
      </c>
      <c r="J22" s="63">
        <f t="shared" si="4"/>
        <v>0</v>
      </c>
      <c r="K22" s="62"/>
      <c r="L22" s="36"/>
      <c r="M22" s="36"/>
      <c r="N22" s="36"/>
      <c r="O22" s="36"/>
      <c r="P22" s="36"/>
      <c r="Q22" s="99"/>
      <c r="R22" s="100">
        <f t="shared" si="7"/>
        <v>0</v>
      </c>
      <c r="S22" s="101">
        <f t="shared" si="7"/>
        <v>0</v>
      </c>
      <c r="T22" s="62"/>
      <c r="U22" s="8">
        <f t="shared" si="5"/>
        <v>0</v>
      </c>
      <c r="V22" s="135">
        <f t="shared" si="6"/>
        <v>0</v>
      </c>
      <c r="W22" s="134">
        <f t="shared" si="8"/>
        <v>96</v>
      </c>
      <c r="X22" s="61"/>
      <c r="AL22" s="157"/>
      <c r="AM22" s="157"/>
      <c r="AN22" s="157"/>
      <c r="AO22" s="157"/>
      <c r="AP22" s="157"/>
      <c r="AQ22" s="157"/>
      <c r="AR22" s="157"/>
      <c r="AS22" s="157"/>
      <c r="AT22" s="157"/>
      <c r="AU22" s="157"/>
      <c r="AV22" s="157"/>
      <c r="AW22" s="157"/>
      <c r="AX22" s="157"/>
      <c r="AY22" s="157"/>
      <c r="AZ22" s="157"/>
      <c r="BA22" s="157"/>
      <c r="BB22" s="157"/>
      <c r="BC22" s="157"/>
      <c r="BD22" s="157"/>
      <c r="BE22" s="157"/>
      <c r="BF22" s="157"/>
      <c r="BG22" s="157"/>
      <c r="BH22" s="157"/>
    </row>
    <row r="23" spans="1:60" s="2" customFormat="1">
      <c r="A23" s="1">
        <f t="shared" si="3"/>
        <v>16</v>
      </c>
      <c r="B23" s="15" t="s">
        <v>35</v>
      </c>
      <c r="C23" s="10">
        <v>1</v>
      </c>
      <c r="D23" s="11">
        <v>20</v>
      </c>
      <c r="E23" s="36"/>
      <c r="F23" s="36"/>
      <c r="G23" s="37"/>
      <c r="H23" s="38"/>
      <c r="I23" s="38">
        <f t="shared" si="4"/>
        <v>1</v>
      </c>
      <c r="J23" s="63">
        <f t="shared" si="4"/>
        <v>20</v>
      </c>
      <c r="K23" s="69"/>
      <c r="L23" s="36"/>
      <c r="M23" s="36"/>
      <c r="N23" s="36"/>
      <c r="O23" s="36"/>
      <c r="P23" s="36"/>
      <c r="Q23" s="99"/>
      <c r="R23" s="100">
        <f t="shared" si="7"/>
        <v>0</v>
      </c>
      <c r="S23" s="101">
        <f t="shared" si="7"/>
        <v>0</v>
      </c>
      <c r="T23" s="69"/>
      <c r="U23" s="8">
        <f t="shared" si="5"/>
        <v>0</v>
      </c>
      <c r="V23" s="135">
        <f t="shared" si="6"/>
        <v>0</v>
      </c>
      <c r="W23" s="134">
        <f t="shared" si="8"/>
        <v>44</v>
      </c>
      <c r="X23" s="61"/>
      <c r="Y23" s="3"/>
      <c r="AD23" s="3"/>
      <c r="AG23" s="3"/>
      <c r="AH23" s="3"/>
      <c r="AI23" s="3"/>
      <c r="AJ23" s="3"/>
      <c r="AK23" s="3"/>
      <c r="AL23" s="157"/>
      <c r="AM23" s="157"/>
      <c r="AN23" s="157"/>
      <c r="AO23" s="157"/>
      <c r="AP23" s="157"/>
      <c r="AQ23" s="157"/>
      <c r="AR23" s="157"/>
      <c r="AS23" s="157"/>
      <c r="AT23" s="157"/>
      <c r="AU23" s="157"/>
      <c r="AV23" s="157"/>
      <c r="AW23" s="157"/>
      <c r="AX23" s="157"/>
      <c r="AY23" s="157"/>
      <c r="AZ23" s="157"/>
      <c r="BA23" s="157"/>
      <c r="BB23" s="157"/>
      <c r="BC23" s="157"/>
      <c r="BD23" s="157"/>
      <c r="BE23" s="157"/>
      <c r="BF23" s="157"/>
      <c r="BG23" s="157"/>
      <c r="BH23" s="157"/>
    </row>
    <row r="24" spans="1:60" s="2" customFormat="1">
      <c r="A24" s="1">
        <f t="shared" si="3"/>
        <v>17</v>
      </c>
      <c r="B24" s="15" t="s">
        <v>36</v>
      </c>
      <c r="C24" s="10">
        <v>37</v>
      </c>
      <c r="D24" s="11">
        <v>19</v>
      </c>
      <c r="E24" s="36"/>
      <c r="F24" s="36"/>
      <c r="G24" s="37"/>
      <c r="H24" s="38"/>
      <c r="I24" s="38">
        <f t="shared" si="4"/>
        <v>37</v>
      </c>
      <c r="J24" s="63">
        <f t="shared" si="4"/>
        <v>19</v>
      </c>
      <c r="K24" s="69"/>
      <c r="L24" s="36"/>
      <c r="M24" s="36"/>
      <c r="N24" s="36"/>
      <c r="O24" s="36"/>
      <c r="P24" s="36"/>
      <c r="Q24" s="99"/>
      <c r="R24" s="100">
        <f t="shared" si="7"/>
        <v>0</v>
      </c>
      <c r="S24" s="101">
        <f t="shared" si="7"/>
        <v>0</v>
      </c>
      <c r="T24" s="69"/>
      <c r="U24" s="8">
        <f t="shared" si="5"/>
        <v>0</v>
      </c>
      <c r="V24" s="135">
        <f t="shared" si="6"/>
        <v>0</v>
      </c>
      <c r="W24" s="134">
        <f t="shared" si="8"/>
        <v>907</v>
      </c>
      <c r="X24" s="61"/>
      <c r="Y24" s="3"/>
      <c r="AD24" s="3"/>
      <c r="AG24" s="3"/>
      <c r="AH24" s="3"/>
      <c r="AI24" s="3"/>
      <c r="AJ24" s="3"/>
      <c r="AK24" s="3"/>
      <c r="AL24" s="157"/>
      <c r="AM24" s="157"/>
      <c r="AN24" s="157"/>
      <c r="AO24" s="157"/>
      <c r="AP24" s="157"/>
      <c r="AQ24" s="157"/>
      <c r="AR24" s="157"/>
      <c r="AS24" s="157"/>
      <c r="AT24" s="157"/>
      <c r="AU24" s="157"/>
      <c r="AV24" s="157"/>
      <c r="AW24" s="157"/>
      <c r="AX24" s="157"/>
      <c r="AY24" s="157"/>
      <c r="AZ24" s="157"/>
      <c r="BA24" s="157"/>
      <c r="BB24" s="157"/>
      <c r="BC24" s="157"/>
      <c r="BD24" s="157"/>
      <c r="BE24" s="157"/>
      <c r="BF24" s="157"/>
      <c r="BG24" s="157"/>
      <c r="BH24" s="157"/>
    </row>
    <row r="25" spans="1:60">
      <c r="A25" s="1">
        <f t="shared" si="3"/>
        <v>18</v>
      </c>
      <c r="B25" s="15" t="s">
        <v>37</v>
      </c>
      <c r="C25" s="10">
        <v>10</v>
      </c>
      <c r="D25" s="11"/>
      <c r="E25" s="36"/>
      <c r="F25" s="36"/>
      <c r="G25" s="37"/>
      <c r="H25" s="38"/>
      <c r="I25" s="38">
        <f t="shared" si="4"/>
        <v>10</v>
      </c>
      <c r="J25" s="63">
        <f t="shared" si="4"/>
        <v>0</v>
      </c>
      <c r="K25" s="62"/>
      <c r="L25" s="36"/>
      <c r="M25" s="36"/>
      <c r="N25" s="36"/>
      <c r="O25" s="36"/>
      <c r="P25" s="36"/>
      <c r="Q25" s="99"/>
      <c r="R25" s="100">
        <f t="shared" si="7"/>
        <v>0</v>
      </c>
      <c r="S25" s="101">
        <f t="shared" si="7"/>
        <v>0</v>
      </c>
      <c r="T25" s="62"/>
      <c r="U25" s="8">
        <f t="shared" si="5"/>
        <v>0</v>
      </c>
      <c r="V25" s="135">
        <f t="shared" si="6"/>
        <v>0</v>
      </c>
      <c r="W25" s="134">
        <f t="shared" si="8"/>
        <v>240</v>
      </c>
      <c r="X25" s="61"/>
      <c r="AL25" s="157"/>
      <c r="AM25" s="157"/>
      <c r="AN25" s="157"/>
      <c r="AO25" s="157"/>
      <c r="AP25" s="157"/>
      <c r="AQ25" s="157"/>
      <c r="AR25" s="157"/>
      <c r="AS25" s="157"/>
      <c r="AT25" s="157"/>
      <c r="AU25" s="157"/>
      <c r="AV25" s="157"/>
      <c r="AW25" s="157"/>
      <c r="AX25" s="157"/>
      <c r="AY25" s="157"/>
      <c r="AZ25" s="157"/>
      <c r="BA25" s="157"/>
      <c r="BB25" s="157"/>
      <c r="BC25" s="157"/>
      <c r="BD25" s="157"/>
      <c r="BE25" s="157"/>
      <c r="BF25" s="157"/>
      <c r="BG25" s="157"/>
      <c r="BH25" s="157"/>
    </row>
    <row r="26" spans="1:60">
      <c r="A26" s="1">
        <f t="shared" si="3"/>
        <v>19</v>
      </c>
      <c r="B26" s="15" t="s">
        <v>38</v>
      </c>
      <c r="C26" s="10"/>
      <c r="D26" s="11">
        <v>1</v>
      </c>
      <c r="E26" s="36"/>
      <c r="F26" s="36"/>
      <c r="G26" s="37"/>
      <c r="H26" s="38"/>
      <c r="I26" s="38">
        <f t="shared" si="4"/>
        <v>0</v>
      </c>
      <c r="J26" s="63">
        <f t="shared" si="4"/>
        <v>1</v>
      </c>
      <c r="K26" s="62"/>
      <c r="L26" s="36"/>
      <c r="M26" s="36"/>
      <c r="N26" s="36"/>
      <c r="O26" s="36"/>
      <c r="P26" s="36"/>
      <c r="Q26" s="99"/>
      <c r="R26" s="100">
        <f t="shared" si="7"/>
        <v>0</v>
      </c>
      <c r="S26" s="101">
        <f t="shared" si="7"/>
        <v>0</v>
      </c>
      <c r="T26" s="62"/>
      <c r="U26" s="8">
        <f t="shared" si="5"/>
        <v>0</v>
      </c>
      <c r="V26" s="135">
        <f t="shared" si="6"/>
        <v>0</v>
      </c>
      <c r="W26" s="134">
        <f t="shared" si="8"/>
        <v>1</v>
      </c>
      <c r="X26" s="61"/>
      <c r="BE26" s="158" t="e">
        <f>#REF!-BE25</f>
        <v>#REF!</v>
      </c>
    </row>
    <row r="27" spans="1:60" s="2" customFormat="1">
      <c r="A27" s="1">
        <f t="shared" si="3"/>
        <v>20</v>
      </c>
      <c r="B27" s="15" t="s">
        <v>39</v>
      </c>
      <c r="C27" s="10"/>
      <c r="D27" s="11"/>
      <c r="E27" s="36"/>
      <c r="F27" s="36"/>
      <c r="G27" s="37"/>
      <c r="H27" s="38"/>
      <c r="I27" s="38">
        <f t="shared" si="4"/>
        <v>0</v>
      </c>
      <c r="J27" s="63">
        <f t="shared" si="4"/>
        <v>0</v>
      </c>
      <c r="K27" s="69"/>
      <c r="L27" s="36"/>
      <c r="M27" s="36"/>
      <c r="N27" s="36"/>
      <c r="O27" s="36"/>
      <c r="P27" s="36"/>
      <c r="Q27" s="99"/>
      <c r="R27" s="100">
        <f t="shared" si="7"/>
        <v>0</v>
      </c>
      <c r="S27" s="101">
        <f t="shared" si="7"/>
        <v>0</v>
      </c>
      <c r="T27" s="69"/>
      <c r="U27" s="8">
        <f t="shared" si="5"/>
        <v>0</v>
      </c>
      <c r="V27" s="135">
        <f t="shared" si="6"/>
        <v>0</v>
      </c>
      <c r="W27" s="134">
        <f t="shared" si="8"/>
        <v>0</v>
      </c>
      <c r="X27" s="61"/>
      <c r="Y27" s="3"/>
      <c r="AD27" s="3"/>
      <c r="AG27" s="3"/>
      <c r="AH27" s="3"/>
      <c r="AI27" s="3"/>
      <c r="AJ27" s="3"/>
      <c r="AK27" s="3"/>
    </row>
    <row r="28" spans="1:60" s="2" customFormat="1">
      <c r="A28" s="1">
        <f t="shared" si="3"/>
        <v>21</v>
      </c>
      <c r="B28" s="15" t="s">
        <v>40</v>
      </c>
      <c r="C28" s="10"/>
      <c r="D28" s="11"/>
      <c r="E28" s="36"/>
      <c r="F28" s="36"/>
      <c r="G28" s="37"/>
      <c r="H28" s="38"/>
      <c r="I28" s="38">
        <f t="shared" si="4"/>
        <v>0</v>
      </c>
      <c r="J28" s="63">
        <f t="shared" si="4"/>
        <v>0</v>
      </c>
      <c r="K28" s="69"/>
      <c r="L28" s="36"/>
      <c r="M28" s="36"/>
      <c r="N28" s="36"/>
      <c r="O28" s="36"/>
      <c r="P28" s="36"/>
      <c r="Q28" s="99"/>
      <c r="R28" s="100">
        <f t="shared" si="7"/>
        <v>0</v>
      </c>
      <c r="S28" s="101">
        <f t="shared" si="7"/>
        <v>0</v>
      </c>
      <c r="T28" s="69"/>
      <c r="U28" s="8">
        <f t="shared" si="5"/>
        <v>0</v>
      </c>
      <c r="V28" s="135">
        <f t="shared" si="6"/>
        <v>0</v>
      </c>
      <c r="W28" s="134">
        <f t="shared" si="8"/>
        <v>0</v>
      </c>
      <c r="X28" s="61"/>
      <c r="Y28" s="3"/>
      <c r="AD28" s="3"/>
      <c r="AG28" s="3"/>
      <c r="AH28" s="3"/>
      <c r="AI28" s="3"/>
      <c r="AJ28" s="3"/>
      <c r="AK28" s="3"/>
    </row>
    <row r="29" spans="1:60" s="2" customFormat="1">
      <c r="A29" s="1">
        <f t="shared" si="3"/>
        <v>22</v>
      </c>
      <c r="B29" s="15" t="s">
        <v>41</v>
      </c>
      <c r="C29" s="10">
        <v>23</v>
      </c>
      <c r="D29" s="11"/>
      <c r="E29" s="36"/>
      <c r="F29" s="36"/>
      <c r="G29" s="37">
        <v>15</v>
      </c>
      <c r="H29" s="38"/>
      <c r="I29" s="38">
        <f t="shared" si="4"/>
        <v>8</v>
      </c>
      <c r="J29" s="63">
        <f t="shared" si="4"/>
        <v>0</v>
      </c>
      <c r="K29" s="69"/>
      <c r="L29" s="36"/>
      <c r="M29" s="36"/>
      <c r="N29" s="36"/>
      <c r="O29" s="36"/>
      <c r="P29" s="36">
        <v>15</v>
      </c>
      <c r="Q29" s="99"/>
      <c r="R29" s="100">
        <f t="shared" si="7"/>
        <v>15</v>
      </c>
      <c r="S29" s="101">
        <f t="shared" si="7"/>
        <v>0</v>
      </c>
      <c r="T29" s="69"/>
      <c r="U29" s="8">
        <f t="shared" si="5"/>
        <v>360</v>
      </c>
      <c r="V29" s="135">
        <f t="shared" si="6"/>
        <v>15</v>
      </c>
      <c r="W29" s="134">
        <f t="shared" si="8"/>
        <v>192</v>
      </c>
      <c r="X29" s="61"/>
      <c r="Y29" s="3"/>
      <c r="AD29" s="3"/>
      <c r="AG29" s="3"/>
      <c r="AH29" s="3"/>
      <c r="AI29" s="3"/>
      <c r="AJ29" s="3"/>
      <c r="AK29" s="3"/>
    </row>
    <row r="30" spans="1:60">
      <c r="A30" s="1">
        <f t="shared" si="3"/>
        <v>23</v>
      </c>
      <c r="B30" s="15" t="s">
        <v>42</v>
      </c>
      <c r="C30" s="10">
        <v>20</v>
      </c>
      <c r="D30" s="11"/>
      <c r="E30" s="36"/>
      <c r="F30" s="36"/>
      <c r="G30" s="37">
        <v>2</v>
      </c>
      <c r="H30" s="38"/>
      <c r="I30" s="38">
        <f t="shared" si="4"/>
        <v>18</v>
      </c>
      <c r="J30" s="63">
        <f t="shared" si="4"/>
        <v>0</v>
      </c>
      <c r="K30" s="62"/>
      <c r="L30" s="36"/>
      <c r="M30" s="36"/>
      <c r="N30" s="36"/>
      <c r="O30" s="36"/>
      <c r="P30" s="36">
        <v>2</v>
      </c>
      <c r="Q30" s="99"/>
      <c r="R30" s="100">
        <f t="shared" si="7"/>
        <v>2</v>
      </c>
      <c r="S30" s="101">
        <f t="shared" si="7"/>
        <v>0</v>
      </c>
      <c r="T30" s="62"/>
      <c r="U30" s="8">
        <f t="shared" si="5"/>
        <v>48</v>
      </c>
      <c r="V30" s="135">
        <f t="shared" si="6"/>
        <v>2</v>
      </c>
      <c r="W30" s="134">
        <f t="shared" si="8"/>
        <v>432</v>
      </c>
      <c r="X30" s="61"/>
    </row>
    <row r="31" spans="1:60">
      <c r="A31" s="1">
        <f t="shared" si="3"/>
        <v>24</v>
      </c>
      <c r="B31" s="15" t="s">
        <v>43</v>
      </c>
      <c r="C31" s="10">
        <v>15</v>
      </c>
      <c r="D31" s="11"/>
      <c r="E31" s="36"/>
      <c r="F31" s="36"/>
      <c r="G31" s="37"/>
      <c r="H31" s="38"/>
      <c r="I31" s="38">
        <f t="shared" si="4"/>
        <v>15</v>
      </c>
      <c r="J31" s="63">
        <f t="shared" si="4"/>
        <v>0</v>
      </c>
      <c r="K31" s="62"/>
      <c r="L31" s="36"/>
      <c r="M31" s="36"/>
      <c r="N31" s="36"/>
      <c r="O31" s="36"/>
      <c r="P31" s="36"/>
      <c r="Q31" s="99"/>
      <c r="R31" s="100">
        <f t="shared" si="7"/>
        <v>0</v>
      </c>
      <c r="S31" s="101">
        <f t="shared" si="7"/>
        <v>0</v>
      </c>
      <c r="T31" s="62"/>
      <c r="U31" s="8">
        <f t="shared" si="5"/>
        <v>0</v>
      </c>
      <c r="V31" s="135">
        <f t="shared" si="6"/>
        <v>0</v>
      </c>
      <c r="W31" s="134">
        <f t="shared" si="8"/>
        <v>360</v>
      </c>
      <c r="X31" s="61"/>
    </row>
    <row r="32" spans="1:60">
      <c r="A32" s="1">
        <f t="shared" si="3"/>
        <v>25</v>
      </c>
      <c r="B32" s="15" t="s">
        <v>44</v>
      </c>
      <c r="C32" s="10">
        <v>2</v>
      </c>
      <c r="D32" s="11"/>
      <c r="E32" s="36"/>
      <c r="F32" s="36"/>
      <c r="G32" s="37"/>
      <c r="H32" s="38"/>
      <c r="I32" s="38">
        <f t="shared" si="4"/>
        <v>2</v>
      </c>
      <c r="J32" s="63">
        <f t="shared" si="4"/>
        <v>0</v>
      </c>
      <c r="K32" s="62"/>
      <c r="L32" s="36"/>
      <c r="M32" s="36"/>
      <c r="N32" s="36"/>
      <c r="O32" s="36"/>
      <c r="P32" s="36"/>
      <c r="Q32" s="99"/>
      <c r="R32" s="100">
        <f t="shared" si="7"/>
        <v>0</v>
      </c>
      <c r="S32" s="101">
        <f t="shared" si="7"/>
        <v>0</v>
      </c>
      <c r="T32" s="62"/>
      <c r="U32" s="8">
        <f t="shared" si="5"/>
        <v>0</v>
      </c>
      <c r="V32" s="135">
        <f t="shared" si="6"/>
        <v>0</v>
      </c>
      <c r="W32" s="134">
        <f t="shared" si="8"/>
        <v>48</v>
      </c>
      <c r="X32" s="61"/>
    </row>
    <row r="33" spans="1:26">
      <c r="A33" s="1">
        <f t="shared" si="3"/>
        <v>26</v>
      </c>
      <c r="B33" s="15" t="s">
        <v>45</v>
      </c>
      <c r="C33" s="10">
        <v>5</v>
      </c>
      <c r="D33" s="11"/>
      <c r="E33" s="36"/>
      <c r="F33" s="36"/>
      <c r="G33" s="37"/>
      <c r="H33" s="38"/>
      <c r="I33" s="38">
        <f t="shared" si="4"/>
        <v>5</v>
      </c>
      <c r="J33" s="63">
        <f t="shared" si="4"/>
        <v>0</v>
      </c>
      <c r="K33" s="62"/>
      <c r="L33" s="36"/>
      <c r="M33" s="36"/>
      <c r="N33" s="36"/>
      <c r="O33" s="36"/>
      <c r="P33" s="36"/>
      <c r="Q33" s="99"/>
      <c r="R33" s="100">
        <f t="shared" si="7"/>
        <v>0</v>
      </c>
      <c r="S33" s="101">
        <f t="shared" si="7"/>
        <v>0</v>
      </c>
      <c r="T33" s="62"/>
      <c r="U33" s="8">
        <f t="shared" si="5"/>
        <v>0</v>
      </c>
      <c r="V33" s="135">
        <f t="shared" si="6"/>
        <v>0</v>
      </c>
      <c r="W33" s="134">
        <f t="shared" si="8"/>
        <v>120</v>
      </c>
      <c r="X33" s="61"/>
    </row>
    <row r="34" spans="1:26">
      <c r="A34" s="1">
        <f t="shared" si="3"/>
        <v>27</v>
      </c>
      <c r="B34" s="15" t="s">
        <v>46</v>
      </c>
      <c r="C34" s="10">
        <v>5</v>
      </c>
      <c r="D34" s="11"/>
      <c r="E34" s="36"/>
      <c r="F34" s="36"/>
      <c r="G34" s="37"/>
      <c r="H34" s="38"/>
      <c r="I34" s="38">
        <f t="shared" si="4"/>
        <v>5</v>
      </c>
      <c r="J34" s="63">
        <f t="shared" si="4"/>
        <v>0</v>
      </c>
      <c r="K34" s="62"/>
      <c r="L34" s="36"/>
      <c r="M34" s="36"/>
      <c r="N34" s="36"/>
      <c r="O34" s="36"/>
      <c r="P34" s="36"/>
      <c r="Q34" s="99"/>
      <c r="R34" s="100">
        <f t="shared" si="7"/>
        <v>0</v>
      </c>
      <c r="S34" s="101">
        <f t="shared" si="7"/>
        <v>0</v>
      </c>
      <c r="T34" s="62"/>
      <c r="U34" s="8">
        <f t="shared" si="5"/>
        <v>0</v>
      </c>
      <c r="V34" s="135">
        <f t="shared" si="6"/>
        <v>0</v>
      </c>
      <c r="W34" s="134">
        <f t="shared" si="8"/>
        <v>120</v>
      </c>
      <c r="X34" s="61"/>
    </row>
    <row r="35" spans="1:26">
      <c r="A35" s="1">
        <f t="shared" si="3"/>
        <v>28</v>
      </c>
      <c r="B35" s="15" t="s">
        <v>47</v>
      </c>
      <c r="C35" s="10">
        <v>117</v>
      </c>
      <c r="D35" s="11">
        <v>1</v>
      </c>
      <c r="E35" s="36"/>
      <c r="F35" s="36"/>
      <c r="G35" s="37">
        <v>2</v>
      </c>
      <c r="H35" s="38"/>
      <c r="I35" s="38">
        <f t="shared" si="4"/>
        <v>115</v>
      </c>
      <c r="J35" s="63">
        <f t="shared" si="4"/>
        <v>1</v>
      </c>
      <c r="K35" s="62"/>
      <c r="L35" s="36"/>
      <c r="M35" s="36"/>
      <c r="N35" s="36"/>
      <c r="O35" s="36"/>
      <c r="P35" s="36">
        <v>2</v>
      </c>
      <c r="Q35" s="99"/>
      <c r="R35" s="100">
        <f t="shared" si="7"/>
        <v>2</v>
      </c>
      <c r="S35" s="101">
        <f t="shared" si="7"/>
        <v>0</v>
      </c>
      <c r="T35" s="62"/>
      <c r="U35" s="8">
        <f t="shared" si="5"/>
        <v>48</v>
      </c>
      <c r="V35" s="135">
        <f t="shared" si="6"/>
        <v>2</v>
      </c>
      <c r="W35" s="134">
        <f t="shared" si="8"/>
        <v>2761</v>
      </c>
      <c r="X35" s="61"/>
    </row>
    <row r="36" spans="1:26" ht="18.75" hidden="1" customHeight="1">
      <c r="A36" s="1">
        <f t="shared" si="3"/>
        <v>29</v>
      </c>
      <c r="B36" s="15" t="s">
        <v>48</v>
      </c>
      <c r="C36" s="10"/>
      <c r="D36" s="11"/>
      <c r="E36" s="36"/>
      <c r="F36" s="36"/>
      <c r="G36" s="37"/>
      <c r="H36" s="38"/>
      <c r="I36" s="38">
        <f t="shared" si="4"/>
        <v>0</v>
      </c>
      <c r="J36" s="63">
        <f t="shared" si="4"/>
        <v>0</v>
      </c>
      <c r="K36" s="62"/>
      <c r="L36" s="36"/>
      <c r="M36" s="36"/>
      <c r="N36" s="36"/>
      <c r="O36" s="36"/>
      <c r="P36" s="36"/>
      <c r="Q36" s="99"/>
      <c r="R36" s="100">
        <f t="shared" si="7"/>
        <v>0</v>
      </c>
      <c r="S36" s="101">
        <f t="shared" si="7"/>
        <v>0</v>
      </c>
      <c r="T36" s="62"/>
      <c r="U36" s="8">
        <f t="shared" si="5"/>
        <v>0</v>
      </c>
      <c r="V36" s="135">
        <f t="shared" si="6"/>
        <v>0</v>
      </c>
      <c r="W36" s="134">
        <f t="shared" si="8"/>
        <v>0</v>
      </c>
      <c r="X36" s="61"/>
    </row>
    <row r="37" spans="1:26" ht="18.75" customHeight="1">
      <c r="A37" s="1">
        <f t="shared" si="3"/>
        <v>30</v>
      </c>
      <c r="B37" s="15" t="s">
        <v>49</v>
      </c>
      <c r="C37" s="10">
        <v>1</v>
      </c>
      <c r="D37" s="11"/>
      <c r="E37" s="36"/>
      <c r="F37" s="36"/>
      <c r="G37" s="37"/>
      <c r="H37" s="38"/>
      <c r="I37" s="38">
        <f t="shared" si="4"/>
        <v>1</v>
      </c>
      <c r="J37" s="63">
        <f t="shared" si="4"/>
        <v>0</v>
      </c>
      <c r="K37" s="62"/>
      <c r="L37" s="36"/>
      <c r="M37" s="36"/>
      <c r="N37" s="36"/>
      <c r="O37" s="36"/>
      <c r="P37" s="36"/>
      <c r="Q37" s="99"/>
      <c r="R37" s="100">
        <f t="shared" si="7"/>
        <v>0</v>
      </c>
      <c r="S37" s="101">
        <f t="shared" si="7"/>
        <v>0</v>
      </c>
      <c r="T37" s="62"/>
      <c r="U37" s="8">
        <f t="shared" si="5"/>
        <v>0</v>
      </c>
      <c r="V37" s="135">
        <f t="shared" si="6"/>
        <v>0</v>
      </c>
      <c r="W37" s="134">
        <f t="shared" si="8"/>
        <v>24</v>
      </c>
      <c r="X37" s="61"/>
    </row>
    <row r="38" spans="1:26">
      <c r="A38" s="1">
        <f t="shared" si="3"/>
        <v>31</v>
      </c>
      <c r="B38" s="16" t="s">
        <v>50</v>
      </c>
      <c r="C38" s="13">
        <v>6847</v>
      </c>
      <c r="D38" s="14">
        <v>2</v>
      </c>
      <c r="E38" s="39"/>
      <c r="F38" s="39"/>
      <c r="G38" s="40">
        <v>7</v>
      </c>
      <c r="H38" s="41"/>
      <c r="I38" s="53">
        <f t="shared" si="4"/>
        <v>6840</v>
      </c>
      <c r="J38" s="70">
        <f t="shared" si="4"/>
        <v>2</v>
      </c>
      <c r="K38" s="65"/>
      <c r="L38" s="51"/>
      <c r="M38" s="51"/>
      <c r="N38" s="51"/>
      <c r="O38" s="51"/>
      <c r="P38" s="51">
        <v>7</v>
      </c>
      <c r="Q38" s="102"/>
      <c r="R38" s="107">
        <f t="shared" si="7"/>
        <v>7</v>
      </c>
      <c r="S38" s="104">
        <f t="shared" si="7"/>
        <v>0</v>
      </c>
      <c r="T38" s="65"/>
      <c r="U38" s="136">
        <f>L38*6+N38*6+P38*6</f>
        <v>42</v>
      </c>
      <c r="V38" s="141">
        <f>U38/6</f>
        <v>7</v>
      </c>
      <c r="W38" s="138">
        <f>I38*6+J38</f>
        <v>41042</v>
      </c>
      <c r="X38" s="139"/>
    </row>
    <row r="39" spans="1:26">
      <c r="A39" s="1">
        <f t="shared" si="3"/>
        <v>32</v>
      </c>
      <c r="B39" s="7" t="s">
        <v>51</v>
      </c>
      <c r="C39" s="10">
        <v>2</v>
      </c>
      <c r="D39" s="11"/>
      <c r="E39" s="36"/>
      <c r="F39" s="36"/>
      <c r="G39" s="37"/>
      <c r="H39" s="38"/>
      <c r="I39" s="37">
        <f t="shared" si="4"/>
        <v>2</v>
      </c>
      <c r="J39" s="63">
        <f t="shared" si="4"/>
        <v>0</v>
      </c>
      <c r="K39" s="62"/>
      <c r="L39" s="36"/>
      <c r="M39" s="36"/>
      <c r="N39" s="36"/>
      <c r="O39" s="36"/>
      <c r="P39" s="36"/>
      <c r="Q39" s="99"/>
      <c r="R39" s="108">
        <f t="shared" si="7"/>
        <v>0</v>
      </c>
      <c r="S39" s="106">
        <f t="shared" si="7"/>
        <v>0</v>
      </c>
      <c r="T39" s="62"/>
      <c r="U39" s="8">
        <f t="shared" ref="U39:U41" si="9">L39*24+N39*24+P39*24</f>
        <v>0</v>
      </c>
      <c r="V39" s="33">
        <f t="shared" si="6"/>
        <v>0</v>
      </c>
      <c r="W39" s="134">
        <f t="shared" ref="W39:W41" si="10">I39*24+J39</f>
        <v>48</v>
      </c>
      <c r="X39" s="61"/>
    </row>
    <row r="40" spans="1:26">
      <c r="A40" s="1">
        <f t="shared" si="3"/>
        <v>33</v>
      </c>
      <c r="B40" s="17" t="s">
        <v>52</v>
      </c>
      <c r="C40" s="18">
        <v>1</v>
      </c>
      <c r="D40" s="19"/>
      <c r="E40" s="42"/>
      <c r="F40" s="42"/>
      <c r="G40" s="43"/>
      <c r="H40" s="44"/>
      <c r="I40" s="38">
        <f t="shared" si="4"/>
        <v>1</v>
      </c>
      <c r="J40" s="63">
        <f t="shared" si="4"/>
        <v>0</v>
      </c>
      <c r="K40" s="62"/>
      <c r="L40" s="36"/>
      <c r="M40" s="36"/>
      <c r="N40" s="36"/>
      <c r="O40" s="36"/>
      <c r="P40" s="36"/>
      <c r="Q40" s="99"/>
      <c r="R40" s="100">
        <f t="shared" si="7"/>
        <v>0</v>
      </c>
      <c r="S40" s="101">
        <f t="shared" si="7"/>
        <v>0</v>
      </c>
      <c r="T40" s="62"/>
      <c r="U40" s="142">
        <f t="shared" si="9"/>
        <v>0</v>
      </c>
      <c r="V40" s="135">
        <f t="shared" si="6"/>
        <v>0</v>
      </c>
      <c r="W40" s="143">
        <f t="shared" si="10"/>
        <v>24</v>
      </c>
      <c r="X40" s="144"/>
    </row>
    <row r="41" spans="1:26">
      <c r="A41" s="1">
        <f t="shared" si="3"/>
        <v>34</v>
      </c>
      <c r="B41" s="20" t="s">
        <v>53</v>
      </c>
      <c r="C41" s="21">
        <v>169</v>
      </c>
      <c r="D41" s="22">
        <v>20</v>
      </c>
      <c r="E41" s="45"/>
      <c r="F41" s="45"/>
      <c r="G41" s="46"/>
      <c r="H41" s="47"/>
      <c r="I41" s="71">
        <f t="shared" si="4"/>
        <v>169</v>
      </c>
      <c r="J41" s="72">
        <f t="shared" si="4"/>
        <v>20</v>
      </c>
      <c r="K41" s="73"/>
      <c r="L41" s="74"/>
      <c r="M41" s="74"/>
      <c r="N41" s="74"/>
      <c r="O41" s="74"/>
      <c r="P41" s="74"/>
      <c r="Q41" s="109"/>
      <c r="R41" s="110">
        <f t="shared" si="7"/>
        <v>0</v>
      </c>
      <c r="S41" s="111">
        <f t="shared" si="7"/>
        <v>0</v>
      </c>
      <c r="T41" s="73"/>
      <c r="U41" s="145">
        <f t="shared" si="9"/>
        <v>0</v>
      </c>
      <c r="V41" s="146">
        <f t="shared" si="6"/>
        <v>0</v>
      </c>
      <c r="W41" s="146">
        <f t="shared" si="10"/>
        <v>4076</v>
      </c>
      <c r="X41" s="147"/>
    </row>
    <row r="42" spans="1:26">
      <c r="A42" s="1">
        <f t="shared" si="3"/>
        <v>35</v>
      </c>
      <c r="B42" s="23" t="s">
        <v>54</v>
      </c>
      <c r="C42" s="24">
        <v>858</v>
      </c>
      <c r="D42" s="25">
        <v>11</v>
      </c>
      <c r="E42" s="48"/>
      <c r="F42" s="48"/>
      <c r="G42" s="49">
        <v>2</v>
      </c>
      <c r="H42" s="50"/>
      <c r="I42" s="49">
        <f t="shared" si="4"/>
        <v>856</v>
      </c>
      <c r="J42" s="75">
        <f t="shared" si="4"/>
        <v>11</v>
      </c>
      <c r="K42" s="76"/>
      <c r="L42" s="48"/>
      <c r="M42" s="48"/>
      <c r="N42" s="48"/>
      <c r="O42" s="48"/>
      <c r="P42" s="48">
        <v>2</v>
      </c>
      <c r="Q42" s="112"/>
      <c r="R42" s="113">
        <f t="shared" si="7"/>
        <v>2</v>
      </c>
      <c r="S42" s="114">
        <f t="shared" si="7"/>
        <v>0</v>
      </c>
      <c r="T42" s="76"/>
      <c r="U42" s="148">
        <f>L42*12+N42*12+P42*12</f>
        <v>24</v>
      </c>
      <c r="V42" s="149">
        <f>U42/12</f>
        <v>2</v>
      </c>
      <c r="W42" s="150">
        <f>I42*12+J42</f>
        <v>10283</v>
      </c>
      <c r="X42" s="151"/>
    </row>
    <row r="43" spans="1:26" ht="18.75" hidden="1" customHeight="1">
      <c r="A43" s="1">
        <f t="shared" si="3"/>
        <v>36</v>
      </c>
      <c r="B43" s="7" t="s">
        <v>55</v>
      </c>
      <c r="C43" s="10"/>
      <c r="D43" s="11"/>
      <c r="E43" s="36"/>
      <c r="F43" s="36"/>
      <c r="G43" s="37"/>
      <c r="H43" s="38"/>
      <c r="I43" s="38">
        <f t="shared" si="4"/>
        <v>0</v>
      </c>
      <c r="J43" s="64">
        <f t="shared" si="4"/>
        <v>0</v>
      </c>
      <c r="K43" s="62"/>
      <c r="L43" s="36"/>
      <c r="M43" s="36"/>
      <c r="N43" s="36"/>
      <c r="O43" s="36"/>
      <c r="P43" s="36"/>
      <c r="Q43" s="99"/>
      <c r="R43" s="115">
        <f t="shared" si="7"/>
        <v>0</v>
      </c>
      <c r="S43" s="116">
        <f t="shared" si="7"/>
        <v>0</v>
      </c>
      <c r="T43" s="62"/>
      <c r="U43" s="8"/>
      <c r="V43" s="33"/>
      <c r="W43" s="134"/>
      <c r="X43" s="61"/>
    </row>
    <row r="44" spans="1:26">
      <c r="A44" s="1">
        <f t="shared" si="3"/>
        <v>37</v>
      </c>
      <c r="B44" s="12" t="s">
        <v>56</v>
      </c>
      <c r="C44" s="13">
        <v>34972</v>
      </c>
      <c r="D44" s="14">
        <v>3</v>
      </c>
      <c r="E44" s="39"/>
      <c r="F44" s="39"/>
      <c r="G44" s="40">
        <v>786</v>
      </c>
      <c r="H44" s="41"/>
      <c r="I44" s="38">
        <f>C44+E44-G44</f>
        <v>34186</v>
      </c>
      <c r="J44" s="77">
        <f t="shared" si="4"/>
        <v>3</v>
      </c>
      <c r="K44" s="65"/>
      <c r="L44" s="51"/>
      <c r="M44" s="51"/>
      <c r="N44" s="51"/>
      <c r="O44" s="51"/>
      <c r="P44" s="51">
        <v>786</v>
      </c>
      <c r="Q44" s="102"/>
      <c r="R44" s="117">
        <f t="shared" si="7"/>
        <v>786</v>
      </c>
      <c r="S44" s="118">
        <f t="shared" si="7"/>
        <v>0</v>
      </c>
      <c r="T44" s="65"/>
      <c r="U44" s="136">
        <f>L44*6+N44*6+P44*6</f>
        <v>4716</v>
      </c>
      <c r="V44" s="135">
        <f>U44/6</f>
        <v>786</v>
      </c>
      <c r="W44" s="138">
        <f>I44*6+J44</f>
        <v>205119</v>
      </c>
      <c r="X44" s="139"/>
      <c r="Z44" s="155"/>
    </row>
    <row r="45" spans="1:26" ht="18.75" hidden="1" customHeight="1">
      <c r="A45" s="1">
        <f t="shared" si="3"/>
        <v>38</v>
      </c>
      <c r="B45" s="7" t="s">
        <v>57</v>
      </c>
      <c r="C45" s="10"/>
      <c r="D45" s="11"/>
      <c r="E45" s="36"/>
      <c r="F45" s="36"/>
      <c r="G45" s="37"/>
      <c r="H45" s="38"/>
      <c r="I45" s="44">
        <f t="shared" si="4"/>
        <v>0</v>
      </c>
      <c r="J45" s="63">
        <f t="shared" si="4"/>
        <v>0</v>
      </c>
      <c r="K45" s="62"/>
      <c r="L45" s="36"/>
      <c r="M45" s="36"/>
      <c r="N45" s="36"/>
      <c r="O45" s="36"/>
      <c r="P45" s="36"/>
      <c r="Q45" s="99"/>
      <c r="R45" s="108">
        <f t="shared" si="7"/>
        <v>0</v>
      </c>
      <c r="S45" s="116">
        <f t="shared" si="7"/>
        <v>0</v>
      </c>
      <c r="T45" s="62"/>
      <c r="U45" s="8"/>
      <c r="V45" s="137"/>
      <c r="W45" s="134"/>
      <c r="X45" s="61"/>
    </row>
    <row r="46" spans="1:26">
      <c r="A46" s="1">
        <f t="shared" si="3"/>
        <v>39</v>
      </c>
      <c r="B46" s="15" t="s">
        <v>58</v>
      </c>
      <c r="C46" s="10">
        <v>15</v>
      </c>
      <c r="D46" s="11"/>
      <c r="E46" s="36"/>
      <c r="F46" s="36"/>
      <c r="G46" s="37"/>
      <c r="H46" s="38"/>
      <c r="I46" s="68">
        <f t="shared" si="4"/>
        <v>15</v>
      </c>
      <c r="J46" s="63">
        <f t="shared" si="4"/>
        <v>0</v>
      </c>
      <c r="K46" s="62"/>
      <c r="L46" s="36"/>
      <c r="M46" s="36"/>
      <c r="N46" s="36"/>
      <c r="O46" s="36"/>
      <c r="P46" s="36"/>
      <c r="Q46" s="99"/>
      <c r="R46" s="100">
        <f t="shared" si="7"/>
        <v>0</v>
      </c>
      <c r="S46" s="119">
        <f t="shared" si="7"/>
        <v>0</v>
      </c>
      <c r="T46" s="62"/>
      <c r="U46" s="8">
        <f t="shared" ref="U46:U47" si="11">L46*24+N46*24+P46*24</f>
        <v>0</v>
      </c>
      <c r="V46" s="140">
        <f t="shared" ref="V46:V47" si="12">U46/24</f>
        <v>0</v>
      </c>
      <c r="W46" s="134">
        <f t="shared" ref="W46:W47" si="13">I46*24+J46</f>
        <v>360</v>
      </c>
      <c r="X46" s="61"/>
    </row>
    <row r="47" spans="1:26">
      <c r="A47" s="1">
        <f t="shared" si="3"/>
        <v>40</v>
      </c>
      <c r="B47" s="15" t="s">
        <v>59</v>
      </c>
      <c r="C47" s="10"/>
      <c r="D47" s="11"/>
      <c r="E47" s="36"/>
      <c r="F47" s="36"/>
      <c r="G47" s="37"/>
      <c r="H47" s="38"/>
      <c r="I47" s="38">
        <f t="shared" si="4"/>
        <v>0</v>
      </c>
      <c r="J47" s="63">
        <f t="shared" si="4"/>
        <v>0</v>
      </c>
      <c r="K47" s="62"/>
      <c r="L47" s="36"/>
      <c r="M47" s="36"/>
      <c r="N47" s="36"/>
      <c r="O47" s="36"/>
      <c r="P47" s="36"/>
      <c r="Q47" s="99"/>
      <c r="R47" s="100">
        <f t="shared" si="7"/>
        <v>0</v>
      </c>
      <c r="S47" s="101">
        <f t="shared" si="7"/>
        <v>0</v>
      </c>
      <c r="T47" s="62"/>
      <c r="U47" s="8">
        <f t="shared" si="11"/>
        <v>0</v>
      </c>
      <c r="V47" s="135">
        <f t="shared" si="12"/>
        <v>0</v>
      </c>
      <c r="W47" s="134">
        <f t="shared" si="13"/>
        <v>0</v>
      </c>
      <c r="X47" s="61"/>
    </row>
    <row r="48" spans="1:26">
      <c r="A48" s="1">
        <f t="shared" si="3"/>
        <v>41</v>
      </c>
      <c r="B48" s="12" t="s">
        <v>48</v>
      </c>
      <c r="C48" s="26">
        <v>2837</v>
      </c>
      <c r="D48" s="27">
        <v>4</v>
      </c>
      <c r="E48" s="51"/>
      <c r="F48" s="51"/>
      <c r="G48" s="52"/>
      <c r="H48" s="53"/>
      <c r="I48" s="53">
        <f t="shared" si="4"/>
        <v>2837</v>
      </c>
      <c r="J48" s="70">
        <f t="shared" si="4"/>
        <v>4</v>
      </c>
      <c r="K48" s="65"/>
      <c r="L48" s="51"/>
      <c r="M48" s="51"/>
      <c r="N48" s="51"/>
      <c r="O48" s="51"/>
      <c r="P48" s="51"/>
      <c r="Q48" s="102"/>
      <c r="R48" s="107">
        <f t="shared" si="7"/>
        <v>0</v>
      </c>
      <c r="S48" s="120">
        <f t="shared" si="7"/>
        <v>0</v>
      </c>
      <c r="T48" s="65"/>
      <c r="U48" s="136">
        <f>L48*6+N48*6+P48*6</f>
        <v>0</v>
      </c>
      <c r="V48" s="141">
        <f>U48/6</f>
        <v>0</v>
      </c>
      <c r="W48" s="138">
        <f>I48*6+J48</f>
        <v>17026</v>
      </c>
      <c r="X48" s="139"/>
    </row>
    <row r="49" spans="1:24">
      <c r="A49" s="1">
        <f t="shared" si="3"/>
        <v>42</v>
      </c>
      <c r="B49" s="7" t="s">
        <v>60</v>
      </c>
      <c r="C49" s="10">
        <v>1</v>
      </c>
      <c r="D49" s="11"/>
      <c r="E49" s="36"/>
      <c r="F49" s="36"/>
      <c r="G49" s="37"/>
      <c r="H49" s="38"/>
      <c r="I49" s="38">
        <f t="shared" si="4"/>
        <v>1</v>
      </c>
      <c r="J49" s="63">
        <f t="shared" si="4"/>
        <v>0</v>
      </c>
      <c r="K49" s="62"/>
      <c r="L49" s="36"/>
      <c r="M49" s="36"/>
      <c r="N49" s="36"/>
      <c r="O49" s="36"/>
      <c r="P49" s="36"/>
      <c r="Q49" s="99"/>
      <c r="R49" s="108">
        <f t="shared" si="7"/>
        <v>0</v>
      </c>
      <c r="S49" s="106">
        <f t="shared" si="7"/>
        <v>0</v>
      </c>
      <c r="T49" s="62"/>
      <c r="U49" s="8">
        <f t="shared" ref="U49:U51" si="14">L49*24+N49*24+P49*24</f>
        <v>0</v>
      </c>
      <c r="V49" s="33">
        <f t="shared" ref="V49:V51" si="15">U49/24</f>
        <v>0</v>
      </c>
      <c r="W49" s="134">
        <f t="shared" ref="W49:W51" si="16">I49*24+J49</f>
        <v>24</v>
      </c>
      <c r="X49" s="61"/>
    </row>
    <row r="50" spans="1:24">
      <c r="A50" s="1">
        <f t="shared" si="3"/>
        <v>43</v>
      </c>
      <c r="B50" s="15" t="s">
        <v>61</v>
      </c>
      <c r="C50" s="10">
        <v>2</v>
      </c>
      <c r="D50" s="11"/>
      <c r="E50" s="36"/>
      <c r="F50" s="36"/>
      <c r="G50" s="37"/>
      <c r="H50" s="38"/>
      <c r="I50" s="38">
        <f t="shared" si="4"/>
        <v>2</v>
      </c>
      <c r="J50" s="63">
        <f t="shared" si="4"/>
        <v>0</v>
      </c>
      <c r="K50" s="62"/>
      <c r="L50" s="36"/>
      <c r="M50" s="36"/>
      <c r="N50" s="36"/>
      <c r="O50" s="36"/>
      <c r="P50" s="36"/>
      <c r="Q50" s="99"/>
      <c r="R50" s="100">
        <f t="shared" si="7"/>
        <v>0</v>
      </c>
      <c r="S50" s="101">
        <f t="shared" si="7"/>
        <v>0</v>
      </c>
      <c r="T50" s="62"/>
      <c r="U50" s="8">
        <f t="shared" si="14"/>
        <v>0</v>
      </c>
      <c r="V50" s="135">
        <f t="shared" si="15"/>
        <v>0</v>
      </c>
      <c r="W50" s="134">
        <f t="shared" si="16"/>
        <v>48</v>
      </c>
      <c r="X50" s="61"/>
    </row>
    <row r="51" spans="1:24">
      <c r="A51" s="1">
        <f t="shared" si="3"/>
        <v>44</v>
      </c>
      <c r="B51" s="15" t="s">
        <v>62</v>
      </c>
      <c r="C51" s="10"/>
      <c r="D51" s="11"/>
      <c r="E51" s="36"/>
      <c r="F51" s="36"/>
      <c r="G51" s="37"/>
      <c r="H51" s="38"/>
      <c r="I51" s="38">
        <f t="shared" si="4"/>
        <v>0</v>
      </c>
      <c r="J51" s="63">
        <f t="shared" si="4"/>
        <v>0</v>
      </c>
      <c r="K51" s="62"/>
      <c r="L51" s="36"/>
      <c r="M51" s="36"/>
      <c r="N51" s="36"/>
      <c r="O51" s="36"/>
      <c r="P51" s="36"/>
      <c r="Q51" s="99"/>
      <c r="R51" s="100">
        <f t="shared" si="7"/>
        <v>0</v>
      </c>
      <c r="S51" s="101">
        <f t="shared" si="7"/>
        <v>0</v>
      </c>
      <c r="T51" s="62"/>
      <c r="U51" s="8">
        <f t="shared" si="14"/>
        <v>0</v>
      </c>
      <c r="V51" s="135">
        <f t="shared" si="15"/>
        <v>0</v>
      </c>
      <c r="W51" s="134">
        <f t="shared" si="16"/>
        <v>0</v>
      </c>
      <c r="X51" s="61"/>
    </row>
    <row r="52" spans="1:24">
      <c r="A52" s="1">
        <f t="shared" si="3"/>
        <v>45</v>
      </c>
      <c r="B52" s="12" t="s">
        <v>63</v>
      </c>
      <c r="C52" s="26">
        <v>34</v>
      </c>
      <c r="D52" s="27"/>
      <c r="E52" s="51"/>
      <c r="F52" s="51"/>
      <c r="G52" s="52"/>
      <c r="H52" s="53"/>
      <c r="I52" s="53">
        <f t="shared" si="4"/>
        <v>34</v>
      </c>
      <c r="J52" s="70">
        <f t="shared" si="4"/>
        <v>0</v>
      </c>
      <c r="K52" s="65"/>
      <c r="L52" s="51"/>
      <c r="M52" s="51"/>
      <c r="N52" s="51"/>
      <c r="O52" s="51"/>
      <c r="P52" s="51"/>
      <c r="Q52" s="102"/>
      <c r="R52" s="107">
        <f t="shared" si="7"/>
        <v>0</v>
      </c>
      <c r="S52" s="120">
        <f t="shared" si="7"/>
        <v>0</v>
      </c>
      <c r="T52" s="65"/>
      <c r="U52" s="136">
        <f>L52*6+N52*6+P52*6</f>
        <v>0</v>
      </c>
      <c r="V52" s="141">
        <f>U52/6</f>
        <v>0</v>
      </c>
      <c r="W52" s="138">
        <f>I52*6+J52</f>
        <v>204</v>
      </c>
      <c r="X52" s="139"/>
    </row>
    <row r="53" spans="1:24">
      <c r="A53" s="1">
        <f t="shared" si="3"/>
        <v>46</v>
      </c>
      <c r="B53" s="7" t="s">
        <v>64</v>
      </c>
      <c r="C53" s="10">
        <v>2</v>
      </c>
      <c r="D53" s="11"/>
      <c r="E53" s="36"/>
      <c r="F53" s="36"/>
      <c r="G53" s="37"/>
      <c r="H53" s="38"/>
      <c r="I53" s="38">
        <f t="shared" si="4"/>
        <v>2</v>
      </c>
      <c r="J53" s="63">
        <f t="shared" si="4"/>
        <v>0</v>
      </c>
      <c r="K53" s="62"/>
      <c r="L53" s="36"/>
      <c r="M53" s="36"/>
      <c r="N53" s="36"/>
      <c r="O53" s="36"/>
      <c r="P53" s="36"/>
      <c r="Q53" s="99"/>
      <c r="R53" s="108">
        <f t="shared" si="7"/>
        <v>0</v>
      </c>
      <c r="S53" s="106">
        <f t="shared" si="7"/>
        <v>0</v>
      </c>
      <c r="T53" s="62"/>
      <c r="U53" s="8">
        <f t="shared" ref="U53:U54" si="17">L53*24+N53*24+P53*24</f>
        <v>0</v>
      </c>
      <c r="V53" s="33">
        <f t="shared" ref="V53:V54" si="18">U53/24</f>
        <v>0</v>
      </c>
      <c r="W53" s="134">
        <f t="shared" ref="W53:W54" si="19">I53*24+J53</f>
        <v>48</v>
      </c>
      <c r="X53" s="61"/>
    </row>
    <row r="54" spans="1:24">
      <c r="A54" s="1">
        <f t="shared" si="3"/>
        <v>47</v>
      </c>
      <c r="B54" s="15" t="s">
        <v>65</v>
      </c>
      <c r="C54" s="10">
        <v>12</v>
      </c>
      <c r="D54" s="11"/>
      <c r="E54" s="36"/>
      <c r="F54" s="36"/>
      <c r="G54" s="37"/>
      <c r="H54" s="38"/>
      <c r="I54" s="38">
        <f t="shared" si="4"/>
        <v>12</v>
      </c>
      <c r="J54" s="63">
        <f t="shared" si="4"/>
        <v>0</v>
      </c>
      <c r="K54" s="62"/>
      <c r="L54" s="36"/>
      <c r="M54" s="36"/>
      <c r="N54" s="36"/>
      <c r="O54" s="36"/>
      <c r="P54" s="36"/>
      <c r="Q54" s="99"/>
      <c r="R54" s="100">
        <f t="shared" si="7"/>
        <v>0</v>
      </c>
      <c r="S54" s="101">
        <f t="shared" si="7"/>
        <v>0</v>
      </c>
      <c r="T54" s="62"/>
      <c r="U54" s="8">
        <f t="shared" si="17"/>
        <v>0</v>
      </c>
      <c r="V54" s="135">
        <f t="shared" si="18"/>
        <v>0</v>
      </c>
      <c r="W54" s="134">
        <f t="shared" si="19"/>
        <v>288</v>
      </c>
      <c r="X54" s="61"/>
    </row>
    <row r="55" spans="1:24">
      <c r="A55" s="1">
        <f t="shared" si="3"/>
        <v>48</v>
      </c>
      <c r="B55" s="15"/>
      <c r="C55" s="10"/>
      <c r="D55" s="11"/>
      <c r="E55" s="36"/>
      <c r="F55" s="36"/>
      <c r="G55" s="37"/>
      <c r="H55" s="38"/>
      <c r="I55" s="38">
        <f t="shared" si="4"/>
        <v>0</v>
      </c>
      <c r="J55" s="63">
        <f t="shared" si="4"/>
        <v>0</v>
      </c>
      <c r="K55" s="62"/>
      <c r="L55" s="36"/>
      <c r="M55" s="36"/>
      <c r="N55" s="36"/>
      <c r="O55" s="36"/>
      <c r="P55" s="36"/>
      <c r="Q55" s="99"/>
      <c r="R55" s="100">
        <f t="shared" si="7"/>
        <v>0</v>
      </c>
      <c r="S55" s="101">
        <f t="shared" si="7"/>
        <v>0</v>
      </c>
      <c r="T55" s="62"/>
      <c r="U55" s="8"/>
      <c r="V55" s="135"/>
      <c r="W55" s="134"/>
      <c r="X55" s="61"/>
    </row>
    <row r="56" spans="1:24">
      <c r="A56" s="1">
        <f t="shared" si="3"/>
        <v>49</v>
      </c>
      <c r="B56" s="15"/>
      <c r="C56" s="10"/>
      <c r="D56" s="11"/>
      <c r="E56" s="36"/>
      <c r="F56" s="36"/>
      <c r="G56" s="37"/>
      <c r="H56" s="38"/>
      <c r="I56" s="38">
        <f t="shared" si="4"/>
        <v>0</v>
      </c>
      <c r="J56" s="63">
        <f t="shared" si="4"/>
        <v>0</v>
      </c>
      <c r="K56" s="62"/>
      <c r="L56" s="36"/>
      <c r="M56" s="36"/>
      <c r="N56" s="36"/>
      <c r="O56" s="36"/>
      <c r="P56" s="36"/>
      <c r="Q56" s="99"/>
      <c r="R56" s="100">
        <f t="shared" si="7"/>
        <v>0</v>
      </c>
      <c r="S56" s="101">
        <f t="shared" si="7"/>
        <v>0</v>
      </c>
      <c r="T56" s="62"/>
      <c r="U56" s="8"/>
      <c r="V56" s="135"/>
      <c r="W56" s="134"/>
      <c r="X56" s="61"/>
    </row>
    <row r="57" spans="1:24">
      <c r="A57" s="1">
        <f t="shared" si="3"/>
        <v>50</v>
      </c>
      <c r="B57" s="15"/>
      <c r="C57" s="10"/>
      <c r="D57" s="11"/>
      <c r="E57" s="36"/>
      <c r="F57" s="36"/>
      <c r="G57" s="37"/>
      <c r="H57" s="38"/>
      <c r="I57" s="38">
        <f t="shared" si="4"/>
        <v>0</v>
      </c>
      <c r="J57" s="63">
        <f t="shared" si="4"/>
        <v>0</v>
      </c>
      <c r="K57" s="62"/>
      <c r="L57" s="36"/>
      <c r="M57" s="36"/>
      <c r="N57" s="36"/>
      <c r="O57" s="36"/>
      <c r="P57" s="36"/>
      <c r="Q57" s="99"/>
      <c r="R57" s="100">
        <f t="shared" si="7"/>
        <v>0</v>
      </c>
      <c r="S57" s="101">
        <f t="shared" si="7"/>
        <v>0</v>
      </c>
      <c r="T57" s="62"/>
      <c r="U57" s="8"/>
      <c r="V57" s="135"/>
      <c r="W57" s="134"/>
      <c r="X57" s="61"/>
    </row>
    <row r="58" spans="1:24">
      <c r="A58" s="1">
        <f t="shared" si="3"/>
        <v>51</v>
      </c>
      <c r="B58" s="15"/>
      <c r="C58" s="10"/>
      <c r="D58" s="11"/>
      <c r="E58" s="36"/>
      <c r="F58" s="36"/>
      <c r="G58" s="37"/>
      <c r="H58" s="38"/>
      <c r="I58" s="38">
        <f t="shared" si="4"/>
        <v>0</v>
      </c>
      <c r="J58" s="63">
        <f t="shared" si="4"/>
        <v>0</v>
      </c>
      <c r="K58" s="62"/>
      <c r="L58" s="36"/>
      <c r="M58" s="36"/>
      <c r="N58" s="36"/>
      <c r="O58" s="36"/>
      <c r="P58" s="36"/>
      <c r="Q58" s="99"/>
      <c r="R58" s="100">
        <f t="shared" si="7"/>
        <v>0</v>
      </c>
      <c r="S58" s="101">
        <f t="shared" si="7"/>
        <v>0</v>
      </c>
      <c r="T58" s="62"/>
      <c r="U58" s="8"/>
      <c r="V58" s="135"/>
      <c r="W58" s="134"/>
      <c r="X58" s="61"/>
    </row>
    <row r="59" spans="1:24">
      <c r="A59" s="1">
        <f t="shared" si="3"/>
        <v>52</v>
      </c>
      <c r="B59" s="15"/>
      <c r="C59" s="10"/>
      <c r="D59" s="11"/>
      <c r="E59" s="36"/>
      <c r="F59" s="36"/>
      <c r="G59" s="37"/>
      <c r="H59" s="38"/>
      <c r="I59" s="38">
        <f t="shared" si="4"/>
        <v>0</v>
      </c>
      <c r="J59" s="63">
        <f t="shared" si="4"/>
        <v>0</v>
      </c>
      <c r="K59" s="62"/>
      <c r="L59" s="36"/>
      <c r="M59" s="36"/>
      <c r="N59" s="36"/>
      <c r="O59" s="36"/>
      <c r="P59" s="36"/>
      <c r="Q59" s="99"/>
      <c r="R59" s="100">
        <f t="shared" si="7"/>
        <v>0</v>
      </c>
      <c r="S59" s="101">
        <f t="shared" si="7"/>
        <v>0</v>
      </c>
      <c r="T59" s="62"/>
      <c r="U59" s="8"/>
      <c r="V59" s="135"/>
      <c r="W59" s="134"/>
      <c r="X59" s="61"/>
    </row>
    <row r="60" spans="1:24" s="2" customFormat="1">
      <c r="B60" s="28" t="s">
        <v>15</v>
      </c>
      <c r="C60" s="29">
        <f>SUM(C8:C59)</f>
        <v>49918</v>
      </c>
      <c r="D60" s="30">
        <f>SUM(D8:D59)</f>
        <v>164</v>
      </c>
      <c r="E60" s="54">
        <f>SUM(E8:E59)</f>
        <v>0</v>
      </c>
      <c r="F60" s="54"/>
      <c r="G60" s="55">
        <f>SUM(G8:G59)</f>
        <v>843</v>
      </c>
      <c r="H60" s="56">
        <f>SUM(H8:H59)</f>
        <v>0</v>
      </c>
      <c r="I60" s="56">
        <f>SUM(I8:I59)</f>
        <v>49075</v>
      </c>
      <c r="J60" s="78">
        <f>SUM(J8:J59)</f>
        <v>164</v>
      </c>
      <c r="L60" s="79">
        <f t="shared" ref="L60:S60" si="20">SUM(L8:L59)</f>
        <v>0</v>
      </c>
      <c r="M60" s="79">
        <f t="shared" si="20"/>
        <v>0</v>
      </c>
      <c r="N60" s="79">
        <f t="shared" si="20"/>
        <v>0</v>
      </c>
      <c r="O60" s="79">
        <f t="shared" si="20"/>
        <v>0</v>
      </c>
      <c r="P60" s="79">
        <f t="shared" si="20"/>
        <v>843</v>
      </c>
      <c r="Q60" s="121">
        <f t="shared" si="20"/>
        <v>0</v>
      </c>
      <c r="R60" s="122">
        <f t="shared" si="20"/>
        <v>843</v>
      </c>
      <c r="S60" s="123">
        <f t="shared" si="20"/>
        <v>0</v>
      </c>
      <c r="U60" s="29">
        <f>SUM(U8:U59)</f>
        <v>5934</v>
      </c>
      <c r="V60" s="152">
        <f>SUM(V8:V59)</f>
        <v>843</v>
      </c>
      <c r="W60" s="179">
        <f>SUM(W8:W59)</f>
        <v>377546</v>
      </c>
      <c r="X60" s="78"/>
    </row>
    <row r="61" spans="1:24">
      <c r="V61" s="154"/>
    </row>
    <row r="62" spans="1:24" ht="18.75" customHeight="1">
      <c r="G62" s="197" t="s">
        <v>66</v>
      </c>
      <c r="H62" s="57"/>
      <c r="I62" s="57"/>
      <c r="J62" s="80" t="s">
        <v>67</v>
      </c>
      <c r="L62" s="81"/>
      <c r="M62" s="87"/>
      <c r="N62" s="88"/>
      <c r="O62" s="88"/>
      <c r="P62" s="88"/>
      <c r="Q62" s="124"/>
      <c r="R62" s="124"/>
      <c r="S62" s="125"/>
    </row>
    <row r="63" spans="1:24">
      <c r="G63" s="198"/>
      <c r="H63" s="58"/>
      <c r="I63" s="58"/>
      <c r="J63" s="82" t="s">
        <v>68</v>
      </c>
      <c r="L63" s="83"/>
      <c r="M63" s="89"/>
      <c r="N63" s="90"/>
      <c r="O63" s="90"/>
      <c r="P63" s="90"/>
      <c r="Q63" s="126"/>
      <c r="R63" s="126"/>
      <c r="S63" s="127"/>
    </row>
    <row r="64" spans="1:24">
      <c r="G64" s="199"/>
      <c r="H64" s="59"/>
      <c r="I64" s="59"/>
      <c r="J64" s="82" t="s">
        <v>69</v>
      </c>
      <c r="L64" s="84"/>
      <c r="M64" s="91"/>
      <c r="N64" s="92"/>
      <c r="O64" s="92"/>
      <c r="P64" s="92"/>
      <c r="Q64" s="128"/>
      <c r="R64" s="128"/>
      <c r="S64" s="129"/>
    </row>
    <row r="65" spans="2:24">
      <c r="G65" s="200" t="s">
        <v>70</v>
      </c>
      <c r="H65" s="164"/>
      <c r="I65" s="164"/>
      <c r="J65" s="82" t="s">
        <v>67</v>
      </c>
      <c r="L65" s="84"/>
      <c r="M65" s="91"/>
      <c r="N65" s="92"/>
      <c r="O65" s="92"/>
      <c r="P65" s="92"/>
      <c r="Q65" s="128"/>
      <c r="R65" s="128"/>
      <c r="S65" s="129"/>
    </row>
    <row r="66" spans="2:24">
      <c r="G66" s="200"/>
      <c r="H66" s="164"/>
      <c r="I66" s="164"/>
      <c r="J66" s="82" t="s">
        <v>68</v>
      </c>
      <c r="L66" s="83"/>
      <c r="M66" s="89"/>
      <c r="N66" s="90"/>
      <c r="O66" s="90"/>
      <c r="P66" s="90"/>
      <c r="Q66" s="126"/>
      <c r="R66" s="126"/>
      <c r="S66" s="127"/>
    </row>
    <row r="67" spans="2:24">
      <c r="G67" s="201"/>
      <c r="H67" s="165"/>
      <c r="I67" s="165"/>
      <c r="J67" s="167" t="s">
        <v>69</v>
      </c>
      <c r="L67" s="168"/>
      <c r="M67" s="170"/>
      <c r="N67" s="171"/>
      <c r="O67" s="171"/>
      <c r="P67" s="171"/>
      <c r="Q67" s="174"/>
      <c r="R67" s="174"/>
      <c r="S67" s="175"/>
    </row>
    <row r="69" spans="2:24" ht="49.5" customHeight="1">
      <c r="B69" s="159" t="s">
        <v>71</v>
      </c>
      <c r="C69" s="5" t="s">
        <v>4</v>
      </c>
      <c r="D69" s="6"/>
      <c r="E69" s="166" t="s">
        <v>72</v>
      </c>
      <c r="L69" s="169" t="s">
        <v>12</v>
      </c>
      <c r="M69" s="172"/>
      <c r="N69" s="173" t="s">
        <v>13</v>
      </c>
      <c r="O69" s="173"/>
      <c r="P69" s="173" t="s">
        <v>14</v>
      </c>
      <c r="Q69" s="176"/>
      <c r="R69" s="176"/>
      <c r="S69" s="177" t="s">
        <v>73</v>
      </c>
      <c r="X69" s="178" t="s">
        <v>74</v>
      </c>
    </row>
    <row r="70" spans="2:24">
      <c r="B70" s="160" t="s">
        <v>47</v>
      </c>
      <c r="C70" s="161"/>
      <c r="D70" s="161"/>
      <c r="E70" s="163"/>
      <c r="L70" s="161"/>
      <c r="M70" s="161"/>
      <c r="N70" s="161"/>
      <c r="O70" s="161"/>
      <c r="P70" s="161"/>
      <c r="Q70" s="161"/>
      <c r="R70" s="161"/>
      <c r="S70" s="161"/>
      <c r="X70" s="163"/>
    </row>
    <row r="71" spans="2:24">
      <c r="B71" s="162" t="s">
        <v>75</v>
      </c>
      <c r="C71" s="161"/>
      <c r="D71" s="161"/>
      <c r="E71" s="163"/>
      <c r="L71" s="163"/>
      <c r="M71" s="163"/>
      <c r="N71" s="163"/>
      <c r="O71" s="163"/>
      <c r="P71" s="163"/>
      <c r="Q71" s="163"/>
      <c r="R71" s="163"/>
      <c r="S71" s="163"/>
      <c r="X71" s="163"/>
    </row>
    <row r="72" spans="2:24">
      <c r="B72" s="162" t="s">
        <v>76</v>
      </c>
      <c r="C72" s="161"/>
      <c r="D72" s="161"/>
      <c r="E72" s="163"/>
      <c r="L72" s="163"/>
      <c r="M72" s="163"/>
      <c r="N72" s="163"/>
      <c r="O72" s="163"/>
      <c r="P72" s="163"/>
      <c r="Q72" s="163"/>
      <c r="R72" s="163"/>
      <c r="S72" s="163"/>
      <c r="X72" s="163"/>
    </row>
    <row r="73" spans="2:24" ht="11.25" customHeight="1"/>
    <row r="74" spans="2:24">
      <c r="B74" s="162" t="s">
        <v>77</v>
      </c>
      <c r="C74" s="163"/>
      <c r="D74" s="163"/>
      <c r="E74" s="163"/>
      <c r="L74" s="163"/>
      <c r="M74" s="163"/>
      <c r="N74" s="163"/>
      <c r="O74" s="163"/>
      <c r="P74" s="163"/>
      <c r="Q74" s="163"/>
      <c r="R74" s="163"/>
      <c r="S74" s="163"/>
      <c r="X74" s="163"/>
    </row>
    <row r="75" spans="2:24">
      <c r="B75" s="162" t="s">
        <v>75</v>
      </c>
      <c r="C75" s="163"/>
      <c r="D75" s="163"/>
      <c r="E75" s="163"/>
      <c r="L75" s="163"/>
      <c r="M75" s="163"/>
      <c r="N75" s="163"/>
      <c r="O75" s="163"/>
      <c r="P75" s="163"/>
      <c r="Q75" s="163"/>
      <c r="R75" s="163"/>
      <c r="S75" s="163"/>
      <c r="X75" s="163"/>
    </row>
    <row r="76" spans="2:24">
      <c r="B76" s="162" t="s">
        <v>76</v>
      </c>
      <c r="C76" s="163"/>
      <c r="D76" s="163"/>
      <c r="E76" s="163"/>
      <c r="L76" s="163"/>
      <c r="M76" s="163"/>
      <c r="N76" s="163"/>
      <c r="O76" s="163"/>
      <c r="P76" s="163"/>
      <c r="Q76" s="163"/>
      <c r="R76" s="163"/>
      <c r="S76" s="163"/>
      <c r="X76" s="163"/>
    </row>
    <row r="77" spans="2:24" ht="11.25" customHeight="1"/>
    <row r="78" spans="2:24">
      <c r="B78" s="162" t="s">
        <v>78</v>
      </c>
      <c r="C78" s="163"/>
      <c r="D78" s="163"/>
      <c r="E78" s="163"/>
      <c r="L78" s="163"/>
      <c r="M78" s="163"/>
      <c r="N78" s="163"/>
      <c r="O78" s="163"/>
      <c r="P78" s="163"/>
      <c r="Q78" s="163"/>
      <c r="R78" s="163"/>
      <c r="S78" s="163"/>
      <c r="X78" s="163"/>
    </row>
    <row r="79" spans="2:24">
      <c r="B79" s="162" t="s">
        <v>75</v>
      </c>
      <c r="C79" s="163"/>
      <c r="D79" s="163"/>
      <c r="E79" s="163"/>
      <c r="L79" s="163"/>
      <c r="M79" s="163"/>
      <c r="N79" s="163"/>
      <c r="O79" s="163"/>
      <c r="P79" s="163"/>
      <c r="Q79" s="163"/>
      <c r="R79" s="163"/>
      <c r="S79" s="163"/>
      <c r="X79" s="163"/>
    </row>
    <row r="80" spans="2:24">
      <c r="B80" s="162" t="s">
        <v>76</v>
      </c>
      <c r="C80" s="163"/>
      <c r="D80" s="163"/>
      <c r="E80" s="163"/>
      <c r="L80" s="163"/>
      <c r="M80" s="163"/>
      <c r="N80" s="163"/>
      <c r="O80" s="163"/>
      <c r="P80" s="163"/>
      <c r="Q80" s="163"/>
      <c r="R80" s="163"/>
      <c r="S80" s="163"/>
      <c r="X80" s="163"/>
    </row>
    <row r="81" spans="2:24" ht="11.25" customHeight="1"/>
    <row r="82" spans="2:24">
      <c r="B82" s="162" t="s">
        <v>79</v>
      </c>
      <c r="C82" s="163"/>
      <c r="D82" s="163"/>
      <c r="E82" s="163"/>
      <c r="L82" s="163"/>
      <c r="M82" s="163"/>
      <c r="N82" s="163"/>
      <c r="O82" s="163"/>
      <c r="P82" s="163"/>
      <c r="Q82" s="163"/>
      <c r="R82" s="163"/>
      <c r="S82" s="163"/>
      <c r="X82" s="163"/>
    </row>
    <row r="83" spans="2:24">
      <c r="B83" s="162" t="s">
        <v>75</v>
      </c>
      <c r="C83" s="163"/>
      <c r="D83" s="163"/>
      <c r="E83" s="163"/>
      <c r="L83" s="163"/>
      <c r="M83" s="163"/>
      <c r="N83" s="163"/>
      <c r="O83" s="163"/>
      <c r="P83" s="163"/>
      <c r="Q83" s="163"/>
      <c r="R83" s="163"/>
      <c r="S83" s="163"/>
      <c r="X83" s="163"/>
    </row>
    <row r="84" spans="2:24">
      <c r="B84" s="162" t="s">
        <v>76</v>
      </c>
      <c r="C84" s="161"/>
      <c r="D84" s="161"/>
      <c r="E84" s="163"/>
      <c r="L84" s="163"/>
      <c r="M84" s="163"/>
      <c r="N84" s="163"/>
      <c r="O84" s="163"/>
      <c r="P84" s="163"/>
      <c r="Q84" s="163"/>
      <c r="R84" s="163"/>
      <c r="S84" s="163"/>
      <c r="X84" s="163"/>
    </row>
    <row r="85" spans="2:24" ht="11.25" customHeight="1"/>
    <row r="86" spans="2:24">
      <c r="B86" s="162" t="s">
        <v>80</v>
      </c>
      <c r="C86" s="163"/>
      <c r="D86" s="163"/>
      <c r="E86" s="163"/>
      <c r="L86" s="163"/>
      <c r="M86" s="163"/>
      <c r="N86" s="163"/>
      <c r="O86" s="163"/>
      <c r="P86" s="163"/>
      <c r="Q86" s="163"/>
      <c r="R86" s="163"/>
      <c r="S86" s="163"/>
      <c r="X86" s="163"/>
    </row>
    <row r="87" spans="2:24">
      <c r="B87" s="162" t="s">
        <v>75</v>
      </c>
      <c r="C87" s="163"/>
      <c r="D87" s="163"/>
      <c r="E87" s="163"/>
      <c r="L87" s="163"/>
      <c r="M87" s="163"/>
      <c r="N87" s="163"/>
      <c r="O87" s="163"/>
      <c r="P87" s="163"/>
      <c r="Q87" s="163"/>
      <c r="R87" s="163"/>
      <c r="S87" s="163"/>
      <c r="X87" s="163"/>
    </row>
    <row r="88" spans="2:24">
      <c r="B88" s="162" t="s">
        <v>76</v>
      </c>
      <c r="C88" s="163"/>
      <c r="D88" s="163"/>
      <c r="E88" s="163"/>
      <c r="L88" s="163"/>
      <c r="M88" s="163"/>
      <c r="N88" s="163"/>
      <c r="O88" s="163"/>
      <c r="P88" s="163"/>
      <c r="Q88" s="163"/>
      <c r="R88" s="163"/>
      <c r="S88" s="163"/>
      <c r="X88" s="163"/>
    </row>
    <row r="90" spans="2:24">
      <c r="B90" s="162" t="s">
        <v>81</v>
      </c>
      <c r="C90" s="163"/>
      <c r="D90" s="163"/>
      <c r="E90" s="163"/>
      <c r="L90" s="163"/>
      <c r="M90" s="163"/>
      <c r="N90" s="163"/>
      <c r="O90" s="163"/>
      <c r="P90" s="163"/>
      <c r="Q90" s="163"/>
      <c r="R90" s="163"/>
      <c r="S90" s="163"/>
      <c r="X90" s="163"/>
    </row>
  </sheetData>
  <mergeCells count="12">
    <mergeCell ref="G62:G64"/>
    <mergeCell ref="G65:G67"/>
    <mergeCell ref="H4:H5"/>
    <mergeCell ref="I4:I5"/>
    <mergeCell ref="J4:J5"/>
    <mergeCell ref="P1:X1"/>
    <mergeCell ref="E4:F4"/>
    <mergeCell ref="L4:X4"/>
    <mergeCell ref="B4:B5"/>
    <mergeCell ref="C4:C5"/>
    <mergeCell ref="D4:D5"/>
    <mergeCell ref="G4:G5"/>
  </mergeCells>
  <printOptions horizontalCentered="1" verticalCentered="1"/>
  <pageMargins left="0.196850393700787" right="0.196850393700787" top="0.196850393700787" bottom="0.196850393700787" header="0.511811023622047" footer="0.511811023622047"/>
  <pageSetup paperSize="9" scale="51" orientation="portrait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BH90"/>
  <sheetViews>
    <sheetView topLeftCell="A25" zoomScale="55" zoomScaleNormal="55" zoomScaleSheetLayoutView="85" zoomScalePageLayoutView="80" workbookViewId="0">
      <selection activeCell="W60" sqref="W60"/>
    </sheetView>
  </sheetViews>
  <sheetFormatPr defaultColWidth="9.140625" defaultRowHeight="18.75"/>
  <cols>
    <col min="1" max="1" width="5.42578125" style="3" customWidth="1"/>
    <col min="2" max="2" width="12.28515625" style="3" customWidth="1"/>
    <col min="3" max="3" width="12.7109375" style="3" customWidth="1"/>
    <col min="4" max="4" width="8" style="3" customWidth="1"/>
    <col min="5" max="5" width="12.140625" style="3" customWidth="1"/>
    <col min="6" max="6" width="9.85546875" style="3" customWidth="1"/>
    <col min="7" max="7" width="11" style="3" customWidth="1"/>
    <col min="8" max="8" width="8" style="3" customWidth="1"/>
    <col min="9" max="9" width="14.7109375" style="3" customWidth="1"/>
    <col min="10" max="10" width="8.28515625" style="3" customWidth="1"/>
    <col min="11" max="11" width="1.28515625" style="3" customWidth="1"/>
    <col min="12" max="12" width="11" style="3" customWidth="1"/>
    <col min="13" max="13" width="7.85546875" style="3" customWidth="1"/>
    <col min="14" max="14" width="11" style="3" customWidth="1"/>
    <col min="15" max="15" width="6.5703125" style="3" customWidth="1"/>
    <col min="16" max="16" width="11" style="3" customWidth="1"/>
    <col min="17" max="17" width="6.5703125" style="3" customWidth="1"/>
    <col min="18" max="18" width="9.5703125" style="3" customWidth="1"/>
    <col min="19" max="19" width="8.140625" style="3" customWidth="1"/>
    <col min="20" max="20" width="1.28515625" style="3" customWidth="1"/>
    <col min="21" max="21" width="12.7109375" style="3" customWidth="1"/>
    <col min="22" max="22" width="12.7109375" style="3" hidden="1" customWidth="1"/>
    <col min="23" max="23" width="14.5703125" style="3" customWidth="1"/>
    <col min="24" max="24" width="11.5703125" style="3" customWidth="1"/>
    <col min="25" max="25" width="2" style="3" customWidth="1"/>
    <col min="26" max="26" width="10.5703125" style="3" customWidth="1"/>
    <col min="27" max="55" width="7.28515625" style="3" customWidth="1"/>
    <col min="56" max="56" width="1.5703125" style="3" customWidth="1"/>
    <col min="57" max="57" width="9.42578125" style="3" customWidth="1"/>
    <col min="58" max="58" width="1.28515625" style="3" customWidth="1"/>
    <col min="59" max="59" width="12.7109375" style="3" customWidth="1"/>
    <col min="60" max="60" width="10.28515625" style="3" customWidth="1"/>
    <col min="61" max="16384" width="9.140625" style="3"/>
  </cols>
  <sheetData>
    <row r="1" spans="1:60">
      <c r="B1" s="2" t="s">
        <v>0</v>
      </c>
      <c r="N1" s="3" t="s">
        <v>1</v>
      </c>
      <c r="P1" s="183">
        <v>46146</v>
      </c>
      <c r="Q1" s="184"/>
      <c r="R1" s="184"/>
      <c r="S1" s="184"/>
      <c r="T1" s="184"/>
      <c r="U1" s="184"/>
      <c r="V1" s="184"/>
      <c r="W1" s="184"/>
      <c r="X1" s="185"/>
    </row>
    <row r="2" spans="1:60" ht="15" customHeight="1">
      <c r="B2" s="2" t="s">
        <v>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4" spans="1:60" ht="19.5" customHeight="1">
      <c r="A4" s="4"/>
      <c r="B4" s="192" t="s">
        <v>3</v>
      </c>
      <c r="C4" s="193" t="s">
        <v>4</v>
      </c>
      <c r="D4" s="194" t="s">
        <v>5</v>
      </c>
      <c r="E4" s="186" t="s">
        <v>6</v>
      </c>
      <c r="F4" s="187"/>
      <c r="G4" s="195" t="s">
        <v>7</v>
      </c>
      <c r="H4" s="202" t="s">
        <v>5</v>
      </c>
      <c r="I4" s="204" t="s">
        <v>8</v>
      </c>
      <c r="J4" s="202" t="s">
        <v>5</v>
      </c>
      <c r="L4" s="188" t="s">
        <v>9</v>
      </c>
      <c r="M4" s="189"/>
      <c r="N4" s="189"/>
      <c r="O4" s="189"/>
      <c r="P4" s="189"/>
      <c r="Q4" s="189"/>
      <c r="R4" s="189"/>
      <c r="S4" s="189"/>
      <c r="T4" s="189"/>
      <c r="U4" s="189"/>
      <c r="V4" s="190"/>
      <c r="W4" s="189"/>
      <c r="X4" s="191"/>
    </row>
    <row r="5" spans="1:60" s="1" customFormat="1" ht="56.25">
      <c r="A5" s="4"/>
      <c r="B5" s="192"/>
      <c r="C5" s="193"/>
      <c r="D5" s="194"/>
      <c r="E5" s="31" t="s">
        <v>10</v>
      </c>
      <c r="F5" s="32" t="s">
        <v>11</v>
      </c>
      <c r="G5" s="196"/>
      <c r="H5" s="203"/>
      <c r="I5" s="205"/>
      <c r="J5" s="203"/>
      <c r="L5" s="60" t="s">
        <v>12</v>
      </c>
      <c r="M5" s="85" t="s">
        <v>5</v>
      </c>
      <c r="N5" s="86" t="s">
        <v>13</v>
      </c>
      <c r="O5" s="85" t="s">
        <v>5</v>
      </c>
      <c r="P5" s="86" t="s">
        <v>14</v>
      </c>
      <c r="Q5" s="85" t="s">
        <v>5</v>
      </c>
      <c r="R5" s="93" t="s">
        <v>15</v>
      </c>
      <c r="S5" s="94" t="s">
        <v>5</v>
      </c>
      <c r="T5" s="95"/>
      <c r="U5" s="130" t="s">
        <v>16</v>
      </c>
      <c r="V5" s="131" t="s">
        <v>17</v>
      </c>
      <c r="W5" s="132" t="s">
        <v>18</v>
      </c>
      <c r="X5" s="133" t="s">
        <v>19</v>
      </c>
      <c r="AL5" s="156"/>
      <c r="AM5" s="156"/>
      <c r="AN5" s="156"/>
      <c r="AO5" s="156"/>
      <c r="AP5" s="156"/>
      <c r="AQ5" s="156"/>
      <c r="AR5" s="156"/>
      <c r="AS5" s="156"/>
      <c r="AT5" s="156"/>
      <c r="AU5" s="156"/>
      <c r="AV5" s="156"/>
      <c r="AW5" s="156"/>
      <c r="AX5" s="156"/>
      <c r="AY5" s="156"/>
      <c r="AZ5" s="156"/>
      <c r="BA5" s="156"/>
      <c r="BB5" s="156"/>
      <c r="BC5" s="156"/>
      <c r="BD5" s="156"/>
      <c r="BE5" s="156"/>
      <c r="BF5" s="156"/>
      <c r="BG5" s="156"/>
      <c r="BH5" s="156"/>
    </row>
    <row r="6" spans="1:60" s="1" customFormat="1">
      <c r="B6" s="7"/>
      <c r="C6" s="8"/>
      <c r="D6" s="9"/>
      <c r="E6" s="33"/>
      <c r="F6" s="33"/>
      <c r="G6" s="34"/>
      <c r="H6" s="35"/>
      <c r="I6" s="35"/>
      <c r="J6" s="61"/>
      <c r="K6" s="62"/>
      <c r="L6" s="33"/>
      <c r="M6" s="33"/>
      <c r="N6" s="33"/>
      <c r="O6" s="33"/>
      <c r="P6" s="33"/>
      <c r="Q6" s="96"/>
      <c r="R6" s="97"/>
      <c r="S6" s="98"/>
      <c r="T6" s="62"/>
      <c r="U6" s="8"/>
      <c r="V6" s="33"/>
      <c r="W6" s="134"/>
      <c r="X6" s="61"/>
      <c r="AL6" s="156"/>
      <c r="AM6" s="156"/>
      <c r="AN6" s="156"/>
      <c r="AO6" s="156"/>
      <c r="AP6" s="156"/>
      <c r="AQ6" s="156"/>
      <c r="AR6" s="156"/>
      <c r="AS6" s="156"/>
      <c r="AT6" s="156"/>
      <c r="AU6" s="156"/>
      <c r="AV6" s="156"/>
      <c r="AW6" s="156"/>
      <c r="AX6" s="156"/>
      <c r="AY6" s="156"/>
      <c r="AZ6" s="156"/>
      <c r="BA6" s="156"/>
      <c r="BB6" s="156"/>
      <c r="BC6" s="156"/>
      <c r="BD6" s="156"/>
      <c r="BE6" s="156"/>
      <c r="BF6" s="156"/>
      <c r="BG6" s="156"/>
      <c r="BH6" s="156"/>
    </row>
    <row r="7" spans="1:60" s="1" customFormat="1">
      <c r="B7" s="7"/>
      <c r="C7" s="8"/>
      <c r="D7" s="9"/>
      <c r="E7" s="33"/>
      <c r="F7" s="33"/>
      <c r="G7" s="34"/>
      <c r="H7" s="35"/>
      <c r="I7" s="35"/>
      <c r="J7" s="61"/>
      <c r="K7" s="62"/>
      <c r="L7" s="33"/>
      <c r="M7" s="33"/>
      <c r="N7" s="33"/>
      <c r="O7" s="33"/>
      <c r="P7" s="33"/>
      <c r="Q7" s="96"/>
      <c r="R7" s="97"/>
      <c r="S7" s="98"/>
      <c r="T7" s="62"/>
      <c r="U7" s="8"/>
      <c r="V7" s="135"/>
      <c r="W7" s="134"/>
      <c r="X7" s="61"/>
      <c r="AL7" s="156"/>
      <c r="AM7" s="156"/>
      <c r="AN7" s="156"/>
      <c r="AO7" s="156"/>
      <c r="AP7" s="156"/>
      <c r="AQ7" s="156"/>
      <c r="AR7" s="156"/>
      <c r="AS7" s="156"/>
      <c r="AT7" s="156"/>
      <c r="AU7" s="156"/>
      <c r="AV7" s="156"/>
      <c r="AW7" s="156"/>
      <c r="AX7" s="156"/>
      <c r="AY7" s="156"/>
      <c r="AZ7" s="156"/>
      <c r="BA7" s="156"/>
      <c r="BB7" s="156"/>
      <c r="BC7" s="156"/>
      <c r="BD7" s="156"/>
      <c r="BE7" s="156"/>
      <c r="BF7" s="156"/>
      <c r="BG7" s="156"/>
      <c r="BH7" s="156"/>
    </row>
    <row r="8" spans="1:60">
      <c r="A8" s="1">
        <v>1</v>
      </c>
      <c r="B8" s="7" t="s">
        <v>20</v>
      </c>
      <c r="C8" s="10">
        <v>27</v>
      </c>
      <c r="D8" s="11">
        <v>19</v>
      </c>
      <c r="E8" s="36"/>
      <c r="F8" s="36"/>
      <c r="G8" s="37"/>
      <c r="H8" s="38"/>
      <c r="I8" s="38">
        <f t="shared" ref="I8:I43" si="0">C8-G8</f>
        <v>27</v>
      </c>
      <c r="J8" s="63">
        <f t="shared" ref="J8:J59" si="1">D8-H8</f>
        <v>19</v>
      </c>
      <c r="K8" s="62"/>
      <c r="L8" s="36"/>
      <c r="M8" s="36"/>
      <c r="N8" s="36"/>
      <c r="O8" s="36"/>
      <c r="P8" s="36"/>
      <c r="Q8" s="99"/>
      <c r="R8" s="100">
        <f t="shared" ref="R8:R59" si="2">L8+N8+P8</f>
        <v>0</v>
      </c>
      <c r="S8" s="101">
        <f t="shared" ref="S8:S59" si="3">M8+O8+Q8</f>
        <v>0</v>
      </c>
      <c r="T8" s="62"/>
      <c r="U8" s="8">
        <f t="shared" ref="U8:U37" si="4">L8*24+N8*24+P8*24</f>
        <v>0</v>
      </c>
      <c r="V8" s="135">
        <f t="shared" ref="V8:V37" si="5">U8/24</f>
        <v>0</v>
      </c>
      <c r="W8" s="134">
        <f t="shared" ref="W8:W37" si="6">I8*24+J8</f>
        <v>667</v>
      </c>
      <c r="X8" s="61"/>
      <c r="AL8" s="157"/>
      <c r="AM8" s="157"/>
      <c r="AN8" s="157"/>
      <c r="AO8" s="157"/>
      <c r="AP8" s="157"/>
      <c r="AQ8" s="157"/>
      <c r="AR8" s="157"/>
      <c r="AS8" s="157"/>
      <c r="AT8" s="157"/>
      <c r="AU8" s="157"/>
      <c r="AV8" s="157"/>
      <c r="AW8" s="157"/>
      <c r="AX8" s="157"/>
      <c r="AY8" s="157"/>
      <c r="AZ8" s="157"/>
      <c r="BA8" s="157"/>
      <c r="BB8" s="157"/>
      <c r="BC8" s="157"/>
      <c r="BD8" s="157"/>
      <c r="BE8" s="157"/>
      <c r="BF8" s="157"/>
      <c r="BG8" s="157"/>
      <c r="BH8" s="157"/>
    </row>
    <row r="9" spans="1:60">
      <c r="A9" s="1">
        <f t="shared" ref="A9:A59" si="7">A8+1</f>
        <v>2</v>
      </c>
      <c r="B9" s="12" t="s">
        <v>21</v>
      </c>
      <c r="C9" s="13">
        <v>91</v>
      </c>
      <c r="D9" s="14"/>
      <c r="E9" s="39"/>
      <c r="F9" s="39"/>
      <c r="G9" s="40"/>
      <c r="H9" s="41"/>
      <c r="I9" s="40">
        <f t="shared" si="0"/>
        <v>91</v>
      </c>
      <c r="J9" s="64">
        <f t="shared" si="1"/>
        <v>0</v>
      </c>
      <c r="K9" s="65"/>
      <c r="L9" s="51"/>
      <c r="M9" s="51"/>
      <c r="N9" s="51"/>
      <c r="O9" s="51"/>
      <c r="P9" s="51"/>
      <c r="Q9" s="102"/>
      <c r="R9" s="103">
        <f t="shared" si="2"/>
        <v>0</v>
      </c>
      <c r="S9" s="104">
        <f t="shared" si="3"/>
        <v>0</v>
      </c>
      <c r="T9" s="65"/>
      <c r="U9" s="136">
        <f t="shared" si="4"/>
        <v>0</v>
      </c>
      <c r="V9" s="137">
        <f t="shared" si="5"/>
        <v>0</v>
      </c>
      <c r="W9" s="138">
        <f t="shared" si="6"/>
        <v>2184</v>
      </c>
      <c r="X9" s="139"/>
      <c r="AL9" s="157"/>
      <c r="AM9" s="157"/>
      <c r="AN9" s="157"/>
      <c r="AO9" s="157"/>
      <c r="AP9" s="157"/>
      <c r="AQ9" s="157"/>
      <c r="AR9" s="157"/>
      <c r="AS9" s="157"/>
      <c r="AT9" s="157"/>
      <c r="AU9" s="157"/>
      <c r="AV9" s="157"/>
      <c r="AW9" s="157"/>
      <c r="AX9" s="157"/>
      <c r="AY9" s="157"/>
      <c r="AZ9" s="157"/>
      <c r="BA9" s="157"/>
      <c r="BB9" s="157"/>
      <c r="BC9" s="157"/>
      <c r="BD9" s="157"/>
      <c r="BE9" s="157"/>
      <c r="BF9" s="157"/>
      <c r="BG9" s="157"/>
      <c r="BH9" s="157"/>
    </row>
    <row r="10" spans="1:60">
      <c r="A10" s="1">
        <f t="shared" si="7"/>
        <v>3</v>
      </c>
      <c r="B10" s="7" t="s">
        <v>22</v>
      </c>
      <c r="C10" s="10">
        <v>76</v>
      </c>
      <c r="D10" s="11"/>
      <c r="E10" s="36"/>
      <c r="F10" s="36"/>
      <c r="G10" s="37"/>
      <c r="H10" s="38"/>
      <c r="I10" s="38">
        <f t="shared" si="0"/>
        <v>76</v>
      </c>
      <c r="J10" s="66">
        <f t="shared" si="1"/>
        <v>0</v>
      </c>
      <c r="K10" s="62"/>
      <c r="L10" s="36"/>
      <c r="M10" s="36"/>
      <c r="N10" s="36"/>
      <c r="O10" s="36"/>
      <c r="P10" s="36"/>
      <c r="Q10" s="99"/>
      <c r="R10" s="105">
        <f t="shared" si="2"/>
        <v>0</v>
      </c>
      <c r="S10" s="106">
        <f t="shared" si="3"/>
        <v>0</v>
      </c>
      <c r="T10" s="62"/>
      <c r="U10" s="8">
        <f t="shared" si="4"/>
        <v>0</v>
      </c>
      <c r="V10" s="140">
        <f t="shared" si="5"/>
        <v>0</v>
      </c>
      <c r="W10" s="134">
        <f t="shared" si="6"/>
        <v>1824</v>
      </c>
      <c r="X10" s="61"/>
      <c r="AL10" s="157"/>
      <c r="AM10" s="157"/>
      <c r="AN10" s="157"/>
      <c r="AO10" s="157"/>
      <c r="AP10" s="157"/>
      <c r="AQ10" s="157"/>
      <c r="AR10" s="157"/>
      <c r="AS10" s="157"/>
      <c r="AT10" s="157"/>
      <c r="AU10" s="157"/>
      <c r="AV10" s="157"/>
      <c r="AW10" s="157"/>
      <c r="AX10" s="157"/>
      <c r="AY10" s="157"/>
      <c r="AZ10" s="157"/>
      <c r="BA10" s="157"/>
      <c r="BB10" s="157"/>
      <c r="BC10" s="157"/>
      <c r="BD10" s="157"/>
      <c r="BE10" s="157"/>
      <c r="BF10" s="157"/>
      <c r="BG10" s="157"/>
      <c r="BH10" s="157"/>
    </row>
    <row r="11" spans="1:60">
      <c r="A11" s="1">
        <f t="shared" si="7"/>
        <v>4</v>
      </c>
      <c r="B11" s="15" t="s">
        <v>23</v>
      </c>
      <c r="C11" s="10">
        <v>80</v>
      </c>
      <c r="D11" s="11"/>
      <c r="E11" s="36"/>
      <c r="F11" s="36"/>
      <c r="G11" s="37"/>
      <c r="H11" s="38"/>
      <c r="I11" s="38">
        <f t="shared" si="0"/>
        <v>80</v>
      </c>
      <c r="J11" s="63">
        <f t="shared" si="1"/>
        <v>0</v>
      </c>
      <c r="K11" s="62"/>
      <c r="L11" s="36"/>
      <c r="M11" s="36"/>
      <c r="N11" s="36"/>
      <c r="O11" s="36"/>
      <c r="P11" s="36"/>
      <c r="Q11" s="99"/>
      <c r="R11" s="100">
        <f t="shared" si="2"/>
        <v>0</v>
      </c>
      <c r="S11" s="101">
        <f t="shared" si="3"/>
        <v>0</v>
      </c>
      <c r="T11" s="62"/>
      <c r="U11" s="8">
        <f t="shared" si="4"/>
        <v>0</v>
      </c>
      <c r="V11" s="135">
        <f t="shared" si="5"/>
        <v>0</v>
      </c>
      <c r="W11" s="134">
        <f t="shared" si="6"/>
        <v>1920</v>
      </c>
      <c r="X11" s="61"/>
      <c r="AL11" s="157"/>
      <c r="AM11" s="157"/>
      <c r="AN11" s="157"/>
      <c r="AO11" s="157"/>
      <c r="AP11" s="157"/>
      <c r="AQ11" s="157"/>
      <c r="AR11" s="157"/>
      <c r="AS11" s="157"/>
      <c r="AT11" s="157"/>
      <c r="AU11" s="157"/>
      <c r="AV11" s="157"/>
      <c r="AW11" s="157"/>
      <c r="AX11" s="157"/>
      <c r="AY11" s="157"/>
      <c r="AZ11" s="157"/>
      <c r="BA11" s="157"/>
      <c r="BB11" s="157"/>
      <c r="BC11" s="157"/>
      <c r="BD11" s="157"/>
      <c r="BE11" s="157"/>
      <c r="BF11" s="157"/>
      <c r="BG11" s="157"/>
      <c r="BH11" s="157"/>
    </row>
    <row r="12" spans="1:60">
      <c r="A12" s="1">
        <f t="shared" si="7"/>
        <v>5</v>
      </c>
      <c r="B12" s="15" t="s">
        <v>24</v>
      </c>
      <c r="C12" s="10">
        <v>1</v>
      </c>
      <c r="D12" s="11"/>
      <c r="E12" s="36"/>
      <c r="F12" s="36"/>
      <c r="G12" s="37"/>
      <c r="H12" s="38"/>
      <c r="I12" s="38">
        <f t="shared" si="0"/>
        <v>1</v>
      </c>
      <c r="J12" s="63">
        <f t="shared" si="1"/>
        <v>0</v>
      </c>
      <c r="K12" s="62"/>
      <c r="L12" s="36"/>
      <c r="M12" s="36"/>
      <c r="N12" s="36"/>
      <c r="O12" s="36"/>
      <c r="P12" s="36"/>
      <c r="Q12" s="99"/>
      <c r="R12" s="100">
        <f t="shared" si="2"/>
        <v>0</v>
      </c>
      <c r="S12" s="101">
        <f t="shared" si="3"/>
        <v>0</v>
      </c>
      <c r="T12" s="62"/>
      <c r="U12" s="8">
        <f t="shared" si="4"/>
        <v>0</v>
      </c>
      <c r="V12" s="135">
        <f t="shared" si="5"/>
        <v>0</v>
      </c>
      <c r="W12" s="134">
        <f t="shared" si="6"/>
        <v>24</v>
      </c>
      <c r="X12" s="61"/>
      <c r="AL12" s="157"/>
      <c r="AM12" s="157"/>
      <c r="AN12" s="157"/>
      <c r="AO12" s="157"/>
      <c r="AP12" s="157"/>
      <c r="AQ12" s="157"/>
      <c r="AR12" s="157"/>
      <c r="AS12" s="157"/>
      <c r="AT12" s="157"/>
      <c r="AU12" s="157"/>
      <c r="AV12" s="157"/>
      <c r="AW12" s="157"/>
      <c r="AX12" s="157"/>
      <c r="AY12" s="157"/>
      <c r="AZ12" s="157"/>
      <c r="BA12" s="157"/>
      <c r="BB12" s="157"/>
      <c r="BC12" s="157"/>
      <c r="BD12" s="157"/>
      <c r="BE12" s="157"/>
      <c r="BF12" s="157"/>
      <c r="BG12" s="157"/>
      <c r="BH12" s="157"/>
    </row>
    <row r="13" spans="1:60" s="2" customFormat="1">
      <c r="A13" s="1">
        <f t="shared" si="7"/>
        <v>6</v>
      </c>
      <c r="B13" s="12" t="s">
        <v>25</v>
      </c>
      <c r="C13" s="13">
        <v>3600</v>
      </c>
      <c r="D13" s="14">
        <v>12</v>
      </c>
      <c r="E13" s="39"/>
      <c r="F13" s="39"/>
      <c r="G13" s="40">
        <v>31</v>
      </c>
      <c r="H13" s="41">
        <v>57</v>
      </c>
      <c r="I13" s="44">
        <f t="shared" si="0"/>
        <v>3569</v>
      </c>
      <c r="J13" s="64">
        <f t="shared" si="1"/>
        <v>-45</v>
      </c>
      <c r="K13" s="67"/>
      <c r="L13" s="51">
        <v>3</v>
      </c>
      <c r="M13" s="51">
        <v>23</v>
      </c>
      <c r="N13" s="51">
        <v>12</v>
      </c>
      <c r="O13" s="51">
        <v>22</v>
      </c>
      <c r="P13" s="51">
        <v>16</v>
      </c>
      <c r="Q13" s="102">
        <v>12</v>
      </c>
      <c r="R13" s="107">
        <f t="shared" si="2"/>
        <v>31</v>
      </c>
      <c r="S13" s="104">
        <f t="shared" si="3"/>
        <v>57</v>
      </c>
      <c r="T13" s="67"/>
      <c r="U13" s="136">
        <f t="shared" si="4"/>
        <v>744</v>
      </c>
      <c r="V13" s="141">
        <f t="shared" si="5"/>
        <v>31</v>
      </c>
      <c r="W13" s="138">
        <f t="shared" si="6"/>
        <v>85611</v>
      </c>
      <c r="X13" s="139"/>
      <c r="Y13" s="3"/>
      <c r="AD13" s="3"/>
      <c r="AG13" s="3"/>
      <c r="AH13" s="3"/>
      <c r="AI13" s="3"/>
      <c r="AJ13" s="3"/>
      <c r="AK13" s="3"/>
      <c r="AL13" s="157"/>
      <c r="AM13" s="157"/>
      <c r="AN13" s="157"/>
      <c r="AO13" s="157"/>
      <c r="AP13" s="157"/>
      <c r="AQ13" s="157"/>
      <c r="AR13" s="157"/>
      <c r="AS13" s="157"/>
      <c r="AT13" s="157"/>
      <c r="AU13" s="157"/>
      <c r="AV13" s="157"/>
      <c r="AW13" s="157"/>
      <c r="AX13" s="157"/>
      <c r="AY13" s="157"/>
      <c r="AZ13" s="157"/>
      <c r="BA13" s="157"/>
      <c r="BB13" s="157"/>
      <c r="BC13" s="157"/>
      <c r="BD13" s="157"/>
      <c r="BE13" s="157"/>
      <c r="BF13" s="157"/>
      <c r="BG13" s="157"/>
      <c r="BH13" s="157"/>
    </row>
    <row r="14" spans="1:60">
      <c r="A14" s="1">
        <f t="shared" si="7"/>
        <v>7</v>
      </c>
      <c r="B14" s="7" t="s">
        <v>26</v>
      </c>
      <c r="C14" s="10">
        <v>3</v>
      </c>
      <c r="D14" s="11">
        <v>16</v>
      </c>
      <c r="E14" s="36"/>
      <c r="F14" s="36"/>
      <c r="G14" s="37"/>
      <c r="H14" s="38"/>
      <c r="I14" s="68">
        <f t="shared" si="0"/>
        <v>3</v>
      </c>
      <c r="J14" s="66">
        <f t="shared" si="1"/>
        <v>16</v>
      </c>
      <c r="K14" s="62"/>
      <c r="L14" s="36"/>
      <c r="M14" s="36"/>
      <c r="N14" s="36"/>
      <c r="O14" s="36"/>
      <c r="P14" s="36"/>
      <c r="Q14" s="99"/>
      <c r="R14" s="108">
        <f t="shared" si="2"/>
        <v>0</v>
      </c>
      <c r="S14" s="106">
        <f t="shared" si="3"/>
        <v>0</v>
      </c>
      <c r="T14" s="62"/>
      <c r="U14" s="8">
        <f t="shared" si="4"/>
        <v>0</v>
      </c>
      <c r="V14" s="33">
        <f t="shared" si="5"/>
        <v>0</v>
      </c>
      <c r="W14" s="134">
        <f t="shared" si="6"/>
        <v>88</v>
      </c>
      <c r="X14" s="61"/>
      <c r="AL14" s="157"/>
      <c r="AM14" s="157"/>
      <c r="AN14" s="157"/>
      <c r="AO14" s="157"/>
      <c r="AP14" s="157"/>
      <c r="AQ14" s="157"/>
      <c r="AR14" s="157"/>
      <c r="AS14" s="157"/>
      <c r="AT14" s="157"/>
      <c r="AU14" s="157"/>
      <c r="AV14" s="157"/>
      <c r="AW14" s="157"/>
      <c r="AX14" s="157"/>
      <c r="AY14" s="157"/>
      <c r="AZ14" s="157"/>
      <c r="BA14" s="157"/>
      <c r="BB14" s="157"/>
      <c r="BC14" s="157"/>
      <c r="BD14" s="157"/>
      <c r="BE14" s="157"/>
      <c r="BF14" s="157"/>
      <c r="BG14" s="157"/>
      <c r="BH14" s="157"/>
    </row>
    <row r="15" spans="1:60">
      <c r="A15" s="1">
        <f t="shared" si="7"/>
        <v>8</v>
      </c>
      <c r="B15" s="15" t="s">
        <v>27</v>
      </c>
      <c r="C15" s="10">
        <v>4</v>
      </c>
      <c r="D15" s="11"/>
      <c r="E15" s="36"/>
      <c r="F15" s="36"/>
      <c r="G15" s="37"/>
      <c r="H15" s="38"/>
      <c r="I15" s="38">
        <f t="shared" si="0"/>
        <v>4</v>
      </c>
      <c r="J15" s="63">
        <f t="shared" si="1"/>
        <v>0</v>
      </c>
      <c r="K15" s="62"/>
      <c r="L15" s="36"/>
      <c r="M15" s="36"/>
      <c r="N15" s="36"/>
      <c r="O15" s="36"/>
      <c r="P15" s="36"/>
      <c r="Q15" s="99"/>
      <c r="R15" s="100">
        <f t="shared" si="2"/>
        <v>0</v>
      </c>
      <c r="S15" s="101">
        <f t="shared" si="3"/>
        <v>0</v>
      </c>
      <c r="T15" s="62"/>
      <c r="U15" s="8">
        <f t="shared" si="4"/>
        <v>0</v>
      </c>
      <c r="V15" s="135">
        <f t="shared" si="5"/>
        <v>0</v>
      </c>
      <c r="W15" s="134">
        <f t="shared" si="6"/>
        <v>96</v>
      </c>
      <c r="X15" s="61"/>
      <c r="AL15" s="157"/>
      <c r="AM15" s="157"/>
      <c r="AN15" s="157"/>
      <c r="AO15" s="157"/>
      <c r="AP15" s="157"/>
      <c r="AQ15" s="157"/>
      <c r="AR15" s="157"/>
      <c r="AS15" s="157"/>
      <c r="AT15" s="157"/>
      <c r="AU15" s="157"/>
      <c r="AV15" s="157"/>
      <c r="AW15" s="157"/>
      <c r="AX15" s="157"/>
      <c r="AY15" s="157"/>
      <c r="AZ15" s="157"/>
      <c r="BA15" s="157"/>
      <c r="BB15" s="157"/>
      <c r="BC15" s="157"/>
      <c r="BD15" s="157"/>
      <c r="BE15" s="157"/>
      <c r="BF15" s="157"/>
      <c r="BG15" s="157"/>
      <c r="BH15" s="157"/>
    </row>
    <row r="16" spans="1:60">
      <c r="A16" s="1">
        <f t="shared" si="7"/>
        <v>9</v>
      </c>
      <c r="B16" s="15" t="s">
        <v>28</v>
      </c>
      <c r="C16" s="10">
        <v>1</v>
      </c>
      <c r="D16" s="11"/>
      <c r="E16" s="36"/>
      <c r="F16" s="36"/>
      <c r="G16" s="37"/>
      <c r="H16" s="38"/>
      <c r="I16" s="38">
        <f t="shared" si="0"/>
        <v>1</v>
      </c>
      <c r="J16" s="63">
        <f t="shared" si="1"/>
        <v>0</v>
      </c>
      <c r="K16" s="62"/>
      <c r="L16" s="36"/>
      <c r="M16" s="36"/>
      <c r="N16" s="36"/>
      <c r="O16" s="36"/>
      <c r="P16" s="36"/>
      <c r="Q16" s="99"/>
      <c r="R16" s="100">
        <f t="shared" si="2"/>
        <v>0</v>
      </c>
      <c r="S16" s="101">
        <f t="shared" si="3"/>
        <v>0</v>
      </c>
      <c r="T16" s="62"/>
      <c r="U16" s="8">
        <f t="shared" si="4"/>
        <v>0</v>
      </c>
      <c r="V16" s="135">
        <f t="shared" si="5"/>
        <v>0</v>
      </c>
      <c r="W16" s="134">
        <f t="shared" si="6"/>
        <v>24</v>
      </c>
      <c r="X16" s="61"/>
      <c r="AL16" s="157"/>
      <c r="AM16" s="157"/>
      <c r="AN16" s="157"/>
      <c r="AO16" s="157"/>
      <c r="AP16" s="157"/>
      <c r="AQ16" s="157"/>
      <c r="AR16" s="157"/>
      <c r="AS16" s="157"/>
      <c r="AT16" s="157"/>
      <c r="AU16" s="157"/>
      <c r="AV16" s="157"/>
      <c r="AW16" s="157"/>
      <c r="AX16" s="157"/>
      <c r="AY16" s="157"/>
      <c r="AZ16" s="157"/>
      <c r="BA16" s="157"/>
      <c r="BB16" s="157"/>
      <c r="BC16" s="157"/>
      <c r="BD16" s="157"/>
      <c r="BE16" s="157"/>
      <c r="BF16" s="157"/>
      <c r="BG16" s="157"/>
      <c r="BH16" s="157"/>
    </row>
    <row r="17" spans="1:60">
      <c r="A17" s="1">
        <f t="shared" si="7"/>
        <v>10</v>
      </c>
      <c r="B17" s="15" t="s">
        <v>29</v>
      </c>
      <c r="C17" s="10"/>
      <c r="D17" s="11"/>
      <c r="E17" s="36"/>
      <c r="F17" s="36"/>
      <c r="G17" s="37"/>
      <c r="H17" s="38"/>
      <c r="I17" s="38">
        <f t="shared" si="0"/>
        <v>0</v>
      </c>
      <c r="J17" s="63">
        <f t="shared" si="1"/>
        <v>0</v>
      </c>
      <c r="K17" s="62"/>
      <c r="L17" s="36"/>
      <c r="M17" s="36"/>
      <c r="N17" s="36"/>
      <c r="O17" s="36"/>
      <c r="P17" s="36"/>
      <c r="Q17" s="99"/>
      <c r="R17" s="100">
        <f t="shared" si="2"/>
        <v>0</v>
      </c>
      <c r="S17" s="101">
        <f t="shared" si="3"/>
        <v>0</v>
      </c>
      <c r="T17" s="62"/>
      <c r="U17" s="8">
        <f t="shared" si="4"/>
        <v>0</v>
      </c>
      <c r="V17" s="135">
        <f t="shared" si="5"/>
        <v>0</v>
      </c>
      <c r="W17" s="134">
        <f t="shared" si="6"/>
        <v>0</v>
      </c>
      <c r="X17" s="61"/>
      <c r="AL17" s="157"/>
      <c r="AM17" s="157"/>
      <c r="AN17" s="157"/>
      <c r="AO17" s="157"/>
      <c r="AP17" s="157"/>
      <c r="AQ17" s="157"/>
      <c r="AR17" s="157"/>
      <c r="AS17" s="157"/>
      <c r="AT17" s="157"/>
      <c r="AU17" s="157"/>
      <c r="AV17" s="157"/>
      <c r="AW17" s="157"/>
      <c r="AX17" s="157"/>
      <c r="AY17" s="157"/>
      <c r="AZ17" s="157"/>
      <c r="BA17" s="157"/>
      <c r="BB17" s="157"/>
      <c r="BC17" s="157"/>
      <c r="BD17" s="157"/>
      <c r="BE17" s="157"/>
      <c r="BF17" s="157"/>
      <c r="BG17" s="157"/>
      <c r="BH17" s="157"/>
    </row>
    <row r="18" spans="1:60">
      <c r="A18" s="1">
        <f t="shared" si="7"/>
        <v>11</v>
      </c>
      <c r="B18" s="15" t="s">
        <v>30</v>
      </c>
      <c r="C18" s="10">
        <v>3</v>
      </c>
      <c r="D18" s="11"/>
      <c r="E18" s="36"/>
      <c r="F18" s="36"/>
      <c r="G18" s="37"/>
      <c r="H18" s="38"/>
      <c r="I18" s="38">
        <f t="shared" si="0"/>
        <v>3</v>
      </c>
      <c r="J18" s="63">
        <f t="shared" si="1"/>
        <v>0</v>
      </c>
      <c r="K18" s="62"/>
      <c r="L18" s="36"/>
      <c r="M18" s="36"/>
      <c r="N18" s="36"/>
      <c r="O18" s="36"/>
      <c r="P18" s="36"/>
      <c r="Q18" s="99"/>
      <c r="R18" s="100">
        <f t="shared" si="2"/>
        <v>0</v>
      </c>
      <c r="S18" s="101">
        <f t="shared" si="3"/>
        <v>0</v>
      </c>
      <c r="T18" s="62"/>
      <c r="U18" s="8">
        <f t="shared" si="4"/>
        <v>0</v>
      </c>
      <c r="V18" s="135">
        <f t="shared" si="5"/>
        <v>0</v>
      </c>
      <c r="W18" s="134">
        <f t="shared" si="6"/>
        <v>72</v>
      </c>
      <c r="X18" s="61"/>
      <c r="AL18" s="157"/>
      <c r="AM18" s="157"/>
      <c r="AN18" s="157"/>
      <c r="AO18" s="157"/>
      <c r="AP18" s="157"/>
      <c r="AQ18" s="157"/>
      <c r="AR18" s="157"/>
      <c r="AS18" s="157"/>
      <c r="AT18" s="157"/>
      <c r="AU18" s="157"/>
      <c r="AV18" s="157"/>
      <c r="AW18" s="157"/>
      <c r="AX18" s="157"/>
      <c r="AY18" s="157"/>
      <c r="AZ18" s="157"/>
      <c r="BA18" s="157"/>
      <c r="BB18" s="157"/>
      <c r="BC18" s="157"/>
      <c r="BD18" s="157"/>
      <c r="BE18" s="157"/>
      <c r="BF18" s="157"/>
      <c r="BG18" s="157"/>
      <c r="BH18" s="157"/>
    </row>
    <row r="19" spans="1:60" ht="18.75" hidden="1" customHeight="1">
      <c r="A19" s="1">
        <f t="shared" si="7"/>
        <v>12</v>
      </c>
      <c r="B19" s="15" t="s">
        <v>31</v>
      </c>
      <c r="C19" s="10"/>
      <c r="D19" s="11"/>
      <c r="E19" s="36"/>
      <c r="F19" s="36"/>
      <c r="G19" s="37"/>
      <c r="H19" s="38"/>
      <c r="I19" s="38">
        <f t="shared" si="0"/>
        <v>0</v>
      </c>
      <c r="J19" s="63">
        <f t="shared" si="1"/>
        <v>0</v>
      </c>
      <c r="K19" s="62"/>
      <c r="L19" s="36"/>
      <c r="M19" s="36"/>
      <c r="N19" s="36"/>
      <c r="O19" s="36"/>
      <c r="P19" s="36"/>
      <c r="Q19" s="99"/>
      <c r="R19" s="100">
        <f t="shared" si="2"/>
        <v>0</v>
      </c>
      <c r="S19" s="101">
        <f t="shared" si="3"/>
        <v>0</v>
      </c>
      <c r="T19" s="62"/>
      <c r="U19" s="8">
        <f t="shared" si="4"/>
        <v>0</v>
      </c>
      <c r="V19" s="135">
        <f t="shared" si="5"/>
        <v>0</v>
      </c>
      <c r="W19" s="134">
        <f t="shared" si="6"/>
        <v>0</v>
      </c>
      <c r="X19" s="61"/>
      <c r="AL19" s="157"/>
      <c r="AM19" s="157"/>
      <c r="AN19" s="157"/>
      <c r="AO19" s="157"/>
      <c r="AP19" s="157"/>
      <c r="AQ19" s="157"/>
      <c r="AR19" s="157"/>
      <c r="AS19" s="157"/>
      <c r="AT19" s="157"/>
      <c r="AU19" s="157"/>
      <c r="AV19" s="157"/>
      <c r="AW19" s="157"/>
      <c r="AX19" s="157"/>
      <c r="AY19" s="157"/>
      <c r="AZ19" s="157"/>
      <c r="BA19" s="157"/>
      <c r="BB19" s="157"/>
      <c r="BC19" s="157"/>
      <c r="BD19" s="157"/>
      <c r="BE19" s="157"/>
      <c r="BF19" s="157"/>
      <c r="BG19" s="157"/>
      <c r="BH19" s="157"/>
    </row>
    <row r="20" spans="1:60">
      <c r="A20" s="1">
        <f t="shared" si="7"/>
        <v>13</v>
      </c>
      <c r="B20" s="15" t="s">
        <v>32</v>
      </c>
      <c r="C20" s="10">
        <v>4</v>
      </c>
      <c r="D20" s="11">
        <v>20</v>
      </c>
      <c r="E20" s="36"/>
      <c r="F20" s="36"/>
      <c r="G20" s="37"/>
      <c r="H20" s="38"/>
      <c r="I20" s="38">
        <f t="shared" si="0"/>
        <v>4</v>
      </c>
      <c r="J20" s="63">
        <f t="shared" si="1"/>
        <v>20</v>
      </c>
      <c r="K20" s="62"/>
      <c r="L20" s="36"/>
      <c r="M20" s="36"/>
      <c r="N20" s="36"/>
      <c r="O20" s="36"/>
      <c r="P20" s="36"/>
      <c r="Q20" s="99"/>
      <c r="R20" s="100">
        <f t="shared" si="2"/>
        <v>0</v>
      </c>
      <c r="S20" s="101">
        <f t="shared" si="3"/>
        <v>0</v>
      </c>
      <c r="T20" s="62"/>
      <c r="U20" s="8">
        <f t="shared" si="4"/>
        <v>0</v>
      </c>
      <c r="V20" s="135">
        <f t="shared" si="5"/>
        <v>0</v>
      </c>
      <c r="W20" s="134">
        <f t="shared" si="6"/>
        <v>116</v>
      </c>
      <c r="X20" s="61"/>
      <c r="AL20" s="157"/>
      <c r="AM20" s="157"/>
      <c r="AN20" s="157"/>
      <c r="AO20" s="157"/>
      <c r="AP20" s="157"/>
      <c r="AQ20" s="157"/>
      <c r="AR20" s="157"/>
      <c r="AS20" s="157"/>
      <c r="AT20" s="157"/>
      <c r="AU20" s="157"/>
      <c r="AV20" s="157"/>
      <c r="AW20" s="157"/>
      <c r="AX20" s="157"/>
      <c r="AY20" s="157"/>
      <c r="AZ20" s="157"/>
      <c r="BA20" s="157"/>
      <c r="BB20" s="157"/>
      <c r="BC20" s="157"/>
      <c r="BD20" s="157"/>
      <c r="BE20" s="157"/>
      <c r="BF20" s="157"/>
      <c r="BG20" s="157"/>
      <c r="BH20" s="157"/>
    </row>
    <row r="21" spans="1:60">
      <c r="A21" s="1">
        <f t="shared" si="7"/>
        <v>14</v>
      </c>
      <c r="B21" s="15" t="s">
        <v>33</v>
      </c>
      <c r="C21" s="10">
        <v>7</v>
      </c>
      <c r="D21" s="11">
        <v>16</v>
      </c>
      <c r="E21" s="36"/>
      <c r="F21" s="36"/>
      <c r="G21" s="37"/>
      <c r="H21" s="38"/>
      <c r="I21" s="38">
        <f t="shared" si="0"/>
        <v>7</v>
      </c>
      <c r="J21" s="63">
        <f t="shared" si="1"/>
        <v>16</v>
      </c>
      <c r="K21" s="62"/>
      <c r="L21" s="36"/>
      <c r="M21" s="36"/>
      <c r="N21" s="36"/>
      <c r="O21" s="36"/>
      <c r="P21" s="36"/>
      <c r="Q21" s="99"/>
      <c r="R21" s="100">
        <f t="shared" si="2"/>
        <v>0</v>
      </c>
      <c r="S21" s="101">
        <f t="shared" si="3"/>
        <v>0</v>
      </c>
      <c r="T21" s="62"/>
      <c r="U21" s="8">
        <f t="shared" si="4"/>
        <v>0</v>
      </c>
      <c r="V21" s="135">
        <f t="shared" si="5"/>
        <v>0</v>
      </c>
      <c r="W21" s="134">
        <f t="shared" si="6"/>
        <v>184</v>
      </c>
      <c r="X21" s="61"/>
      <c r="AL21" s="157"/>
      <c r="AM21" s="157"/>
      <c r="AN21" s="157"/>
      <c r="AO21" s="157"/>
      <c r="AP21" s="157"/>
      <c r="AQ21" s="157"/>
      <c r="AR21" s="157"/>
      <c r="AS21" s="157"/>
      <c r="AT21" s="157"/>
      <c r="AU21" s="157"/>
      <c r="AV21" s="157"/>
      <c r="AW21" s="157"/>
      <c r="AX21" s="157"/>
      <c r="AY21" s="157"/>
      <c r="AZ21" s="157"/>
      <c r="BA21" s="157"/>
      <c r="BB21" s="157"/>
      <c r="BC21" s="157"/>
      <c r="BD21" s="157"/>
      <c r="BE21" s="157"/>
      <c r="BF21" s="157"/>
      <c r="BG21" s="157"/>
      <c r="BH21" s="157"/>
    </row>
    <row r="22" spans="1:60">
      <c r="A22" s="1">
        <f t="shared" si="7"/>
        <v>15</v>
      </c>
      <c r="B22" s="15" t="s">
        <v>34</v>
      </c>
      <c r="C22" s="10">
        <v>4</v>
      </c>
      <c r="D22" s="11"/>
      <c r="E22" s="36"/>
      <c r="F22" s="36"/>
      <c r="G22" s="37"/>
      <c r="H22" s="38"/>
      <c r="I22" s="38">
        <f t="shared" si="0"/>
        <v>4</v>
      </c>
      <c r="J22" s="63">
        <f t="shared" si="1"/>
        <v>0</v>
      </c>
      <c r="K22" s="62"/>
      <c r="L22" s="36"/>
      <c r="M22" s="36"/>
      <c r="N22" s="36"/>
      <c r="O22" s="36"/>
      <c r="P22" s="36"/>
      <c r="Q22" s="99"/>
      <c r="R22" s="100">
        <f t="shared" si="2"/>
        <v>0</v>
      </c>
      <c r="S22" s="101">
        <f t="shared" si="3"/>
        <v>0</v>
      </c>
      <c r="T22" s="62"/>
      <c r="U22" s="8">
        <f t="shared" si="4"/>
        <v>0</v>
      </c>
      <c r="V22" s="135">
        <f t="shared" si="5"/>
        <v>0</v>
      </c>
      <c r="W22" s="134">
        <f t="shared" si="6"/>
        <v>96</v>
      </c>
      <c r="X22" s="61"/>
      <c r="AL22" s="157"/>
      <c r="AM22" s="157"/>
      <c r="AN22" s="157"/>
      <c r="AO22" s="157"/>
      <c r="AP22" s="157"/>
      <c r="AQ22" s="157"/>
      <c r="AR22" s="157"/>
      <c r="AS22" s="157"/>
      <c r="AT22" s="157"/>
      <c r="AU22" s="157"/>
      <c r="AV22" s="157"/>
      <c r="AW22" s="157"/>
      <c r="AX22" s="157"/>
      <c r="AY22" s="157"/>
      <c r="AZ22" s="157"/>
      <c r="BA22" s="157"/>
      <c r="BB22" s="157"/>
      <c r="BC22" s="157"/>
      <c r="BD22" s="157"/>
      <c r="BE22" s="157"/>
      <c r="BF22" s="157"/>
      <c r="BG22" s="157"/>
      <c r="BH22" s="157"/>
    </row>
    <row r="23" spans="1:60" s="2" customFormat="1">
      <c r="A23" s="1">
        <f t="shared" si="7"/>
        <v>16</v>
      </c>
      <c r="B23" s="15" t="s">
        <v>35</v>
      </c>
      <c r="C23" s="10">
        <v>1</v>
      </c>
      <c r="D23" s="11">
        <v>20</v>
      </c>
      <c r="E23" s="36"/>
      <c r="F23" s="36"/>
      <c r="G23" s="37"/>
      <c r="H23" s="38"/>
      <c r="I23" s="38">
        <f t="shared" si="0"/>
        <v>1</v>
      </c>
      <c r="J23" s="63">
        <f t="shared" si="1"/>
        <v>20</v>
      </c>
      <c r="K23" s="69"/>
      <c r="L23" s="36"/>
      <c r="M23" s="36"/>
      <c r="N23" s="36"/>
      <c r="O23" s="36"/>
      <c r="P23" s="36"/>
      <c r="Q23" s="99"/>
      <c r="R23" s="100">
        <f t="shared" si="2"/>
        <v>0</v>
      </c>
      <c r="S23" s="101">
        <f t="shared" si="3"/>
        <v>0</v>
      </c>
      <c r="T23" s="69"/>
      <c r="U23" s="8">
        <f t="shared" si="4"/>
        <v>0</v>
      </c>
      <c r="V23" s="135">
        <f t="shared" si="5"/>
        <v>0</v>
      </c>
      <c r="W23" s="134">
        <f t="shared" si="6"/>
        <v>44</v>
      </c>
      <c r="X23" s="61"/>
      <c r="Y23" s="3"/>
      <c r="AD23" s="3"/>
      <c r="AG23" s="3"/>
      <c r="AH23" s="3"/>
      <c r="AI23" s="3"/>
      <c r="AJ23" s="3"/>
      <c r="AK23" s="3"/>
      <c r="AL23" s="157"/>
      <c r="AM23" s="157"/>
      <c r="AN23" s="157"/>
      <c r="AO23" s="157"/>
      <c r="AP23" s="157"/>
      <c r="AQ23" s="157"/>
      <c r="AR23" s="157"/>
      <c r="AS23" s="157"/>
      <c r="AT23" s="157"/>
      <c r="AU23" s="157"/>
      <c r="AV23" s="157"/>
      <c r="AW23" s="157"/>
      <c r="AX23" s="157"/>
      <c r="AY23" s="157"/>
      <c r="AZ23" s="157"/>
      <c r="BA23" s="157"/>
      <c r="BB23" s="157"/>
      <c r="BC23" s="157"/>
      <c r="BD23" s="157"/>
      <c r="BE23" s="157"/>
      <c r="BF23" s="157"/>
      <c r="BG23" s="157"/>
      <c r="BH23" s="157"/>
    </row>
    <row r="24" spans="1:60" s="2" customFormat="1">
      <c r="A24" s="1">
        <f t="shared" si="7"/>
        <v>17</v>
      </c>
      <c r="B24" s="15" t="s">
        <v>36</v>
      </c>
      <c r="C24" s="10">
        <v>37</v>
      </c>
      <c r="D24" s="11">
        <v>19</v>
      </c>
      <c r="E24" s="36"/>
      <c r="F24" s="36"/>
      <c r="G24" s="37"/>
      <c r="H24" s="38"/>
      <c r="I24" s="38">
        <f t="shared" si="0"/>
        <v>37</v>
      </c>
      <c r="J24" s="63">
        <f t="shared" si="1"/>
        <v>19</v>
      </c>
      <c r="K24" s="69"/>
      <c r="L24" s="36"/>
      <c r="M24" s="36"/>
      <c r="N24" s="36"/>
      <c r="O24" s="36"/>
      <c r="P24" s="36"/>
      <c r="Q24" s="99"/>
      <c r="R24" s="100">
        <f t="shared" si="2"/>
        <v>0</v>
      </c>
      <c r="S24" s="101">
        <f t="shared" si="3"/>
        <v>0</v>
      </c>
      <c r="T24" s="69"/>
      <c r="U24" s="8">
        <f t="shared" si="4"/>
        <v>0</v>
      </c>
      <c r="V24" s="135">
        <f t="shared" si="5"/>
        <v>0</v>
      </c>
      <c r="W24" s="134">
        <f t="shared" si="6"/>
        <v>907</v>
      </c>
      <c r="X24" s="61"/>
      <c r="Y24" s="3"/>
      <c r="AD24" s="3"/>
      <c r="AG24" s="3"/>
      <c r="AH24" s="3"/>
      <c r="AI24" s="3"/>
      <c r="AJ24" s="3"/>
      <c r="AK24" s="3"/>
      <c r="AL24" s="157"/>
      <c r="AM24" s="157"/>
      <c r="AN24" s="157"/>
      <c r="AO24" s="157"/>
      <c r="AP24" s="157"/>
      <c r="AQ24" s="157"/>
      <c r="AR24" s="157"/>
      <c r="AS24" s="157"/>
      <c r="AT24" s="157"/>
      <c r="AU24" s="157"/>
      <c r="AV24" s="157"/>
      <c r="AW24" s="157"/>
      <c r="AX24" s="157"/>
      <c r="AY24" s="157"/>
      <c r="AZ24" s="157"/>
      <c r="BA24" s="157"/>
      <c r="BB24" s="157"/>
      <c r="BC24" s="157"/>
      <c r="BD24" s="157"/>
      <c r="BE24" s="157"/>
      <c r="BF24" s="157"/>
      <c r="BG24" s="157"/>
      <c r="BH24" s="157"/>
    </row>
    <row r="25" spans="1:60">
      <c r="A25" s="1">
        <f t="shared" si="7"/>
        <v>18</v>
      </c>
      <c r="B25" s="15" t="s">
        <v>37</v>
      </c>
      <c r="C25" s="10">
        <v>10</v>
      </c>
      <c r="D25" s="11"/>
      <c r="E25" s="36"/>
      <c r="F25" s="36"/>
      <c r="G25" s="37"/>
      <c r="H25" s="38"/>
      <c r="I25" s="38">
        <f t="shared" si="0"/>
        <v>10</v>
      </c>
      <c r="J25" s="63">
        <f t="shared" si="1"/>
        <v>0</v>
      </c>
      <c r="K25" s="62"/>
      <c r="L25" s="36"/>
      <c r="M25" s="36"/>
      <c r="N25" s="36"/>
      <c r="O25" s="36"/>
      <c r="P25" s="36"/>
      <c r="Q25" s="99"/>
      <c r="R25" s="100">
        <f t="shared" si="2"/>
        <v>0</v>
      </c>
      <c r="S25" s="101">
        <f t="shared" si="3"/>
        <v>0</v>
      </c>
      <c r="T25" s="62"/>
      <c r="U25" s="8">
        <f t="shared" si="4"/>
        <v>0</v>
      </c>
      <c r="V25" s="135">
        <f t="shared" si="5"/>
        <v>0</v>
      </c>
      <c r="W25" s="134">
        <f t="shared" si="6"/>
        <v>240</v>
      </c>
      <c r="X25" s="61"/>
      <c r="AL25" s="157"/>
      <c r="AM25" s="157"/>
      <c r="AN25" s="157"/>
      <c r="AO25" s="157"/>
      <c r="AP25" s="157"/>
      <c r="AQ25" s="157"/>
      <c r="AR25" s="157"/>
      <c r="AS25" s="157"/>
      <c r="AT25" s="157"/>
      <c r="AU25" s="157"/>
      <c r="AV25" s="157"/>
      <c r="AW25" s="157"/>
      <c r="AX25" s="157"/>
      <c r="AY25" s="157"/>
      <c r="AZ25" s="157"/>
      <c r="BA25" s="157"/>
      <c r="BB25" s="157"/>
      <c r="BC25" s="157"/>
      <c r="BD25" s="157"/>
      <c r="BE25" s="157"/>
      <c r="BF25" s="157"/>
      <c r="BG25" s="157"/>
      <c r="BH25" s="157"/>
    </row>
    <row r="26" spans="1:60">
      <c r="A26" s="1">
        <f t="shared" si="7"/>
        <v>19</v>
      </c>
      <c r="B26" s="15" t="s">
        <v>38</v>
      </c>
      <c r="C26" s="10"/>
      <c r="D26" s="11">
        <v>1</v>
      </c>
      <c r="E26" s="36"/>
      <c r="F26" s="36"/>
      <c r="G26" s="37"/>
      <c r="H26" s="38"/>
      <c r="I26" s="38">
        <f t="shared" si="0"/>
        <v>0</v>
      </c>
      <c r="J26" s="63">
        <f t="shared" si="1"/>
        <v>1</v>
      </c>
      <c r="K26" s="62"/>
      <c r="L26" s="36"/>
      <c r="M26" s="36"/>
      <c r="N26" s="36"/>
      <c r="O26" s="36"/>
      <c r="P26" s="36"/>
      <c r="Q26" s="99"/>
      <c r="R26" s="100">
        <f t="shared" si="2"/>
        <v>0</v>
      </c>
      <c r="S26" s="101">
        <f t="shared" si="3"/>
        <v>0</v>
      </c>
      <c r="T26" s="62"/>
      <c r="U26" s="8">
        <f t="shared" si="4"/>
        <v>0</v>
      </c>
      <c r="V26" s="135">
        <f t="shared" si="5"/>
        <v>0</v>
      </c>
      <c r="W26" s="134">
        <f t="shared" si="6"/>
        <v>1</v>
      </c>
      <c r="X26" s="61"/>
      <c r="BE26" s="158" t="e">
        <f>#REF!-BE25</f>
        <v>#REF!</v>
      </c>
    </row>
    <row r="27" spans="1:60" s="2" customFormat="1">
      <c r="A27" s="1">
        <f t="shared" si="7"/>
        <v>20</v>
      </c>
      <c r="B27" s="15" t="s">
        <v>39</v>
      </c>
      <c r="C27" s="10"/>
      <c r="D27" s="11"/>
      <c r="E27" s="36"/>
      <c r="F27" s="36"/>
      <c r="G27" s="37"/>
      <c r="H27" s="38"/>
      <c r="I27" s="38">
        <f t="shared" si="0"/>
        <v>0</v>
      </c>
      <c r="J27" s="63">
        <f t="shared" si="1"/>
        <v>0</v>
      </c>
      <c r="K27" s="69"/>
      <c r="L27" s="36"/>
      <c r="M27" s="36"/>
      <c r="N27" s="36"/>
      <c r="O27" s="36"/>
      <c r="P27" s="36"/>
      <c r="Q27" s="99"/>
      <c r="R27" s="100">
        <f t="shared" si="2"/>
        <v>0</v>
      </c>
      <c r="S27" s="101">
        <f t="shared" si="3"/>
        <v>0</v>
      </c>
      <c r="T27" s="69"/>
      <c r="U27" s="8">
        <f t="shared" si="4"/>
        <v>0</v>
      </c>
      <c r="V27" s="135">
        <f t="shared" si="5"/>
        <v>0</v>
      </c>
      <c r="W27" s="134">
        <f t="shared" si="6"/>
        <v>0</v>
      </c>
      <c r="X27" s="61"/>
      <c r="Y27" s="3"/>
      <c r="AD27" s="3"/>
      <c r="AG27" s="3"/>
      <c r="AH27" s="3"/>
      <c r="AI27" s="3"/>
      <c r="AJ27" s="3"/>
      <c r="AK27" s="3"/>
    </row>
    <row r="28" spans="1:60" s="2" customFormat="1">
      <c r="A28" s="1">
        <f t="shared" si="7"/>
        <v>21</v>
      </c>
      <c r="B28" s="15" t="s">
        <v>40</v>
      </c>
      <c r="C28" s="10"/>
      <c r="D28" s="11"/>
      <c r="E28" s="36"/>
      <c r="F28" s="36"/>
      <c r="G28" s="37"/>
      <c r="H28" s="38"/>
      <c r="I28" s="38">
        <f t="shared" si="0"/>
        <v>0</v>
      </c>
      <c r="J28" s="63">
        <f t="shared" si="1"/>
        <v>0</v>
      </c>
      <c r="K28" s="69"/>
      <c r="L28" s="36"/>
      <c r="M28" s="36"/>
      <c r="N28" s="36"/>
      <c r="O28" s="36"/>
      <c r="P28" s="36"/>
      <c r="Q28" s="99"/>
      <c r="R28" s="100">
        <f t="shared" si="2"/>
        <v>0</v>
      </c>
      <c r="S28" s="101">
        <f t="shared" si="3"/>
        <v>0</v>
      </c>
      <c r="T28" s="69"/>
      <c r="U28" s="8">
        <f t="shared" si="4"/>
        <v>0</v>
      </c>
      <c r="V28" s="135">
        <f t="shared" si="5"/>
        <v>0</v>
      </c>
      <c r="W28" s="134">
        <f t="shared" si="6"/>
        <v>0</v>
      </c>
      <c r="X28" s="61"/>
      <c r="Y28" s="3"/>
      <c r="AD28" s="3"/>
      <c r="AG28" s="3"/>
      <c r="AH28" s="3"/>
      <c r="AI28" s="3"/>
      <c r="AJ28" s="3"/>
      <c r="AK28" s="3"/>
    </row>
    <row r="29" spans="1:60" s="2" customFormat="1">
      <c r="A29" s="1">
        <f t="shared" si="7"/>
        <v>22</v>
      </c>
      <c r="B29" s="15" t="s">
        <v>41</v>
      </c>
      <c r="C29" s="10">
        <v>8</v>
      </c>
      <c r="D29" s="11"/>
      <c r="E29" s="36"/>
      <c r="F29" s="36"/>
      <c r="G29" s="37">
        <v>2</v>
      </c>
      <c r="H29" s="38"/>
      <c r="I29" s="38">
        <f t="shared" si="0"/>
        <v>6</v>
      </c>
      <c r="J29" s="63">
        <f t="shared" si="1"/>
        <v>0</v>
      </c>
      <c r="K29" s="69"/>
      <c r="L29" s="36">
        <v>2</v>
      </c>
      <c r="M29" s="36"/>
      <c r="N29" s="36"/>
      <c r="O29" s="36"/>
      <c r="P29" s="36"/>
      <c r="Q29" s="99"/>
      <c r="R29" s="100">
        <f t="shared" si="2"/>
        <v>2</v>
      </c>
      <c r="S29" s="101">
        <f t="shared" si="3"/>
        <v>0</v>
      </c>
      <c r="T29" s="69"/>
      <c r="U29" s="8">
        <f t="shared" si="4"/>
        <v>48</v>
      </c>
      <c r="V29" s="135">
        <f t="shared" si="5"/>
        <v>2</v>
      </c>
      <c r="W29" s="134">
        <f t="shared" si="6"/>
        <v>144</v>
      </c>
      <c r="X29" s="61"/>
      <c r="Y29" s="3"/>
      <c r="AD29" s="3"/>
      <c r="AG29" s="3"/>
      <c r="AH29" s="3"/>
      <c r="AI29" s="3"/>
      <c r="AJ29" s="3"/>
      <c r="AK29" s="3"/>
    </row>
    <row r="30" spans="1:60">
      <c r="A30" s="1">
        <f t="shared" si="7"/>
        <v>23</v>
      </c>
      <c r="B30" s="15" t="s">
        <v>42</v>
      </c>
      <c r="C30" s="10">
        <v>18</v>
      </c>
      <c r="D30" s="11"/>
      <c r="E30" s="36"/>
      <c r="F30" s="36"/>
      <c r="G30" s="37"/>
      <c r="H30" s="38"/>
      <c r="I30" s="38">
        <f t="shared" si="0"/>
        <v>18</v>
      </c>
      <c r="J30" s="63">
        <f t="shared" si="1"/>
        <v>0</v>
      </c>
      <c r="K30" s="62"/>
      <c r="L30" s="36"/>
      <c r="M30" s="36"/>
      <c r="N30" s="36"/>
      <c r="O30" s="36"/>
      <c r="P30" s="36"/>
      <c r="Q30" s="99"/>
      <c r="R30" s="100">
        <f t="shared" si="2"/>
        <v>0</v>
      </c>
      <c r="S30" s="101">
        <f t="shared" si="3"/>
        <v>0</v>
      </c>
      <c r="T30" s="62"/>
      <c r="U30" s="8">
        <f t="shared" si="4"/>
        <v>0</v>
      </c>
      <c r="V30" s="135">
        <f t="shared" si="5"/>
        <v>0</v>
      </c>
      <c r="W30" s="134">
        <f t="shared" si="6"/>
        <v>432</v>
      </c>
      <c r="X30" s="61"/>
    </row>
    <row r="31" spans="1:60">
      <c r="A31" s="1">
        <f t="shared" si="7"/>
        <v>24</v>
      </c>
      <c r="B31" s="15" t="s">
        <v>43</v>
      </c>
      <c r="C31" s="10">
        <v>15</v>
      </c>
      <c r="D31" s="11"/>
      <c r="E31" s="36"/>
      <c r="F31" s="36"/>
      <c r="G31" s="37"/>
      <c r="H31" s="38"/>
      <c r="I31" s="38">
        <f t="shared" si="0"/>
        <v>15</v>
      </c>
      <c r="J31" s="63">
        <f t="shared" si="1"/>
        <v>0</v>
      </c>
      <c r="K31" s="62"/>
      <c r="L31" s="36"/>
      <c r="M31" s="36"/>
      <c r="N31" s="36"/>
      <c r="O31" s="36"/>
      <c r="P31" s="36"/>
      <c r="Q31" s="99"/>
      <c r="R31" s="100">
        <f t="shared" si="2"/>
        <v>0</v>
      </c>
      <c r="S31" s="101">
        <f t="shared" si="3"/>
        <v>0</v>
      </c>
      <c r="T31" s="62"/>
      <c r="U31" s="8">
        <f t="shared" si="4"/>
        <v>0</v>
      </c>
      <c r="V31" s="135">
        <f t="shared" si="5"/>
        <v>0</v>
      </c>
      <c r="W31" s="134">
        <f t="shared" si="6"/>
        <v>360</v>
      </c>
      <c r="X31" s="61"/>
    </row>
    <row r="32" spans="1:60">
      <c r="A32" s="1">
        <f t="shared" si="7"/>
        <v>25</v>
      </c>
      <c r="B32" s="15" t="s">
        <v>44</v>
      </c>
      <c r="C32" s="10">
        <v>2</v>
      </c>
      <c r="D32" s="11"/>
      <c r="E32" s="36"/>
      <c r="F32" s="36"/>
      <c r="G32" s="37"/>
      <c r="H32" s="38"/>
      <c r="I32" s="38">
        <f t="shared" si="0"/>
        <v>2</v>
      </c>
      <c r="J32" s="63">
        <f t="shared" si="1"/>
        <v>0</v>
      </c>
      <c r="K32" s="62"/>
      <c r="L32" s="36"/>
      <c r="M32" s="36"/>
      <c r="N32" s="36"/>
      <c r="O32" s="36"/>
      <c r="P32" s="36"/>
      <c r="Q32" s="99"/>
      <c r="R32" s="100">
        <f t="shared" si="2"/>
        <v>0</v>
      </c>
      <c r="S32" s="101">
        <f t="shared" si="3"/>
        <v>0</v>
      </c>
      <c r="T32" s="62"/>
      <c r="U32" s="8">
        <f t="shared" si="4"/>
        <v>0</v>
      </c>
      <c r="V32" s="135">
        <f t="shared" si="5"/>
        <v>0</v>
      </c>
      <c r="W32" s="134">
        <f t="shared" si="6"/>
        <v>48</v>
      </c>
      <c r="X32" s="61"/>
    </row>
    <row r="33" spans="1:26">
      <c r="A33" s="1">
        <f t="shared" si="7"/>
        <v>26</v>
      </c>
      <c r="B33" s="15" t="s">
        <v>45</v>
      </c>
      <c r="C33" s="10">
        <v>5</v>
      </c>
      <c r="D33" s="11"/>
      <c r="E33" s="36"/>
      <c r="F33" s="36"/>
      <c r="G33" s="37"/>
      <c r="H33" s="38"/>
      <c r="I33" s="38">
        <f t="shared" si="0"/>
        <v>5</v>
      </c>
      <c r="J33" s="63">
        <f t="shared" si="1"/>
        <v>0</v>
      </c>
      <c r="K33" s="62"/>
      <c r="L33" s="36"/>
      <c r="M33" s="36"/>
      <c r="N33" s="36"/>
      <c r="O33" s="36"/>
      <c r="P33" s="36"/>
      <c r="Q33" s="99"/>
      <c r="R33" s="100">
        <f t="shared" si="2"/>
        <v>0</v>
      </c>
      <c r="S33" s="101">
        <f t="shared" si="3"/>
        <v>0</v>
      </c>
      <c r="T33" s="62"/>
      <c r="U33" s="8">
        <f t="shared" si="4"/>
        <v>0</v>
      </c>
      <c r="V33" s="135">
        <f t="shared" si="5"/>
        <v>0</v>
      </c>
      <c r="W33" s="134">
        <f t="shared" si="6"/>
        <v>120</v>
      </c>
      <c r="X33" s="61"/>
    </row>
    <row r="34" spans="1:26">
      <c r="A34" s="1">
        <f t="shared" si="7"/>
        <v>27</v>
      </c>
      <c r="B34" s="15" t="s">
        <v>46</v>
      </c>
      <c r="C34" s="10">
        <v>5</v>
      </c>
      <c r="D34" s="11"/>
      <c r="E34" s="36"/>
      <c r="F34" s="36"/>
      <c r="G34" s="37"/>
      <c r="H34" s="38"/>
      <c r="I34" s="38">
        <f t="shared" si="0"/>
        <v>5</v>
      </c>
      <c r="J34" s="63">
        <f t="shared" si="1"/>
        <v>0</v>
      </c>
      <c r="K34" s="62"/>
      <c r="L34" s="36"/>
      <c r="M34" s="36"/>
      <c r="N34" s="36"/>
      <c r="O34" s="36"/>
      <c r="P34" s="36"/>
      <c r="Q34" s="99"/>
      <c r="R34" s="100">
        <f t="shared" si="2"/>
        <v>0</v>
      </c>
      <c r="S34" s="101">
        <f t="shared" si="3"/>
        <v>0</v>
      </c>
      <c r="T34" s="62"/>
      <c r="U34" s="8">
        <f t="shared" si="4"/>
        <v>0</v>
      </c>
      <c r="V34" s="135">
        <f t="shared" si="5"/>
        <v>0</v>
      </c>
      <c r="W34" s="134">
        <f t="shared" si="6"/>
        <v>120</v>
      </c>
      <c r="X34" s="61"/>
    </row>
    <row r="35" spans="1:26">
      <c r="A35" s="1">
        <f t="shared" si="7"/>
        <v>28</v>
      </c>
      <c r="B35" s="15" t="s">
        <v>47</v>
      </c>
      <c r="C35" s="10">
        <v>115</v>
      </c>
      <c r="D35" s="11">
        <v>1</v>
      </c>
      <c r="E35" s="36"/>
      <c r="F35" s="36"/>
      <c r="G35" s="37">
        <v>2</v>
      </c>
      <c r="H35" s="38"/>
      <c r="I35" s="38">
        <f t="shared" si="0"/>
        <v>113</v>
      </c>
      <c r="J35" s="63">
        <f t="shared" si="1"/>
        <v>1</v>
      </c>
      <c r="K35" s="62"/>
      <c r="L35" s="36"/>
      <c r="M35" s="36"/>
      <c r="N35" s="36"/>
      <c r="O35" s="36"/>
      <c r="P35" s="36">
        <v>2</v>
      </c>
      <c r="Q35" s="99"/>
      <c r="R35" s="100">
        <f t="shared" si="2"/>
        <v>2</v>
      </c>
      <c r="S35" s="101">
        <f t="shared" si="3"/>
        <v>0</v>
      </c>
      <c r="T35" s="62"/>
      <c r="U35" s="8">
        <f t="shared" si="4"/>
        <v>48</v>
      </c>
      <c r="V35" s="135">
        <f t="shared" si="5"/>
        <v>2</v>
      </c>
      <c r="W35" s="134">
        <f t="shared" si="6"/>
        <v>2713</v>
      </c>
      <c r="X35" s="61"/>
    </row>
    <row r="36" spans="1:26" ht="18.75" hidden="1" customHeight="1">
      <c r="A36" s="1">
        <f t="shared" si="7"/>
        <v>29</v>
      </c>
      <c r="B36" s="15" t="s">
        <v>48</v>
      </c>
      <c r="C36" s="10"/>
      <c r="D36" s="11"/>
      <c r="E36" s="36"/>
      <c r="F36" s="36"/>
      <c r="G36" s="37"/>
      <c r="H36" s="38"/>
      <c r="I36" s="38">
        <f t="shared" si="0"/>
        <v>0</v>
      </c>
      <c r="J36" s="63">
        <f t="shared" si="1"/>
        <v>0</v>
      </c>
      <c r="K36" s="62"/>
      <c r="L36" s="36"/>
      <c r="M36" s="36"/>
      <c r="N36" s="36"/>
      <c r="O36" s="36"/>
      <c r="P36" s="36"/>
      <c r="Q36" s="99"/>
      <c r="R36" s="100">
        <f t="shared" si="2"/>
        <v>0</v>
      </c>
      <c r="S36" s="101">
        <f t="shared" si="3"/>
        <v>0</v>
      </c>
      <c r="T36" s="62"/>
      <c r="U36" s="8">
        <f t="shared" si="4"/>
        <v>0</v>
      </c>
      <c r="V36" s="135">
        <f t="shared" si="5"/>
        <v>0</v>
      </c>
      <c r="W36" s="134">
        <f t="shared" si="6"/>
        <v>0</v>
      </c>
      <c r="X36" s="61"/>
    </row>
    <row r="37" spans="1:26" ht="18.75" customHeight="1">
      <c r="A37" s="1">
        <f t="shared" si="7"/>
        <v>30</v>
      </c>
      <c r="B37" s="15" t="s">
        <v>49</v>
      </c>
      <c r="C37" s="10">
        <v>1</v>
      </c>
      <c r="D37" s="11"/>
      <c r="E37" s="36"/>
      <c r="F37" s="36"/>
      <c r="G37" s="37"/>
      <c r="H37" s="38"/>
      <c r="I37" s="38">
        <f t="shared" si="0"/>
        <v>1</v>
      </c>
      <c r="J37" s="63">
        <f t="shared" si="1"/>
        <v>0</v>
      </c>
      <c r="K37" s="62"/>
      <c r="L37" s="36"/>
      <c r="M37" s="36"/>
      <c r="N37" s="36"/>
      <c r="O37" s="36"/>
      <c r="P37" s="36"/>
      <c r="Q37" s="99"/>
      <c r="R37" s="100">
        <f t="shared" si="2"/>
        <v>0</v>
      </c>
      <c r="S37" s="101">
        <f t="shared" si="3"/>
        <v>0</v>
      </c>
      <c r="T37" s="62"/>
      <c r="U37" s="8">
        <f t="shared" si="4"/>
        <v>0</v>
      </c>
      <c r="V37" s="135">
        <f t="shared" si="5"/>
        <v>0</v>
      </c>
      <c r="W37" s="134">
        <f t="shared" si="6"/>
        <v>24</v>
      </c>
      <c r="X37" s="61"/>
    </row>
    <row r="38" spans="1:26">
      <c r="A38" s="1">
        <f t="shared" si="7"/>
        <v>31</v>
      </c>
      <c r="B38" s="16" t="s">
        <v>50</v>
      </c>
      <c r="C38" s="13">
        <v>6840</v>
      </c>
      <c r="D38" s="14">
        <v>2</v>
      </c>
      <c r="E38" s="39"/>
      <c r="F38" s="39"/>
      <c r="G38" s="40">
        <v>104</v>
      </c>
      <c r="H38" s="41"/>
      <c r="I38" s="53">
        <f t="shared" si="0"/>
        <v>6736</v>
      </c>
      <c r="J38" s="70">
        <f t="shared" si="1"/>
        <v>2</v>
      </c>
      <c r="K38" s="65"/>
      <c r="L38" s="51">
        <v>25</v>
      </c>
      <c r="M38" s="51"/>
      <c r="N38" s="51">
        <v>21</v>
      </c>
      <c r="O38" s="51"/>
      <c r="P38" s="51">
        <v>58</v>
      </c>
      <c r="Q38" s="102"/>
      <c r="R38" s="107">
        <f t="shared" si="2"/>
        <v>104</v>
      </c>
      <c r="S38" s="104">
        <f t="shared" si="3"/>
        <v>0</v>
      </c>
      <c r="T38" s="65"/>
      <c r="U38" s="136">
        <f>L38*6+N38*6+P38*6</f>
        <v>624</v>
      </c>
      <c r="V38" s="141">
        <f>U38/6</f>
        <v>104</v>
      </c>
      <c r="W38" s="138">
        <f>I38*6+J38</f>
        <v>40418</v>
      </c>
      <c r="X38" s="139"/>
    </row>
    <row r="39" spans="1:26">
      <c r="A39" s="1">
        <f t="shared" si="7"/>
        <v>32</v>
      </c>
      <c r="B39" s="7" t="s">
        <v>51</v>
      </c>
      <c r="C39" s="10">
        <v>2</v>
      </c>
      <c r="D39" s="11"/>
      <c r="E39" s="36"/>
      <c r="F39" s="36"/>
      <c r="G39" s="37"/>
      <c r="H39" s="38"/>
      <c r="I39" s="37">
        <f t="shared" si="0"/>
        <v>2</v>
      </c>
      <c r="J39" s="63">
        <f t="shared" si="1"/>
        <v>0</v>
      </c>
      <c r="K39" s="62"/>
      <c r="L39" s="36"/>
      <c r="M39" s="36"/>
      <c r="N39" s="36"/>
      <c r="O39" s="36"/>
      <c r="P39" s="36"/>
      <c r="Q39" s="99"/>
      <c r="R39" s="108">
        <f t="shared" si="2"/>
        <v>0</v>
      </c>
      <c r="S39" s="106">
        <f t="shared" si="3"/>
        <v>0</v>
      </c>
      <c r="T39" s="62"/>
      <c r="U39" s="8">
        <f t="shared" ref="U39:U41" si="8">L39*24+N39*24+P39*24</f>
        <v>0</v>
      </c>
      <c r="V39" s="33">
        <f t="shared" ref="V39:V41" si="9">U39/24</f>
        <v>0</v>
      </c>
      <c r="W39" s="134">
        <f t="shared" ref="W39:W41" si="10">I39*24+J39</f>
        <v>48</v>
      </c>
      <c r="X39" s="61"/>
    </row>
    <row r="40" spans="1:26">
      <c r="A40" s="1">
        <f t="shared" si="7"/>
        <v>33</v>
      </c>
      <c r="B40" s="17" t="s">
        <v>52</v>
      </c>
      <c r="C40" s="18">
        <v>1</v>
      </c>
      <c r="D40" s="19"/>
      <c r="E40" s="42"/>
      <c r="F40" s="42"/>
      <c r="G40" s="43"/>
      <c r="H40" s="44"/>
      <c r="I40" s="38">
        <f t="shared" si="0"/>
        <v>1</v>
      </c>
      <c r="J40" s="63">
        <f t="shared" si="1"/>
        <v>0</v>
      </c>
      <c r="K40" s="62"/>
      <c r="L40" s="36"/>
      <c r="M40" s="36"/>
      <c r="N40" s="36"/>
      <c r="O40" s="36"/>
      <c r="P40" s="36"/>
      <c r="Q40" s="99"/>
      <c r="R40" s="100">
        <f t="shared" si="2"/>
        <v>0</v>
      </c>
      <c r="S40" s="101">
        <f t="shared" si="3"/>
        <v>0</v>
      </c>
      <c r="T40" s="62"/>
      <c r="U40" s="142">
        <f t="shared" si="8"/>
        <v>0</v>
      </c>
      <c r="V40" s="135">
        <f t="shared" si="9"/>
        <v>0</v>
      </c>
      <c r="W40" s="143">
        <f t="shared" si="10"/>
        <v>24</v>
      </c>
      <c r="X40" s="144"/>
    </row>
    <row r="41" spans="1:26">
      <c r="A41" s="1">
        <f t="shared" si="7"/>
        <v>34</v>
      </c>
      <c r="B41" s="20" t="s">
        <v>53</v>
      </c>
      <c r="C41" s="21">
        <v>169</v>
      </c>
      <c r="D41" s="22">
        <v>20</v>
      </c>
      <c r="E41" s="45"/>
      <c r="F41" s="45"/>
      <c r="G41" s="46"/>
      <c r="H41" s="47"/>
      <c r="I41" s="71">
        <f t="shared" si="0"/>
        <v>169</v>
      </c>
      <c r="J41" s="72">
        <f t="shared" si="1"/>
        <v>20</v>
      </c>
      <c r="K41" s="73"/>
      <c r="L41" s="74"/>
      <c r="M41" s="74"/>
      <c r="N41" s="74"/>
      <c r="O41" s="74"/>
      <c r="P41" s="74"/>
      <c r="Q41" s="109"/>
      <c r="R41" s="110">
        <f t="shared" si="2"/>
        <v>0</v>
      </c>
      <c r="S41" s="111">
        <f t="shared" si="3"/>
        <v>0</v>
      </c>
      <c r="T41" s="73"/>
      <c r="U41" s="145">
        <f t="shared" si="8"/>
        <v>0</v>
      </c>
      <c r="V41" s="146">
        <f t="shared" si="9"/>
        <v>0</v>
      </c>
      <c r="W41" s="146">
        <f t="shared" si="10"/>
        <v>4076</v>
      </c>
      <c r="X41" s="147"/>
    </row>
    <row r="42" spans="1:26">
      <c r="A42" s="1">
        <f t="shared" si="7"/>
        <v>35</v>
      </c>
      <c r="B42" s="23" t="s">
        <v>54</v>
      </c>
      <c r="C42" s="24">
        <v>856</v>
      </c>
      <c r="D42" s="25">
        <v>11</v>
      </c>
      <c r="E42" s="48"/>
      <c r="F42" s="48"/>
      <c r="G42" s="49">
        <v>25</v>
      </c>
      <c r="H42" s="50"/>
      <c r="I42" s="49">
        <f t="shared" si="0"/>
        <v>831</v>
      </c>
      <c r="J42" s="75">
        <f t="shared" si="1"/>
        <v>11</v>
      </c>
      <c r="K42" s="76"/>
      <c r="L42" s="48">
        <v>9</v>
      </c>
      <c r="M42" s="48"/>
      <c r="N42" s="48">
        <v>5</v>
      </c>
      <c r="O42" s="48"/>
      <c r="P42" s="48">
        <v>11</v>
      </c>
      <c r="Q42" s="112"/>
      <c r="R42" s="113">
        <f t="shared" si="2"/>
        <v>25</v>
      </c>
      <c r="S42" s="114">
        <f t="shared" si="3"/>
        <v>0</v>
      </c>
      <c r="T42" s="76"/>
      <c r="U42" s="148">
        <f>L42*12+N42*12+P42*12</f>
        <v>300</v>
      </c>
      <c r="V42" s="149">
        <f>U42/12</f>
        <v>25</v>
      </c>
      <c r="W42" s="150">
        <f>I42*12+J42</f>
        <v>9983</v>
      </c>
      <c r="X42" s="151"/>
    </row>
    <row r="43" spans="1:26" ht="18.75" hidden="1" customHeight="1">
      <c r="A43" s="1">
        <f t="shared" si="7"/>
        <v>36</v>
      </c>
      <c r="B43" s="7" t="s">
        <v>55</v>
      </c>
      <c r="C43" s="10"/>
      <c r="D43" s="11"/>
      <c r="E43" s="36"/>
      <c r="F43" s="36"/>
      <c r="G43" s="37"/>
      <c r="H43" s="38"/>
      <c r="I43" s="38">
        <f t="shared" si="0"/>
        <v>0</v>
      </c>
      <c r="J43" s="64">
        <f t="shared" si="1"/>
        <v>0</v>
      </c>
      <c r="K43" s="62"/>
      <c r="L43" s="36"/>
      <c r="M43" s="36"/>
      <c r="N43" s="36"/>
      <c r="O43" s="36"/>
      <c r="P43" s="36"/>
      <c r="Q43" s="99"/>
      <c r="R43" s="115">
        <f t="shared" si="2"/>
        <v>0</v>
      </c>
      <c r="S43" s="116">
        <f t="shared" si="3"/>
        <v>0</v>
      </c>
      <c r="T43" s="62"/>
      <c r="U43" s="8"/>
      <c r="V43" s="33"/>
      <c r="W43" s="134"/>
      <c r="X43" s="61"/>
    </row>
    <row r="44" spans="1:26">
      <c r="A44" s="1">
        <f t="shared" si="7"/>
        <v>37</v>
      </c>
      <c r="B44" s="12" t="s">
        <v>56</v>
      </c>
      <c r="C44" s="13">
        <v>34186</v>
      </c>
      <c r="D44" s="14">
        <v>3</v>
      </c>
      <c r="E44" s="39"/>
      <c r="F44" s="39"/>
      <c r="G44" s="40">
        <v>1172</v>
      </c>
      <c r="H44" s="41"/>
      <c r="I44" s="38">
        <f>C44+E44-G44</f>
        <v>33014</v>
      </c>
      <c r="J44" s="77">
        <f t="shared" si="1"/>
        <v>3</v>
      </c>
      <c r="K44" s="65"/>
      <c r="L44" s="51">
        <v>344</v>
      </c>
      <c r="M44" s="51"/>
      <c r="N44" s="51">
        <v>344</v>
      </c>
      <c r="O44" s="51"/>
      <c r="P44" s="51">
        <v>484</v>
      </c>
      <c r="Q44" s="102"/>
      <c r="R44" s="117">
        <f t="shared" si="2"/>
        <v>1172</v>
      </c>
      <c r="S44" s="118">
        <f t="shared" si="3"/>
        <v>0</v>
      </c>
      <c r="T44" s="65"/>
      <c r="U44" s="136">
        <f>L44*6+N44*6+P44*6</f>
        <v>7032</v>
      </c>
      <c r="V44" s="135">
        <f>U44/6</f>
        <v>1172</v>
      </c>
      <c r="W44" s="138">
        <f>I44*6+J44</f>
        <v>198087</v>
      </c>
      <c r="X44" s="139"/>
      <c r="Z44" s="155"/>
    </row>
    <row r="45" spans="1:26" ht="18.75" hidden="1" customHeight="1">
      <c r="A45" s="1">
        <f t="shared" si="7"/>
        <v>38</v>
      </c>
      <c r="B45" s="7" t="s">
        <v>57</v>
      </c>
      <c r="C45" s="10"/>
      <c r="D45" s="11"/>
      <c r="E45" s="36"/>
      <c r="F45" s="36"/>
      <c r="G45" s="37"/>
      <c r="H45" s="38"/>
      <c r="I45" s="44">
        <f t="shared" ref="I45:I59" si="11">C45-G45</f>
        <v>0</v>
      </c>
      <c r="J45" s="63">
        <f t="shared" si="1"/>
        <v>0</v>
      </c>
      <c r="K45" s="62"/>
      <c r="L45" s="36"/>
      <c r="M45" s="36"/>
      <c r="N45" s="36"/>
      <c r="O45" s="36"/>
      <c r="P45" s="36"/>
      <c r="Q45" s="99"/>
      <c r="R45" s="108">
        <f t="shared" si="2"/>
        <v>0</v>
      </c>
      <c r="S45" s="116">
        <f t="shared" si="3"/>
        <v>0</v>
      </c>
      <c r="T45" s="62"/>
      <c r="U45" s="8"/>
      <c r="V45" s="137"/>
      <c r="W45" s="134"/>
      <c r="X45" s="61"/>
    </row>
    <row r="46" spans="1:26">
      <c r="A46" s="1">
        <f t="shared" si="7"/>
        <v>39</v>
      </c>
      <c r="B46" s="15" t="s">
        <v>58</v>
      </c>
      <c r="C46" s="10">
        <v>15</v>
      </c>
      <c r="D46" s="11"/>
      <c r="E46" s="36"/>
      <c r="F46" s="36"/>
      <c r="G46" s="37"/>
      <c r="H46" s="38"/>
      <c r="I46" s="68">
        <f t="shared" si="11"/>
        <v>15</v>
      </c>
      <c r="J46" s="63">
        <f t="shared" si="1"/>
        <v>0</v>
      </c>
      <c r="K46" s="62"/>
      <c r="L46" s="36"/>
      <c r="M46" s="36"/>
      <c r="N46" s="36"/>
      <c r="O46" s="36"/>
      <c r="P46" s="36"/>
      <c r="Q46" s="99"/>
      <c r="R46" s="100">
        <f t="shared" si="2"/>
        <v>0</v>
      </c>
      <c r="S46" s="119">
        <f t="shared" si="3"/>
        <v>0</v>
      </c>
      <c r="T46" s="62"/>
      <c r="U46" s="8">
        <f t="shared" ref="U46:U51" si="12">L46*24+N46*24+P46*24</f>
        <v>0</v>
      </c>
      <c r="V46" s="140">
        <f t="shared" ref="V46:V51" si="13">U46/24</f>
        <v>0</v>
      </c>
      <c r="W46" s="134">
        <f t="shared" ref="W46:W51" si="14">I46*24+J46</f>
        <v>360</v>
      </c>
      <c r="X46" s="61"/>
    </row>
    <row r="47" spans="1:26">
      <c r="A47" s="1">
        <f t="shared" si="7"/>
        <v>40</v>
      </c>
      <c r="B47" s="15" t="s">
        <v>59</v>
      </c>
      <c r="C47" s="10"/>
      <c r="D47" s="11"/>
      <c r="E47" s="36"/>
      <c r="F47" s="36"/>
      <c r="G47" s="37"/>
      <c r="H47" s="38"/>
      <c r="I47" s="38">
        <f t="shared" si="11"/>
        <v>0</v>
      </c>
      <c r="J47" s="63">
        <f t="shared" si="1"/>
        <v>0</v>
      </c>
      <c r="K47" s="62"/>
      <c r="L47" s="36"/>
      <c r="M47" s="36"/>
      <c r="N47" s="36"/>
      <c r="O47" s="36"/>
      <c r="P47" s="36"/>
      <c r="Q47" s="99"/>
      <c r="R47" s="100">
        <f t="shared" si="2"/>
        <v>0</v>
      </c>
      <c r="S47" s="101">
        <f t="shared" si="3"/>
        <v>0</v>
      </c>
      <c r="T47" s="62"/>
      <c r="U47" s="8">
        <f t="shared" si="12"/>
        <v>0</v>
      </c>
      <c r="V47" s="135">
        <f t="shared" si="13"/>
        <v>0</v>
      </c>
      <c r="W47" s="134">
        <f t="shared" si="14"/>
        <v>0</v>
      </c>
      <c r="X47" s="61"/>
    </row>
    <row r="48" spans="1:26">
      <c r="A48" s="1">
        <f t="shared" si="7"/>
        <v>41</v>
      </c>
      <c r="B48" s="12" t="s">
        <v>48</v>
      </c>
      <c r="C48" s="26">
        <v>2837</v>
      </c>
      <c r="D48" s="27">
        <v>4</v>
      </c>
      <c r="E48" s="51"/>
      <c r="F48" s="51"/>
      <c r="G48" s="52"/>
      <c r="H48" s="53"/>
      <c r="I48" s="53">
        <f t="shared" si="11"/>
        <v>2837</v>
      </c>
      <c r="J48" s="70">
        <f t="shared" si="1"/>
        <v>4</v>
      </c>
      <c r="K48" s="65"/>
      <c r="L48" s="51"/>
      <c r="M48" s="51"/>
      <c r="N48" s="51"/>
      <c r="O48" s="51"/>
      <c r="P48" s="51"/>
      <c r="Q48" s="102"/>
      <c r="R48" s="107">
        <f t="shared" si="2"/>
        <v>0</v>
      </c>
      <c r="S48" s="120">
        <f t="shared" si="3"/>
        <v>0</v>
      </c>
      <c r="T48" s="65"/>
      <c r="U48" s="136">
        <f>L48*6+N48*6+P48*6</f>
        <v>0</v>
      </c>
      <c r="V48" s="141">
        <f>U48/6</f>
        <v>0</v>
      </c>
      <c r="W48" s="138">
        <f>I48*6+J48</f>
        <v>17026</v>
      </c>
      <c r="X48" s="139"/>
    </row>
    <row r="49" spans="1:24">
      <c r="A49" s="1">
        <f t="shared" si="7"/>
        <v>42</v>
      </c>
      <c r="B49" s="7" t="s">
        <v>60</v>
      </c>
      <c r="C49" s="10">
        <v>1</v>
      </c>
      <c r="D49" s="11"/>
      <c r="E49" s="36"/>
      <c r="F49" s="36"/>
      <c r="G49" s="37"/>
      <c r="H49" s="38"/>
      <c r="I49" s="38">
        <f t="shared" si="11"/>
        <v>1</v>
      </c>
      <c r="J49" s="63">
        <f t="shared" si="1"/>
        <v>0</v>
      </c>
      <c r="K49" s="62"/>
      <c r="L49" s="36"/>
      <c r="M49" s="36"/>
      <c r="N49" s="36"/>
      <c r="O49" s="36"/>
      <c r="P49" s="36"/>
      <c r="Q49" s="99"/>
      <c r="R49" s="108">
        <f t="shared" si="2"/>
        <v>0</v>
      </c>
      <c r="S49" s="106">
        <f t="shared" si="3"/>
        <v>0</v>
      </c>
      <c r="T49" s="62"/>
      <c r="U49" s="8">
        <f t="shared" si="12"/>
        <v>0</v>
      </c>
      <c r="V49" s="33">
        <f t="shared" si="13"/>
        <v>0</v>
      </c>
      <c r="W49" s="134">
        <f t="shared" si="14"/>
        <v>24</v>
      </c>
      <c r="X49" s="61"/>
    </row>
    <row r="50" spans="1:24">
      <c r="A50" s="1">
        <f t="shared" si="7"/>
        <v>43</v>
      </c>
      <c r="B50" s="15" t="s">
        <v>61</v>
      </c>
      <c r="C50" s="10">
        <v>2</v>
      </c>
      <c r="D50" s="11"/>
      <c r="E50" s="36"/>
      <c r="F50" s="36"/>
      <c r="G50" s="37"/>
      <c r="H50" s="38"/>
      <c r="I50" s="38">
        <f t="shared" si="11"/>
        <v>2</v>
      </c>
      <c r="J50" s="63">
        <f t="shared" si="1"/>
        <v>0</v>
      </c>
      <c r="K50" s="62"/>
      <c r="L50" s="36"/>
      <c r="M50" s="36"/>
      <c r="N50" s="36"/>
      <c r="O50" s="36"/>
      <c r="P50" s="36"/>
      <c r="Q50" s="99"/>
      <c r="R50" s="100">
        <f t="shared" si="2"/>
        <v>0</v>
      </c>
      <c r="S50" s="101">
        <f t="shared" si="3"/>
        <v>0</v>
      </c>
      <c r="T50" s="62"/>
      <c r="U50" s="8">
        <f t="shared" si="12"/>
        <v>0</v>
      </c>
      <c r="V50" s="135">
        <f t="shared" si="13"/>
        <v>0</v>
      </c>
      <c r="W50" s="134">
        <f t="shared" si="14"/>
        <v>48</v>
      </c>
      <c r="X50" s="61"/>
    </row>
    <row r="51" spans="1:24">
      <c r="A51" s="1">
        <f t="shared" si="7"/>
        <v>44</v>
      </c>
      <c r="B51" s="15" t="s">
        <v>62</v>
      </c>
      <c r="C51" s="10"/>
      <c r="D51" s="11"/>
      <c r="E51" s="36"/>
      <c r="F51" s="36"/>
      <c r="G51" s="37"/>
      <c r="H51" s="38"/>
      <c r="I51" s="38">
        <f t="shared" si="11"/>
        <v>0</v>
      </c>
      <c r="J51" s="63">
        <f t="shared" si="1"/>
        <v>0</v>
      </c>
      <c r="K51" s="62"/>
      <c r="L51" s="36"/>
      <c r="M51" s="36"/>
      <c r="N51" s="36"/>
      <c r="O51" s="36"/>
      <c r="P51" s="36"/>
      <c r="Q51" s="99"/>
      <c r="R51" s="100">
        <f t="shared" si="2"/>
        <v>0</v>
      </c>
      <c r="S51" s="101">
        <f t="shared" si="3"/>
        <v>0</v>
      </c>
      <c r="T51" s="62"/>
      <c r="U51" s="8">
        <f t="shared" si="12"/>
        <v>0</v>
      </c>
      <c r="V51" s="135">
        <f t="shared" si="13"/>
        <v>0</v>
      </c>
      <c r="W51" s="134">
        <f t="shared" si="14"/>
        <v>0</v>
      </c>
      <c r="X51" s="61"/>
    </row>
    <row r="52" spans="1:24">
      <c r="A52" s="1">
        <f t="shared" si="7"/>
        <v>45</v>
      </c>
      <c r="B52" s="12" t="s">
        <v>63</v>
      </c>
      <c r="C52" s="26">
        <v>34</v>
      </c>
      <c r="D52" s="27"/>
      <c r="E52" s="51"/>
      <c r="F52" s="51"/>
      <c r="G52" s="52"/>
      <c r="H52" s="53"/>
      <c r="I52" s="53">
        <f t="shared" si="11"/>
        <v>34</v>
      </c>
      <c r="J52" s="70">
        <f t="shared" si="1"/>
        <v>0</v>
      </c>
      <c r="K52" s="65"/>
      <c r="L52" s="51"/>
      <c r="M52" s="51"/>
      <c r="N52" s="51"/>
      <c r="O52" s="51"/>
      <c r="P52" s="51"/>
      <c r="Q52" s="102"/>
      <c r="R52" s="107">
        <f t="shared" si="2"/>
        <v>0</v>
      </c>
      <c r="S52" s="120">
        <f t="shared" si="3"/>
        <v>0</v>
      </c>
      <c r="T52" s="65"/>
      <c r="U52" s="136">
        <f>L52*6+N52*6+P52*6</f>
        <v>0</v>
      </c>
      <c r="V52" s="141">
        <f>U52/6</f>
        <v>0</v>
      </c>
      <c r="W52" s="138">
        <f>I52*6+J52</f>
        <v>204</v>
      </c>
      <c r="X52" s="139"/>
    </row>
    <row r="53" spans="1:24">
      <c r="A53" s="1">
        <f t="shared" si="7"/>
        <v>46</v>
      </c>
      <c r="B53" s="7" t="s">
        <v>64</v>
      </c>
      <c r="C53" s="10">
        <v>2</v>
      </c>
      <c r="D53" s="11"/>
      <c r="E53" s="36"/>
      <c r="F53" s="36"/>
      <c r="G53" s="37"/>
      <c r="H53" s="38"/>
      <c r="I53" s="38">
        <f t="shared" si="11"/>
        <v>2</v>
      </c>
      <c r="J53" s="63">
        <f t="shared" si="1"/>
        <v>0</v>
      </c>
      <c r="K53" s="62"/>
      <c r="L53" s="36"/>
      <c r="M53" s="36"/>
      <c r="N53" s="36"/>
      <c r="O53" s="36"/>
      <c r="P53" s="36"/>
      <c r="Q53" s="99"/>
      <c r="R53" s="108">
        <f t="shared" si="2"/>
        <v>0</v>
      </c>
      <c r="S53" s="106">
        <f t="shared" si="3"/>
        <v>0</v>
      </c>
      <c r="T53" s="62"/>
      <c r="U53" s="8">
        <f>L53*24+N53*24+P53*24</f>
        <v>0</v>
      </c>
      <c r="V53" s="33">
        <f>U53/24</f>
        <v>0</v>
      </c>
      <c r="W53" s="134">
        <f>I53*24+J53</f>
        <v>48</v>
      </c>
      <c r="X53" s="61"/>
    </row>
    <row r="54" spans="1:24">
      <c r="A54" s="1">
        <f t="shared" si="7"/>
        <v>47</v>
      </c>
      <c r="B54" s="15" t="s">
        <v>65</v>
      </c>
      <c r="C54" s="10">
        <v>12</v>
      </c>
      <c r="D54" s="11"/>
      <c r="E54" s="36"/>
      <c r="F54" s="36"/>
      <c r="G54" s="37"/>
      <c r="H54" s="38"/>
      <c r="I54" s="38">
        <f t="shared" si="11"/>
        <v>12</v>
      </c>
      <c r="J54" s="63">
        <f t="shared" si="1"/>
        <v>0</v>
      </c>
      <c r="K54" s="62"/>
      <c r="L54" s="36"/>
      <c r="M54" s="36"/>
      <c r="N54" s="36"/>
      <c r="O54" s="36"/>
      <c r="P54" s="36"/>
      <c r="Q54" s="99"/>
      <c r="R54" s="100">
        <f t="shared" si="2"/>
        <v>0</v>
      </c>
      <c r="S54" s="101">
        <f t="shared" si="3"/>
        <v>0</v>
      </c>
      <c r="T54" s="62"/>
      <c r="U54" s="8">
        <f>L54*24+N54*24+P54*24</f>
        <v>0</v>
      </c>
      <c r="V54" s="135">
        <f>U54/24</f>
        <v>0</v>
      </c>
      <c r="W54" s="134">
        <f>I54*24+J54</f>
        <v>288</v>
      </c>
      <c r="X54" s="61"/>
    </row>
    <row r="55" spans="1:24">
      <c r="A55" s="1">
        <f t="shared" si="7"/>
        <v>48</v>
      </c>
      <c r="B55" s="15"/>
      <c r="C55" s="10"/>
      <c r="D55" s="11"/>
      <c r="E55" s="36"/>
      <c r="F55" s="36"/>
      <c r="G55" s="37"/>
      <c r="H55" s="38"/>
      <c r="I55" s="38">
        <f t="shared" si="11"/>
        <v>0</v>
      </c>
      <c r="J55" s="63">
        <f t="shared" si="1"/>
        <v>0</v>
      </c>
      <c r="K55" s="62"/>
      <c r="L55" s="36"/>
      <c r="M55" s="36"/>
      <c r="N55" s="36"/>
      <c r="O55" s="36"/>
      <c r="P55" s="36"/>
      <c r="Q55" s="99"/>
      <c r="R55" s="100">
        <f t="shared" si="2"/>
        <v>0</v>
      </c>
      <c r="S55" s="101">
        <f t="shared" si="3"/>
        <v>0</v>
      </c>
      <c r="T55" s="62"/>
      <c r="U55" s="8"/>
      <c r="V55" s="135"/>
      <c r="W55" s="134"/>
      <c r="X55" s="61"/>
    </row>
    <row r="56" spans="1:24">
      <c r="A56" s="1">
        <f t="shared" si="7"/>
        <v>49</v>
      </c>
      <c r="B56" s="15"/>
      <c r="C56" s="10"/>
      <c r="D56" s="11"/>
      <c r="E56" s="36"/>
      <c r="F56" s="36"/>
      <c r="G56" s="37"/>
      <c r="H56" s="38"/>
      <c r="I56" s="38">
        <f t="shared" si="11"/>
        <v>0</v>
      </c>
      <c r="J56" s="63">
        <f t="shared" si="1"/>
        <v>0</v>
      </c>
      <c r="K56" s="62"/>
      <c r="L56" s="36"/>
      <c r="M56" s="36"/>
      <c r="N56" s="36"/>
      <c r="O56" s="36"/>
      <c r="P56" s="36"/>
      <c r="Q56" s="99"/>
      <c r="R56" s="100">
        <f t="shared" si="2"/>
        <v>0</v>
      </c>
      <c r="S56" s="101">
        <f t="shared" si="3"/>
        <v>0</v>
      </c>
      <c r="T56" s="62"/>
      <c r="U56" s="8"/>
      <c r="V56" s="135"/>
      <c r="W56" s="134"/>
      <c r="X56" s="61"/>
    </row>
    <row r="57" spans="1:24">
      <c r="A57" s="1">
        <f t="shared" si="7"/>
        <v>50</v>
      </c>
      <c r="B57" s="15"/>
      <c r="C57" s="10"/>
      <c r="D57" s="11"/>
      <c r="E57" s="36"/>
      <c r="F57" s="36"/>
      <c r="G57" s="37"/>
      <c r="H57" s="38"/>
      <c r="I57" s="38">
        <f t="shared" si="11"/>
        <v>0</v>
      </c>
      <c r="J57" s="63">
        <f t="shared" si="1"/>
        <v>0</v>
      </c>
      <c r="K57" s="62"/>
      <c r="L57" s="36"/>
      <c r="M57" s="36"/>
      <c r="N57" s="36"/>
      <c r="O57" s="36"/>
      <c r="P57" s="36"/>
      <c r="Q57" s="99"/>
      <c r="R57" s="100">
        <f t="shared" si="2"/>
        <v>0</v>
      </c>
      <c r="S57" s="101">
        <f t="shared" si="3"/>
        <v>0</v>
      </c>
      <c r="T57" s="62"/>
      <c r="U57" s="8"/>
      <c r="V57" s="135"/>
      <c r="W57" s="134"/>
      <c r="X57" s="61"/>
    </row>
    <row r="58" spans="1:24">
      <c r="A58" s="1">
        <f t="shared" si="7"/>
        <v>51</v>
      </c>
      <c r="B58" s="15"/>
      <c r="C58" s="10"/>
      <c r="D58" s="11"/>
      <c r="E58" s="36"/>
      <c r="F58" s="36"/>
      <c r="G58" s="37"/>
      <c r="H58" s="38"/>
      <c r="I58" s="38">
        <f t="shared" si="11"/>
        <v>0</v>
      </c>
      <c r="J58" s="63">
        <f t="shared" si="1"/>
        <v>0</v>
      </c>
      <c r="K58" s="62"/>
      <c r="L58" s="36"/>
      <c r="M58" s="36"/>
      <c r="N58" s="36"/>
      <c r="O58" s="36"/>
      <c r="P58" s="36"/>
      <c r="Q58" s="99"/>
      <c r="R58" s="100">
        <f t="shared" si="2"/>
        <v>0</v>
      </c>
      <c r="S58" s="101">
        <f t="shared" si="3"/>
        <v>0</v>
      </c>
      <c r="T58" s="62"/>
      <c r="U58" s="8"/>
      <c r="V58" s="135"/>
      <c r="W58" s="134"/>
      <c r="X58" s="61"/>
    </row>
    <row r="59" spans="1:24">
      <c r="A59" s="1">
        <f t="shared" si="7"/>
        <v>52</v>
      </c>
      <c r="B59" s="15"/>
      <c r="C59" s="10"/>
      <c r="D59" s="11"/>
      <c r="E59" s="36"/>
      <c r="F59" s="36"/>
      <c r="G59" s="37"/>
      <c r="H59" s="38"/>
      <c r="I59" s="38">
        <f t="shared" si="11"/>
        <v>0</v>
      </c>
      <c r="J59" s="63">
        <f t="shared" si="1"/>
        <v>0</v>
      </c>
      <c r="K59" s="62"/>
      <c r="L59" s="36"/>
      <c r="M59" s="36"/>
      <c r="N59" s="36"/>
      <c r="O59" s="36"/>
      <c r="P59" s="36"/>
      <c r="Q59" s="99"/>
      <c r="R59" s="100">
        <f t="shared" si="2"/>
        <v>0</v>
      </c>
      <c r="S59" s="101">
        <f t="shared" si="3"/>
        <v>0</v>
      </c>
      <c r="T59" s="62"/>
      <c r="U59" s="8"/>
      <c r="V59" s="135"/>
      <c r="W59" s="134"/>
      <c r="X59" s="61"/>
    </row>
    <row r="60" spans="1:24" s="2" customFormat="1">
      <c r="B60" s="28" t="s">
        <v>15</v>
      </c>
      <c r="C60" s="29">
        <f t="shared" ref="C60:J60" si="15">SUM(C8:C59)</f>
        <v>49075</v>
      </c>
      <c r="D60" s="30">
        <f t="shared" si="15"/>
        <v>164</v>
      </c>
      <c r="E60" s="54">
        <f t="shared" si="15"/>
        <v>0</v>
      </c>
      <c r="F60" s="54"/>
      <c r="G60" s="55">
        <f t="shared" si="15"/>
        <v>1336</v>
      </c>
      <c r="H60" s="56">
        <f t="shared" si="15"/>
        <v>57</v>
      </c>
      <c r="I60" s="56">
        <f t="shared" si="15"/>
        <v>47739</v>
      </c>
      <c r="J60" s="78">
        <f t="shared" si="15"/>
        <v>107</v>
      </c>
      <c r="L60" s="79">
        <f t="shared" ref="L60:S60" si="16">SUM(L8:L59)</f>
        <v>383</v>
      </c>
      <c r="M60" s="79">
        <f t="shared" si="16"/>
        <v>23</v>
      </c>
      <c r="N60" s="79">
        <f t="shared" si="16"/>
        <v>382</v>
      </c>
      <c r="O60" s="79">
        <f t="shared" si="16"/>
        <v>22</v>
      </c>
      <c r="P60" s="79">
        <f t="shared" si="16"/>
        <v>571</v>
      </c>
      <c r="Q60" s="121">
        <f t="shared" si="16"/>
        <v>12</v>
      </c>
      <c r="R60" s="122">
        <f t="shared" si="16"/>
        <v>1336</v>
      </c>
      <c r="S60" s="123">
        <f t="shared" si="16"/>
        <v>57</v>
      </c>
      <c r="U60" s="29">
        <f t="shared" ref="U60:W60" si="17">SUM(U8:U59)</f>
        <v>8796</v>
      </c>
      <c r="V60" s="152">
        <f t="shared" si="17"/>
        <v>1336</v>
      </c>
      <c r="W60" s="179">
        <f t="shared" si="17"/>
        <v>368693</v>
      </c>
      <c r="X60" s="78"/>
    </row>
    <row r="61" spans="1:24">
      <c r="V61" s="154"/>
    </row>
    <row r="62" spans="1:24" ht="18.75" customHeight="1">
      <c r="G62" s="197" t="s">
        <v>66</v>
      </c>
      <c r="H62" s="57"/>
      <c r="I62" s="57"/>
      <c r="J62" s="80" t="s">
        <v>67</v>
      </c>
      <c r="L62" s="81"/>
      <c r="M62" s="87"/>
      <c r="N62" s="88"/>
      <c r="O62" s="88"/>
      <c r="P62" s="88"/>
      <c r="Q62" s="124"/>
      <c r="R62" s="124"/>
      <c r="S62" s="125"/>
    </row>
    <row r="63" spans="1:24">
      <c r="G63" s="198"/>
      <c r="H63" s="58"/>
      <c r="I63" s="58"/>
      <c r="J63" s="82" t="s">
        <v>68</v>
      </c>
      <c r="L63" s="83"/>
      <c r="M63" s="89"/>
      <c r="N63" s="90"/>
      <c r="O63" s="90"/>
      <c r="P63" s="90"/>
      <c r="Q63" s="126"/>
      <c r="R63" s="126"/>
      <c r="S63" s="127"/>
    </row>
    <row r="64" spans="1:24">
      <c r="G64" s="199"/>
      <c r="H64" s="59"/>
      <c r="I64" s="59"/>
      <c r="J64" s="82" t="s">
        <v>69</v>
      </c>
      <c r="L64" s="84"/>
      <c r="M64" s="91"/>
      <c r="N64" s="92"/>
      <c r="O64" s="92"/>
      <c r="P64" s="92"/>
      <c r="Q64" s="128"/>
      <c r="R64" s="128"/>
      <c r="S64" s="129"/>
    </row>
    <row r="65" spans="2:24">
      <c r="G65" s="200" t="s">
        <v>70</v>
      </c>
      <c r="H65" s="164"/>
      <c r="I65" s="164"/>
      <c r="J65" s="82" t="s">
        <v>67</v>
      </c>
      <c r="L65" s="84"/>
      <c r="M65" s="91"/>
      <c r="N65" s="92"/>
      <c r="O65" s="92"/>
      <c r="P65" s="92"/>
      <c r="Q65" s="128"/>
      <c r="R65" s="128"/>
      <c r="S65" s="129"/>
    </row>
    <row r="66" spans="2:24">
      <c r="G66" s="200"/>
      <c r="H66" s="164"/>
      <c r="I66" s="164"/>
      <c r="J66" s="82" t="s">
        <v>68</v>
      </c>
      <c r="L66" s="83"/>
      <c r="M66" s="89"/>
      <c r="N66" s="90"/>
      <c r="O66" s="90"/>
      <c r="P66" s="90"/>
      <c r="Q66" s="126"/>
      <c r="R66" s="126"/>
      <c r="S66" s="127"/>
    </row>
    <row r="67" spans="2:24">
      <c r="G67" s="201"/>
      <c r="H67" s="165"/>
      <c r="I67" s="165"/>
      <c r="J67" s="167" t="s">
        <v>69</v>
      </c>
      <c r="L67" s="168"/>
      <c r="M67" s="170"/>
      <c r="N67" s="171"/>
      <c r="O67" s="171"/>
      <c r="P67" s="171"/>
      <c r="Q67" s="174"/>
      <c r="R67" s="174"/>
      <c r="S67" s="175"/>
    </row>
    <row r="69" spans="2:24" ht="49.5" customHeight="1">
      <c r="B69" s="159" t="s">
        <v>71</v>
      </c>
      <c r="C69" s="5" t="s">
        <v>4</v>
      </c>
      <c r="D69" s="6"/>
      <c r="E69" s="166" t="s">
        <v>72</v>
      </c>
      <c r="L69" s="169" t="s">
        <v>12</v>
      </c>
      <c r="M69" s="172"/>
      <c r="N69" s="173" t="s">
        <v>13</v>
      </c>
      <c r="O69" s="173"/>
      <c r="P69" s="173" t="s">
        <v>14</v>
      </c>
      <c r="Q69" s="176"/>
      <c r="R69" s="176"/>
      <c r="S69" s="177" t="s">
        <v>73</v>
      </c>
      <c r="X69" s="178" t="s">
        <v>74</v>
      </c>
    </row>
    <row r="70" spans="2:24">
      <c r="B70" s="160" t="s">
        <v>47</v>
      </c>
      <c r="C70" s="161"/>
      <c r="D70" s="161"/>
      <c r="E70" s="163"/>
      <c r="L70" s="161"/>
      <c r="M70" s="161"/>
      <c r="N70" s="161"/>
      <c r="O70" s="161"/>
      <c r="P70" s="161"/>
      <c r="Q70" s="161"/>
      <c r="R70" s="161"/>
      <c r="S70" s="161"/>
      <c r="X70" s="163"/>
    </row>
    <row r="71" spans="2:24">
      <c r="B71" s="162" t="s">
        <v>75</v>
      </c>
      <c r="C71" s="161"/>
      <c r="D71" s="161"/>
      <c r="E71" s="163"/>
      <c r="L71" s="163"/>
      <c r="M71" s="163"/>
      <c r="N71" s="163"/>
      <c r="O71" s="163"/>
      <c r="P71" s="163"/>
      <c r="Q71" s="163"/>
      <c r="R71" s="163"/>
      <c r="S71" s="163"/>
      <c r="X71" s="163"/>
    </row>
    <row r="72" spans="2:24">
      <c r="B72" s="162" t="s">
        <v>76</v>
      </c>
      <c r="C72" s="161"/>
      <c r="D72" s="161"/>
      <c r="E72" s="163"/>
      <c r="L72" s="163"/>
      <c r="M72" s="163"/>
      <c r="N72" s="163"/>
      <c r="O72" s="163"/>
      <c r="P72" s="163"/>
      <c r="Q72" s="163"/>
      <c r="R72" s="163"/>
      <c r="S72" s="163"/>
      <c r="X72" s="163"/>
    </row>
    <row r="73" spans="2:24" ht="11.25" customHeight="1"/>
    <row r="74" spans="2:24">
      <c r="B74" s="162" t="s">
        <v>77</v>
      </c>
      <c r="C74" s="163"/>
      <c r="D74" s="163"/>
      <c r="E74" s="163"/>
      <c r="L74" s="163"/>
      <c r="M74" s="163"/>
      <c r="N74" s="163"/>
      <c r="O74" s="163"/>
      <c r="P74" s="163"/>
      <c r="Q74" s="163"/>
      <c r="R74" s="163"/>
      <c r="S74" s="163"/>
      <c r="X74" s="163"/>
    </row>
    <row r="75" spans="2:24">
      <c r="B75" s="162" t="s">
        <v>75</v>
      </c>
      <c r="C75" s="163"/>
      <c r="D75" s="163"/>
      <c r="E75" s="163"/>
      <c r="L75" s="163"/>
      <c r="M75" s="163"/>
      <c r="N75" s="163"/>
      <c r="O75" s="163"/>
      <c r="P75" s="163"/>
      <c r="Q75" s="163"/>
      <c r="R75" s="163"/>
      <c r="S75" s="163"/>
      <c r="X75" s="163"/>
    </row>
    <row r="76" spans="2:24">
      <c r="B76" s="162" t="s">
        <v>76</v>
      </c>
      <c r="C76" s="163"/>
      <c r="D76" s="163"/>
      <c r="E76" s="163"/>
      <c r="L76" s="163"/>
      <c r="M76" s="163"/>
      <c r="N76" s="163"/>
      <c r="O76" s="163"/>
      <c r="P76" s="163"/>
      <c r="Q76" s="163"/>
      <c r="R76" s="163"/>
      <c r="S76" s="163"/>
      <c r="X76" s="163"/>
    </row>
    <row r="77" spans="2:24" ht="11.25" customHeight="1"/>
    <row r="78" spans="2:24">
      <c r="B78" s="162" t="s">
        <v>78</v>
      </c>
      <c r="C78" s="163"/>
      <c r="D78" s="163"/>
      <c r="E78" s="163"/>
      <c r="L78" s="163"/>
      <c r="M78" s="163"/>
      <c r="N78" s="163"/>
      <c r="O78" s="163"/>
      <c r="P78" s="163"/>
      <c r="Q78" s="163"/>
      <c r="R78" s="163"/>
      <c r="S78" s="163"/>
      <c r="X78" s="163"/>
    </row>
    <row r="79" spans="2:24">
      <c r="B79" s="162" t="s">
        <v>75</v>
      </c>
      <c r="C79" s="163"/>
      <c r="D79" s="163"/>
      <c r="E79" s="163"/>
      <c r="L79" s="163"/>
      <c r="M79" s="163"/>
      <c r="N79" s="163"/>
      <c r="O79" s="163"/>
      <c r="P79" s="163"/>
      <c r="Q79" s="163"/>
      <c r="R79" s="163"/>
      <c r="S79" s="163"/>
      <c r="X79" s="163"/>
    </row>
    <row r="80" spans="2:24">
      <c r="B80" s="162" t="s">
        <v>76</v>
      </c>
      <c r="C80" s="163"/>
      <c r="D80" s="163"/>
      <c r="E80" s="163"/>
      <c r="L80" s="163"/>
      <c r="M80" s="163"/>
      <c r="N80" s="163"/>
      <c r="O80" s="163"/>
      <c r="P80" s="163"/>
      <c r="Q80" s="163"/>
      <c r="R80" s="163"/>
      <c r="S80" s="163"/>
      <c r="X80" s="163"/>
    </row>
    <row r="81" spans="2:24" ht="11.25" customHeight="1"/>
    <row r="82" spans="2:24">
      <c r="B82" s="162" t="s">
        <v>79</v>
      </c>
      <c r="C82" s="163"/>
      <c r="D82" s="163"/>
      <c r="E82" s="163"/>
      <c r="L82" s="163"/>
      <c r="M82" s="163"/>
      <c r="N82" s="163"/>
      <c r="O82" s="163"/>
      <c r="P82" s="163"/>
      <c r="Q82" s="163"/>
      <c r="R82" s="163"/>
      <c r="S82" s="163"/>
      <c r="X82" s="163"/>
    </row>
    <row r="83" spans="2:24">
      <c r="B83" s="162" t="s">
        <v>75</v>
      </c>
      <c r="C83" s="163"/>
      <c r="D83" s="163"/>
      <c r="E83" s="163"/>
      <c r="L83" s="163"/>
      <c r="M83" s="163"/>
      <c r="N83" s="163"/>
      <c r="O83" s="163"/>
      <c r="P83" s="163"/>
      <c r="Q83" s="163"/>
      <c r="R83" s="163"/>
      <c r="S83" s="163"/>
      <c r="X83" s="163"/>
    </row>
    <row r="84" spans="2:24">
      <c r="B84" s="162" t="s">
        <v>76</v>
      </c>
      <c r="C84" s="161"/>
      <c r="D84" s="161"/>
      <c r="E84" s="163"/>
      <c r="L84" s="163"/>
      <c r="M84" s="163"/>
      <c r="N84" s="163"/>
      <c r="O84" s="163"/>
      <c r="P84" s="163"/>
      <c r="Q84" s="163"/>
      <c r="R84" s="163"/>
      <c r="S84" s="163"/>
      <c r="X84" s="163"/>
    </row>
    <row r="85" spans="2:24" ht="11.25" customHeight="1"/>
    <row r="86" spans="2:24">
      <c r="B86" s="162" t="s">
        <v>80</v>
      </c>
      <c r="C86" s="163"/>
      <c r="D86" s="163"/>
      <c r="E86" s="163"/>
      <c r="L86" s="163"/>
      <c r="M86" s="163"/>
      <c r="N86" s="163"/>
      <c r="O86" s="163"/>
      <c r="P86" s="163"/>
      <c r="Q86" s="163"/>
      <c r="R86" s="163"/>
      <c r="S86" s="163"/>
      <c r="X86" s="163"/>
    </row>
    <row r="87" spans="2:24">
      <c r="B87" s="162" t="s">
        <v>75</v>
      </c>
      <c r="C87" s="163"/>
      <c r="D87" s="163"/>
      <c r="E87" s="163"/>
      <c r="L87" s="163"/>
      <c r="M87" s="163"/>
      <c r="N87" s="163"/>
      <c r="O87" s="163"/>
      <c r="P87" s="163"/>
      <c r="Q87" s="163"/>
      <c r="R87" s="163"/>
      <c r="S87" s="163"/>
      <c r="X87" s="163"/>
    </row>
    <row r="88" spans="2:24">
      <c r="B88" s="162" t="s">
        <v>76</v>
      </c>
      <c r="C88" s="163"/>
      <c r="D88" s="163"/>
      <c r="E88" s="163"/>
      <c r="L88" s="163"/>
      <c r="M88" s="163"/>
      <c r="N88" s="163"/>
      <c r="O88" s="163"/>
      <c r="P88" s="163"/>
      <c r="Q88" s="163"/>
      <c r="R88" s="163"/>
      <c r="S88" s="163"/>
      <c r="X88" s="163"/>
    </row>
    <row r="90" spans="2:24">
      <c r="B90" s="162" t="s">
        <v>81</v>
      </c>
      <c r="C90" s="163"/>
      <c r="D90" s="163"/>
      <c r="E90" s="163"/>
      <c r="L90" s="163"/>
      <c r="M90" s="163"/>
      <c r="N90" s="163"/>
      <c r="O90" s="163"/>
      <c r="P90" s="163"/>
      <c r="Q90" s="163"/>
      <c r="R90" s="163"/>
      <c r="S90" s="163"/>
      <c r="X90" s="163"/>
    </row>
  </sheetData>
  <mergeCells count="12">
    <mergeCell ref="G62:G64"/>
    <mergeCell ref="G65:G67"/>
    <mergeCell ref="H4:H5"/>
    <mergeCell ref="I4:I5"/>
    <mergeCell ref="J4:J5"/>
    <mergeCell ref="P1:X1"/>
    <mergeCell ref="E4:F4"/>
    <mergeCell ref="L4:X4"/>
    <mergeCell ref="B4:B5"/>
    <mergeCell ref="C4:C5"/>
    <mergeCell ref="D4:D5"/>
    <mergeCell ref="G4:G5"/>
  </mergeCells>
  <printOptions horizontalCentered="1" verticalCentered="1"/>
  <pageMargins left="0.196850393700787" right="0.196850393700787" top="0.196850393700787" bottom="0.196850393700787" header="0.511811023622047" footer="0.511811023622047"/>
  <pageSetup paperSize="9" scale="51" orientation="portrait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BH90"/>
  <sheetViews>
    <sheetView zoomScale="55" zoomScaleNormal="55" zoomScaleSheetLayoutView="85" zoomScalePageLayoutView="80" workbookViewId="0">
      <selection activeCell="W60" sqref="W60"/>
    </sheetView>
  </sheetViews>
  <sheetFormatPr defaultColWidth="9.140625" defaultRowHeight="18.75"/>
  <cols>
    <col min="1" max="1" width="5.42578125" style="3" customWidth="1"/>
    <col min="2" max="2" width="12.28515625" style="3" customWidth="1"/>
    <col min="3" max="3" width="12.7109375" style="3" customWidth="1"/>
    <col min="4" max="4" width="8" style="3" customWidth="1"/>
    <col min="5" max="5" width="12.140625" style="3" customWidth="1"/>
    <col min="6" max="6" width="9.85546875" style="3" customWidth="1"/>
    <col min="7" max="7" width="11" style="3" customWidth="1"/>
    <col min="8" max="8" width="8" style="3" customWidth="1"/>
    <col min="9" max="9" width="14.7109375" style="3" customWidth="1"/>
    <col min="10" max="10" width="8.28515625" style="3" customWidth="1"/>
    <col min="11" max="11" width="1.28515625" style="3" customWidth="1"/>
    <col min="12" max="12" width="11" style="3" customWidth="1"/>
    <col min="13" max="13" width="7.85546875" style="3" customWidth="1"/>
    <col min="14" max="14" width="11" style="3" customWidth="1"/>
    <col min="15" max="15" width="6.5703125" style="3" customWidth="1"/>
    <col min="16" max="16" width="11" style="3" customWidth="1"/>
    <col min="17" max="17" width="6.5703125" style="3" customWidth="1"/>
    <col min="18" max="18" width="9.5703125" style="3" customWidth="1"/>
    <col min="19" max="19" width="8.140625" style="3" customWidth="1"/>
    <col min="20" max="20" width="1.28515625" style="3" customWidth="1"/>
    <col min="21" max="21" width="12.7109375" style="3" customWidth="1"/>
    <col min="22" max="22" width="12.7109375" style="3" hidden="1" customWidth="1"/>
    <col min="23" max="23" width="14.5703125" style="3" customWidth="1"/>
    <col min="24" max="24" width="11.5703125" style="3" customWidth="1"/>
    <col min="25" max="25" width="2" style="3" customWidth="1"/>
    <col min="26" max="26" width="10.5703125" style="3" customWidth="1"/>
    <col min="27" max="55" width="7.28515625" style="3" customWidth="1"/>
    <col min="56" max="56" width="1.5703125" style="3" customWidth="1"/>
    <col min="57" max="57" width="9.42578125" style="3" customWidth="1"/>
    <col min="58" max="58" width="1.28515625" style="3" customWidth="1"/>
    <col min="59" max="59" width="12.7109375" style="3" customWidth="1"/>
    <col min="60" max="60" width="10.28515625" style="3" customWidth="1"/>
    <col min="61" max="16384" width="9.140625" style="3"/>
  </cols>
  <sheetData>
    <row r="1" spans="1:60">
      <c r="B1" s="2" t="s">
        <v>0</v>
      </c>
      <c r="N1" s="3" t="s">
        <v>1</v>
      </c>
      <c r="P1" s="183">
        <v>46147</v>
      </c>
      <c r="Q1" s="184"/>
      <c r="R1" s="184"/>
      <c r="S1" s="184"/>
      <c r="T1" s="184"/>
      <c r="U1" s="184"/>
      <c r="V1" s="184"/>
      <c r="W1" s="184"/>
      <c r="X1" s="185"/>
    </row>
    <row r="2" spans="1:60" ht="15" customHeight="1">
      <c r="B2" s="2" t="s">
        <v>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4" spans="1:60" ht="19.5" customHeight="1">
      <c r="A4" s="4"/>
      <c r="B4" s="192" t="s">
        <v>3</v>
      </c>
      <c r="C4" s="193" t="s">
        <v>4</v>
      </c>
      <c r="D4" s="194" t="s">
        <v>5</v>
      </c>
      <c r="E4" s="186" t="s">
        <v>6</v>
      </c>
      <c r="F4" s="187"/>
      <c r="G4" s="195" t="s">
        <v>7</v>
      </c>
      <c r="H4" s="202" t="s">
        <v>5</v>
      </c>
      <c r="I4" s="204" t="s">
        <v>8</v>
      </c>
      <c r="J4" s="202" t="s">
        <v>5</v>
      </c>
      <c r="L4" s="188" t="s">
        <v>9</v>
      </c>
      <c r="M4" s="189"/>
      <c r="N4" s="189"/>
      <c r="O4" s="189"/>
      <c r="P4" s="189"/>
      <c r="Q4" s="189"/>
      <c r="R4" s="189"/>
      <c r="S4" s="189"/>
      <c r="T4" s="189"/>
      <c r="U4" s="189"/>
      <c r="V4" s="190"/>
      <c r="W4" s="189"/>
      <c r="X4" s="191"/>
    </row>
    <row r="5" spans="1:60" s="1" customFormat="1" ht="56.25">
      <c r="A5" s="4"/>
      <c r="B5" s="192"/>
      <c r="C5" s="193"/>
      <c r="D5" s="194"/>
      <c r="E5" s="31" t="s">
        <v>10</v>
      </c>
      <c r="F5" s="32" t="s">
        <v>11</v>
      </c>
      <c r="G5" s="196"/>
      <c r="H5" s="203"/>
      <c r="I5" s="205"/>
      <c r="J5" s="203"/>
      <c r="L5" s="60" t="s">
        <v>12</v>
      </c>
      <c r="M5" s="85" t="s">
        <v>5</v>
      </c>
      <c r="N5" s="86" t="s">
        <v>13</v>
      </c>
      <c r="O5" s="85" t="s">
        <v>5</v>
      </c>
      <c r="P5" s="86" t="s">
        <v>14</v>
      </c>
      <c r="Q5" s="85" t="s">
        <v>5</v>
      </c>
      <c r="R5" s="93" t="s">
        <v>15</v>
      </c>
      <c r="S5" s="94" t="s">
        <v>5</v>
      </c>
      <c r="T5" s="95"/>
      <c r="U5" s="130" t="s">
        <v>16</v>
      </c>
      <c r="V5" s="131" t="s">
        <v>17</v>
      </c>
      <c r="W5" s="132" t="s">
        <v>18</v>
      </c>
      <c r="X5" s="133" t="s">
        <v>19</v>
      </c>
      <c r="AL5" s="156"/>
      <c r="AM5" s="156"/>
      <c r="AN5" s="156"/>
      <c r="AO5" s="156"/>
      <c r="AP5" s="156"/>
      <c r="AQ5" s="156"/>
      <c r="AR5" s="156"/>
      <c r="AS5" s="156"/>
      <c r="AT5" s="156"/>
      <c r="AU5" s="156"/>
      <c r="AV5" s="156"/>
      <c r="AW5" s="156"/>
      <c r="AX5" s="156"/>
      <c r="AY5" s="156"/>
      <c r="AZ5" s="156"/>
      <c r="BA5" s="156"/>
      <c r="BB5" s="156"/>
      <c r="BC5" s="156"/>
      <c r="BD5" s="156"/>
      <c r="BE5" s="156"/>
      <c r="BF5" s="156"/>
      <c r="BG5" s="156"/>
      <c r="BH5" s="156"/>
    </row>
    <row r="6" spans="1:60" s="1" customFormat="1">
      <c r="B6" s="7"/>
      <c r="C6" s="8"/>
      <c r="D6" s="9"/>
      <c r="E6" s="33"/>
      <c r="F6" s="33"/>
      <c r="G6" s="34"/>
      <c r="H6" s="35"/>
      <c r="I6" s="35"/>
      <c r="J6" s="61"/>
      <c r="K6" s="62"/>
      <c r="L6" s="33"/>
      <c r="M6" s="33"/>
      <c r="N6" s="33"/>
      <c r="O6" s="33"/>
      <c r="P6" s="33"/>
      <c r="Q6" s="96"/>
      <c r="R6" s="97"/>
      <c r="S6" s="98"/>
      <c r="T6" s="62"/>
      <c r="U6" s="8"/>
      <c r="V6" s="33"/>
      <c r="W6" s="134"/>
      <c r="X6" s="61"/>
      <c r="AL6" s="156"/>
      <c r="AM6" s="156"/>
      <c r="AN6" s="156"/>
      <c r="AO6" s="156"/>
      <c r="AP6" s="156"/>
      <c r="AQ6" s="156"/>
      <c r="AR6" s="156"/>
      <c r="AS6" s="156"/>
      <c r="AT6" s="156"/>
      <c r="AU6" s="156"/>
      <c r="AV6" s="156"/>
      <c r="AW6" s="156"/>
      <c r="AX6" s="156"/>
      <c r="AY6" s="156"/>
      <c r="AZ6" s="156"/>
      <c r="BA6" s="156"/>
      <c r="BB6" s="156"/>
      <c r="BC6" s="156"/>
      <c r="BD6" s="156"/>
      <c r="BE6" s="156"/>
      <c r="BF6" s="156"/>
      <c r="BG6" s="156"/>
      <c r="BH6" s="156"/>
    </row>
    <row r="7" spans="1:60" s="1" customFormat="1">
      <c r="B7" s="7"/>
      <c r="C7" s="8"/>
      <c r="D7" s="9"/>
      <c r="E7" s="33"/>
      <c r="F7" s="33"/>
      <c r="G7" s="34"/>
      <c r="H7" s="35"/>
      <c r="I7" s="35"/>
      <c r="J7" s="61"/>
      <c r="K7" s="62"/>
      <c r="L7" s="33"/>
      <c r="M7" s="33"/>
      <c r="N7" s="33"/>
      <c r="O7" s="33"/>
      <c r="P7" s="33"/>
      <c r="Q7" s="96"/>
      <c r="R7" s="97"/>
      <c r="S7" s="98"/>
      <c r="T7" s="62"/>
      <c r="U7" s="8"/>
      <c r="V7" s="135"/>
      <c r="W7" s="134"/>
      <c r="X7" s="61"/>
      <c r="AL7" s="156"/>
      <c r="AM7" s="156"/>
      <c r="AN7" s="156"/>
      <c r="AO7" s="156"/>
      <c r="AP7" s="156"/>
      <c r="AQ7" s="156"/>
      <c r="AR7" s="156"/>
      <c r="AS7" s="156"/>
      <c r="AT7" s="156"/>
      <c r="AU7" s="156"/>
      <c r="AV7" s="156"/>
      <c r="AW7" s="156"/>
      <c r="AX7" s="156"/>
      <c r="AY7" s="156"/>
      <c r="AZ7" s="156"/>
      <c r="BA7" s="156"/>
      <c r="BB7" s="156"/>
      <c r="BC7" s="156"/>
      <c r="BD7" s="156"/>
      <c r="BE7" s="156"/>
      <c r="BF7" s="156"/>
      <c r="BG7" s="156"/>
      <c r="BH7" s="156"/>
    </row>
    <row r="8" spans="1:60">
      <c r="A8" s="1">
        <v>1</v>
      </c>
      <c r="B8" s="7" t="s">
        <v>20</v>
      </c>
      <c r="C8" s="10">
        <v>27</v>
      </c>
      <c r="D8" s="11">
        <v>19</v>
      </c>
      <c r="E8" s="36"/>
      <c r="F8" s="36"/>
      <c r="G8" s="37">
        <v>6</v>
      </c>
      <c r="H8" s="38"/>
      <c r="I8" s="38">
        <f>C8-G8</f>
        <v>21</v>
      </c>
      <c r="J8" s="63">
        <f t="shared" ref="J8:J13" si="0">D8-H8</f>
        <v>19</v>
      </c>
      <c r="K8" s="62"/>
      <c r="L8" s="36">
        <v>1</v>
      </c>
      <c r="M8" s="36"/>
      <c r="N8" s="36"/>
      <c r="O8" s="36"/>
      <c r="P8" s="36">
        <v>5</v>
      </c>
      <c r="Q8" s="99"/>
      <c r="R8" s="100">
        <f t="shared" ref="R8:S12" si="1">L8+N8+P8</f>
        <v>6</v>
      </c>
      <c r="S8" s="101">
        <f t="shared" si="1"/>
        <v>0</v>
      </c>
      <c r="T8" s="62"/>
      <c r="U8" s="8">
        <f>L8*24+N8*24+P8*24</f>
        <v>144</v>
      </c>
      <c r="V8" s="135">
        <f>U8/24</f>
        <v>6</v>
      </c>
      <c r="W8" s="134">
        <f t="shared" ref="W8:W13" si="2">I8*24+J8</f>
        <v>523</v>
      </c>
      <c r="X8" s="61"/>
      <c r="AL8" s="157"/>
      <c r="AM8" s="157"/>
      <c r="AN8" s="157"/>
      <c r="AO8" s="157"/>
      <c r="AP8" s="157"/>
      <c r="AQ8" s="157"/>
      <c r="AR8" s="157"/>
      <c r="AS8" s="157"/>
      <c r="AT8" s="157"/>
      <c r="AU8" s="157"/>
      <c r="AV8" s="157"/>
      <c r="AW8" s="157"/>
      <c r="AX8" s="157"/>
      <c r="AY8" s="157"/>
      <c r="AZ8" s="157"/>
      <c r="BA8" s="157"/>
      <c r="BB8" s="157"/>
      <c r="BC8" s="157"/>
      <c r="BD8" s="157"/>
      <c r="BE8" s="157"/>
      <c r="BF8" s="157"/>
      <c r="BG8" s="157"/>
      <c r="BH8" s="157"/>
    </row>
    <row r="9" spans="1:60">
      <c r="A9" s="1">
        <f t="shared" ref="A9:A59" si="3">A8+1</f>
        <v>2</v>
      </c>
      <c r="B9" s="12" t="s">
        <v>21</v>
      </c>
      <c r="C9" s="13">
        <v>91</v>
      </c>
      <c r="D9" s="14"/>
      <c r="E9" s="39"/>
      <c r="F9" s="39"/>
      <c r="G9" s="40">
        <v>5</v>
      </c>
      <c r="H9" s="41"/>
      <c r="I9" s="40">
        <f t="shared" ref="I9:J59" si="4">C9-G9</f>
        <v>86</v>
      </c>
      <c r="J9" s="64">
        <f t="shared" si="0"/>
        <v>0</v>
      </c>
      <c r="K9" s="65"/>
      <c r="L9" s="51"/>
      <c r="M9" s="51"/>
      <c r="N9" s="51"/>
      <c r="O9" s="51"/>
      <c r="P9" s="51">
        <v>5</v>
      </c>
      <c r="Q9" s="102"/>
      <c r="R9" s="103">
        <f t="shared" si="1"/>
        <v>5</v>
      </c>
      <c r="S9" s="104">
        <f t="shared" si="1"/>
        <v>0</v>
      </c>
      <c r="T9" s="65"/>
      <c r="U9" s="136">
        <f>L9*24+N9*24+P9*24</f>
        <v>120</v>
      </c>
      <c r="V9" s="137">
        <f>U9/24</f>
        <v>5</v>
      </c>
      <c r="W9" s="138">
        <f t="shared" si="2"/>
        <v>2064</v>
      </c>
      <c r="X9" s="139"/>
      <c r="AL9" s="157"/>
      <c r="AM9" s="157"/>
      <c r="AN9" s="157"/>
      <c r="AO9" s="157"/>
      <c r="AP9" s="157"/>
      <c r="AQ9" s="157"/>
      <c r="AR9" s="157"/>
      <c r="AS9" s="157"/>
      <c r="AT9" s="157"/>
      <c r="AU9" s="157"/>
      <c r="AV9" s="157"/>
      <c r="AW9" s="157"/>
      <c r="AX9" s="157"/>
      <c r="AY9" s="157"/>
      <c r="AZ9" s="157"/>
      <c r="BA9" s="157"/>
      <c r="BB9" s="157"/>
      <c r="BC9" s="157"/>
      <c r="BD9" s="157"/>
      <c r="BE9" s="157"/>
      <c r="BF9" s="157"/>
      <c r="BG9" s="157"/>
      <c r="BH9" s="157"/>
    </row>
    <row r="10" spans="1:60">
      <c r="A10" s="1">
        <f t="shared" si="3"/>
        <v>3</v>
      </c>
      <c r="B10" s="7" t="s">
        <v>22</v>
      </c>
      <c r="C10" s="10">
        <v>76</v>
      </c>
      <c r="D10" s="11"/>
      <c r="E10" s="36"/>
      <c r="F10" s="36"/>
      <c r="G10" s="37">
        <v>24</v>
      </c>
      <c r="H10" s="38"/>
      <c r="I10" s="38">
        <f t="shared" si="4"/>
        <v>52</v>
      </c>
      <c r="J10" s="66">
        <f t="shared" si="0"/>
        <v>0</v>
      </c>
      <c r="K10" s="62"/>
      <c r="L10" s="36">
        <v>2</v>
      </c>
      <c r="M10" s="36"/>
      <c r="N10" s="36"/>
      <c r="O10" s="36"/>
      <c r="P10" s="36">
        <v>22</v>
      </c>
      <c r="Q10" s="99"/>
      <c r="R10" s="105">
        <f t="shared" si="1"/>
        <v>24</v>
      </c>
      <c r="S10" s="106">
        <f t="shared" si="1"/>
        <v>0</v>
      </c>
      <c r="T10" s="62"/>
      <c r="U10" s="8">
        <f>L10*24+N10*24+P10*24</f>
        <v>576</v>
      </c>
      <c r="V10" s="140">
        <f>U10/24</f>
        <v>24</v>
      </c>
      <c r="W10" s="134">
        <f t="shared" si="2"/>
        <v>1248</v>
      </c>
      <c r="X10" s="61"/>
      <c r="AL10" s="157"/>
      <c r="AM10" s="157"/>
      <c r="AN10" s="157"/>
      <c r="AO10" s="157"/>
      <c r="AP10" s="157"/>
      <c r="AQ10" s="157"/>
      <c r="AR10" s="157"/>
      <c r="AS10" s="157"/>
      <c r="AT10" s="157"/>
      <c r="AU10" s="157"/>
      <c r="AV10" s="157"/>
      <c r="AW10" s="157"/>
      <c r="AX10" s="157"/>
      <c r="AY10" s="157"/>
      <c r="AZ10" s="157"/>
      <c r="BA10" s="157"/>
      <c r="BB10" s="157"/>
      <c r="BC10" s="157"/>
      <c r="BD10" s="157"/>
      <c r="BE10" s="157"/>
      <c r="BF10" s="157"/>
      <c r="BG10" s="157"/>
      <c r="BH10" s="157"/>
    </row>
    <row r="11" spans="1:60">
      <c r="A11" s="1">
        <f t="shared" si="3"/>
        <v>4</v>
      </c>
      <c r="B11" s="15" t="s">
        <v>23</v>
      </c>
      <c r="C11" s="10">
        <v>80</v>
      </c>
      <c r="D11" s="11"/>
      <c r="E11" s="36"/>
      <c r="F11" s="36"/>
      <c r="G11" s="37">
        <v>25</v>
      </c>
      <c r="H11" s="38"/>
      <c r="I11" s="38">
        <f t="shared" si="4"/>
        <v>55</v>
      </c>
      <c r="J11" s="63">
        <f t="shared" si="0"/>
        <v>0</v>
      </c>
      <c r="K11" s="62"/>
      <c r="L11" s="36">
        <v>1</v>
      </c>
      <c r="M11" s="36"/>
      <c r="N11" s="36">
        <v>1</v>
      </c>
      <c r="O11" s="36"/>
      <c r="P11" s="36">
        <v>23</v>
      </c>
      <c r="Q11" s="99"/>
      <c r="R11" s="100">
        <f t="shared" si="1"/>
        <v>25</v>
      </c>
      <c r="S11" s="101">
        <f t="shared" si="1"/>
        <v>0</v>
      </c>
      <c r="T11" s="62"/>
      <c r="U11" s="8">
        <f>L11*24+N11*24+P11*24</f>
        <v>600</v>
      </c>
      <c r="V11" s="135">
        <f>U11/24</f>
        <v>25</v>
      </c>
      <c r="W11" s="134">
        <f t="shared" si="2"/>
        <v>1320</v>
      </c>
      <c r="X11" s="61"/>
      <c r="AL11" s="157"/>
      <c r="AM11" s="157"/>
      <c r="AN11" s="157"/>
      <c r="AO11" s="157"/>
      <c r="AP11" s="157"/>
      <c r="AQ11" s="157"/>
      <c r="AR11" s="157"/>
      <c r="AS11" s="157"/>
      <c r="AT11" s="157"/>
      <c r="AU11" s="157"/>
      <c r="AV11" s="157"/>
      <c r="AW11" s="157"/>
      <c r="AX11" s="157"/>
      <c r="AY11" s="157"/>
      <c r="AZ11" s="157"/>
      <c r="BA11" s="157"/>
      <c r="BB11" s="157"/>
      <c r="BC11" s="157"/>
      <c r="BD11" s="157"/>
      <c r="BE11" s="157"/>
      <c r="BF11" s="157"/>
      <c r="BG11" s="157"/>
      <c r="BH11" s="157"/>
    </row>
    <row r="12" spans="1:60">
      <c r="A12" s="1">
        <f t="shared" si="3"/>
        <v>5</v>
      </c>
      <c r="B12" s="15" t="s">
        <v>24</v>
      </c>
      <c r="C12" s="10">
        <v>1</v>
      </c>
      <c r="D12" s="11"/>
      <c r="E12" s="36"/>
      <c r="F12" s="36"/>
      <c r="G12" s="37"/>
      <c r="H12" s="38"/>
      <c r="I12" s="38">
        <f t="shared" si="4"/>
        <v>1</v>
      </c>
      <c r="J12" s="63">
        <f t="shared" si="0"/>
        <v>0</v>
      </c>
      <c r="K12" s="62"/>
      <c r="L12" s="36"/>
      <c r="M12" s="36"/>
      <c r="N12" s="36"/>
      <c r="O12" s="36"/>
      <c r="P12" s="36"/>
      <c r="Q12" s="99"/>
      <c r="R12" s="100">
        <f t="shared" si="1"/>
        <v>0</v>
      </c>
      <c r="S12" s="101">
        <f t="shared" si="1"/>
        <v>0</v>
      </c>
      <c r="T12" s="62"/>
      <c r="U12" s="8">
        <f t="shared" ref="U12:U37" si="5">L12*24+N12*24+P12*24</f>
        <v>0</v>
      </c>
      <c r="V12" s="135">
        <f t="shared" ref="V12:V41" si="6">U12/24</f>
        <v>0</v>
      </c>
      <c r="W12" s="134">
        <f t="shared" si="2"/>
        <v>24</v>
      </c>
      <c r="X12" s="61"/>
      <c r="AL12" s="157"/>
      <c r="AM12" s="157"/>
      <c r="AN12" s="157"/>
      <c r="AO12" s="157"/>
      <c r="AP12" s="157"/>
      <c r="AQ12" s="157"/>
      <c r="AR12" s="157"/>
      <c r="AS12" s="157"/>
      <c r="AT12" s="157"/>
      <c r="AU12" s="157"/>
      <c r="AV12" s="157"/>
      <c r="AW12" s="157"/>
      <c r="AX12" s="157"/>
      <c r="AY12" s="157"/>
      <c r="AZ12" s="157"/>
      <c r="BA12" s="157"/>
      <c r="BB12" s="157"/>
      <c r="BC12" s="157"/>
      <c r="BD12" s="157"/>
      <c r="BE12" s="157"/>
      <c r="BF12" s="157"/>
      <c r="BG12" s="157"/>
      <c r="BH12" s="157"/>
    </row>
    <row r="13" spans="1:60" s="2" customFormat="1">
      <c r="A13" s="1">
        <f t="shared" si="3"/>
        <v>6</v>
      </c>
      <c r="B13" s="12" t="s">
        <v>25</v>
      </c>
      <c r="C13" s="13">
        <v>3567</v>
      </c>
      <c r="D13" s="14">
        <v>3</v>
      </c>
      <c r="E13" s="39"/>
      <c r="F13" s="39"/>
      <c r="G13" s="40">
        <v>38</v>
      </c>
      <c r="H13" s="41">
        <v>18</v>
      </c>
      <c r="I13" s="44">
        <f t="shared" si="4"/>
        <v>3529</v>
      </c>
      <c r="J13" s="64">
        <f t="shared" si="0"/>
        <v>-15</v>
      </c>
      <c r="K13" s="67"/>
      <c r="L13" s="51">
        <v>5</v>
      </c>
      <c r="M13" s="51">
        <v>6</v>
      </c>
      <c r="N13" s="51">
        <v>12</v>
      </c>
      <c r="O13" s="51">
        <v>21</v>
      </c>
      <c r="P13" s="51">
        <v>12</v>
      </c>
      <c r="Q13" s="102">
        <v>38</v>
      </c>
      <c r="R13" s="107">
        <f>L13+N13+P13</f>
        <v>29</v>
      </c>
      <c r="S13" s="104">
        <f>M13+O13+Q13</f>
        <v>65</v>
      </c>
      <c r="T13" s="67"/>
      <c r="U13" s="136">
        <f t="shared" si="5"/>
        <v>696</v>
      </c>
      <c r="V13" s="141">
        <f t="shared" si="6"/>
        <v>29</v>
      </c>
      <c r="W13" s="138">
        <f t="shared" si="2"/>
        <v>84681</v>
      </c>
      <c r="X13" s="139"/>
      <c r="Y13" s="3"/>
      <c r="AD13" s="3"/>
      <c r="AG13" s="3"/>
      <c r="AH13" s="3"/>
      <c r="AI13" s="3"/>
      <c r="AJ13" s="3"/>
      <c r="AK13" s="3"/>
      <c r="AL13" s="157"/>
      <c r="AM13" s="157"/>
      <c r="AN13" s="157"/>
      <c r="AO13" s="157"/>
      <c r="AP13" s="157"/>
      <c r="AQ13" s="157"/>
      <c r="AR13" s="157"/>
      <c r="AS13" s="157"/>
      <c r="AT13" s="157"/>
      <c r="AU13" s="157"/>
      <c r="AV13" s="157"/>
      <c r="AW13" s="157"/>
      <c r="AX13" s="157"/>
      <c r="AY13" s="157"/>
      <c r="AZ13" s="157"/>
      <c r="BA13" s="157"/>
      <c r="BB13" s="157"/>
      <c r="BC13" s="157"/>
      <c r="BD13" s="157"/>
      <c r="BE13" s="157"/>
      <c r="BF13" s="157"/>
      <c r="BG13" s="157"/>
      <c r="BH13" s="157"/>
    </row>
    <row r="14" spans="1:60">
      <c r="A14" s="1">
        <f t="shared" si="3"/>
        <v>7</v>
      </c>
      <c r="B14" s="7" t="s">
        <v>26</v>
      </c>
      <c r="C14" s="10">
        <v>3</v>
      </c>
      <c r="D14" s="11">
        <v>16</v>
      </c>
      <c r="E14" s="36"/>
      <c r="F14" s="36"/>
      <c r="G14" s="37"/>
      <c r="H14" s="38"/>
      <c r="I14" s="68">
        <f t="shared" si="4"/>
        <v>3</v>
      </c>
      <c r="J14" s="66">
        <f t="shared" si="4"/>
        <v>16</v>
      </c>
      <c r="K14" s="62"/>
      <c r="L14" s="36"/>
      <c r="M14" s="36"/>
      <c r="N14" s="36"/>
      <c r="O14" s="36"/>
      <c r="P14" s="36"/>
      <c r="Q14" s="99"/>
      <c r="R14" s="108">
        <f t="shared" ref="R14:S59" si="7">L14+N14+P14</f>
        <v>0</v>
      </c>
      <c r="S14" s="106">
        <f t="shared" si="7"/>
        <v>0</v>
      </c>
      <c r="T14" s="62"/>
      <c r="U14" s="8">
        <f t="shared" si="5"/>
        <v>0</v>
      </c>
      <c r="V14" s="33">
        <f t="shared" si="6"/>
        <v>0</v>
      </c>
      <c r="W14" s="134">
        <f t="shared" ref="W14:W37" si="8">I14*24+J14</f>
        <v>88</v>
      </c>
      <c r="X14" s="61"/>
      <c r="AL14" s="157"/>
      <c r="AM14" s="157"/>
      <c r="AN14" s="157"/>
      <c r="AO14" s="157"/>
      <c r="AP14" s="157"/>
      <c r="AQ14" s="157"/>
      <c r="AR14" s="157"/>
      <c r="AS14" s="157"/>
      <c r="AT14" s="157"/>
      <c r="AU14" s="157"/>
      <c r="AV14" s="157"/>
      <c r="AW14" s="157"/>
      <c r="AX14" s="157"/>
      <c r="AY14" s="157"/>
      <c r="AZ14" s="157"/>
      <c r="BA14" s="157"/>
      <c r="BB14" s="157"/>
      <c r="BC14" s="157"/>
      <c r="BD14" s="157"/>
      <c r="BE14" s="157"/>
      <c r="BF14" s="157"/>
      <c r="BG14" s="157"/>
      <c r="BH14" s="157"/>
    </row>
    <row r="15" spans="1:60">
      <c r="A15" s="1">
        <f t="shared" si="3"/>
        <v>8</v>
      </c>
      <c r="B15" s="15" t="s">
        <v>27</v>
      </c>
      <c r="C15" s="10">
        <v>4</v>
      </c>
      <c r="D15" s="11"/>
      <c r="E15" s="36"/>
      <c r="F15" s="36"/>
      <c r="G15" s="37"/>
      <c r="H15" s="38"/>
      <c r="I15" s="38">
        <f t="shared" si="4"/>
        <v>4</v>
      </c>
      <c r="J15" s="63">
        <f t="shared" si="4"/>
        <v>0</v>
      </c>
      <c r="K15" s="62"/>
      <c r="L15" s="36"/>
      <c r="M15" s="36"/>
      <c r="N15" s="36"/>
      <c r="O15" s="36"/>
      <c r="P15" s="36"/>
      <c r="Q15" s="99"/>
      <c r="R15" s="100">
        <f t="shared" si="7"/>
        <v>0</v>
      </c>
      <c r="S15" s="101">
        <f t="shared" si="7"/>
        <v>0</v>
      </c>
      <c r="T15" s="62"/>
      <c r="U15" s="8">
        <f t="shared" si="5"/>
        <v>0</v>
      </c>
      <c r="V15" s="135">
        <f t="shared" si="6"/>
        <v>0</v>
      </c>
      <c r="W15" s="134">
        <f t="shared" si="8"/>
        <v>96</v>
      </c>
      <c r="X15" s="61"/>
      <c r="AL15" s="157"/>
      <c r="AM15" s="157"/>
      <c r="AN15" s="157"/>
      <c r="AO15" s="157"/>
      <c r="AP15" s="157"/>
      <c r="AQ15" s="157"/>
      <c r="AR15" s="157"/>
      <c r="AS15" s="157"/>
      <c r="AT15" s="157"/>
      <c r="AU15" s="157"/>
      <c r="AV15" s="157"/>
      <c r="AW15" s="157"/>
      <c r="AX15" s="157"/>
      <c r="AY15" s="157"/>
      <c r="AZ15" s="157"/>
      <c r="BA15" s="157"/>
      <c r="BB15" s="157"/>
      <c r="BC15" s="157"/>
      <c r="BD15" s="157"/>
      <c r="BE15" s="157"/>
      <c r="BF15" s="157"/>
      <c r="BG15" s="157"/>
      <c r="BH15" s="157"/>
    </row>
    <row r="16" spans="1:60">
      <c r="A16" s="1">
        <f t="shared" si="3"/>
        <v>9</v>
      </c>
      <c r="B16" s="15" t="s">
        <v>28</v>
      </c>
      <c r="C16" s="10">
        <v>1</v>
      </c>
      <c r="D16" s="11"/>
      <c r="E16" s="36"/>
      <c r="F16" s="36"/>
      <c r="G16" s="37"/>
      <c r="H16" s="38"/>
      <c r="I16" s="38">
        <f t="shared" si="4"/>
        <v>1</v>
      </c>
      <c r="J16" s="63">
        <f t="shared" si="4"/>
        <v>0</v>
      </c>
      <c r="K16" s="62"/>
      <c r="L16" s="36"/>
      <c r="M16" s="36"/>
      <c r="N16" s="36"/>
      <c r="O16" s="36"/>
      <c r="P16" s="36"/>
      <c r="Q16" s="99"/>
      <c r="R16" s="100">
        <f t="shared" si="7"/>
        <v>0</v>
      </c>
      <c r="S16" s="101">
        <f t="shared" si="7"/>
        <v>0</v>
      </c>
      <c r="T16" s="62"/>
      <c r="U16" s="8">
        <f t="shared" si="5"/>
        <v>0</v>
      </c>
      <c r="V16" s="135">
        <f t="shared" si="6"/>
        <v>0</v>
      </c>
      <c r="W16" s="134">
        <f t="shared" si="8"/>
        <v>24</v>
      </c>
      <c r="X16" s="61"/>
      <c r="AL16" s="157"/>
      <c r="AM16" s="157"/>
      <c r="AN16" s="157"/>
      <c r="AO16" s="157"/>
      <c r="AP16" s="157"/>
      <c r="AQ16" s="157"/>
      <c r="AR16" s="157"/>
      <c r="AS16" s="157"/>
      <c r="AT16" s="157"/>
      <c r="AU16" s="157"/>
      <c r="AV16" s="157"/>
      <c r="AW16" s="157"/>
      <c r="AX16" s="157"/>
      <c r="AY16" s="157"/>
      <c r="AZ16" s="157"/>
      <c r="BA16" s="157"/>
      <c r="BB16" s="157"/>
      <c r="BC16" s="157"/>
      <c r="BD16" s="157"/>
      <c r="BE16" s="157"/>
      <c r="BF16" s="157"/>
      <c r="BG16" s="157"/>
      <c r="BH16" s="157"/>
    </row>
    <row r="17" spans="1:60">
      <c r="A17" s="1">
        <f t="shared" si="3"/>
        <v>10</v>
      </c>
      <c r="B17" s="15" t="s">
        <v>29</v>
      </c>
      <c r="C17" s="10"/>
      <c r="D17" s="11"/>
      <c r="E17" s="36"/>
      <c r="F17" s="36"/>
      <c r="G17" s="37"/>
      <c r="H17" s="38"/>
      <c r="I17" s="38">
        <f t="shared" si="4"/>
        <v>0</v>
      </c>
      <c r="J17" s="63">
        <f t="shared" si="4"/>
        <v>0</v>
      </c>
      <c r="K17" s="62"/>
      <c r="L17" s="36"/>
      <c r="M17" s="36"/>
      <c r="N17" s="36"/>
      <c r="O17" s="36"/>
      <c r="P17" s="36"/>
      <c r="Q17" s="99"/>
      <c r="R17" s="100">
        <f t="shared" si="7"/>
        <v>0</v>
      </c>
      <c r="S17" s="101">
        <f t="shared" si="7"/>
        <v>0</v>
      </c>
      <c r="T17" s="62"/>
      <c r="U17" s="8">
        <f t="shared" si="5"/>
        <v>0</v>
      </c>
      <c r="V17" s="135">
        <f t="shared" si="6"/>
        <v>0</v>
      </c>
      <c r="W17" s="134">
        <f t="shared" si="8"/>
        <v>0</v>
      </c>
      <c r="X17" s="61"/>
      <c r="AL17" s="157"/>
      <c r="AM17" s="157"/>
      <c r="AN17" s="157"/>
      <c r="AO17" s="157"/>
      <c r="AP17" s="157"/>
      <c r="AQ17" s="157"/>
      <c r="AR17" s="157"/>
      <c r="AS17" s="157"/>
      <c r="AT17" s="157"/>
      <c r="AU17" s="157"/>
      <c r="AV17" s="157"/>
      <c r="AW17" s="157"/>
      <c r="AX17" s="157"/>
      <c r="AY17" s="157"/>
      <c r="AZ17" s="157"/>
      <c r="BA17" s="157"/>
      <c r="BB17" s="157"/>
      <c r="BC17" s="157"/>
      <c r="BD17" s="157"/>
      <c r="BE17" s="157"/>
      <c r="BF17" s="157"/>
      <c r="BG17" s="157"/>
      <c r="BH17" s="157"/>
    </row>
    <row r="18" spans="1:60">
      <c r="A18" s="1">
        <f t="shared" si="3"/>
        <v>11</v>
      </c>
      <c r="B18" s="15" t="s">
        <v>30</v>
      </c>
      <c r="C18" s="10">
        <v>3</v>
      </c>
      <c r="D18" s="11"/>
      <c r="E18" s="36"/>
      <c r="F18" s="36"/>
      <c r="G18" s="37"/>
      <c r="H18" s="38"/>
      <c r="I18" s="38">
        <f t="shared" si="4"/>
        <v>3</v>
      </c>
      <c r="J18" s="63">
        <f t="shared" si="4"/>
        <v>0</v>
      </c>
      <c r="K18" s="62"/>
      <c r="L18" s="36"/>
      <c r="M18" s="36"/>
      <c r="N18" s="36"/>
      <c r="O18" s="36"/>
      <c r="P18" s="36"/>
      <c r="Q18" s="99"/>
      <c r="R18" s="100">
        <f t="shared" si="7"/>
        <v>0</v>
      </c>
      <c r="S18" s="101">
        <f t="shared" si="7"/>
        <v>0</v>
      </c>
      <c r="T18" s="62"/>
      <c r="U18" s="8">
        <f t="shared" si="5"/>
        <v>0</v>
      </c>
      <c r="V18" s="135">
        <f t="shared" si="6"/>
        <v>0</v>
      </c>
      <c r="W18" s="134">
        <f t="shared" si="8"/>
        <v>72</v>
      </c>
      <c r="X18" s="61"/>
      <c r="AL18" s="157"/>
      <c r="AM18" s="157"/>
      <c r="AN18" s="157"/>
      <c r="AO18" s="157"/>
      <c r="AP18" s="157"/>
      <c r="AQ18" s="157"/>
      <c r="AR18" s="157"/>
      <c r="AS18" s="157"/>
      <c r="AT18" s="157"/>
      <c r="AU18" s="157"/>
      <c r="AV18" s="157"/>
      <c r="AW18" s="157"/>
      <c r="AX18" s="157"/>
      <c r="AY18" s="157"/>
      <c r="AZ18" s="157"/>
      <c r="BA18" s="157"/>
      <c r="BB18" s="157"/>
      <c r="BC18" s="157"/>
      <c r="BD18" s="157"/>
      <c r="BE18" s="157"/>
      <c r="BF18" s="157"/>
      <c r="BG18" s="157"/>
      <c r="BH18" s="157"/>
    </row>
    <row r="19" spans="1:60" ht="18.75" hidden="1" customHeight="1">
      <c r="A19" s="1">
        <f t="shared" si="3"/>
        <v>12</v>
      </c>
      <c r="B19" s="15" t="s">
        <v>31</v>
      </c>
      <c r="C19" s="10"/>
      <c r="D19" s="11"/>
      <c r="E19" s="36"/>
      <c r="F19" s="36"/>
      <c r="G19" s="37"/>
      <c r="H19" s="38"/>
      <c r="I19" s="38">
        <f t="shared" si="4"/>
        <v>0</v>
      </c>
      <c r="J19" s="63">
        <f t="shared" si="4"/>
        <v>0</v>
      </c>
      <c r="K19" s="62"/>
      <c r="L19" s="36"/>
      <c r="M19" s="36"/>
      <c r="N19" s="36"/>
      <c r="O19" s="36"/>
      <c r="P19" s="36"/>
      <c r="Q19" s="99"/>
      <c r="R19" s="100">
        <f t="shared" si="7"/>
        <v>0</v>
      </c>
      <c r="S19" s="101">
        <f t="shared" si="7"/>
        <v>0</v>
      </c>
      <c r="T19" s="62"/>
      <c r="U19" s="8">
        <f t="shared" si="5"/>
        <v>0</v>
      </c>
      <c r="V19" s="135">
        <f t="shared" si="6"/>
        <v>0</v>
      </c>
      <c r="W19" s="134">
        <f t="shared" si="8"/>
        <v>0</v>
      </c>
      <c r="X19" s="61"/>
      <c r="AL19" s="157"/>
      <c r="AM19" s="157"/>
      <c r="AN19" s="157"/>
      <c r="AO19" s="157"/>
      <c r="AP19" s="157"/>
      <c r="AQ19" s="157"/>
      <c r="AR19" s="157"/>
      <c r="AS19" s="157"/>
      <c r="AT19" s="157"/>
      <c r="AU19" s="157"/>
      <c r="AV19" s="157"/>
      <c r="AW19" s="157"/>
      <c r="AX19" s="157"/>
      <c r="AY19" s="157"/>
      <c r="AZ19" s="157"/>
      <c r="BA19" s="157"/>
      <c r="BB19" s="157"/>
      <c r="BC19" s="157"/>
      <c r="BD19" s="157"/>
      <c r="BE19" s="157"/>
      <c r="BF19" s="157"/>
      <c r="BG19" s="157"/>
      <c r="BH19" s="157"/>
    </row>
    <row r="20" spans="1:60">
      <c r="A20" s="1">
        <f t="shared" si="3"/>
        <v>13</v>
      </c>
      <c r="B20" s="15" t="s">
        <v>32</v>
      </c>
      <c r="C20" s="10">
        <v>4</v>
      </c>
      <c r="D20" s="11">
        <v>20</v>
      </c>
      <c r="E20" s="36"/>
      <c r="F20" s="36"/>
      <c r="G20" s="37"/>
      <c r="H20" s="38"/>
      <c r="I20" s="38">
        <f t="shared" si="4"/>
        <v>4</v>
      </c>
      <c r="J20" s="63">
        <f t="shared" si="4"/>
        <v>20</v>
      </c>
      <c r="K20" s="62"/>
      <c r="L20" s="36"/>
      <c r="M20" s="36"/>
      <c r="N20" s="36"/>
      <c r="O20" s="36"/>
      <c r="P20" s="36"/>
      <c r="Q20" s="99"/>
      <c r="R20" s="100">
        <f t="shared" si="7"/>
        <v>0</v>
      </c>
      <c r="S20" s="101">
        <f t="shared" si="7"/>
        <v>0</v>
      </c>
      <c r="T20" s="62"/>
      <c r="U20" s="8">
        <f t="shared" si="5"/>
        <v>0</v>
      </c>
      <c r="V20" s="135">
        <f t="shared" si="6"/>
        <v>0</v>
      </c>
      <c r="W20" s="134">
        <f t="shared" si="8"/>
        <v>116</v>
      </c>
      <c r="X20" s="61"/>
      <c r="AL20" s="157"/>
      <c r="AM20" s="157"/>
      <c r="AN20" s="157"/>
      <c r="AO20" s="157"/>
      <c r="AP20" s="157"/>
      <c r="AQ20" s="157"/>
      <c r="AR20" s="157"/>
      <c r="AS20" s="157"/>
      <c r="AT20" s="157"/>
      <c r="AU20" s="157"/>
      <c r="AV20" s="157"/>
      <c r="AW20" s="157"/>
      <c r="AX20" s="157"/>
      <c r="AY20" s="157"/>
      <c r="AZ20" s="157"/>
      <c r="BA20" s="157"/>
      <c r="BB20" s="157"/>
      <c r="BC20" s="157"/>
      <c r="BD20" s="157"/>
      <c r="BE20" s="157"/>
      <c r="BF20" s="157"/>
      <c r="BG20" s="157"/>
      <c r="BH20" s="157"/>
    </row>
    <row r="21" spans="1:60">
      <c r="A21" s="1">
        <f t="shared" si="3"/>
        <v>14</v>
      </c>
      <c r="B21" s="15" t="s">
        <v>33</v>
      </c>
      <c r="C21" s="10">
        <v>7</v>
      </c>
      <c r="D21" s="11">
        <v>16</v>
      </c>
      <c r="E21" s="36"/>
      <c r="F21" s="36"/>
      <c r="G21" s="37"/>
      <c r="H21" s="38"/>
      <c r="I21" s="38">
        <f t="shared" si="4"/>
        <v>7</v>
      </c>
      <c r="J21" s="63">
        <f t="shared" si="4"/>
        <v>16</v>
      </c>
      <c r="K21" s="62"/>
      <c r="L21" s="36"/>
      <c r="M21" s="36"/>
      <c r="N21" s="36"/>
      <c r="O21" s="36"/>
      <c r="P21" s="36"/>
      <c r="Q21" s="99"/>
      <c r="R21" s="100">
        <f t="shared" si="7"/>
        <v>0</v>
      </c>
      <c r="S21" s="101">
        <f t="shared" si="7"/>
        <v>0</v>
      </c>
      <c r="T21" s="62"/>
      <c r="U21" s="8">
        <f t="shared" si="5"/>
        <v>0</v>
      </c>
      <c r="V21" s="135">
        <f t="shared" si="6"/>
        <v>0</v>
      </c>
      <c r="W21" s="134">
        <f t="shared" si="8"/>
        <v>184</v>
      </c>
      <c r="X21" s="61"/>
      <c r="AL21" s="157"/>
      <c r="AM21" s="157"/>
      <c r="AN21" s="157"/>
      <c r="AO21" s="157"/>
      <c r="AP21" s="157"/>
      <c r="AQ21" s="157"/>
      <c r="AR21" s="157"/>
      <c r="AS21" s="157"/>
      <c r="AT21" s="157"/>
      <c r="AU21" s="157"/>
      <c r="AV21" s="157"/>
      <c r="AW21" s="157"/>
      <c r="AX21" s="157"/>
      <c r="AY21" s="157"/>
      <c r="AZ21" s="157"/>
      <c r="BA21" s="157"/>
      <c r="BB21" s="157"/>
      <c r="BC21" s="157"/>
      <c r="BD21" s="157"/>
      <c r="BE21" s="157"/>
      <c r="BF21" s="157"/>
      <c r="BG21" s="157"/>
      <c r="BH21" s="157"/>
    </row>
    <row r="22" spans="1:60">
      <c r="A22" s="1">
        <f t="shared" si="3"/>
        <v>15</v>
      </c>
      <c r="B22" s="15" t="s">
        <v>34</v>
      </c>
      <c r="C22" s="10">
        <v>4</v>
      </c>
      <c r="D22" s="11"/>
      <c r="E22" s="36"/>
      <c r="F22" s="36"/>
      <c r="G22" s="37"/>
      <c r="H22" s="38"/>
      <c r="I22" s="38">
        <f t="shared" si="4"/>
        <v>4</v>
      </c>
      <c r="J22" s="63">
        <f t="shared" si="4"/>
        <v>0</v>
      </c>
      <c r="K22" s="62"/>
      <c r="L22" s="36"/>
      <c r="M22" s="36"/>
      <c r="N22" s="36"/>
      <c r="O22" s="36"/>
      <c r="P22" s="36"/>
      <c r="Q22" s="99"/>
      <c r="R22" s="100">
        <f t="shared" si="7"/>
        <v>0</v>
      </c>
      <c r="S22" s="101">
        <f t="shared" si="7"/>
        <v>0</v>
      </c>
      <c r="T22" s="62"/>
      <c r="U22" s="8">
        <f t="shared" si="5"/>
        <v>0</v>
      </c>
      <c r="V22" s="135">
        <f t="shared" si="6"/>
        <v>0</v>
      </c>
      <c r="W22" s="134">
        <f t="shared" si="8"/>
        <v>96</v>
      </c>
      <c r="X22" s="61"/>
      <c r="AL22" s="157"/>
      <c r="AM22" s="157"/>
      <c r="AN22" s="157"/>
      <c r="AO22" s="157"/>
      <c r="AP22" s="157"/>
      <c r="AQ22" s="157"/>
      <c r="AR22" s="157"/>
      <c r="AS22" s="157"/>
      <c r="AT22" s="157"/>
      <c r="AU22" s="157"/>
      <c r="AV22" s="157"/>
      <c r="AW22" s="157"/>
      <c r="AX22" s="157"/>
      <c r="AY22" s="157"/>
      <c r="AZ22" s="157"/>
      <c r="BA22" s="157"/>
      <c r="BB22" s="157"/>
      <c r="BC22" s="157"/>
      <c r="BD22" s="157"/>
      <c r="BE22" s="157"/>
      <c r="BF22" s="157"/>
      <c r="BG22" s="157"/>
      <c r="BH22" s="157"/>
    </row>
    <row r="23" spans="1:60" s="2" customFormat="1">
      <c r="A23" s="1">
        <f t="shared" si="3"/>
        <v>16</v>
      </c>
      <c r="B23" s="15" t="s">
        <v>35</v>
      </c>
      <c r="C23" s="10">
        <v>1</v>
      </c>
      <c r="D23" s="11">
        <v>20</v>
      </c>
      <c r="E23" s="36"/>
      <c r="F23" s="36"/>
      <c r="G23" s="37"/>
      <c r="H23" s="38"/>
      <c r="I23" s="38">
        <f t="shared" si="4"/>
        <v>1</v>
      </c>
      <c r="J23" s="63">
        <f t="shared" si="4"/>
        <v>20</v>
      </c>
      <c r="K23" s="69"/>
      <c r="L23" s="36"/>
      <c r="M23" s="36"/>
      <c r="N23" s="36"/>
      <c r="O23" s="36"/>
      <c r="P23" s="36"/>
      <c r="Q23" s="99"/>
      <c r="R23" s="100">
        <f t="shared" si="7"/>
        <v>0</v>
      </c>
      <c r="S23" s="101">
        <f t="shared" si="7"/>
        <v>0</v>
      </c>
      <c r="T23" s="69"/>
      <c r="U23" s="8">
        <f t="shared" si="5"/>
        <v>0</v>
      </c>
      <c r="V23" s="135">
        <f t="shared" si="6"/>
        <v>0</v>
      </c>
      <c r="W23" s="134">
        <f t="shared" si="8"/>
        <v>44</v>
      </c>
      <c r="X23" s="61"/>
      <c r="Y23" s="3"/>
      <c r="AD23" s="3"/>
      <c r="AG23" s="3"/>
      <c r="AH23" s="3"/>
      <c r="AI23" s="3"/>
      <c r="AJ23" s="3"/>
      <c r="AK23" s="3"/>
      <c r="AL23" s="157"/>
      <c r="AM23" s="157"/>
      <c r="AN23" s="157"/>
      <c r="AO23" s="157"/>
      <c r="AP23" s="157"/>
      <c r="AQ23" s="157"/>
      <c r="AR23" s="157"/>
      <c r="AS23" s="157"/>
      <c r="AT23" s="157"/>
      <c r="AU23" s="157"/>
      <c r="AV23" s="157"/>
      <c r="AW23" s="157"/>
      <c r="AX23" s="157"/>
      <c r="AY23" s="157"/>
      <c r="AZ23" s="157"/>
      <c r="BA23" s="157"/>
      <c r="BB23" s="157"/>
      <c r="BC23" s="157"/>
      <c r="BD23" s="157"/>
      <c r="BE23" s="157"/>
      <c r="BF23" s="157"/>
      <c r="BG23" s="157"/>
      <c r="BH23" s="157"/>
    </row>
    <row r="24" spans="1:60" s="2" customFormat="1">
      <c r="A24" s="1">
        <f t="shared" si="3"/>
        <v>17</v>
      </c>
      <c r="B24" s="15" t="s">
        <v>36</v>
      </c>
      <c r="C24" s="10">
        <v>37</v>
      </c>
      <c r="D24" s="11">
        <v>19</v>
      </c>
      <c r="E24" s="36"/>
      <c r="F24" s="36"/>
      <c r="G24" s="37"/>
      <c r="H24" s="38"/>
      <c r="I24" s="38">
        <f t="shared" si="4"/>
        <v>37</v>
      </c>
      <c r="J24" s="63">
        <f t="shared" si="4"/>
        <v>19</v>
      </c>
      <c r="K24" s="69"/>
      <c r="L24" s="36"/>
      <c r="M24" s="36"/>
      <c r="N24" s="36"/>
      <c r="O24" s="36"/>
      <c r="P24" s="36"/>
      <c r="Q24" s="99"/>
      <c r="R24" s="100">
        <f t="shared" si="7"/>
        <v>0</v>
      </c>
      <c r="S24" s="101">
        <f t="shared" si="7"/>
        <v>0</v>
      </c>
      <c r="T24" s="69"/>
      <c r="U24" s="8">
        <f t="shared" si="5"/>
        <v>0</v>
      </c>
      <c r="V24" s="135">
        <f t="shared" si="6"/>
        <v>0</v>
      </c>
      <c r="W24" s="134">
        <f t="shared" si="8"/>
        <v>907</v>
      </c>
      <c r="X24" s="61"/>
      <c r="Y24" s="3"/>
      <c r="AD24" s="3"/>
      <c r="AG24" s="3"/>
      <c r="AH24" s="3"/>
      <c r="AI24" s="3"/>
      <c r="AJ24" s="3"/>
      <c r="AK24" s="3"/>
      <c r="AL24" s="157"/>
      <c r="AM24" s="157"/>
      <c r="AN24" s="157"/>
      <c r="AO24" s="157"/>
      <c r="AP24" s="157"/>
      <c r="AQ24" s="157"/>
      <c r="AR24" s="157"/>
      <c r="AS24" s="157"/>
      <c r="AT24" s="157"/>
      <c r="AU24" s="157"/>
      <c r="AV24" s="157"/>
      <c r="AW24" s="157"/>
      <c r="AX24" s="157"/>
      <c r="AY24" s="157"/>
      <c r="AZ24" s="157"/>
      <c r="BA24" s="157"/>
      <c r="BB24" s="157"/>
      <c r="BC24" s="157"/>
      <c r="BD24" s="157"/>
      <c r="BE24" s="157"/>
      <c r="BF24" s="157"/>
      <c r="BG24" s="157"/>
      <c r="BH24" s="157"/>
    </row>
    <row r="25" spans="1:60">
      <c r="A25" s="1">
        <f t="shared" si="3"/>
        <v>18</v>
      </c>
      <c r="B25" s="15" t="s">
        <v>37</v>
      </c>
      <c r="C25" s="10">
        <v>10</v>
      </c>
      <c r="D25" s="11"/>
      <c r="E25" s="36"/>
      <c r="F25" s="36"/>
      <c r="G25" s="37"/>
      <c r="H25" s="38"/>
      <c r="I25" s="38">
        <f t="shared" si="4"/>
        <v>10</v>
      </c>
      <c r="J25" s="63">
        <f t="shared" si="4"/>
        <v>0</v>
      </c>
      <c r="K25" s="62"/>
      <c r="L25" s="36"/>
      <c r="M25" s="36"/>
      <c r="N25" s="36"/>
      <c r="O25" s="36"/>
      <c r="P25" s="36"/>
      <c r="Q25" s="99"/>
      <c r="R25" s="100">
        <f t="shared" si="7"/>
        <v>0</v>
      </c>
      <c r="S25" s="101">
        <f t="shared" si="7"/>
        <v>0</v>
      </c>
      <c r="T25" s="62"/>
      <c r="U25" s="8">
        <f t="shared" si="5"/>
        <v>0</v>
      </c>
      <c r="V25" s="135">
        <f t="shared" si="6"/>
        <v>0</v>
      </c>
      <c r="W25" s="134">
        <f t="shared" si="8"/>
        <v>240</v>
      </c>
      <c r="X25" s="61"/>
      <c r="AL25" s="157"/>
      <c r="AM25" s="157"/>
      <c r="AN25" s="157"/>
      <c r="AO25" s="157"/>
      <c r="AP25" s="157"/>
      <c r="AQ25" s="157"/>
      <c r="AR25" s="157"/>
      <c r="AS25" s="157"/>
      <c r="AT25" s="157"/>
      <c r="AU25" s="157"/>
      <c r="AV25" s="157"/>
      <c r="AW25" s="157"/>
      <c r="AX25" s="157"/>
      <c r="AY25" s="157"/>
      <c r="AZ25" s="157"/>
      <c r="BA25" s="157"/>
      <c r="BB25" s="157"/>
      <c r="BC25" s="157"/>
      <c r="BD25" s="157"/>
      <c r="BE25" s="157"/>
      <c r="BF25" s="157"/>
      <c r="BG25" s="157"/>
      <c r="BH25" s="157"/>
    </row>
    <row r="26" spans="1:60">
      <c r="A26" s="1">
        <f t="shared" si="3"/>
        <v>19</v>
      </c>
      <c r="B26" s="15" t="s">
        <v>38</v>
      </c>
      <c r="C26" s="10"/>
      <c r="D26" s="11">
        <v>1</v>
      </c>
      <c r="E26" s="36"/>
      <c r="F26" s="36"/>
      <c r="G26" s="37"/>
      <c r="H26" s="38"/>
      <c r="I26" s="38">
        <f t="shared" si="4"/>
        <v>0</v>
      </c>
      <c r="J26" s="63">
        <f t="shared" si="4"/>
        <v>1</v>
      </c>
      <c r="K26" s="62"/>
      <c r="L26" s="36"/>
      <c r="M26" s="36"/>
      <c r="N26" s="36"/>
      <c r="O26" s="36"/>
      <c r="P26" s="36"/>
      <c r="Q26" s="99"/>
      <c r="R26" s="100">
        <f t="shared" si="7"/>
        <v>0</v>
      </c>
      <c r="S26" s="101">
        <f t="shared" si="7"/>
        <v>0</v>
      </c>
      <c r="T26" s="62"/>
      <c r="U26" s="8">
        <f t="shared" si="5"/>
        <v>0</v>
      </c>
      <c r="V26" s="135">
        <f t="shared" si="6"/>
        <v>0</v>
      </c>
      <c r="W26" s="134">
        <f t="shared" si="8"/>
        <v>1</v>
      </c>
      <c r="X26" s="61"/>
      <c r="BE26" s="158" t="e">
        <f>#REF!-BE25</f>
        <v>#REF!</v>
      </c>
    </row>
    <row r="27" spans="1:60" s="2" customFormat="1">
      <c r="A27" s="1">
        <f t="shared" si="3"/>
        <v>20</v>
      </c>
      <c r="B27" s="15" t="s">
        <v>39</v>
      </c>
      <c r="C27" s="10"/>
      <c r="D27" s="11"/>
      <c r="E27" s="36"/>
      <c r="F27" s="36"/>
      <c r="G27" s="37"/>
      <c r="H27" s="38"/>
      <c r="I27" s="38">
        <f t="shared" si="4"/>
        <v>0</v>
      </c>
      <c r="J27" s="63">
        <f t="shared" si="4"/>
        <v>0</v>
      </c>
      <c r="K27" s="69"/>
      <c r="L27" s="36"/>
      <c r="M27" s="36"/>
      <c r="N27" s="36"/>
      <c r="O27" s="36"/>
      <c r="P27" s="36"/>
      <c r="Q27" s="99"/>
      <c r="R27" s="100">
        <f t="shared" si="7"/>
        <v>0</v>
      </c>
      <c r="S27" s="101">
        <f t="shared" si="7"/>
        <v>0</v>
      </c>
      <c r="T27" s="69"/>
      <c r="U27" s="8">
        <f t="shared" si="5"/>
        <v>0</v>
      </c>
      <c r="V27" s="135">
        <f t="shared" si="6"/>
        <v>0</v>
      </c>
      <c r="W27" s="134">
        <f t="shared" si="8"/>
        <v>0</v>
      </c>
      <c r="X27" s="61"/>
      <c r="Y27" s="3"/>
      <c r="AD27" s="3"/>
      <c r="AG27" s="3"/>
      <c r="AH27" s="3"/>
      <c r="AI27" s="3"/>
      <c r="AJ27" s="3"/>
      <c r="AK27" s="3"/>
    </row>
    <row r="28" spans="1:60" s="2" customFormat="1">
      <c r="A28" s="1">
        <f t="shared" si="3"/>
        <v>21</v>
      </c>
      <c r="B28" s="15" t="s">
        <v>40</v>
      </c>
      <c r="C28" s="10"/>
      <c r="D28" s="11"/>
      <c r="E28" s="36"/>
      <c r="F28" s="36"/>
      <c r="G28" s="37"/>
      <c r="H28" s="38"/>
      <c r="I28" s="38">
        <f t="shared" si="4"/>
        <v>0</v>
      </c>
      <c r="J28" s="63">
        <f t="shared" si="4"/>
        <v>0</v>
      </c>
      <c r="K28" s="69"/>
      <c r="L28" s="36"/>
      <c r="M28" s="36"/>
      <c r="N28" s="36"/>
      <c r="O28" s="36"/>
      <c r="P28" s="36"/>
      <c r="Q28" s="99"/>
      <c r="R28" s="100">
        <f t="shared" si="7"/>
        <v>0</v>
      </c>
      <c r="S28" s="101">
        <f t="shared" si="7"/>
        <v>0</v>
      </c>
      <c r="T28" s="69"/>
      <c r="U28" s="8">
        <f t="shared" si="5"/>
        <v>0</v>
      </c>
      <c r="V28" s="135">
        <f t="shared" si="6"/>
        <v>0</v>
      </c>
      <c r="W28" s="134">
        <f t="shared" si="8"/>
        <v>0</v>
      </c>
      <c r="X28" s="61"/>
      <c r="Y28" s="3"/>
      <c r="AD28" s="3"/>
      <c r="AG28" s="3"/>
      <c r="AH28" s="3"/>
      <c r="AI28" s="3"/>
      <c r="AJ28" s="3"/>
      <c r="AK28" s="3"/>
    </row>
    <row r="29" spans="1:60" s="2" customFormat="1">
      <c r="A29" s="1">
        <f t="shared" si="3"/>
        <v>22</v>
      </c>
      <c r="B29" s="15" t="s">
        <v>41</v>
      </c>
      <c r="C29" s="10">
        <v>6</v>
      </c>
      <c r="D29" s="11"/>
      <c r="E29" s="36"/>
      <c r="F29" s="36"/>
      <c r="G29" s="37">
        <v>6</v>
      </c>
      <c r="H29" s="38"/>
      <c r="I29" s="38">
        <f t="shared" si="4"/>
        <v>0</v>
      </c>
      <c r="J29" s="63">
        <f t="shared" si="4"/>
        <v>0</v>
      </c>
      <c r="K29" s="69"/>
      <c r="L29" s="36">
        <v>6</v>
      </c>
      <c r="M29" s="36"/>
      <c r="N29" s="36"/>
      <c r="O29" s="36"/>
      <c r="P29" s="36"/>
      <c r="Q29" s="99"/>
      <c r="R29" s="100">
        <f t="shared" si="7"/>
        <v>6</v>
      </c>
      <c r="S29" s="101">
        <f t="shared" si="7"/>
        <v>0</v>
      </c>
      <c r="T29" s="69"/>
      <c r="U29" s="8">
        <f t="shared" si="5"/>
        <v>144</v>
      </c>
      <c r="V29" s="135">
        <f t="shared" si="6"/>
        <v>6</v>
      </c>
      <c r="W29" s="134">
        <f t="shared" si="8"/>
        <v>0</v>
      </c>
      <c r="X29" s="61"/>
      <c r="Y29" s="3"/>
      <c r="AD29" s="3"/>
      <c r="AG29" s="3"/>
      <c r="AH29" s="3"/>
      <c r="AI29" s="3"/>
      <c r="AJ29" s="3"/>
      <c r="AK29" s="3"/>
    </row>
    <row r="30" spans="1:60">
      <c r="A30" s="1">
        <f t="shared" si="3"/>
        <v>23</v>
      </c>
      <c r="B30" s="15" t="s">
        <v>42</v>
      </c>
      <c r="C30" s="10">
        <v>18</v>
      </c>
      <c r="D30" s="11"/>
      <c r="E30" s="36"/>
      <c r="F30" s="36"/>
      <c r="G30" s="37">
        <v>5</v>
      </c>
      <c r="H30" s="38"/>
      <c r="I30" s="38">
        <f t="shared" si="4"/>
        <v>13</v>
      </c>
      <c r="J30" s="63">
        <f t="shared" si="4"/>
        <v>0</v>
      </c>
      <c r="K30" s="62"/>
      <c r="L30" s="36">
        <v>5</v>
      </c>
      <c r="M30" s="36"/>
      <c r="N30" s="36"/>
      <c r="O30" s="36"/>
      <c r="P30" s="36"/>
      <c r="Q30" s="99"/>
      <c r="R30" s="100">
        <f t="shared" si="7"/>
        <v>5</v>
      </c>
      <c r="S30" s="101">
        <f t="shared" si="7"/>
        <v>0</v>
      </c>
      <c r="T30" s="62"/>
      <c r="U30" s="8">
        <f t="shared" si="5"/>
        <v>120</v>
      </c>
      <c r="V30" s="135">
        <f t="shared" si="6"/>
        <v>5</v>
      </c>
      <c r="W30" s="134">
        <f t="shared" si="8"/>
        <v>312</v>
      </c>
      <c r="X30" s="61"/>
    </row>
    <row r="31" spans="1:60">
      <c r="A31" s="1">
        <f t="shared" si="3"/>
        <v>24</v>
      </c>
      <c r="B31" s="15" t="s">
        <v>43</v>
      </c>
      <c r="C31" s="10">
        <v>15</v>
      </c>
      <c r="D31" s="11"/>
      <c r="E31" s="36"/>
      <c r="F31" s="36"/>
      <c r="G31" s="37">
        <v>2</v>
      </c>
      <c r="H31" s="38"/>
      <c r="I31" s="38">
        <f t="shared" si="4"/>
        <v>13</v>
      </c>
      <c r="J31" s="63">
        <f t="shared" si="4"/>
        <v>0</v>
      </c>
      <c r="K31" s="62"/>
      <c r="L31" s="36">
        <v>2</v>
      </c>
      <c r="M31" s="36"/>
      <c r="N31" s="36"/>
      <c r="O31" s="36"/>
      <c r="P31" s="36"/>
      <c r="Q31" s="99"/>
      <c r="R31" s="100">
        <f t="shared" si="7"/>
        <v>2</v>
      </c>
      <c r="S31" s="101">
        <f t="shared" si="7"/>
        <v>0</v>
      </c>
      <c r="T31" s="62"/>
      <c r="U31" s="8">
        <f t="shared" si="5"/>
        <v>48</v>
      </c>
      <c r="V31" s="135">
        <f t="shared" si="6"/>
        <v>2</v>
      </c>
      <c r="W31" s="134">
        <f t="shared" si="8"/>
        <v>312</v>
      </c>
      <c r="X31" s="61"/>
    </row>
    <row r="32" spans="1:60">
      <c r="A32" s="1">
        <f t="shared" si="3"/>
        <v>25</v>
      </c>
      <c r="B32" s="15" t="s">
        <v>44</v>
      </c>
      <c r="C32" s="10">
        <v>2</v>
      </c>
      <c r="D32" s="11"/>
      <c r="E32" s="36"/>
      <c r="F32" s="36"/>
      <c r="G32" s="37"/>
      <c r="H32" s="38"/>
      <c r="I32" s="38">
        <f t="shared" si="4"/>
        <v>2</v>
      </c>
      <c r="J32" s="63">
        <f t="shared" si="4"/>
        <v>0</v>
      </c>
      <c r="K32" s="62"/>
      <c r="L32" s="36"/>
      <c r="M32" s="36"/>
      <c r="N32" s="36"/>
      <c r="O32" s="36"/>
      <c r="P32" s="36"/>
      <c r="Q32" s="99"/>
      <c r="R32" s="100">
        <f t="shared" si="7"/>
        <v>0</v>
      </c>
      <c r="S32" s="101">
        <f t="shared" si="7"/>
        <v>0</v>
      </c>
      <c r="T32" s="62"/>
      <c r="U32" s="8">
        <f t="shared" si="5"/>
        <v>0</v>
      </c>
      <c r="V32" s="135">
        <f t="shared" si="6"/>
        <v>0</v>
      </c>
      <c r="W32" s="134">
        <f t="shared" si="8"/>
        <v>48</v>
      </c>
      <c r="X32" s="61"/>
    </row>
    <row r="33" spans="1:26">
      <c r="A33" s="1">
        <f t="shared" si="3"/>
        <v>26</v>
      </c>
      <c r="B33" s="15" t="s">
        <v>45</v>
      </c>
      <c r="C33" s="10">
        <v>5</v>
      </c>
      <c r="D33" s="11"/>
      <c r="E33" s="36"/>
      <c r="F33" s="36"/>
      <c r="G33" s="37"/>
      <c r="H33" s="38"/>
      <c r="I33" s="38">
        <f t="shared" si="4"/>
        <v>5</v>
      </c>
      <c r="J33" s="63">
        <f t="shared" si="4"/>
        <v>0</v>
      </c>
      <c r="K33" s="62"/>
      <c r="L33" s="36"/>
      <c r="M33" s="36"/>
      <c r="N33" s="36"/>
      <c r="O33" s="36"/>
      <c r="P33" s="36"/>
      <c r="Q33" s="99"/>
      <c r="R33" s="100">
        <f t="shared" si="7"/>
        <v>0</v>
      </c>
      <c r="S33" s="101">
        <f t="shared" si="7"/>
        <v>0</v>
      </c>
      <c r="T33" s="62"/>
      <c r="U33" s="8">
        <f t="shared" si="5"/>
        <v>0</v>
      </c>
      <c r="V33" s="135">
        <f t="shared" si="6"/>
        <v>0</v>
      </c>
      <c r="W33" s="134">
        <f t="shared" si="8"/>
        <v>120</v>
      </c>
      <c r="X33" s="61"/>
    </row>
    <row r="34" spans="1:26">
      <c r="A34" s="1">
        <f t="shared" si="3"/>
        <v>27</v>
      </c>
      <c r="B34" s="15" t="s">
        <v>46</v>
      </c>
      <c r="C34" s="10">
        <v>5</v>
      </c>
      <c r="D34" s="11"/>
      <c r="E34" s="36"/>
      <c r="F34" s="36"/>
      <c r="G34" s="37"/>
      <c r="H34" s="38"/>
      <c r="I34" s="38">
        <f t="shared" si="4"/>
        <v>5</v>
      </c>
      <c r="J34" s="63">
        <f t="shared" si="4"/>
        <v>0</v>
      </c>
      <c r="K34" s="62"/>
      <c r="L34" s="36"/>
      <c r="M34" s="36"/>
      <c r="N34" s="36"/>
      <c r="O34" s="36"/>
      <c r="P34" s="36"/>
      <c r="Q34" s="99"/>
      <c r="R34" s="100">
        <f t="shared" si="7"/>
        <v>0</v>
      </c>
      <c r="S34" s="101">
        <f t="shared" si="7"/>
        <v>0</v>
      </c>
      <c r="T34" s="62"/>
      <c r="U34" s="8">
        <f t="shared" si="5"/>
        <v>0</v>
      </c>
      <c r="V34" s="135">
        <f t="shared" si="6"/>
        <v>0</v>
      </c>
      <c r="W34" s="134">
        <f t="shared" si="8"/>
        <v>120</v>
      </c>
      <c r="X34" s="61"/>
    </row>
    <row r="35" spans="1:26">
      <c r="A35" s="1">
        <f t="shared" si="3"/>
        <v>28</v>
      </c>
      <c r="B35" s="15" t="s">
        <v>47</v>
      </c>
      <c r="C35" s="10">
        <v>113</v>
      </c>
      <c r="D35" s="11">
        <v>1</v>
      </c>
      <c r="E35" s="36"/>
      <c r="F35" s="36"/>
      <c r="G35" s="37">
        <v>9</v>
      </c>
      <c r="H35" s="38"/>
      <c r="I35" s="38">
        <f t="shared" si="4"/>
        <v>104</v>
      </c>
      <c r="J35" s="63">
        <f t="shared" si="4"/>
        <v>1</v>
      </c>
      <c r="K35" s="62"/>
      <c r="L35" s="36">
        <v>7</v>
      </c>
      <c r="M35" s="36"/>
      <c r="N35" s="36"/>
      <c r="O35" s="36"/>
      <c r="P35" s="36">
        <v>2</v>
      </c>
      <c r="Q35" s="99"/>
      <c r="R35" s="100">
        <f t="shared" si="7"/>
        <v>9</v>
      </c>
      <c r="S35" s="101">
        <f t="shared" si="7"/>
        <v>0</v>
      </c>
      <c r="T35" s="62"/>
      <c r="U35" s="8">
        <f t="shared" si="5"/>
        <v>216</v>
      </c>
      <c r="V35" s="135">
        <f t="shared" si="6"/>
        <v>9</v>
      </c>
      <c r="W35" s="134">
        <f t="shared" si="8"/>
        <v>2497</v>
      </c>
      <c r="X35" s="61"/>
    </row>
    <row r="36" spans="1:26" ht="18.75" hidden="1" customHeight="1">
      <c r="A36" s="1">
        <f t="shared" si="3"/>
        <v>29</v>
      </c>
      <c r="B36" s="15" t="s">
        <v>48</v>
      </c>
      <c r="C36" s="10"/>
      <c r="D36" s="11"/>
      <c r="E36" s="36"/>
      <c r="F36" s="36"/>
      <c r="G36" s="37"/>
      <c r="H36" s="38"/>
      <c r="I36" s="38">
        <f t="shared" si="4"/>
        <v>0</v>
      </c>
      <c r="J36" s="63">
        <f t="shared" si="4"/>
        <v>0</v>
      </c>
      <c r="K36" s="62"/>
      <c r="L36" s="36"/>
      <c r="M36" s="36"/>
      <c r="N36" s="36"/>
      <c r="O36" s="36"/>
      <c r="P36" s="36"/>
      <c r="Q36" s="99"/>
      <c r="R36" s="100">
        <f t="shared" si="7"/>
        <v>0</v>
      </c>
      <c r="S36" s="101">
        <f t="shared" si="7"/>
        <v>0</v>
      </c>
      <c r="T36" s="62"/>
      <c r="U36" s="8">
        <f t="shared" si="5"/>
        <v>0</v>
      </c>
      <c r="V36" s="135">
        <f t="shared" si="6"/>
        <v>0</v>
      </c>
      <c r="W36" s="134">
        <f t="shared" si="8"/>
        <v>0</v>
      </c>
      <c r="X36" s="61"/>
    </row>
    <row r="37" spans="1:26" ht="18.75" customHeight="1">
      <c r="A37" s="1">
        <f t="shared" si="3"/>
        <v>30</v>
      </c>
      <c r="B37" s="15" t="s">
        <v>49</v>
      </c>
      <c r="C37" s="10">
        <v>1</v>
      </c>
      <c r="D37" s="11"/>
      <c r="E37" s="36"/>
      <c r="F37" s="36"/>
      <c r="G37" s="37"/>
      <c r="H37" s="38"/>
      <c r="I37" s="38">
        <f t="shared" si="4"/>
        <v>1</v>
      </c>
      <c r="J37" s="63">
        <f t="shared" si="4"/>
        <v>0</v>
      </c>
      <c r="K37" s="62"/>
      <c r="L37" s="36"/>
      <c r="M37" s="36"/>
      <c r="N37" s="36"/>
      <c r="O37" s="36"/>
      <c r="P37" s="36"/>
      <c r="Q37" s="99"/>
      <c r="R37" s="100">
        <f t="shared" si="7"/>
        <v>0</v>
      </c>
      <c r="S37" s="101">
        <f t="shared" si="7"/>
        <v>0</v>
      </c>
      <c r="T37" s="62"/>
      <c r="U37" s="8">
        <f t="shared" si="5"/>
        <v>0</v>
      </c>
      <c r="V37" s="135">
        <f t="shared" si="6"/>
        <v>0</v>
      </c>
      <c r="W37" s="134">
        <f t="shared" si="8"/>
        <v>24</v>
      </c>
      <c r="X37" s="61"/>
    </row>
    <row r="38" spans="1:26">
      <c r="A38" s="1">
        <f t="shared" si="3"/>
        <v>31</v>
      </c>
      <c r="B38" s="16" t="s">
        <v>50</v>
      </c>
      <c r="C38" s="13">
        <v>6736</v>
      </c>
      <c r="D38" s="14">
        <v>2</v>
      </c>
      <c r="E38" s="39"/>
      <c r="F38" s="39"/>
      <c r="G38" s="40">
        <v>239</v>
      </c>
      <c r="H38" s="41"/>
      <c r="I38" s="53">
        <f t="shared" si="4"/>
        <v>6497</v>
      </c>
      <c r="J38" s="70">
        <f t="shared" si="4"/>
        <v>2</v>
      </c>
      <c r="K38" s="65"/>
      <c r="L38" s="51">
        <v>108</v>
      </c>
      <c r="M38" s="51"/>
      <c r="N38" s="51">
        <v>59</v>
      </c>
      <c r="O38" s="51"/>
      <c r="P38" s="51">
        <v>72</v>
      </c>
      <c r="Q38" s="102"/>
      <c r="R38" s="107">
        <f t="shared" si="7"/>
        <v>239</v>
      </c>
      <c r="S38" s="104">
        <f t="shared" si="7"/>
        <v>0</v>
      </c>
      <c r="T38" s="65"/>
      <c r="U38" s="136">
        <f>L38*6+N38*6+P38*6</f>
        <v>1434</v>
      </c>
      <c r="V38" s="141">
        <f>U38/6</f>
        <v>239</v>
      </c>
      <c r="W38" s="138">
        <f>I38*6+J38</f>
        <v>38984</v>
      </c>
      <c r="X38" s="139"/>
    </row>
    <row r="39" spans="1:26">
      <c r="A39" s="1">
        <f t="shared" si="3"/>
        <v>32</v>
      </c>
      <c r="B39" s="7" t="s">
        <v>51</v>
      </c>
      <c r="C39" s="10">
        <v>2</v>
      </c>
      <c r="D39" s="11"/>
      <c r="E39" s="36"/>
      <c r="F39" s="36"/>
      <c r="G39" s="37"/>
      <c r="H39" s="38"/>
      <c r="I39" s="37">
        <f t="shared" si="4"/>
        <v>2</v>
      </c>
      <c r="J39" s="63">
        <f t="shared" si="4"/>
        <v>0</v>
      </c>
      <c r="K39" s="62"/>
      <c r="L39" s="36"/>
      <c r="M39" s="36"/>
      <c r="N39" s="36"/>
      <c r="O39" s="36"/>
      <c r="P39" s="36"/>
      <c r="Q39" s="99"/>
      <c r="R39" s="108">
        <f t="shared" si="7"/>
        <v>0</v>
      </c>
      <c r="S39" s="106">
        <f t="shared" si="7"/>
        <v>0</v>
      </c>
      <c r="T39" s="62"/>
      <c r="U39" s="8">
        <f t="shared" ref="U39:U41" si="9">L39*24+N39*24+P39*24</f>
        <v>0</v>
      </c>
      <c r="V39" s="33">
        <f t="shared" si="6"/>
        <v>0</v>
      </c>
      <c r="W39" s="134">
        <f t="shared" ref="W39:W41" si="10">I39*24+J39</f>
        <v>48</v>
      </c>
      <c r="X39" s="61"/>
    </row>
    <row r="40" spans="1:26">
      <c r="A40" s="1">
        <f t="shared" si="3"/>
        <v>33</v>
      </c>
      <c r="B40" s="17" t="s">
        <v>52</v>
      </c>
      <c r="C40" s="18">
        <v>1</v>
      </c>
      <c r="D40" s="19"/>
      <c r="E40" s="42"/>
      <c r="F40" s="42"/>
      <c r="G40" s="43"/>
      <c r="H40" s="44"/>
      <c r="I40" s="38">
        <f t="shared" si="4"/>
        <v>1</v>
      </c>
      <c r="J40" s="63">
        <f t="shared" si="4"/>
        <v>0</v>
      </c>
      <c r="K40" s="62"/>
      <c r="L40" s="36"/>
      <c r="M40" s="36"/>
      <c r="N40" s="36"/>
      <c r="O40" s="36"/>
      <c r="P40" s="36"/>
      <c r="Q40" s="99"/>
      <c r="R40" s="100">
        <f t="shared" si="7"/>
        <v>0</v>
      </c>
      <c r="S40" s="101">
        <f t="shared" si="7"/>
        <v>0</v>
      </c>
      <c r="T40" s="62"/>
      <c r="U40" s="142">
        <f t="shared" si="9"/>
        <v>0</v>
      </c>
      <c r="V40" s="135">
        <f t="shared" si="6"/>
        <v>0</v>
      </c>
      <c r="W40" s="143">
        <f t="shared" si="10"/>
        <v>24</v>
      </c>
      <c r="X40" s="144"/>
    </row>
    <row r="41" spans="1:26">
      <c r="A41" s="1">
        <f t="shared" si="3"/>
        <v>34</v>
      </c>
      <c r="B41" s="20" t="s">
        <v>53</v>
      </c>
      <c r="C41" s="21">
        <v>169</v>
      </c>
      <c r="D41" s="22">
        <v>20</v>
      </c>
      <c r="E41" s="45"/>
      <c r="F41" s="45"/>
      <c r="G41" s="46"/>
      <c r="H41" s="47"/>
      <c r="I41" s="71">
        <f t="shared" si="4"/>
        <v>169</v>
      </c>
      <c r="J41" s="72">
        <f t="shared" si="4"/>
        <v>20</v>
      </c>
      <c r="K41" s="73"/>
      <c r="L41" s="74"/>
      <c r="M41" s="74"/>
      <c r="N41" s="74"/>
      <c r="O41" s="74"/>
      <c r="P41" s="74"/>
      <c r="Q41" s="109"/>
      <c r="R41" s="110">
        <f t="shared" si="7"/>
        <v>0</v>
      </c>
      <c r="S41" s="111">
        <f t="shared" si="7"/>
        <v>0</v>
      </c>
      <c r="T41" s="73"/>
      <c r="U41" s="145">
        <f t="shared" si="9"/>
        <v>0</v>
      </c>
      <c r="V41" s="146">
        <f t="shared" si="6"/>
        <v>0</v>
      </c>
      <c r="W41" s="146">
        <f t="shared" si="10"/>
        <v>4076</v>
      </c>
      <c r="X41" s="147"/>
    </row>
    <row r="42" spans="1:26">
      <c r="A42" s="1">
        <f t="shared" si="3"/>
        <v>35</v>
      </c>
      <c r="B42" s="23" t="s">
        <v>54</v>
      </c>
      <c r="C42" s="24">
        <v>831</v>
      </c>
      <c r="D42" s="25">
        <v>11</v>
      </c>
      <c r="E42" s="48"/>
      <c r="F42" s="48"/>
      <c r="G42" s="49">
        <v>35</v>
      </c>
      <c r="H42" s="50"/>
      <c r="I42" s="49">
        <f t="shared" si="4"/>
        <v>796</v>
      </c>
      <c r="J42" s="75">
        <f t="shared" si="4"/>
        <v>11</v>
      </c>
      <c r="K42" s="76"/>
      <c r="L42" s="48">
        <v>12</v>
      </c>
      <c r="M42" s="48"/>
      <c r="N42" s="48">
        <v>11</v>
      </c>
      <c r="O42" s="48"/>
      <c r="P42" s="48">
        <v>12</v>
      </c>
      <c r="Q42" s="112"/>
      <c r="R42" s="113">
        <f t="shared" si="7"/>
        <v>35</v>
      </c>
      <c r="S42" s="114">
        <f t="shared" si="7"/>
        <v>0</v>
      </c>
      <c r="T42" s="76"/>
      <c r="U42" s="148">
        <f>L42*12+N42*12+P42*12</f>
        <v>420</v>
      </c>
      <c r="V42" s="149">
        <f>U42/12</f>
        <v>35</v>
      </c>
      <c r="W42" s="150">
        <f>I42*12+J42</f>
        <v>9563</v>
      </c>
      <c r="X42" s="151"/>
    </row>
    <row r="43" spans="1:26" ht="18.75" hidden="1" customHeight="1">
      <c r="A43" s="1">
        <f t="shared" si="3"/>
        <v>36</v>
      </c>
      <c r="B43" s="7" t="s">
        <v>55</v>
      </c>
      <c r="C43" s="10"/>
      <c r="D43" s="11"/>
      <c r="E43" s="36"/>
      <c r="F43" s="36"/>
      <c r="G43" s="37"/>
      <c r="H43" s="38"/>
      <c r="I43" s="38">
        <f t="shared" si="4"/>
        <v>0</v>
      </c>
      <c r="J43" s="64">
        <f t="shared" si="4"/>
        <v>0</v>
      </c>
      <c r="K43" s="62"/>
      <c r="L43" s="36"/>
      <c r="M43" s="36"/>
      <c r="N43" s="36"/>
      <c r="O43" s="36"/>
      <c r="P43" s="36"/>
      <c r="Q43" s="99"/>
      <c r="R43" s="115">
        <f t="shared" si="7"/>
        <v>0</v>
      </c>
      <c r="S43" s="116">
        <f t="shared" si="7"/>
        <v>0</v>
      </c>
      <c r="T43" s="62"/>
      <c r="U43" s="8"/>
      <c r="V43" s="33"/>
      <c r="W43" s="134"/>
      <c r="X43" s="61"/>
    </row>
    <row r="44" spans="1:26">
      <c r="A44" s="1">
        <f t="shared" si="3"/>
        <v>37</v>
      </c>
      <c r="B44" s="12" t="s">
        <v>56</v>
      </c>
      <c r="C44" s="13">
        <v>33014</v>
      </c>
      <c r="D44" s="14">
        <v>3</v>
      </c>
      <c r="E44" s="39"/>
      <c r="F44" s="39"/>
      <c r="G44" s="40">
        <v>1414</v>
      </c>
      <c r="H44" s="41"/>
      <c r="I44" s="38">
        <f>C44+E44-G44</f>
        <v>31600</v>
      </c>
      <c r="J44" s="77">
        <f t="shared" si="4"/>
        <v>3</v>
      </c>
      <c r="K44" s="65"/>
      <c r="L44" s="51">
        <v>458</v>
      </c>
      <c r="M44" s="51"/>
      <c r="N44" s="51">
        <v>414</v>
      </c>
      <c r="O44" s="51"/>
      <c r="P44" s="51">
        <v>542</v>
      </c>
      <c r="Q44" s="102"/>
      <c r="R44" s="117">
        <f t="shared" si="7"/>
        <v>1414</v>
      </c>
      <c r="S44" s="118">
        <f t="shared" si="7"/>
        <v>0</v>
      </c>
      <c r="T44" s="65"/>
      <c r="U44" s="136">
        <f>L44*6+N44*6+P44*6</f>
        <v>8484</v>
      </c>
      <c r="V44" s="135">
        <f>U44/6</f>
        <v>1414</v>
      </c>
      <c r="W44" s="138">
        <f>I44*6+J44</f>
        <v>189603</v>
      </c>
      <c r="X44" s="139"/>
      <c r="Z44" s="155"/>
    </row>
    <row r="45" spans="1:26" ht="18.75" hidden="1" customHeight="1">
      <c r="A45" s="1">
        <f t="shared" si="3"/>
        <v>38</v>
      </c>
      <c r="B45" s="7" t="s">
        <v>57</v>
      </c>
      <c r="C45" s="10"/>
      <c r="D45" s="11"/>
      <c r="E45" s="36"/>
      <c r="F45" s="36"/>
      <c r="G45" s="37"/>
      <c r="H45" s="38"/>
      <c r="I45" s="44">
        <f t="shared" si="4"/>
        <v>0</v>
      </c>
      <c r="J45" s="63">
        <f t="shared" si="4"/>
        <v>0</v>
      </c>
      <c r="K45" s="62"/>
      <c r="L45" s="36"/>
      <c r="M45" s="36"/>
      <c r="N45" s="36"/>
      <c r="O45" s="36"/>
      <c r="P45" s="36"/>
      <c r="Q45" s="99"/>
      <c r="R45" s="108">
        <f t="shared" si="7"/>
        <v>0</v>
      </c>
      <c r="S45" s="116">
        <f t="shared" si="7"/>
        <v>0</v>
      </c>
      <c r="T45" s="62"/>
      <c r="U45" s="8"/>
      <c r="V45" s="137"/>
      <c r="W45" s="134"/>
      <c r="X45" s="61"/>
    </row>
    <row r="46" spans="1:26">
      <c r="A46" s="1">
        <f t="shared" si="3"/>
        <v>39</v>
      </c>
      <c r="B46" s="15" t="s">
        <v>58</v>
      </c>
      <c r="C46" s="10">
        <v>15</v>
      </c>
      <c r="D46" s="11"/>
      <c r="E46" s="36"/>
      <c r="F46" s="36"/>
      <c r="G46" s="37">
        <v>1</v>
      </c>
      <c r="H46" s="38"/>
      <c r="I46" s="68">
        <f t="shared" si="4"/>
        <v>14</v>
      </c>
      <c r="J46" s="63">
        <f t="shared" si="4"/>
        <v>0</v>
      </c>
      <c r="K46" s="62"/>
      <c r="L46" s="36">
        <v>1</v>
      </c>
      <c r="M46" s="36"/>
      <c r="N46" s="36"/>
      <c r="O46" s="36"/>
      <c r="P46" s="36"/>
      <c r="Q46" s="99"/>
      <c r="R46" s="100">
        <f t="shared" si="7"/>
        <v>1</v>
      </c>
      <c r="S46" s="119">
        <f t="shared" si="7"/>
        <v>0</v>
      </c>
      <c r="T46" s="62"/>
      <c r="U46" s="8">
        <f t="shared" ref="U46:U47" si="11">L46*24+N46*24+P46*24</f>
        <v>24</v>
      </c>
      <c r="V46" s="140">
        <f t="shared" ref="V46:V47" si="12">U46/24</f>
        <v>1</v>
      </c>
      <c r="W46" s="134">
        <f t="shared" ref="W46:W47" si="13">I46*24+J46</f>
        <v>336</v>
      </c>
      <c r="X46" s="61"/>
    </row>
    <row r="47" spans="1:26">
      <c r="A47" s="1">
        <f t="shared" si="3"/>
        <v>40</v>
      </c>
      <c r="B47" s="15" t="s">
        <v>59</v>
      </c>
      <c r="C47" s="10"/>
      <c r="D47" s="11"/>
      <c r="E47" s="36"/>
      <c r="F47" s="36"/>
      <c r="G47" s="37"/>
      <c r="H47" s="38"/>
      <c r="I47" s="38">
        <f t="shared" si="4"/>
        <v>0</v>
      </c>
      <c r="J47" s="63">
        <f t="shared" si="4"/>
        <v>0</v>
      </c>
      <c r="K47" s="62"/>
      <c r="L47" s="36"/>
      <c r="M47" s="36"/>
      <c r="N47" s="36"/>
      <c r="O47" s="36"/>
      <c r="P47" s="36"/>
      <c r="Q47" s="99"/>
      <c r="R47" s="100">
        <f t="shared" si="7"/>
        <v>0</v>
      </c>
      <c r="S47" s="101">
        <f t="shared" si="7"/>
        <v>0</v>
      </c>
      <c r="T47" s="62"/>
      <c r="U47" s="8">
        <f t="shared" si="11"/>
        <v>0</v>
      </c>
      <c r="V47" s="135">
        <f t="shared" si="12"/>
        <v>0</v>
      </c>
      <c r="W47" s="134">
        <f t="shared" si="13"/>
        <v>0</v>
      </c>
      <c r="X47" s="61"/>
    </row>
    <row r="48" spans="1:26">
      <c r="A48" s="1">
        <f t="shared" si="3"/>
        <v>41</v>
      </c>
      <c r="B48" s="12" t="s">
        <v>48</v>
      </c>
      <c r="C48" s="26">
        <v>2837</v>
      </c>
      <c r="D48" s="27">
        <v>4</v>
      </c>
      <c r="E48" s="51"/>
      <c r="F48" s="51"/>
      <c r="G48" s="52">
        <v>8</v>
      </c>
      <c r="H48" s="53"/>
      <c r="I48" s="53">
        <f t="shared" si="4"/>
        <v>2829</v>
      </c>
      <c r="J48" s="70">
        <f t="shared" si="4"/>
        <v>4</v>
      </c>
      <c r="K48" s="65"/>
      <c r="L48" s="51">
        <v>8</v>
      </c>
      <c r="M48" s="51"/>
      <c r="N48" s="51"/>
      <c r="O48" s="51"/>
      <c r="P48" s="51"/>
      <c r="Q48" s="102"/>
      <c r="R48" s="107">
        <f t="shared" si="7"/>
        <v>8</v>
      </c>
      <c r="S48" s="120">
        <f t="shared" si="7"/>
        <v>0</v>
      </c>
      <c r="T48" s="65"/>
      <c r="U48" s="136">
        <f>L48*6+N48*6+P48*6</f>
        <v>48</v>
      </c>
      <c r="V48" s="141">
        <f>U48/6</f>
        <v>8</v>
      </c>
      <c r="W48" s="138">
        <f>I48*6+J48</f>
        <v>16978</v>
      </c>
      <c r="X48" s="139"/>
    </row>
    <row r="49" spans="1:24">
      <c r="A49" s="1">
        <f t="shared" si="3"/>
        <v>42</v>
      </c>
      <c r="B49" s="7" t="s">
        <v>60</v>
      </c>
      <c r="C49" s="10">
        <v>1</v>
      </c>
      <c r="D49" s="11"/>
      <c r="E49" s="36"/>
      <c r="F49" s="36"/>
      <c r="G49" s="37"/>
      <c r="H49" s="38"/>
      <c r="I49" s="38">
        <f t="shared" si="4"/>
        <v>1</v>
      </c>
      <c r="J49" s="63">
        <f t="shared" si="4"/>
        <v>0</v>
      </c>
      <c r="K49" s="62"/>
      <c r="L49" s="36"/>
      <c r="M49" s="36"/>
      <c r="N49" s="36"/>
      <c r="O49" s="36"/>
      <c r="P49" s="36"/>
      <c r="Q49" s="99"/>
      <c r="R49" s="108">
        <f t="shared" si="7"/>
        <v>0</v>
      </c>
      <c r="S49" s="106">
        <f t="shared" si="7"/>
        <v>0</v>
      </c>
      <c r="T49" s="62"/>
      <c r="U49" s="8">
        <f t="shared" ref="U49:U51" si="14">L49*24+N49*24+P49*24</f>
        <v>0</v>
      </c>
      <c r="V49" s="33">
        <f t="shared" ref="V49:V51" si="15">U49/24</f>
        <v>0</v>
      </c>
      <c r="W49" s="134">
        <f t="shared" ref="W49:W51" si="16">I49*24+J49</f>
        <v>24</v>
      </c>
      <c r="X49" s="61"/>
    </row>
    <row r="50" spans="1:24">
      <c r="A50" s="1">
        <f t="shared" si="3"/>
        <v>43</v>
      </c>
      <c r="B50" s="15" t="s">
        <v>61</v>
      </c>
      <c r="C50" s="10">
        <v>2</v>
      </c>
      <c r="D50" s="11"/>
      <c r="E50" s="36"/>
      <c r="F50" s="36"/>
      <c r="G50" s="37"/>
      <c r="H50" s="38"/>
      <c r="I50" s="38">
        <f t="shared" si="4"/>
        <v>2</v>
      </c>
      <c r="J50" s="63">
        <f t="shared" si="4"/>
        <v>0</v>
      </c>
      <c r="K50" s="62"/>
      <c r="L50" s="36"/>
      <c r="M50" s="36"/>
      <c r="N50" s="36"/>
      <c r="O50" s="36"/>
      <c r="P50" s="36"/>
      <c r="Q50" s="99"/>
      <c r="R50" s="100">
        <f t="shared" si="7"/>
        <v>0</v>
      </c>
      <c r="S50" s="101">
        <f t="shared" si="7"/>
        <v>0</v>
      </c>
      <c r="T50" s="62"/>
      <c r="U50" s="8">
        <f t="shared" si="14"/>
        <v>0</v>
      </c>
      <c r="V50" s="135">
        <f t="shared" si="15"/>
        <v>0</v>
      </c>
      <c r="W50" s="134">
        <f t="shared" si="16"/>
        <v>48</v>
      </c>
      <c r="X50" s="61"/>
    </row>
    <row r="51" spans="1:24">
      <c r="A51" s="1">
        <f t="shared" si="3"/>
        <v>44</v>
      </c>
      <c r="B51" s="15" t="s">
        <v>62</v>
      </c>
      <c r="C51" s="10"/>
      <c r="D51" s="11"/>
      <c r="E51" s="36"/>
      <c r="F51" s="36"/>
      <c r="G51" s="37"/>
      <c r="H51" s="38"/>
      <c r="I51" s="38">
        <f t="shared" si="4"/>
        <v>0</v>
      </c>
      <c r="J51" s="63">
        <f t="shared" si="4"/>
        <v>0</v>
      </c>
      <c r="K51" s="62"/>
      <c r="L51" s="36"/>
      <c r="M51" s="36"/>
      <c r="N51" s="36"/>
      <c r="O51" s="36"/>
      <c r="P51" s="36"/>
      <c r="Q51" s="99"/>
      <c r="R51" s="100">
        <f t="shared" si="7"/>
        <v>0</v>
      </c>
      <c r="S51" s="101">
        <f t="shared" si="7"/>
        <v>0</v>
      </c>
      <c r="T51" s="62"/>
      <c r="U51" s="8">
        <f t="shared" si="14"/>
        <v>0</v>
      </c>
      <c r="V51" s="135">
        <f t="shared" si="15"/>
        <v>0</v>
      </c>
      <c r="W51" s="134">
        <f t="shared" si="16"/>
        <v>0</v>
      </c>
      <c r="X51" s="61"/>
    </row>
    <row r="52" spans="1:24">
      <c r="A52" s="1">
        <f t="shared" si="3"/>
        <v>45</v>
      </c>
      <c r="B52" s="12" t="s">
        <v>63</v>
      </c>
      <c r="C52" s="26">
        <v>34</v>
      </c>
      <c r="D52" s="27"/>
      <c r="E52" s="51"/>
      <c r="F52" s="51"/>
      <c r="G52" s="52"/>
      <c r="H52" s="53"/>
      <c r="I52" s="53">
        <f t="shared" si="4"/>
        <v>34</v>
      </c>
      <c r="J52" s="70">
        <f t="shared" si="4"/>
        <v>0</v>
      </c>
      <c r="K52" s="65"/>
      <c r="L52" s="51"/>
      <c r="M52" s="51"/>
      <c r="N52" s="51"/>
      <c r="O52" s="51"/>
      <c r="P52" s="51"/>
      <c r="Q52" s="102"/>
      <c r="R52" s="107">
        <f t="shared" si="7"/>
        <v>0</v>
      </c>
      <c r="S52" s="120">
        <f t="shared" si="7"/>
        <v>0</v>
      </c>
      <c r="T52" s="65"/>
      <c r="U52" s="136">
        <f>L52*6+N52*6+P52*6</f>
        <v>0</v>
      </c>
      <c r="V52" s="141">
        <f>U52/6</f>
        <v>0</v>
      </c>
      <c r="W52" s="138">
        <f>I52*6+J52</f>
        <v>204</v>
      </c>
      <c r="X52" s="139"/>
    </row>
    <row r="53" spans="1:24">
      <c r="A53" s="1">
        <f t="shared" si="3"/>
        <v>46</v>
      </c>
      <c r="B53" s="7" t="s">
        <v>64</v>
      </c>
      <c r="C53" s="10">
        <v>2</v>
      </c>
      <c r="D53" s="11"/>
      <c r="E53" s="36"/>
      <c r="F53" s="36"/>
      <c r="G53" s="37"/>
      <c r="H53" s="38"/>
      <c r="I53" s="38">
        <f t="shared" si="4"/>
        <v>2</v>
      </c>
      <c r="J53" s="63">
        <f t="shared" si="4"/>
        <v>0</v>
      </c>
      <c r="K53" s="62"/>
      <c r="L53" s="36"/>
      <c r="M53" s="36"/>
      <c r="N53" s="36"/>
      <c r="O53" s="36"/>
      <c r="P53" s="36"/>
      <c r="Q53" s="99"/>
      <c r="R53" s="108">
        <f t="shared" si="7"/>
        <v>0</v>
      </c>
      <c r="S53" s="106">
        <f t="shared" si="7"/>
        <v>0</v>
      </c>
      <c r="T53" s="62"/>
      <c r="U53" s="8">
        <f t="shared" ref="U53:U54" si="17">L53*24+N53*24+P53*24</f>
        <v>0</v>
      </c>
      <c r="V53" s="33">
        <f t="shared" ref="V53:V54" si="18">U53/24</f>
        <v>0</v>
      </c>
      <c r="W53" s="134">
        <f t="shared" ref="W53:W54" si="19">I53*24+J53</f>
        <v>48</v>
      </c>
      <c r="X53" s="61"/>
    </row>
    <row r="54" spans="1:24">
      <c r="A54" s="1">
        <f t="shared" si="3"/>
        <v>47</v>
      </c>
      <c r="B54" s="15" t="s">
        <v>65</v>
      </c>
      <c r="C54" s="10">
        <v>12</v>
      </c>
      <c r="D54" s="11"/>
      <c r="E54" s="36"/>
      <c r="F54" s="36"/>
      <c r="G54" s="37">
        <v>1</v>
      </c>
      <c r="H54" s="38"/>
      <c r="I54" s="38">
        <f t="shared" si="4"/>
        <v>11</v>
      </c>
      <c r="J54" s="63">
        <f t="shared" si="4"/>
        <v>0</v>
      </c>
      <c r="K54" s="62"/>
      <c r="L54" s="36">
        <v>1</v>
      </c>
      <c r="M54" s="36"/>
      <c r="N54" s="36"/>
      <c r="O54" s="36"/>
      <c r="P54" s="36"/>
      <c r="Q54" s="99"/>
      <c r="R54" s="100">
        <f t="shared" si="7"/>
        <v>1</v>
      </c>
      <c r="S54" s="101">
        <f t="shared" si="7"/>
        <v>0</v>
      </c>
      <c r="T54" s="62"/>
      <c r="U54" s="8">
        <f t="shared" si="17"/>
        <v>24</v>
      </c>
      <c r="V54" s="135">
        <f t="shared" si="18"/>
        <v>1</v>
      </c>
      <c r="W54" s="134">
        <f t="shared" si="19"/>
        <v>264</v>
      </c>
      <c r="X54" s="61"/>
    </row>
    <row r="55" spans="1:24">
      <c r="A55" s="1">
        <f t="shared" si="3"/>
        <v>48</v>
      </c>
      <c r="B55" s="15"/>
      <c r="C55" s="10"/>
      <c r="D55" s="11"/>
      <c r="E55" s="36"/>
      <c r="F55" s="36"/>
      <c r="G55" s="37"/>
      <c r="H55" s="38"/>
      <c r="I55" s="38">
        <f t="shared" si="4"/>
        <v>0</v>
      </c>
      <c r="J55" s="63">
        <f t="shared" si="4"/>
        <v>0</v>
      </c>
      <c r="K55" s="62"/>
      <c r="L55" s="36"/>
      <c r="M55" s="36"/>
      <c r="N55" s="36"/>
      <c r="O55" s="36"/>
      <c r="P55" s="36"/>
      <c r="Q55" s="99"/>
      <c r="R55" s="100">
        <f t="shared" si="7"/>
        <v>0</v>
      </c>
      <c r="S55" s="101">
        <f t="shared" si="7"/>
        <v>0</v>
      </c>
      <c r="T55" s="62"/>
      <c r="U55" s="8"/>
      <c r="V55" s="135"/>
      <c r="W55" s="134"/>
      <c r="X55" s="61"/>
    </row>
    <row r="56" spans="1:24">
      <c r="A56" s="1">
        <f t="shared" si="3"/>
        <v>49</v>
      </c>
      <c r="B56" s="15"/>
      <c r="C56" s="10"/>
      <c r="D56" s="11"/>
      <c r="E56" s="36"/>
      <c r="F56" s="36"/>
      <c r="G56" s="37"/>
      <c r="H56" s="38"/>
      <c r="I56" s="38">
        <f t="shared" si="4"/>
        <v>0</v>
      </c>
      <c r="J56" s="63">
        <f t="shared" si="4"/>
        <v>0</v>
      </c>
      <c r="K56" s="62"/>
      <c r="L56" s="36"/>
      <c r="M56" s="36"/>
      <c r="N56" s="36"/>
      <c r="O56" s="36"/>
      <c r="P56" s="36"/>
      <c r="Q56" s="99"/>
      <c r="R56" s="100">
        <f t="shared" si="7"/>
        <v>0</v>
      </c>
      <c r="S56" s="101">
        <f t="shared" si="7"/>
        <v>0</v>
      </c>
      <c r="T56" s="62"/>
      <c r="U56" s="8"/>
      <c r="V56" s="135"/>
      <c r="W56" s="134"/>
      <c r="X56" s="61"/>
    </row>
    <row r="57" spans="1:24">
      <c r="A57" s="1">
        <f t="shared" si="3"/>
        <v>50</v>
      </c>
      <c r="B57" s="15"/>
      <c r="C57" s="10"/>
      <c r="D57" s="11"/>
      <c r="E57" s="36"/>
      <c r="F57" s="36"/>
      <c r="G57" s="37"/>
      <c r="H57" s="38"/>
      <c r="I57" s="38">
        <f t="shared" si="4"/>
        <v>0</v>
      </c>
      <c r="J57" s="63">
        <f t="shared" si="4"/>
        <v>0</v>
      </c>
      <c r="K57" s="62"/>
      <c r="L57" s="36"/>
      <c r="M57" s="36"/>
      <c r="N57" s="36"/>
      <c r="O57" s="36"/>
      <c r="P57" s="36"/>
      <c r="Q57" s="99"/>
      <c r="R57" s="100">
        <f t="shared" si="7"/>
        <v>0</v>
      </c>
      <c r="S57" s="101">
        <f t="shared" si="7"/>
        <v>0</v>
      </c>
      <c r="T57" s="62"/>
      <c r="U57" s="8"/>
      <c r="V57" s="135"/>
      <c r="W57" s="134"/>
      <c r="X57" s="61"/>
    </row>
    <row r="58" spans="1:24">
      <c r="A58" s="1">
        <f t="shared" si="3"/>
        <v>51</v>
      </c>
      <c r="B58" s="15"/>
      <c r="C58" s="10"/>
      <c r="D58" s="11"/>
      <c r="E58" s="36"/>
      <c r="F58" s="36"/>
      <c r="G58" s="37"/>
      <c r="H58" s="38"/>
      <c r="I58" s="38">
        <f t="shared" si="4"/>
        <v>0</v>
      </c>
      <c r="J58" s="63">
        <f t="shared" si="4"/>
        <v>0</v>
      </c>
      <c r="K58" s="62"/>
      <c r="L58" s="36"/>
      <c r="M58" s="36"/>
      <c r="N58" s="36"/>
      <c r="O58" s="36"/>
      <c r="P58" s="36"/>
      <c r="Q58" s="99"/>
      <c r="R58" s="100">
        <f t="shared" si="7"/>
        <v>0</v>
      </c>
      <c r="S58" s="101">
        <f t="shared" si="7"/>
        <v>0</v>
      </c>
      <c r="T58" s="62"/>
      <c r="U58" s="8"/>
      <c r="V58" s="135"/>
      <c r="W58" s="134"/>
      <c r="X58" s="61"/>
    </row>
    <row r="59" spans="1:24">
      <c r="A59" s="1">
        <f t="shared" si="3"/>
        <v>52</v>
      </c>
      <c r="B59" s="15"/>
      <c r="C59" s="10"/>
      <c r="D59" s="11"/>
      <c r="E59" s="36"/>
      <c r="F59" s="36"/>
      <c r="G59" s="37"/>
      <c r="H59" s="38"/>
      <c r="I59" s="38">
        <f t="shared" si="4"/>
        <v>0</v>
      </c>
      <c r="J59" s="63">
        <f t="shared" si="4"/>
        <v>0</v>
      </c>
      <c r="K59" s="62"/>
      <c r="L59" s="36"/>
      <c r="M59" s="36"/>
      <c r="N59" s="36"/>
      <c r="O59" s="36"/>
      <c r="P59" s="36"/>
      <c r="Q59" s="99"/>
      <c r="R59" s="100">
        <f t="shared" si="7"/>
        <v>0</v>
      </c>
      <c r="S59" s="101">
        <f t="shared" si="7"/>
        <v>0</v>
      </c>
      <c r="T59" s="62"/>
      <c r="U59" s="8"/>
      <c r="V59" s="135"/>
      <c r="W59" s="134"/>
      <c r="X59" s="61"/>
    </row>
    <row r="60" spans="1:24" s="2" customFormat="1">
      <c r="B60" s="28" t="s">
        <v>15</v>
      </c>
      <c r="C60" s="29">
        <f>SUM(C8:C59)</f>
        <v>47737</v>
      </c>
      <c r="D60" s="30">
        <f>SUM(D8:D59)</f>
        <v>155</v>
      </c>
      <c r="E60" s="54">
        <f>SUM(E8:E59)</f>
        <v>0</v>
      </c>
      <c r="F60" s="54"/>
      <c r="G60" s="55">
        <f>SUM(G8:G59)</f>
        <v>1818</v>
      </c>
      <c r="H60" s="56">
        <f>SUM(H8:H59)</f>
        <v>18</v>
      </c>
      <c r="I60" s="56">
        <f>SUM(I8:I59)</f>
        <v>45919</v>
      </c>
      <c r="J60" s="78">
        <f>SUM(J8:J59)</f>
        <v>137</v>
      </c>
      <c r="L60" s="79">
        <f t="shared" ref="L60:S60" si="20">SUM(L8:L59)</f>
        <v>617</v>
      </c>
      <c r="M60" s="79">
        <f t="shared" si="20"/>
        <v>6</v>
      </c>
      <c r="N60" s="79">
        <f t="shared" si="20"/>
        <v>497</v>
      </c>
      <c r="O60" s="79">
        <f t="shared" si="20"/>
        <v>21</v>
      </c>
      <c r="P60" s="79">
        <f t="shared" si="20"/>
        <v>695</v>
      </c>
      <c r="Q60" s="121">
        <f t="shared" si="20"/>
        <v>38</v>
      </c>
      <c r="R60" s="122">
        <f t="shared" si="20"/>
        <v>1809</v>
      </c>
      <c r="S60" s="123">
        <f t="shared" si="20"/>
        <v>65</v>
      </c>
      <c r="U60" s="29">
        <f>SUM(U8:U59)</f>
        <v>13098</v>
      </c>
      <c r="V60" s="152">
        <f>SUM(V8:V59)</f>
        <v>1809</v>
      </c>
      <c r="W60" s="179">
        <f>SUM(W8:W59)</f>
        <v>355361</v>
      </c>
      <c r="X60" s="78"/>
    </row>
    <row r="61" spans="1:24">
      <c r="V61" s="154"/>
    </row>
    <row r="62" spans="1:24" ht="18.75" customHeight="1">
      <c r="G62" s="197" t="s">
        <v>66</v>
      </c>
      <c r="H62" s="57"/>
      <c r="I62" s="57"/>
      <c r="J62" s="80" t="s">
        <v>67</v>
      </c>
      <c r="L62" s="81"/>
      <c r="M62" s="87"/>
      <c r="N62" s="88"/>
      <c r="O62" s="88"/>
      <c r="P62" s="88"/>
      <c r="Q62" s="124"/>
      <c r="R62" s="124"/>
      <c r="S62" s="125"/>
    </row>
    <row r="63" spans="1:24">
      <c r="G63" s="198"/>
      <c r="H63" s="58"/>
      <c r="I63" s="58"/>
      <c r="J63" s="82" t="s">
        <v>68</v>
      </c>
      <c r="L63" s="83"/>
      <c r="M63" s="89"/>
      <c r="N63" s="90"/>
      <c r="O63" s="90"/>
      <c r="P63" s="90"/>
      <c r="Q63" s="126"/>
      <c r="R63" s="126"/>
      <c r="S63" s="127"/>
    </row>
    <row r="64" spans="1:24">
      <c r="G64" s="199"/>
      <c r="H64" s="59"/>
      <c r="I64" s="59"/>
      <c r="J64" s="82" t="s">
        <v>69</v>
      </c>
      <c r="L64" s="84"/>
      <c r="M64" s="91"/>
      <c r="N64" s="92"/>
      <c r="O64" s="92"/>
      <c r="P64" s="92"/>
      <c r="Q64" s="128"/>
      <c r="R64" s="128"/>
      <c r="S64" s="129"/>
    </row>
    <row r="65" spans="2:24">
      <c r="G65" s="200" t="s">
        <v>70</v>
      </c>
      <c r="H65" s="164"/>
      <c r="I65" s="164"/>
      <c r="J65" s="82" t="s">
        <v>67</v>
      </c>
      <c r="L65" s="84"/>
      <c r="M65" s="91"/>
      <c r="N65" s="92"/>
      <c r="O65" s="92"/>
      <c r="P65" s="92"/>
      <c r="Q65" s="128"/>
      <c r="R65" s="128"/>
      <c r="S65" s="129"/>
    </row>
    <row r="66" spans="2:24">
      <c r="G66" s="200"/>
      <c r="H66" s="164"/>
      <c r="I66" s="164"/>
      <c r="J66" s="82" t="s">
        <v>68</v>
      </c>
      <c r="L66" s="83"/>
      <c r="M66" s="89"/>
      <c r="N66" s="90"/>
      <c r="O66" s="90"/>
      <c r="P66" s="90"/>
      <c r="Q66" s="126"/>
      <c r="R66" s="126"/>
      <c r="S66" s="127"/>
    </row>
    <row r="67" spans="2:24">
      <c r="G67" s="201"/>
      <c r="H67" s="165"/>
      <c r="I67" s="165"/>
      <c r="J67" s="167" t="s">
        <v>69</v>
      </c>
      <c r="L67" s="168"/>
      <c r="M67" s="170"/>
      <c r="N67" s="171"/>
      <c r="O67" s="171"/>
      <c r="P67" s="171"/>
      <c r="Q67" s="174"/>
      <c r="R67" s="174"/>
      <c r="S67" s="175"/>
    </row>
    <row r="69" spans="2:24" ht="49.5" customHeight="1">
      <c r="B69" s="159" t="s">
        <v>71</v>
      </c>
      <c r="C69" s="5" t="s">
        <v>4</v>
      </c>
      <c r="D69" s="6"/>
      <c r="E69" s="166" t="s">
        <v>72</v>
      </c>
      <c r="L69" s="169" t="s">
        <v>12</v>
      </c>
      <c r="M69" s="172"/>
      <c r="N69" s="173" t="s">
        <v>13</v>
      </c>
      <c r="O69" s="173"/>
      <c r="P69" s="173" t="s">
        <v>14</v>
      </c>
      <c r="Q69" s="176"/>
      <c r="R69" s="176"/>
      <c r="S69" s="177" t="s">
        <v>73</v>
      </c>
      <c r="X69" s="178" t="s">
        <v>74</v>
      </c>
    </row>
    <row r="70" spans="2:24">
      <c r="B70" s="160" t="s">
        <v>47</v>
      </c>
      <c r="C70" s="161"/>
      <c r="D70" s="161"/>
      <c r="E70" s="163"/>
      <c r="L70" s="161"/>
      <c r="M70" s="161"/>
      <c r="N70" s="161"/>
      <c r="O70" s="161"/>
      <c r="P70" s="161"/>
      <c r="Q70" s="161"/>
      <c r="R70" s="161"/>
      <c r="S70" s="161"/>
      <c r="X70" s="163"/>
    </row>
    <row r="71" spans="2:24">
      <c r="B71" s="162" t="s">
        <v>75</v>
      </c>
      <c r="C71" s="161"/>
      <c r="D71" s="161"/>
      <c r="E71" s="163"/>
      <c r="L71" s="163"/>
      <c r="M71" s="163"/>
      <c r="N71" s="163"/>
      <c r="O71" s="163"/>
      <c r="P71" s="163"/>
      <c r="Q71" s="163"/>
      <c r="R71" s="163"/>
      <c r="S71" s="163"/>
      <c r="X71" s="163"/>
    </row>
    <row r="72" spans="2:24">
      <c r="B72" s="162" t="s">
        <v>76</v>
      </c>
      <c r="C72" s="161"/>
      <c r="D72" s="161"/>
      <c r="E72" s="163"/>
      <c r="L72" s="163"/>
      <c r="M72" s="163"/>
      <c r="N72" s="163"/>
      <c r="O72" s="163"/>
      <c r="P72" s="163"/>
      <c r="Q72" s="163"/>
      <c r="R72" s="163"/>
      <c r="S72" s="163"/>
      <c r="X72" s="163"/>
    </row>
    <row r="73" spans="2:24" ht="11.25" customHeight="1"/>
    <row r="74" spans="2:24">
      <c r="B74" s="162" t="s">
        <v>77</v>
      </c>
      <c r="C74" s="163"/>
      <c r="D74" s="163"/>
      <c r="E74" s="163"/>
      <c r="L74" s="163"/>
      <c r="M74" s="163"/>
      <c r="N74" s="163"/>
      <c r="O74" s="163"/>
      <c r="P74" s="163"/>
      <c r="Q74" s="163"/>
      <c r="R74" s="163"/>
      <c r="S74" s="163"/>
      <c r="X74" s="163"/>
    </row>
    <row r="75" spans="2:24">
      <c r="B75" s="162" t="s">
        <v>75</v>
      </c>
      <c r="C75" s="163"/>
      <c r="D75" s="163"/>
      <c r="E75" s="163"/>
      <c r="L75" s="163"/>
      <c r="M75" s="163"/>
      <c r="N75" s="163"/>
      <c r="O75" s="163"/>
      <c r="P75" s="163"/>
      <c r="Q75" s="163"/>
      <c r="R75" s="163"/>
      <c r="S75" s="163"/>
      <c r="X75" s="163"/>
    </row>
    <row r="76" spans="2:24">
      <c r="B76" s="162" t="s">
        <v>76</v>
      </c>
      <c r="C76" s="163"/>
      <c r="D76" s="163"/>
      <c r="E76" s="163"/>
      <c r="L76" s="163"/>
      <c r="M76" s="163"/>
      <c r="N76" s="163"/>
      <c r="O76" s="163"/>
      <c r="P76" s="163"/>
      <c r="Q76" s="163"/>
      <c r="R76" s="163"/>
      <c r="S76" s="163"/>
      <c r="X76" s="163"/>
    </row>
    <row r="77" spans="2:24" ht="11.25" customHeight="1"/>
    <row r="78" spans="2:24">
      <c r="B78" s="162" t="s">
        <v>78</v>
      </c>
      <c r="C78" s="163"/>
      <c r="D78" s="163"/>
      <c r="E78" s="163"/>
      <c r="L78" s="163"/>
      <c r="M78" s="163"/>
      <c r="N78" s="163"/>
      <c r="O78" s="163"/>
      <c r="P78" s="163"/>
      <c r="Q78" s="163"/>
      <c r="R78" s="163"/>
      <c r="S78" s="163"/>
      <c r="X78" s="163"/>
    </row>
    <row r="79" spans="2:24">
      <c r="B79" s="162" t="s">
        <v>75</v>
      </c>
      <c r="C79" s="163"/>
      <c r="D79" s="163"/>
      <c r="E79" s="163"/>
      <c r="L79" s="163"/>
      <c r="M79" s="163"/>
      <c r="N79" s="163"/>
      <c r="O79" s="163"/>
      <c r="P79" s="163"/>
      <c r="Q79" s="163"/>
      <c r="R79" s="163"/>
      <c r="S79" s="163"/>
      <c r="X79" s="163"/>
    </row>
    <row r="80" spans="2:24">
      <c r="B80" s="162" t="s">
        <v>76</v>
      </c>
      <c r="C80" s="163"/>
      <c r="D80" s="163"/>
      <c r="E80" s="163"/>
      <c r="L80" s="163"/>
      <c r="M80" s="163"/>
      <c r="N80" s="163"/>
      <c r="O80" s="163"/>
      <c r="P80" s="163"/>
      <c r="Q80" s="163"/>
      <c r="R80" s="163"/>
      <c r="S80" s="163"/>
      <c r="X80" s="163"/>
    </row>
    <row r="81" spans="2:24" ht="11.25" customHeight="1"/>
    <row r="82" spans="2:24">
      <c r="B82" s="162" t="s">
        <v>79</v>
      </c>
      <c r="C82" s="163"/>
      <c r="D82" s="163"/>
      <c r="E82" s="163"/>
      <c r="L82" s="163"/>
      <c r="M82" s="163"/>
      <c r="N82" s="163"/>
      <c r="O82" s="163"/>
      <c r="P82" s="163"/>
      <c r="Q82" s="163"/>
      <c r="R82" s="163"/>
      <c r="S82" s="163"/>
      <c r="X82" s="163"/>
    </row>
    <row r="83" spans="2:24">
      <c r="B83" s="162" t="s">
        <v>75</v>
      </c>
      <c r="C83" s="163"/>
      <c r="D83" s="163"/>
      <c r="E83" s="163"/>
      <c r="L83" s="163"/>
      <c r="M83" s="163"/>
      <c r="N83" s="163"/>
      <c r="O83" s="163"/>
      <c r="P83" s="163"/>
      <c r="Q83" s="163"/>
      <c r="R83" s="163"/>
      <c r="S83" s="163"/>
      <c r="X83" s="163"/>
    </row>
    <row r="84" spans="2:24">
      <c r="B84" s="162" t="s">
        <v>76</v>
      </c>
      <c r="C84" s="161"/>
      <c r="D84" s="161"/>
      <c r="E84" s="163"/>
      <c r="L84" s="163"/>
      <c r="M84" s="163"/>
      <c r="N84" s="163"/>
      <c r="O84" s="163"/>
      <c r="P84" s="163"/>
      <c r="Q84" s="163"/>
      <c r="R84" s="163"/>
      <c r="S84" s="163"/>
      <c r="X84" s="163"/>
    </row>
    <row r="85" spans="2:24" ht="11.25" customHeight="1"/>
    <row r="86" spans="2:24">
      <c r="B86" s="162" t="s">
        <v>80</v>
      </c>
      <c r="C86" s="163"/>
      <c r="D86" s="163"/>
      <c r="E86" s="163"/>
      <c r="L86" s="163"/>
      <c r="M86" s="163"/>
      <c r="N86" s="163"/>
      <c r="O86" s="163"/>
      <c r="P86" s="163"/>
      <c r="Q86" s="163"/>
      <c r="R86" s="163"/>
      <c r="S86" s="163"/>
      <c r="X86" s="163"/>
    </row>
    <row r="87" spans="2:24">
      <c r="B87" s="162" t="s">
        <v>75</v>
      </c>
      <c r="C87" s="163"/>
      <c r="D87" s="163"/>
      <c r="E87" s="163"/>
      <c r="L87" s="163"/>
      <c r="M87" s="163"/>
      <c r="N87" s="163"/>
      <c r="O87" s="163"/>
      <c r="P87" s="163"/>
      <c r="Q87" s="163"/>
      <c r="R87" s="163"/>
      <c r="S87" s="163"/>
      <c r="X87" s="163"/>
    </row>
    <row r="88" spans="2:24">
      <c r="B88" s="162" t="s">
        <v>76</v>
      </c>
      <c r="C88" s="163"/>
      <c r="D88" s="163"/>
      <c r="E88" s="163"/>
      <c r="L88" s="163"/>
      <c r="M88" s="163"/>
      <c r="N88" s="163"/>
      <c r="O88" s="163"/>
      <c r="P88" s="163"/>
      <c r="Q88" s="163"/>
      <c r="R88" s="163"/>
      <c r="S88" s="163"/>
      <c r="X88" s="163"/>
    </row>
    <row r="90" spans="2:24">
      <c r="B90" s="162" t="s">
        <v>81</v>
      </c>
      <c r="C90" s="163"/>
      <c r="D90" s="163"/>
      <c r="E90" s="163"/>
      <c r="L90" s="163"/>
      <c r="M90" s="163"/>
      <c r="N90" s="163"/>
      <c r="O90" s="163"/>
      <c r="P90" s="163"/>
      <c r="Q90" s="163"/>
      <c r="R90" s="163"/>
      <c r="S90" s="163"/>
      <c r="X90" s="163"/>
    </row>
  </sheetData>
  <mergeCells count="12">
    <mergeCell ref="G62:G64"/>
    <mergeCell ref="G65:G67"/>
    <mergeCell ref="H4:H5"/>
    <mergeCell ref="I4:I5"/>
    <mergeCell ref="J4:J5"/>
    <mergeCell ref="P1:X1"/>
    <mergeCell ref="E4:F4"/>
    <mergeCell ref="L4:X4"/>
    <mergeCell ref="B4:B5"/>
    <mergeCell ref="C4:C5"/>
    <mergeCell ref="D4:D5"/>
    <mergeCell ref="G4:G5"/>
  </mergeCells>
  <printOptions horizontalCentered="1" verticalCentered="1"/>
  <pageMargins left="0.196850393700787" right="0.196850393700787" top="0.196850393700787" bottom="0.196850393700787" header="0.511811023622047" footer="0.511811023622047"/>
  <pageSetup paperSize="9" scale="51" orientation="portrait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BH90"/>
  <sheetViews>
    <sheetView zoomScale="55" zoomScaleNormal="55" zoomScaleSheetLayoutView="85" zoomScalePageLayoutView="80" workbookViewId="0">
      <selection activeCell="P1" sqref="P1:X1"/>
    </sheetView>
  </sheetViews>
  <sheetFormatPr defaultColWidth="9.140625" defaultRowHeight="18.75"/>
  <cols>
    <col min="1" max="1" width="5.42578125" style="3" customWidth="1"/>
    <col min="2" max="2" width="12.28515625" style="3" customWidth="1"/>
    <col min="3" max="3" width="12.7109375" style="3" customWidth="1"/>
    <col min="4" max="4" width="8" style="3" customWidth="1"/>
    <col min="5" max="5" width="12.140625" style="3" customWidth="1"/>
    <col min="6" max="6" width="9.85546875" style="3" customWidth="1"/>
    <col min="7" max="7" width="11" style="3" customWidth="1"/>
    <col min="8" max="8" width="8" style="3" customWidth="1"/>
    <col min="9" max="9" width="14.7109375" style="3" customWidth="1"/>
    <col min="10" max="10" width="8.28515625" style="3" customWidth="1"/>
    <col min="11" max="11" width="1.28515625" style="3" customWidth="1"/>
    <col min="12" max="12" width="11" style="3" customWidth="1"/>
    <col min="13" max="13" width="7.85546875" style="3" customWidth="1"/>
    <col min="14" max="14" width="11" style="3" customWidth="1"/>
    <col min="15" max="15" width="6.5703125" style="3" customWidth="1"/>
    <col min="16" max="16" width="11" style="3" customWidth="1"/>
    <col min="17" max="17" width="6.5703125" style="3" customWidth="1"/>
    <col min="18" max="18" width="9.5703125" style="3" customWidth="1"/>
    <col min="19" max="19" width="8.140625" style="3" customWidth="1"/>
    <col min="20" max="20" width="1.28515625" style="3" customWidth="1"/>
    <col min="21" max="21" width="12.7109375" style="3" customWidth="1"/>
    <col min="22" max="22" width="12.7109375" style="3" hidden="1" customWidth="1"/>
    <col min="23" max="23" width="14.5703125" style="3" customWidth="1"/>
    <col min="24" max="24" width="11.5703125" style="3" customWidth="1"/>
    <col min="25" max="25" width="2" style="3" customWidth="1"/>
    <col min="26" max="26" width="10.5703125" style="3" customWidth="1"/>
    <col min="27" max="55" width="7.28515625" style="3" customWidth="1"/>
    <col min="56" max="56" width="1.5703125" style="3" customWidth="1"/>
    <col min="57" max="57" width="9.42578125" style="3" customWidth="1"/>
    <col min="58" max="58" width="1.28515625" style="3" customWidth="1"/>
    <col min="59" max="59" width="12.7109375" style="3" customWidth="1"/>
    <col min="60" max="60" width="10.28515625" style="3" customWidth="1"/>
    <col min="61" max="16384" width="9.140625" style="3"/>
  </cols>
  <sheetData>
    <row r="1" spans="1:60">
      <c r="B1" s="2" t="s">
        <v>0</v>
      </c>
      <c r="N1" s="3" t="s">
        <v>1</v>
      </c>
      <c r="P1" s="183">
        <v>46148</v>
      </c>
      <c r="Q1" s="184"/>
      <c r="R1" s="184"/>
      <c r="S1" s="184"/>
      <c r="T1" s="184"/>
      <c r="U1" s="184"/>
      <c r="V1" s="184"/>
      <c r="W1" s="184"/>
      <c r="X1" s="185"/>
    </row>
    <row r="2" spans="1:60" ht="15" customHeight="1">
      <c r="B2" s="2" t="s">
        <v>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4" spans="1:60" ht="19.5" customHeight="1">
      <c r="A4" s="4"/>
      <c r="B4" s="192" t="s">
        <v>3</v>
      </c>
      <c r="C4" s="193" t="s">
        <v>4</v>
      </c>
      <c r="D4" s="194" t="s">
        <v>5</v>
      </c>
      <c r="E4" s="186" t="s">
        <v>6</v>
      </c>
      <c r="F4" s="187"/>
      <c r="G4" s="195" t="s">
        <v>7</v>
      </c>
      <c r="H4" s="202" t="s">
        <v>5</v>
      </c>
      <c r="I4" s="204" t="s">
        <v>8</v>
      </c>
      <c r="J4" s="202" t="s">
        <v>5</v>
      </c>
      <c r="L4" s="188" t="s">
        <v>9</v>
      </c>
      <c r="M4" s="189"/>
      <c r="N4" s="189"/>
      <c r="O4" s="189"/>
      <c r="P4" s="189"/>
      <c r="Q4" s="189"/>
      <c r="R4" s="189"/>
      <c r="S4" s="189"/>
      <c r="T4" s="189"/>
      <c r="U4" s="189"/>
      <c r="V4" s="190"/>
      <c r="W4" s="189"/>
      <c r="X4" s="191"/>
    </row>
    <row r="5" spans="1:60" s="1" customFormat="1" ht="56.25">
      <c r="A5" s="4"/>
      <c r="B5" s="192"/>
      <c r="C5" s="193"/>
      <c r="D5" s="194"/>
      <c r="E5" s="31" t="s">
        <v>10</v>
      </c>
      <c r="F5" s="32" t="s">
        <v>11</v>
      </c>
      <c r="G5" s="196"/>
      <c r="H5" s="203"/>
      <c r="I5" s="205"/>
      <c r="J5" s="203"/>
      <c r="L5" s="60" t="s">
        <v>12</v>
      </c>
      <c r="M5" s="85" t="s">
        <v>5</v>
      </c>
      <c r="N5" s="86" t="s">
        <v>13</v>
      </c>
      <c r="O5" s="85" t="s">
        <v>5</v>
      </c>
      <c r="P5" s="86" t="s">
        <v>14</v>
      </c>
      <c r="Q5" s="85" t="s">
        <v>5</v>
      </c>
      <c r="R5" s="93" t="s">
        <v>15</v>
      </c>
      <c r="S5" s="94" t="s">
        <v>5</v>
      </c>
      <c r="T5" s="95"/>
      <c r="U5" s="130" t="s">
        <v>16</v>
      </c>
      <c r="V5" s="131" t="s">
        <v>17</v>
      </c>
      <c r="W5" s="132" t="s">
        <v>18</v>
      </c>
      <c r="X5" s="133" t="s">
        <v>19</v>
      </c>
      <c r="AL5" s="156"/>
      <c r="AM5" s="156"/>
      <c r="AN5" s="156"/>
      <c r="AO5" s="156"/>
      <c r="AP5" s="156"/>
      <c r="AQ5" s="156"/>
      <c r="AR5" s="156"/>
      <c r="AS5" s="156"/>
      <c r="AT5" s="156"/>
      <c r="AU5" s="156"/>
      <c r="AV5" s="156"/>
      <c r="AW5" s="156"/>
      <c r="AX5" s="156"/>
      <c r="AY5" s="156"/>
      <c r="AZ5" s="156"/>
      <c r="BA5" s="156"/>
      <c r="BB5" s="156"/>
      <c r="BC5" s="156"/>
      <c r="BD5" s="156"/>
      <c r="BE5" s="156"/>
      <c r="BF5" s="156"/>
      <c r="BG5" s="156"/>
      <c r="BH5" s="156"/>
    </row>
    <row r="6" spans="1:60" s="1" customFormat="1">
      <c r="B6" s="7"/>
      <c r="C6" s="8"/>
      <c r="D6" s="9"/>
      <c r="E6" s="33"/>
      <c r="F6" s="33"/>
      <c r="G6" s="34"/>
      <c r="H6" s="35"/>
      <c r="I6" s="35"/>
      <c r="J6" s="61"/>
      <c r="K6" s="62"/>
      <c r="L6" s="33"/>
      <c r="M6" s="33"/>
      <c r="N6" s="33"/>
      <c r="O6" s="33"/>
      <c r="P6" s="33"/>
      <c r="Q6" s="96"/>
      <c r="R6" s="97"/>
      <c r="S6" s="98"/>
      <c r="T6" s="62"/>
      <c r="U6" s="8"/>
      <c r="V6" s="33"/>
      <c r="W6" s="134"/>
      <c r="X6" s="61"/>
      <c r="AL6" s="156"/>
      <c r="AM6" s="156"/>
      <c r="AN6" s="156"/>
      <c r="AO6" s="156"/>
      <c r="AP6" s="156"/>
      <c r="AQ6" s="156"/>
      <c r="AR6" s="156"/>
      <c r="AS6" s="156"/>
      <c r="AT6" s="156"/>
      <c r="AU6" s="156"/>
      <c r="AV6" s="156"/>
      <c r="AW6" s="156"/>
      <c r="AX6" s="156"/>
      <c r="AY6" s="156"/>
      <c r="AZ6" s="156"/>
      <c r="BA6" s="156"/>
      <c r="BB6" s="156"/>
      <c r="BC6" s="156"/>
      <c r="BD6" s="156"/>
      <c r="BE6" s="156"/>
      <c r="BF6" s="156"/>
      <c r="BG6" s="156"/>
      <c r="BH6" s="156"/>
    </row>
    <row r="7" spans="1:60" s="1" customFormat="1">
      <c r="B7" s="7"/>
      <c r="C7" s="8"/>
      <c r="D7" s="9"/>
      <c r="E7" s="33"/>
      <c r="F7" s="33"/>
      <c r="G7" s="34"/>
      <c r="H7" s="35"/>
      <c r="I7" s="35"/>
      <c r="J7" s="61"/>
      <c r="K7" s="62"/>
      <c r="L7" s="33"/>
      <c r="M7" s="33"/>
      <c r="N7" s="33"/>
      <c r="O7" s="33"/>
      <c r="P7" s="33"/>
      <c r="Q7" s="96"/>
      <c r="R7" s="97"/>
      <c r="S7" s="98"/>
      <c r="T7" s="62"/>
      <c r="U7" s="8"/>
      <c r="V7" s="135"/>
      <c r="W7" s="134"/>
      <c r="X7" s="61"/>
      <c r="AL7" s="156"/>
      <c r="AM7" s="156"/>
      <c r="AN7" s="156"/>
      <c r="AO7" s="156"/>
      <c r="AP7" s="156"/>
      <c r="AQ7" s="156"/>
      <c r="AR7" s="156"/>
      <c r="AS7" s="156"/>
      <c r="AT7" s="156"/>
      <c r="AU7" s="156"/>
      <c r="AV7" s="156"/>
      <c r="AW7" s="156"/>
      <c r="AX7" s="156"/>
      <c r="AY7" s="156"/>
      <c r="AZ7" s="156"/>
      <c r="BA7" s="156"/>
      <c r="BB7" s="156"/>
      <c r="BC7" s="156"/>
      <c r="BD7" s="156"/>
      <c r="BE7" s="156"/>
      <c r="BF7" s="156"/>
      <c r="BG7" s="156"/>
      <c r="BH7" s="156"/>
    </row>
    <row r="8" spans="1:60">
      <c r="A8" s="1">
        <v>1</v>
      </c>
      <c r="B8" s="7" t="s">
        <v>20</v>
      </c>
      <c r="C8" s="10">
        <v>21</v>
      </c>
      <c r="D8" s="11">
        <v>19</v>
      </c>
      <c r="E8" s="36"/>
      <c r="F8" s="36"/>
      <c r="G8" s="37">
        <v>1</v>
      </c>
      <c r="H8" s="38"/>
      <c r="I8" s="38">
        <f>C8-G8</f>
        <v>20</v>
      </c>
      <c r="J8" s="63">
        <f t="shared" ref="J8:J13" si="0">D8-H8</f>
        <v>19</v>
      </c>
      <c r="K8" s="62"/>
      <c r="L8" s="36">
        <v>1</v>
      </c>
      <c r="M8" s="36"/>
      <c r="N8" s="36"/>
      <c r="O8" s="36"/>
      <c r="P8" s="36"/>
      <c r="Q8" s="99"/>
      <c r="R8" s="100">
        <f t="shared" ref="R8:S12" si="1">L8+N8+P8</f>
        <v>1</v>
      </c>
      <c r="S8" s="101">
        <f t="shared" si="1"/>
        <v>0</v>
      </c>
      <c r="T8" s="62"/>
      <c r="U8" s="8">
        <f>L8*24+N8*24+P8*24</f>
        <v>24</v>
      </c>
      <c r="V8" s="135">
        <f>U8/24</f>
        <v>1</v>
      </c>
      <c r="W8" s="134">
        <f t="shared" ref="W8:W13" si="2">I8*24+J8</f>
        <v>499</v>
      </c>
      <c r="X8" s="61"/>
      <c r="AL8" s="157"/>
      <c r="AM8" s="157"/>
      <c r="AN8" s="157"/>
      <c r="AO8" s="157"/>
      <c r="AP8" s="157"/>
      <c r="AQ8" s="157"/>
      <c r="AR8" s="157"/>
      <c r="AS8" s="157"/>
      <c r="AT8" s="157"/>
      <c r="AU8" s="157"/>
      <c r="AV8" s="157"/>
      <c r="AW8" s="157"/>
      <c r="AX8" s="157"/>
      <c r="AY8" s="157"/>
      <c r="AZ8" s="157"/>
      <c r="BA8" s="157"/>
      <c r="BB8" s="157"/>
      <c r="BC8" s="157"/>
      <c r="BD8" s="157"/>
      <c r="BE8" s="157"/>
      <c r="BF8" s="157"/>
      <c r="BG8" s="157"/>
      <c r="BH8" s="157"/>
    </row>
    <row r="9" spans="1:60">
      <c r="A9" s="1">
        <f t="shared" ref="A9:A59" si="3">A8+1</f>
        <v>2</v>
      </c>
      <c r="B9" s="12" t="s">
        <v>21</v>
      </c>
      <c r="C9" s="13">
        <v>86</v>
      </c>
      <c r="D9" s="14"/>
      <c r="E9" s="39"/>
      <c r="F9" s="39"/>
      <c r="G9" s="40">
        <v>1</v>
      </c>
      <c r="H9" s="41"/>
      <c r="I9" s="40">
        <f t="shared" ref="I9:J59" si="4">C9-G9</f>
        <v>85</v>
      </c>
      <c r="J9" s="64">
        <f t="shared" si="0"/>
        <v>0</v>
      </c>
      <c r="K9" s="65"/>
      <c r="L9" s="51">
        <v>1</v>
      </c>
      <c r="M9" s="51"/>
      <c r="N9" s="51"/>
      <c r="O9" s="51"/>
      <c r="P9" s="51"/>
      <c r="Q9" s="102"/>
      <c r="R9" s="103">
        <f t="shared" si="1"/>
        <v>1</v>
      </c>
      <c r="S9" s="104">
        <f t="shared" si="1"/>
        <v>0</v>
      </c>
      <c r="T9" s="65"/>
      <c r="U9" s="136">
        <f>L9*24+N9*24+P9*24</f>
        <v>24</v>
      </c>
      <c r="V9" s="137">
        <f>U9/24</f>
        <v>1</v>
      </c>
      <c r="W9" s="138">
        <f t="shared" si="2"/>
        <v>2040</v>
      </c>
      <c r="X9" s="139"/>
      <c r="AL9" s="157"/>
      <c r="AM9" s="157"/>
      <c r="AN9" s="157"/>
      <c r="AO9" s="157"/>
      <c r="AP9" s="157"/>
      <c r="AQ9" s="157"/>
      <c r="AR9" s="157"/>
      <c r="AS9" s="157"/>
      <c r="AT9" s="157"/>
      <c r="AU9" s="157"/>
      <c r="AV9" s="157"/>
      <c r="AW9" s="157"/>
      <c r="AX9" s="157"/>
      <c r="AY9" s="157"/>
      <c r="AZ9" s="157"/>
      <c r="BA9" s="157"/>
      <c r="BB9" s="157"/>
      <c r="BC9" s="157"/>
      <c r="BD9" s="157"/>
      <c r="BE9" s="157"/>
      <c r="BF9" s="157"/>
      <c r="BG9" s="157"/>
      <c r="BH9" s="157"/>
    </row>
    <row r="10" spans="1:60">
      <c r="A10" s="1">
        <f t="shared" si="3"/>
        <v>3</v>
      </c>
      <c r="B10" s="7" t="s">
        <v>22</v>
      </c>
      <c r="C10" s="10">
        <v>52</v>
      </c>
      <c r="D10" s="11"/>
      <c r="E10" s="36"/>
      <c r="F10" s="36"/>
      <c r="G10" s="37">
        <v>4</v>
      </c>
      <c r="H10" s="38"/>
      <c r="I10" s="38">
        <f t="shared" si="4"/>
        <v>48</v>
      </c>
      <c r="J10" s="66">
        <f t="shared" si="0"/>
        <v>0</v>
      </c>
      <c r="K10" s="62"/>
      <c r="L10" s="36">
        <v>1</v>
      </c>
      <c r="M10" s="36"/>
      <c r="N10" s="36"/>
      <c r="O10" s="36"/>
      <c r="P10" s="36">
        <v>3</v>
      </c>
      <c r="Q10" s="99"/>
      <c r="R10" s="105">
        <f t="shared" si="1"/>
        <v>4</v>
      </c>
      <c r="S10" s="106">
        <f t="shared" si="1"/>
        <v>0</v>
      </c>
      <c r="T10" s="62"/>
      <c r="U10" s="8">
        <f>L10*24+N10*24+P10*24</f>
        <v>96</v>
      </c>
      <c r="V10" s="140">
        <f>U10/24</f>
        <v>4</v>
      </c>
      <c r="W10" s="134">
        <f t="shared" si="2"/>
        <v>1152</v>
      </c>
      <c r="X10" s="61"/>
      <c r="AL10" s="157"/>
      <c r="AM10" s="157"/>
      <c r="AN10" s="157"/>
      <c r="AO10" s="157"/>
      <c r="AP10" s="157"/>
      <c r="AQ10" s="157"/>
      <c r="AR10" s="157"/>
      <c r="AS10" s="157"/>
      <c r="AT10" s="157"/>
      <c r="AU10" s="157"/>
      <c r="AV10" s="157"/>
      <c r="AW10" s="157"/>
      <c r="AX10" s="157"/>
      <c r="AY10" s="157"/>
      <c r="AZ10" s="157"/>
      <c r="BA10" s="157"/>
      <c r="BB10" s="157"/>
      <c r="BC10" s="157"/>
      <c r="BD10" s="157"/>
      <c r="BE10" s="157"/>
      <c r="BF10" s="157"/>
      <c r="BG10" s="157"/>
      <c r="BH10" s="157"/>
    </row>
    <row r="11" spans="1:60">
      <c r="A11" s="1">
        <f t="shared" si="3"/>
        <v>4</v>
      </c>
      <c r="B11" s="15" t="s">
        <v>23</v>
      </c>
      <c r="C11" s="10">
        <v>55</v>
      </c>
      <c r="D11" s="11"/>
      <c r="E11" s="36"/>
      <c r="F11" s="36"/>
      <c r="G11" s="37">
        <v>4</v>
      </c>
      <c r="H11" s="38"/>
      <c r="I11" s="38">
        <f t="shared" si="4"/>
        <v>51</v>
      </c>
      <c r="J11" s="63">
        <f t="shared" si="0"/>
        <v>0</v>
      </c>
      <c r="K11" s="62"/>
      <c r="L11" s="36"/>
      <c r="M11" s="36"/>
      <c r="N11" s="36"/>
      <c r="O11" s="36"/>
      <c r="P11" s="36">
        <v>3</v>
      </c>
      <c r="Q11" s="99"/>
      <c r="R11" s="100">
        <f t="shared" si="1"/>
        <v>3</v>
      </c>
      <c r="S11" s="101">
        <f t="shared" si="1"/>
        <v>0</v>
      </c>
      <c r="T11" s="62"/>
      <c r="U11" s="8">
        <f>L11*24+N11*24+P11*24</f>
        <v>72</v>
      </c>
      <c r="V11" s="135">
        <f>U11/24</f>
        <v>3</v>
      </c>
      <c r="W11" s="134">
        <f t="shared" si="2"/>
        <v>1224</v>
      </c>
      <c r="X11" s="61"/>
      <c r="AL11" s="157"/>
      <c r="AM11" s="157"/>
      <c r="AN11" s="157"/>
      <c r="AO11" s="157"/>
      <c r="AP11" s="157"/>
      <c r="AQ11" s="157"/>
      <c r="AR11" s="157"/>
      <c r="AS11" s="157"/>
      <c r="AT11" s="157"/>
      <c r="AU11" s="157"/>
      <c r="AV11" s="157"/>
      <c r="AW11" s="157"/>
      <c r="AX11" s="157"/>
      <c r="AY11" s="157"/>
      <c r="AZ11" s="157"/>
      <c r="BA11" s="157"/>
      <c r="BB11" s="157"/>
      <c r="BC11" s="157"/>
      <c r="BD11" s="157"/>
      <c r="BE11" s="157"/>
      <c r="BF11" s="157"/>
      <c r="BG11" s="157"/>
      <c r="BH11" s="157"/>
    </row>
    <row r="12" spans="1:60">
      <c r="A12" s="1">
        <f t="shared" si="3"/>
        <v>5</v>
      </c>
      <c r="B12" s="15" t="s">
        <v>24</v>
      </c>
      <c r="C12" s="10">
        <v>1</v>
      </c>
      <c r="D12" s="11"/>
      <c r="E12" s="36"/>
      <c r="F12" s="36"/>
      <c r="G12" s="37"/>
      <c r="H12" s="38"/>
      <c r="I12" s="38">
        <f t="shared" si="4"/>
        <v>1</v>
      </c>
      <c r="J12" s="63">
        <f t="shared" si="0"/>
        <v>0</v>
      </c>
      <c r="K12" s="62"/>
      <c r="L12" s="36"/>
      <c r="M12" s="36"/>
      <c r="N12" s="36"/>
      <c r="O12" s="36"/>
      <c r="P12" s="36"/>
      <c r="Q12" s="99"/>
      <c r="R12" s="100">
        <f t="shared" si="1"/>
        <v>0</v>
      </c>
      <c r="S12" s="101">
        <f t="shared" si="1"/>
        <v>0</v>
      </c>
      <c r="T12" s="62"/>
      <c r="U12" s="8">
        <f t="shared" ref="U12:U37" si="5">L12*24+N12*24+P12*24</f>
        <v>0</v>
      </c>
      <c r="V12" s="135">
        <f t="shared" ref="V12:V41" si="6">U12/24</f>
        <v>0</v>
      </c>
      <c r="W12" s="134">
        <f t="shared" si="2"/>
        <v>24</v>
      </c>
      <c r="X12" s="61"/>
      <c r="AL12" s="157"/>
      <c r="AM12" s="157"/>
      <c r="AN12" s="157"/>
      <c r="AO12" s="157"/>
      <c r="AP12" s="157"/>
      <c r="AQ12" s="157"/>
      <c r="AR12" s="157"/>
      <c r="AS12" s="157"/>
      <c r="AT12" s="157"/>
      <c r="AU12" s="157"/>
      <c r="AV12" s="157"/>
      <c r="AW12" s="157"/>
      <c r="AX12" s="157"/>
      <c r="AY12" s="157"/>
      <c r="AZ12" s="157"/>
      <c r="BA12" s="157"/>
      <c r="BB12" s="157"/>
      <c r="BC12" s="157"/>
      <c r="BD12" s="157"/>
      <c r="BE12" s="157"/>
      <c r="BF12" s="157"/>
      <c r="BG12" s="157"/>
      <c r="BH12" s="157"/>
    </row>
    <row r="13" spans="1:60" s="2" customFormat="1">
      <c r="A13" s="1">
        <f t="shared" si="3"/>
        <v>6</v>
      </c>
      <c r="B13" s="12" t="s">
        <v>25</v>
      </c>
      <c r="C13" s="13">
        <v>3528</v>
      </c>
      <c r="D13" s="14">
        <v>9</v>
      </c>
      <c r="E13" s="39"/>
      <c r="F13" s="39"/>
      <c r="G13" s="40">
        <v>27</v>
      </c>
      <c r="H13" s="41">
        <v>33</v>
      </c>
      <c r="I13" s="44">
        <f t="shared" si="4"/>
        <v>3501</v>
      </c>
      <c r="J13" s="64">
        <f t="shared" si="0"/>
        <v>-24</v>
      </c>
      <c r="K13" s="67"/>
      <c r="L13" s="51">
        <v>3</v>
      </c>
      <c r="M13" s="51">
        <v>18</v>
      </c>
      <c r="N13" s="51">
        <v>13</v>
      </c>
      <c r="O13" s="51"/>
      <c r="P13" s="51">
        <v>11</v>
      </c>
      <c r="Q13" s="102">
        <v>15</v>
      </c>
      <c r="R13" s="107">
        <f>L13+N13+P13</f>
        <v>27</v>
      </c>
      <c r="S13" s="104">
        <f>M13+O13+Q13</f>
        <v>33</v>
      </c>
      <c r="T13" s="67"/>
      <c r="U13" s="136">
        <f t="shared" si="5"/>
        <v>648</v>
      </c>
      <c r="V13" s="141">
        <f t="shared" si="6"/>
        <v>27</v>
      </c>
      <c r="W13" s="138">
        <f t="shared" si="2"/>
        <v>84000</v>
      </c>
      <c r="X13" s="139"/>
      <c r="Y13" s="3"/>
      <c r="AD13" s="3"/>
      <c r="AG13" s="3"/>
      <c r="AH13" s="3"/>
      <c r="AI13" s="3"/>
      <c r="AJ13" s="3"/>
      <c r="AK13" s="3"/>
      <c r="AL13" s="157"/>
      <c r="AM13" s="157"/>
      <c r="AN13" s="157"/>
      <c r="AO13" s="157"/>
      <c r="AP13" s="157"/>
      <c r="AQ13" s="157"/>
      <c r="AR13" s="157"/>
      <c r="AS13" s="157"/>
      <c r="AT13" s="157"/>
      <c r="AU13" s="157"/>
      <c r="AV13" s="157"/>
      <c r="AW13" s="157"/>
      <c r="AX13" s="157"/>
      <c r="AY13" s="157"/>
      <c r="AZ13" s="157"/>
      <c r="BA13" s="157"/>
      <c r="BB13" s="157"/>
      <c r="BC13" s="157"/>
      <c r="BD13" s="157"/>
      <c r="BE13" s="157"/>
      <c r="BF13" s="157"/>
      <c r="BG13" s="157"/>
      <c r="BH13" s="157"/>
    </row>
    <row r="14" spans="1:60">
      <c r="A14" s="1">
        <f t="shared" si="3"/>
        <v>7</v>
      </c>
      <c r="B14" s="7" t="s">
        <v>26</v>
      </c>
      <c r="C14" s="10">
        <v>3</v>
      </c>
      <c r="D14" s="11">
        <v>16</v>
      </c>
      <c r="E14" s="36"/>
      <c r="F14" s="36"/>
      <c r="G14" s="37"/>
      <c r="H14" s="38"/>
      <c r="I14" s="68">
        <f t="shared" si="4"/>
        <v>3</v>
      </c>
      <c r="J14" s="66">
        <f t="shared" si="4"/>
        <v>16</v>
      </c>
      <c r="K14" s="62"/>
      <c r="L14" s="36"/>
      <c r="M14" s="36"/>
      <c r="N14" s="36"/>
      <c r="O14" s="36"/>
      <c r="P14" s="36"/>
      <c r="Q14" s="99"/>
      <c r="R14" s="108">
        <f t="shared" ref="R14:S59" si="7">L14+N14+P14</f>
        <v>0</v>
      </c>
      <c r="S14" s="106">
        <f t="shared" si="7"/>
        <v>0</v>
      </c>
      <c r="T14" s="62"/>
      <c r="U14" s="8">
        <f t="shared" si="5"/>
        <v>0</v>
      </c>
      <c r="V14" s="33">
        <f t="shared" si="6"/>
        <v>0</v>
      </c>
      <c r="W14" s="134">
        <f t="shared" ref="W14:W37" si="8">I14*24+J14</f>
        <v>88</v>
      </c>
      <c r="X14" s="61"/>
      <c r="AL14" s="157"/>
      <c r="AM14" s="157"/>
      <c r="AN14" s="157"/>
      <c r="AO14" s="157"/>
      <c r="AP14" s="157"/>
      <c r="AQ14" s="157"/>
      <c r="AR14" s="157"/>
      <c r="AS14" s="157"/>
      <c r="AT14" s="157"/>
      <c r="AU14" s="157"/>
      <c r="AV14" s="157"/>
      <c r="AW14" s="157"/>
      <c r="AX14" s="157"/>
      <c r="AY14" s="157"/>
      <c r="AZ14" s="157"/>
      <c r="BA14" s="157"/>
      <c r="BB14" s="157"/>
      <c r="BC14" s="157"/>
      <c r="BD14" s="157"/>
      <c r="BE14" s="157"/>
      <c r="BF14" s="157"/>
      <c r="BG14" s="157"/>
      <c r="BH14" s="157"/>
    </row>
    <row r="15" spans="1:60">
      <c r="A15" s="1">
        <f t="shared" si="3"/>
        <v>8</v>
      </c>
      <c r="B15" s="15" t="s">
        <v>27</v>
      </c>
      <c r="C15" s="10">
        <v>4</v>
      </c>
      <c r="D15" s="11"/>
      <c r="E15" s="36"/>
      <c r="F15" s="36"/>
      <c r="G15" s="37"/>
      <c r="H15" s="38"/>
      <c r="I15" s="38">
        <f t="shared" si="4"/>
        <v>4</v>
      </c>
      <c r="J15" s="63">
        <f t="shared" si="4"/>
        <v>0</v>
      </c>
      <c r="K15" s="62"/>
      <c r="L15" s="36"/>
      <c r="M15" s="36"/>
      <c r="N15" s="36"/>
      <c r="O15" s="36"/>
      <c r="P15" s="36"/>
      <c r="Q15" s="99"/>
      <c r="R15" s="100">
        <f t="shared" si="7"/>
        <v>0</v>
      </c>
      <c r="S15" s="101">
        <f t="shared" si="7"/>
        <v>0</v>
      </c>
      <c r="T15" s="62"/>
      <c r="U15" s="8">
        <f t="shared" si="5"/>
        <v>0</v>
      </c>
      <c r="V15" s="135">
        <f t="shared" si="6"/>
        <v>0</v>
      </c>
      <c r="W15" s="134">
        <f t="shared" si="8"/>
        <v>96</v>
      </c>
      <c r="X15" s="61"/>
      <c r="AL15" s="157"/>
      <c r="AM15" s="157"/>
      <c r="AN15" s="157"/>
      <c r="AO15" s="157"/>
      <c r="AP15" s="157"/>
      <c r="AQ15" s="157"/>
      <c r="AR15" s="157"/>
      <c r="AS15" s="157"/>
      <c r="AT15" s="157"/>
      <c r="AU15" s="157"/>
      <c r="AV15" s="157"/>
      <c r="AW15" s="157"/>
      <c r="AX15" s="157"/>
      <c r="AY15" s="157"/>
      <c r="AZ15" s="157"/>
      <c r="BA15" s="157"/>
      <c r="BB15" s="157"/>
      <c r="BC15" s="157"/>
      <c r="BD15" s="157"/>
      <c r="BE15" s="157"/>
      <c r="BF15" s="157"/>
      <c r="BG15" s="157"/>
      <c r="BH15" s="157"/>
    </row>
    <row r="16" spans="1:60">
      <c r="A16" s="1">
        <f t="shared" si="3"/>
        <v>9</v>
      </c>
      <c r="B16" s="15" t="s">
        <v>28</v>
      </c>
      <c r="C16" s="10">
        <v>1</v>
      </c>
      <c r="D16" s="11"/>
      <c r="E16" s="36"/>
      <c r="F16" s="36"/>
      <c r="G16" s="37"/>
      <c r="H16" s="38"/>
      <c r="I16" s="38">
        <f t="shared" si="4"/>
        <v>1</v>
      </c>
      <c r="J16" s="63">
        <f t="shared" si="4"/>
        <v>0</v>
      </c>
      <c r="K16" s="62"/>
      <c r="L16" s="36"/>
      <c r="M16" s="36"/>
      <c r="N16" s="36"/>
      <c r="O16" s="36"/>
      <c r="P16" s="36"/>
      <c r="Q16" s="99"/>
      <c r="R16" s="100">
        <f t="shared" si="7"/>
        <v>0</v>
      </c>
      <c r="S16" s="101">
        <f t="shared" si="7"/>
        <v>0</v>
      </c>
      <c r="T16" s="62"/>
      <c r="U16" s="8">
        <f t="shared" si="5"/>
        <v>0</v>
      </c>
      <c r="V16" s="135">
        <f t="shared" si="6"/>
        <v>0</v>
      </c>
      <c r="W16" s="134">
        <f t="shared" si="8"/>
        <v>24</v>
      </c>
      <c r="X16" s="61"/>
      <c r="AL16" s="157"/>
      <c r="AM16" s="157"/>
      <c r="AN16" s="157"/>
      <c r="AO16" s="157"/>
      <c r="AP16" s="157"/>
      <c r="AQ16" s="157"/>
      <c r="AR16" s="157"/>
      <c r="AS16" s="157"/>
      <c r="AT16" s="157"/>
      <c r="AU16" s="157"/>
      <c r="AV16" s="157"/>
      <c r="AW16" s="157"/>
      <c r="AX16" s="157"/>
      <c r="AY16" s="157"/>
      <c r="AZ16" s="157"/>
      <c r="BA16" s="157"/>
      <c r="BB16" s="157"/>
      <c r="BC16" s="157"/>
      <c r="BD16" s="157"/>
      <c r="BE16" s="157"/>
      <c r="BF16" s="157"/>
      <c r="BG16" s="157"/>
      <c r="BH16" s="157"/>
    </row>
    <row r="17" spans="1:60">
      <c r="A17" s="1">
        <f t="shared" si="3"/>
        <v>10</v>
      </c>
      <c r="B17" s="15" t="s">
        <v>29</v>
      </c>
      <c r="C17" s="10"/>
      <c r="D17" s="11"/>
      <c r="E17" s="36"/>
      <c r="F17" s="36"/>
      <c r="G17" s="37"/>
      <c r="H17" s="38"/>
      <c r="I17" s="38">
        <f t="shared" si="4"/>
        <v>0</v>
      </c>
      <c r="J17" s="63">
        <f t="shared" si="4"/>
        <v>0</v>
      </c>
      <c r="K17" s="62"/>
      <c r="L17" s="36"/>
      <c r="M17" s="36"/>
      <c r="N17" s="36"/>
      <c r="O17" s="36"/>
      <c r="P17" s="36"/>
      <c r="Q17" s="99"/>
      <c r="R17" s="100">
        <f t="shared" si="7"/>
        <v>0</v>
      </c>
      <c r="S17" s="101">
        <f t="shared" si="7"/>
        <v>0</v>
      </c>
      <c r="T17" s="62"/>
      <c r="U17" s="8">
        <f t="shared" si="5"/>
        <v>0</v>
      </c>
      <c r="V17" s="135">
        <f t="shared" si="6"/>
        <v>0</v>
      </c>
      <c r="W17" s="134">
        <f t="shared" si="8"/>
        <v>0</v>
      </c>
      <c r="X17" s="61"/>
      <c r="AL17" s="157"/>
      <c r="AM17" s="157"/>
      <c r="AN17" s="157"/>
      <c r="AO17" s="157"/>
      <c r="AP17" s="157"/>
      <c r="AQ17" s="157"/>
      <c r="AR17" s="157"/>
      <c r="AS17" s="157"/>
      <c r="AT17" s="157"/>
      <c r="AU17" s="157"/>
      <c r="AV17" s="157"/>
      <c r="AW17" s="157"/>
      <c r="AX17" s="157"/>
      <c r="AY17" s="157"/>
      <c r="AZ17" s="157"/>
      <c r="BA17" s="157"/>
      <c r="BB17" s="157"/>
      <c r="BC17" s="157"/>
      <c r="BD17" s="157"/>
      <c r="BE17" s="157"/>
      <c r="BF17" s="157"/>
      <c r="BG17" s="157"/>
      <c r="BH17" s="157"/>
    </row>
    <row r="18" spans="1:60">
      <c r="A18" s="1">
        <f t="shared" si="3"/>
        <v>11</v>
      </c>
      <c r="B18" s="15" t="s">
        <v>30</v>
      </c>
      <c r="C18" s="10">
        <v>3</v>
      </c>
      <c r="D18" s="11"/>
      <c r="E18" s="36"/>
      <c r="F18" s="36"/>
      <c r="G18" s="37"/>
      <c r="H18" s="38"/>
      <c r="I18" s="38">
        <f t="shared" si="4"/>
        <v>3</v>
      </c>
      <c r="J18" s="63">
        <f t="shared" si="4"/>
        <v>0</v>
      </c>
      <c r="K18" s="62"/>
      <c r="L18" s="36"/>
      <c r="M18" s="36"/>
      <c r="N18" s="36"/>
      <c r="O18" s="36"/>
      <c r="P18" s="36"/>
      <c r="Q18" s="99"/>
      <c r="R18" s="100">
        <f t="shared" si="7"/>
        <v>0</v>
      </c>
      <c r="S18" s="101">
        <f t="shared" si="7"/>
        <v>0</v>
      </c>
      <c r="T18" s="62"/>
      <c r="U18" s="8">
        <f t="shared" si="5"/>
        <v>0</v>
      </c>
      <c r="V18" s="135">
        <f t="shared" si="6"/>
        <v>0</v>
      </c>
      <c r="W18" s="134">
        <f t="shared" si="8"/>
        <v>72</v>
      </c>
      <c r="X18" s="61"/>
      <c r="AL18" s="157"/>
      <c r="AM18" s="157"/>
      <c r="AN18" s="157"/>
      <c r="AO18" s="157"/>
      <c r="AP18" s="157"/>
      <c r="AQ18" s="157"/>
      <c r="AR18" s="157"/>
      <c r="AS18" s="157"/>
      <c r="AT18" s="157"/>
      <c r="AU18" s="157"/>
      <c r="AV18" s="157"/>
      <c r="AW18" s="157"/>
      <c r="AX18" s="157"/>
      <c r="AY18" s="157"/>
      <c r="AZ18" s="157"/>
      <c r="BA18" s="157"/>
      <c r="BB18" s="157"/>
      <c r="BC18" s="157"/>
      <c r="BD18" s="157"/>
      <c r="BE18" s="157"/>
      <c r="BF18" s="157"/>
      <c r="BG18" s="157"/>
      <c r="BH18" s="157"/>
    </row>
    <row r="19" spans="1:60" ht="18.75" hidden="1" customHeight="1">
      <c r="A19" s="1">
        <f t="shared" si="3"/>
        <v>12</v>
      </c>
      <c r="B19" s="15" t="s">
        <v>31</v>
      </c>
      <c r="C19" s="10"/>
      <c r="D19" s="11"/>
      <c r="E19" s="36"/>
      <c r="F19" s="36"/>
      <c r="G19" s="37"/>
      <c r="H19" s="38"/>
      <c r="I19" s="38">
        <f t="shared" si="4"/>
        <v>0</v>
      </c>
      <c r="J19" s="63">
        <f t="shared" si="4"/>
        <v>0</v>
      </c>
      <c r="K19" s="62"/>
      <c r="L19" s="36"/>
      <c r="M19" s="36"/>
      <c r="N19" s="36"/>
      <c r="O19" s="36"/>
      <c r="P19" s="36"/>
      <c r="Q19" s="99"/>
      <c r="R19" s="100">
        <f t="shared" si="7"/>
        <v>0</v>
      </c>
      <c r="S19" s="101">
        <f t="shared" si="7"/>
        <v>0</v>
      </c>
      <c r="T19" s="62"/>
      <c r="U19" s="8">
        <f t="shared" si="5"/>
        <v>0</v>
      </c>
      <c r="V19" s="135">
        <f t="shared" si="6"/>
        <v>0</v>
      </c>
      <c r="W19" s="134">
        <f t="shared" si="8"/>
        <v>0</v>
      </c>
      <c r="X19" s="61"/>
      <c r="AL19" s="157"/>
      <c r="AM19" s="157"/>
      <c r="AN19" s="157"/>
      <c r="AO19" s="157"/>
      <c r="AP19" s="157"/>
      <c r="AQ19" s="157"/>
      <c r="AR19" s="157"/>
      <c r="AS19" s="157"/>
      <c r="AT19" s="157"/>
      <c r="AU19" s="157"/>
      <c r="AV19" s="157"/>
      <c r="AW19" s="157"/>
      <c r="AX19" s="157"/>
      <c r="AY19" s="157"/>
      <c r="AZ19" s="157"/>
      <c r="BA19" s="157"/>
      <c r="BB19" s="157"/>
      <c r="BC19" s="157"/>
      <c r="BD19" s="157"/>
      <c r="BE19" s="157"/>
      <c r="BF19" s="157"/>
      <c r="BG19" s="157"/>
      <c r="BH19" s="157"/>
    </row>
    <row r="20" spans="1:60">
      <c r="A20" s="1">
        <f t="shared" si="3"/>
        <v>13</v>
      </c>
      <c r="B20" s="15" t="s">
        <v>32</v>
      </c>
      <c r="C20" s="10">
        <v>4</v>
      </c>
      <c r="D20" s="11">
        <v>20</v>
      </c>
      <c r="E20" s="36"/>
      <c r="F20" s="36"/>
      <c r="G20" s="37"/>
      <c r="H20" s="38"/>
      <c r="I20" s="38">
        <f t="shared" si="4"/>
        <v>4</v>
      </c>
      <c r="J20" s="63">
        <f t="shared" si="4"/>
        <v>20</v>
      </c>
      <c r="K20" s="62"/>
      <c r="L20" s="36"/>
      <c r="M20" s="36"/>
      <c r="N20" s="36"/>
      <c r="O20" s="36"/>
      <c r="P20" s="36"/>
      <c r="Q20" s="99"/>
      <c r="R20" s="100">
        <f t="shared" si="7"/>
        <v>0</v>
      </c>
      <c r="S20" s="101">
        <f t="shared" si="7"/>
        <v>0</v>
      </c>
      <c r="T20" s="62"/>
      <c r="U20" s="8">
        <f t="shared" si="5"/>
        <v>0</v>
      </c>
      <c r="V20" s="135">
        <f t="shared" si="6"/>
        <v>0</v>
      </c>
      <c r="W20" s="134">
        <f t="shared" si="8"/>
        <v>116</v>
      </c>
      <c r="X20" s="61"/>
      <c r="AL20" s="157"/>
      <c r="AM20" s="157"/>
      <c r="AN20" s="157"/>
      <c r="AO20" s="157"/>
      <c r="AP20" s="157"/>
      <c r="AQ20" s="157"/>
      <c r="AR20" s="157"/>
      <c r="AS20" s="157"/>
      <c r="AT20" s="157"/>
      <c r="AU20" s="157"/>
      <c r="AV20" s="157"/>
      <c r="AW20" s="157"/>
      <c r="AX20" s="157"/>
      <c r="AY20" s="157"/>
      <c r="AZ20" s="157"/>
      <c r="BA20" s="157"/>
      <c r="BB20" s="157"/>
      <c r="BC20" s="157"/>
      <c r="BD20" s="157"/>
      <c r="BE20" s="157"/>
      <c r="BF20" s="157"/>
      <c r="BG20" s="157"/>
      <c r="BH20" s="157"/>
    </row>
    <row r="21" spans="1:60">
      <c r="A21" s="1">
        <f t="shared" si="3"/>
        <v>14</v>
      </c>
      <c r="B21" s="15" t="s">
        <v>33</v>
      </c>
      <c r="C21" s="10">
        <v>7</v>
      </c>
      <c r="D21" s="11">
        <v>16</v>
      </c>
      <c r="E21" s="36"/>
      <c r="F21" s="36"/>
      <c r="G21" s="37"/>
      <c r="H21" s="38"/>
      <c r="I21" s="38">
        <f t="shared" si="4"/>
        <v>7</v>
      </c>
      <c r="J21" s="63">
        <f t="shared" si="4"/>
        <v>16</v>
      </c>
      <c r="K21" s="62"/>
      <c r="L21" s="36"/>
      <c r="M21" s="36"/>
      <c r="N21" s="36"/>
      <c r="O21" s="36"/>
      <c r="P21" s="36"/>
      <c r="Q21" s="99"/>
      <c r="R21" s="100">
        <f t="shared" si="7"/>
        <v>0</v>
      </c>
      <c r="S21" s="101">
        <f t="shared" si="7"/>
        <v>0</v>
      </c>
      <c r="T21" s="62"/>
      <c r="U21" s="8">
        <f t="shared" si="5"/>
        <v>0</v>
      </c>
      <c r="V21" s="135">
        <f t="shared" si="6"/>
        <v>0</v>
      </c>
      <c r="W21" s="134">
        <f t="shared" si="8"/>
        <v>184</v>
      </c>
      <c r="X21" s="61"/>
      <c r="AL21" s="157"/>
      <c r="AM21" s="157"/>
      <c r="AN21" s="157"/>
      <c r="AO21" s="157"/>
      <c r="AP21" s="157"/>
      <c r="AQ21" s="157"/>
      <c r="AR21" s="157"/>
      <c r="AS21" s="157"/>
      <c r="AT21" s="157"/>
      <c r="AU21" s="157"/>
      <c r="AV21" s="157"/>
      <c r="AW21" s="157"/>
      <c r="AX21" s="157"/>
      <c r="AY21" s="157"/>
      <c r="AZ21" s="157"/>
      <c r="BA21" s="157"/>
      <c r="BB21" s="157"/>
      <c r="BC21" s="157"/>
      <c r="BD21" s="157"/>
      <c r="BE21" s="157"/>
      <c r="BF21" s="157"/>
      <c r="BG21" s="157"/>
      <c r="BH21" s="157"/>
    </row>
    <row r="22" spans="1:60">
      <c r="A22" s="1">
        <f t="shared" si="3"/>
        <v>15</v>
      </c>
      <c r="B22" s="15" t="s">
        <v>34</v>
      </c>
      <c r="C22" s="10">
        <v>4</v>
      </c>
      <c r="D22" s="11"/>
      <c r="E22" s="36"/>
      <c r="F22" s="36"/>
      <c r="G22" s="37"/>
      <c r="H22" s="38"/>
      <c r="I22" s="38">
        <f t="shared" si="4"/>
        <v>4</v>
      </c>
      <c r="J22" s="63">
        <f t="shared" si="4"/>
        <v>0</v>
      </c>
      <c r="K22" s="62"/>
      <c r="L22" s="36"/>
      <c r="M22" s="36"/>
      <c r="N22" s="36"/>
      <c r="O22" s="36"/>
      <c r="P22" s="36"/>
      <c r="Q22" s="99"/>
      <c r="R22" s="100">
        <f t="shared" si="7"/>
        <v>0</v>
      </c>
      <c r="S22" s="101">
        <f t="shared" si="7"/>
        <v>0</v>
      </c>
      <c r="T22" s="62"/>
      <c r="U22" s="8">
        <f t="shared" si="5"/>
        <v>0</v>
      </c>
      <c r="V22" s="135">
        <f t="shared" si="6"/>
        <v>0</v>
      </c>
      <c r="W22" s="134">
        <f t="shared" si="8"/>
        <v>96</v>
      </c>
      <c r="X22" s="61"/>
      <c r="AL22" s="157"/>
      <c r="AM22" s="157"/>
      <c r="AN22" s="157"/>
      <c r="AO22" s="157"/>
      <c r="AP22" s="157"/>
      <c r="AQ22" s="157"/>
      <c r="AR22" s="157"/>
      <c r="AS22" s="157"/>
      <c r="AT22" s="157"/>
      <c r="AU22" s="157"/>
      <c r="AV22" s="157"/>
      <c r="AW22" s="157"/>
      <c r="AX22" s="157"/>
      <c r="AY22" s="157"/>
      <c r="AZ22" s="157"/>
      <c r="BA22" s="157"/>
      <c r="BB22" s="157"/>
      <c r="BC22" s="157"/>
      <c r="BD22" s="157"/>
      <c r="BE22" s="157"/>
      <c r="BF22" s="157"/>
      <c r="BG22" s="157"/>
      <c r="BH22" s="157"/>
    </row>
    <row r="23" spans="1:60" s="2" customFormat="1">
      <c r="A23" s="1">
        <f t="shared" si="3"/>
        <v>16</v>
      </c>
      <c r="B23" s="15" t="s">
        <v>35</v>
      </c>
      <c r="C23" s="10">
        <v>1</v>
      </c>
      <c r="D23" s="11">
        <v>20</v>
      </c>
      <c r="E23" s="36"/>
      <c r="F23" s="36"/>
      <c r="G23" s="37"/>
      <c r="H23" s="38"/>
      <c r="I23" s="38">
        <f t="shared" si="4"/>
        <v>1</v>
      </c>
      <c r="J23" s="63">
        <f t="shared" si="4"/>
        <v>20</v>
      </c>
      <c r="K23" s="69"/>
      <c r="L23" s="36"/>
      <c r="M23" s="36"/>
      <c r="N23" s="36"/>
      <c r="O23" s="36"/>
      <c r="P23" s="36"/>
      <c r="Q23" s="99"/>
      <c r="R23" s="100">
        <f t="shared" si="7"/>
        <v>0</v>
      </c>
      <c r="S23" s="101">
        <f t="shared" si="7"/>
        <v>0</v>
      </c>
      <c r="T23" s="69"/>
      <c r="U23" s="8">
        <f t="shared" si="5"/>
        <v>0</v>
      </c>
      <c r="V23" s="135">
        <f t="shared" si="6"/>
        <v>0</v>
      </c>
      <c r="W23" s="134">
        <f t="shared" si="8"/>
        <v>44</v>
      </c>
      <c r="X23" s="61"/>
      <c r="Y23" s="3"/>
      <c r="AD23" s="3"/>
      <c r="AG23" s="3"/>
      <c r="AH23" s="3"/>
      <c r="AI23" s="3"/>
      <c r="AJ23" s="3"/>
      <c r="AK23" s="3"/>
      <c r="AL23" s="157"/>
      <c r="AM23" s="157"/>
      <c r="AN23" s="157"/>
      <c r="AO23" s="157"/>
      <c r="AP23" s="157"/>
      <c r="AQ23" s="157"/>
      <c r="AR23" s="157"/>
      <c r="AS23" s="157"/>
      <c r="AT23" s="157"/>
      <c r="AU23" s="157"/>
      <c r="AV23" s="157"/>
      <c r="AW23" s="157"/>
      <c r="AX23" s="157"/>
      <c r="AY23" s="157"/>
      <c r="AZ23" s="157"/>
      <c r="BA23" s="157"/>
      <c r="BB23" s="157"/>
      <c r="BC23" s="157"/>
      <c r="BD23" s="157"/>
      <c r="BE23" s="157"/>
      <c r="BF23" s="157"/>
      <c r="BG23" s="157"/>
      <c r="BH23" s="157"/>
    </row>
    <row r="24" spans="1:60" s="2" customFormat="1">
      <c r="A24" s="1">
        <f t="shared" si="3"/>
        <v>17</v>
      </c>
      <c r="B24" s="15" t="s">
        <v>36</v>
      </c>
      <c r="C24" s="10">
        <v>37</v>
      </c>
      <c r="D24" s="11">
        <v>19</v>
      </c>
      <c r="E24" s="36"/>
      <c r="F24" s="36"/>
      <c r="G24" s="37"/>
      <c r="H24" s="38"/>
      <c r="I24" s="38">
        <f t="shared" si="4"/>
        <v>37</v>
      </c>
      <c r="J24" s="63">
        <f t="shared" si="4"/>
        <v>19</v>
      </c>
      <c r="K24" s="69"/>
      <c r="L24" s="36"/>
      <c r="M24" s="36"/>
      <c r="N24" s="36"/>
      <c r="O24" s="36"/>
      <c r="P24" s="36"/>
      <c r="Q24" s="99"/>
      <c r="R24" s="100">
        <f t="shared" si="7"/>
        <v>0</v>
      </c>
      <c r="S24" s="101">
        <f t="shared" si="7"/>
        <v>0</v>
      </c>
      <c r="T24" s="69"/>
      <c r="U24" s="8">
        <f t="shared" si="5"/>
        <v>0</v>
      </c>
      <c r="V24" s="135">
        <f t="shared" si="6"/>
        <v>0</v>
      </c>
      <c r="W24" s="134">
        <f t="shared" si="8"/>
        <v>907</v>
      </c>
      <c r="X24" s="61"/>
      <c r="Y24" s="3"/>
      <c r="AD24" s="3"/>
      <c r="AG24" s="3"/>
      <c r="AH24" s="3"/>
      <c r="AI24" s="3"/>
      <c r="AJ24" s="3"/>
      <c r="AK24" s="3"/>
      <c r="AL24" s="157"/>
      <c r="AM24" s="157"/>
      <c r="AN24" s="157"/>
      <c r="AO24" s="157"/>
      <c r="AP24" s="157"/>
      <c r="AQ24" s="157"/>
      <c r="AR24" s="157"/>
      <c r="AS24" s="157"/>
      <c r="AT24" s="157"/>
      <c r="AU24" s="157"/>
      <c r="AV24" s="157"/>
      <c r="AW24" s="157"/>
      <c r="AX24" s="157"/>
      <c r="AY24" s="157"/>
      <c r="AZ24" s="157"/>
      <c r="BA24" s="157"/>
      <c r="BB24" s="157"/>
      <c r="BC24" s="157"/>
      <c r="BD24" s="157"/>
      <c r="BE24" s="157"/>
      <c r="BF24" s="157"/>
      <c r="BG24" s="157"/>
      <c r="BH24" s="157"/>
    </row>
    <row r="25" spans="1:60">
      <c r="A25" s="1">
        <f t="shared" si="3"/>
        <v>18</v>
      </c>
      <c r="B25" s="15" t="s">
        <v>37</v>
      </c>
      <c r="C25" s="10">
        <v>10</v>
      </c>
      <c r="D25" s="11"/>
      <c r="E25" s="36"/>
      <c r="F25" s="36"/>
      <c r="G25" s="37"/>
      <c r="H25" s="38"/>
      <c r="I25" s="38">
        <f t="shared" si="4"/>
        <v>10</v>
      </c>
      <c r="J25" s="63">
        <f t="shared" si="4"/>
        <v>0</v>
      </c>
      <c r="K25" s="62"/>
      <c r="L25" s="36"/>
      <c r="M25" s="36"/>
      <c r="N25" s="36"/>
      <c r="O25" s="36"/>
      <c r="P25" s="36"/>
      <c r="Q25" s="99"/>
      <c r="R25" s="100">
        <f t="shared" si="7"/>
        <v>0</v>
      </c>
      <c r="S25" s="101">
        <f t="shared" si="7"/>
        <v>0</v>
      </c>
      <c r="T25" s="62"/>
      <c r="U25" s="8">
        <f t="shared" si="5"/>
        <v>0</v>
      </c>
      <c r="V25" s="135">
        <f t="shared" si="6"/>
        <v>0</v>
      </c>
      <c r="W25" s="134">
        <f t="shared" si="8"/>
        <v>240</v>
      </c>
      <c r="X25" s="61"/>
      <c r="AL25" s="157"/>
      <c r="AM25" s="157"/>
      <c r="AN25" s="157"/>
      <c r="AO25" s="157"/>
      <c r="AP25" s="157"/>
      <c r="AQ25" s="157"/>
      <c r="AR25" s="157"/>
      <c r="AS25" s="157"/>
      <c r="AT25" s="157"/>
      <c r="AU25" s="157"/>
      <c r="AV25" s="157"/>
      <c r="AW25" s="157"/>
      <c r="AX25" s="157"/>
      <c r="AY25" s="157"/>
      <c r="AZ25" s="157"/>
      <c r="BA25" s="157"/>
      <c r="BB25" s="157"/>
      <c r="BC25" s="157"/>
      <c r="BD25" s="157"/>
      <c r="BE25" s="157"/>
      <c r="BF25" s="157"/>
      <c r="BG25" s="157"/>
      <c r="BH25" s="157"/>
    </row>
    <row r="26" spans="1:60">
      <c r="A26" s="1">
        <f t="shared" si="3"/>
        <v>19</v>
      </c>
      <c r="B26" s="15" t="s">
        <v>38</v>
      </c>
      <c r="C26" s="10"/>
      <c r="D26" s="11">
        <v>1</v>
      </c>
      <c r="E26" s="36"/>
      <c r="F26" s="36"/>
      <c r="G26" s="37"/>
      <c r="H26" s="38"/>
      <c r="I26" s="38">
        <f t="shared" si="4"/>
        <v>0</v>
      </c>
      <c r="J26" s="63">
        <f t="shared" si="4"/>
        <v>1</v>
      </c>
      <c r="K26" s="62"/>
      <c r="L26" s="36"/>
      <c r="M26" s="36"/>
      <c r="N26" s="36"/>
      <c r="O26" s="36"/>
      <c r="P26" s="36"/>
      <c r="Q26" s="99"/>
      <c r="R26" s="100">
        <f t="shared" si="7"/>
        <v>0</v>
      </c>
      <c r="S26" s="101">
        <f t="shared" si="7"/>
        <v>0</v>
      </c>
      <c r="T26" s="62"/>
      <c r="U26" s="8">
        <f t="shared" si="5"/>
        <v>0</v>
      </c>
      <c r="V26" s="135">
        <f t="shared" si="6"/>
        <v>0</v>
      </c>
      <c r="W26" s="134">
        <f t="shared" si="8"/>
        <v>1</v>
      </c>
      <c r="X26" s="61"/>
      <c r="BE26" s="158" t="e">
        <f>#REF!-BE25</f>
        <v>#REF!</v>
      </c>
    </row>
    <row r="27" spans="1:60" s="2" customFormat="1">
      <c r="A27" s="1">
        <f t="shared" si="3"/>
        <v>20</v>
      </c>
      <c r="B27" s="15" t="s">
        <v>39</v>
      </c>
      <c r="C27" s="10"/>
      <c r="D27" s="11"/>
      <c r="E27" s="36"/>
      <c r="F27" s="36"/>
      <c r="G27" s="37"/>
      <c r="H27" s="38"/>
      <c r="I27" s="38">
        <f t="shared" si="4"/>
        <v>0</v>
      </c>
      <c r="J27" s="63">
        <f t="shared" si="4"/>
        <v>0</v>
      </c>
      <c r="K27" s="69"/>
      <c r="L27" s="36"/>
      <c r="M27" s="36"/>
      <c r="N27" s="36"/>
      <c r="O27" s="36"/>
      <c r="P27" s="36"/>
      <c r="Q27" s="99"/>
      <c r="R27" s="100">
        <f t="shared" si="7"/>
        <v>0</v>
      </c>
      <c r="S27" s="101">
        <f t="shared" si="7"/>
        <v>0</v>
      </c>
      <c r="T27" s="69"/>
      <c r="U27" s="8">
        <f t="shared" si="5"/>
        <v>0</v>
      </c>
      <c r="V27" s="135">
        <f t="shared" si="6"/>
        <v>0</v>
      </c>
      <c r="W27" s="134">
        <f t="shared" si="8"/>
        <v>0</v>
      </c>
      <c r="X27" s="61"/>
      <c r="Y27" s="3"/>
      <c r="AD27" s="3"/>
      <c r="AG27" s="3"/>
      <c r="AH27" s="3"/>
      <c r="AI27" s="3"/>
      <c r="AJ27" s="3"/>
      <c r="AK27" s="3"/>
    </row>
    <row r="28" spans="1:60" s="2" customFormat="1">
      <c r="A28" s="1">
        <f t="shared" si="3"/>
        <v>21</v>
      </c>
      <c r="B28" s="15" t="s">
        <v>40</v>
      </c>
      <c r="C28" s="10"/>
      <c r="D28" s="11"/>
      <c r="E28" s="36"/>
      <c r="F28" s="36"/>
      <c r="G28" s="37"/>
      <c r="H28" s="38"/>
      <c r="I28" s="38">
        <f t="shared" si="4"/>
        <v>0</v>
      </c>
      <c r="J28" s="63">
        <f t="shared" si="4"/>
        <v>0</v>
      </c>
      <c r="K28" s="69"/>
      <c r="L28" s="36"/>
      <c r="M28" s="36"/>
      <c r="N28" s="36"/>
      <c r="O28" s="36"/>
      <c r="P28" s="36"/>
      <c r="Q28" s="99"/>
      <c r="R28" s="100">
        <f t="shared" si="7"/>
        <v>0</v>
      </c>
      <c r="S28" s="101">
        <f t="shared" si="7"/>
        <v>0</v>
      </c>
      <c r="T28" s="69"/>
      <c r="U28" s="8">
        <f t="shared" si="5"/>
        <v>0</v>
      </c>
      <c r="V28" s="135">
        <f t="shared" si="6"/>
        <v>0</v>
      </c>
      <c r="W28" s="134">
        <f t="shared" si="8"/>
        <v>0</v>
      </c>
      <c r="X28" s="61"/>
      <c r="Y28" s="3"/>
      <c r="AD28" s="3"/>
      <c r="AG28" s="3"/>
      <c r="AH28" s="3"/>
      <c r="AI28" s="3"/>
      <c r="AJ28" s="3"/>
      <c r="AK28" s="3"/>
    </row>
    <row r="29" spans="1:60" s="2" customFormat="1">
      <c r="A29" s="1">
        <f t="shared" si="3"/>
        <v>22</v>
      </c>
      <c r="B29" s="15" t="s">
        <v>41</v>
      </c>
      <c r="C29" s="10"/>
      <c r="D29" s="11"/>
      <c r="E29" s="36"/>
      <c r="F29" s="36"/>
      <c r="G29" s="37"/>
      <c r="H29" s="38"/>
      <c r="I29" s="38">
        <f t="shared" si="4"/>
        <v>0</v>
      </c>
      <c r="J29" s="63">
        <f t="shared" si="4"/>
        <v>0</v>
      </c>
      <c r="K29" s="69"/>
      <c r="L29" s="36"/>
      <c r="M29" s="36"/>
      <c r="N29" s="36"/>
      <c r="O29" s="36"/>
      <c r="P29" s="36"/>
      <c r="Q29" s="99"/>
      <c r="R29" s="100">
        <f t="shared" si="7"/>
        <v>0</v>
      </c>
      <c r="S29" s="101">
        <f t="shared" si="7"/>
        <v>0</v>
      </c>
      <c r="T29" s="69"/>
      <c r="U29" s="8">
        <f t="shared" si="5"/>
        <v>0</v>
      </c>
      <c r="V29" s="135">
        <f t="shared" si="6"/>
        <v>0</v>
      </c>
      <c r="W29" s="134">
        <f t="shared" si="8"/>
        <v>0</v>
      </c>
      <c r="X29" s="61"/>
      <c r="Y29" s="3"/>
      <c r="AD29" s="3"/>
      <c r="AG29" s="3"/>
      <c r="AH29" s="3"/>
      <c r="AI29" s="3"/>
      <c r="AJ29" s="3"/>
      <c r="AK29" s="3"/>
    </row>
    <row r="30" spans="1:60">
      <c r="A30" s="1">
        <f t="shared" si="3"/>
        <v>23</v>
      </c>
      <c r="B30" s="15" t="s">
        <v>42</v>
      </c>
      <c r="C30" s="10">
        <v>13</v>
      </c>
      <c r="D30" s="11"/>
      <c r="E30" s="36"/>
      <c r="F30" s="36"/>
      <c r="G30" s="37">
        <v>5</v>
      </c>
      <c r="H30" s="38"/>
      <c r="I30" s="38">
        <f t="shared" si="4"/>
        <v>8</v>
      </c>
      <c r="J30" s="63">
        <f t="shared" si="4"/>
        <v>0</v>
      </c>
      <c r="K30" s="62"/>
      <c r="L30" s="36">
        <v>3</v>
      </c>
      <c r="M30" s="36"/>
      <c r="N30" s="36"/>
      <c r="O30" s="36"/>
      <c r="P30" s="36">
        <v>2</v>
      </c>
      <c r="Q30" s="99"/>
      <c r="R30" s="100">
        <f t="shared" si="7"/>
        <v>5</v>
      </c>
      <c r="S30" s="101">
        <f t="shared" si="7"/>
        <v>0</v>
      </c>
      <c r="T30" s="62"/>
      <c r="U30" s="8">
        <f t="shared" si="5"/>
        <v>120</v>
      </c>
      <c r="V30" s="135">
        <f t="shared" si="6"/>
        <v>5</v>
      </c>
      <c r="W30" s="134">
        <f t="shared" si="8"/>
        <v>192</v>
      </c>
      <c r="X30" s="61"/>
    </row>
    <row r="31" spans="1:60">
      <c r="A31" s="1">
        <f t="shared" si="3"/>
        <v>24</v>
      </c>
      <c r="B31" s="15" t="s">
        <v>43</v>
      </c>
      <c r="C31" s="10">
        <v>13</v>
      </c>
      <c r="D31" s="11"/>
      <c r="E31" s="36"/>
      <c r="F31" s="36"/>
      <c r="G31" s="37">
        <v>1</v>
      </c>
      <c r="H31" s="38"/>
      <c r="I31" s="38">
        <f t="shared" si="4"/>
        <v>12</v>
      </c>
      <c r="J31" s="63">
        <f t="shared" si="4"/>
        <v>0</v>
      </c>
      <c r="K31" s="62"/>
      <c r="L31" s="36">
        <v>1</v>
      </c>
      <c r="M31" s="36"/>
      <c r="N31" s="36"/>
      <c r="O31" s="36"/>
      <c r="P31" s="36"/>
      <c r="Q31" s="99"/>
      <c r="R31" s="100">
        <f t="shared" si="7"/>
        <v>1</v>
      </c>
      <c r="S31" s="101">
        <f t="shared" si="7"/>
        <v>0</v>
      </c>
      <c r="T31" s="62"/>
      <c r="U31" s="8">
        <f t="shared" si="5"/>
        <v>24</v>
      </c>
      <c r="V31" s="135">
        <f t="shared" si="6"/>
        <v>1</v>
      </c>
      <c r="W31" s="134">
        <f t="shared" si="8"/>
        <v>288</v>
      </c>
      <c r="X31" s="61"/>
    </row>
    <row r="32" spans="1:60">
      <c r="A32" s="1">
        <f t="shared" si="3"/>
        <v>25</v>
      </c>
      <c r="B32" s="15" t="s">
        <v>44</v>
      </c>
      <c r="C32" s="10">
        <v>2</v>
      </c>
      <c r="D32" s="11"/>
      <c r="E32" s="36"/>
      <c r="F32" s="36"/>
      <c r="G32" s="37">
        <v>1</v>
      </c>
      <c r="H32" s="38"/>
      <c r="I32" s="38">
        <f t="shared" si="4"/>
        <v>1</v>
      </c>
      <c r="J32" s="63">
        <f t="shared" si="4"/>
        <v>0</v>
      </c>
      <c r="K32" s="62"/>
      <c r="L32" s="36"/>
      <c r="M32" s="36"/>
      <c r="N32" s="36"/>
      <c r="O32" s="36"/>
      <c r="P32" s="36">
        <v>1</v>
      </c>
      <c r="Q32" s="99"/>
      <c r="R32" s="100">
        <f t="shared" si="7"/>
        <v>1</v>
      </c>
      <c r="S32" s="101">
        <f t="shared" si="7"/>
        <v>0</v>
      </c>
      <c r="T32" s="62"/>
      <c r="U32" s="8">
        <f t="shared" si="5"/>
        <v>24</v>
      </c>
      <c r="V32" s="135">
        <f t="shared" si="6"/>
        <v>1</v>
      </c>
      <c r="W32" s="134">
        <f t="shared" si="8"/>
        <v>24</v>
      </c>
      <c r="X32" s="61"/>
    </row>
    <row r="33" spans="1:26">
      <c r="A33" s="1">
        <f t="shared" si="3"/>
        <v>26</v>
      </c>
      <c r="B33" s="15" t="s">
        <v>45</v>
      </c>
      <c r="C33" s="10">
        <v>5</v>
      </c>
      <c r="D33" s="11"/>
      <c r="E33" s="36"/>
      <c r="F33" s="36"/>
      <c r="G33" s="37">
        <v>1</v>
      </c>
      <c r="H33" s="38"/>
      <c r="I33" s="38">
        <f t="shared" si="4"/>
        <v>4</v>
      </c>
      <c r="J33" s="63">
        <f t="shared" si="4"/>
        <v>0</v>
      </c>
      <c r="K33" s="62"/>
      <c r="L33" s="36"/>
      <c r="M33" s="36"/>
      <c r="N33" s="36"/>
      <c r="O33" s="36"/>
      <c r="P33" s="36">
        <v>1</v>
      </c>
      <c r="Q33" s="99"/>
      <c r="R33" s="100">
        <f t="shared" si="7"/>
        <v>1</v>
      </c>
      <c r="S33" s="101">
        <f t="shared" si="7"/>
        <v>0</v>
      </c>
      <c r="T33" s="62"/>
      <c r="U33" s="8">
        <f t="shared" si="5"/>
        <v>24</v>
      </c>
      <c r="V33" s="135">
        <f t="shared" si="6"/>
        <v>1</v>
      </c>
      <c r="W33" s="134">
        <f t="shared" si="8"/>
        <v>96</v>
      </c>
      <c r="X33" s="61"/>
    </row>
    <row r="34" spans="1:26">
      <c r="A34" s="1">
        <f t="shared" si="3"/>
        <v>27</v>
      </c>
      <c r="B34" s="15" t="s">
        <v>46</v>
      </c>
      <c r="C34" s="10">
        <v>5</v>
      </c>
      <c r="D34" s="11"/>
      <c r="E34" s="36"/>
      <c r="F34" s="36"/>
      <c r="G34" s="37"/>
      <c r="H34" s="38"/>
      <c r="I34" s="38">
        <f t="shared" si="4"/>
        <v>5</v>
      </c>
      <c r="J34" s="63">
        <f t="shared" si="4"/>
        <v>0</v>
      </c>
      <c r="K34" s="62"/>
      <c r="L34" s="36"/>
      <c r="M34" s="36"/>
      <c r="N34" s="36"/>
      <c r="O34" s="36"/>
      <c r="P34" s="36"/>
      <c r="Q34" s="99"/>
      <c r="R34" s="100">
        <f t="shared" si="7"/>
        <v>0</v>
      </c>
      <c r="S34" s="101">
        <f t="shared" si="7"/>
        <v>0</v>
      </c>
      <c r="T34" s="62"/>
      <c r="U34" s="8">
        <f t="shared" si="5"/>
        <v>0</v>
      </c>
      <c r="V34" s="135">
        <f t="shared" si="6"/>
        <v>0</v>
      </c>
      <c r="W34" s="134">
        <f t="shared" si="8"/>
        <v>120</v>
      </c>
      <c r="X34" s="61"/>
    </row>
    <row r="35" spans="1:26">
      <c r="A35" s="1">
        <f t="shared" si="3"/>
        <v>28</v>
      </c>
      <c r="B35" s="15" t="s">
        <v>47</v>
      </c>
      <c r="C35" s="10">
        <v>104</v>
      </c>
      <c r="D35" s="11">
        <v>1</v>
      </c>
      <c r="E35" s="36"/>
      <c r="F35" s="36"/>
      <c r="G35" s="37">
        <v>10</v>
      </c>
      <c r="H35" s="38"/>
      <c r="I35" s="38">
        <f t="shared" si="4"/>
        <v>94</v>
      </c>
      <c r="J35" s="63">
        <f t="shared" si="4"/>
        <v>1</v>
      </c>
      <c r="K35" s="62"/>
      <c r="L35" s="36">
        <v>4</v>
      </c>
      <c r="M35" s="36"/>
      <c r="N35" s="36"/>
      <c r="O35" s="36"/>
      <c r="P35" s="36">
        <v>6</v>
      </c>
      <c r="Q35" s="99"/>
      <c r="R35" s="100">
        <f t="shared" si="7"/>
        <v>10</v>
      </c>
      <c r="S35" s="101">
        <f t="shared" si="7"/>
        <v>0</v>
      </c>
      <c r="T35" s="62"/>
      <c r="U35" s="8">
        <f t="shared" si="5"/>
        <v>240</v>
      </c>
      <c r="V35" s="135">
        <f t="shared" si="6"/>
        <v>10</v>
      </c>
      <c r="W35" s="134">
        <f t="shared" si="8"/>
        <v>2257</v>
      </c>
      <c r="X35" s="61"/>
    </row>
    <row r="36" spans="1:26" ht="18.75" hidden="1" customHeight="1">
      <c r="A36" s="1">
        <f t="shared" si="3"/>
        <v>29</v>
      </c>
      <c r="B36" s="15" t="s">
        <v>48</v>
      </c>
      <c r="C36" s="10">
        <v>1</v>
      </c>
      <c r="D36" s="11"/>
      <c r="E36" s="36"/>
      <c r="F36" s="36"/>
      <c r="G36" s="37"/>
      <c r="H36" s="38"/>
      <c r="I36" s="38">
        <f t="shared" si="4"/>
        <v>1</v>
      </c>
      <c r="J36" s="63">
        <f t="shared" si="4"/>
        <v>0</v>
      </c>
      <c r="K36" s="62"/>
      <c r="L36" s="36"/>
      <c r="M36" s="36"/>
      <c r="N36" s="36"/>
      <c r="O36" s="36"/>
      <c r="P36" s="36"/>
      <c r="Q36" s="99"/>
      <c r="R36" s="100">
        <f t="shared" si="7"/>
        <v>0</v>
      </c>
      <c r="S36" s="101">
        <f t="shared" si="7"/>
        <v>0</v>
      </c>
      <c r="T36" s="62"/>
      <c r="U36" s="8">
        <f t="shared" si="5"/>
        <v>0</v>
      </c>
      <c r="V36" s="135">
        <f t="shared" si="6"/>
        <v>0</v>
      </c>
      <c r="W36" s="134">
        <f t="shared" si="8"/>
        <v>24</v>
      </c>
      <c r="X36" s="61"/>
    </row>
    <row r="37" spans="1:26" ht="18.75" customHeight="1">
      <c r="A37" s="1">
        <f t="shared" si="3"/>
        <v>30</v>
      </c>
      <c r="B37" s="15" t="s">
        <v>49</v>
      </c>
      <c r="C37" s="10">
        <v>1</v>
      </c>
      <c r="D37" s="11"/>
      <c r="E37" s="36"/>
      <c r="F37" s="36"/>
      <c r="G37" s="37"/>
      <c r="H37" s="38"/>
      <c r="I37" s="38">
        <f t="shared" si="4"/>
        <v>1</v>
      </c>
      <c r="J37" s="63">
        <f t="shared" si="4"/>
        <v>0</v>
      </c>
      <c r="K37" s="62"/>
      <c r="L37" s="36"/>
      <c r="M37" s="36"/>
      <c r="N37" s="36"/>
      <c r="O37" s="36"/>
      <c r="P37" s="36"/>
      <c r="Q37" s="99"/>
      <c r="R37" s="100">
        <f t="shared" si="7"/>
        <v>0</v>
      </c>
      <c r="S37" s="101">
        <f t="shared" si="7"/>
        <v>0</v>
      </c>
      <c r="T37" s="62"/>
      <c r="U37" s="8">
        <f t="shared" si="5"/>
        <v>0</v>
      </c>
      <c r="V37" s="135">
        <f t="shared" si="6"/>
        <v>0</v>
      </c>
      <c r="W37" s="134">
        <f t="shared" si="8"/>
        <v>24</v>
      </c>
      <c r="X37" s="61"/>
    </row>
    <row r="38" spans="1:26">
      <c r="A38" s="1">
        <f t="shared" si="3"/>
        <v>31</v>
      </c>
      <c r="B38" s="16" t="s">
        <v>50</v>
      </c>
      <c r="C38" s="13">
        <v>6497</v>
      </c>
      <c r="D38" s="14">
        <v>2</v>
      </c>
      <c r="E38" s="39"/>
      <c r="F38" s="39"/>
      <c r="G38" s="40">
        <v>134</v>
      </c>
      <c r="H38" s="41"/>
      <c r="I38" s="53">
        <f t="shared" si="4"/>
        <v>6363</v>
      </c>
      <c r="J38" s="70">
        <f t="shared" si="4"/>
        <v>2</v>
      </c>
      <c r="K38" s="65"/>
      <c r="L38" s="51">
        <v>22</v>
      </c>
      <c r="M38" s="51"/>
      <c r="N38" s="51">
        <v>54</v>
      </c>
      <c r="O38" s="51"/>
      <c r="P38" s="51">
        <v>58</v>
      </c>
      <c r="Q38" s="102"/>
      <c r="R38" s="107">
        <f t="shared" si="7"/>
        <v>134</v>
      </c>
      <c r="S38" s="104">
        <f t="shared" si="7"/>
        <v>0</v>
      </c>
      <c r="T38" s="65"/>
      <c r="U38" s="136">
        <f>L38*6+N38*6+P38*6</f>
        <v>804</v>
      </c>
      <c r="V38" s="141">
        <f>U38/6</f>
        <v>134</v>
      </c>
      <c r="W38" s="138">
        <f>I38*6+J38</f>
        <v>38180</v>
      </c>
      <c r="X38" s="139"/>
    </row>
    <row r="39" spans="1:26">
      <c r="A39" s="1">
        <f t="shared" si="3"/>
        <v>32</v>
      </c>
      <c r="B39" s="7" t="s">
        <v>51</v>
      </c>
      <c r="C39" s="10">
        <v>2</v>
      </c>
      <c r="D39" s="11"/>
      <c r="E39" s="36"/>
      <c r="F39" s="36"/>
      <c r="G39" s="37">
        <v>1</v>
      </c>
      <c r="H39" s="38"/>
      <c r="I39" s="37">
        <f t="shared" si="4"/>
        <v>1</v>
      </c>
      <c r="J39" s="63">
        <f t="shared" si="4"/>
        <v>0</v>
      </c>
      <c r="K39" s="62"/>
      <c r="L39" s="36"/>
      <c r="M39" s="36"/>
      <c r="N39" s="36"/>
      <c r="O39" s="36"/>
      <c r="P39" s="36">
        <v>1</v>
      </c>
      <c r="Q39" s="99"/>
      <c r="R39" s="108">
        <f t="shared" si="7"/>
        <v>1</v>
      </c>
      <c r="S39" s="106">
        <f t="shared" si="7"/>
        <v>0</v>
      </c>
      <c r="T39" s="62"/>
      <c r="U39" s="8">
        <f t="shared" ref="U39:U41" si="9">L39*24+N39*24+P39*24</f>
        <v>24</v>
      </c>
      <c r="V39" s="33">
        <f t="shared" si="6"/>
        <v>1</v>
      </c>
      <c r="W39" s="134">
        <f t="shared" ref="W39:W41" si="10">I39*24+J39</f>
        <v>24</v>
      </c>
      <c r="X39" s="61"/>
    </row>
    <row r="40" spans="1:26">
      <c r="A40" s="1">
        <f t="shared" si="3"/>
        <v>33</v>
      </c>
      <c r="B40" s="17" t="s">
        <v>52</v>
      </c>
      <c r="C40" s="18">
        <v>1</v>
      </c>
      <c r="D40" s="19"/>
      <c r="E40" s="42"/>
      <c r="F40" s="42"/>
      <c r="G40" s="43"/>
      <c r="H40" s="44"/>
      <c r="I40" s="38">
        <f t="shared" si="4"/>
        <v>1</v>
      </c>
      <c r="J40" s="63">
        <f t="shared" si="4"/>
        <v>0</v>
      </c>
      <c r="K40" s="62"/>
      <c r="L40" s="36"/>
      <c r="M40" s="36"/>
      <c r="N40" s="36"/>
      <c r="O40" s="36"/>
      <c r="P40" s="36"/>
      <c r="Q40" s="99"/>
      <c r="R40" s="100">
        <f t="shared" si="7"/>
        <v>0</v>
      </c>
      <c r="S40" s="101">
        <f t="shared" si="7"/>
        <v>0</v>
      </c>
      <c r="T40" s="62"/>
      <c r="U40" s="142">
        <f t="shared" si="9"/>
        <v>0</v>
      </c>
      <c r="V40" s="135">
        <f t="shared" si="6"/>
        <v>0</v>
      </c>
      <c r="W40" s="143">
        <f t="shared" si="10"/>
        <v>24</v>
      </c>
      <c r="X40" s="144"/>
    </row>
    <row r="41" spans="1:26">
      <c r="A41" s="1">
        <f t="shared" si="3"/>
        <v>34</v>
      </c>
      <c r="B41" s="20" t="s">
        <v>53</v>
      </c>
      <c r="C41" s="21">
        <v>169</v>
      </c>
      <c r="D41" s="22">
        <v>20</v>
      </c>
      <c r="E41" s="45"/>
      <c r="F41" s="45"/>
      <c r="G41" s="46">
        <v>67</v>
      </c>
      <c r="H41" s="47"/>
      <c r="I41" s="71">
        <f t="shared" si="4"/>
        <v>102</v>
      </c>
      <c r="J41" s="72">
        <f t="shared" si="4"/>
        <v>20</v>
      </c>
      <c r="K41" s="73"/>
      <c r="L41" s="74">
        <v>67</v>
      </c>
      <c r="M41" s="74"/>
      <c r="N41" s="74"/>
      <c r="O41" s="74"/>
      <c r="P41" s="74"/>
      <c r="Q41" s="109"/>
      <c r="R41" s="110">
        <f t="shared" si="7"/>
        <v>67</v>
      </c>
      <c r="S41" s="111">
        <f t="shared" si="7"/>
        <v>0</v>
      </c>
      <c r="T41" s="73"/>
      <c r="U41" s="145">
        <f t="shared" si="9"/>
        <v>1608</v>
      </c>
      <c r="V41" s="146">
        <f t="shared" si="6"/>
        <v>67</v>
      </c>
      <c r="W41" s="146">
        <f t="shared" si="10"/>
        <v>2468</v>
      </c>
      <c r="X41" s="147"/>
    </row>
    <row r="42" spans="1:26">
      <c r="A42" s="1">
        <f t="shared" si="3"/>
        <v>35</v>
      </c>
      <c r="B42" s="23" t="s">
        <v>54</v>
      </c>
      <c r="C42" s="24">
        <v>796</v>
      </c>
      <c r="D42" s="25">
        <v>11</v>
      </c>
      <c r="E42" s="48"/>
      <c r="F42" s="48"/>
      <c r="G42" s="49">
        <v>30</v>
      </c>
      <c r="H42" s="50">
        <v>11</v>
      </c>
      <c r="I42" s="49">
        <f t="shared" si="4"/>
        <v>766</v>
      </c>
      <c r="J42" s="75">
        <f t="shared" si="4"/>
        <v>0</v>
      </c>
      <c r="K42" s="76"/>
      <c r="L42" s="48">
        <v>10</v>
      </c>
      <c r="M42" s="48">
        <v>11</v>
      </c>
      <c r="N42" s="48">
        <v>10</v>
      </c>
      <c r="O42" s="48"/>
      <c r="P42" s="48">
        <v>10</v>
      </c>
      <c r="Q42" s="112"/>
      <c r="R42" s="113">
        <f t="shared" si="7"/>
        <v>30</v>
      </c>
      <c r="S42" s="114">
        <f t="shared" si="7"/>
        <v>11</v>
      </c>
      <c r="T42" s="76"/>
      <c r="U42" s="148">
        <f>L42*12+N42*12+P42*12</f>
        <v>360</v>
      </c>
      <c r="V42" s="149">
        <f>U42/12</f>
        <v>30</v>
      </c>
      <c r="W42" s="150">
        <f>I42*12+J42</f>
        <v>9192</v>
      </c>
      <c r="X42" s="151"/>
    </row>
    <row r="43" spans="1:26" ht="18.75" hidden="1" customHeight="1">
      <c r="A43" s="1">
        <f t="shared" si="3"/>
        <v>36</v>
      </c>
      <c r="B43" s="7" t="s">
        <v>55</v>
      </c>
      <c r="C43" s="10"/>
      <c r="D43" s="11"/>
      <c r="E43" s="36"/>
      <c r="F43" s="36"/>
      <c r="G43" s="37"/>
      <c r="H43" s="38"/>
      <c r="I43" s="38">
        <f t="shared" si="4"/>
        <v>0</v>
      </c>
      <c r="J43" s="64">
        <f t="shared" si="4"/>
        <v>0</v>
      </c>
      <c r="K43" s="62"/>
      <c r="L43" s="36"/>
      <c r="M43" s="36"/>
      <c r="N43" s="36"/>
      <c r="O43" s="36"/>
      <c r="P43" s="36"/>
      <c r="Q43" s="99"/>
      <c r="R43" s="115">
        <f t="shared" si="7"/>
        <v>0</v>
      </c>
      <c r="S43" s="116">
        <f t="shared" si="7"/>
        <v>0</v>
      </c>
      <c r="T43" s="62"/>
      <c r="U43" s="8"/>
      <c r="V43" s="33"/>
      <c r="W43" s="134"/>
      <c r="X43" s="61"/>
    </row>
    <row r="44" spans="1:26">
      <c r="A44" s="1">
        <f t="shared" si="3"/>
        <v>37</v>
      </c>
      <c r="B44" s="12" t="s">
        <v>56</v>
      </c>
      <c r="C44" s="13">
        <v>31600</v>
      </c>
      <c r="D44" s="14">
        <v>3</v>
      </c>
      <c r="E44" s="39"/>
      <c r="F44" s="39"/>
      <c r="G44" s="40">
        <v>952</v>
      </c>
      <c r="H44" s="41"/>
      <c r="I44" s="38">
        <f>C44+E44-G44</f>
        <v>30648</v>
      </c>
      <c r="J44" s="77">
        <f t="shared" si="4"/>
        <v>3</v>
      </c>
      <c r="K44" s="65"/>
      <c r="L44" s="51">
        <v>253</v>
      </c>
      <c r="M44" s="51"/>
      <c r="N44" s="51">
        <v>368</v>
      </c>
      <c r="O44" s="51"/>
      <c r="P44" s="51">
        <v>331</v>
      </c>
      <c r="Q44" s="102"/>
      <c r="R44" s="117">
        <f t="shared" si="7"/>
        <v>952</v>
      </c>
      <c r="S44" s="118">
        <f t="shared" si="7"/>
        <v>0</v>
      </c>
      <c r="T44" s="65"/>
      <c r="U44" s="136">
        <f>L44*6+N44*6+P44*6</f>
        <v>5712</v>
      </c>
      <c r="V44" s="135">
        <f>U44/6</f>
        <v>952</v>
      </c>
      <c r="W44" s="138">
        <f>I44*6+J44</f>
        <v>183891</v>
      </c>
      <c r="X44" s="139"/>
      <c r="Z44" s="155"/>
    </row>
    <row r="45" spans="1:26" ht="18.75" hidden="1" customHeight="1">
      <c r="A45" s="1">
        <f t="shared" si="3"/>
        <v>38</v>
      </c>
      <c r="B45" s="7" t="s">
        <v>57</v>
      </c>
      <c r="C45" s="10"/>
      <c r="D45" s="11"/>
      <c r="E45" s="36"/>
      <c r="F45" s="36"/>
      <c r="G45" s="37"/>
      <c r="H45" s="38"/>
      <c r="I45" s="44">
        <f t="shared" si="4"/>
        <v>0</v>
      </c>
      <c r="J45" s="63">
        <f t="shared" si="4"/>
        <v>0</v>
      </c>
      <c r="K45" s="62"/>
      <c r="L45" s="36"/>
      <c r="M45" s="36"/>
      <c r="N45" s="36"/>
      <c r="O45" s="36"/>
      <c r="P45" s="36"/>
      <c r="Q45" s="99"/>
      <c r="R45" s="108">
        <f t="shared" si="7"/>
        <v>0</v>
      </c>
      <c r="S45" s="116">
        <f t="shared" si="7"/>
        <v>0</v>
      </c>
      <c r="T45" s="62"/>
      <c r="U45" s="8"/>
      <c r="V45" s="137"/>
      <c r="W45" s="134"/>
      <c r="X45" s="61"/>
    </row>
    <row r="46" spans="1:26">
      <c r="A46" s="1">
        <f t="shared" si="3"/>
        <v>39</v>
      </c>
      <c r="B46" s="15" t="s">
        <v>58</v>
      </c>
      <c r="C46" s="10">
        <v>14</v>
      </c>
      <c r="D46" s="11"/>
      <c r="E46" s="36"/>
      <c r="F46" s="36"/>
      <c r="G46" s="37">
        <v>3</v>
      </c>
      <c r="H46" s="38"/>
      <c r="I46" s="68">
        <f t="shared" si="4"/>
        <v>11</v>
      </c>
      <c r="J46" s="63">
        <f t="shared" si="4"/>
        <v>0</v>
      </c>
      <c r="K46" s="62"/>
      <c r="L46" s="36"/>
      <c r="M46" s="36"/>
      <c r="N46" s="36"/>
      <c r="O46" s="36"/>
      <c r="P46" s="36">
        <v>3</v>
      </c>
      <c r="Q46" s="99"/>
      <c r="R46" s="100">
        <f t="shared" si="7"/>
        <v>3</v>
      </c>
      <c r="S46" s="119">
        <f t="shared" si="7"/>
        <v>0</v>
      </c>
      <c r="T46" s="62"/>
      <c r="U46" s="8">
        <f t="shared" ref="U46:U47" si="11">L46*24+N46*24+P46*24</f>
        <v>72</v>
      </c>
      <c r="V46" s="140">
        <f t="shared" ref="V46:V47" si="12">U46/24</f>
        <v>3</v>
      </c>
      <c r="W46" s="134">
        <f t="shared" ref="W46:W47" si="13">I46*24+J46</f>
        <v>264</v>
      </c>
      <c r="X46" s="61"/>
    </row>
    <row r="47" spans="1:26">
      <c r="A47" s="1">
        <f t="shared" si="3"/>
        <v>40</v>
      </c>
      <c r="B47" s="15" t="s">
        <v>59</v>
      </c>
      <c r="C47" s="10"/>
      <c r="D47" s="11"/>
      <c r="E47" s="36"/>
      <c r="F47" s="36"/>
      <c r="G47" s="37"/>
      <c r="H47" s="38"/>
      <c r="I47" s="38">
        <f t="shared" si="4"/>
        <v>0</v>
      </c>
      <c r="J47" s="63">
        <f t="shared" si="4"/>
        <v>0</v>
      </c>
      <c r="K47" s="62"/>
      <c r="L47" s="36"/>
      <c r="M47" s="36"/>
      <c r="N47" s="36"/>
      <c r="O47" s="36"/>
      <c r="P47" s="36"/>
      <c r="Q47" s="99"/>
      <c r="R47" s="100">
        <f t="shared" si="7"/>
        <v>0</v>
      </c>
      <c r="S47" s="101">
        <f t="shared" si="7"/>
        <v>0</v>
      </c>
      <c r="T47" s="62"/>
      <c r="U47" s="8">
        <f t="shared" si="11"/>
        <v>0</v>
      </c>
      <c r="V47" s="135">
        <f t="shared" si="12"/>
        <v>0</v>
      </c>
      <c r="W47" s="134">
        <f t="shared" si="13"/>
        <v>0</v>
      </c>
      <c r="X47" s="61"/>
    </row>
    <row r="48" spans="1:26">
      <c r="A48" s="1">
        <f t="shared" si="3"/>
        <v>41</v>
      </c>
      <c r="B48" s="12" t="s">
        <v>48</v>
      </c>
      <c r="C48" s="26">
        <v>2829</v>
      </c>
      <c r="D48" s="27">
        <v>4</v>
      </c>
      <c r="E48" s="51"/>
      <c r="F48" s="51"/>
      <c r="G48" s="52"/>
      <c r="H48" s="53"/>
      <c r="I48" s="53">
        <f t="shared" si="4"/>
        <v>2829</v>
      </c>
      <c r="J48" s="70">
        <f t="shared" si="4"/>
        <v>4</v>
      </c>
      <c r="K48" s="65"/>
      <c r="L48" s="51"/>
      <c r="M48" s="51"/>
      <c r="N48" s="51"/>
      <c r="O48" s="51"/>
      <c r="P48" s="51"/>
      <c r="Q48" s="102"/>
      <c r="R48" s="107">
        <f t="shared" si="7"/>
        <v>0</v>
      </c>
      <c r="S48" s="120">
        <f t="shared" si="7"/>
        <v>0</v>
      </c>
      <c r="T48" s="65"/>
      <c r="U48" s="136">
        <f>L48*6+N48*6+P48*6</f>
        <v>0</v>
      </c>
      <c r="V48" s="141">
        <f>U48/6</f>
        <v>0</v>
      </c>
      <c r="W48" s="138">
        <f>I48*6+J48</f>
        <v>16978</v>
      </c>
      <c r="X48" s="139"/>
    </row>
    <row r="49" spans="1:24">
      <c r="A49" s="1">
        <f t="shared" si="3"/>
        <v>42</v>
      </c>
      <c r="B49" s="7" t="s">
        <v>60</v>
      </c>
      <c r="C49" s="10">
        <v>1</v>
      </c>
      <c r="D49" s="11"/>
      <c r="E49" s="36"/>
      <c r="F49" s="36"/>
      <c r="G49" s="37"/>
      <c r="H49" s="38"/>
      <c r="I49" s="38">
        <f t="shared" si="4"/>
        <v>1</v>
      </c>
      <c r="J49" s="63">
        <f t="shared" si="4"/>
        <v>0</v>
      </c>
      <c r="K49" s="62"/>
      <c r="L49" s="36"/>
      <c r="M49" s="36"/>
      <c r="N49" s="36"/>
      <c r="O49" s="36"/>
      <c r="P49" s="36"/>
      <c r="Q49" s="99"/>
      <c r="R49" s="108">
        <f t="shared" si="7"/>
        <v>0</v>
      </c>
      <c r="S49" s="106">
        <f t="shared" si="7"/>
        <v>0</v>
      </c>
      <c r="T49" s="62"/>
      <c r="U49" s="8">
        <f t="shared" ref="U49:U51" si="14">L49*24+N49*24+P49*24</f>
        <v>0</v>
      </c>
      <c r="V49" s="33">
        <f t="shared" ref="V49:V51" si="15">U49/24</f>
        <v>0</v>
      </c>
      <c r="W49" s="134">
        <f t="shared" ref="W49:W51" si="16">I49*24+J49</f>
        <v>24</v>
      </c>
      <c r="X49" s="61"/>
    </row>
    <row r="50" spans="1:24">
      <c r="A50" s="1">
        <f t="shared" si="3"/>
        <v>43</v>
      </c>
      <c r="B50" s="15" t="s">
        <v>61</v>
      </c>
      <c r="C50" s="10">
        <v>2</v>
      </c>
      <c r="D50" s="11"/>
      <c r="E50" s="36"/>
      <c r="F50" s="36"/>
      <c r="G50" s="37"/>
      <c r="H50" s="38"/>
      <c r="I50" s="38">
        <f t="shared" si="4"/>
        <v>2</v>
      </c>
      <c r="J50" s="63">
        <f t="shared" si="4"/>
        <v>0</v>
      </c>
      <c r="K50" s="62"/>
      <c r="L50" s="36"/>
      <c r="M50" s="36"/>
      <c r="N50" s="36"/>
      <c r="O50" s="36"/>
      <c r="P50" s="36"/>
      <c r="Q50" s="99"/>
      <c r="R50" s="100">
        <f t="shared" si="7"/>
        <v>0</v>
      </c>
      <c r="S50" s="101">
        <f t="shared" si="7"/>
        <v>0</v>
      </c>
      <c r="T50" s="62"/>
      <c r="U50" s="8">
        <f t="shared" si="14"/>
        <v>0</v>
      </c>
      <c r="V50" s="135">
        <f t="shared" si="15"/>
        <v>0</v>
      </c>
      <c r="W50" s="134">
        <f t="shared" si="16"/>
        <v>48</v>
      </c>
      <c r="X50" s="61"/>
    </row>
    <row r="51" spans="1:24">
      <c r="A51" s="1">
        <f t="shared" si="3"/>
        <v>44</v>
      </c>
      <c r="B51" s="15" t="s">
        <v>62</v>
      </c>
      <c r="C51" s="10"/>
      <c r="D51" s="11"/>
      <c r="E51" s="36"/>
      <c r="F51" s="36"/>
      <c r="G51" s="37"/>
      <c r="H51" s="38"/>
      <c r="I51" s="38">
        <f t="shared" si="4"/>
        <v>0</v>
      </c>
      <c r="J51" s="63">
        <f t="shared" si="4"/>
        <v>0</v>
      </c>
      <c r="K51" s="62"/>
      <c r="L51" s="36"/>
      <c r="M51" s="36"/>
      <c r="N51" s="36"/>
      <c r="O51" s="36"/>
      <c r="P51" s="36"/>
      <c r="Q51" s="99"/>
      <c r="R51" s="100">
        <f t="shared" si="7"/>
        <v>0</v>
      </c>
      <c r="S51" s="101">
        <f t="shared" si="7"/>
        <v>0</v>
      </c>
      <c r="T51" s="62"/>
      <c r="U51" s="8">
        <f t="shared" si="14"/>
        <v>0</v>
      </c>
      <c r="V51" s="135">
        <f t="shared" si="15"/>
        <v>0</v>
      </c>
      <c r="W51" s="134">
        <f t="shared" si="16"/>
        <v>0</v>
      </c>
      <c r="X51" s="61"/>
    </row>
    <row r="52" spans="1:24">
      <c r="A52" s="1">
        <f t="shared" si="3"/>
        <v>45</v>
      </c>
      <c r="B52" s="12" t="s">
        <v>63</v>
      </c>
      <c r="C52" s="26">
        <v>34</v>
      </c>
      <c r="D52" s="27"/>
      <c r="E52" s="51"/>
      <c r="F52" s="51"/>
      <c r="G52" s="52"/>
      <c r="H52" s="53"/>
      <c r="I52" s="53">
        <f t="shared" si="4"/>
        <v>34</v>
      </c>
      <c r="J52" s="70">
        <f t="shared" si="4"/>
        <v>0</v>
      </c>
      <c r="K52" s="65"/>
      <c r="L52" s="51"/>
      <c r="M52" s="51"/>
      <c r="N52" s="51"/>
      <c r="O52" s="51"/>
      <c r="P52" s="51"/>
      <c r="Q52" s="102"/>
      <c r="R52" s="107">
        <f t="shared" si="7"/>
        <v>0</v>
      </c>
      <c r="S52" s="120">
        <f t="shared" si="7"/>
        <v>0</v>
      </c>
      <c r="T52" s="65"/>
      <c r="U52" s="136">
        <f>L52*6+N52*6+P52*6</f>
        <v>0</v>
      </c>
      <c r="V52" s="141">
        <f>U52/6</f>
        <v>0</v>
      </c>
      <c r="W52" s="138">
        <f>I52*6+J52</f>
        <v>204</v>
      </c>
      <c r="X52" s="139"/>
    </row>
    <row r="53" spans="1:24">
      <c r="A53" s="1">
        <f t="shared" si="3"/>
        <v>46</v>
      </c>
      <c r="B53" s="7" t="s">
        <v>64</v>
      </c>
      <c r="C53" s="10">
        <v>2</v>
      </c>
      <c r="D53" s="11"/>
      <c r="E53" s="36"/>
      <c r="F53" s="36"/>
      <c r="G53" s="37"/>
      <c r="H53" s="38"/>
      <c r="I53" s="38">
        <f t="shared" si="4"/>
        <v>2</v>
      </c>
      <c r="J53" s="63">
        <f t="shared" si="4"/>
        <v>0</v>
      </c>
      <c r="K53" s="62"/>
      <c r="L53" s="36"/>
      <c r="M53" s="36"/>
      <c r="N53" s="36"/>
      <c r="O53" s="36"/>
      <c r="P53" s="36"/>
      <c r="Q53" s="99"/>
      <c r="R53" s="108">
        <f t="shared" si="7"/>
        <v>0</v>
      </c>
      <c r="S53" s="106">
        <f t="shared" si="7"/>
        <v>0</v>
      </c>
      <c r="T53" s="62"/>
      <c r="U53" s="8">
        <f t="shared" ref="U53:U54" si="17">L53*24+N53*24+P53*24</f>
        <v>0</v>
      </c>
      <c r="V53" s="33">
        <f t="shared" ref="V53:V54" si="18">U53/24</f>
        <v>0</v>
      </c>
      <c r="W53" s="134">
        <f t="shared" ref="W53:W54" si="19">I53*24+J53</f>
        <v>48</v>
      </c>
      <c r="X53" s="61"/>
    </row>
    <row r="54" spans="1:24">
      <c r="A54" s="1">
        <f t="shared" si="3"/>
        <v>47</v>
      </c>
      <c r="B54" s="15" t="s">
        <v>65</v>
      </c>
      <c r="C54" s="10">
        <v>11</v>
      </c>
      <c r="D54" s="11"/>
      <c r="E54" s="36"/>
      <c r="F54" s="36"/>
      <c r="G54" s="37"/>
      <c r="H54" s="38"/>
      <c r="I54" s="38">
        <f t="shared" si="4"/>
        <v>11</v>
      </c>
      <c r="J54" s="63">
        <f t="shared" si="4"/>
        <v>0</v>
      </c>
      <c r="K54" s="62"/>
      <c r="L54" s="36"/>
      <c r="M54" s="36"/>
      <c r="N54" s="36"/>
      <c r="O54" s="36"/>
      <c r="P54" s="36"/>
      <c r="Q54" s="99"/>
      <c r="R54" s="100">
        <f t="shared" si="7"/>
        <v>0</v>
      </c>
      <c r="S54" s="101">
        <f t="shared" si="7"/>
        <v>0</v>
      </c>
      <c r="T54" s="62"/>
      <c r="U54" s="8">
        <f t="shared" si="17"/>
        <v>0</v>
      </c>
      <c r="V54" s="135">
        <f t="shared" si="18"/>
        <v>0</v>
      </c>
      <c r="W54" s="134">
        <f t="shared" si="19"/>
        <v>264</v>
      </c>
      <c r="X54" s="61"/>
    </row>
    <row r="55" spans="1:24">
      <c r="A55" s="1">
        <f t="shared" si="3"/>
        <v>48</v>
      </c>
      <c r="B55" s="15"/>
      <c r="C55" s="10"/>
      <c r="D55" s="11"/>
      <c r="E55" s="36"/>
      <c r="F55" s="36"/>
      <c r="G55" s="37"/>
      <c r="H55" s="38"/>
      <c r="I55" s="38">
        <f t="shared" si="4"/>
        <v>0</v>
      </c>
      <c r="J55" s="63">
        <f t="shared" si="4"/>
        <v>0</v>
      </c>
      <c r="K55" s="62"/>
      <c r="L55" s="36"/>
      <c r="M55" s="36"/>
      <c r="N55" s="36"/>
      <c r="O55" s="36"/>
      <c r="P55" s="36"/>
      <c r="Q55" s="99"/>
      <c r="R55" s="100">
        <f t="shared" si="7"/>
        <v>0</v>
      </c>
      <c r="S55" s="101">
        <f t="shared" si="7"/>
        <v>0</v>
      </c>
      <c r="T55" s="62"/>
      <c r="U55" s="8"/>
      <c r="V55" s="135"/>
      <c r="W55" s="134"/>
      <c r="X55" s="61"/>
    </row>
    <row r="56" spans="1:24">
      <c r="A56" s="1">
        <f t="shared" si="3"/>
        <v>49</v>
      </c>
      <c r="B56" s="15"/>
      <c r="C56" s="10"/>
      <c r="D56" s="11"/>
      <c r="E56" s="36"/>
      <c r="F56" s="36"/>
      <c r="G56" s="37"/>
      <c r="H56" s="38"/>
      <c r="I56" s="38">
        <f t="shared" si="4"/>
        <v>0</v>
      </c>
      <c r="J56" s="63">
        <f t="shared" si="4"/>
        <v>0</v>
      </c>
      <c r="K56" s="62"/>
      <c r="L56" s="36"/>
      <c r="M56" s="36"/>
      <c r="N56" s="36"/>
      <c r="O56" s="36"/>
      <c r="P56" s="36"/>
      <c r="Q56" s="99"/>
      <c r="R56" s="100">
        <f t="shared" si="7"/>
        <v>0</v>
      </c>
      <c r="S56" s="101">
        <f t="shared" si="7"/>
        <v>0</v>
      </c>
      <c r="T56" s="62"/>
      <c r="U56" s="8"/>
      <c r="V56" s="135"/>
      <c r="W56" s="134"/>
      <c r="X56" s="61"/>
    </row>
    <row r="57" spans="1:24">
      <c r="A57" s="1">
        <f t="shared" si="3"/>
        <v>50</v>
      </c>
      <c r="B57" s="15"/>
      <c r="C57" s="10"/>
      <c r="D57" s="11"/>
      <c r="E57" s="36"/>
      <c r="F57" s="36"/>
      <c r="G57" s="37"/>
      <c r="H57" s="38"/>
      <c r="I57" s="38">
        <f t="shared" si="4"/>
        <v>0</v>
      </c>
      <c r="J57" s="63">
        <f t="shared" si="4"/>
        <v>0</v>
      </c>
      <c r="K57" s="62"/>
      <c r="L57" s="36"/>
      <c r="M57" s="36"/>
      <c r="N57" s="36"/>
      <c r="O57" s="36"/>
      <c r="P57" s="36"/>
      <c r="Q57" s="99"/>
      <c r="R57" s="100">
        <f t="shared" si="7"/>
        <v>0</v>
      </c>
      <c r="S57" s="101">
        <f t="shared" si="7"/>
        <v>0</v>
      </c>
      <c r="T57" s="62"/>
      <c r="U57" s="8"/>
      <c r="V57" s="135"/>
      <c r="W57" s="134"/>
      <c r="X57" s="61"/>
    </row>
    <row r="58" spans="1:24">
      <c r="A58" s="1">
        <f t="shared" si="3"/>
        <v>51</v>
      </c>
      <c r="B58" s="15"/>
      <c r="C58" s="10"/>
      <c r="D58" s="11"/>
      <c r="E58" s="36"/>
      <c r="F58" s="36"/>
      <c r="G58" s="37"/>
      <c r="H58" s="38"/>
      <c r="I58" s="38">
        <f t="shared" si="4"/>
        <v>0</v>
      </c>
      <c r="J58" s="63">
        <f t="shared" si="4"/>
        <v>0</v>
      </c>
      <c r="K58" s="62"/>
      <c r="L58" s="36"/>
      <c r="M58" s="36"/>
      <c r="N58" s="36"/>
      <c r="O58" s="36"/>
      <c r="P58" s="36"/>
      <c r="Q58" s="99"/>
      <c r="R58" s="100">
        <f t="shared" si="7"/>
        <v>0</v>
      </c>
      <c r="S58" s="101">
        <f t="shared" si="7"/>
        <v>0</v>
      </c>
      <c r="T58" s="62"/>
      <c r="U58" s="8"/>
      <c r="V58" s="135"/>
      <c r="W58" s="134"/>
      <c r="X58" s="61"/>
    </row>
    <row r="59" spans="1:24">
      <c r="A59" s="1">
        <f t="shared" si="3"/>
        <v>52</v>
      </c>
      <c r="B59" s="15"/>
      <c r="C59" s="10"/>
      <c r="D59" s="11"/>
      <c r="E59" s="36"/>
      <c r="F59" s="36"/>
      <c r="G59" s="37"/>
      <c r="H59" s="38"/>
      <c r="I59" s="38">
        <f t="shared" si="4"/>
        <v>0</v>
      </c>
      <c r="J59" s="63">
        <f t="shared" si="4"/>
        <v>0</v>
      </c>
      <c r="K59" s="62"/>
      <c r="L59" s="36"/>
      <c r="M59" s="36"/>
      <c r="N59" s="36"/>
      <c r="O59" s="36"/>
      <c r="P59" s="36"/>
      <c r="Q59" s="99"/>
      <c r="R59" s="100">
        <f t="shared" si="7"/>
        <v>0</v>
      </c>
      <c r="S59" s="101">
        <f t="shared" si="7"/>
        <v>0</v>
      </c>
      <c r="T59" s="62"/>
      <c r="U59" s="8"/>
      <c r="V59" s="135"/>
      <c r="W59" s="134"/>
      <c r="X59" s="61"/>
    </row>
    <row r="60" spans="1:24" s="2" customFormat="1">
      <c r="B60" s="28" t="s">
        <v>15</v>
      </c>
      <c r="C60" s="29">
        <f>SUM(C8:C59)</f>
        <v>45919</v>
      </c>
      <c r="D60" s="30">
        <f>SUM(D8:D59)</f>
        <v>161</v>
      </c>
      <c r="E60" s="54">
        <f>SUM(E8:E59)</f>
        <v>0</v>
      </c>
      <c r="F60" s="54"/>
      <c r="G60" s="55">
        <f>SUM(G8:G59)</f>
        <v>1242</v>
      </c>
      <c r="H60" s="56">
        <f>SUM(H8:H59)</f>
        <v>44</v>
      </c>
      <c r="I60" s="56">
        <f>SUM(I8:I59)</f>
        <v>44677</v>
      </c>
      <c r="J60" s="78">
        <f>SUM(J8:J59)</f>
        <v>117</v>
      </c>
      <c r="L60" s="79">
        <f t="shared" ref="L60:S60" si="20">SUM(L8:L59)</f>
        <v>366</v>
      </c>
      <c r="M60" s="79">
        <f t="shared" si="20"/>
        <v>29</v>
      </c>
      <c r="N60" s="79">
        <f t="shared" si="20"/>
        <v>445</v>
      </c>
      <c r="O60" s="79">
        <f t="shared" si="20"/>
        <v>0</v>
      </c>
      <c r="P60" s="79">
        <f t="shared" si="20"/>
        <v>430</v>
      </c>
      <c r="Q60" s="121">
        <f t="shared" si="20"/>
        <v>15</v>
      </c>
      <c r="R60" s="122">
        <f t="shared" si="20"/>
        <v>1241</v>
      </c>
      <c r="S60" s="123">
        <f t="shared" si="20"/>
        <v>44</v>
      </c>
      <c r="U60" s="29">
        <f>SUM(U8:U59)</f>
        <v>9876</v>
      </c>
      <c r="V60" s="152">
        <f>SUM(V8:V59)</f>
        <v>1241</v>
      </c>
      <c r="W60" s="179">
        <f>SUM(W8:W59)</f>
        <v>345441</v>
      </c>
      <c r="X60" s="78"/>
    </row>
    <row r="61" spans="1:24">
      <c r="V61" s="154"/>
    </row>
    <row r="62" spans="1:24" ht="18.75" customHeight="1">
      <c r="G62" s="197" t="s">
        <v>66</v>
      </c>
      <c r="H62" s="57"/>
      <c r="I62" s="57"/>
      <c r="J62" s="80" t="s">
        <v>67</v>
      </c>
      <c r="L62" s="81"/>
      <c r="M62" s="87"/>
      <c r="N62" s="88"/>
      <c r="O62" s="88"/>
      <c r="P62" s="88"/>
      <c r="Q62" s="124"/>
      <c r="R62" s="124"/>
      <c r="S62" s="125"/>
    </row>
    <row r="63" spans="1:24">
      <c r="G63" s="198"/>
      <c r="H63" s="58"/>
      <c r="I63" s="58"/>
      <c r="J63" s="82" t="s">
        <v>68</v>
      </c>
      <c r="L63" s="83"/>
      <c r="M63" s="89"/>
      <c r="N63" s="90"/>
      <c r="O63" s="90"/>
      <c r="P63" s="90"/>
      <c r="Q63" s="126"/>
      <c r="R63" s="126"/>
      <c r="S63" s="127"/>
    </row>
    <row r="64" spans="1:24">
      <c r="G64" s="199"/>
      <c r="H64" s="59"/>
      <c r="I64" s="59"/>
      <c r="J64" s="82" t="s">
        <v>69</v>
      </c>
      <c r="L64" s="84"/>
      <c r="M64" s="91"/>
      <c r="N64" s="92"/>
      <c r="O64" s="92"/>
      <c r="P64" s="92"/>
      <c r="Q64" s="128"/>
      <c r="R64" s="128"/>
      <c r="S64" s="129"/>
    </row>
    <row r="65" spans="2:24">
      <c r="G65" s="200" t="s">
        <v>70</v>
      </c>
      <c r="H65" s="164"/>
      <c r="I65" s="164"/>
      <c r="J65" s="82" t="s">
        <v>67</v>
      </c>
      <c r="L65" s="84"/>
      <c r="M65" s="91"/>
      <c r="N65" s="92"/>
      <c r="O65" s="92"/>
      <c r="P65" s="92"/>
      <c r="Q65" s="128"/>
      <c r="R65" s="128"/>
      <c r="S65" s="129"/>
    </row>
    <row r="66" spans="2:24">
      <c r="G66" s="200"/>
      <c r="H66" s="164"/>
      <c r="I66" s="164"/>
      <c r="J66" s="82" t="s">
        <v>68</v>
      </c>
      <c r="L66" s="83"/>
      <c r="M66" s="89"/>
      <c r="N66" s="90"/>
      <c r="O66" s="90"/>
      <c r="P66" s="90"/>
      <c r="Q66" s="126"/>
      <c r="R66" s="126"/>
      <c r="S66" s="127"/>
    </row>
    <row r="67" spans="2:24">
      <c r="G67" s="201"/>
      <c r="H67" s="165"/>
      <c r="I67" s="165"/>
      <c r="J67" s="167" t="s">
        <v>69</v>
      </c>
      <c r="L67" s="168"/>
      <c r="M67" s="170"/>
      <c r="N67" s="171"/>
      <c r="O67" s="171"/>
      <c r="P67" s="171"/>
      <c r="Q67" s="174"/>
      <c r="R67" s="174"/>
      <c r="S67" s="175"/>
    </row>
    <row r="69" spans="2:24" ht="49.5" customHeight="1">
      <c r="B69" s="159" t="s">
        <v>71</v>
      </c>
      <c r="C69" s="5" t="s">
        <v>4</v>
      </c>
      <c r="D69" s="6"/>
      <c r="E69" s="166" t="s">
        <v>72</v>
      </c>
      <c r="L69" s="169" t="s">
        <v>12</v>
      </c>
      <c r="M69" s="172"/>
      <c r="N69" s="173" t="s">
        <v>13</v>
      </c>
      <c r="O69" s="173"/>
      <c r="P69" s="173" t="s">
        <v>14</v>
      </c>
      <c r="Q69" s="176"/>
      <c r="R69" s="176"/>
      <c r="S69" s="177" t="s">
        <v>73</v>
      </c>
      <c r="X69" s="178" t="s">
        <v>74</v>
      </c>
    </row>
    <row r="70" spans="2:24">
      <c r="B70" s="160" t="s">
        <v>47</v>
      </c>
      <c r="C70" s="161"/>
      <c r="D70" s="161"/>
      <c r="E70" s="163"/>
      <c r="L70" s="161"/>
      <c r="M70" s="161"/>
      <c r="N70" s="161"/>
      <c r="O70" s="161"/>
      <c r="P70" s="161"/>
      <c r="Q70" s="161"/>
      <c r="R70" s="161"/>
      <c r="S70" s="161"/>
      <c r="X70" s="163"/>
    </row>
    <row r="71" spans="2:24">
      <c r="B71" s="162" t="s">
        <v>75</v>
      </c>
      <c r="C71" s="161"/>
      <c r="D71" s="161"/>
      <c r="E71" s="163"/>
      <c r="L71" s="163"/>
      <c r="M71" s="163"/>
      <c r="N71" s="163"/>
      <c r="O71" s="163"/>
      <c r="P71" s="163"/>
      <c r="Q71" s="163"/>
      <c r="R71" s="163"/>
      <c r="S71" s="163"/>
      <c r="X71" s="163"/>
    </row>
    <row r="72" spans="2:24">
      <c r="B72" s="162" t="s">
        <v>76</v>
      </c>
      <c r="C72" s="161"/>
      <c r="D72" s="161"/>
      <c r="E72" s="163"/>
      <c r="L72" s="163"/>
      <c r="M72" s="163"/>
      <c r="N72" s="163"/>
      <c r="O72" s="163"/>
      <c r="P72" s="163"/>
      <c r="Q72" s="163"/>
      <c r="R72" s="163"/>
      <c r="S72" s="163"/>
      <c r="X72" s="163"/>
    </row>
    <row r="73" spans="2:24" ht="11.25" customHeight="1"/>
    <row r="74" spans="2:24">
      <c r="B74" s="162" t="s">
        <v>77</v>
      </c>
      <c r="C74" s="163"/>
      <c r="D74" s="163"/>
      <c r="E74" s="163"/>
      <c r="L74" s="163"/>
      <c r="M74" s="163"/>
      <c r="N74" s="163"/>
      <c r="O74" s="163"/>
      <c r="P74" s="163"/>
      <c r="Q74" s="163"/>
      <c r="R74" s="163"/>
      <c r="S74" s="163"/>
      <c r="X74" s="163"/>
    </row>
    <row r="75" spans="2:24">
      <c r="B75" s="162" t="s">
        <v>75</v>
      </c>
      <c r="C75" s="163"/>
      <c r="D75" s="163"/>
      <c r="E75" s="163"/>
      <c r="L75" s="163"/>
      <c r="M75" s="163"/>
      <c r="N75" s="163"/>
      <c r="O75" s="163"/>
      <c r="P75" s="163"/>
      <c r="Q75" s="163"/>
      <c r="R75" s="163"/>
      <c r="S75" s="163"/>
      <c r="X75" s="163"/>
    </row>
    <row r="76" spans="2:24">
      <c r="B76" s="162" t="s">
        <v>76</v>
      </c>
      <c r="C76" s="163"/>
      <c r="D76" s="163"/>
      <c r="E76" s="163"/>
      <c r="L76" s="163"/>
      <c r="M76" s="163"/>
      <c r="N76" s="163"/>
      <c r="O76" s="163"/>
      <c r="P76" s="163"/>
      <c r="Q76" s="163"/>
      <c r="R76" s="163"/>
      <c r="S76" s="163"/>
      <c r="X76" s="163"/>
    </row>
    <row r="77" spans="2:24" ht="11.25" customHeight="1"/>
    <row r="78" spans="2:24">
      <c r="B78" s="162" t="s">
        <v>78</v>
      </c>
      <c r="C78" s="163"/>
      <c r="D78" s="163"/>
      <c r="E78" s="163"/>
      <c r="L78" s="163"/>
      <c r="M78" s="163"/>
      <c r="N78" s="163"/>
      <c r="O78" s="163"/>
      <c r="P78" s="163"/>
      <c r="Q78" s="163"/>
      <c r="R78" s="163"/>
      <c r="S78" s="163"/>
      <c r="X78" s="163"/>
    </row>
    <row r="79" spans="2:24">
      <c r="B79" s="162" t="s">
        <v>75</v>
      </c>
      <c r="C79" s="163"/>
      <c r="D79" s="163"/>
      <c r="E79" s="163"/>
      <c r="L79" s="163"/>
      <c r="M79" s="163"/>
      <c r="N79" s="163"/>
      <c r="O79" s="163"/>
      <c r="P79" s="163"/>
      <c r="Q79" s="163"/>
      <c r="R79" s="163"/>
      <c r="S79" s="163"/>
      <c r="X79" s="163"/>
    </row>
    <row r="80" spans="2:24">
      <c r="B80" s="162" t="s">
        <v>76</v>
      </c>
      <c r="C80" s="163"/>
      <c r="D80" s="163"/>
      <c r="E80" s="163"/>
      <c r="L80" s="163"/>
      <c r="M80" s="163"/>
      <c r="N80" s="163"/>
      <c r="O80" s="163"/>
      <c r="P80" s="163"/>
      <c r="Q80" s="163"/>
      <c r="R80" s="163"/>
      <c r="S80" s="163"/>
      <c r="X80" s="163"/>
    </row>
    <row r="81" spans="2:24" ht="11.25" customHeight="1"/>
    <row r="82" spans="2:24">
      <c r="B82" s="162" t="s">
        <v>79</v>
      </c>
      <c r="C82" s="163"/>
      <c r="D82" s="163"/>
      <c r="E82" s="163"/>
      <c r="L82" s="163"/>
      <c r="M82" s="163"/>
      <c r="N82" s="163"/>
      <c r="O82" s="163"/>
      <c r="P82" s="163"/>
      <c r="Q82" s="163"/>
      <c r="R82" s="163"/>
      <c r="S82" s="163"/>
      <c r="X82" s="163"/>
    </row>
    <row r="83" spans="2:24">
      <c r="B83" s="162" t="s">
        <v>75</v>
      </c>
      <c r="C83" s="163"/>
      <c r="D83" s="163"/>
      <c r="E83" s="163"/>
      <c r="L83" s="163"/>
      <c r="M83" s="163"/>
      <c r="N83" s="163"/>
      <c r="O83" s="163"/>
      <c r="P83" s="163"/>
      <c r="Q83" s="163"/>
      <c r="R83" s="163"/>
      <c r="S83" s="163"/>
      <c r="X83" s="163"/>
    </row>
    <row r="84" spans="2:24">
      <c r="B84" s="162" t="s">
        <v>76</v>
      </c>
      <c r="C84" s="161"/>
      <c r="D84" s="161"/>
      <c r="E84" s="163"/>
      <c r="L84" s="163"/>
      <c r="M84" s="163"/>
      <c r="N84" s="163"/>
      <c r="O84" s="163"/>
      <c r="P84" s="163"/>
      <c r="Q84" s="163"/>
      <c r="R84" s="163"/>
      <c r="S84" s="163"/>
      <c r="X84" s="163"/>
    </row>
    <row r="85" spans="2:24" ht="11.25" customHeight="1"/>
    <row r="86" spans="2:24">
      <c r="B86" s="162" t="s">
        <v>80</v>
      </c>
      <c r="C86" s="163"/>
      <c r="D86" s="163"/>
      <c r="E86" s="163"/>
      <c r="L86" s="163"/>
      <c r="M86" s="163"/>
      <c r="N86" s="163"/>
      <c r="O86" s="163"/>
      <c r="P86" s="163"/>
      <c r="Q86" s="163"/>
      <c r="R86" s="163"/>
      <c r="S86" s="163"/>
      <c r="X86" s="163"/>
    </row>
    <row r="87" spans="2:24">
      <c r="B87" s="162" t="s">
        <v>75</v>
      </c>
      <c r="C87" s="163"/>
      <c r="D87" s="163"/>
      <c r="E87" s="163"/>
      <c r="L87" s="163"/>
      <c r="M87" s="163"/>
      <c r="N87" s="163"/>
      <c r="O87" s="163"/>
      <c r="P87" s="163"/>
      <c r="Q87" s="163"/>
      <c r="R87" s="163"/>
      <c r="S87" s="163"/>
      <c r="X87" s="163"/>
    </row>
    <row r="88" spans="2:24">
      <c r="B88" s="162" t="s">
        <v>76</v>
      </c>
      <c r="C88" s="163"/>
      <c r="D88" s="163"/>
      <c r="E88" s="163"/>
      <c r="L88" s="163"/>
      <c r="M88" s="163"/>
      <c r="N88" s="163"/>
      <c r="O88" s="163"/>
      <c r="P88" s="163"/>
      <c r="Q88" s="163"/>
      <c r="R88" s="163"/>
      <c r="S88" s="163"/>
      <c r="X88" s="163"/>
    </row>
    <row r="90" spans="2:24">
      <c r="B90" s="162" t="s">
        <v>81</v>
      </c>
      <c r="C90" s="163"/>
      <c r="D90" s="163"/>
      <c r="E90" s="163"/>
      <c r="L90" s="163"/>
      <c r="M90" s="163"/>
      <c r="N90" s="163"/>
      <c r="O90" s="163"/>
      <c r="P90" s="163"/>
      <c r="Q90" s="163"/>
      <c r="R90" s="163"/>
      <c r="S90" s="163"/>
      <c r="X90" s="163"/>
    </row>
  </sheetData>
  <mergeCells count="12">
    <mergeCell ref="G62:G64"/>
    <mergeCell ref="G65:G67"/>
    <mergeCell ref="H4:H5"/>
    <mergeCell ref="I4:I5"/>
    <mergeCell ref="J4:J5"/>
    <mergeCell ref="P1:X1"/>
    <mergeCell ref="E4:F4"/>
    <mergeCell ref="L4:X4"/>
    <mergeCell ref="B4:B5"/>
    <mergeCell ref="C4:C5"/>
    <mergeCell ref="D4:D5"/>
    <mergeCell ref="G4:G5"/>
  </mergeCells>
  <printOptions horizontalCentered="1" verticalCentered="1"/>
  <pageMargins left="0.196850393700787" right="0.196850393700787" top="0.196850393700787" bottom="0.196850393700787" header="0.511811023622047" footer="0.511811023622047"/>
  <pageSetup paperSize="9" scale="51" orientation="portrait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BH90"/>
  <sheetViews>
    <sheetView zoomScale="55" zoomScaleNormal="55" zoomScaleSheetLayoutView="85" zoomScalePageLayoutView="80" workbookViewId="0">
      <selection activeCell="P1" sqref="P1:X1"/>
    </sheetView>
  </sheetViews>
  <sheetFormatPr defaultColWidth="9.140625" defaultRowHeight="18.75"/>
  <cols>
    <col min="1" max="1" width="5.42578125" style="3" customWidth="1"/>
    <col min="2" max="2" width="12.28515625" style="3" customWidth="1"/>
    <col min="3" max="3" width="12.7109375" style="3" customWidth="1"/>
    <col min="4" max="4" width="8" style="3" customWidth="1"/>
    <col min="5" max="5" width="12.140625" style="3" customWidth="1"/>
    <col min="6" max="6" width="9.85546875" style="3" customWidth="1"/>
    <col min="7" max="7" width="11" style="3" customWidth="1"/>
    <col min="8" max="8" width="8" style="3" customWidth="1"/>
    <col min="9" max="9" width="14.7109375" style="3" customWidth="1"/>
    <col min="10" max="10" width="8.28515625" style="3" customWidth="1"/>
    <col min="11" max="11" width="1.28515625" style="3" customWidth="1"/>
    <col min="12" max="12" width="11" style="3" customWidth="1"/>
    <col min="13" max="13" width="7.85546875" style="3" customWidth="1"/>
    <col min="14" max="14" width="11" style="3" customWidth="1"/>
    <col min="15" max="15" width="6.5703125" style="3" customWidth="1"/>
    <col min="16" max="16" width="11" style="3" customWidth="1"/>
    <col min="17" max="17" width="6.5703125" style="3" customWidth="1"/>
    <col min="18" max="18" width="9.5703125" style="3" customWidth="1"/>
    <col min="19" max="19" width="8.140625" style="3" customWidth="1"/>
    <col min="20" max="20" width="1.28515625" style="3" customWidth="1"/>
    <col min="21" max="21" width="12.7109375" style="3" customWidth="1"/>
    <col min="22" max="22" width="12.7109375" style="3" hidden="1" customWidth="1"/>
    <col min="23" max="23" width="14.5703125" style="3" customWidth="1"/>
    <col min="24" max="24" width="11.5703125" style="3" customWidth="1"/>
    <col min="25" max="25" width="2" style="3" customWidth="1"/>
    <col min="26" max="26" width="10.5703125" style="3" customWidth="1"/>
    <col min="27" max="55" width="7.28515625" style="3" customWidth="1"/>
    <col min="56" max="56" width="1.5703125" style="3" customWidth="1"/>
    <col min="57" max="57" width="9.42578125" style="3" customWidth="1"/>
    <col min="58" max="58" width="1.28515625" style="3" customWidth="1"/>
    <col min="59" max="59" width="12.7109375" style="3" customWidth="1"/>
    <col min="60" max="60" width="10.28515625" style="3" customWidth="1"/>
    <col min="61" max="16384" width="9.140625" style="3"/>
  </cols>
  <sheetData>
    <row r="1" spans="1:60">
      <c r="B1" s="2" t="s">
        <v>0</v>
      </c>
      <c r="N1" s="3" t="s">
        <v>1</v>
      </c>
      <c r="P1" s="183">
        <v>46149</v>
      </c>
      <c r="Q1" s="184"/>
      <c r="R1" s="184"/>
      <c r="S1" s="184"/>
      <c r="T1" s="184"/>
      <c r="U1" s="184"/>
      <c r="V1" s="184"/>
      <c r="W1" s="184"/>
      <c r="X1" s="185"/>
    </row>
    <row r="2" spans="1:60" ht="15" customHeight="1">
      <c r="B2" s="2" t="s">
        <v>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4" spans="1:60" ht="19.5" customHeight="1">
      <c r="A4" s="4"/>
      <c r="B4" s="192" t="s">
        <v>3</v>
      </c>
      <c r="C4" s="193" t="s">
        <v>4</v>
      </c>
      <c r="D4" s="194" t="s">
        <v>5</v>
      </c>
      <c r="E4" s="186" t="s">
        <v>6</v>
      </c>
      <c r="F4" s="187"/>
      <c r="G4" s="195" t="s">
        <v>7</v>
      </c>
      <c r="H4" s="202" t="s">
        <v>5</v>
      </c>
      <c r="I4" s="204" t="s">
        <v>8</v>
      </c>
      <c r="J4" s="202" t="s">
        <v>5</v>
      </c>
      <c r="L4" s="188" t="s">
        <v>9</v>
      </c>
      <c r="M4" s="189"/>
      <c r="N4" s="189"/>
      <c r="O4" s="189"/>
      <c r="P4" s="189"/>
      <c r="Q4" s="189"/>
      <c r="R4" s="189"/>
      <c r="S4" s="189"/>
      <c r="T4" s="189"/>
      <c r="U4" s="189"/>
      <c r="V4" s="190"/>
      <c r="W4" s="189"/>
      <c r="X4" s="191"/>
    </row>
    <row r="5" spans="1:60" s="1" customFormat="1" ht="56.25">
      <c r="A5" s="4"/>
      <c r="B5" s="192"/>
      <c r="C5" s="193"/>
      <c r="D5" s="194"/>
      <c r="E5" s="31" t="s">
        <v>10</v>
      </c>
      <c r="F5" s="32" t="s">
        <v>11</v>
      </c>
      <c r="G5" s="196"/>
      <c r="H5" s="203"/>
      <c r="I5" s="205"/>
      <c r="J5" s="203"/>
      <c r="L5" s="60" t="s">
        <v>12</v>
      </c>
      <c r="M5" s="85" t="s">
        <v>5</v>
      </c>
      <c r="N5" s="86" t="s">
        <v>13</v>
      </c>
      <c r="O5" s="85" t="s">
        <v>5</v>
      </c>
      <c r="P5" s="86" t="s">
        <v>14</v>
      </c>
      <c r="Q5" s="85" t="s">
        <v>5</v>
      </c>
      <c r="R5" s="93" t="s">
        <v>15</v>
      </c>
      <c r="S5" s="94" t="s">
        <v>5</v>
      </c>
      <c r="T5" s="95"/>
      <c r="U5" s="130" t="s">
        <v>16</v>
      </c>
      <c r="V5" s="131" t="s">
        <v>17</v>
      </c>
      <c r="W5" s="132" t="s">
        <v>18</v>
      </c>
      <c r="X5" s="133" t="s">
        <v>19</v>
      </c>
      <c r="AL5" s="156"/>
      <c r="AM5" s="156"/>
      <c r="AN5" s="156"/>
      <c r="AO5" s="156"/>
      <c r="AP5" s="156"/>
      <c r="AQ5" s="156"/>
      <c r="AR5" s="156"/>
      <c r="AS5" s="156"/>
      <c r="AT5" s="156"/>
      <c r="AU5" s="156"/>
      <c r="AV5" s="156"/>
      <c r="AW5" s="156"/>
      <c r="AX5" s="156"/>
      <c r="AY5" s="156"/>
      <c r="AZ5" s="156"/>
      <c r="BA5" s="156"/>
      <c r="BB5" s="156"/>
      <c r="BC5" s="156"/>
      <c r="BD5" s="156"/>
      <c r="BE5" s="156"/>
      <c r="BF5" s="156"/>
      <c r="BG5" s="156"/>
      <c r="BH5" s="156"/>
    </row>
    <row r="6" spans="1:60" s="1" customFormat="1">
      <c r="B6" s="7"/>
      <c r="C6" s="8"/>
      <c r="D6" s="9"/>
      <c r="E6" s="33"/>
      <c r="F6" s="33"/>
      <c r="G6" s="34"/>
      <c r="H6" s="35"/>
      <c r="I6" s="35"/>
      <c r="J6" s="61"/>
      <c r="K6" s="62"/>
      <c r="L6" s="33"/>
      <c r="M6" s="33"/>
      <c r="N6" s="33"/>
      <c r="O6" s="33"/>
      <c r="P6" s="33"/>
      <c r="Q6" s="96"/>
      <c r="R6" s="97"/>
      <c r="S6" s="98"/>
      <c r="T6" s="62"/>
      <c r="U6" s="8"/>
      <c r="V6" s="33"/>
      <c r="W6" s="134"/>
      <c r="X6" s="61"/>
      <c r="AL6" s="156"/>
      <c r="AM6" s="156"/>
      <c r="AN6" s="156"/>
      <c r="AO6" s="156"/>
      <c r="AP6" s="156"/>
      <c r="AQ6" s="156"/>
      <c r="AR6" s="156"/>
      <c r="AS6" s="156"/>
      <c r="AT6" s="156"/>
      <c r="AU6" s="156"/>
      <c r="AV6" s="156"/>
      <c r="AW6" s="156"/>
      <c r="AX6" s="156"/>
      <c r="AY6" s="156"/>
      <c r="AZ6" s="156"/>
      <c r="BA6" s="156"/>
      <c r="BB6" s="156"/>
      <c r="BC6" s="156"/>
      <c r="BD6" s="156"/>
      <c r="BE6" s="156"/>
      <c r="BF6" s="156"/>
      <c r="BG6" s="156"/>
      <c r="BH6" s="156"/>
    </row>
    <row r="7" spans="1:60" s="1" customFormat="1">
      <c r="B7" s="7"/>
      <c r="C7" s="8"/>
      <c r="D7" s="9"/>
      <c r="E7" s="33"/>
      <c r="F7" s="33"/>
      <c r="G7" s="34"/>
      <c r="H7" s="35"/>
      <c r="I7" s="35"/>
      <c r="J7" s="61"/>
      <c r="K7" s="62"/>
      <c r="L7" s="33"/>
      <c r="M7" s="33"/>
      <c r="N7" s="33"/>
      <c r="O7" s="33"/>
      <c r="P7" s="33"/>
      <c r="Q7" s="96"/>
      <c r="R7" s="97"/>
      <c r="S7" s="98"/>
      <c r="T7" s="62"/>
      <c r="U7" s="8"/>
      <c r="V7" s="135"/>
      <c r="W7" s="134"/>
      <c r="X7" s="61"/>
      <c r="AL7" s="156"/>
      <c r="AM7" s="156"/>
      <c r="AN7" s="156"/>
      <c r="AO7" s="156"/>
      <c r="AP7" s="156"/>
      <c r="AQ7" s="156"/>
      <c r="AR7" s="156"/>
      <c r="AS7" s="156"/>
      <c r="AT7" s="156"/>
      <c r="AU7" s="156"/>
      <c r="AV7" s="156"/>
      <c r="AW7" s="156"/>
      <c r="AX7" s="156"/>
      <c r="AY7" s="156"/>
      <c r="AZ7" s="156"/>
      <c r="BA7" s="156"/>
      <c r="BB7" s="156"/>
      <c r="BC7" s="156"/>
      <c r="BD7" s="156"/>
      <c r="BE7" s="156"/>
      <c r="BF7" s="156"/>
      <c r="BG7" s="156"/>
      <c r="BH7" s="156"/>
    </row>
    <row r="8" spans="1:60">
      <c r="A8" s="1">
        <v>1</v>
      </c>
      <c r="B8" s="7" t="s">
        <v>20</v>
      </c>
      <c r="C8" s="10">
        <v>20</v>
      </c>
      <c r="D8" s="11">
        <v>19</v>
      </c>
      <c r="E8" s="36"/>
      <c r="F8" s="36"/>
      <c r="G8" s="37">
        <v>3</v>
      </c>
      <c r="H8" s="38"/>
      <c r="I8" s="38">
        <f>C8-G8</f>
        <v>17</v>
      </c>
      <c r="J8" s="63">
        <f t="shared" ref="J8:J13" si="0">D8-H8</f>
        <v>19</v>
      </c>
      <c r="K8" s="62"/>
      <c r="L8" s="36"/>
      <c r="M8" s="36"/>
      <c r="N8" s="36"/>
      <c r="O8" s="36"/>
      <c r="P8" s="36">
        <v>3</v>
      </c>
      <c r="Q8" s="99"/>
      <c r="R8" s="100">
        <f t="shared" ref="R8:S12" si="1">L8+N8+P8</f>
        <v>3</v>
      </c>
      <c r="S8" s="101">
        <f t="shared" si="1"/>
        <v>0</v>
      </c>
      <c r="T8" s="62"/>
      <c r="U8" s="8">
        <f>L8*24+N8*24+P8*24</f>
        <v>72</v>
      </c>
      <c r="V8" s="135">
        <f>U8/24</f>
        <v>3</v>
      </c>
      <c r="W8" s="134">
        <f t="shared" ref="W8:W13" si="2">I8*24+J8</f>
        <v>427</v>
      </c>
      <c r="X8" s="61"/>
      <c r="AL8" s="157"/>
      <c r="AM8" s="157"/>
      <c r="AN8" s="157"/>
      <c r="AO8" s="157"/>
      <c r="AP8" s="157"/>
      <c r="AQ8" s="157"/>
      <c r="AR8" s="157"/>
      <c r="AS8" s="157"/>
      <c r="AT8" s="157"/>
      <c r="AU8" s="157"/>
      <c r="AV8" s="157"/>
      <c r="AW8" s="157"/>
      <c r="AX8" s="157"/>
      <c r="AY8" s="157"/>
      <c r="AZ8" s="157"/>
      <c r="BA8" s="157"/>
      <c r="BB8" s="157"/>
      <c r="BC8" s="157"/>
      <c r="BD8" s="157"/>
      <c r="BE8" s="157"/>
      <c r="BF8" s="157"/>
      <c r="BG8" s="157"/>
      <c r="BH8" s="157"/>
    </row>
    <row r="9" spans="1:60">
      <c r="A9" s="1">
        <f t="shared" ref="A9:A59" si="3">A8+1</f>
        <v>2</v>
      </c>
      <c r="B9" s="12" t="s">
        <v>21</v>
      </c>
      <c r="C9" s="13">
        <v>85</v>
      </c>
      <c r="D9" s="14"/>
      <c r="E9" s="39"/>
      <c r="F9" s="39"/>
      <c r="G9" s="40">
        <v>4</v>
      </c>
      <c r="H9" s="41"/>
      <c r="I9" s="40">
        <f t="shared" ref="I9:J59" si="4">C9-G9</f>
        <v>81</v>
      </c>
      <c r="J9" s="64">
        <f t="shared" si="0"/>
        <v>0</v>
      </c>
      <c r="K9" s="65"/>
      <c r="L9" s="51"/>
      <c r="M9" s="51"/>
      <c r="N9" s="51">
        <v>1</v>
      </c>
      <c r="O9" s="51"/>
      <c r="P9" s="51">
        <v>3</v>
      </c>
      <c r="Q9" s="102"/>
      <c r="R9" s="103">
        <f t="shared" si="1"/>
        <v>4</v>
      </c>
      <c r="S9" s="104">
        <f t="shared" si="1"/>
        <v>0</v>
      </c>
      <c r="T9" s="65"/>
      <c r="U9" s="136">
        <f>L9*24+N9*24+P9*24</f>
        <v>96</v>
      </c>
      <c r="V9" s="137">
        <f>U9/24</f>
        <v>4</v>
      </c>
      <c r="W9" s="138">
        <f t="shared" si="2"/>
        <v>1944</v>
      </c>
      <c r="X9" s="139"/>
      <c r="AL9" s="157"/>
      <c r="AM9" s="157"/>
      <c r="AN9" s="157"/>
      <c r="AO9" s="157"/>
      <c r="AP9" s="157"/>
      <c r="AQ9" s="157"/>
      <c r="AR9" s="157"/>
      <c r="AS9" s="157"/>
      <c r="AT9" s="157"/>
      <c r="AU9" s="157"/>
      <c r="AV9" s="157"/>
      <c r="AW9" s="157"/>
      <c r="AX9" s="157"/>
      <c r="AY9" s="157"/>
      <c r="AZ9" s="157"/>
      <c r="BA9" s="157"/>
      <c r="BB9" s="157"/>
      <c r="BC9" s="157"/>
      <c r="BD9" s="157"/>
      <c r="BE9" s="157"/>
      <c r="BF9" s="157"/>
      <c r="BG9" s="157"/>
      <c r="BH9" s="157"/>
    </row>
    <row r="10" spans="1:60">
      <c r="A10" s="1">
        <f t="shared" si="3"/>
        <v>3</v>
      </c>
      <c r="B10" s="7" t="s">
        <v>22</v>
      </c>
      <c r="C10" s="10">
        <v>48</v>
      </c>
      <c r="D10" s="11"/>
      <c r="E10" s="36"/>
      <c r="F10" s="36"/>
      <c r="G10" s="37"/>
      <c r="H10" s="38"/>
      <c r="I10" s="38">
        <f t="shared" si="4"/>
        <v>48</v>
      </c>
      <c r="J10" s="66">
        <f t="shared" si="0"/>
        <v>0</v>
      </c>
      <c r="K10" s="62"/>
      <c r="L10" s="36"/>
      <c r="M10" s="36"/>
      <c r="N10" s="36"/>
      <c r="O10" s="36"/>
      <c r="P10" s="36"/>
      <c r="Q10" s="99"/>
      <c r="R10" s="105">
        <f t="shared" si="1"/>
        <v>0</v>
      </c>
      <c r="S10" s="106">
        <f t="shared" si="1"/>
        <v>0</v>
      </c>
      <c r="T10" s="62"/>
      <c r="U10" s="8">
        <f>L10*24+N10*24+P10*24</f>
        <v>0</v>
      </c>
      <c r="V10" s="140">
        <f>U10/24</f>
        <v>0</v>
      </c>
      <c r="W10" s="134">
        <f t="shared" si="2"/>
        <v>1152</v>
      </c>
      <c r="X10" s="61"/>
      <c r="AL10" s="157"/>
      <c r="AM10" s="157"/>
      <c r="AN10" s="157"/>
      <c r="AO10" s="157"/>
      <c r="AP10" s="157"/>
      <c r="AQ10" s="157"/>
      <c r="AR10" s="157"/>
      <c r="AS10" s="157"/>
      <c r="AT10" s="157"/>
      <c r="AU10" s="157"/>
      <c r="AV10" s="157"/>
      <c r="AW10" s="157"/>
      <c r="AX10" s="157"/>
      <c r="AY10" s="157"/>
      <c r="AZ10" s="157"/>
      <c r="BA10" s="157"/>
      <c r="BB10" s="157"/>
      <c r="BC10" s="157"/>
      <c r="BD10" s="157"/>
      <c r="BE10" s="157"/>
      <c r="BF10" s="157"/>
      <c r="BG10" s="157"/>
      <c r="BH10" s="157"/>
    </row>
    <row r="11" spans="1:60">
      <c r="A11" s="1">
        <f t="shared" si="3"/>
        <v>4</v>
      </c>
      <c r="B11" s="15" t="s">
        <v>23</v>
      </c>
      <c r="C11" s="10">
        <v>51</v>
      </c>
      <c r="D11" s="11"/>
      <c r="E11" s="36"/>
      <c r="F11" s="36"/>
      <c r="G11" s="37"/>
      <c r="H11" s="38"/>
      <c r="I11" s="38">
        <f t="shared" si="4"/>
        <v>51</v>
      </c>
      <c r="J11" s="63">
        <f t="shared" si="0"/>
        <v>0</v>
      </c>
      <c r="K11" s="62"/>
      <c r="L11" s="36"/>
      <c r="M11" s="36"/>
      <c r="N11" s="36"/>
      <c r="O11" s="36"/>
      <c r="P11" s="36"/>
      <c r="Q11" s="99"/>
      <c r="R11" s="100">
        <f t="shared" si="1"/>
        <v>0</v>
      </c>
      <c r="S11" s="101">
        <f t="shared" si="1"/>
        <v>0</v>
      </c>
      <c r="T11" s="62"/>
      <c r="U11" s="8">
        <f>L11*24+N11*24+P11*24</f>
        <v>0</v>
      </c>
      <c r="V11" s="135">
        <f>U11/24</f>
        <v>0</v>
      </c>
      <c r="W11" s="134">
        <f t="shared" si="2"/>
        <v>1224</v>
      </c>
      <c r="X11" s="61"/>
      <c r="AL11" s="157"/>
      <c r="AM11" s="157"/>
      <c r="AN11" s="157"/>
      <c r="AO11" s="157"/>
      <c r="AP11" s="157"/>
      <c r="AQ11" s="157"/>
      <c r="AR11" s="157"/>
      <c r="AS11" s="157"/>
      <c r="AT11" s="157"/>
      <c r="AU11" s="157"/>
      <c r="AV11" s="157"/>
      <c r="AW11" s="157"/>
      <c r="AX11" s="157"/>
      <c r="AY11" s="157"/>
      <c r="AZ11" s="157"/>
      <c r="BA11" s="157"/>
      <c r="BB11" s="157"/>
      <c r="BC11" s="157"/>
      <c r="BD11" s="157"/>
      <c r="BE11" s="157"/>
      <c r="BF11" s="157"/>
      <c r="BG11" s="157"/>
      <c r="BH11" s="157"/>
    </row>
    <row r="12" spans="1:60">
      <c r="A12" s="1">
        <f t="shared" si="3"/>
        <v>5</v>
      </c>
      <c r="B12" s="15" t="s">
        <v>24</v>
      </c>
      <c r="C12" s="10">
        <v>1</v>
      </c>
      <c r="D12" s="11"/>
      <c r="E12" s="36"/>
      <c r="F12" s="36"/>
      <c r="G12" s="37"/>
      <c r="H12" s="38"/>
      <c r="I12" s="38">
        <f t="shared" si="4"/>
        <v>1</v>
      </c>
      <c r="J12" s="63">
        <f t="shared" si="0"/>
        <v>0</v>
      </c>
      <c r="K12" s="62"/>
      <c r="L12" s="36"/>
      <c r="M12" s="36"/>
      <c r="N12" s="36"/>
      <c r="O12" s="36"/>
      <c r="P12" s="36"/>
      <c r="Q12" s="99"/>
      <c r="R12" s="100">
        <f t="shared" si="1"/>
        <v>0</v>
      </c>
      <c r="S12" s="101">
        <f t="shared" si="1"/>
        <v>0</v>
      </c>
      <c r="T12" s="62"/>
      <c r="U12" s="8">
        <f t="shared" ref="U12:U37" si="5">L12*24+N12*24+P12*24</f>
        <v>0</v>
      </c>
      <c r="V12" s="135">
        <f t="shared" ref="V12:V41" si="6">U12/24</f>
        <v>0</v>
      </c>
      <c r="W12" s="134">
        <f t="shared" si="2"/>
        <v>24</v>
      </c>
      <c r="X12" s="61"/>
      <c r="AL12" s="157"/>
      <c r="AM12" s="157"/>
      <c r="AN12" s="157"/>
      <c r="AO12" s="157"/>
      <c r="AP12" s="157"/>
      <c r="AQ12" s="157"/>
      <c r="AR12" s="157"/>
      <c r="AS12" s="157"/>
      <c r="AT12" s="157"/>
      <c r="AU12" s="157"/>
      <c r="AV12" s="157"/>
      <c r="AW12" s="157"/>
      <c r="AX12" s="157"/>
      <c r="AY12" s="157"/>
      <c r="AZ12" s="157"/>
      <c r="BA12" s="157"/>
      <c r="BB12" s="157"/>
      <c r="BC12" s="157"/>
      <c r="BD12" s="157"/>
      <c r="BE12" s="157"/>
      <c r="BF12" s="157"/>
      <c r="BG12" s="157"/>
      <c r="BH12" s="157"/>
    </row>
    <row r="13" spans="1:60" s="2" customFormat="1">
      <c r="A13" s="1">
        <f t="shared" si="3"/>
        <v>6</v>
      </c>
      <c r="B13" s="12" t="s">
        <v>25</v>
      </c>
      <c r="C13" s="13">
        <v>3500</v>
      </c>
      <c r="D13" s="14"/>
      <c r="E13" s="39"/>
      <c r="F13" s="39"/>
      <c r="G13" s="40">
        <v>32</v>
      </c>
      <c r="H13" s="41">
        <v>23</v>
      </c>
      <c r="I13" s="44">
        <f t="shared" si="4"/>
        <v>3468</v>
      </c>
      <c r="J13" s="64">
        <f t="shared" si="0"/>
        <v>-23</v>
      </c>
      <c r="K13" s="67"/>
      <c r="L13" s="51">
        <v>5</v>
      </c>
      <c r="M13" s="51">
        <v>4</v>
      </c>
      <c r="N13" s="51">
        <v>10</v>
      </c>
      <c r="O13" s="51"/>
      <c r="P13" s="51">
        <v>17</v>
      </c>
      <c r="Q13" s="102">
        <v>19</v>
      </c>
      <c r="R13" s="107">
        <f>L13+N13+P13</f>
        <v>32</v>
      </c>
      <c r="S13" s="104">
        <f>M13+O13+Q13</f>
        <v>23</v>
      </c>
      <c r="T13" s="67"/>
      <c r="U13" s="136">
        <f t="shared" si="5"/>
        <v>768</v>
      </c>
      <c r="V13" s="141">
        <f t="shared" si="6"/>
        <v>32</v>
      </c>
      <c r="W13" s="138">
        <f t="shared" si="2"/>
        <v>83209</v>
      </c>
      <c r="X13" s="139"/>
      <c r="Y13" s="3"/>
      <c r="AD13" s="3"/>
      <c r="AG13" s="3"/>
      <c r="AH13" s="3"/>
      <c r="AI13" s="3"/>
      <c r="AJ13" s="3"/>
      <c r="AK13" s="3"/>
      <c r="AL13" s="157"/>
      <c r="AM13" s="157"/>
      <c r="AN13" s="157"/>
      <c r="AO13" s="157"/>
      <c r="AP13" s="157"/>
      <c r="AQ13" s="157"/>
      <c r="AR13" s="157"/>
      <c r="AS13" s="157"/>
      <c r="AT13" s="157"/>
      <c r="AU13" s="157"/>
      <c r="AV13" s="157"/>
      <c r="AW13" s="157"/>
      <c r="AX13" s="157"/>
      <c r="AY13" s="157"/>
      <c r="AZ13" s="157"/>
      <c r="BA13" s="157"/>
      <c r="BB13" s="157"/>
      <c r="BC13" s="157"/>
      <c r="BD13" s="157"/>
      <c r="BE13" s="157"/>
      <c r="BF13" s="157"/>
      <c r="BG13" s="157"/>
      <c r="BH13" s="157"/>
    </row>
    <row r="14" spans="1:60">
      <c r="A14" s="1">
        <f t="shared" si="3"/>
        <v>7</v>
      </c>
      <c r="B14" s="7" t="s">
        <v>26</v>
      </c>
      <c r="C14" s="10">
        <v>3</v>
      </c>
      <c r="D14" s="11">
        <v>16</v>
      </c>
      <c r="E14" s="36"/>
      <c r="F14" s="36"/>
      <c r="G14" s="37"/>
      <c r="H14" s="38"/>
      <c r="I14" s="68">
        <f t="shared" si="4"/>
        <v>3</v>
      </c>
      <c r="J14" s="66">
        <f t="shared" si="4"/>
        <v>16</v>
      </c>
      <c r="K14" s="62"/>
      <c r="L14" s="36"/>
      <c r="M14" s="36"/>
      <c r="N14" s="36"/>
      <c r="O14" s="36"/>
      <c r="P14" s="36"/>
      <c r="Q14" s="99"/>
      <c r="R14" s="108">
        <f t="shared" ref="R14:S59" si="7">L14+N14+P14</f>
        <v>0</v>
      </c>
      <c r="S14" s="106">
        <f t="shared" si="7"/>
        <v>0</v>
      </c>
      <c r="T14" s="62"/>
      <c r="U14" s="8">
        <f t="shared" si="5"/>
        <v>0</v>
      </c>
      <c r="V14" s="33">
        <f t="shared" si="6"/>
        <v>0</v>
      </c>
      <c r="W14" s="134">
        <f t="shared" ref="W14:W37" si="8">I14*24+J14</f>
        <v>88</v>
      </c>
      <c r="X14" s="61"/>
      <c r="AL14" s="157"/>
      <c r="AM14" s="157"/>
      <c r="AN14" s="157"/>
      <c r="AO14" s="157"/>
      <c r="AP14" s="157"/>
      <c r="AQ14" s="157"/>
      <c r="AR14" s="157"/>
      <c r="AS14" s="157"/>
      <c r="AT14" s="157"/>
      <c r="AU14" s="157"/>
      <c r="AV14" s="157"/>
      <c r="AW14" s="157"/>
      <c r="AX14" s="157"/>
      <c r="AY14" s="157"/>
      <c r="AZ14" s="157"/>
      <c r="BA14" s="157"/>
      <c r="BB14" s="157"/>
      <c r="BC14" s="157"/>
      <c r="BD14" s="157"/>
      <c r="BE14" s="157"/>
      <c r="BF14" s="157"/>
      <c r="BG14" s="157"/>
      <c r="BH14" s="157"/>
    </row>
    <row r="15" spans="1:60">
      <c r="A15" s="1">
        <f t="shared" si="3"/>
        <v>8</v>
      </c>
      <c r="B15" s="15" t="s">
        <v>27</v>
      </c>
      <c r="C15" s="10">
        <v>4</v>
      </c>
      <c r="D15" s="11"/>
      <c r="E15" s="36"/>
      <c r="F15" s="36"/>
      <c r="G15" s="37"/>
      <c r="H15" s="38"/>
      <c r="I15" s="38">
        <f t="shared" si="4"/>
        <v>4</v>
      </c>
      <c r="J15" s="63">
        <f t="shared" si="4"/>
        <v>0</v>
      </c>
      <c r="K15" s="62"/>
      <c r="L15" s="36"/>
      <c r="M15" s="36"/>
      <c r="N15" s="36"/>
      <c r="O15" s="36"/>
      <c r="P15" s="36"/>
      <c r="Q15" s="99"/>
      <c r="R15" s="100">
        <f t="shared" si="7"/>
        <v>0</v>
      </c>
      <c r="S15" s="101">
        <f t="shared" si="7"/>
        <v>0</v>
      </c>
      <c r="T15" s="62"/>
      <c r="U15" s="8">
        <f t="shared" si="5"/>
        <v>0</v>
      </c>
      <c r="V15" s="135">
        <f t="shared" si="6"/>
        <v>0</v>
      </c>
      <c r="W15" s="134">
        <f t="shared" si="8"/>
        <v>96</v>
      </c>
      <c r="X15" s="61"/>
      <c r="AL15" s="157"/>
      <c r="AM15" s="157"/>
      <c r="AN15" s="157"/>
      <c r="AO15" s="157"/>
      <c r="AP15" s="157"/>
      <c r="AQ15" s="157"/>
      <c r="AR15" s="157"/>
      <c r="AS15" s="157"/>
      <c r="AT15" s="157"/>
      <c r="AU15" s="157"/>
      <c r="AV15" s="157"/>
      <c r="AW15" s="157"/>
      <c r="AX15" s="157"/>
      <c r="AY15" s="157"/>
      <c r="AZ15" s="157"/>
      <c r="BA15" s="157"/>
      <c r="BB15" s="157"/>
      <c r="BC15" s="157"/>
      <c r="BD15" s="157"/>
      <c r="BE15" s="157"/>
      <c r="BF15" s="157"/>
      <c r="BG15" s="157"/>
      <c r="BH15" s="157"/>
    </row>
    <row r="16" spans="1:60">
      <c r="A16" s="1">
        <f t="shared" si="3"/>
        <v>9</v>
      </c>
      <c r="B16" s="15" t="s">
        <v>28</v>
      </c>
      <c r="C16" s="10">
        <v>1</v>
      </c>
      <c r="D16" s="11"/>
      <c r="E16" s="36"/>
      <c r="F16" s="36"/>
      <c r="G16" s="37"/>
      <c r="H16" s="38"/>
      <c r="I16" s="38">
        <f t="shared" si="4"/>
        <v>1</v>
      </c>
      <c r="J16" s="63">
        <f t="shared" si="4"/>
        <v>0</v>
      </c>
      <c r="K16" s="62"/>
      <c r="L16" s="36"/>
      <c r="M16" s="36"/>
      <c r="N16" s="36"/>
      <c r="O16" s="36"/>
      <c r="P16" s="36"/>
      <c r="Q16" s="99"/>
      <c r="R16" s="100">
        <f t="shared" si="7"/>
        <v>0</v>
      </c>
      <c r="S16" s="101">
        <f t="shared" si="7"/>
        <v>0</v>
      </c>
      <c r="T16" s="62"/>
      <c r="U16" s="8">
        <f t="shared" si="5"/>
        <v>0</v>
      </c>
      <c r="V16" s="135">
        <f t="shared" si="6"/>
        <v>0</v>
      </c>
      <c r="W16" s="134">
        <f t="shared" si="8"/>
        <v>24</v>
      </c>
      <c r="X16" s="61"/>
      <c r="AL16" s="157"/>
      <c r="AM16" s="157"/>
      <c r="AN16" s="157"/>
      <c r="AO16" s="157"/>
      <c r="AP16" s="157"/>
      <c r="AQ16" s="157"/>
      <c r="AR16" s="157"/>
      <c r="AS16" s="157"/>
      <c r="AT16" s="157"/>
      <c r="AU16" s="157"/>
      <c r="AV16" s="157"/>
      <c r="AW16" s="157"/>
      <c r="AX16" s="157"/>
      <c r="AY16" s="157"/>
      <c r="AZ16" s="157"/>
      <c r="BA16" s="157"/>
      <c r="BB16" s="157"/>
      <c r="BC16" s="157"/>
      <c r="BD16" s="157"/>
      <c r="BE16" s="157"/>
      <c r="BF16" s="157"/>
      <c r="BG16" s="157"/>
      <c r="BH16" s="157"/>
    </row>
    <row r="17" spans="1:60">
      <c r="A17" s="1">
        <f t="shared" si="3"/>
        <v>10</v>
      </c>
      <c r="B17" s="15" t="s">
        <v>29</v>
      </c>
      <c r="C17" s="10"/>
      <c r="D17" s="11"/>
      <c r="E17" s="36"/>
      <c r="F17" s="36"/>
      <c r="G17" s="37"/>
      <c r="H17" s="38"/>
      <c r="I17" s="38">
        <f t="shared" si="4"/>
        <v>0</v>
      </c>
      <c r="J17" s="63">
        <f t="shared" si="4"/>
        <v>0</v>
      </c>
      <c r="K17" s="62"/>
      <c r="L17" s="36"/>
      <c r="M17" s="36"/>
      <c r="N17" s="36"/>
      <c r="O17" s="36"/>
      <c r="P17" s="36"/>
      <c r="Q17" s="99"/>
      <c r="R17" s="100">
        <f t="shared" si="7"/>
        <v>0</v>
      </c>
      <c r="S17" s="101">
        <f t="shared" si="7"/>
        <v>0</v>
      </c>
      <c r="T17" s="62"/>
      <c r="U17" s="8">
        <f t="shared" si="5"/>
        <v>0</v>
      </c>
      <c r="V17" s="135">
        <f t="shared" si="6"/>
        <v>0</v>
      </c>
      <c r="W17" s="134">
        <f t="shared" si="8"/>
        <v>0</v>
      </c>
      <c r="X17" s="61"/>
      <c r="AL17" s="157"/>
      <c r="AM17" s="157"/>
      <c r="AN17" s="157"/>
      <c r="AO17" s="157"/>
      <c r="AP17" s="157"/>
      <c r="AQ17" s="157"/>
      <c r="AR17" s="157"/>
      <c r="AS17" s="157"/>
      <c r="AT17" s="157"/>
      <c r="AU17" s="157"/>
      <c r="AV17" s="157"/>
      <c r="AW17" s="157"/>
      <c r="AX17" s="157"/>
      <c r="AY17" s="157"/>
      <c r="AZ17" s="157"/>
      <c r="BA17" s="157"/>
      <c r="BB17" s="157"/>
      <c r="BC17" s="157"/>
      <c r="BD17" s="157"/>
      <c r="BE17" s="157"/>
      <c r="BF17" s="157"/>
      <c r="BG17" s="157"/>
      <c r="BH17" s="157"/>
    </row>
    <row r="18" spans="1:60">
      <c r="A18" s="1">
        <f t="shared" si="3"/>
        <v>11</v>
      </c>
      <c r="B18" s="15" t="s">
        <v>30</v>
      </c>
      <c r="C18" s="10">
        <v>3</v>
      </c>
      <c r="D18" s="11"/>
      <c r="E18" s="36"/>
      <c r="F18" s="36"/>
      <c r="G18" s="37"/>
      <c r="H18" s="38"/>
      <c r="I18" s="38">
        <f t="shared" si="4"/>
        <v>3</v>
      </c>
      <c r="J18" s="63">
        <f t="shared" si="4"/>
        <v>0</v>
      </c>
      <c r="K18" s="62"/>
      <c r="L18" s="36"/>
      <c r="M18" s="36"/>
      <c r="N18" s="36"/>
      <c r="O18" s="36"/>
      <c r="P18" s="36"/>
      <c r="Q18" s="99"/>
      <c r="R18" s="100">
        <f t="shared" si="7"/>
        <v>0</v>
      </c>
      <c r="S18" s="101">
        <f t="shared" si="7"/>
        <v>0</v>
      </c>
      <c r="T18" s="62"/>
      <c r="U18" s="8">
        <f t="shared" si="5"/>
        <v>0</v>
      </c>
      <c r="V18" s="135">
        <f t="shared" si="6"/>
        <v>0</v>
      </c>
      <c r="W18" s="134">
        <f t="shared" si="8"/>
        <v>72</v>
      </c>
      <c r="X18" s="61"/>
      <c r="AL18" s="157"/>
      <c r="AM18" s="157"/>
      <c r="AN18" s="157"/>
      <c r="AO18" s="157"/>
      <c r="AP18" s="157"/>
      <c r="AQ18" s="157"/>
      <c r="AR18" s="157"/>
      <c r="AS18" s="157"/>
      <c r="AT18" s="157"/>
      <c r="AU18" s="157"/>
      <c r="AV18" s="157"/>
      <c r="AW18" s="157"/>
      <c r="AX18" s="157"/>
      <c r="AY18" s="157"/>
      <c r="AZ18" s="157"/>
      <c r="BA18" s="157"/>
      <c r="BB18" s="157"/>
      <c r="BC18" s="157"/>
      <c r="BD18" s="157"/>
      <c r="BE18" s="157"/>
      <c r="BF18" s="157"/>
      <c r="BG18" s="157"/>
      <c r="BH18" s="157"/>
    </row>
    <row r="19" spans="1:60" ht="18.75" hidden="1" customHeight="1">
      <c r="A19" s="1">
        <f t="shared" si="3"/>
        <v>12</v>
      </c>
      <c r="B19" s="15" t="s">
        <v>31</v>
      </c>
      <c r="C19" s="10"/>
      <c r="D19" s="11"/>
      <c r="E19" s="36"/>
      <c r="F19" s="36"/>
      <c r="G19" s="37"/>
      <c r="H19" s="38"/>
      <c r="I19" s="38">
        <f t="shared" si="4"/>
        <v>0</v>
      </c>
      <c r="J19" s="63">
        <f t="shared" si="4"/>
        <v>0</v>
      </c>
      <c r="K19" s="62"/>
      <c r="L19" s="36"/>
      <c r="M19" s="36"/>
      <c r="N19" s="36"/>
      <c r="O19" s="36"/>
      <c r="P19" s="36"/>
      <c r="Q19" s="99"/>
      <c r="R19" s="100">
        <f t="shared" si="7"/>
        <v>0</v>
      </c>
      <c r="S19" s="101">
        <f t="shared" si="7"/>
        <v>0</v>
      </c>
      <c r="T19" s="62"/>
      <c r="U19" s="8">
        <f t="shared" si="5"/>
        <v>0</v>
      </c>
      <c r="V19" s="135">
        <f t="shared" si="6"/>
        <v>0</v>
      </c>
      <c r="W19" s="134">
        <f t="shared" si="8"/>
        <v>0</v>
      </c>
      <c r="X19" s="61"/>
      <c r="AL19" s="157"/>
      <c r="AM19" s="157"/>
      <c r="AN19" s="157"/>
      <c r="AO19" s="157"/>
      <c r="AP19" s="157"/>
      <c r="AQ19" s="157"/>
      <c r="AR19" s="157"/>
      <c r="AS19" s="157"/>
      <c r="AT19" s="157"/>
      <c r="AU19" s="157"/>
      <c r="AV19" s="157"/>
      <c r="AW19" s="157"/>
      <c r="AX19" s="157"/>
      <c r="AY19" s="157"/>
      <c r="AZ19" s="157"/>
      <c r="BA19" s="157"/>
      <c r="BB19" s="157"/>
      <c r="BC19" s="157"/>
      <c r="BD19" s="157"/>
      <c r="BE19" s="157"/>
      <c r="BF19" s="157"/>
      <c r="BG19" s="157"/>
      <c r="BH19" s="157"/>
    </row>
    <row r="20" spans="1:60">
      <c r="A20" s="1">
        <f t="shared" si="3"/>
        <v>13</v>
      </c>
      <c r="B20" s="15" t="s">
        <v>32</v>
      </c>
      <c r="C20" s="10">
        <v>4</v>
      </c>
      <c r="D20" s="11">
        <v>20</v>
      </c>
      <c r="E20" s="36"/>
      <c r="F20" s="36"/>
      <c r="G20" s="37"/>
      <c r="H20" s="38"/>
      <c r="I20" s="38">
        <f t="shared" si="4"/>
        <v>4</v>
      </c>
      <c r="J20" s="63">
        <f t="shared" si="4"/>
        <v>20</v>
      </c>
      <c r="K20" s="62"/>
      <c r="L20" s="36"/>
      <c r="M20" s="36"/>
      <c r="N20" s="36"/>
      <c r="O20" s="36"/>
      <c r="P20" s="36"/>
      <c r="Q20" s="99"/>
      <c r="R20" s="100">
        <f t="shared" si="7"/>
        <v>0</v>
      </c>
      <c r="S20" s="101">
        <f t="shared" si="7"/>
        <v>0</v>
      </c>
      <c r="T20" s="62"/>
      <c r="U20" s="8">
        <f t="shared" si="5"/>
        <v>0</v>
      </c>
      <c r="V20" s="135">
        <f t="shared" si="6"/>
        <v>0</v>
      </c>
      <c r="W20" s="134">
        <f t="shared" si="8"/>
        <v>116</v>
      </c>
      <c r="X20" s="61"/>
      <c r="AL20" s="157"/>
      <c r="AM20" s="157"/>
      <c r="AN20" s="157"/>
      <c r="AO20" s="157"/>
      <c r="AP20" s="157"/>
      <c r="AQ20" s="157"/>
      <c r="AR20" s="157"/>
      <c r="AS20" s="157"/>
      <c r="AT20" s="157"/>
      <c r="AU20" s="157"/>
      <c r="AV20" s="157"/>
      <c r="AW20" s="157"/>
      <c r="AX20" s="157"/>
      <c r="AY20" s="157"/>
      <c r="AZ20" s="157"/>
      <c r="BA20" s="157"/>
      <c r="BB20" s="157"/>
      <c r="BC20" s="157"/>
      <c r="BD20" s="157"/>
      <c r="BE20" s="157"/>
      <c r="BF20" s="157"/>
      <c r="BG20" s="157"/>
      <c r="BH20" s="157"/>
    </row>
    <row r="21" spans="1:60">
      <c r="A21" s="1">
        <f t="shared" si="3"/>
        <v>14</v>
      </c>
      <c r="B21" s="15" t="s">
        <v>33</v>
      </c>
      <c r="C21" s="10">
        <v>7</v>
      </c>
      <c r="D21" s="11">
        <v>16</v>
      </c>
      <c r="E21" s="36"/>
      <c r="F21" s="36"/>
      <c r="G21" s="37"/>
      <c r="H21" s="38"/>
      <c r="I21" s="38">
        <f t="shared" si="4"/>
        <v>7</v>
      </c>
      <c r="J21" s="63">
        <f t="shared" si="4"/>
        <v>16</v>
      </c>
      <c r="K21" s="62"/>
      <c r="L21" s="36"/>
      <c r="M21" s="36"/>
      <c r="N21" s="36"/>
      <c r="O21" s="36"/>
      <c r="P21" s="36"/>
      <c r="Q21" s="99"/>
      <c r="R21" s="100">
        <f t="shared" si="7"/>
        <v>0</v>
      </c>
      <c r="S21" s="101">
        <f t="shared" si="7"/>
        <v>0</v>
      </c>
      <c r="T21" s="62"/>
      <c r="U21" s="8">
        <f t="shared" si="5"/>
        <v>0</v>
      </c>
      <c r="V21" s="135">
        <f t="shared" si="6"/>
        <v>0</v>
      </c>
      <c r="W21" s="134">
        <f t="shared" si="8"/>
        <v>184</v>
      </c>
      <c r="X21" s="61"/>
      <c r="AL21" s="157"/>
      <c r="AM21" s="157"/>
      <c r="AN21" s="157"/>
      <c r="AO21" s="157"/>
      <c r="AP21" s="157"/>
      <c r="AQ21" s="157"/>
      <c r="AR21" s="157"/>
      <c r="AS21" s="157"/>
      <c r="AT21" s="157"/>
      <c r="AU21" s="157"/>
      <c r="AV21" s="157"/>
      <c r="AW21" s="157"/>
      <c r="AX21" s="157"/>
      <c r="AY21" s="157"/>
      <c r="AZ21" s="157"/>
      <c r="BA21" s="157"/>
      <c r="BB21" s="157"/>
      <c r="BC21" s="157"/>
      <c r="BD21" s="157"/>
      <c r="BE21" s="157"/>
      <c r="BF21" s="157"/>
      <c r="BG21" s="157"/>
      <c r="BH21" s="157"/>
    </row>
    <row r="22" spans="1:60">
      <c r="A22" s="1">
        <f t="shared" si="3"/>
        <v>15</v>
      </c>
      <c r="B22" s="15" t="s">
        <v>34</v>
      </c>
      <c r="C22" s="10">
        <v>4</v>
      </c>
      <c r="D22" s="11"/>
      <c r="E22" s="36"/>
      <c r="F22" s="36"/>
      <c r="G22" s="37"/>
      <c r="H22" s="38"/>
      <c r="I22" s="38">
        <f t="shared" si="4"/>
        <v>4</v>
      </c>
      <c r="J22" s="63">
        <f t="shared" si="4"/>
        <v>0</v>
      </c>
      <c r="K22" s="62"/>
      <c r="L22" s="36"/>
      <c r="M22" s="36"/>
      <c r="N22" s="36"/>
      <c r="O22" s="36"/>
      <c r="P22" s="36"/>
      <c r="Q22" s="99"/>
      <c r="R22" s="100">
        <f t="shared" si="7"/>
        <v>0</v>
      </c>
      <c r="S22" s="101">
        <f t="shared" si="7"/>
        <v>0</v>
      </c>
      <c r="T22" s="62"/>
      <c r="U22" s="8">
        <f t="shared" si="5"/>
        <v>0</v>
      </c>
      <c r="V22" s="135">
        <f t="shared" si="6"/>
        <v>0</v>
      </c>
      <c r="W22" s="134">
        <f t="shared" si="8"/>
        <v>96</v>
      </c>
      <c r="X22" s="61"/>
      <c r="AL22" s="157"/>
      <c r="AM22" s="157"/>
      <c r="AN22" s="157"/>
      <c r="AO22" s="157"/>
      <c r="AP22" s="157"/>
      <c r="AQ22" s="157"/>
      <c r="AR22" s="157"/>
      <c r="AS22" s="157"/>
      <c r="AT22" s="157"/>
      <c r="AU22" s="157"/>
      <c r="AV22" s="157"/>
      <c r="AW22" s="157"/>
      <c r="AX22" s="157"/>
      <c r="AY22" s="157"/>
      <c r="AZ22" s="157"/>
      <c r="BA22" s="157"/>
      <c r="BB22" s="157"/>
      <c r="BC22" s="157"/>
      <c r="BD22" s="157"/>
      <c r="BE22" s="157"/>
      <c r="BF22" s="157"/>
      <c r="BG22" s="157"/>
      <c r="BH22" s="157"/>
    </row>
    <row r="23" spans="1:60" s="2" customFormat="1">
      <c r="A23" s="1">
        <f t="shared" si="3"/>
        <v>16</v>
      </c>
      <c r="B23" s="15" t="s">
        <v>35</v>
      </c>
      <c r="C23" s="10">
        <v>1</v>
      </c>
      <c r="D23" s="11">
        <v>20</v>
      </c>
      <c r="E23" s="36"/>
      <c r="F23" s="36"/>
      <c r="G23" s="37"/>
      <c r="H23" s="38"/>
      <c r="I23" s="38">
        <f t="shared" si="4"/>
        <v>1</v>
      </c>
      <c r="J23" s="63">
        <f t="shared" si="4"/>
        <v>20</v>
      </c>
      <c r="K23" s="69"/>
      <c r="L23" s="36"/>
      <c r="M23" s="36"/>
      <c r="N23" s="36"/>
      <c r="O23" s="36"/>
      <c r="P23" s="36"/>
      <c r="Q23" s="99"/>
      <c r="R23" s="100">
        <f t="shared" si="7"/>
        <v>0</v>
      </c>
      <c r="S23" s="101">
        <f t="shared" si="7"/>
        <v>0</v>
      </c>
      <c r="T23" s="69"/>
      <c r="U23" s="8">
        <f t="shared" si="5"/>
        <v>0</v>
      </c>
      <c r="V23" s="135">
        <f t="shared" si="6"/>
        <v>0</v>
      </c>
      <c r="W23" s="134">
        <f t="shared" si="8"/>
        <v>44</v>
      </c>
      <c r="X23" s="61"/>
      <c r="Y23" s="3"/>
      <c r="AD23" s="3"/>
      <c r="AG23" s="3"/>
      <c r="AH23" s="3"/>
      <c r="AI23" s="3"/>
      <c r="AJ23" s="3"/>
      <c r="AK23" s="3"/>
      <c r="AL23" s="157"/>
      <c r="AM23" s="157"/>
      <c r="AN23" s="157"/>
      <c r="AO23" s="157"/>
      <c r="AP23" s="157"/>
      <c r="AQ23" s="157"/>
      <c r="AR23" s="157"/>
      <c r="AS23" s="157"/>
      <c r="AT23" s="157"/>
      <c r="AU23" s="157"/>
      <c r="AV23" s="157"/>
      <c r="AW23" s="157"/>
      <c r="AX23" s="157"/>
      <c r="AY23" s="157"/>
      <c r="AZ23" s="157"/>
      <c r="BA23" s="157"/>
      <c r="BB23" s="157"/>
      <c r="BC23" s="157"/>
      <c r="BD23" s="157"/>
      <c r="BE23" s="157"/>
      <c r="BF23" s="157"/>
      <c r="BG23" s="157"/>
      <c r="BH23" s="157"/>
    </row>
    <row r="24" spans="1:60" s="2" customFormat="1">
      <c r="A24" s="1">
        <f t="shared" si="3"/>
        <v>17</v>
      </c>
      <c r="B24" s="15" t="s">
        <v>36</v>
      </c>
      <c r="C24" s="10">
        <v>37</v>
      </c>
      <c r="D24" s="11">
        <v>19</v>
      </c>
      <c r="E24" s="36"/>
      <c r="F24" s="36"/>
      <c r="G24" s="37"/>
      <c r="H24" s="38"/>
      <c r="I24" s="38">
        <f t="shared" si="4"/>
        <v>37</v>
      </c>
      <c r="J24" s="63">
        <f t="shared" si="4"/>
        <v>19</v>
      </c>
      <c r="K24" s="69"/>
      <c r="L24" s="36"/>
      <c r="M24" s="36"/>
      <c r="N24" s="36"/>
      <c r="O24" s="36"/>
      <c r="P24" s="36"/>
      <c r="Q24" s="99"/>
      <c r="R24" s="100">
        <f t="shared" si="7"/>
        <v>0</v>
      </c>
      <c r="S24" s="101">
        <f t="shared" si="7"/>
        <v>0</v>
      </c>
      <c r="T24" s="69"/>
      <c r="U24" s="8">
        <f t="shared" si="5"/>
        <v>0</v>
      </c>
      <c r="V24" s="135">
        <f t="shared" si="6"/>
        <v>0</v>
      </c>
      <c r="W24" s="134">
        <f t="shared" si="8"/>
        <v>907</v>
      </c>
      <c r="X24" s="61"/>
      <c r="Y24" s="3"/>
      <c r="AD24" s="3"/>
      <c r="AG24" s="3"/>
      <c r="AH24" s="3"/>
      <c r="AI24" s="3"/>
      <c r="AJ24" s="3"/>
      <c r="AK24" s="3"/>
      <c r="AL24" s="157"/>
      <c r="AM24" s="157"/>
      <c r="AN24" s="157"/>
      <c r="AO24" s="157"/>
      <c r="AP24" s="157"/>
      <c r="AQ24" s="157"/>
      <c r="AR24" s="157"/>
      <c r="AS24" s="157"/>
      <c r="AT24" s="157"/>
      <c r="AU24" s="157"/>
      <c r="AV24" s="157"/>
      <c r="AW24" s="157"/>
      <c r="AX24" s="157"/>
      <c r="AY24" s="157"/>
      <c r="AZ24" s="157"/>
      <c r="BA24" s="157"/>
      <c r="BB24" s="157"/>
      <c r="BC24" s="157"/>
      <c r="BD24" s="157"/>
      <c r="BE24" s="157"/>
      <c r="BF24" s="157"/>
      <c r="BG24" s="157"/>
      <c r="BH24" s="157"/>
    </row>
    <row r="25" spans="1:60">
      <c r="A25" s="1">
        <f t="shared" si="3"/>
        <v>18</v>
      </c>
      <c r="B25" s="15" t="s">
        <v>37</v>
      </c>
      <c r="C25" s="10">
        <v>10</v>
      </c>
      <c r="D25" s="11"/>
      <c r="E25" s="36"/>
      <c r="F25" s="36"/>
      <c r="G25" s="37"/>
      <c r="H25" s="38"/>
      <c r="I25" s="38">
        <f t="shared" si="4"/>
        <v>10</v>
      </c>
      <c r="J25" s="63">
        <f t="shared" si="4"/>
        <v>0</v>
      </c>
      <c r="K25" s="62"/>
      <c r="L25" s="36"/>
      <c r="M25" s="36"/>
      <c r="N25" s="36"/>
      <c r="O25" s="36"/>
      <c r="P25" s="36"/>
      <c r="Q25" s="99"/>
      <c r="R25" s="100">
        <f t="shared" si="7"/>
        <v>0</v>
      </c>
      <c r="S25" s="101">
        <f t="shared" si="7"/>
        <v>0</v>
      </c>
      <c r="T25" s="62"/>
      <c r="U25" s="8">
        <f t="shared" si="5"/>
        <v>0</v>
      </c>
      <c r="V25" s="135">
        <f t="shared" si="6"/>
        <v>0</v>
      </c>
      <c r="W25" s="134">
        <f t="shared" si="8"/>
        <v>240</v>
      </c>
      <c r="X25" s="61"/>
      <c r="AL25" s="157"/>
      <c r="AM25" s="157"/>
      <c r="AN25" s="157"/>
      <c r="AO25" s="157"/>
      <c r="AP25" s="157"/>
      <c r="AQ25" s="157"/>
      <c r="AR25" s="157"/>
      <c r="AS25" s="157"/>
      <c r="AT25" s="157"/>
      <c r="AU25" s="157"/>
      <c r="AV25" s="157"/>
      <c r="AW25" s="157"/>
      <c r="AX25" s="157"/>
      <c r="AY25" s="157"/>
      <c r="AZ25" s="157"/>
      <c r="BA25" s="157"/>
      <c r="BB25" s="157"/>
      <c r="BC25" s="157"/>
      <c r="BD25" s="157"/>
      <c r="BE25" s="157"/>
      <c r="BF25" s="157"/>
      <c r="BG25" s="157"/>
      <c r="BH25" s="157"/>
    </row>
    <row r="26" spans="1:60">
      <c r="A26" s="1">
        <f t="shared" si="3"/>
        <v>19</v>
      </c>
      <c r="B26" s="15" t="s">
        <v>38</v>
      </c>
      <c r="C26" s="10"/>
      <c r="D26" s="11">
        <v>1</v>
      </c>
      <c r="E26" s="36"/>
      <c r="F26" s="36"/>
      <c r="G26" s="37"/>
      <c r="H26" s="38"/>
      <c r="I26" s="38">
        <f t="shared" si="4"/>
        <v>0</v>
      </c>
      <c r="J26" s="63">
        <f t="shared" si="4"/>
        <v>1</v>
      </c>
      <c r="K26" s="62"/>
      <c r="L26" s="36"/>
      <c r="M26" s="36"/>
      <c r="N26" s="36"/>
      <c r="O26" s="36"/>
      <c r="P26" s="36"/>
      <c r="Q26" s="99"/>
      <c r="R26" s="100">
        <f t="shared" si="7"/>
        <v>0</v>
      </c>
      <c r="S26" s="101">
        <f t="shared" si="7"/>
        <v>0</v>
      </c>
      <c r="T26" s="62"/>
      <c r="U26" s="8">
        <f t="shared" si="5"/>
        <v>0</v>
      </c>
      <c r="V26" s="135">
        <f t="shared" si="6"/>
        <v>0</v>
      </c>
      <c r="W26" s="134">
        <f t="shared" si="8"/>
        <v>1</v>
      </c>
      <c r="X26" s="61"/>
      <c r="BE26" s="158" t="e">
        <f>#REF!-BE25</f>
        <v>#REF!</v>
      </c>
    </row>
    <row r="27" spans="1:60" s="2" customFormat="1">
      <c r="A27" s="1">
        <f t="shared" si="3"/>
        <v>20</v>
      </c>
      <c r="B27" s="15" t="s">
        <v>39</v>
      </c>
      <c r="C27" s="10"/>
      <c r="D27" s="11"/>
      <c r="E27" s="36"/>
      <c r="F27" s="36"/>
      <c r="G27" s="37"/>
      <c r="H27" s="38"/>
      <c r="I27" s="38">
        <f t="shared" si="4"/>
        <v>0</v>
      </c>
      <c r="J27" s="63">
        <f t="shared" si="4"/>
        <v>0</v>
      </c>
      <c r="K27" s="69"/>
      <c r="L27" s="36"/>
      <c r="M27" s="36"/>
      <c r="N27" s="36"/>
      <c r="O27" s="36"/>
      <c r="P27" s="36"/>
      <c r="Q27" s="99"/>
      <c r="R27" s="100">
        <f t="shared" si="7"/>
        <v>0</v>
      </c>
      <c r="S27" s="101">
        <f t="shared" si="7"/>
        <v>0</v>
      </c>
      <c r="T27" s="69"/>
      <c r="U27" s="8">
        <f t="shared" si="5"/>
        <v>0</v>
      </c>
      <c r="V27" s="135">
        <f t="shared" si="6"/>
        <v>0</v>
      </c>
      <c r="W27" s="134">
        <f t="shared" si="8"/>
        <v>0</v>
      </c>
      <c r="X27" s="61"/>
      <c r="Y27" s="3"/>
      <c r="AD27" s="3"/>
      <c r="AG27" s="3"/>
      <c r="AH27" s="3"/>
      <c r="AI27" s="3"/>
      <c r="AJ27" s="3"/>
      <c r="AK27" s="3"/>
    </row>
    <row r="28" spans="1:60" s="2" customFormat="1">
      <c r="A28" s="1">
        <f t="shared" si="3"/>
        <v>21</v>
      </c>
      <c r="B28" s="15" t="s">
        <v>40</v>
      </c>
      <c r="C28" s="10"/>
      <c r="D28" s="11"/>
      <c r="E28" s="36"/>
      <c r="F28" s="36"/>
      <c r="G28" s="37"/>
      <c r="H28" s="38"/>
      <c r="I28" s="38">
        <f t="shared" si="4"/>
        <v>0</v>
      </c>
      <c r="J28" s="63">
        <f t="shared" si="4"/>
        <v>0</v>
      </c>
      <c r="K28" s="69"/>
      <c r="L28" s="36"/>
      <c r="M28" s="36"/>
      <c r="N28" s="36"/>
      <c r="O28" s="36"/>
      <c r="P28" s="36"/>
      <c r="Q28" s="99"/>
      <c r="R28" s="100">
        <f t="shared" si="7"/>
        <v>0</v>
      </c>
      <c r="S28" s="101">
        <f t="shared" si="7"/>
        <v>0</v>
      </c>
      <c r="T28" s="69"/>
      <c r="U28" s="8">
        <f t="shared" si="5"/>
        <v>0</v>
      </c>
      <c r="V28" s="135">
        <f t="shared" si="6"/>
        <v>0</v>
      </c>
      <c r="W28" s="134">
        <f t="shared" si="8"/>
        <v>0</v>
      </c>
      <c r="X28" s="61"/>
      <c r="Y28" s="3"/>
      <c r="AD28" s="3"/>
      <c r="AG28" s="3"/>
      <c r="AH28" s="3"/>
      <c r="AI28" s="3"/>
      <c r="AJ28" s="3"/>
      <c r="AK28" s="3"/>
    </row>
    <row r="29" spans="1:60" s="2" customFormat="1">
      <c r="A29" s="1">
        <f t="shared" si="3"/>
        <v>22</v>
      </c>
      <c r="B29" s="15" t="s">
        <v>41</v>
      </c>
      <c r="C29" s="10"/>
      <c r="D29" s="11"/>
      <c r="E29" s="36"/>
      <c r="F29" s="36"/>
      <c r="G29" s="37"/>
      <c r="H29" s="38"/>
      <c r="I29" s="38">
        <f t="shared" si="4"/>
        <v>0</v>
      </c>
      <c r="J29" s="63">
        <f t="shared" si="4"/>
        <v>0</v>
      </c>
      <c r="K29" s="69"/>
      <c r="L29" s="36"/>
      <c r="M29" s="36"/>
      <c r="N29" s="36"/>
      <c r="O29" s="36"/>
      <c r="P29" s="36"/>
      <c r="Q29" s="99"/>
      <c r="R29" s="100">
        <f t="shared" si="7"/>
        <v>0</v>
      </c>
      <c r="S29" s="101">
        <f t="shared" si="7"/>
        <v>0</v>
      </c>
      <c r="T29" s="69"/>
      <c r="U29" s="8">
        <f t="shared" si="5"/>
        <v>0</v>
      </c>
      <c r="V29" s="135">
        <f t="shared" si="6"/>
        <v>0</v>
      </c>
      <c r="W29" s="134">
        <f t="shared" si="8"/>
        <v>0</v>
      </c>
      <c r="X29" s="61"/>
      <c r="Y29" s="3"/>
      <c r="AD29" s="3"/>
      <c r="AG29" s="3"/>
      <c r="AH29" s="3"/>
      <c r="AI29" s="3"/>
      <c r="AJ29" s="3"/>
      <c r="AK29" s="3"/>
    </row>
    <row r="30" spans="1:60">
      <c r="A30" s="1">
        <f t="shared" si="3"/>
        <v>23</v>
      </c>
      <c r="B30" s="15" t="s">
        <v>42</v>
      </c>
      <c r="C30" s="10">
        <v>8</v>
      </c>
      <c r="D30" s="11"/>
      <c r="E30" s="36"/>
      <c r="F30" s="36"/>
      <c r="G30" s="37"/>
      <c r="H30" s="38"/>
      <c r="I30" s="38">
        <f t="shared" si="4"/>
        <v>8</v>
      </c>
      <c r="J30" s="63">
        <f t="shared" si="4"/>
        <v>0</v>
      </c>
      <c r="K30" s="62"/>
      <c r="L30" s="36"/>
      <c r="M30" s="36"/>
      <c r="N30" s="36"/>
      <c r="O30" s="36"/>
      <c r="P30" s="36"/>
      <c r="Q30" s="99"/>
      <c r="R30" s="100">
        <f t="shared" si="7"/>
        <v>0</v>
      </c>
      <c r="S30" s="101">
        <f t="shared" si="7"/>
        <v>0</v>
      </c>
      <c r="T30" s="62"/>
      <c r="U30" s="8">
        <f t="shared" si="5"/>
        <v>0</v>
      </c>
      <c r="V30" s="135">
        <f t="shared" si="6"/>
        <v>0</v>
      </c>
      <c r="W30" s="134">
        <f t="shared" si="8"/>
        <v>192</v>
      </c>
      <c r="X30" s="61"/>
    </row>
    <row r="31" spans="1:60">
      <c r="A31" s="1">
        <f t="shared" si="3"/>
        <v>24</v>
      </c>
      <c r="B31" s="15" t="s">
        <v>43</v>
      </c>
      <c r="C31" s="10">
        <v>12</v>
      </c>
      <c r="D31" s="11"/>
      <c r="E31" s="36"/>
      <c r="F31" s="36"/>
      <c r="G31" s="37"/>
      <c r="H31" s="38"/>
      <c r="I31" s="38">
        <f t="shared" si="4"/>
        <v>12</v>
      </c>
      <c r="J31" s="63">
        <f t="shared" si="4"/>
        <v>0</v>
      </c>
      <c r="K31" s="62"/>
      <c r="L31" s="36"/>
      <c r="M31" s="36"/>
      <c r="N31" s="36"/>
      <c r="O31" s="36"/>
      <c r="P31" s="36"/>
      <c r="Q31" s="99"/>
      <c r="R31" s="100">
        <f t="shared" si="7"/>
        <v>0</v>
      </c>
      <c r="S31" s="101">
        <f t="shared" si="7"/>
        <v>0</v>
      </c>
      <c r="T31" s="62"/>
      <c r="U31" s="8">
        <f t="shared" si="5"/>
        <v>0</v>
      </c>
      <c r="V31" s="135">
        <f t="shared" si="6"/>
        <v>0</v>
      </c>
      <c r="W31" s="134">
        <f t="shared" si="8"/>
        <v>288</v>
      </c>
      <c r="X31" s="61"/>
    </row>
    <row r="32" spans="1:60">
      <c r="A32" s="1">
        <f t="shared" si="3"/>
        <v>25</v>
      </c>
      <c r="B32" s="15" t="s">
        <v>44</v>
      </c>
      <c r="C32" s="10">
        <v>1</v>
      </c>
      <c r="D32" s="11"/>
      <c r="E32" s="36"/>
      <c r="F32" s="36"/>
      <c r="G32" s="37">
        <v>1</v>
      </c>
      <c r="H32" s="38"/>
      <c r="I32" s="38">
        <f t="shared" si="4"/>
        <v>0</v>
      </c>
      <c r="J32" s="63">
        <f t="shared" si="4"/>
        <v>0</v>
      </c>
      <c r="K32" s="62"/>
      <c r="L32" s="36"/>
      <c r="M32" s="36"/>
      <c r="N32" s="36"/>
      <c r="O32" s="36"/>
      <c r="P32" s="36">
        <v>1</v>
      </c>
      <c r="Q32" s="99"/>
      <c r="R32" s="100">
        <f t="shared" si="7"/>
        <v>1</v>
      </c>
      <c r="S32" s="101">
        <f t="shared" si="7"/>
        <v>0</v>
      </c>
      <c r="T32" s="62"/>
      <c r="U32" s="8">
        <f t="shared" si="5"/>
        <v>24</v>
      </c>
      <c r="V32" s="135">
        <f t="shared" si="6"/>
        <v>1</v>
      </c>
      <c r="W32" s="134">
        <f t="shared" si="8"/>
        <v>0</v>
      </c>
      <c r="X32" s="61"/>
    </row>
    <row r="33" spans="1:26">
      <c r="A33" s="1">
        <f t="shared" si="3"/>
        <v>26</v>
      </c>
      <c r="B33" s="15" t="s">
        <v>45</v>
      </c>
      <c r="C33" s="10">
        <v>4</v>
      </c>
      <c r="D33" s="11"/>
      <c r="E33" s="36"/>
      <c r="F33" s="36"/>
      <c r="G33" s="37"/>
      <c r="H33" s="38"/>
      <c r="I33" s="38">
        <f t="shared" si="4"/>
        <v>4</v>
      </c>
      <c r="J33" s="63">
        <f t="shared" si="4"/>
        <v>0</v>
      </c>
      <c r="K33" s="62"/>
      <c r="L33" s="36"/>
      <c r="M33" s="36"/>
      <c r="N33" s="36"/>
      <c r="O33" s="36"/>
      <c r="P33" s="36"/>
      <c r="Q33" s="99"/>
      <c r="R33" s="100">
        <f t="shared" si="7"/>
        <v>0</v>
      </c>
      <c r="S33" s="101">
        <f t="shared" si="7"/>
        <v>0</v>
      </c>
      <c r="T33" s="62"/>
      <c r="U33" s="8">
        <f t="shared" si="5"/>
        <v>0</v>
      </c>
      <c r="V33" s="135">
        <f t="shared" si="6"/>
        <v>0</v>
      </c>
      <c r="W33" s="134">
        <f t="shared" si="8"/>
        <v>96</v>
      </c>
      <c r="X33" s="61"/>
    </row>
    <row r="34" spans="1:26">
      <c r="A34" s="1">
        <f t="shared" si="3"/>
        <v>27</v>
      </c>
      <c r="B34" s="15" t="s">
        <v>46</v>
      </c>
      <c r="C34" s="10">
        <v>5</v>
      </c>
      <c r="D34" s="11"/>
      <c r="E34" s="36"/>
      <c r="F34" s="36"/>
      <c r="G34" s="37"/>
      <c r="H34" s="38"/>
      <c r="I34" s="38">
        <f t="shared" si="4"/>
        <v>5</v>
      </c>
      <c r="J34" s="63">
        <f t="shared" si="4"/>
        <v>0</v>
      </c>
      <c r="K34" s="62"/>
      <c r="L34" s="36"/>
      <c r="M34" s="36"/>
      <c r="N34" s="36"/>
      <c r="O34" s="36"/>
      <c r="P34" s="36"/>
      <c r="Q34" s="99"/>
      <c r="R34" s="100">
        <f t="shared" si="7"/>
        <v>0</v>
      </c>
      <c r="S34" s="101">
        <f t="shared" si="7"/>
        <v>0</v>
      </c>
      <c r="T34" s="62"/>
      <c r="U34" s="8">
        <f t="shared" si="5"/>
        <v>0</v>
      </c>
      <c r="V34" s="135">
        <f t="shared" si="6"/>
        <v>0</v>
      </c>
      <c r="W34" s="134">
        <f t="shared" si="8"/>
        <v>120</v>
      </c>
      <c r="X34" s="61"/>
    </row>
    <row r="35" spans="1:26">
      <c r="A35" s="1">
        <f t="shared" si="3"/>
        <v>28</v>
      </c>
      <c r="B35" s="15" t="s">
        <v>47</v>
      </c>
      <c r="C35" s="10">
        <v>94</v>
      </c>
      <c r="D35" s="11">
        <v>1</v>
      </c>
      <c r="E35" s="36"/>
      <c r="F35" s="36"/>
      <c r="G35" s="37">
        <v>1</v>
      </c>
      <c r="H35" s="38"/>
      <c r="I35" s="38">
        <f t="shared" si="4"/>
        <v>93</v>
      </c>
      <c r="J35" s="63">
        <f t="shared" si="4"/>
        <v>1</v>
      </c>
      <c r="K35" s="62"/>
      <c r="L35" s="36"/>
      <c r="M35" s="36"/>
      <c r="N35" s="36"/>
      <c r="O35" s="36"/>
      <c r="P35" s="36">
        <v>1</v>
      </c>
      <c r="Q35" s="99"/>
      <c r="R35" s="100">
        <f t="shared" si="7"/>
        <v>1</v>
      </c>
      <c r="S35" s="101">
        <f t="shared" si="7"/>
        <v>0</v>
      </c>
      <c r="T35" s="62"/>
      <c r="U35" s="8">
        <f t="shared" si="5"/>
        <v>24</v>
      </c>
      <c r="V35" s="135">
        <f t="shared" si="6"/>
        <v>1</v>
      </c>
      <c r="W35" s="134">
        <f t="shared" si="8"/>
        <v>2233</v>
      </c>
      <c r="X35" s="61"/>
    </row>
    <row r="36" spans="1:26" ht="18.75" hidden="1" customHeight="1">
      <c r="A36" s="1">
        <f t="shared" si="3"/>
        <v>29</v>
      </c>
      <c r="B36" s="15" t="s">
        <v>48</v>
      </c>
      <c r="C36" s="10"/>
      <c r="D36" s="11"/>
      <c r="E36" s="36"/>
      <c r="F36" s="36"/>
      <c r="G36" s="37"/>
      <c r="H36" s="38"/>
      <c r="I36" s="38">
        <f t="shared" si="4"/>
        <v>0</v>
      </c>
      <c r="J36" s="63">
        <f t="shared" si="4"/>
        <v>0</v>
      </c>
      <c r="K36" s="62"/>
      <c r="L36" s="36"/>
      <c r="M36" s="36"/>
      <c r="N36" s="36"/>
      <c r="O36" s="36"/>
      <c r="P36" s="36"/>
      <c r="Q36" s="99"/>
      <c r="R36" s="100">
        <f t="shared" si="7"/>
        <v>0</v>
      </c>
      <c r="S36" s="101">
        <f t="shared" si="7"/>
        <v>0</v>
      </c>
      <c r="T36" s="62"/>
      <c r="U36" s="8">
        <f t="shared" si="5"/>
        <v>0</v>
      </c>
      <c r="V36" s="135">
        <f t="shared" si="6"/>
        <v>0</v>
      </c>
      <c r="W36" s="134">
        <f t="shared" si="8"/>
        <v>0</v>
      </c>
      <c r="X36" s="61"/>
    </row>
    <row r="37" spans="1:26" ht="18.75" customHeight="1">
      <c r="A37" s="1">
        <f t="shared" si="3"/>
        <v>30</v>
      </c>
      <c r="B37" s="15" t="s">
        <v>49</v>
      </c>
      <c r="C37" s="10">
        <v>1</v>
      </c>
      <c r="D37" s="11"/>
      <c r="E37" s="36"/>
      <c r="F37" s="36"/>
      <c r="G37" s="37"/>
      <c r="H37" s="38"/>
      <c r="I37" s="38">
        <f t="shared" si="4"/>
        <v>1</v>
      </c>
      <c r="J37" s="63">
        <f t="shared" si="4"/>
        <v>0</v>
      </c>
      <c r="K37" s="62"/>
      <c r="L37" s="36"/>
      <c r="M37" s="36"/>
      <c r="N37" s="36"/>
      <c r="O37" s="36"/>
      <c r="P37" s="36"/>
      <c r="Q37" s="99"/>
      <c r="R37" s="100">
        <f t="shared" si="7"/>
        <v>0</v>
      </c>
      <c r="S37" s="101">
        <f t="shared" si="7"/>
        <v>0</v>
      </c>
      <c r="T37" s="62"/>
      <c r="U37" s="8">
        <f t="shared" si="5"/>
        <v>0</v>
      </c>
      <c r="V37" s="135">
        <f t="shared" si="6"/>
        <v>0</v>
      </c>
      <c r="W37" s="134">
        <f t="shared" si="8"/>
        <v>24</v>
      </c>
      <c r="X37" s="61"/>
    </row>
    <row r="38" spans="1:26">
      <c r="A38" s="1">
        <f t="shared" si="3"/>
        <v>31</v>
      </c>
      <c r="B38" s="16" t="s">
        <v>50</v>
      </c>
      <c r="C38" s="13">
        <v>6363</v>
      </c>
      <c r="D38" s="14">
        <v>2</v>
      </c>
      <c r="E38" s="39"/>
      <c r="F38" s="39"/>
      <c r="G38" s="40">
        <v>48</v>
      </c>
      <c r="H38" s="41"/>
      <c r="I38" s="53">
        <f t="shared" si="4"/>
        <v>6315</v>
      </c>
      <c r="J38" s="70">
        <f t="shared" si="4"/>
        <v>2</v>
      </c>
      <c r="K38" s="65"/>
      <c r="L38" s="51">
        <v>15</v>
      </c>
      <c r="M38" s="51"/>
      <c r="N38" s="51">
        <v>23</v>
      </c>
      <c r="O38" s="51"/>
      <c r="P38" s="51">
        <v>10</v>
      </c>
      <c r="Q38" s="102"/>
      <c r="R38" s="107">
        <f t="shared" si="7"/>
        <v>48</v>
      </c>
      <c r="S38" s="104">
        <f t="shared" si="7"/>
        <v>0</v>
      </c>
      <c r="T38" s="65"/>
      <c r="U38" s="136">
        <f>L38*6+N38*6+P38*6</f>
        <v>288</v>
      </c>
      <c r="V38" s="141">
        <f>U38/6</f>
        <v>48</v>
      </c>
      <c r="W38" s="138">
        <f>I38*6+J38</f>
        <v>37892</v>
      </c>
      <c r="X38" s="139"/>
    </row>
    <row r="39" spans="1:26">
      <c r="A39" s="1">
        <f t="shared" si="3"/>
        <v>32</v>
      </c>
      <c r="B39" s="7" t="s">
        <v>51</v>
      </c>
      <c r="C39" s="10">
        <v>1</v>
      </c>
      <c r="D39" s="11"/>
      <c r="E39" s="36"/>
      <c r="F39" s="36"/>
      <c r="G39" s="37"/>
      <c r="H39" s="38"/>
      <c r="I39" s="37">
        <f t="shared" si="4"/>
        <v>1</v>
      </c>
      <c r="J39" s="63">
        <f t="shared" si="4"/>
        <v>0</v>
      </c>
      <c r="K39" s="62"/>
      <c r="L39" s="36"/>
      <c r="M39" s="36"/>
      <c r="N39" s="36"/>
      <c r="O39" s="36"/>
      <c r="P39" s="36"/>
      <c r="Q39" s="99"/>
      <c r="R39" s="108">
        <f t="shared" si="7"/>
        <v>0</v>
      </c>
      <c r="S39" s="106">
        <f t="shared" si="7"/>
        <v>0</v>
      </c>
      <c r="T39" s="62"/>
      <c r="U39" s="8">
        <f t="shared" ref="U39:U41" si="9">L39*24+N39*24+P39*24</f>
        <v>0</v>
      </c>
      <c r="V39" s="33">
        <f t="shared" si="6"/>
        <v>0</v>
      </c>
      <c r="W39" s="134">
        <f t="shared" ref="W39:W41" si="10">I39*24+J39</f>
        <v>24</v>
      </c>
      <c r="X39" s="61"/>
    </row>
    <row r="40" spans="1:26">
      <c r="A40" s="1">
        <f t="shared" si="3"/>
        <v>33</v>
      </c>
      <c r="B40" s="17" t="s">
        <v>52</v>
      </c>
      <c r="C40" s="18">
        <v>1</v>
      </c>
      <c r="D40" s="19"/>
      <c r="E40" s="42"/>
      <c r="F40" s="42"/>
      <c r="G40" s="43"/>
      <c r="H40" s="44"/>
      <c r="I40" s="38">
        <f t="shared" si="4"/>
        <v>1</v>
      </c>
      <c r="J40" s="63">
        <f t="shared" si="4"/>
        <v>0</v>
      </c>
      <c r="K40" s="62"/>
      <c r="L40" s="36"/>
      <c r="M40" s="36"/>
      <c r="N40" s="36"/>
      <c r="O40" s="36"/>
      <c r="P40" s="36"/>
      <c r="Q40" s="99"/>
      <c r="R40" s="100">
        <f t="shared" si="7"/>
        <v>0</v>
      </c>
      <c r="S40" s="101">
        <f t="shared" si="7"/>
        <v>0</v>
      </c>
      <c r="T40" s="62"/>
      <c r="U40" s="142">
        <f t="shared" si="9"/>
        <v>0</v>
      </c>
      <c r="V40" s="135">
        <f t="shared" si="6"/>
        <v>0</v>
      </c>
      <c r="W40" s="143">
        <f t="shared" si="10"/>
        <v>24</v>
      </c>
      <c r="X40" s="144"/>
    </row>
    <row r="41" spans="1:26">
      <c r="A41" s="1">
        <f t="shared" si="3"/>
        <v>34</v>
      </c>
      <c r="B41" s="20" t="s">
        <v>53</v>
      </c>
      <c r="C41" s="21">
        <v>102</v>
      </c>
      <c r="D41" s="22">
        <v>20</v>
      </c>
      <c r="E41" s="45"/>
      <c r="F41" s="45"/>
      <c r="G41" s="46"/>
      <c r="H41" s="47"/>
      <c r="I41" s="71">
        <f t="shared" si="4"/>
        <v>102</v>
      </c>
      <c r="J41" s="72">
        <f t="shared" si="4"/>
        <v>20</v>
      </c>
      <c r="K41" s="73"/>
      <c r="L41" s="74"/>
      <c r="M41" s="74"/>
      <c r="N41" s="74"/>
      <c r="O41" s="74"/>
      <c r="P41" s="74"/>
      <c r="Q41" s="109"/>
      <c r="R41" s="110">
        <f t="shared" si="7"/>
        <v>0</v>
      </c>
      <c r="S41" s="111">
        <f t="shared" si="7"/>
        <v>0</v>
      </c>
      <c r="T41" s="73"/>
      <c r="U41" s="145">
        <f t="shared" si="9"/>
        <v>0</v>
      </c>
      <c r="V41" s="146">
        <f t="shared" si="6"/>
        <v>0</v>
      </c>
      <c r="W41" s="146">
        <f t="shared" si="10"/>
        <v>2468</v>
      </c>
      <c r="X41" s="147"/>
    </row>
    <row r="42" spans="1:26">
      <c r="A42" s="1">
        <f t="shared" si="3"/>
        <v>35</v>
      </c>
      <c r="B42" s="23" t="s">
        <v>54</v>
      </c>
      <c r="C42" s="24">
        <v>766</v>
      </c>
      <c r="D42" s="25"/>
      <c r="E42" s="48"/>
      <c r="F42" s="48"/>
      <c r="G42" s="49">
        <v>99</v>
      </c>
      <c r="H42" s="50"/>
      <c r="I42" s="49">
        <f t="shared" si="4"/>
        <v>667</v>
      </c>
      <c r="J42" s="75">
        <f t="shared" si="4"/>
        <v>0</v>
      </c>
      <c r="K42" s="76"/>
      <c r="L42" s="48">
        <v>48</v>
      </c>
      <c r="M42" s="48"/>
      <c r="N42" s="48">
        <v>9</v>
      </c>
      <c r="O42" s="48"/>
      <c r="P42" s="48">
        <v>42</v>
      </c>
      <c r="Q42" s="112"/>
      <c r="R42" s="113">
        <f t="shared" si="7"/>
        <v>99</v>
      </c>
      <c r="S42" s="114">
        <f t="shared" si="7"/>
        <v>0</v>
      </c>
      <c r="T42" s="76"/>
      <c r="U42" s="148">
        <f>L42*12+N42*12+P42*12</f>
        <v>1188</v>
      </c>
      <c r="V42" s="149">
        <f>U42/12</f>
        <v>99</v>
      </c>
      <c r="W42" s="150">
        <f>I42*12+J42</f>
        <v>8004</v>
      </c>
      <c r="X42" s="151"/>
    </row>
    <row r="43" spans="1:26" ht="18.75" hidden="1" customHeight="1">
      <c r="A43" s="1">
        <f t="shared" si="3"/>
        <v>36</v>
      </c>
      <c r="B43" s="7" t="s">
        <v>55</v>
      </c>
      <c r="C43" s="10"/>
      <c r="D43" s="11"/>
      <c r="E43" s="36"/>
      <c r="F43" s="36"/>
      <c r="G43" s="37"/>
      <c r="H43" s="38"/>
      <c r="I43" s="38">
        <f t="shared" si="4"/>
        <v>0</v>
      </c>
      <c r="J43" s="64">
        <f t="shared" si="4"/>
        <v>0</v>
      </c>
      <c r="K43" s="62"/>
      <c r="L43" s="36"/>
      <c r="M43" s="36"/>
      <c r="N43" s="36"/>
      <c r="O43" s="36"/>
      <c r="P43" s="36"/>
      <c r="Q43" s="99"/>
      <c r="R43" s="115">
        <f t="shared" si="7"/>
        <v>0</v>
      </c>
      <c r="S43" s="116">
        <f t="shared" si="7"/>
        <v>0</v>
      </c>
      <c r="T43" s="62"/>
      <c r="U43" s="8"/>
      <c r="V43" s="33"/>
      <c r="W43" s="134"/>
      <c r="X43" s="61"/>
    </row>
    <row r="44" spans="1:26">
      <c r="A44" s="1">
        <f t="shared" si="3"/>
        <v>37</v>
      </c>
      <c r="B44" s="12" t="s">
        <v>56</v>
      </c>
      <c r="C44" s="13">
        <v>30648</v>
      </c>
      <c r="D44" s="14">
        <v>3</v>
      </c>
      <c r="E44" s="39"/>
      <c r="F44" s="39"/>
      <c r="G44" s="40">
        <v>1149</v>
      </c>
      <c r="H44" s="41"/>
      <c r="I44" s="38">
        <f>C44+E44-G44</f>
        <v>29499</v>
      </c>
      <c r="J44" s="77">
        <f t="shared" si="4"/>
        <v>3</v>
      </c>
      <c r="K44" s="65"/>
      <c r="L44" s="51">
        <v>467</v>
      </c>
      <c r="M44" s="51"/>
      <c r="N44" s="51">
        <v>283</v>
      </c>
      <c r="O44" s="51"/>
      <c r="P44" s="51">
        <v>399</v>
      </c>
      <c r="Q44" s="102"/>
      <c r="R44" s="117">
        <f t="shared" si="7"/>
        <v>1149</v>
      </c>
      <c r="S44" s="118">
        <f t="shared" si="7"/>
        <v>0</v>
      </c>
      <c r="T44" s="65"/>
      <c r="U44" s="136">
        <f>L44*6+N44*6+P44*6</f>
        <v>6894</v>
      </c>
      <c r="V44" s="135">
        <f>U44/6</f>
        <v>1149</v>
      </c>
      <c r="W44" s="138">
        <f>I44*6+J44</f>
        <v>176997</v>
      </c>
      <c r="X44" s="139"/>
      <c r="Z44" s="155"/>
    </row>
    <row r="45" spans="1:26" ht="18.75" hidden="1" customHeight="1">
      <c r="A45" s="1">
        <f t="shared" si="3"/>
        <v>38</v>
      </c>
      <c r="B45" s="7" t="s">
        <v>57</v>
      </c>
      <c r="C45" s="10"/>
      <c r="D45" s="11"/>
      <c r="E45" s="36"/>
      <c r="F45" s="36"/>
      <c r="G45" s="37"/>
      <c r="H45" s="38"/>
      <c r="I45" s="44">
        <f t="shared" si="4"/>
        <v>0</v>
      </c>
      <c r="J45" s="63">
        <f t="shared" si="4"/>
        <v>0</v>
      </c>
      <c r="K45" s="62"/>
      <c r="L45" s="36"/>
      <c r="M45" s="36"/>
      <c r="N45" s="36"/>
      <c r="O45" s="36"/>
      <c r="P45" s="36"/>
      <c r="Q45" s="99"/>
      <c r="R45" s="108">
        <f t="shared" si="7"/>
        <v>0</v>
      </c>
      <c r="S45" s="116">
        <f t="shared" si="7"/>
        <v>0</v>
      </c>
      <c r="T45" s="62"/>
      <c r="U45" s="8"/>
      <c r="V45" s="137"/>
      <c r="W45" s="134"/>
      <c r="X45" s="61"/>
    </row>
    <row r="46" spans="1:26">
      <c r="A46" s="1">
        <f t="shared" si="3"/>
        <v>39</v>
      </c>
      <c r="B46" s="15" t="s">
        <v>58</v>
      </c>
      <c r="C46" s="10">
        <v>11</v>
      </c>
      <c r="D46" s="11"/>
      <c r="E46" s="36"/>
      <c r="F46" s="36"/>
      <c r="G46" s="37"/>
      <c r="H46" s="38"/>
      <c r="I46" s="68">
        <f t="shared" si="4"/>
        <v>11</v>
      </c>
      <c r="J46" s="63">
        <f t="shared" si="4"/>
        <v>0</v>
      </c>
      <c r="K46" s="62"/>
      <c r="L46" s="36"/>
      <c r="M46" s="36"/>
      <c r="N46" s="36"/>
      <c r="O46" s="36"/>
      <c r="P46" s="36"/>
      <c r="Q46" s="99"/>
      <c r="R46" s="100">
        <f t="shared" si="7"/>
        <v>0</v>
      </c>
      <c r="S46" s="119">
        <f t="shared" si="7"/>
        <v>0</v>
      </c>
      <c r="T46" s="62"/>
      <c r="U46" s="8">
        <f t="shared" ref="U46:U47" si="11">L46*24+N46*24+P46*24</f>
        <v>0</v>
      </c>
      <c r="V46" s="140">
        <f t="shared" ref="V46:V47" si="12">U46/24</f>
        <v>0</v>
      </c>
      <c r="W46" s="134">
        <f t="shared" ref="W46:W47" si="13">I46*24+J46</f>
        <v>264</v>
      </c>
      <c r="X46" s="61"/>
    </row>
    <row r="47" spans="1:26">
      <c r="A47" s="1">
        <f t="shared" si="3"/>
        <v>40</v>
      </c>
      <c r="B47" s="15" t="s">
        <v>59</v>
      </c>
      <c r="C47" s="10"/>
      <c r="D47" s="11"/>
      <c r="E47" s="36"/>
      <c r="F47" s="36"/>
      <c r="G47" s="37"/>
      <c r="H47" s="38"/>
      <c r="I47" s="38">
        <f t="shared" si="4"/>
        <v>0</v>
      </c>
      <c r="J47" s="63">
        <f t="shared" si="4"/>
        <v>0</v>
      </c>
      <c r="K47" s="62"/>
      <c r="L47" s="36"/>
      <c r="M47" s="36"/>
      <c r="N47" s="36"/>
      <c r="O47" s="36"/>
      <c r="P47" s="36"/>
      <c r="Q47" s="99"/>
      <c r="R47" s="100">
        <f t="shared" si="7"/>
        <v>0</v>
      </c>
      <c r="S47" s="101">
        <f t="shared" si="7"/>
        <v>0</v>
      </c>
      <c r="T47" s="62"/>
      <c r="U47" s="8">
        <f t="shared" si="11"/>
        <v>0</v>
      </c>
      <c r="V47" s="135">
        <f t="shared" si="12"/>
        <v>0</v>
      </c>
      <c r="W47" s="134">
        <f t="shared" si="13"/>
        <v>0</v>
      </c>
      <c r="X47" s="61"/>
    </row>
    <row r="48" spans="1:26">
      <c r="A48" s="1">
        <f t="shared" si="3"/>
        <v>41</v>
      </c>
      <c r="B48" s="12" t="s">
        <v>48</v>
      </c>
      <c r="C48" s="26">
        <v>2829</v>
      </c>
      <c r="D48" s="27">
        <v>4</v>
      </c>
      <c r="E48" s="51"/>
      <c r="F48" s="51"/>
      <c r="G48" s="52"/>
      <c r="H48" s="53"/>
      <c r="I48" s="53">
        <f t="shared" si="4"/>
        <v>2829</v>
      </c>
      <c r="J48" s="70">
        <f t="shared" si="4"/>
        <v>4</v>
      </c>
      <c r="K48" s="65"/>
      <c r="L48" s="51"/>
      <c r="M48" s="51"/>
      <c r="N48" s="51"/>
      <c r="O48" s="51"/>
      <c r="P48" s="51"/>
      <c r="Q48" s="102"/>
      <c r="R48" s="107">
        <f t="shared" si="7"/>
        <v>0</v>
      </c>
      <c r="S48" s="120">
        <f t="shared" si="7"/>
        <v>0</v>
      </c>
      <c r="T48" s="65"/>
      <c r="U48" s="136">
        <f>L48*6+N48*6+P48*6</f>
        <v>0</v>
      </c>
      <c r="V48" s="141">
        <f>U48/6</f>
        <v>0</v>
      </c>
      <c r="W48" s="138">
        <f>I48*6+J48</f>
        <v>16978</v>
      </c>
      <c r="X48" s="139"/>
    </row>
    <row r="49" spans="1:24">
      <c r="A49" s="1">
        <f t="shared" si="3"/>
        <v>42</v>
      </c>
      <c r="B49" s="7" t="s">
        <v>60</v>
      </c>
      <c r="C49" s="10">
        <v>1</v>
      </c>
      <c r="D49" s="11"/>
      <c r="E49" s="36"/>
      <c r="F49" s="36"/>
      <c r="G49" s="37"/>
      <c r="H49" s="38"/>
      <c r="I49" s="38">
        <f t="shared" si="4"/>
        <v>1</v>
      </c>
      <c r="J49" s="63">
        <f t="shared" si="4"/>
        <v>0</v>
      </c>
      <c r="K49" s="62"/>
      <c r="L49" s="36"/>
      <c r="M49" s="36"/>
      <c r="N49" s="36"/>
      <c r="O49" s="36"/>
      <c r="P49" s="36"/>
      <c r="Q49" s="99"/>
      <c r="R49" s="108">
        <f t="shared" si="7"/>
        <v>0</v>
      </c>
      <c r="S49" s="106">
        <f t="shared" si="7"/>
        <v>0</v>
      </c>
      <c r="T49" s="62"/>
      <c r="U49" s="8">
        <f t="shared" ref="U49:U51" si="14">L49*24+N49*24+P49*24</f>
        <v>0</v>
      </c>
      <c r="V49" s="33">
        <f t="shared" ref="V49:V51" si="15">U49/24</f>
        <v>0</v>
      </c>
      <c r="W49" s="134">
        <f t="shared" ref="W49:W51" si="16">I49*24+J49</f>
        <v>24</v>
      </c>
      <c r="X49" s="61"/>
    </row>
    <row r="50" spans="1:24">
      <c r="A50" s="1">
        <f t="shared" si="3"/>
        <v>43</v>
      </c>
      <c r="B50" s="15" t="s">
        <v>61</v>
      </c>
      <c r="C50" s="10">
        <v>2</v>
      </c>
      <c r="D50" s="11"/>
      <c r="E50" s="36"/>
      <c r="F50" s="36"/>
      <c r="G50" s="37"/>
      <c r="H50" s="38"/>
      <c r="I50" s="38">
        <f t="shared" si="4"/>
        <v>2</v>
      </c>
      <c r="J50" s="63">
        <f t="shared" si="4"/>
        <v>0</v>
      </c>
      <c r="K50" s="62"/>
      <c r="L50" s="36"/>
      <c r="M50" s="36"/>
      <c r="N50" s="36"/>
      <c r="O50" s="36"/>
      <c r="P50" s="36"/>
      <c r="Q50" s="99"/>
      <c r="R50" s="100">
        <f t="shared" si="7"/>
        <v>0</v>
      </c>
      <c r="S50" s="101">
        <f t="shared" si="7"/>
        <v>0</v>
      </c>
      <c r="T50" s="62"/>
      <c r="U50" s="8">
        <f t="shared" si="14"/>
        <v>0</v>
      </c>
      <c r="V50" s="135">
        <f t="shared" si="15"/>
        <v>0</v>
      </c>
      <c r="W50" s="134">
        <f t="shared" si="16"/>
        <v>48</v>
      </c>
      <c r="X50" s="61"/>
    </row>
    <row r="51" spans="1:24">
      <c r="A51" s="1">
        <f t="shared" si="3"/>
        <v>44</v>
      </c>
      <c r="B51" s="15" t="s">
        <v>62</v>
      </c>
      <c r="C51" s="10"/>
      <c r="D51" s="11"/>
      <c r="E51" s="36"/>
      <c r="F51" s="36"/>
      <c r="G51" s="37"/>
      <c r="H51" s="38"/>
      <c r="I51" s="38">
        <f t="shared" si="4"/>
        <v>0</v>
      </c>
      <c r="J51" s="63">
        <f t="shared" si="4"/>
        <v>0</v>
      </c>
      <c r="K51" s="62"/>
      <c r="L51" s="36"/>
      <c r="M51" s="36"/>
      <c r="N51" s="36"/>
      <c r="O51" s="36"/>
      <c r="P51" s="36"/>
      <c r="Q51" s="99"/>
      <c r="R51" s="100">
        <f t="shared" si="7"/>
        <v>0</v>
      </c>
      <c r="S51" s="101">
        <f t="shared" si="7"/>
        <v>0</v>
      </c>
      <c r="T51" s="62"/>
      <c r="U51" s="8">
        <f t="shared" si="14"/>
        <v>0</v>
      </c>
      <c r="V51" s="135">
        <f t="shared" si="15"/>
        <v>0</v>
      </c>
      <c r="W51" s="134">
        <f t="shared" si="16"/>
        <v>0</v>
      </c>
      <c r="X51" s="61"/>
    </row>
    <row r="52" spans="1:24">
      <c r="A52" s="1">
        <f t="shared" si="3"/>
        <v>45</v>
      </c>
      <c r="B52" s="12" t="s">
        <v>63</v>
      </c>
      <c r="C52" s="26">
        <v>34</v>
      </c>
      <c r="D52" s="27"/>
      <c r="E52" s="51"/>
      <c r="F52" s="51"/>
      <c r="G52" s="52"/>
      <c r="H52" s="53"/>
      <c r="I52" s="53">
        <f t="shared" si="4"/>
        <v>34</v>
      </c>
      <c r="J52" s="70">
        <f t="shared" si="4"/>
        <v>0</v>
      </c>
      <c r="K52" s="65"/>
      <c r="L52" s="51"/>
      <c r="M52" s="51"/>
      <c r="N52" s="51"/>
      <c r="O52" s="51"/>
      <c r="P52" s="51"/>
      <c r="Q52" s="102"/>
      <c r="R52" s="107">
        <f t="shared" si="7"/>
        <v>0</v>
      </c>
      <c r="S52" s="120">
        <f t="shared" si="7"/>
        <v>0</v>
      </c>
      <c r="T52" s="65"/>
      <c r="U52" s="136">
        <f>L52*6+N52*6+P52*6</f>
        <v>0</v>
      </c>
      <c r="V52" s="141">
        <f>U52/6</f>
        <v>0</v>
      </c>
      <c r="W52" s="138">
        <f>I52*6+J52</f>
        <v>204</v>
      </c>
      <c r="X52" s="139"/>
    </row>
    <row r="53" spans="1:24">
      <c r="A53" s="1">
        <f t="shared" si="3"/>
        <v>46</v>
      </c>
      <c r="B53" s="7" t="s">
        <v>64</v>
      </c>
      <c r="C53" s="10">
        <v>2</v>
      </c>
      <c r="D53" s="11"/>
      <c r="E53" s="36"/>
      <c r="F53" s="36"/>
      <c r="G53" s="37"/>
      <c r="H53" s="38"/>
      <c r="I53" s="38">
        <f t="shared" si="4"/>
        <v>2</v>
      </c>
      <c r="J53" s="63">
        <f t="shared" si="4"/>
        <v>0</v>
      </c>
      <c r="K53" s="62"/>
      <c r="L53" s="36"/>
      <c r="M53" s="36"/>
      <c r="N53" s="36"/>
      <c r="O53" s="36"/>
      <c r="P53" s="36"/>
      <c r="Q53" s="99"/>
      <c r="R53" s="108">
        <f t="shared" si="7"/>
        <v>0</v>
      </c>
      <c r="S53" s="106">
        <f t="shared" si="7"/>
        <v>0</v>
      </c>
      <c r="T53" s="62"/>
      <c r="U53" s="8">
        <f t="shared" ref="U53:U54" si="17">L53*24+N53*24+P53*24</f>
        <v>0</v>
      </c>
      <c r="V53" s="33">
        <f t="shared" ref="V53:V54" si="18">U53/24</f>
        <v>0</v>
      </c>
      <c r="W53" s="134">
        <f t="shared" ref="W53:W54" si="19">I53*24+J53</f>
        <v>48</v>
      </c>
      <c r="X53" s="61"/>
    </row>
    <row r="54" spans="1:24">
      <c r="A54" s="1">
        <f t="shared" si="3"/>
        <v>47</v>
      </c>
      <c r="B54" s="15" t="s">
        <v>65</v>
      </c>
      <c r="C54" s="10">
        <v>11</v>
      </c>
      <c r="D54" s="11"/>
      <c r="E54" s="36"/>
      <c r="F54" s="36"/>
      <c r="G54" s="37"/>
      <c r="H54" s="38"/>
      <c r="I54" s="38">
        <f t="shared" si="4"/>
        <v>11</v>
      </c>
      <c r="J54" s="63">
        <f t="shared" si="4"/>
        <v>0</v>
      </c>
      <c r="K54" s="62"/>
      <c r="L54" s="36"/>
      <c r="M54" s="36"/>
      <c r="N54" s="36"/>
      <c r="O54" s="36"/>
      <c r="P54" s="36"/>
      <c r="Q54" s="99"/>
      <c r="R54" s="100">
        <f t="shared" si="7"/>
        <v>0</v>
      </c>
      <c r="S54" s="101">
        <f t="shared" si="7"/>
        <v>0</v>
      </c>
      <c r="T54" s="62"/>
      <c r="U54" s="8">
        <f t="shared" si="17"/>
        <v>0</v>
      </c>
      <c r="V54" s="135">
        <f t="shared" si="18"/>
        <v>0</v>
      </c>
      <c r="W54" s="134">
        <f t="shared" si="19"/>
        <v>264</v>
      </c>
      <c r="X54" s="61"/>
    </row>
    <row r="55" spans="1:24">
      <c r="A55" s="1">
        <f t="shared" si="3"/>
        <v>48</v>
      </c>
      <c r="B55" s="15"/>
      <c r="C55" s="10"/>
      <c r="D55" s="11"/>
      <c r="E55" s="36"/>
      <c r="F55" s="36"/>
      <c r="G55" s="37"/>
      <c r="H55" s="38"/>
      <c r="I55" s="38">
        <f t="shared" si="4"/>
        <v>0</v>
      </c>
      <c r="J55" s="63">
        <f t="shared" si="4"/>
        <v>0</v>
      </c>
      <c r="K55" s="62"/>
      <c r="L55" s="36"/>
      <c r="M55" s="36"/>
      <c r="N55" s="36"/>
      <c r="O55" s="36"/>
      <c r="P55" s="36"/>
      <c r="Q55" s="99"/>
      <c r="R55" s="100">
        <f t="shared" si="7"/>
        <v>0</v>
      </c>
      <c r="S55" s="101">
        <f t="shared" si="7"/>
        <v>0</v>
      </c>
      <c r="T55" s="62"/>
      <c r="U55" s="8"/>
      <c r="V55" s="135"/>
      <c r="W55" s="134"/>
      <c r="X55" s="61"/>
    </row>
    <row r="56" spans="1:24">
      <c r="A56" s="1">
        <f t="shared" si="3"/>
        <v>49</v>
      </c>
      <c r="B56" s="15"/>
      <c r="C56" s="10"/>
      <c r="D56" s="11"/>
      <c r="E56" s="36"/>
      <c r="F56" s="36"/>
      <c r="G56" s="37"/>
      <c r="H56" s="38"/>
      <c r="I56" s="38">
        <f t="shared" si="4"/>
        <v>0</v>
      </c>
      <c r="J56" s="63">
        <f t="shared" si="4"/>
        <v>0</v>
      </c>
      <c r="K56" s="62"/>
      <c r="L56" s="36"/>
      <c r="M56" s="36"/>
      <c r="N56" s="36"/>
      <c r="O56" s="36"/>
      <c r="P56" s="36"/>
      <c r="Q56" s="99"/>
      <c r="R56" s="100">
        <f t="shared" si="7"/>
        <v>0</v>
      </c>
      <c r="S56" s="101">
        <f t="shared" si="7"/>
        <v>0</v>
      </c>
      <c r="T56" s="62"/>
      <c r="U56" s="8"/>
      <c r="V56" s="135"/>
      <c r="W56" s="134"/>
      <c r="X56" s="61"/>
    </row>
    <row r="57" spans="1:24">
      <c r="A57" s="1">
        <f t="shared" si="3"/>
        <v>50</v>
      </c>
      <c r="B57" s="15"/>
      <c r="C57" s="10"/>
      <c r="D57" s="11"/>
      <c r="E57" s="36"/>
      <c r="F57" s="36"/>
      <c r="G57" s="37"/>
      <c r="H57" s="38"/>
      <c r="I57" s="38">
        <f t="shared" si="4"/>
        <v>0</v>
      </c>
      <c r="J57" s="63">
        <f t="shared" si="4"/>
        <v>0</v>
      </c>
      <c r="K57" s="62"/>
      <c r="L57" s="36"/>
      <c r="M57" s="36"/>
      <c r="N57" s="36"/>
      <c r="O57" s="36"/>
      <c r="P57" s="36"/>
      <c r="Q57" s="99"/>
      <c r="R57" s="100">
        <f t="shared" si="7"/>
        <v>0</v>
      </c>
      <c r="S57" s="101">
        <f t="shared" si="7"/>
        <v>0</v>
      </c>
      <c r="T57" s="62"/>
      <c r="U57" s="8"/>
      <c r="V57" s="135"/>
      <c r="W57" s="134"/>
      <c r="X57" s="61"/>
    </row>
    <row r="58" spans="1:24">
      <c r="A58" s="1">
        <f t="shared" si="3"/>
        <v>51</v>
      </c>
      <c r="B58" s="15"/>
      <c r="C58" s="10"/>
      <c r="D58" s="11"/>
      <c r="E58" s="36"/>
      <c r="F58" s="36"/>
      <c r="G58" s="37"/>
      <c r="H58" s="38"/>
      <c r="I58" s="38">
        <f t="shared" si="4"/>
        <v>0</v>
      </c>
      <c r="J58" s="63">
        <f t="shared" si="4"/>
        <v>0</v>
      </c>
      <c r="K58" s="62"/>
      <c r="L58" s="36"/>
      <c r="M58" s="36"/>
      <c r="N58" s="36"/>
      <c r="O58" s="36"/>
      <c r="P58" s="36"/>
      <c r="Q58" s="99"/>
      <c r="R58" s="100">
        <f t="shared" si="7"/>
        <v>0</v>
      </c>
      <c r="S58" s="101">
        <f t="shared" si="7"/>
        <v>0</v>
      </c>
      <c r="T58" s="62"/>
      <c r="U58" s="8"/>
      <c r="V58" s="135"/>
      <c r="W58" s="134"/>
      <c r="X58" s="61"/>
    </row>
    <row r="59" spans="1:24">
      <c r="A59" s="1">
        <f t="shared" si="3"/>
        <v>52</v>
      </c>
      <c r="B59" s="15"/>
      <c r="C59" s="10"/>
      <c r="D59" s="11"/>
      <c r="E59" s="36"/>
      <c r="F59" s="36"/>
      <c r="G59" s="37"/>
      <c r="H59" s="38"/>
      <c r="I59" s="38">
        <f t="shared" si="4"/>
        <v>0</v>
      </c>
      <c r="J59" s="63">
        <f t="shared" si="4"/>
        <v>0</v>
      </c>
      <c r="K59" s="62"/>
      <c r="L59" s="36"/>
      <c r="M59" s="36"/>
      <c r="N59" s="36"/>
      <c r="O59" s="36"/>
      <c r="P59" s="36"/>
      <c r="Q59" s="99"/>
      <c r="R59" s="100">
        <f t="shared" si="7"/>
        <v>0</v>
      </c>
      <c r="S59" s="101">
        <f t="shared" si="7"/>
        <v>0</v>
      </c>
      <c r="T59" s="62"/>
      <c r="U59" s="8"/>
      <c r="V59" s="135"/>
      <c r="W59" s="134"/>
      <c r="X59" s="61"/>
    </row>
    <row r="60" spans="1:24" s="2" customFormat="1">
      <c r="B60" s="28" t="s">
        <v>15</v>
      </c>
      <c r="C60" s="29">
        <f>SUM(C8:C59)</f>
        <v>44675</v>
      </c>
      <c r="D60" s="30">
        <f>SUM(D8:D59)</f>
        <v>141</v>
      </c>
      <c r="E60" s="54">
        <f>SUM(E8:E59)</f>
        <v>0</v>
      </c>
      <c r="F60" s="54"/>
      <c r="G60" s="55">
        <f>SUM(G8:G59)</f>
        <v>1337</v>
      </c>
      <c r="H60" s="56">
        <f>SUM(H8:H59)</f>
        <v>23</v>
      </c>
      <c r="I60" s="56">
        <f>SUM(I8:I59)</f>
        <v>43338</v>
      </c>
      <c r="J60" s="78">
        <f>SUM(J8:J59)</f>
        <v>118</v>
      </c>
      <c r="L60" s="79">
        <f t="shared" ref="L60:S60" si="20">SUM(L8:L59)</f>
        <v>535</v>
      </c>
      <c r="M60" s="79">
        <f t="shared" si="20"/>
        <v>4</v>
      </c>
      <c r="N60" s="79">
        <f t="shared" si="20"/>
        <v>326</v>
      </c>
      <c r="O60" s="79">
        <f t="shared" si="20"/>
        <v>0</v>
      </c>
      <c r="P60" s="79">
        <f t="shared" si="20"/>
        <v>476</v>
      </c>
      <c r="Q60" s="121">
        <f t="shared" si="20"/>
        <v>19</v>
      </c>
      <c r="R60" s="122">
        <f t="shared" si="20"/>
        <v>1337</v>
      </c>
      <c r="S60" s="123">
        <f t="shared" si="20"/>
        <v>23</v>
      </c>
      <c r="U60" s="29">
        <f>SUM(U8:U59)</f>
        <v>9354</v>
      </c>
      <c r="V60" s="152">
        <f>SUM(V8:V59)</f>
        <v>1337</v>
      </c>
      <c r="W60" s="179">
        <f>SUM(W8:W59)</f>
        <v>336040</v>
      </c>
      <c r="X60" s="78"/>
    </row>
    <row r="61" spans="1:24">
      <c r="V61" s="154"/>
    </row>
    <row r="62" spans="1:24" ht="18.75" customHeight="1">
      <c r="G62" s="197" t="s">
        <v>66</v>
      </c>
      <c r="H62" s="57"/>
      <c r="I62" s="57"/>
      <c r="J62" s="80" t="s">
        <v>67</v>
      </c>
      <c r="L62" s="81"/>
      <c r="M62" s="87"/>
      <c r="N62" s="88"/>
      <c r="O62" s="88"/>
      <c r="P62" s="88"/>
      <c r="Q62" s="124"/>
      <c r="R62" s="124"/>
      <c r="S62" s="125"/>
    </row>
    <row r="63" spans="1:24">
      <c r="G63" s="198"/>
      <c r="H63" s="58"/>
      <c r="I63" s="58"/>
      <c r="J63" s="82" t="s">
        <v>68</v>
      </c>
      <c r="L63" s="83"/>
      <c r="M63" s="89"/>
      <c r="N63" s="90"/>
      <c r="O63" s="90"/>
      <c r="P63" s="90"/>
      <c r="Q63" s="126"/>
      <c r="R63" s="126"/>
      <c r="S63" s="127"/>
    </row>
    <row r="64" spans="1:24">
      <c r="G64" s="199"/>
      <c r="H64" s="59"/>
      <c r="I64" s="59"/>
      <c r="J64" s="82" t="s">
        <v>69</v>
      </c>
      <c r="L64" s="84"/>
      <c r="M64" s="91"/>
      <c r="N64" s="92"/>
      <c r="O64" s="92"/>
      <c r="P64" s="92"/>
      <c r="Q64" s="128"/>
      <c r="R64" s="128"/>
      <c r="S64" s="129"/>
    </row>
    <row r="65" spans="2:24">
      <c r="G65" s="200" t="s">
        <v>70</v>
      </c>
      <c r="H65" s="164"/>
      <c r="I65" s="164"/>
      <c r="J65" s="82" t="s">
        <v>67</v>
      </c>
      <c r="L65" s="84"/>
      <c r="M65" s="91"/>
      <c r="N65" s="92"/>
      <c r="O65" s="92"/>
      <c r="P65" s="92"/>
      <c r="Q65" s="128"/>
      <c r="R65" s="128"/>
      <c r="S65" s="129"/>
    </row>
    <row r="66" spans="2:24">
      <c r="G66" s="200"/>
      <c r="H66" s="164"/>
      <c r="I66" s="164"/>
      <c r="J66" s="82" t="s">
        <v>68</v>
      </c>
      <c r="L66" s="83"/>
      <c r="M66" s="89"/>
      <c r="N66" s="90"/>
      <c r="O66" s="90"/>
      <c r="P66" s="90"/>
      <c r="Q66" s="126"/>
      <c r="R66" s="126"/>
      <c r="S66" s="127"/>
    </row>
    <row r="67" spans="2:24">
      <c r="G67" s="201"/>
      <c r="H67" s="165"/>
      <c r="I67" s="165"/>
      <c r="J67" s="167" t="s">
        <v>69</v>
      </c>
      <c r="L67" s="168"/>
      <c r="M67" s="170"/>
      <c r="N67" s="171"/>
      <c r="O67" s="171"/>
      <c r="P67" s="171"/>
      <c r="Q67" s="174"/>
      <c r="R67" s="174"/>
      <c r="S67" s="175"/>
    </row>
    <row r="69" spans="2:24" ht="49.5" customHeight="1">
      <c r="B69" s="159" t="s">
        <v>71</v>
      </c>
      <c r="C69" s="5" t="s">
        <v>4</v>
      </c>
      <c r="D69" s="6"/>
      <c r="E69" s="166" t="s">
        <v>72</v>
      </c>
      <c r="L69" s="169" t="s">
        <v>12</v>
      </c>
      <c r="M69" s="172"/>
      <c r="N69" s="173" t="s">
        <v>13</v>
      </c>
      <c r="O69" s="173"/>
      <c r="P69" s="173" t="s">
        <v>14</v>
      </c>
      <c r="Q69" s="176"/>
      <c r="R69" s="176"/>
      <c r="S69" s="177" t="s">
        <v>73</v>
      </c>
      <c r="X69" s="178" t="s">
        <v>74</v>
      </c>
    </row>
    <row r="70" spans="2:24">
      <c r="B70" s="160" t="s">
        <v>47</v>
      </c>
      <c r="C70" s="161"/>
      <c r="D70" s="161"/>
      <c r="E70" s="163"/>
      <c r="L70" s="161"/>
      <c r="M70" s="161"/>
      <c r="N70" s="161"/>
      <c r="O70" s="161"/>
      <c r="P70" s="161"/>
      <c r="Q70" s="161"/>
      <c r="R70" s="161"/>
      <c r="S70" s="161"/>
      <c r="X70" s="163"/>
    </row>
    <row r="71" spans="2:24">
      <c r="B71" s="162" t="s">
        <v>75</v>
      </c>
      <c r="C71" s="161"/>
      <c r="D71" s="161"/>
      <c r="E71" s="163"/>
      <c r="L71" s="163"/>
      <c r="M71" s="163"/>
      <c r="N71" s="163"/>
      <c r="O71" s="163"/>
      <c r="P71" s="163"/>
      <c r="Q71" s="163"/>
      <c r="R71" s="163"/>
      <c r="S71" s="163"/>
      <c r="X71" s="163"/>
    </row>
    <row r="72" spans="2:24">
      <c r="B72" s="162" t="s">
        <v>76</v>
      </c>
      <c r="C72" s="161"/>
      <c r="D72" s="161"/>
      <c r="E72" s="163"/>
      <c r="L72" s="163"/>
      <c r="M72" s="163"/>
      <c r="N72" s="163"/>
      <c r="O72" s="163"/>
      <c r="P72" s="163"/>
      <c r="Q72" s="163"/>
      <c r="R72" s="163"/>
      <c r="S72" s="163"/>
      <c r="X72" s="163"/>
    </row>
    <row r="73" spans="2:24" ht="11.25" customHeight="1"/>
    <row r="74" spans="2:24">
      <c r="B74" s="162" t="s">
        <v>77</v>
      </c>
      <c r="C74" s="163"/>
      <c r="D74" s="163"/>
      <c r="E74" s="163"/>
      <c r="L74" s="163"/>
      <c r="M74" s="163"/>
      <c r="N74" s="163"/>
      <c r="O74" s="163"/>
      <c r="P74" s="163"/>
      <c r="Q74" s="163"/>
      <c r="R74" s="163"/>
      <c r="S74" s="163"/>
      <c r="X74" s="163"/>
    </row>
    <row r="75" spans="2:24">
      <c r="B75" s="162" t="s">
        <v>75</v>
      </c>
      <c r="C75" s="163"/>
      <c r="D75" s="163"/>
      <c r="E75" s="163"/>
      <c r="L75" s="163"/>
      <c r="M75" s="163"/>
      <c r="N75" s="163"/>
      <c r="O75" s="163"/>
      <c r="P75" s="163"/>
      <c r="Q75" s="163"/>
      <c r="R75" s="163"/>
      <c r="S75" s="163"/>
      <c r="X75" s="163"/>
    </row>
    <row r="76" spans="2:24">
      <c r="B76" s="162" t="s">
        <v>76</v>
      </c>
      <c r="C76" s="163"/>
      <c r="D76" s="163"/>
      <c r="E76" s="163"/>
      <c r="L76" s="163"/>
      <c r="M76" s="163"/>
      <c r="N76" s="163"/>
      <c r="O76" s="163"/>
      <c r="P76" s="163"/>
      <c r="Q76" s="163"/>
      <c r="R76" s="163"/>
      <c r="S76" s="163"/>
      <c r="X76" s="163"/>
    </row>
    <row r="77" spans="2:24" ht="11.25" customHeight="1"/>
    <row r="78" spans="2:24">
      <c r="B78" s="162" t="s">
        <v>78</v>
      </c>
      <c r="C78" s="163"/>
      <c r="D78" s="163"/>
      <c r="E78" s="163"/>
      <c r="L78" s="163"/>
      <c r="M78" s="163"/>
      <c r="N78" s="163"/>
      <c r="O78" s="163"/>
      <c r="P78" s="163"/>
      <c r="Q78" s="163"/>
      <c r="R78" s="163"/>
      <c r="S78" s="163"/>
      <c r="X78" s="163"/>
    </row>
    <row r="79" spans="2:24">
      <c r="B79" s="162" t="s">
        <v>75</v>
      </c>
      <c r="C79" s="163"/>
      <c r="D79" s="163"/>
      <c r="E79" s="163"/>
      <c r="L79" s="163"/>
      <c r="M79" s="163"/>
      <c r="N79" s="163"/>
      <c r="O79" s="163"/>
      <c r="P79" s="163"/>
      <c r="Q79" s="163"/>
      <c r="R79" s="163"/>
      <c r="S79" s="163"/>
      <c r="X79" s="163"/>
    </row>
    <row r="80" spans="2:24">
      <c r="B80" s="162" t="s">
        <v>76</v>
      </c>
      <c r="C80" s="163"/>
      <c r="D80" s="163"/>
      <c r="E80" s="163"/>
      <c r="L80" s="163"/>
      <c r="M80" s="163"/>
      <c r="N80" s="163"/>
      <c r="O80" s="163"/>
      <c r="P80" s="163"/>
      <c r="Q80" s="163"/>
      <c r="R80" s="163"/>
      <c r="S80" s="163"/>
      <c r="X80" s="163"/>
    </row>
    <row r="81" spans="2:24" ht="11.25" customHeight="1"/>
    <row r="82" spans="2:24">
      <c r="B82" s="162" t="s">
        <v>79</v>
      </c>
      <c r="C82" s="163"/>
      <c r="D82" s="163"/>
      <c r="E82" s="163"/>
      <c r="L82" s="163"/>
      <c r="M82" s="163"/>
      <c r="N82" s="163"/>
      <c r="O82" s="163"/>
      <c r="P82" s="163"/>
      <c r="Q82" s="163"/>
      <c r="R82" s="163"/>
      <c r="S82" s="163"/>
      <c r="X82" s="163"/>
    </row>
    <row r="83" spans="2:24">
      <c r="B83" s="162" t="s">
        <v>75</v>
      </c>
      <c r="C83" s="163"/>
      <c r="D83" s="163"/>
      <c r="E83" s="163"/>
      <c r="L83" s="163"/>
      <c r="M83" s="163"/>
      <c r="N83" s="163"/>
      <c r="O83" s="163"/>
      <c r="P83" s="163"/>
      <c r="Q83" s="163"/>
      <c r="R83" s="163"/>
      <c r="S83" s="163"/>
      <c r="X83" s="163"/>
    </row>
    <row r="84" spans="2:24">
      <c r="B84" s="162" t="s">
        <v>76</v>
      </c>
      <c r="C84" s="161"/>
      <c r="D84" s="161"/>
      <c r="E84" s="163"/>
      <c r="L84" s="163"/>
      <c r="M84" s="163"/>
      <c r="N84" s="163"/>
      <c r="O84" s="163"/>
      <c r="P84" s="163"/>
      <c r="Q84" s="163"/>
      <c r="R84" s="163"/>
      <c r="S84" s="163"/>
      <c r="X84" s="163"/>
    </row>
    <row r="85" spans="2:24" ht="11.25" customHeight="1"/>
    <row r="86" spans="2:24">
      <c r="B86" s="162" t="s">
        <v>80</v>
      </c>
      <c r="C86" s="163"/>
      <c r="D86" s="163"/>
      <c r="E86" s="163"/>
      <c r="L86" s="163"/>
      <c r="M86" s="163"/>
      <c r="N86" s="163"/>
      <c r="O86" s="163"/>
      <c r="P86" s="163"/>
      <c r="Q86" s="163"/>
      <c r="R86" s="163"/>
      <c r="S86" s="163"/>
      <c r="X86" s="163"/>
    </row>
    <row r="87" spans="2:24">
      <c r="B87" s="162" t="s">
        <v>75</v>
      </c>
      <c r="C87" s="163"/>
      <c r="D87" s="163"/>
      <c r="E87" s="163"/>
      <c r="L87" s="163"/>
      <c r="M87" s="163"/>
      <c r="N87" s="163"/>
      <c r="O87" s="163"/>
      <c r="P87" s="163"/>
      <c r="Q87" s="163"/>
      <c r="R87" s="163"/>
      <c r="S87" s="163"/>
      <c r="X87" s="163"/>
    </row>
    <row r="88" spans="2:24">
      <c r="B88" s="162" t="s">
        <v>76</v>
      </c>
      <c r="C88" s="163"/>
      <c r="D88" s="163"/>
      <c r="E88" s="163"/>
      <c r="L88" s="163"/>
      <c r="M88" s="163"/>
      <c r="N88" s="163"/>
      <c r="O88" s="163"/>
      <c r="P88" s="163"/>
      <c r="Q88" s="163"/>
      <c r="R88" s="163"/>
      <c r="S88" s="163"/>
      <c r="X88" s="163"/>
    </row>
    <row r="90" spans="2:24">
      <c r="B90" s="162" t="s">
        <v>81</v>
      </c>
      <c r="C90" s="163"/>
      <c r="D90" s="163"/>
      <c r="E90" s="163"/>
      <c r="L90" s="163"/>
      <c r="M90" s="163"/>
      <c r="N90" s="163"/>
      <c r="O90" s="163"/>
      <c r="P90" s="163"/>
      <c r="Q90" s="163"/>
      <c r="R90" s="163"/>
      <c r="S90" s="163"/>
      <c r="X90" s="163"/>
    </row>
  </sheetData>
  <mergeCells count="12">
    <mergeCell ref="G62:G64"/>
    <mergeCell ref="G65:G67"/>
    <mergeCell ref="H4:H5"/>
    <mergeCell ref="I4:I5"/>
    <mergeCell ref="J4:J5"/>
    <mergeCell ref="P1:X1"/>
    <mergeCell ref="E4:F4"/>
    <mergeCell ref="L4:X4"/>
    <mergeCell ref="B4:B5"/>
    <mergeCell ref="C4:C5"/>
    <mergeCell ref="D4:D5"/>
    <mergeCell ref="G4:G5"/>
  </mergeCells>
  <printOptions horizontalCentered="1" verticalCentered="1"/>
  <pageMargins left="0.196850393700787" right="0.196850393700787" top="0.196850393700787" bottom="0.196850393700787" header="0.511811023622047" footer="0.511811023622047"/>
  <pageSetup paperSize="9" scale="51" orientation="portrait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BH90"/>
  <sheetViews>
    <sheetView zoomScale="55" zoomScaleNormal="55" zoomScaleSheetLayoutView="85" zoomScalePageLayoutView="80" workbookViewId="0">
      <selection activeCell="P1" sqref="P1:X1"/>
    </sheetView>
  </sheetViews>
  <sheetFormatPr defaultColWidth="9.140625" defaultRowHeight="18.75"/>
  <cols>
    <col min="1" max="1" width="5.42578125" style="3" customWidth="1"/>
    <col min="2" max="2" width="12.28515625" style="3" customWidth="1"/>
    <col min="3" max="3" width="12.7109375" style="3" customWidth="1"/>
    <col min="4" max="4" width="8" style="3" customWidth="1"/>
    <col min="5" max="5" width="12.140625" style="3" customWidth="1"/>
    <col min="6" max="6" width="9.85546875" style="3" customWidth="1"/>
    <col min="7" max="7" width="11" style="3" customWidth="1"/>
    <col min="8" max="8" width="8" style="3" customWidth="1"/>
    <col min="9" max="9" width="14.7109375" style="3" customWidth="1"/>
    <col min="10" max="10" width="8.28515625" style="3" customWidth="1"/>
    <col min="11" max="11" width="1.28515625" style="3" customWidth="1"/>
    <col min="12" max="12" width="11" style="3" customWidth="1"/>
    <col min="13" max="13" width="7.85546875" style="3" customWidth="1"/>
    <col min="14" max="14" width="11" style="3" customWidth="1"/>
    <col min="15" max="15" width="6.5703125" style="3" customWidth="1"/>
    <col min="16" max="16" width="11" style="3" customWidth="1"/>
    <col min="17" max="17" width="6.5703125" style="3" customWidth="1"/>
    <col min="18" max="18" width="9.5703125" style="3" customWidth="1"/>
    <col min="19" max="19" width="8.140625" style="3" customWidth="1"/>
    <col min="20" max="20" width="1.28515625" style="3" customWidth="1"/>
    <col min="21" max="21" width="12.7109375" style="3" customWidth="1"/>
    <col min="22" max="22" width="12.7109375" style="3" hidden="1" customWidth="1"/>
    <col min="23" max="23" width="14.5703125" style="3" customWidth="1"/>
    <col min="24" max="24" width="11.5703125" style="3" customWidth="1"/>
    <col min="25" max="25" width="2" style="3" customWidth="1"/>
    <col min="26" max="26" width="10.5703125" style="3" customWidth="1"/>
    <col min="27" max="55" width="7.28515625" style="3" customWidth="1"/>
    <col min="56" max="56" width="1.5703125" style="3" customWidth="1"/>
    <col min="57" max="57" width="9.42578125" style="3" customWidth="1"/>
    <col min="58" max="58" width="1.28515625" style="3" customWidth="1"/>
    <col min="59" max="59" width="12.7109375" style="3" customWidth="1"/>
    <col min="60" max="60" width="10.28515625" style="3" customWidth="1"/>
    <col min="61" max="16384" width="9.140625" style="3"/>
  </cols>
  <sheetData>
    <row r="1" spans="1:60">
      <c r="B1" s="2" t="s">
        <v>0</v>
      </c>
      <c r="N1" s="3" t="s">
        <v>1</v>
      </c>
      <c r="P1" s="183">
        <v>46150</v>
      </c>
      <c r="Q1" s="184"/>
      <c r="R1" s="184"/>
      <c r="S1" s="184"/>
      <c r="T1" s="184"/>
      <c r="U1" s="184"/>
      <c r="V1" s="184"/>
      <c r="W1" s="184"/>
      <c r="X1" s="185"/>
    </row>
    <row r="2" spans="1:60" ht="15" customHeight="1">
      <c r="B2" s="2" t="s">
        <v>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4" spans="1:60" ht="19.5" customHeight="1">
      <c r="A4" s="4"/>
      <c r="B4" s="192" t="s">
        <v>3</v>
      </c>
      <c r="C4" s="193" t="s">
        <v>4</v>
      </c>
      <c r="D4" s="194" t="s">
        <v>5</v>
      </c>
      <c r="E4" s="186" t="s">
        <v>6</v>
      </c>
      <c r="F4" s="187"/>
      <c r="G4" s="195" t="s">
        <v>7</v>
      </c>
      <c r="H4" s="202" t="s">
        <v>5</v>
      </c>
      <c r="I4" s="204" t="s">
        <v>8</v>
      </c>
      <c r="J4" s="202" t="s">
        <v>5</v>
      </c>
      <c r="L4" s="188" t="s">
        <v>9</v>
      </c>
      <c r="M4" s="189"/>
      <c r="N4" s="189"/>
      <c r="O4" s="189"/>
      <c r="P4" s="189"/>
      <c r="Q4" s="189"/>
      <c r="R4" s="189"/>
      <c r="S4" s="189"/>
      <c r="T4" s="189"/>
      <c r="U4" s="189"/>
      <c r="V4" s="190"/>
      <c r="W4" s="189"/>
      <c r="X4" s="191"/>
    </row>
    <row r="5" spans="1:60" s="1" customFormat="1" ht="56.25">
      <c r="A5" s="4"/>
      <c r="B5" s="192"/>
      <c r="C5" s="193"/>
      <c r="D5" s="194"/>
      <c r="E5" s="31" t="s">
        <v>10</v>
      </c>
      <c r="F5" s="32" t="s">
        <v>11</v>
      </c>
      <c r="G5" s="196"/>
      <c r="H5" s="203"/>
      <c r="I5" s="205"/>
      <c r="J5" s="203"/>
      <c r="L5" s="60" t="s">
        <v>12</v>
      </c>
      <c r="M5" s="85" t="s">
        <v>5</v>
      </c>
      <c r="N5" s="86" t="s">
        <v>13</v>
      </c>
      <c r="O5" s="85" t="s">
        <v>5</v>
      </c>
      <c r="P5" s="86" t="s">
        <v>14</v>
      </c>
      <c r="Q5" s="85" t="s">
        <v>5</v>
      </c>
      <c r="R5" s="93" t="s">
        <v>15</v>
      </c>
      <c r="S5" s="94" t="s">
        <v>5</v>
      </c>
      <c r="T5" s="95"/>
      <c r="U5" s="130" t="s">
        <v>16</v>
      </c>
      <c r="V5" s="131" t="s">
        <v>17</v>
      </c>
      <c r="W5" s="132" t="s">
        <v>18</v>
      </c>
      <c r="X5" s="133" t="s">
        <v>19</v>
      </c>
      <c r="AL5" s="156"/>
      <c r="AM5" s="156"/>
      <c r="AN5" s="156"/>
      <c r="AO5" s="156"/>
      <c r="AP5" s="156"/>
      <c r="AQ5" s="156"/>
      <c r="AR5" s="156"/>
      <c r="AS5" s="156"/>
      <c r="AT5" s="156"/>
      <c r="AU5" s="156"/>
      <c r="AV5" s="156"/>
      <c r="AW5" s="156"/>
      <c r="AX5" s="156"/>
      <c r="AY5" s="156"/>
      <c r="AZ5" s="156"/>
      <c r="BA5" s="156"/>
      <c r="BB5" s="156"/>
      <c r="BC5" s="156"/>
      <c r="BD5" s="156"/>
      <c r="BE5" s="156"/>
      <c r="BF5" s="156"/>
      <c r="BG5" s="156"/>
      <c r="BH5" s="156"/>
    </row>
    <row r="6" spans="1:60" s="1" customFormat="1">
      <c r="B6" s="7"/>
      <c r="C6" s="8"/>
      <c r="D6" s="9"/>
      <c r="E6" s="33"/>
      <c r="F6" s="33"/>
      <c r="G6" s="34"/>
      <c r="H6" s="35"/>
      <c r="I6" s="35"/>
      <c r="J6" s="61"/>
      <c r="K6" s="62"/>
      <c r="L6" s="33"/>
      <c r="M6" s="33"/>
      <c r="N6" s="33"/>
      <c r="O6" s="33"/>
      <c r="P6" s="33"/>
      <c r="Q6" s="96"/>
      <c r="R6" s="97"/>
      <c r="S6" s="98"/>
      <c r="T6" s="62"/>
      <c r="U6" s="8"/>
      <c r="V6" s="33"/>
      <c r="W6" s="134"/>
      <c r="X6" s="61"/>
      <c r="AL6" s="156"/>
      <c r="AM6" s="156"/>
      <c r="AN6" s="156"/>
      <c r="AO6" s="156"/>
      <c r="AP6" s="156"/>
      <c r="AQ6" s="156"/>
      <c r="AR6" s="156"/>
      <c r="AS6" s="156"/>
      <c r="AT6" s="156"/>
      <c r="AU6" s="156"/>
      <c r="AV6" s="156"/>
      <c r="AW6" s="156"/>
      <c r="AX6" s="156"/>
      <c r="AY6" s="156"/>
      <c r="AZ6" s="156"/>
      <c r="BA6" s="156"/>
      <c r="BB6" s="156"/>
      <c r="BC6" s="156"/>
      <c r="BD6" s="156"/>
      <c r="BE6" s="156"/>
      <c r="BF6" s="156"/>
      <c r="BG6" s="156"/>
      <c r="BH6" s="156"/>
    </row>
    <row r="7" spans="1:60" s="1" customFormat="1">
      <c r="B7" s="7"/>
      <c r="C7" s="8"/>
      <c r="D7" s="9"/>
      <c r="E7" s="33"/>
      <c r="F7" s="33"/>
      <c r="G7" s="34"/>
      <c r="H7" s="35"/>
      <c r="I7" s="35"/>
      <c r="J7" s="61"/>
      <c r="K7" s="62"/>
      <c r="L7" s="33"/>
      <c r="M7" s="33"/>
      <c r="N7" s="33"/>
      <c r="O7" s="33"/>
      <c r="P7" s="33"/>
      <c r="Q7" s="96"/>
      <c r="R7" s="97"/>
      <c r="S7" s="98"/>
      <c r="T7" s="62"/>
      <c r="U7" s="8"/>
      <c r="V7" s="135"/>
      <c r="W7" s="134"/>
      <c r="X7" s="61"/>
      <c r="AL7" s="156"/>
      <c r="AM7" s="156"/>
      <c r="AN7" s="156"/>
      <c r="AO7" s="156"/>
      <c r="AP7" s="156"/>
      <c r="AQ7" s="156"/>
      <c r="AR7" s="156"/>
      <c r="AS7" s="156"/>
      <c r="AT7" s="156"/>
      <c r="AU7" s="156"/>
      <c r="AV7" s="156"/>
      <c r="AW7" s="156"/>
      <c r="AX7" s="156"/>
      <c r="AY7" s="156"/>
      <c r="AZ7" s="156"/>
      <c r="BA7" s="156"/>
      <c r="BB7" s="156"/>
      <c r="BC7" s="156"/>
      <c r="BD7" s="156"/>
      <c r="BE7" s="156"/>
      <c r="BF7" s="156"/>
      <c r="BG7" s="156"/>
      <c r="BH7" s="156"/>
    </row>
    <row r="8" spans="1:60">
      <c r="A8" s="1">
        <v>1</v>
      </c>
      <c r="B8" s="7" t="s">
        <v>20</v>
      </c>
      <c r="C8" s="10">
        <v>17</v>
      </c>
      <c r="D8" s="11">
        <v>19</v>
      </c>
      <c r="E8" s="36"/>
      <c r="F8" s="36"/>
      <c r="G8" s="37"/>
      <c r="H8" s="38"/>
      <c r="I8" s="38">
        <f>C8-G8</f>
        <v>17</v>
      </c>
      <c r="J8" s="63">
        <f t="shared" ref="J8:J13" si="0">D8-H8</f>
        <v>19</v>
      </c>
      <c r="K8" s="62"/>
      <c r="L8" s="36"/>
      <c r="M8" s="36"/>
      <c r="N8" s="36"/>
      <c r="O8" s="36"/>
      <c r="P8" s="36"/>
      <c r="Q8" s="99"/>
      <c r="R8" s="100">
        <f t="shared" ref="R8:S12" si="1">L8+N8+P8</f>
        <v>0</v>
      </c>
      <c r="S8" s="101">
        <f t="shared" si="1"/>
        <v>0</v>
      </c>
      <c r="T8" s="62"/>
      <c r="U8" s="8">
        <f>L8*24+N8*24+P8*24</f>
        <v>0</v>
      </c>
      <c r="V8" s="135">
        <f>U8/24</f>
        <v>0</v>
      </c>
      <c r="W8" s="134">
        <f t="shared" ref="W8:W13" si="2">I8*24+J8</f>
        <v>427</v>
      </c>
      <c r="X8" s="61"/>
      <c r="AL8" s="157"/>
      <c r="AM8" s="157"/>
      <c r="AN8" s="157"/>
      <c r="AO8" s="157"/>
      <c r="AP8" s="157"/>
      <c r="AQ8" s="157"/>
      <c r="AR8" s="157"/>
      <c r="AS8" s="157"/>
      <c r="AT8" s="157"/>
      <c r="AU8" s="157"/>
      <c r="AV8" s="157"/>
      <c r="AW8" s="157"/>
      <c r="AX8" s="157"/>
      <c r="AY8" s="157"/>
      <c r="AZ8" s="157"/>
      <c r="BA8" s="157"/>
      <c r="BB8" s="157"/>
      <c r="BC8" s="157"/>
      <c r="BD8" s="157"/>
      <c r="BE8" s="157"/>
      <c r="BF8" s="157"/>
      <c r="BG8" s="157"/>
      <c r="BH8" s="157"/>
    </row>
    <row r="9" spans="1:60">
      <c r="A9" s="1">
        <f t="shared" ref="A9:A59" si="3">A8+1</f>
        <v>2</v>
      </c>
      <c r="B9" s="12" t="s">
        <v>21</v>
      </c>
      <c r="C9" s="13">
        <v>81</v>
      </c>
      <c r="D9" s="14"/>
      <c r="E9" s="39"/>
      <c r="F9" s="39"/>
      <c r="G9" s="40"/>
      <c r="H9" s="41"/>
      <c r="I9" s="40">
        <f t="shared" ref="I9:J59" si="4">C9-G9</f>
        <v>81</v>
      </c>
      <c r="J9" s="64">
        <f t="shared" si="0"/>
        <v>0</v>
      </c>
      <c r="K9" s="65"/>
      <c r="L9" s="51"/>
      <c r="M9" s="51"/>
      <c r="N9" s="51"/>
      <c r="O9" s="51"/>
      <c r="P9" s="51"/>
      <c r="Q9" s="102"/>
      <c r="R9" s="103">
        <f t="shared" si="1"/>
        <v>0</v>
      </c>
      <c r="S9" s="104">
        <f t="shared" si="1"/>
        <v>0</v>
      </c>
      <c r="T9" s="65"/>
      <c r="U9" s="136">
        <f>L9*24+N9*24+P9*24</f>
        <v>0</v>
      </c>
      <c r="V9" s="137">
        <f>U9/24</f>
        <v>0</v>
      </c>
      <c r="W9" s="138">
        <f t="shared" si="2"/>
        <v>1944</v>
      </c>
      <c r="X9" s="139"/>
      <c r="AL9" s="157"/>
      <c r="AM9" s="157"/>
      <c r="AN9" s="157"/>
      <c r="AO9" s="157"/>
      <c r="AP9" s="157"/>
      <c r="AQ9" s="157"/>
      <c r="AR9" s="157"/>
      <c r="AS9" s="157"/>
      <c r="AT9" s="157"/>
      <c r="AU9" s="157"/>
      <c r="AV9" s="157"/>
      <c r="AW9" s="157"/>
      <c r="AX9" s="157"/>
      <c r="AY9" s="157"/>
      <c r="AZ9" s="157"/>
      <c r="BA9" s="157"/>
      <c r="BB9" s="157"/>
      <c r="BC9" s="157"/>
      <c r="BD9" s="157"/>
      <c r="BE9" s="157"/>
      <c r="BF9" s="157"/>
      <c r="BG9" s="157"/>
      <c r="BH9" s="157"/>
    </row>
    <row r="10" spans="1:60">
      <c r="A10" s="1">
        <f t="shared" si="3"/>
        <v>3</v>
      </c>
      <c r="B10" s="7" t="s">
        <v>22</v>
      </c>
      <c r="C10" s="10">
        <v>48</v>
      </c>
      <c r="D10" s="11"/>
      <c r="E10" s="36"/>
      <c r="F10" s="36"/>
      <c r="G10" s="37">
        <v>2</v>
      </c>
      <c r="H10" s="38"/>
      <c r="I10" s="38">
        <f t="shared" si="4"/>
        <v>46</v>
      </c>
      <c r="J10" s="66">
        <f t="shared" si="0"/>
        <v>0</v>
      </c>
      <c r="K10" s="62"/>
      <c r="L10" s="36"/>
      <c r="M10" s="36"/>
      <c r="N10" s="36">
        <v>2</v>
      </c>
      <c r="O10" s="36"/>
      <c r="P10" s="36"/>
      <c r="Q10" s="99"/>
      <c r="R10" s="105">
        <f t="shared" si="1"/>
        <v>2</v>
      </c>
      <c r="S10" s="106">
        <f t="shared" si="1"/>
        <v>0</v>
      </c>
      <c r="T10" s="62"/>
      <c r="U10" s="8">
        <f>L10*24+N10*24+P10*24</f>
        <v>48</v>
      </c>
      <c r="V10" s="140">
        <f>U10/24</f>
        <v>2</v>
      </c>
      <c r="W10" s="134">
        <f t="shared" si="2"/>
        <v>1104</v>
      </c>
      <c r="X10" s="61"/>
      <c r="AL10" s="157"/>
      <c r="AM10" s="157"/>
      <c r="AN10" s="157"/>
      <c r="AO10" s="157"/>
      <c r="AP10" s="157"/>
      <c r="AQ10" s="157"/>
      <c r="AR10" s="157"/>
      <c r="AS10" s="157"/>
      <c r="AT10" s="157"/>
      <c r="AU10" s="157"/>
      <c r="AV10" s="157"/>
      <c r="AW10" s="157"/>
      <c r="AX10" s="157"/>
      <c r="AY10" s="157"/>
      <c r="AZ10" s="157"/>
      <c r="BA10" s="157"/>
      <c r="BB10" s="157"/>
      <c r="BC10" s="157"/>
      <c r="BD10" s="157"/>
      <c r="BE10" s="157"/>
      <c r="BF10" s="157"/>
      <c r="BG10" s="157"/>
      <c r="BH10" s="157"/>
    </row>
    <row r="11" spans="1:60">
      <c r="A11" s="1">
        <f t="shared" si="3"/>
        <v>4</v>
      </c>
      <c r="B11" s="15" t="s">
        <v>23</v>
      </c>
      <c r="C11" s="10">
        <v>51</v>
      </c>
      <c r="D11" s="11"/>
      <c r="E11" s="36"/>
      <c r="F11" s="36"/>
      <c r="G11" s="37">
        <v>2</v>
      </c>
      <c r="H11" s="38"/>
      <c r="I11" s="38">
        <f t="shared" si="4"/>
        <v>49</v>
      </c>
      <c r="J11" s="63">
        <f t="shared" si="0"/>
        <v>0</v>
      </c>
      <c r="K11" s="62"/>
      <c r="L11" s="36"/>
      <c r="M11" s="36"/>
      <c r="N11" s="36">
        <v>2</v>
      </c>
      <c r="O11" s="36"/>
      <c r="P11" s="36"/>
      <c r="Q11" s="99"/>
      <c r="R11" s="100">
        <f t="shared" si="1"/>
        <v>2</v>
      </c>
      <c r="S11" s="101">
        <f t="shared" si="1"/>
        <v>0</v>
      </c>
      <c r="T11" s="62"/>
      <c r="U11" s="8">
        <f>L11*24+N11*24+P11*24</f>
        <v>48</v>
      </c>
      <c r="V11" s="135">
        <f>U11/24</f>
        <v>2</v>
      </c>
      <c r="W11" s="134">
        <f t="shared" si="2"/>
        <v>1176</v>
      </c>
      <c r="X11" s="61"/>
      <c r="AL11" s="157"/>
      <c r="AM11" s="157"/>
      <c r="AN11" s="157"/>
      <c r="AO11" s="157"/>
      <c r="AP11" s="157"/>
      <c r="AQ11" s="157"/>
      <c r="AR11" s="157"/>
      <c r="AS11" s="157"/>
      <c r="AT11" s="157"/>
      <c r="AU11" s="157"/>
      <c r="AV11" s="157"/>
      <c r="AW11" s="157"/>
      <c r="AX11" s="157"/>
      <c r="AY11" s="157"/>
      <c r="AZ11" s="157"/>
      <c r="BA11" s="157"/>
      <c r="BB11" s="157"/>
      <c r="BC11" s="157"/>
      <c r="BD11" s="157"/>
      <c r="BE11" s="157"/>
      <c r="BF11" s="157"/>
      <c r="BG11" s="157"/>
      <c r="BH11" s="157"/>
    </row>
    <row r="12" spans="1:60">
      <c r="A12" s="1">
        <f t="shared" si="3"/>
        <v>5</v>
      </c>
      <c r="B12" s="15" t="s">
        <v>24</v>
      </c>
      <c r="C12" s="10">
        <v>1</v>
      </c>
      <c r="D12" s="11"/>
      <c r="E12" s="36"/>
      <c r="F12" s="36"/>
      <c r="G12" s="37"/>
      <c r="H12" s="38"/>
      <c r="I12" s="38">
        <f t="shared" si="4"/>
        <v>1</v>
      </c>
      <c r="J12" s="63">
        <f t="shared" si="0"/>
        <v>0</v>
      </c>
      <c r="K12" s="62"/>
      <c r="L12" s="36"/>
      <c r="M12" s="36"/>
      <c r="N12" s="36"/>
      <c r="O12" s="36"/>
      <c r="P12" s="36"/>
      <c r="Q12" s="99"/>
      <c r="R12" s="100">
        <f t="shared" si="1"/>
        <v>0</v>
      </c>
      <c r="S12" s="101">
        <f t="shared" si="1"/>
        <v>0</v>
      </c>
      <c r="T12" s="62"/>
      <c r="U12" s="8">
        <f t="shared" ref="U12:U37" si="5">L12*24+N12*24+P12*24</f>
        <v>0</v>
      </c>
      <c r="V12" s="135">
        <f t="shared" ref="V12:V41" si="6">U12/24</f>
        <v>0</v>
      </c>
      <c r="W12" s="134">
        <f t="shared" si="2"/>
        <v>24</v>
      </c>
      <c r="X12" s="61"/>
      <c r="AL12" s="157"/>
      <c r="AM12" s="157"/>
      <c r="AN12" s="157"/>
      <c r="AO12" s="157"/>
      <c r="AP12" s="157"/>
      <c r="AQ12" s="157"/>
      <c r="AR12" s="157"/>
      <c r="AS12" s="157"/>
      <c r="AT12" s="157"/>
      <c r="AU12" s="157"/>
      <c r="AV12" s="157"/>
      <c r="AW12" s="157"/>
      <c r="AX12" s="157"/>
      <c r="AY12" s="157"/>
      <c r="AZ12" s="157"/>
      <c r="BA12" s="157"/>
      <c r="BB12" s="157"/>
      <c r="BC12" s="157"/>
      <c r="BD12" s="157"/>
      <c r="BE12" s="157"/>
      <c r="BF12" s="157"/>
      <c r="BG12" s="157"/>
      <c r="BH12" s="157"/>
    </row>
    <row r="13" spans="1:60" s="2" customFormat="1">
      <c r="A13" s="1">
        <f t="shared" si="3"/>
        <v>6</v>
      </c>
      <c r="B13" s="12" t="s">
        <v>25</v>
      </c>
      <c r="C13" s="13">
        <v>3467</v>
      </c>
      <c r="D13" s="14">
        <v>1</v>
      </c>
      <c r="E13" s="39"/>
      <c r="F13" s="39"/>
      <c r="G13" s="40">
        <v>24</v>
      </c>
      <c r="H13" s="41">
        <v>19</v>
      </c>
      <c r="I13" s="44">
        <f t="shared" si="4"/>
        <v>3443</v>
      </c>
      <c r="J13" s="64">
        <f t="shared" si="0"/>
        <v>-18</v>
      </c>
      <c r="K13" s="67"/>
      <c r="L13" s="51"/>
      <c r="M13" s="51"/>
      <c r="N13" s="51">
        <v>9</v>
      </c>
      <c r="O13" s="51">
        <v>9</v>
      </c>
      <c r="P13" s="51">
        <v>15</v>
      </c>
      <c r="Q13" s="102">
        <v>10</v>
      </c>
      <c r="R13" s="107">
        <f>L13+N13+P13</f>
        <v>24</v>
      </c>
      <c r="S13" s="104">
        <f>M13+O13+Q13</f>
        <v>19</v>
      </c>
      <c r="T13" s="67"/>
      <c r="U13" s="136">
        <f t="shared" si="5"/>
        <v>576</v>
      </c>
      <c r="V13" s="141">
        <f t="shared" si="6"/>
        <v>24</v>
      </c>
      <c r="W13" s="138">
        <f t="shared" si="2"/>
        <v>82614</v>
      </c>
      <c r="X13" s="139"/>
      <c r="Y13" s="3"/>
      <c r="AD13" s="3"/>
      <c r="AG13" s="3"/>
      <c r="AH13" s="3"/>
      <c r="AI13" s="3"/>
      <c r="AJ13" s="3"/>
      <c r="AK13" s="3"/>
      <c r="AL13" s="157"/>
      <c r="AM13" s="157"/>
      <c r="AN13" s="157"/>
      <c r="AO13" s="157"/>
      <c r="AP13" s="157"/>
      <c r="AQ13" s="157"/>
      <c r="AR13" s="157"/>
      <c r="AS13" s="157"/>
      <c r="AT13" s="157"/>
      <c r="AU13" s="157"/>
      <c r="AV13" s="157"/>
      <c r="AW13" s="157"/>
      <c r="AX13" s="157"/>
      <c r="AY13" s="157"/>
      <c r="AZ13" s="157"/>
      <c r="BA13" s="157"/>
      <c r="BB13" s="157"/>
      <c r="BC13" s="157"/>
      <c r="BD13" s="157"/>
      <c r="BE13" s="157"/>
      <c r="BF13" s="157"/>
      <c r="BG13" s="157"/>
      <c r="BH13" s="157"/>
    </row>
    <row r="14" spans="1:60">
      <c r="A14" s="1">
        <f t="shared" si="3"/>
        <v>7</v>
      </c>
      <c r="B14" s="7" t="s">
        <v>26</v>
      </c>
      <c r="C14" s="10">
        <v>3</v>
      </c>
      <c r="D14" s="11">
        <v>16</v>
      </c>
      <c r="E14" s="36"/>
      <c r="F14" s="36"/>
      <c r="G14" s="37"/>
      <c r="H14" s="38"/>
      <c r="I14" s="68">
        <f t="shared" si="4"/>
        <v>3</v>
      </c>
      <c r="J14" s="66">
        <f t="shared" si="4"/>
        <v>16</v>
      </c>
      <c r="K14" s="62"/>
      <c r="L14" s="36"/>
      <c r="M14" s="36"/>
      <c r="N14" s="36"/>
      <c r="O14" s="36"/>
      <c r="P14" s="36"/>
      <c r="Q14" s="99"/>
      <c r="R14" s="108">
        <f t="shared" ref="R14:S59" si="7">L14+N14+P14</f>
        <v>0</v>
      </c>
      <c r="S14" s="106">
        <f t="shared" si="7"/>
        <v>0</v>
      </c>
      <c r="T14" s="62"/>
      <c r="U14" s="8">
        <f t="shared" si="5"/>
        <v>0</v>
      </c>
      <c r="V14" s="33">
        <f t="shared" si="6"/>
        <v>0</v>
      </c>
      <c r="W14" s="134">
        <f t="shared" ref="W14:W37" si="8">I14*24+J14</f>
        <v>88</v>
      </c>
      <c r="X14" s="61"/>
      <c r="AL14" s="157"/>
      <c r="AM14" s="157"/>
      <c r="AN14" s="157"/>
      <c r="AO14" s="157"/>
      <c r="AP14" s="157"/>
      <c r="AQ14" s="157"/>
      <c r="AR14" s="157"/>
      <c r="AS14" s="157"/>
      <c r="AT14" s="157"/>
      <c r="AU14" s="157"/>
      <c r="AV14" s="157"/>
      <c r="AW14" s="157"/>
      <c r="AX14" s="157"/>
      <c r="AY14" s="157"/>
      <c r="AZ14" s="157"/>
      <c r="BA14" s="157"/>
      <c r="BB14" s="157"/>
      <c r="BC14" s="157"/>
      <c r="BD14" s="157"/>
      <c r="BE14" s="157"/>
      <c r="BF14" s="157"/>
      <c r="BG14" s="157"/>
      <c r="BH14" s="157"/>
    </row>
    <row r="15" spans="1:60">
      <c r="A15" s="1">
        <f t="shared" si="3"/>
        <v>8</v>
      </c>
      <c r="B15" s="15" t="s">
        <v>27</v>
      </c>
      <c r="C15" s="10">
        <v>4</v>
      </c>
      <c r="D15" s="11"/>
      <c r="E15" s="36"/>
      <c r="F15" s="36"/>
      <c r="G15" s="37"/>
      <c r="H15" s="38"/>
      <c r="I15" s="38">
        <f t="shared" si="4"/>
        <v>4</v>
      </c>
      <c r="J15" s="63">
        <f t="shared" si="4"/>
        <v>0</v>
      </c>
      <c r="K15" s="62"/>
      <c r="L15" s="36"/>
      <c r="M15" s="36"/>
      <c r="N15" s="36"/>
      <c r="O15" s="36"/>
      <c r="P15" s="36"/>
      <c r="Q15" s="99"/>
      <c r="R15" s="100">
        <f t="shared" si="7"/>
        <v>0</v>
      </c>
      <c r="S15" s="101">
        <f t="shared" si="7"/>
        <v>0</v>
      </c>
      <c r="T15" s="62"/>
      <c r="U15" s="8">
        <f t="shared" si="5"/>
        <v>0</v>
      </c>
      <c r="V15" s="135">
        <f t="shared" si="6"/>
        <v>0</v>
      </c>
      <c r="W15" s="134">
        <f t="shared" si="8"/>
        <v>96</v>
      </c>
      <c r="X15" s="61"/>
      <c r="AL15" s="157"/>
      <c r="AM15" s="157"/>
      <c r="AN15" s="157"/>
      <c r="AO15" s="157"/>
      <c r="AP15" s="157"/>
      <c r="AQ15" s="157"/>
      <c r="AR15" s="157"/>
      <c r="AS15" s="157"/>
      <c r="AT15" s="157"/>
      <c r="AU15" s="157"/>
      <c r="AV15" s="157"/>
      <c r="AW15" s="157"/>
      <c r="AX15" s="157"/>
      <c r="AY15" s="157"/>
      <c r="AZ15" s="157"/>
      <c r="BA15" s="157"/>
      <c r="BB15" s="157"/>
      <c r="BC15" s="157"/>
      <c r="BD15" s="157"/>
      <c r="BE15" s="157"/>
      <c r="BF15" s="157"/>
      <c r="BG15" s="157"/>
      <c r="BH15" s="157"/>
    </row>
    <row r="16" spans="1:60">
      <c r="A16" s="1">
        <f t="shared" si="3"/>
        <v>9</v>
      </c>
      <c r="B16" s="15" t="s">
        <v>28</v>
      </c>
      <c r="C16" s="10">
        <v>1</v>
      </c>
      <c r="D16" s="11"/>
      <c r="E16" s="36"/>
      <c r="F16" s="36"/>
      <c r="G16" s="37"/>
      <c r="H16" s="38"/>
      <c r="I16" s="38">
        <f t="shared" si="4"/>
        <v>1</v>
      </c>
      <c r="J16" s="63">
        <f t="shared" si="4"/>
        <v>0</v>
      </c>
      <c r="K16" s="62"/>
      <c r="L16" s="36"/>
      <c r="M16" s="36"/>
      <c r="N16" s="36"/>
      <c r="O16" s="36"/>
      <c r="P16" s="36"/>
      <c r="Q16" s="99"/>
      <c r="R16" s="100">
        <f t="shared" si="7"/>
        <v>0</v>
      </c>
      <c r="S16" s="101">
        <f t="shared" si="7"/>
        <v>0</v>
      </c>
      <c r="T16" s="62"/>
      <c r="U16" s="8">
        <f t="shared" si="5"/>
        <v>0</v>
      </c>
      <c r="V16" s="135">
        <f t="shared" si="6"/>
        <v>0</v>
      </c>
      <c r="W16" s="134">
        <f t="shared" si="8"/>
        <v>24</v>
      </c>
      <c r="X16" s="61"/>
      <c r="AL16" s="157"/>
      <c r="AM16" s="157"/>
      <c r="AN16" s="157"/>
      <c r="AO16" s="157"/>
      <c r="AP16" s="157"/>
      <c r="AQ16" s="157"/>
      <c r="AR16" s="157"/>
      <c r="AS16" s="157"/>
      <c r="AT16" s="157"/>
      <c r="AU16" s="157"/>
      <c r="AV16" s="157"/>
      <c r="AW16" s="157"/>
      <c r="AX16" s="157"/>
      <c r="AY16" s="157"/>
      <c r="AZ16" s="157"/>
      <c r="BA16" s="157"/>
      <c r="BB16" s="157"/>
      <c r="BC16" s="157"/>
      <c r="BD16" s="157"/>
      <c r="BE16" s="157"/>
      <c r="BF16" s="157"/>
      <c r="BG16" s="157"/>
      <c r="BH16" s="157"/>
    </row>
    <row r="17" spans="1:60">
      <c r="A17" s="1">
        <f t="shared" si="3"/>
        <v>10</v>
      </c>
      <c r="B17" s="15" t="s">
        <v>29</v>
      </c>
      <c r="C17" s="10"/>
      <c r="D17" s="11"/>
      <c r="E17" s="36"/>
      <c r="F17" s="36"/>
      <c r="G17" s="37"/>
      <c r="H17" s="38"/>
      <c r="I17" s="38">
        <f t="shared" si="4"/>
        <v>0</v>
      </c>
      <c r="J17" s="63">
        <f t="shared" si="4"/>
        <v>0</v>
      </c>
      <c r="K17" s="62"/>
      <c r="L17" s="36"/>
      <c r="M17" s="36"/>
      <c r="N17" s="36"/>
      <c r="O17" s="36"/>
      <c r="P17" s="36"/>
      <c r="Q17" s="99"/>
      <c r="R17" s="100">
        <f t="shared" si="7"/>
        <v>0</v>
      </c>
      <c r="S17" s="101">
        <f t="shared" si="7"/>
        <v>0</v>
      </c>
      <c r="T17" s="62"/>
      <c r="U17" s="8">
        <f t="shared" si="5"/>
        <v>0</v>
      </c>
      <c r="V17" s="135">
        <f t="shared" si="6"/>
        <v>0</v>
      </c>
      <c r="W17" s="134">
        <f t="shared" si="8"/>
        <v>0</v>
      </c>
      <c r="X17" s="61"/>
      <c r="AL17" s="157"/>
      <c r="AM17" s="157"/>
      <c r="AN17" s="157"/>
      <c r="AO17" s="157"/>
      <c r="AP17" s="157"/>
      <c r="AQ17" s="157"/>
      <c r="AR17" s="157"/>
      <c r="AS17" s="157"/>
      <c r="AT17" s="157"/>
      <c r="AU17" s="157"/>
      <c r="AV17" s="157"/>
      <c r="AW17" s="157"/>
      <c r="AX17" s="157"/>
      <c r="AY17" s="157"/>
      <c r="AZ17" s="157"/>
      <c r="BA17" s="157"/>
      <c r="BB17" s="157"/>
      <c r="BC17" s="157"/>
      <c r="BD17" s="157"/>
      <c r="BE17" s="157"/>
      <c r="BF17" s="157"/>
      <c r="BG17" s="157"/>
      <c r="BH17" s="157"/>
    </row>
    <row r="18" spans="1:60">
      <c r="A18" s="1">
        <f t="shared" si="3"/>
        <v>11</v>
      </c>
      <c r="B18" s="15" t="s">
        <v>30</v>
      </c>
      <c r="C18" s="10">
        <v>3</v>
      </c>
      <c r="D18" s="11"/>
      <c r="E18" s="36"/>
      <c r="F18" s="36"/>
      <c r="G18" s="37"/>
      <c r="H18" s="38"/>
      <c r="I18" s="38">
        <f t="shared" si="4"/>
        <v>3</v>
      </c>
      <c r="J18" s="63">
        <f t="shared" si="4"/>
        <v>0</v>
      </c>
      <c r="K18" s="62"/>
      <c r="L18" s="36"/>
      <c r="M18" s="36"/>
      <c r="N18" s="36"/>
      <c r="O18" s="36"/>
      <c r="P18" s="36"/>
      <c r="Q18" s="99"/>
      <c r="R18" s="100">
        <f t="shared" si="7"/>
        <v>0</v>
      </c>
      <c r="S18" s="101">
        <f t="shared" si="7"/>
        <v>0</v>
      </c>
      <c r="T18" s="62"/>
      <c r="U18" s="8">
        <f t="shared" si="5"/>
        <v>0</v>
      </c>
      <c r="V18" s="135">
        <f t="shared" si="6"/>
        <v>0</v>
      </c>
      <c r="W18" s="134">
        <f t="shared" si="8"/>
        <v>72</v>
      </c>
      <c r="X18" s="61"/>
      <c r="AL18" s="157"/>
      <c r="AM18" s="157"/>
      <c r="AN18" s="157"/>
      <c r="AO18" s="157"/>
      <c r="AP18" s="157"/>
      <c r="AQ18" s="157"/>
      <c r="AR18" s="157"/>
      <c r="AS18" s="157"/>
      <c r="AT18" s="157"/>
      <c r="AU18" s="157"/>
      <c r="AV18" s="157"/>
      <c r="AW18" s="157"/>
      <c r="AX18" s="157"/>
      <c r="AY18" s="157"/>
      <c r="AZ18" s="157"/>
      <c r="BA18" s="157"/>
      <c r="BB18" s="157"/>
      <c r="BC18" s="157"/>
      <c r="BD18" s="157"/>
      <c r="BE18" s="157"/>
      <c r="BF18" s="157"/>
      <c r="BG18" s="157"/>
      <c r="BH18" s="157"/>
    </row>
    <row r="19" spans="1:60" ht="18.75" hidden="1" customHeight="1">
      <c r="A19" s="1">
        <f t="shared" si="3"/>
        <v>12</v>
      </c>
      <c r="B19" s="15" t="s">
        <v>31</v>
      </c>
      <c r="C19" s="10"/>
      <c r="D19" s="11"/>
      <c r="E19" s="36"/>
      <c r="F19" s="36"/>
      <c r="G19" s="37"/>
      <c r="H19" s="38"/>
      <c r="I19" s="38">
        <f t="shared" si="4"/>
        <v>0</v>
      </c>
      <c r="J19" s="63">
        <f t="shared" si="4"/>
        <v>0</v>
      </c>
      <c r="K19" s="62"/>
      <c r="L19" s="36"/>
      <c r="M19" s="36"/>
      <c r="N19" s="36"/>
      <c r="O19" s="36"/>
      <c r="P19" s="36"/>
      <c r="Q19" s="99"/>
      <c r="R19" s="100">
        <f t="shared" si="7"/>
        <v>0</v>
      </c>
      <c r="S19" s="101">
        <f t="shared" si="7"/>
        <v>0</v>
      </c>
      <c r="T19" s="62"/>
      <c r="U19" s="8">
        <f t="shared" si="5"/>
        <v>0</v>
      </c>
      <c r="V19" s="135">
        <f t="shared" si="6"/>
        <v>0</v>
      </c>
      <c r="W19" s="134">
        <f t="shared" si="8"/>
        <v>0</v>
      </c>
      <c r="X19" s="61"/>
      <c r="AL19" s="157"/>
      <c r="AM19" s="157"/>
      <c r="AN19" s="157"/>
      <c r="AO19" s="157"/>
      <c r="AP19" s="157"/>
      <c r="AQ19" s="157"/>
      <c r="AR19" s="157"/>
      <c r="AS19" s="157"/>
      <c r="AT19" s="157"/>
      <c r="AU19" s="157"/>
      <c r="AV19" s="157"/>
      <c r="AW19" s="157"/>
      <c r="AX19" s="157"/>
      <c r="AY19" s="157"/>
      <c r="AZ19" s="157"/>
      <c r="BA19" s="157"/>
      <c r="BB19" s="157"/>
      <c r="BC19" s="157"/>
      <c r="BD19" s="157"/>
      <c r="BE19" s="157"/>
      <c r="BF19" s="157"/>
      <c r="BG19" s="157"/>
      <c r="BH19" s="157"/>
    </row>
    <row r="20" spans="1:60">
      <c r="A20" s="1">
        <f t="shared" si="3"/>
        <v>13</v>
      </c>
      <c r="B20" s="15" t="s">
        <v>32</v>
      </c>
      <c r="C20" s="10">
        <v>4</v>
      </c>
      <c r="D20" s="11">
        <v>20</v>
      </c>
      <c r="E20" s="36"/>
      <c r="F20" s="36"/>
      <c r="G20" s="37"/>
      <c r="H20" s="38"/>
      <c r="I20" s="38">
        <f t="shared" si="4"/>
        <v>4</v>
      </c>
      <c r="J20" s="63">
        <f t="shared" si="4"/>
        <v>20</v>
      </c>
      <c r="K20" s="62"/>
      <c r="L20" s="36"/>
      <c r="M20" s="36"/>
      <c r="N20" s="36"/>
      <c r="O20" s="36"/>
      <c r="P20" s="36"/>
      <c r="Q20" s="99"/>
      <c r="R20" s="100">
        <f t="shared" si="7"/>
        <v>0</v>
      </c>
      <c r="S20" s="101">
        <f t="shared" si="7"/>
        <v>0</v>
      </c>
      <c r="T20" s="62"/>
      <c r="U20" s="8">
        <f t="shared" si="5"/>
        <v>0</v>
      </c>
      <c r="V20" s="135">
        <f t="shared" si="6"/>
        <v>0</v>
      </c>
      <c r="W20" s="134">
        <f t="shared" si="8"/>
        <v>116</v>
      </c>
      <c r="X20" s="61"/>
      <c r="AL20" s="157"/>
      <c r="AM20" s="157"/>
      <c r="AN20" s="157"/>
      <c r="AO20" s="157"/>
      <c r="AP20" s="157"/>
      <c r="AQ20" s="157"/>
      <c r="AR20" s="157"/>
      <c r="AS20" s="157"/>
      <c r="AT20" s="157"/>
      <c r="AU20" s="157"/>
      <c r="AV20" s="157"/>
      <c r="AW20" s="157"/>
      <c r="AX20" s="157"/>
      <c r="AY20" s="157"/>
      <c r="AZ20" s="157"/>
      <c r="BA20" s="157"/>
      <c r="BB20" s="157"/>
      <c r="BC20" s="157"/>
      <c r="BD20" s="157"/>
      <c r="BE20" s="157"/>
      <c r="BF20" s="157"/>
      <c r="BG20" s="157"/>
      <c r="BH20" s="157"/>
    </row>
    <row r="21" spans="1:60">
      <c r="A21" s="1">
        <f t="shared" si="3"/>
        <v>14</v>
      </c>
      <c r="B21" s="15" t="s">
        <v>33</v>
      </c>
      <c r="C21" s="10">
        <v>7</v>
      </c>
      <c r="D21" s="11">
        <v>16</v>
      </c>
      <c r="E21" s="36"/>
      <c r="F21" s="36"/>
      <c r="G21" s="37"/>
      <c r="H21" s="38"/>
      <c r="I21" s="38">
        <f t="shared" si="4"/>
        <v>7</v>
      </c>
      <c r="J21" s="63">
        <f t="shared" si="4"/>
        <v>16</v>
      </c>
      <c r="K21" s="62"/>
      <c r="L21" s="36"/>
      <c r="M21" s="36"/>
      <c r="N21" s="36"/>
      <c r="O21" s="36"/>
      <c r="P21" s="36"/>
      <c r="Q21" s="99"/>
      <c r="R21" s="100">
        <f t="shared" si="7"/>
        <v>0</v>
      </c>
      <c r="S21" s="101">
        <f t="shared" si="7"/>
        <v>0</v>
      </c>
      <c r="T21" s="62"/>
      <c r="U21" s="8">
        <f t="shared" si="5"/>
        <v>0</v>
      </c>
      <c r="V21" s="135">
        <f t="shared" si="6"/>
        <v>0</v>
      </c>
      <c r="W21" s="134">
        <f t="shared" si="8"/>
        <v>184</v>
      </c>
      <c r="X21" s="61"/>
      <c r="AL21" s="157"/>
      <c r="AM21" s="157"/>
      <c r="AN21" s="157"/>
      <c r="AO21" s="157"/>
      <c r="AP21" s="157"/>
      <c r="AQ21" s="157"/>
      <c r="AR21" s="157"/>
      <c r="AS21" s="157"/>
      <c r="AT21" s="157"/>
      <c r="AU21" s="157"/>
      <c r="AV21" s="157"/>
      <c r="AW21" s="157"/>
      <c r="AX21" s="157"/>
      <c r="AY21" s="157"/>
      <c r="AZ21" s="157"/>
      <c r="BA21" s="157"/>
      <c r="BB21" s="157"/>
      <c r="BC21" s="157"/>
      <c r="BD21" s="157"/>
      <c r="BE21" s="157"/>
      <c r="BF21" s="157"/>
      <c r="BG21" s="157"/>
      <c r="BH21" s="157"/>
    </row>
    <row r="22" spans="1:60">
      <c r="A22" s="1">
        <f t="shared" si="3"/>
        <v>15</v>
      </c>
      <c r="B22" s="15" t="s">
        <v>34</v>
      </c>
      <c r="C22" s="10">
        <v>4</v>
      </c>
      <c r="D22" s="11"/>
      <c r="E22" s="36"/>
      <c r="F22" s="36"/>
      <c r="G22" s="37"/>
      <c r="H22" s="38"/>
      <c r="I22" s="38">
        <f t="shared" si="4"/>
        <v>4</v>
      </c>
      <c r="J22" s="63">
        <f t="shared" si="4"/>
        <v>0</v>
      </c>
      <c r="K22" s="62"/>
      <c r="L22" s="36"/>
      <c r="M22" s="36"/>
      <c r="N22" s="36"/>
      <c r="O22" s="36"/>
      <c r="P22" s="36"/>
      <c r="Q22" s="99"/>
      <c r="R22" s="100">
        <f t="shared" si="7"/>
        <v>0</v>
      </c>
      <c r="S22" s="101">
        <f t="shared" si="7"/>
        <v>0</v>
      </c>
      <c r="T22" s="62"/>
      <c r="U22" s="8">
        <f t="shared" si="5"/>
        <v>0</v>
      </c>
      <c r="V22" s="135">
        <f t="shared" si="6"/>
        <v>0</v>
      </c>
      <c r="W22" s="134">
        <f t="shared" si="8"/>
        <v>96</v>
      </c>
      <c r="X22" s="61"/>
      <c r="AL22" s="157"/>
      <c r="AM22" s="157"/>
      <c r="AN22" s="157"/>
      <c r="AO22" s="157"/>
      <c r="AP22" s="157"/>
      <c r="AQ22" s="157"/>
      <c r="AR22" s="157"/>
      <c r="AS22" s="157"/>
      <c r="AT22" s="157"/>
      <c r="AU22" s="157"/>
      <c r="AV22" s="157"/>
      <c r="AW22" s="157"/>
      <c r="AX22" s="157"/>
      <c r="AY22" s="157"/>
      <c r="AZ22" s="157"/>
      <c r="BA22" s="157"/>
      <c r="BB22" s="157"/>
      <c r="BC22" s="157"/>
      <c r="BD22" s="157"/>
      <c r="BE22" s="157"/>
      <c r="BF22" s="157"/>
      <c r="BG22" s="157"/>
      <c r="BH22" s="157"/>
    </row>
    <row r="23" spans="1:60" s="2" customFormat="1">
      <c r="A23" s="1">
        <f t="shared" si="3"/>
        <v>16</v>
      </c>
      <c r="B23" s="15" t="s">
        <v>35</v>
      </c>
      <c r="C23" s="10">
        <v>1</v>
      </c>
      <c r="D23" s="11">
        <v>20</v>
      </c>
      <c r="E23" s="36"/>
      <c r="F23" s="36"/>
      <c r="G23" s="37"/>
      <c r="H23" s="38"/>
      <c r="I23" s="38">
        <f t="shared" si="4"/>
        <v>1</v>
      </c>
      <c r="J23" s="63">
        <f t="shared" si="4"/>
        <v>20</v>
      </c>
      <c r="K23" s="69"/>
      <c r="L23" s="36"/>
      <c r="M23" s="36"/>
      <c r="N23" s="36"/>
      <c r="O23" s="36"/>
      <c r="P23" s="36"/>
      <c r="Q23" s="99"/>
      <c r="R23" s="100">
        <f t="shared" si="7"/>
        <v>0</v>
      </c>
      <c r="S23" s="101">
        <f t="shared" si="7"/>
        <v>0</v>
      </c>
      <c r="T23" s="69"/>
      <c r="U23" s="8">
        <f t="shared" si="5"/>
        <v>0</v>
      </c>
      <c r="V23" s="135">
        <f t="shared" si="6"/>
        <v>0</v>
      </c>
      <c r="W23" s="134">
        <f t="shared" si="8"/>
        <v>44</v>
      </c>
      <c r="X23" s="61"/>
      <c r="Y23" s="3"/>
      <c r="AD23" s="3"/>
      <c r="AG23" s="3"/>
      <c r="AH23" s="3"/>
      <c r="AI23" s="3"/>
      <c r="AJ23" s="3"/>
      <c r="AK23" s="3"/>
      <c r="AL23" s="157"/>
      <c r="AM23" s="157"/>
      <c r="AN23" s="157"/>
      <c r="AO23" s="157"/>
      <c r="AP23" s="157"/>
      <c r="AQ23" s="157"/>
      <c r="AR23" s="157"/>
      <c r="AS23" s="157"/>
      <c r="AT23" s="157"/>
      <c r="AU23" s="157"/>
      <c r="AV23" s="157"/>
      <c r="AW23" s="157"/>
      <c r="AX23" s="157"/>
      <c r="AY23" s="157"/>
      <c r="AZ23" s="157"/>
      <c r="BA23" s="157"/>
      <c r="BB23" s="157"/>
      <c r="BC23" s="157"/>
      <c r="BD23" s="157"/>
      <c r="BE23" s="157"/>
      <c r="BF23" s="157"/>
      <c r="BG23" s="157"/>
      <c r="BH23" s="157"/>
    </row>
    <row r="24" spans="1:60" s="2" customFormat="1">
      <c r="A24" s="1">
        <f t="shared" si="3"/>
        <v>17</v>
      </c>
      <c r="B24" s="15" t="s">
        <v>36</v>
      </c>
      <c r="C24" s="10">
        <v>37</v>
      </c>
      <c r="D24" s="11">
        <v>19</v>
      </c>
      <c r="E24" s="36"/>
      <c r="F24" s="36"/>
      <c r="G24" s="37"/>
      <c r="H24" s="38"/>
      <c r="I24" s="38">
        <f t="shared" si="4"/>
        <v>37</v>
      </c>
      <c r="J24" s="63">
        <f t="shared" si="4"/>
        <v>19</v>
      </c>
      <c r="K24" s="69"/>
      <c r="L24" s="36"/>
      <c r="M24" s="36"/>
      <c r="N24" s="36"/>
      <c r="O24" s="36"/>
      <c r="P24" s="36"/>
      <c r="Q24" s="99"/>
      <c r="R24" s="100">
        <f t="shared" si="7"/>
        <v>0</v>
      </c>
      <c r="S24" s="101">
        <f t="shared" si="7"/>
        <v>0</v>
      </c>
      <c r="T24" s="69"/>
      <c r="U24" s="8">
        <f t="shared" si="5"/>
        <v>0</v>
      </c>
      <c r="V24" s="135">
        <f t="shared" si="6"/>
        <v>0</v>
      </c>
      <c r="W24" s="134">
        <f t="shared" si="8"/>
        <v>907</v>
      </c>
      <c r="X24" s="61"/>
      <c r="Y24" s="3"/>
      <c r="AD24" s="3"/>
      <c r="AG24" s="3"/>
      <c r="AH24" s="3"/>
      <c r="AI24" s="3"/>
      <c r="AJ24" s="3"/>
      <c r="AK24" s="3"/>
      <c r="AL24" s="157"/>
      <c r="AM24" s="157"/>
      <c r="AN24" s="157"/>
      <c r="AO24" s="157"/>
      <c r="AP24" s="157"/>
      <c r="AQ24" s="157"/>
      <c r="AR24" s="157"/>
      <c r="AS24" s="157"/>
      <c r="AT24" s="157"/>
      <c r="AU24" s="157"/>
      <c r="AV24" s="157"/>
      <c r="AW24" s="157"/>
      <c r="AX24" s="157"/>
      <c r="AY24" s="157"/>
      <c r="AZ24" s="157"/>
      <c r="BA24" s="157"/>
      <c r="BB24" s="157"/>
      <c r="BC24" s="157"/>
      <c r="BD24" s="157"/>
      <c r="BE24" s="157"/>
      <c r="BF24" s="157"/>
      <c r="BG24" s="157"/>
      <c r="BH24" s="157"/>
    </row>
    <row r="25" spans="1:60">
      <c r="A25" s="1">
        <f t="shared" si="3"/>
        <v>18</v>
      </c>
      <c r="B25" s="15" t="s">
        <v>37</v>
      </c>
      <c r="C25" s="10">
        <v>10</v>
      </c>
      <c r="D25" s="11"/>
      <c r="E25" s="36"/>
      <c r="F25" s="36"/>
      <c r="G25" s="37"/>
      <c r="H25" s="38"/>
      <c r="I25" s="38">
        <f t="shared" si="4"/>
        <v>10</v>
      </c>
      <c r="J25" s="63">
        <f t="shared" si="4"/>
        <v>0</v>
      </c>
      <c r="K25" s="62"/>
      <c r="L25" s="36"/>
      <c r="M25" s="36"/>
      <c r="N25" s="36"/>
      <c r="O25" s="36"/>
      <c r="P25" s="36"/>
      <c r="Q25" s="99"/>
      <c r="R25" s="100">
        <f t="shared" si="7"/>
        <v>0</v>
      </c>
      <c r="S25" s="101">
        <f t="shared" si="7"/>
        <v>0</v>
      </c>
      <c r="T25" s="62"/>
      <c r="U25" s="8">
        <f t="shared" si="5"/>
        <v>0</v>
      </c>
      <c r="V25" s="135">
        <f t="shared" si="6"/>
        <v>0</v>
      </c>
      <c r="W25" s="134">
        <f t="shared" si="8"/>
        <v>240</v>
      </c>
      <c r="X25" s="61"/>
      <c r="AL25" s="157"/>
      <c r="AM25" s="157"/>
      <c r="AN25" s="157"/>
      <c r="AO25" s="157"/>
      <c r="AP25" s="157"/>
      <c r="AQ25" s="157"/>
      <c r="AR25" s="157"/>
      <c r="AS25" s="157"/>
      <c r="AT25" s="157"/>
      <c r="AU25" s="157"/>
      <c r="AV25" s="157"/>
      <c r="AW25" s="157"/>
      <c r="AX25" s="157"/>
      <c r="AY25" s="157"/>
      <c r="AZ25" s="157"/>
      <c r="BA25" s="157"/>
      <c r="BB25" s="157"/>
      <c r="BC25" s="157"/>
      <c r="BD25" s="157"/>
      <c r="BE25" s="157"/>
      <c r="BF25" s="157"/>
      <c r="BG25" s="157"/>
      <c r="BH25" s="157"/>
    </row>
    <row r="26" spans="1:60">
      <c r="A26" s="1">
        <f t="shared" si="3"/>
        <v>19</v>
      </c>
      <c r="B26" s="15" t="s">
        <v>38</v>
      </c>
      <c r="C26" s="10"/>
      <c r="D26" s="11">
        <v>1</v>
      </c>
      <c r="E26" s="36"/>
      <c r="F26" s="36"/>
      <c r="G26" s="37"/>
      <c r="H26" s="38"/>
      <c r="I26" s="38">
        <f t="shared" si="4"/>
        <v>0</v>
      </c>
      <c r="J26" s="63">
        <f t="shared" si="4"/>
        <v>1</v>
      </c>
      <c r="K26" s="62"/>
      <c r="L26" s="36"/>
      <c r="M26" s="36"/>
      <c r="N26" s="36"/>
      <c r="O26" s="36"/>
      <c r="P26" s="36"/>
      <c r="Q26" s="99"/>
      <c r="R26" s="100">
        <f t="shared" si="7"/>
        <v>0</v>
      </c>
      <c r="S26" s="101">
        <f t="shared" si="7"/>
        <v>0</v>
      </c>
      <c r="T26" s="62"/>
      <c r="U26" s="8">
        <f t="shared" si="5"/>
        <v>0</v>
      </c>
      <c r="V26" s="135">
        <f t="shared" si="6"/>
        <v>0</v>
      </c>
      <c r="W26" s="134">
        <f t="shared" si="8"/>
        <v>1</v>
      </c>
      <c r="X26" s="61"/>
      <c r="BE26" s="158" t="e">
        <f>#REF!-BE25</f>
        <v>#REF!</v>
      </c>
    </row>
    <row r="27" spans="1:60" s="2" customFormat="1">
      <c r="A27" s="1">
        <f t="shared" si="3"/>
        <v>20</v>
      </c>
      <c r="B27" s="15" t="s">
        <v>39</v>
      </c>
      <c r="C27" s="10"/>
      <c r="D27" s="11"/>
      <c r="E27" s="36"/>
      <c r="F27" s="36"/>
      <c r="G27" s="37"/>
      <c r="H27" s="38"/>
      <c r="I27" s="38">
        <f t="shared" si="4"/>
        <v>0</v>
      </c>
      <c r="J27" s="63">
        <f t="shared" si="4"/>
        <v>0</v>
      </c>
      <c r="K27" s="69"/>
      <c r="L27" s="36"/>
      <c r="M27" s="36"/>
      <c r="N27" s="36"/>
      <c r="O27" s="36"/>
      <c r="P27" s="36"/>
      <c r="Q27" s="99"/>
      <c r="R27" s="100">
        <f t="shared" si="7"/>
        <v>0</v>
      </c>
      <c r="S27" s="101">
        <f t="shared" si="7"/>
        <v>0</v>
      </c>
      <c r="T27" s="69"/>
      <c r="U27" s="8">
        <f t="shared" si="5"/>
        <v>0</v>
      </c>
      <c r="V27" s="135">
        <f t="shared" si="6"/>
        <v>0</v>
      </c>
      <c r="W27" s="134">
        <f t="shared" si="8"/>
        <v>0</v>
      </c>
      <c r="X27" s="61"/>
      <c r="Y27" s="3"/>
      <c r="AD27" s="3"/>
      <c r="AG27" s="3"/>
      <c r="AH27" s="3"/>
      <c r="AI27" s="3"/>
      <c r="AJ27" s="3"/>
      <c r="AK27" s="3"/>
    </row>
    <row r="28" spans="1:60" s="2" customFormat="1">
      <c r="A28" s="1">
        <f t="shared" si="3"/>
        <v>21</v>
      </c>
      <c r="B28" s="15" t="s">
        <v>40</v>
      </c>
      <c r="C28" s="10"/>
      <c r="D28" s="11"/>
      <c r="E28" s="36"/>
      <c r="F28" s="36"/>
      <c r="G28" s="37"/>
      <c r="H28" s="38"/>
      <c r="I28" s="38">
        <f t="shared" si="4"/>
        <v>0</v>
      </c>
      <c r="J28" s="63">
        <f t="shared" si="4"/>
        <v>0</v>
      </c>
      <c r="K28" s="69"/>
      <c r="L28" s="36"/>
      <c r="M28" s="36"/>
      <c r="N28" s="36"/>
      <c r="O28" s="36"/>
      <c r="P28" s="36"/>
      <c r="Q28" s="99"/>
      <c r="R28" s="100">
        <f t="shared" si="7"/>
        <v>0</v>
      </c>
      <c r="S28" s="101">
        <f t="shared" si="7"/>
        <v>0</v>
      </c>
      <c r="T28" s="69"/>
      <c r="U28" s="8">
        <f t="shared" si="5"/>
        <v>0</v>
      </c>
      <c r="V28" s="135">
        <f t="shared" si="6"/>
        <v>0</v>
      </c>
      <c r="W28" s="134">
        <f t="shared" si="8"/>
        <v>0</v>
      </c>
      <c r="X28" s="61"/>
      <c r="Y28" s="3"/>
      <c r="AD28" s="3"/>
      <c r="AG28" s="3"/>
      <c r="AH28" s="3"/>
      <c r="AI28" s="3"/>
      <c r="AJ28" s="3"/>
      <c r="AK28" s="3"/>
    </row>
    <row r="29" spans="1:60" s="2" customFormat="1">
      <c r="A29" s="1">
        <f t="shared" si="3"/>
        <v>22</v>
      </c>
      <c r="B29" s="15" t="s">
        <v>41</v>
      </c>
      <c r="C29" s="10"/>
      <c r="D29" s="11"/>
      <c r="E29" s="36"/>
      <c r="F29" s="36"/>
      <c r="G29" s="37"/>
      <c r="H29" s="38"/>
      <c r="I29" s="38">
        <f t="shared" si="4"/>
        <v>0</v>
      </c>
      <c r="J29" s="63">
        <f t="shared" si="4"/>
        <v>0</v>
      </c>
      <c r="K29" s="69"/>
      <c r="L29" s="36"/>
      <c r="M29" s="36"/>
      <c r="N29" s="36"/>
      <c r="O29" s="36"/>
      <c r="P29" s="36"/>
      <c r="Q29" s="99"/>
      <c r="R29" s="100">
        <f t="shared" si="7"/>
        <v>0</v>
      </c>
      <c r="S29" s="101">
        <f t="shared" si="7"/>
        <v>0</v>
      </c>
      <c r="T29" s="69"/>
      <c r="U29" s="8">
        <f t="shared" si="5"/>
        <v>0</v>
      </c>
      <c r="V29" s="135">
        <f t="shared" si="6"/>
        <v>0</v>
      </c>
      <c r="W29" s="134">
        <f t="shared" si="8"/>
        <v>0</v>
      </c>
      <c r="X29" s="61"/>
      <c r="Y29" s="3"/>
      <c r="AD29" s="3"/>
      <c r="AG29" s="3"/>
      <c r="AH29" s="3"/>
      <c r="AI29" s="3"/>
      <c r="AJ29" s="3"/>
      <c r="AK29" s="3"/>
    </row>
    <row r="30" spans="1:60">
      <c r="A30" s="1">
        <f t="shared" si="3"/>
        <v>23</v>
      </c>
      <c r="B30" s="15" t="s">
        <v>42</v>
      </c>
      <c r="C30" s="10">
        <v>8</v>
      </c>
      <c r="D30" s="11"/>
      <c r="E30" s="36"/>
      <c r="F30" s="36"/>
      <c r="G30" s="37">
        <v>1</v>
      </c>
      <c r="H30" s="38"/>
      <c r="I30" s="38">
        <f t="shared" si="4"/>
        <v>7</v>
      </c>
      <c r="J30" s="63">
        <f t="shared" si="4"/>
        <v>0</v>
      </c>
      <c r="K30" s="62"/>
      <c r="L30" s="36"/>
      <c r="M30" s="36"/>
      <c r="N30" s="36">
        <v>1</v>
      </c>
      <c r="O30" s="36"/>
      <c r="P30" s="36"/>
      <c r="Q30" s="99"/>
      <c r="R30" s="100">
        <f t="shared" si="7"/>
        <v>1</v>
      </c>
      <c r="S30" s="101">
        <f t="shared" si="7"/>
        <v>0</v>
      </c>
      <c r="T30" s="62"/>
      <c r="U30" s="8">
        <f t="shared" si="5"/>
        <v>24</v>
      </c>
      <c r="V30" s="135">
        <f t="shared" si="6"/>
        <v>1</v>
      </c>
      <c r="W30" s="134">
        <f t="shared" si="8"/>
        <v>168</v>
      </c>
      <c r="X30" s="61"/>
    </row>
    <row r="31" spans="1:60">
      <c r="A31" s="1">
        <f t="shared" si="3"/>
        <v>24</v>
      </c>
      <c r="B31" s="15" t="s">
        <v>43</v>
      </c>
      <c r="C31" s="10">
        <v>12</v>
      </c>
      <c r="D31" s="11"/>
      <c r="E31" s="36"/>
      <c r="F31" s="36"/>
      <c r="G31" s="37"/>
      <c r="H31" s="38"/>
      <c r="I31" s="38">
        <f t="shared" si="4"/>
        <v>12</v>
      </c>
      <c r="J31" s="63">
        <f t="shared" si="4"/>
        <v>0</v>
      </c>
      <c r="K31" s="62"/>
      <c r="L31" s="36"/>
      <c r="M31" s="36"/>
      <c r="N31" s="36"/>
      <c r="O31" s="36"/>
      <c r="P31" s="36"/>
      <c r="Q31" s="99"/>
      <c r="R31" s="100">
        <f t="shared" si="7"/>
        <v>0</v>
      </c>
      <c r="S31" s="101">
        <f t="shared" si="7"/>
        <v>0</v>
      </c>
      <c r="T31" s="62"/>
      <c r="U31" s="8">
        <f t="shared" si="5"/>
        <v>0</v>
      </c>
      <c r="V31" s="135">
        <f t="shared" si="6"/>
        <v>0</v>
      </c>
      <c r="W31" s="134">
        <f t="shared" si="8"/>
        <v>288</v>
      </c>
      <c r="X31" s="61"/>
    </row>
    <row r="32" spans="1:60">
      <c r="A32" s="1">
        <f t="shared" si="3"/>
        <v>25</v>
      </c>
      <c r="B32" s="15" t="s">
        <v>44</v>
      </c>
      <c r="C32" s="10"/>
      <c r="D32" s="11"/>
      <c r="E32" s="36"/>
      <c r="F32" s="36"/>
      <c r="G32" s="37"/>
      <c r="H32" s="38"/>
      <c r="I32" s="38">
        <f t="shared" si="4"/>
        <v>0</v>
      </c>
      <c r="J32" s="63">
        <f t="shared" si="4"/>
        <v>0</v>
      </c>
      <c r="K32" s="62"/>
      <c r="L32" s="36"/>
      <c r="M32" s="36"/>
      <c r="N32" s="36"/>
      <c r="O32" s="36"/>
      <c r="P32" s="36"/>
      <c r="Q32" s="99"/>
      <c r="R32" s="100">
        <f t="shared" si="7"/>
        <v>0</v>
      </c>
      <c r="S32" s="101">
        <f t="shared" si="7"/>
        <v>0</v>
      </c>
      <c r="T32" s="62"/>
      <c r="U32" s="8">
        <f t="shared" si="5"/>
        <v>0</v>
      </c>
      <c r="V32" s="135">
        <f t="shared" si="6"/>
        <v>0</v>
      </c>
      <c r="W32" s="134">
        <f t="shared" si="8"/>
        <v>0</v>
      </c>
      <c r="X32" s="61"/>
    </row>
    <row r="33" spans="1:26">
      <c r="A33" s="1">
        <f t="shared" si="3"/>
        <v>26</v>
      </c>
      <c r="B33" s="15" t="s">
        <v>45</v>
      </c>
      <c r="C33" s="10">
        <v>4</v>
      </c>
      <c r="D33" s="11"/>
      <c r="E33" s="36"/>
      <c r="F33" s="36"/>
      <c r="G33" s="37">
        <v>1</v>
      </c>
      <c r="H33" s="38"/>
      <c r="I33" s="38">
        <f t="shared" si="4"/>
        <v>3</v>
      </c>
      <c r="J33" s="63">
        <f t="shared" si="4"/>
        <v>0</v>
      </c>
      <c r="K33" s="62"/>
      <c r="L33" s="36"/>
      <c r="M33" s="36"/>
      <c r="N33" s="36">
        <v>1</v>
      </c>
      <c r="O33" s="36"/>
      <c r="P33" s="36"/>
      <c r="Q33" s="99"/>
      <c r="R33" s="100">
        <f t="shared" si="7"/>
        <v>1</v>
      </c>
      <c r="S33" s="101">
        <f t="shared" si="7"/>
        <v>0</v>
      </c>
      <c r="T33" s="62"/>
      <c r="U33" s="8">
        <f t="shared" si="5"/>
        <v>24</v>
      </c>
      <c r="V33" s="135">
        <f t="shared" si="6"/>
        <v>1</v>
      </c>
      <c r="W33" s="134">
        <f t="shared" si="8"/>
        <v>72</v>
      </c>
      <c r="X33" s="61"/>
    </row>
    <row r="34" spans="1:26">
      <c r="A34" s="1">
        <f t="shared" si="3"/>
        <v>27</v>
      </c>
      <c r="B34" s="15" t="s">
        <v>46</v>
      </c>
      <c r="C34" s="10">
        <v>5</v>
      </c>
      <c r="D34" s="11"/>
      <c r="E34" s="36"/>
      <c r="F34" s="36"/>
      <c r="G34" s="37">
        <v>1</v>
      </c>
      <c r="H34" s="38"/>
      <c r="I34" s="38">
        <f t="shared" si="4"/>
        <v>4</v>
      </c>
      <c r="J34" s="63">
        <f t="shared" si="4"/>
        <v>0</v>
      </c>
      <c r="K34" s="62"/>
      <c r="L34" s="36"/>
      <c r="M34" s="36"/>
      <c r="N34" s="36">
        <v>1</v>
      </c>
      <c r="O34" s="36"/>
      <c r="P34" s="36"/>
      <c r="Q34" s="99"/>
      <c r="R34" s="100">
        <f t="shared" si="7"/>
        <v>1</v>
      </c>
      <c r="S34" s="101">
        <f t="shared" si="7"/>
        <v>0</v>
      </c>
      <c r="T34" s="62"/>
      <c r="U34" s="8">
        <f t="shared" si="5"/>
        <v>24</v>
      </c>
      <c r="V34" s="135">
        <f t="shared" si="6"/>
        <v>1</v>
      </c>
      <c r="W34" s="134">
        <f t="shared" si="8"/>
        <v>96</v>
      </c>
      <c r="X34" s="61"/>
    </row>
    <row r="35" spans="1:26">
      <c r="A35" s="1">
        <f t="shared" si="3"/>
        <v>28</v>
      </c>
      <c r="B35" s="15" t="s">
        <v>47</v>
      </c>
      <c r="C35" s="10">
        <v>93</v>
      </c>
      <c r="D35" s="11">
        <v>1</v>
      </c>
      <c r="E35" s="36"/>
      <c r="F35" s="36"/>
      <c r="G35" s="37">
        <v>2</v>
      </c>
      <c r="H35" s="38"/>
      <c r="I35" s="38">
        <f t="shared" si="4"/>
        <v>91</v>
      </c>
      <c r="J35" s="63">
        <f t="shared" si="4"/>
        <v>1</v>
      </c>
      <c r="K35" s="62"/>
      <c r="L35" s="36"/>
      <c r="M35" s="36"/>
      <c r="N35" s="36"/>
      <c r="O35" s="36"/>
      <c r="P35" s="36">
        <v>2</v>
      </c>
      <c r="Q35" s="99"/>
      <c r="R35" s="100">
        <f t="shared" si="7"/>
        <v>2</v>
      </c>
      <c r="S35" s="101">
        <f t="shared" si="7"/>
        <v>0</v>
      </c>
      <c r="T35" s="62"/>
      <c r="U35" s="8">
        <f t="shared" si="5"/>
        <v>48</v>
      </c>
      <c r="V35" s="135">
        <f t="shared" si="6"/>
        <v>2</v>
      </c>
      <c r="W35" s="134">
        <f t="shared" si="8"/>
        <v>2185</v>
      </c>
      <c r="X35" s="61"/>
    </row>
    <row r="36" spans="1:26" ht="18.75" hidden="1" customHeight="1">
      <c r="A36" s="1">
        <f t="shared" si="3"/>
        <v>29</v>
      </c>
      <c r="B36" s="15" t="s">
        <v>48</v>
      </c>
      <c r="C36" s="10"/>
      <c r="D36" s="11"/>
      <c r="E36" s="36"/>
      <c r="F36" s="36"/>
      <c r="G36" s="37"/>
      <c r="H36" s="38"/>
      <c r="I36" s="38">
        <f t="shared" si="4"/>
        <v>0</v>
      </c>
      <c r="J36" s="63">
        <f t="shared" si="4"/>
        <v>0</v>
      </c>
      <c r="K36" s="62"/>
      <c r="L36" s="36"/>
      <c r="M36" s="36"/>
      <c r="N36" s="36"/>
      <c r="O36" s="36"/>
      <c r="P36" s="36"/>
      <c r="Q36" s="99"/>
      <c r="R36" s="100">
        <f t="shared" si="7"/>
        <v>0</v>
      </c>
      <c r="S36" s="101">
        <f t="shared" si="7"/>
        <v>0</v>
      </c>
      <c r="T36" s="62"/>
      <c r="U36" s="8">
        <f t="shared" si="5"/>
        <v>0</v>
      </c>
      <c r="V36" s="135">
        <f t="shared" si="6"/>
        <v>0</v>
      </c>
      <c r="W36" s="134">
        <f t="shared" si="8"/>
        <v>0</v>
      </c>
      <c r="X36" s="61"/>
    </row>
    <row r="37" spans="1:26" ht="18.75" customHeight="1">
      <c r="A37" s="1">
        <f t="shared" si="3"/>
        <v>30</v>
      </c>
      <c r="B37" s="15" t="s">
        <v>49</v>
      </c>
      <c r="C37" s="10">
        <v>1</v>
      </c>
      <c r="D37" s="11"/>
      <c r="E37" s="36"/>
      <c r="F37" s="36"/>
      <c r="G37" s="37"/>
      <c r="H37" s="38"/>
      <c r="I37" s="38">
        <f t="shared" si="4"/>
        <v>1</v>
      </c>
      <c r="J37" s="63">
        <f t="shared" si="4"/>
        <v>0</v>
      </c>
      <c r="K37" s="62"/>
      <c r="L37" s="36"/>
      <c r="M37" s="36"/>
      <c r="N37" s="36"/>
      <c r="O37" s="36"/>
      <c r="P37" s="36"/>
      <c r="Q37" s="99"/>
      <c r="R37" s="100">
        <f t="shared" si="7"/>
        <v>0</v>
      </c>
      <c r="S37" s="101">
        <f t="shared" si="7"/>
        <v>0</v>
      </c>
      <c r="T37" s="62"/>
      <c r="U37" s="8">
        <f t="shared" si="5"/>
        <v>0</v>
      </c>
      <c r="V37" s="135">
        <f t="shared" si="6"/>
        <v>0</v>
      </c>
      <c r="W37" s="134">
        <f t="shared" si="8"/>
        <v>24</v>
      </c>
      <c r="X37" s="61"/>
    </row>
    <row r="38" spans="1:26">
      <c r="A38" s="1">
        <f t="shared" si="3"/>
        <v>31</v>
      </c>
      <c r="B38" s="16" t="s">
        <v>50</v>
      </c>
      <c r="C38" s="13">
        <v>6315</v>
      </c>
      <c r="D38" s="14">
        <v>2</v>
      </c>
      <c r="E38" s="39"/>
      <c r="F38" s="39"/>
      <c r="G38" s="40">
        <v>64</v>
      </c>
      <c r="H38" s="41"/>
      <c r="I38" s="53">
        <f t="shared" si="4"/>
        <v>6251</v>
      </c>
      <c r="J38" s="70">
        <f t="shared" si="4"/>
        <v>2</v>
      </c>
      <c r="K38" s="65"/>
      <c r="L38" s="51"/>
      <c r="M38" s="51"/>
      <c r="N38" s="51">
        <v>24</v>
      </c>
      <c r="O38" s="51"/>
      <c r="P38" s="51">
        <v>40</v>
      </c>
      <c r="Q38" s="102"/>
      <c r="R38" s="107">
        <f t="shared" si="7"/>
        <v>64</v>
      </c>
      <c r="S38" s="104">
        <f t="shared" si="7"/>
        <v>0</v>
      </c>
      <c r="T38" s="65"/>
      <c r="U38" s="136">
        <f>L38*6+N38*6+P38*6</f>
        <v>384</v>
      </c>
      <c r="V38" s="141">
        <f>U38/6</f>
        <v>64</v>
      </c>
      <c r="W38" s="138">
        <f>I38*6+J38</f>
        <v>37508</v>
      </c>
      <c r="X38" s="139"/>
    </row>
    <row r="39" spans="1:26">
      <c r="A39" s="1">
        <f t="shared" si="3"/>
        <v>32</v>
      </c>
      <c r="B39" s="7" t="s">
        <v>51</v>
      </c>
      <c r="C39" s="10">
        <v>1</v>
      </c>
      <c r="D39" s="11"/>
      <c r="E39" s="36"/>
      <c r="F39" s="36"/>
      <c r="G39" s="37"/>
      <c r="H39" s="38"/>
      <c r="I39" s="37">
        <f t="shared" si="4"/>
        <v>1</v>
      </c>
      <c r="J39" s="63">
        <f t="shared" si="4"/>
        <v>0</v>
      </c>
      <c r="K39" s="62"/>
      <c r="L39" s="36"/>
      <c r="M39" s="36"/>
      <c r="N39" s="36"/>
      <c r="O39" s="36"/>
      <c r="P39" s="36"/>
      <c r="Q39" s="99"/>
      <c r="R39" s="108">
        <f t="shared" si="7"/>
        <v>0</v>
      </c>
      <c r="S39" s="106">
        <f t="shared" si="7"/>
        <v>0</v>
      </c>
      <c r="T39" s="62"/>
      <c r="U39" s="8">
        <f t="shared" ref="U39:U41" si="9">L39*24+N39*24+P39*24</f>
        <v>0</v>
      </c>
      <c r="V39" s="33">
        <f t="shared" si="6"/>
        <v>0</v>
      </c>
      <c r="W39" s="134">
        <f t="shared" ref="W39:W41" si="10">I39*24+J39</f>
        <v>24</v>
      </c>
      <c r="X39" s="61"/>
    </row>
    <row r="40" spans="1:26">
      <c r="A40" s="1">
        <f t="shared" si="3"/>
        <v>33</v>
      </c>
      <c r="B40" s="17" t="s">
        <v>52</v>
      </c>
      <c r="C40" s="18">
        <v>1</v>
      </c>
      <c r="D40" s="19"/>
      <c r="E40" s="42"/>
      <c r="F40" s="42"/>
      <c r="G40" s="43"/>
      <c r="H40" s="44"/>
      <c r="I40" s="38">
        <f t="shared" si="4"/>
        <v>1</v>
      </c>
      <c r="J40" s="63">
        <f t="shared" si="4"/>
        <v>0</v>
      </c>
      <c r="K40" s="62"/>
      <c r="L40" s="36"/>
      <c r="M40" s="36"/>
      <c r="N40" s="36"/>
      <c r="O40" s="36"/>
      <c r="P40" s="36"/>
      <c r="Q40" s="99"/>
      <c r="R40" s="100">
        <f t="shared" si="7"/>
        <v>0</v>
      </c>
      <c r="S40" s="101">
        <f t="shared" si="7"/>
        <v>0</v>
      </c>
      <c r="T40" s="62"/>
      <c r="U40" s="142">
        <f t="shared" si="9"/>
        <v>0</v>
      </c>
      <c r="V40" s="135">
        <f t="shared" si="6"/>
        <v>0</v>
      </c>
      <c r="W40" s="143">
        <f t="shared" si="10"/>
        <v>24</v>
      </c>
      <c r="X40" s="144"/>
    </row>
    <row r="41" spans="1:26">
      <c r="A41" s="1">
        <f t="shared" si="3"/>
        <v>34</v>
      </c>
      <c r="B41" s="20" t="s">
        <v>53</v>
      </c>
      <c r="C41" s="21">
        <v>102</v>
      </c>
      <c r="D41" s="22">
        <v>20</v>
      </c>
      <c r="E41" s="45"/>
      <c r="F41" s="45"/>
      <c r="G41" s="46">
        <v>1</v>
      </c>
      <c r="H41" s="47"/>
      <c r="I41" s="71">
        <f t="shared" si="4"/>
        <v>101</v>
      </c>
      <c r="J41" s="72">
        <f t="shared" si="4"/>
        <v>20</v>
      </c>
      <c r="K41" s="73"/>
      <c r="L41" s="74"/>
      <c r="M41" s="74"/>
      <c r="N41" s="74"/>
      <c r="O41" s="74"/>
      <c r="P41" s="74">
        <v>1</v>
      </c>
      <c r="Q41" s="109"/>
      <c r="R41" s="110">
        <f t="shared" si="7"/>
        <v>1</v>
      </c>
      <c r="S41" s="111">
        <f t="shared" si="7"/>
        <v>0</v>
      </c>
      <c r="T41" s="73"/>
      <c r="U41" s="145">
        <f t="shared" si="9"/>
        <v>24</v>
      </c>
      <c r="V41" s="146">
        <f t="shared" si="6"/>
        <v>1</v>
      </c>
      <c r="W41" s="146">
        <f t="shared" si="10"/>
        <v>2444</v>
      </c>
      <c r="X41" s="147"/>
    </row>
    <row r="42" spans="1:26">
      <c r="A42" s="1">
        <f t="shared" si="3"/>
        <v>35</v>
      </c>
      <c r="B42" s="23" t="s">
        <v>54</v>
      </c>
      <c r="C42" s="24">
        <v>667</v>
      </c>
      <c r="D42" s="25"/>
      <c r="E42" s="48"/>
      <c r="F42" s="48"/>
      <c r="G42" s="49">
        <v>23</v>
      </c>
      <c r="H42" s="50"/>
      <c r="I42" s="49">
        <f t="shared" si="4"/>
        <v>644</v>
      </c>
      <c r="J42" s="75">
        <f t="shared" si="4"/>
        <v>0</v>
      </c>
      <c r="K42" s="76"/>
      <c r="L42" s="48"/>
      <c r="M42" s="48"/>
      <c r="N42" s="48">
        <v>3</v>
      </c>
      <c r="O42" s="48"/>
      <c r="P42" s="48">
        <v>20</v>
      </c>
      <c r="Q42" s="112"/>
      <c r="R42" s="113">
        <f t="shared" si="7"/>
        <v>23</v>
      </c>
      <c r="S42" s="114">
        <f t="shared" si="7"/>
        <v>0</v>
      </c>
      <c r="T42" s="76"/>
      <c r="U42" s="148">
        <f>L42*12+N42*12+P42*12</f>
        <v>276</v>
      </c>
      <c r="V42" s="149">
        <f>U42/12</f>
        <v>23</v>
      </c>
      <c r="W42" s="150">
        <f>I42*12+J42</f>
        <v>7728</v>
      </c>
      <c r="X42" s="151"/>
    </row>
    <row r="43" spans="1:26" ht="18.75" hidden="1" customHeight="1">
      <c r="A43" s="1">
        <f t="shared" si="3"/>
        <v>36</v>
      </c>
      <c r="B43" s="7" t="s">
        <v>55</v>
      </c>
      <c r="C43" s="10"/>
      <c r="D43" s="11"/>
      <c r="E43" s="36"/>
      <c r="F43" s="36"/>
      <c r="G43" s="37"/>
      <c r="H43" s="38"/>
      <c r="I43" s="38">
        <f t="shared" si="4"/>
        <v>0</v>
      </c>
      <c r="J43" s="64">
        <f t="shared" si="4"/>
        <v>0</v>
      </c>
      <c r="K43" s="62"/>
      <c r="L43" s="36"/>
      <c r="M43" s="36"/>
      <c r="N43" s="36"/>
      <c r="O43" s="36"/>
      <c r="P43" s="36"/>
      <c r="Q43" s="99"/>
      <c r="R43" s="115">
        <f t="shared" si="7"/>
        <v>0</v>
      </c>
      <c r="S43" s="116">
        <f t="shared" si="7"/>
        <v>0</v>
      </c>
      <c r="T43" s="62"/>
      <c r="U43" s="8"/>
      <c r="V43" s="33"/>
      <c r="W43" s="134"/>
      <c r="X43" s="61"/>
    </row>
    <row r="44" spans="1:26">
      <c r="A44" s="1">
        <f t="shared" si="3"/>
        <v>37</v>
      </c>
      <c r="B44" s="12" t="s">
        <v>56</v>
      </c>
      <c r="C44" s="13">
        <v>29499</v>
      </c>
      <c r="D44" s="14">
        <v>3</v>
      </c>
      <c r="E44" s="39"/>
      <c r="F44" s="39"/>
      <c r="G44" s="40">
        <v>769</v>
      </c>
      <c r="H44" s="41"/>
      <c r="I44" s="38">
        <f>C44+E44-G44</f>
        <v>28730</v>
      </c>
      <c r="J44" s="77">
        <f t="shared" si="4"/>
        <v>3</v>
      </c>
      <c r="K44" s="65"/>
      <c r="L44" s="51"/>
      <c r="M44" s="51"/>
      <c r="N44" s="51">
        <v>298</v>
      </c>
      <c r="O44" s="51"/>
      <c r="P44" s="51">
        <v>471</v>
      </c>
      <c r="Q44" s="102"/>
      <c r="R44" s="117">
        <f t="shared" si="7"/>
        <v>769</v>
      </c>
      <c r="S44" s="118">
        <f t="shared" si="7"/>
        <v>0</v>
      </c>
      <c r="T44" s="65"/>
      <c r="U44" s="136">
        <f>L44*6+N44*6+P44*6</f>
        <v>4614</v>
      </c>
      <c r="V44" s="135">
        <f>U44/6</f>
        <v>769</v>
      </c>
      <c r="W44" s="138">
        <f>I44*6+J44</f>
        <v>172383</v>
      </c>
      <c r="X44" s="139"/>
      <c r="Z44" s="155"/>
    </row>
    <row r="45" spans="1:26" ht="18.75" hidden="1" customHeight="1">
      <c r="A45" s="1">
        <f t="shared" si="3"/>
        <v>38</v>
      </c>
      <c r="B45" s="7" t="s">
        <v>57</v>
      </c>
      <c r="C45" s="10"/>
      <c r="D45" s="11"/>
      <c r="E45" s="36"/>
      <c r="F45" s="36"/>
      <c r="G45" s="37"/>
      <c r="H45" s="38"/>
      <c r="I45" s="44">
        <f t="shared" si="4"/>
        <v>0</v>
      </c>
      <c r="J45" s="63">
        <f t="shared" si="4"/>
        <v>0</v>
      </c>
      <c r="K45" s="62"/>
      <c r="L45" s="36"/>
      <c r="M45" s="36"/>
      <c r="N45" s="36"/>
      <c r="O45" s="36"/>
      <c r="P45" s="36"/>
      <c r="Q45" s="99"/>
      <c r="R45" s="108">
        <f t="shared" si="7"/>
        <v>0</v>
      </c>
      <c r="S45" s="116">
        <f t="shared" si="7"/>
        <v>0</v>
      </c>
      <c r="T45" s="62"/>
      <c r="U45" s="8"/>
      <c r="V45" s="137"/>
      <c r="W45" s="134"/>
      <c r="X45" s="61"/>
    </row>
    <row r="46" spans="1:26">
      <c r="A46" s="1">
        <f t="shared" si="3"/>
        <v>39</v>
      </c>
      <c r="B46" s="15" t="s">
        <v>58</v>
      </c>
      <c r="C46" s="10">
        <v>11</v>
      </c>
      <c r="D46" s="11"/>
      <c r="E46" s="36"/>
      <c r="F46" s="36"/>
      <c r="G46" s="37">
        <v>2</v>
      </c>
      <c r="H46" s="38"/>
      <c r="I46" s="68">
        <f t="shared" si="4"/>
        <v>9</v>
      </c>
      <c r="J46" s="63">
        <f t="shared" si="4"/>
        <v>0</v>
      </c>
      <c r="K46" s="62"/>
      <c r="L46" s="36"/>
      <c r="M46" s="36"/>
      <c r="N46" s="36">
        <v>2</v>
      </c>
      <c r="O46" s="36"/>
      <c r="P46" s="36"/>
      <c r="Q46" s="99"/>
      <c r="R46" s="100">
        <f t="shared" si="7"/>
        <v>2</v>
      </c>
      <c r="S46" s="119">
        <f t="shared" si="7"/>
        <v>0</v>
      </c>
      <c r="T46" s="62"/>
      <c r="U46" s="8">
        <f t="shared" ref="U46:U47" si="11">L46*24+N46*24+P46*24</f>
        <v>48</v>
      </c>
      <c r="V46" s="140">
        <f t="shared" ref="V46:V47" si="12">U46/24</f>
        <v>2</v>
      </c>
      <c r="W46" s="134">
        <f t="shared" ref="W46:W47" si="13">I46*24+J46</f>
        <v>216</v>
      </c>
      <c r="X46" s="61"/>
    </row>
    <row r="47" spans="1:26">
      <c r="A47" s="1">
        <f t="shared" si="3"/>
        <v>40</v>
      </c>
      <c r="B47" s="15" t="s">
        <v>59</v>
      </c>
      <c r="C47" s="10"/>
      <c r="D47" s="11"/>
      <c r="E47" s="36"/>
      <c r="F47" s="36"/>
      <c r="G47" s="37"/>
      <c r="H47" s="38"/>
      <c r="I47" s="38">
        <f t="shared" si="4"/>
        <v>0</v>
      </c>
      <c r="J47" s="63">
        <f t="shared" si="4"/>
        <v>0</v>
      </c>
      <c r="K47" s="62"/>
      <c r="L47" s="36"/>
      <c r="M47" s="36"/>
      <c r="N47" s="36"/>
      <c r="O47" s="36"/>
      <c r="P47" s="36"/>
      <c r="Q47" s="99"/>
      <c r="R47" s="100">
        <f t="shared" si="7"/>
        <v>0</v>
      </c>
      <c r="S47" s="101">
        <f t="shared" si="7"/>
        <v>0</v>
      </c>
      <c r="T47" s="62"/>
      <c r="U47" s="8">
        <f t="shared" si="11"/>
        <v>0</v>
      </c>
      <c r="V47" s="135">
        <f t="shared" si="12"/>
        <v>0</v>
      </c>
      <c r="W47" s="134">
        <f t="shared" si="13"/>
        <v>0</v>
      </c>
      <c r="X47" s="61"/>
    </row>
    <row r="48" spans="1:26">
      <c r="A48" s="1">
        <f t="shared" si="3"/>
        <v>41</v>
      </c>
      <c r="B48" s="12" t="s">
        <v>48</v>
      </c>
      <c r="C48" s="26">
        <v>2829</v>
      </c>
      <c r="D48" s="27">
        <v>4</v>
      </c>
      <c r="E48" s="51"/>
      <c r="F48" s="51"/>
      <c r="G48" s="52"/>
      <c r="H48" s="53"/>
      <c r="I48" s="53">
        <f t="shared" si="4"/>
        <v>2829</v>
      </c>
      <c r="J48" s="70">
        <f t="shared" si="4"/>
        <v>4</v>
      </c>
      <c r="K48" s="65"/>
      <c r="L48" s="51"/>
      <c r="M48" s="51"/>
      <c r="N48" s="51"/>
      <c r="O48" s="51"/>
      <c r="P48" s="51"/>
      <c r="Q48" s="102"/>
      <c r="R48" s="107">
        <f t="shared" si="7"/>
        <v>0</v>
      </c>
      <c r="S48" s="120">
        <f t="shared" si="7"/>
        <v>0</v>
      </c>
      <c r="T48" s="65"/>
      <c r="U48" s="136">
        <f>L48*6+N48*6+P48*6</f>
        <v>0</v>
      </c>
      <c r="V48" s="141">
        <f>U48/6</f>
        <v>0</v>
      </c>
      <c r="W48" s="138">
        <f>I48*6+J48</f>
        <v>16978</v>
      </c>
      <c r="X48" s="139"/>
    </row>
    <row r="49" spans="1:24">
      <c r="A49" s="1">
        <f t="shared" si="3"/>
        <v>42</v>
      </c>
      <c r="B49" s="7" t="s">
        <v>60</v>
      </c>
      <c r="C49" s="10">
        <v>1</v>
      </c>
      <c r="D49" s="11"/>
      <c r="E49" s="36"/>
      <c r="F49" s="36"/>
      <c r="G49" s="37"/>
      <c r="H49" s="38"/>
      <c r="I49" s="38">
        <f t="shared" si="4"/>
        <v>1</v>
      </c>
      <c r="J49" s="63">
        <f t="shared" si="4"/>
        <v>0</v>
      </c>
      <c r="K49" s="62"/>
      <c r="L49" s="36"/>
      <c r="M49" s="36"/>
      <c r="N49" s="36"/>
      <c r="O49" s="36"/>
      <c r="P49" s="36"/>
      <c r="Q49" s="99"/>
      <c r="R49" s="108">
        <f t="shared" si="7"/>
        <v>0</v>
      </c>
      <c r="S49" s="106">
        <f t="shared" si="7"/>
        <v>0</v>
      </c>
      <c r="T49" s="62"/>
      <c r="U49" s="8">
        <f t="shared" ref="U49:U51" si="14">L49*24+N49*24+P49*24</f>
        <v>0</v>
      </c>
      <c r="V49" s="33">
        <f t="shared" ref="V49:V51" si="15">U49/24</f>
        <v>0</v>
      </c>
      <c r="W49" s="134">
        <f t="shared" ref="W49:W51" si="16">I49*24+J49</f>
        <v>24</v>
      </c>
      <c r="X49" s="61"/>
    </row>
    <row r="50" spans="1:24">
      <c r="A50" s="1">
        <f t="shared" si="3"/>
        <v>43</v>
      </c>
      <c r="B50" s="15" t="s">
        <v>61</v>
      </c>
      <c r="C50" s="10">
        <v>2</v>
      </c>
      <c r="D50" s="11"/>
      <c r="E50" s="36"/>
      <c r="F50" s="36"/>
      <c r="G50" s="37"/>
      <c r="H50" s="38"/>
      <c r="I50" s="38">
        <f t="shared" si="4"/>
        <v>2</v>
      </c>
      <c r="J50" s="63">
        <f t="shared" si="4"/>
        <v>0</v>
      </c>
      <c r="K50" s="62"/>
      <c r="L50" s="36"/>
      <c r="M50" s="36"/>
      <c r="N50" s="36"/>
      <c r="O50" s="36"/>
      <c r="P50" s="36"/>
      <c r="Q50" s="99"/>
      <c r="R50" s="100">
        <f t="shared" si="7"/>
        <v>0</v>
      </c>
      <c r="S50" s="101">
        <f t="shared" si="7"/>
        <v>0</v>
      </c>
      <c r="T50" s="62"/>
      <c r="U50" s="8">
        <f t="shared" si="14"/>
        <v>0</v>
      </c>
      <c r="V50" s="135">
        <f t="shared" si="15"/>
        <v>0</v>
      </c>
      <c r="W50" s="134">
        <f t="shared" si="16"/>
        <v>48</v>
      </c>
      <c r="X50" s="61"/>
    </row>
    <row r="51" spans="1:24">
      <c r="A51" s="1">
        <f t="shared" si="3"/>
        <v>44</v>
      </c>
      <c r="B51" s="15" t="s">
        <v>62</v>
      </c>
      <c r="C51" s="10"/>
      <c r="D51" s="11"/>
      <c r="E51" s="36"/>
      <c r="F51" s="36"/>
      <c r="G51" s="37"/>
      <c r="H51" s="38"/>
      <c r="I51" s="38">
        <f t="shared" si="4"/>
        <v>0</v>
      </c>
      <c r="J51" s="63">
        <f t="shared" si="4"/>
        <v>0</v>
      </c>
      <c r="K51" s="62"/>
      <c r="L51" s="36"/>
      <c r="M51" s="36"/>
      <c r="N51" s="36"/>
      <c r="O51" s="36"/>
      <c r="P51" s="36"/>
      <c r="Q51" s="99"/>
      <c r="R51" s="100">
        <f t="shared" si="7"/>
        <v>0</v>
      </c>
      <c r="S51" s="101">
        <f t="shared" si="7"/>
        <v>0</v>
      </c>
      <c r="T51" s="62"/>
      <c r="U51" s="8">
        <f t="shared" si="14"/>
        <v>0</v>
      </c>
      <c r="V51" s="135">
        <f t="shared" si="15"/>
        <v>0</v>
      </c>
      <c r="W51" s="134">
        <f t="shared" si="16"/>
        <v>0</v>
      </c>
      <c r="X51" s="61"/>
    </row>
    <row r="52" spans="1:24">
      <c r="A52" s="1">
        <f t="shared" si="3"/>
        <v>45</v>
      </c>
      <c r="B52" s="12" t="s">
        <v>63</v>
      </c>
      <c r="C52" s="26">
        <v>34</v>
      </c>
      <c r="D52" s="27"/>
      <c r="E52" s="51"/>
      <c r="F52" s="51"/>
      <c r="G52" s="52"/>
      <c r="H52" s="53"/>
      <c r="I52" s="53">
        <f t="shared" si="4"/>
        <v>34</v>
      </c>
      <c r="J52" s="70">
        <f t="shared" si="4"/>
        <v>0</v>
      </c>
      <c r="K52" s="65"/>
      <c r="L52" s="51"/>
      <c r="M52" s="51"/>
      <c r="N52" s="51"/>
      <c r="O52" s="51"/>
      <c r="P52" s="51"/>
      <c r="Q52" s="102"/>
      <c r="R52" s="107">
        <f t="shared" si="7"/>
        <v>0</v>
      </c>
      <c r="S52" s="120">
        <f t="shared" si="7"/>
        <v>0</v>
      </c>
      <c r="T52" s="65"/>
      <c r="U52" s="136">
        <f>L52*6+N52*6+P52*6</f>
        <v>0</v>
      </c>
      <c r="V52" s="141">
        <f>U52/6</f>
        <v>0</v>
      </c>
      <c r="W52" s="138">
        <f>I52*6+J52</f>
        <v>204</v>
      </c>
      <c r="X52" s="139"/>
    </row>
    <row r="53" spans="1:24">
      <c r="A53" s="1">
        <f t="shared" si="3"/>
        <v>46</v>
      </c>
      <c r="B53" s="7" t="s">
        <v>64</v>
      </c>
      <c r="C53" s="10">
        <v>2</v>
      </c>
      <c r="D53" s="11"/>
      <c r="E53" s="36"/>
      <c r="F53" s="36"/>
      <c r="G53" s="37"/>
      <c r="H53" s="38"/>
      <c r="I53" s="38">
        <f t="shared" si="4"/>
        <v>2</v>
      </c>
      <c r="J53" s="63">
        <f t="shared" si="4"/>
        <v>0</v>
      </c>
      <c r="K53" s="62"/>
      <c r="L53" s="36"/>
      <c r="M53" s="36"/>
      <c r="N53" s="36"/>
      <c r="O53" s="36"/>
      <c r="P53" s="36"/>
      <c r="Q53" s="99"/>
      <c r="R53" s="108">
        <f t="shared" si="7"/>
        <v>0</v>
      </c>
      <c r="S53" s="106">
        <f t="shared" si="7"/>
        <v>0</v>
      </c>
      <c r="T53" s="62"/>
      <c r="U53" s="8">
        <f t="shared" ref="U53:U54" si="17">L53*24+N53*24+P53*24</f>
        <v>0</v>
      </c>
      <c r="V53" s="33">
        <f t="shared" ref="V53:V54" si="18">U53/24</f>
        <v>0</v>
      </c>
      <c r="W53" s="134">
        <f t="shared" ref="W53:W54" si="19">I53*24+J53</f>
        <v>48</v>
      </c>
      <c r="X53" s="61"/>
    </row>
    <row r="54" spans="1:24">
      <c r="A54" s="1">
        <f t="shared" si="3"/>
        <v>47</v>
      </c>
      <c r="B54" s="15" t="s">
        <v>65</v>
      </c>
      <c r="C54" s="10">
        <v>11</v>
      </c>
      <c r="D54" s="11"/>
      <c r="E54" s="36"/>
      <c r="F54" s="36"/>
      <c r="G54" s="37"/>
      <c r="H54" s="38"/>
      <c r="I54" s="38">
        <f t="shared" si="4"/>
        <v>11</v>
      </c>
      <c r="J54" s="63">
        <f t="shared" si="4"/>
        <v>0</v>
      </c>
      <c r="K54" s="62"/>
      <c r="L54" s="36"/>
      <c r="M54" s="36"/>
      <c r="N54" s="36"/>
      <c r="O54" s="36"/>
      <c r="P54" s="36"/>
      <c r="Q54" s="99"/>
      <c r="R54" s="100">
        <f t="shared" si="7"/>
        <v>0</v>
      </c>
      <c r="S54" s="101">
        <f t="shared" si="7"/>
        <v>0</v>
      </c>
      <c r="T54" s="62"/>
      <c r="U54" s="8">
        <f t="shared" si="17"/>
        <v>0</v>
      </c>
      <c r="V54" s="135">
        <f t="shared" si="18"/>
        <v>0</v>
      </c>
      <c r="W54" s="134">
        <f t="shared" si="19"/>
        <v>264</v>
      </c>
      <c r="X54" s="61"/>
    </row>
    <row r="55" spans="1:24">
      <c r="A55" s="1">
        <f t="shared" si="3"/>
        <v>48</v>
      </c>
      <c r="B55" s="15"/>
      <c r="C55" s="10"/>
      <c r="D55" s="11"/>
      <c r="E55" s="36"/>
      <c r="F55" s="36"/>
      <c r="G55" s="37"/>
      <c r="H55" s="38"/>
      <c r="I55" s="38">
        <f t="shared" si="4"/>
        <v>0</v>
      </c>
      <c r="J55" s="63">
        <f t="shared" si="4"/>
        <v>0</v>
      </c>
      <c r="K55" s="62"/>
      <c r="L55" s="36"/>
      <c r="M55" s="36"/>
      <c r="N55" s="36"/>
      <c r="O55" s="36"/>
      <c r="P55" s="36"/>
      <c r="Q55" s="99"/>
      <c r="R55" s="100">
        <f t="shared" si="7"/>
        <v>0</v>
      </c>
      <c r="S55" s="101">
        <f t="shared" si="7"/>
        <v>0</v>
      </c>
      <c r="T55" s="62"/>
      <c r="U55" s="8"/>
      <c r="V55" s="135"/>
      <c r="W55" s="134"/>
      <c r="X55" s="61"/>
    </row>
    <row r="56" spans="1:24">
      <c r="A56" s="1">
        <f t="shared" si="3"/>
        <v>49</v>
      </c>
      <c r="B56" s="15"/>
      <c r="C56" s="10"/>
      <c r="D56" s="11"/>
      <c r="E56" s="36"/>
      <c r="F56" s="36"/>
      <c r="G56" s="37"/>
      <c r="H56" s="38"/>
      <c r="I56" s="38">
        <f t="shared" si="4"/>
        <v>0</v>
      </c>
      <c r="J56" s="63">
        <f t="shared" si="4"/>
        <v>0</v>
      </c>
      <c r="K56" s="62"/>
      <c r="L56" s="36"/>
      <c r="M56" s="36"/>
      <c r="N56" s="36"/>
      <c r="O56" s="36"/>
      <c r="P56" s="36"/>
      <c r="Q56" s="99"/>
      <c r="R56" s="100">
        <f t="shared" si="7"/>
        <v>0</v>
      </c>
      <c r="S56" s="101">
        <f t="shared" si="7"/>
        <v>0</v>
      </c>
      <c r="T56" s="62"/>
      <c r="U56" s="8"/>
      <c r="V56" s="135"/>
      <c r="W56" s="134"/>
      <c r="X56" s="61"/>
    </row>
    <row r="57" spans="1:24">
      <c r="A57" s="1">
        <f t="shared" si="3"/>
        <v>50</v>
      </c>
      <c r="B57" s="15"/>
      <c r="C57" s="10"/>
      <c r="D57" s="11"/>
      <c r="E57" s="36"/>
      <c r="F57" s="36"/>
      <c r="G57" s="37"/>
      <c r="H57" s="38"/>
      <c r="I57" s="38">
        <f t="shared" si="4"/>
        <v>0</v>
      </c>
      <c r="J57" s="63">
        <f t="shared" si="4"/>
        <v>0</v>
      </c>
      <c r="K57" s="62"/>
      <c r="L57" s="36"/>
      <c r="M57" s="36"/>
      <c r="N57" s="36"/>
      <c r="O57" s="36"/>
      <c r="P57" s="36"/>
      <c r="Q57" s="99"/>
      <c r="R57" s="100">
        <f t="shared" si="7"/>
        <v>0</v>
      </c>
      <c r="S57" s="101">
        <f t="shared" si="7"/>
        <v>0</v>
      </c>
      <c r="T57" s="62"/>
      <c r="U57" s="8"/>
      <c r="V57" s="135"/>
      <c r="W57" s="134"/>
      <c r="X57" s="61"/>
    </row>
    <row r="58" spans="1:24">
      <c r="A58" s="1">
        <f t="shared" si="3"/>
        <v>51</v>
      </c>
      <c r="B58" s="15"/>
      <c r="C58" s="10"/>
      <c r="D58" s="11"/>
      <c r="E58" s="36"/>
      <c r="F58" s="36"/>
      <c r="G58" s="37"/>
      <c r="H58" s="38"/>
      <c r="I58" s="38">
        <f t="shared" si="4"/>
        <v>0</v>
      </c>
      <c r="J58" s="63">
        <f t="shared" si="4"/>
        <v>0</v>
      </c>
      <c r="K58" s="62"/>
      <c r="L58" s="36"/>
      <c r="M58" s="36"/>
      <c r="N58" s="36"/>
      <c r="O58" s="36"/>
      <c r="P58" s="36"/>
      <c r="Q58" s="99"/>
      <c r="R58" s="100">
        <f t="shared" si="7"/>
        <v>0</v>
      </c>
      <c r="S58" s="101">
        <f t="shared" si="7"/>
        <v>0</v>
      </c>
      <c r="T58" s="62"/>
      <c r="U58" s="8"/>
      <c r="V58" s="135"/>
      <c r="W58" s="134"/>
      <c r="X58" s="61"/>
    </row>
    <row r="59" spans="1:24">
      <c r="A59" s="1">
        <f t="shared" si="3"/>
        <v>52</v>
      </c>
      <c r="B59" s="15"/>
      <c r="C59" s="10"/>
      <c r="D59" s="11"/>
      <c r="E59" s="36"/>
      <c r="F59" s="36"/>
      <c r="G59" s="37"/>
      <c r="H59" s="38"/>
      <c r="I59" s="38">
        <f t="shared" si="4"/>
        <v>0</v>
      </c>
      <c r="J59" s="63">
        <f t="shared" si="4"/>
        <v>0</v>
      </c>
      <c r="K59" s="62"/>
      <c r="L59" s="36"/>
      <c r="M59" s="36"/>
      <c r="N59" s="36"/>
      <c r="O59" s="36"/>
      <c r="P59" s="36"/>
      <c r="Q59" s="99"/>
      <c r="R59" s="100">
        <f t="shared" si="7"/>
        <v>0</v>
      </c>
      <c r="S59" s="101">
        <f t="shared" si="7"/>
        <v>0</v>
      </c>
      <c r="T59" s="62"/>
      <c r="U59" s="8"/>
      <c r="V59" s="135"/>
      <c r="W59" s="134"/>
      <c r="X59" s="61"/>
    </row>
    <row r="60" spans="1:24" s="2" customFormat="1">
      <c r="B60" s="28" t="s">
        <v>15</v>
      </c>
      <c r="C60" s="29">
        <f>SUM(C8:C59)</f>
        <v>43337</v>
      </c>
      <c r="D60" s="30">
        <f>SUM(D8:D59)</f>
        <v>142</v>
      </c>
      <c r="E60" s="54">
        <f>SUM(E8:E59)</f>
        <v>0</v>
      </c>
      <c r="F60" s="54"/>
      <c r="G60" s="55">
        <f>SUM(G8:G59)</f>
        <v>892</v>
      </c>
      <c r="H60" s="56">
        <f>SUM(H8:H59)</f>
        <v>19</v>
      </c>
      <c r="I60" s="56">
        <f>SUM(I8:I59)</f>
        <v>42445</v>
      </c>
      <c r="J60" s="78">
        <f>SUM(J8:J59)</f>
        <v>123</v>
      </c>
      <c r="L60" s="79">
        <f t="shared" ref="L60:S60" si="20">SUM(L8:L59)</f>
        <v>0</v>
      </c>
      <c r="M60" s="79">
        <f t="shared" si="20"/>
        <v>0</v>
      </c>
      <c r="N60" s="79">
        <f t="shared" si="20"/>
        <v>343</v>
      </c>
      <c r="O60" s="79">
        <f t="shared" si="20"/>
        <v>9</v>
      </c>
      <c r="P60" s="79">
        <f t="shared" si="20"/>
        <v>549</v>
      </c>
      <c r="Q60" s="121">
        <f t="shared" si="20"/>
        <v>10</v>
      </c>
      <c r="R60" s="122">
        <f t="shared" si="20"/>
        <v>892</v>
      </c>
      <c r="S60" s="123">
        <f t="shared" si="20"/>
        <v>19</v>
      </c>
      <c r="U60" s="29">
        <f>SUM(U8:U59)</f>
        <v>6138</v>
      </c>
      <c r="V60" s="152">
        <f>SUM(V8:V59)</f>
        <v>892</v>
      </c>
      <c r="W60" s="179">
        <f>SUM(W8:W59)</f>
        <v>329883</v>
      </c>
      <c r="X60" s="78"/>
    </row>
    <row r="61" spans="1:24">
      <c r="V61" s="154"/>
    </row>
    <row r="62" spans="1:24" ht="18.75" customHeight="1">
      <c r="G62" s="197" t="s">
        <v>66</v>
      </c>
      <c r="H62" s="57"/>
      <c r="I62" s="57"/>
      <c r="J62" s="80" t="s">
        <v>67</v>
      </c>
      <c r="L62" s="81"/>
      <c r="M62" s="87"/>
      <c r="N62" s="88"/>
      <c r="O62" s="88"/>
      <c r="P62" s="88"/>
      <c r="Q62" s="124"/>
      <c r="R62" s="124"/>
      <c r="S62" s="125"/>
    </row>
    <row r="63" spans="1:24">
      <c r="G63" s="198"/>
      <c r="H63" s="58"/>
      <c r="I63" s="58"/>
      <c r="J63" s="82" t="s">
        <v>68</v>
      </c>
      <c r="L63" s="83"/>
      <c r="M63" s="89"/>
      <c r="N63" s="90"/>
      <c r="O63" s="90"/>
      <c r="P63" s="90"/>
      <c r="Q63" s="126"/>
      <c r="R63" s="126"/>
      <c r="S63" s="127"/>
    </row>
    <row r="64" spans="1:24">
      <c r="G64" s="199"/>
      <c r="H64" s="59"/>
      <c r="I64" s="59"/>
      <c r="J64" s="82" t="s">
        <v>69</v>
      </c>
      <c r="L64" s="84"/>
      <c r="M64" s="91"/>
      <c r="N64" s="92"/>
      <c r="O64" s="92"/>
      <c r="P64" s="92"/>
      <c r="Q64" s="128"/>
      <c r="R64" s="128"/>
      <c r="S64" s="129"/>
    </row>
    <row r="65" spans="2:24">
      <c r="G65" s="200" t="s">
        <v>70</v>
      </c>
      <c r="H65" s="164"/>
      <c r="I65" s="164"/>
      <c r="J65" s="82" t="s">
        <v>67</v>
      </c>
      <c r="L65" s="84"/>
      <c r="M65" s="91"/>
      <c r="N65" s="92"/>
      <c r="O65" s="92"/>
      <c r="P65" s="92"/>
      <c r="Q65" s="128"/>
      <c r="R65" s="128"/>
      <c r="S65" s="129"/>
    </row>
    <row r="66" spans="2:24">
      <c r="G66" s="200"/>
      <c r="H66" s="164"/>
      <c r="I66" s="164"/>
      <c r="J66" s="82" t="s">
        <v>68</v>
      </c>
      <c r="L66" s="83"/>
      <c r="M66" s="89"/>
      <c r="N66" s="90"/>
      <c r="O66" s="90"/>
      <c r="P66" s="90"/>
      <c r="Q66" s="126"/>
      <c r="R66" s="126"/>
      <c r="S66" s="127"/>
    </row>
    <row r="67" spans="2:24">
      <c r="G67" s="201"/>
      <c r="H67" s="165"/>
      <c r="I67" s="165"/>
      <c r="J67" s="167" t="s">
        <v>69</v>
      </c>
      <c r="L67" s="168"/>
      <c r="M67" s="170"/>
      <c r="N67" s="171"/>
      <c r="O67" s="171"/>
      <c r="P67" s="171"/>
      <c r="Q67" s="174"/>
      <c r="R67" s="174"/>
      <c r="S67" s="175"/>
    </row>
    <row r="69" spans="2:24" ht="49.5" customHeight="1">
      <c r="B69" s="159" t="s">
        <v>71</v>
      </c>
      <c r="C69" s="5" t="s">
        <v>4</v>
      </c>
      <c r="D69" s="6"/>
      <c r="E69" s="166" t="s">
        <v>72</v>
      </c>
      <c r="L69" s="169" t="s">
        <v>12</v>
      </c>
      <c r="M69" s="172"/>
      <c r="N69" s="173" t="s">
        <v>13</v>
      </c>
      <c r="O69" s="173"/>
      <c r="P69" s="173" t="s">
        <v>14</v>
      </c>
      <c r="Q69" s="176"/>
      <c r="R69" s="176"/>
      <c r="S69" s="177" t="s">
        <v>73</v>
      </c>
      <c r="X69" s="178" t="s">
        <v>74</v>
      </c>
    </row>
    <row r="70" spans="2:24">
      <c r="B70" s="160" t="s">
        <v>47</v>
      </c>
      <c r="C70" s="161"/>
      <c r="D70" s="161"/>
      <c r="E70" s="163"/>
      <c r="L70" s="161"/>
      <c r="M70" s="161"/>
      <c r="N70" s="161"/>
      <c r="O70" s="161"/>
      <c r="P70" s="161"/>
      <c r="Q70" s="161"/>
      <c r="R70" s="161"/>
      <c r="S70" s="161"/>
      <c r="X70" s="163"/>
    </row>
    <row r="71" spans="2:24">
      <c r="B71" s="162" t="s">
        <v>75</v>
      </c>
      <c r="C71" s="161"/>
      <c r="D71" s="161"/>
      <c r="E71" s="163"/>
      <c r="L71" s="163"/>
      <c r="M71" s="163"/>
      <c r="N71" s="163"/>
      <c r="O71" s="163"/>
      <c r="P71" s="163"/>
      <c r="Q71" s="163"/>
      <c r="R71" s="163"/>
      <c r="S71" s="163"/>
      <c r="X71" s="163"/>
    </row>
    <row r="72" spans="2:24">
      <c r="B72" s="162" t="s">
        <v>76</v>
      </c>
      <c r="C72" s="161"/>
      <c r="D72" s="161"/>
      <c r="E72" s="163"/>
      <c r="L72" s="163"/>
      <c r="M72" s="163"/>
      <c r="N72" s="163"/>
      <c r="O72" s="163"/>
      <c r="P72" s="163"/>
      <c r="Q72" s="163"/>
      <c r="R72" s="163"/>
      <c r="S72" s="163"/>
      <c r="X72" s="163"/>
    </row>
    <row r="73" spans="2:24" ht="11.25" customHeight="1"/>
    <row r="74" spans="2:24">
      <c r="B74" s="162" t="s">
        <v>77</v>
      </c>
      <c r="C74" s="163"/>
      <c r="D74" s="163"/>
      <c r="E74" s="163"/>
      <c r="L74" s="163"/>
      <c r="M74" s="163"/>
      <c r="N74" s="163"/>
      <c r="O74" s="163"/>
      <c r="P74" s="163"/>
      <c r="Q74" s="163"/>
      <c r="R74" s="163"/>
      <c r="S74" s="163"/>
      <c r="X74" s="163"/>
    </row>
    <row r="75" spans="2:24">
      <c r="B75" s="162" t="s">
        <v>75</v>
      </c>
      <c r="C75" s="163"/>
      <c r="D75" s="163"/>
      <c r="E75" s="163"/>
      <c r="L75" s="163"/>
      <c r="M75" s="163"/>
      <c r="N75" s="163"/>
      <c r="O75" s="163"/>
      <c r="P75" s="163"/>
      <c r="Q75" s="163"/>
      <c r="R75" s="163"/>
      <c r="S75" s="163"/>
      <c r="X75" s="163"/>
    </row>
    <row r="76" spans="2:24">
      <c r="B76" s="162" t="s">
        <v>76</v>
      </c>
      <c r="C76" s="163"/>
      <c r="D76" s="163"/>
      <c r="E76" s="163"/>
      <c r="L76" s="163"/>
      <c r="M76" s="163"/>
      <c r="N76" s="163"/>
      <c r="O76" s="163"/>
      <c r="P76" s="163"/>
      <c r="Q76" s="163"/>
      <c r="R76" s="163"/>
      <c r="S76" s="163"/>
      <c r="X76" s="163"/>
    </row>
    <row r="77" spans="2:24" ht="11.25" customHeight="1"/>
    <row r="78" spans="2:24">
      <c r="B78" s="162" t="s">
        <v>78</v>
      </c>
      <c r="C78" s="163"/>
      <c r="D78" s="163"/>
      <c r="E78" s="163"/>
      <c r="L78" s="163"/>
      <c r="M78" s="163"/>
      <c r="N78" s="163"/>
      <c r="O78" s="163"/>
      <c r="P78" s="163"/>
      <c r="Q78" s="163"/>
      <c r="R78" s="163"/>
      <c r="S78" s="163"/>
      <c r="X78" s="163"/>
    </row>
    <row r="79" spans="2:24">
      <c r="B79" s="162" t="s">
        <v>75</v>
      </c>
      <c r="C79" s="163"/>
      <c r="D79" s="163"/>
      <c r="E79" s="163"/>
      <c r="L79" s="163"/>
      <c r="M79" s="163"/>
      <c r="N79" s="163"/>
      <c r="O79" s="163"/>
      <c r="P79" s="163"/>
      <c r="Q79" s="163"/>
      <c r="R79" s="163"/>
      <c r="S79" s="163"/>
      <c r="X79" s="163"/>
    </row>
    <row r="80" spans="2:24">
      <c r="B80" s="162" t="s">
        <v>76</v>
      </c>
      <c r="C80" s="163"/>
      <c r="D80" s="163"/>
      <c r="E80" s="163"/>
      <c r="L80" s="163"/>
      <c r="M80" s="163"/>
      <c r="N80" s="163"/>
      <c r="O80" s="163"/>
      <c r="P80" s="163"/>
      <c r="Q80" s="163"/>
      <c r="R80" s="163"/>
      <c r="S80" s="163"/>
      <c r="X80" s="163"/>
    </row>
    <row r="81" spans="2:24" ht="11.25" customHeight="1"/>
    <row r="82" spans="2:24">
      <c r="B82" s="162" t="s">
        <v>79</v>
      </c>
      <c r="C82" s="163"/>
      <c r="D82" s="163"/>
      <c r="E82" s="163"/>
      <c r="L82" s="163"/>
      <c r="M82" s="163"/>
      <c r="N82" s="163"/>
      <c r="O82" s="163"/>
      <c r="P82" s="163"/>
      <c r="Q82" s="163"/>
      <c r="R82" s="163"/>
      <c r="S82" s="163"/>
      <c r="X82" s="163"/>
    </row>
    <row r="83" spans="2:24">
      <c r="B83" s="162" t="s">
        <v>75</v>
      </c>
      <c r="C83" s="163"/>
      <c r="D83" s="163"/>
      <c r="E83" s="163"/>
      <c r="L83" s="163"/>
      <c r="M83" s="163"/>
      <c r="N83" s="163"/>
      <c r="O83" s="163"/>
      <c r="P83" s="163"/>
      <c r="Q83" s="163"/>
      <c r="R83" s="163"/>
      <c r="S83" s="163"/>
      <c r="X83" s="163"/>
    </row>
    <row r="84" spans="2:24">
      <c r="B84" s="162" t="s">
        <v>76</v>
      </c>
      <c r="C84" s="161"/>
      <c r="D84" s="161"/>
      <c r="E84" s="163"/>
      <c r="L84" s="163"/>
      <c r="M84" s="163"/>
      <c r="N84" s="163"/>
      <c r="O84" s="163"/>
      <c r="P84" s="163"/>
      <c r="Q84" s="163"/>
      <c r="R84" s="163"/>
      <c r="S84" s="163"/>
      <c r="X84" s="163"/>
    </row>
    <row r="85" spans="2:24" ht="11.25" customHeight="1"/>
    <row r="86" spans="2:24">
      <c r="B86" s="162" t="s">
        <v>80</v>
      </c>
      <c r="C86" s="163"/>
      <c r="D86" s="163"/>
      <c r="E86" s="163"/>
      <c r="L86" s="163"/>
      <c r="M86" s="163"/>
      <c r="N86" s="163"/>
      <c r="O86" s="163"/>
      <c r="P86" s="163"/>
      <c r="Q86" s="163"/>
      <c r="R86" s="163"/>
      <c r="S86" s="163"/>
      <c r="X86" s="163"/>
    </row>
    <row r="87" spans="2:24">
      <c r="B87" s="162" t="s">
        <v>75</v>
      </c>
      <c r="C87" s="163"/>
      <c r="D87" s="163"/>
      <c r="E87" s="163"/>
      <c r="L87" s="163"/>
      <c r="M87" s="163"/>
      <c r="N87" s="163"/>
      <c r="O87" s="163"/>
      <c r="P87" s="163"/>
      <c r="Q87" s="163"/>
      <c r="R87" s="163"/>
      <c r="S87" s="163"/>
      <c r="X87" s="163"/>
    </row>
    <row r="88" spans="2:24">
      <c r="B88" s="162" t="s">
        <v>76</v>
      </c>
      <c r="C88" s="163"/>
      <c r="D88" s="163"/>
      <c r="E88" s="163"/>
      <c r="L88" s="163"/>
      <c r="M88" s="163"/>
      <c r="N88" s="163"/>
      <c r="O88" s="163"/>
      <c r="P88" s="163"/>
      <c r="Q88" s="163"/>
      <c r="R88" s="163"/>
      <c r="S88" s="163"/>
      <c r="X88" s="163"/>
    </row>
    <row r="90" spans="2:24">
      <c r="B90" s="162" t="s">
        <v>81</v>
      </c>
      <c r="C90" s="163"/>
      <c r="D90" s="163"/>
      <c r="E90" s="163"/>
      <c r="L90" s="163"/>
      <c r="M90" s="163"/>
      <c r="N90" s="163"/>
      <c r="O90" s="163"/>
      <c r="P90" s="163"/>
      <c r="Q90" s="163"/>
      <c r="R90" s="163"/>
      <c r="S90" s="163"/>
      <c r="X90" s="163"/>
    </row>
  </sheetData>
  <mergeCells count="12">
    <mergeCell ref="G62:G64"/>
    <mergeCell ref="G65:G67"/>
    <mergeCell ref="H4:H5"/>
    <mergeCell ref="I4:I5"/>
    <mergeCell ref="J4:J5"/>
    <mergeCell ref="P1:X1"/>
    <mergeCell ref="E4:F4"/>
    <mergeCell ref="L4:X4"/>
    <mergeCell ref="B4:B5"/>
    <mergeCell ref="C4:C5"/>
    <mergeCell ref="D4:D5"/>
    <mergeCell ref="G4:G5"/>
  </mergeCells>
  <printOptions horizontalCentered="1" verticalCentered="1"/>
  <pageMargins left="0.196850393700787" right="0.196850393700787" top="0.196850393700787" bottom="0.196850393700787" header="0.511811023622047" footer="0.511811023622047"/>
  <pageSetup paperSize="9" scale="51" orientation="portrait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BH90"/>
  <sheetViews>
    <sheetView zoomScale="55" zoomScaleNormal="55" zoomScaleSheetLayoutView="85" zoomScalePageLayoutView="80" workbookViewId="0">
      <selection activeCell="W60" sqref="W60"/>
    </sheetView>
  </sheetViews>
  <sheetFormatPr defaultColWidth="9.140625" defaultRowHeight="18.75"/>
  <cols>
    <col min="1" max="1" width="5.42578125" style="3" customWidth="1"/>
    <col min="2" max="2" width="12.28515625" style="3" customWidth="1"/>
    <col min="3" max="3" width="12.7109375" style="3" customWidth="1"/>
    <col min="4" max="4" width="8" style="3" customWidth="1"/>
    <col min="5" max="5" width="12.140625" style="3" customWidth="1"/>
    <col min="6" max="6" width="9.85546875" style="3" customWidth="1"/>
    <col min="7" max="7" width="11" style="3" customWidth="1"/>
    <col min="8" max="8" width="8" style="3" customWidth="1"/>
    <col min="9" max="9" width="14.7109375" style="3" customWidth="1"/>
    <col min="10" max="10" width="8.28515625" style="3" customWidth="1"/>
    <col min="11" max="11" width="1.28515625" style="3" customWidth="1"/>
    <col min="12" max="12" width="11" style="3" customWidth="1"/>
    <col min="13" max="13" width="7.85546875" style="3" customWidth="1"/>
    <col min="14" max="14" width="11" style="3" customWidth="1"/>
    <col min="15" max="15" width="6.5703125" style="3" customWidth="1"/>
    <col min="16" max="16" width="11" style="3" customWidth="1"/>
    <col min="17" max="17" width="6.5703125" style="3" customWidth="1"/>
    <col min="18" max="18" width="9.5703125" style="3" customWidth="1"/>
    <col min="19" max="19" width="8.140625" style="3" customWidth="1"/>
    <col min="20" max="20" width="1.28515625" style="3" customWidth="1"/>
    <col min="21" max="21" width="12.7109375" style="3" customWidth="1"/>
    <col min="22" max="22" width="12.7109375" style="3" hidden="1" customWidth="1"/>
    <col min="23" max="23" width="14.5703125" style="3" customWidth="1"/>
    <col min="24" max="24" width="11.5703125" style="3" customWidth="1"/>
    <col min="25" max="25" width="2" style="3" customWidth="1"/>
    <col min="26" max="26" width="10.5703125" style="3" customWidth="1"/>
    <col min="27" max="55" width="7.28515625" style="3" customWidth="1"/>
    <col min="56" max="56" width="1.5703125" style="3" customWidth="1"/>
    <col min="57" max="57" width="9.42578125" style="3" customWidth="1"/>
    <col min="58" max="58" width="1.28515625" style="3" customWidth="1"/>
    <col min="59" max="59" width="12.7109375" style="3" customWidth="1"/>
    <col min="60" max="60" width="10.28515625" style="3" customWidth="1"/>
    <col min="61" max="16384" width="9.140625" style="3"/>
  </cols>
  <sheetData>
    <row r="1" spans="1:60">
      <c r="B1" s="2" t="s">
        <v>0</v>
      </c>
      <c r="N1" s="3" t="s">
        <v>1</v>
      </c>
      <c r="P1" s="183">
        <v>46153</v>
      </c>
      <c r="Q1" s="184"/>
      <c r="R1" s="184"/>
      <c r="S1" s="184"/>
      <c r="T1" s="184"/>
      <c r="U1" s="184"/>
      <c r="V1" s="184"/>
      <c r="W1" s="184"/>
      <c r="X1" s="185"/>
    </row>
    <row r="2" spans="1:60" ht="15" customHeight="1">
      <c r="B2" s="2" t="s">
        <v>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4" spans="1:60" ht="19.5" customHeight="1">
      <c r="A4" s="4"/>
      <c r="B4" s="192" t="s">
        <v>3</v>
      </c>
      <c r="C4" s="193" t="s">
        <v>4</v>
      </c>
      <c r="D4" s="194" t="s">
        <v>5</v>
      </c>
      <c r="E4" s="186" t="s">
        <v>6</v>
      </c>
      <c r="F4" s="187"/>
      <c r="G4" s="195" t="s">
        <v>7</v>
      </c>
      <c r="H4" s="202" t="s">
        <v>5</v>
      </c>
      <c r="I4" s="204" t="s">
        <v>8</v>
      </c>
      <c r="J4" s="202" t="s">
        <v>5</v>
      </c>
      <c r="L4" s="188" t="s">
        <v>9</v>
      </c>
      <c r="M4" s="189"/>
      <c r="N4" s="189"/>
      <c r="O4" s="189"/>
      <c r="P4" s="189"/>
      <c r="Q4" s="189"/>
      <c r="R4" s="189"/>
      <c r="S4" s="189"/>
      <c r="T4" s="189"/>
      <c r="U4" s="189"/>
      <c r="V4" s="190"/>
      <c r="W4" s="189"/>
      <c r="X4" s="191"/>
    </row>
    <row r="5" spans="1:60" s="1" customFormat="1" ht="56.25">
      <c r="A5" s="4"/>
      <c r="B5" s="192"/>
      <c r="C5" s="193"/>
      <c r="D5" s="194"/>
      <c r="E5" s="31" t="s">
        <v>10</v>
      </c>
      <c r="F5" s="32" t="s">
        <v>11</v>
      </c>
      <c r="G5" s="196"/>
      <c r="H5" s="203"/>
      <c r="I5" s="205"/>
      <c r="J5" s="203"/>
      <c r="L5" s="60" t="s">
        <v>12</v>
      </c>
      <c r="M5" s="85" t="s">
        <v>5</v>
      </c>
      <c r="N5" s="86" t="s">
        <v>13</v>
      </c>
      <c r="O5" s="85" t="s">
        <v>5</v>
      </c>
      <c r="P5" s="86" t="s">
        <v>14</v>
      </c>
      <c r="Q5" s="85" t="s">
        <v>5</v>
      </c>
      <c r="R5" s="93" t="s">
        <v>15</v>
      </c>
      <c r="S5" s="94" t="s">
        <v>5</v>
      </c>
      <c r="T5" s="95"/>
      <c r="U5" s="130" t="s">
        <v>16</v>
      </c>
      <c r="V5" s="131" t="s">
        <v>17</v>
      </c>
      <c r="W5" s="132" t="s">
        <v>18</v>
      </c>
      <c r="X5" s="133" t="s">
        <v>19</v>
      </c>
      <c r="AL5" s="156"/>
      <c r="AM5" s="156"/>
      <c r="AN5" s="156"/>
      <c r="AO5" s="156"/>
      <c r="AP5" s="156"/>
      <c r="AQ5" s="156"/>
      <c r="AR5" s="156"/>
      <c r="AS5" s="156"/>
      <c r="AT5" s="156"/>
      <c r="AU5" s="156"/>
      <c r="AV5" s="156"/>
      <c r="AW5" s="156"/>
      <c r="AX5" s="156"/>
      <c r="AY5" s="156"/>
      <c r="AZ5" s="156"/>
      <c r="BA5" s="156"/>
      <c r="BB5" s="156"/>
      <c r="BC5" s="156"/>
      <c r="BD5" s="156"/>
      <c r="BE5" s="156"/>
      <c r="BF5" s="156"/>
      <c r="BG5" s="156"/>
      <c r="BH5" s="156"/>
    </row>
    <row r="6" spans="1:60" s="1" customFormat="1">
      <c r="B6" s="7"/>
      <c r="C6" s="8"/>
      <c r="D6" s="9"/>
      <c r="E6" s="33"/>
      <c r="F6" s="33"/>
      <c r="G6" s="34"/>
      <c r="H6" s="35"/>
      <c r="I6" s="35"/>
      <c r="J6" s="61"/>
      <c r="K6" s="62"/>
      <c r="L6" s="33"/>
      <c r="M6" s="33"/>
      <c r="N6" s="33"/>
      <c r="O6" s="33"/>
      <c r="P6" s="33"/>
      <c r="Q6" s="96"/>
      <c r="R6" s="97"/>
      <c r="S6" s="98"/>
      <c r="T6" s="62"/>
      <c r="U6" s="8"/>
      <c r="V6" s="33"/>
      <c r="W6" s="134"/>
      <c r="X6" s="61"/>
      <c r="AL6" s="156"/>
      <c r="AM6" s="156"/>
      <c r="AN6" s="156"/>
      <c r="AO6" s="156"/>
      <c r="AP6" s="156"/>
      <c r="AQ6" s="156"/>
      <c r="AR6" s="156"/>
      <c r="AS6" s="156"/>
      <c r="AT6" s="156"/>
      <c r="AU6" s="156"/>
      <c r="AV6" s="156"/>
      <c r="AW6" s="156"/>
      <c r="AX6" s="156"/>
      <c r="AY6" s="156"/>
      <c r="AZ6" s="156"/>
      <c r="BA6" s="156"/>
      <c r="BB6" s="156"/>
      <c r="BC6" s="156"/>
      <c r="BD6" s="156"/>
      <c r="BE6" s="156"/>
      <c r="BF6" s="156"/>
      <c r="BG6" s="156"/>
      <c r="BH6" s="156"/>
    </row>
    <row r="7" spans="1:60" s="1" customFormat="1">
      <c r="B7" s="7"/>
      <c r="C7" s="8"/>
      <c r="D7" s="9"/>
      <c r="E7" s="33"/>
      <c r="F7" s="33"/>
      <c r="G7" s="34"/>
      <c r="H7" s="35"/>
      <c r="I7" s="35"/>
      <c r="J7" s="61"/>
      <c r="K7" s="62"/>
      <c r="L7" s="33"/>
      <c r="M7" s="33"/>
      <c r="N7" s="33"/>
      <c r="O7" s="33"/>
      <c r="P7" s="33"/>
      <c r="Q7" s="96"/>
      <c r="R7" s="97"/>
      <c r="S7" s="98"/>
      <c r="T7" s="62"/>
      <c r="U7" s="8"/>
      <c r="V7" s="135"/>
      <c r="W7" s="134"/>
      <c r="X7" s="61"/>
      <c r="AL7" s="156"/>
      <c r="AM7" s="156"/>
      <c r="AN7" s="156"/>
      <c r="AO7" s="156"/>
      <c r="AP7" s="156"/>
      <c r="AQ7" s="156"/>
      <c r="AR7" s="156"/>
      <c r="AS7" s="156"/>
      <c r="AT7" s="156"/>
      <c r="AU7" s="156"/>
      <c r="AV7" s="156"/>
      <c r="AW7" s="156"/>
      <c r="AX7" s="156"/>
      <c r="AY7" s="156"/>
      <c r="AZ7" s="156"/>
      <c r="BA7" s="156"/>
      <c r="BB7" s="156"/>
      <c r="BC7" s="156"/>
      <c r="BD7" s="156"/>
      <c r="BE7" s="156"/>
      <c r="BF7" s="156"/>
      <c r="BG7" s="156"/>
      <c r="BH7" s="156"/>
    </row>
    <row r="8" spans="1:60">
      <c r="A8" s="1">
        <v>1</v>
      </c>
      <c r="B8" s="7" t="s">
        <v>20</v>
      </c>
      <c r="C8" s="10">
        <v>17</v>
      </c>
      <c r="D8" s="11">
        <v>19</v>
      </c>
      <c r="E8" s="36"/>
      <c r="F8" s="36"/>
      <c r="G8" s="37"/>
      <c r="H8" s="38"/>
      <c r="I8" s="38">
        <f>C8-G8</f>
        <v>17</v>
      </c>
      <c r="J8" s="63">
        <f t="shared" ref="J8:J13" si="0">D8-H8</f>
        <v>19</v>
      </c>
      <c r="K8" s="62"/>
      <c r="L8" s="36"/>
      <c r="M8" s="36"/>
      <c r="N8" s="36"/>
      <c r="O8" s="36"/>
      <c r="P8" s="36"/>
      <c r="Q8" s="99"/>
      <c r="R8" s="100">
        <f t="shared" ref="R8:S12" si="1">L8+N8+P8</f>
        <v>0</v>
      </c>
      <c r="S8" s="101">
        <f t="shared" si="1"/>
        <v>0</v>
      </c>
      <c r="T8" s="62"/>
      <c r="U8" s="8">
        <f>L8*24+N8*24+P8*24</f>
        <v>0</v>
      </c>
      <c r="V8" s="135">
        <f>U8/24</f>
        <v>0</v>
      </c>
      <c r="W8" s="134">
        <f t="shared" ref="W8:W13" si="2">I8*24+J8</f>
        <v>427</v>
      </c>
      <c r="X8" s="61"/>
      <c r="AL8" s="157"/>
      <c r="AM8" s="157"/>
      <c r="AN8" s="157"/>
      <c r="AO8" s="157"/>
      <c r="AP8" s="157"/>
      <c r="AQ8" s="157"/>
      <c r="AR8" s="157"/>
      <c r="AS8" s="157"/>
      <c r="AT8" s="157"/>
      <c r="AU8" s="157"/>
      <c r="AV8" s="157"/>
      <c r="AW8" s="157"/>
      <c r="AX8" s="157"/>
      <c r="AY8" s="157"/>
      <c r="AZ8" s="157"/>
      <c r="BA8" s="157"/>
      <c r="BB8" s="157"/>
      <c r="BC8" s="157"/>
      <c r="BD8" s="157"/>
      <c r="BE8" s="157"/>
      <c r="BF8" s="157"/>
      <c r="BG8" s="157"/>
      <c r="BH8" s="157"/>
    </row>
    <row r="9" spans="1:60">
      <c r="A9" s="1">
        <f t="shared" ref="A9:A59" si="3">A8+1</f>
        <v>2</v>
      </c>
      <c r="B9" s="12" t="s">
        <v>21</v>
      </c>
      <c r="C9" s="13">
        <v>81</v>
      </c>
      <c r="D9" s="14"/>
      <c r="E9" s="39"/>
      <c r="F9" s="39"/>
      <c r="G9" s="40"/>
      <c r="H9" s="41"/>
      <c r="I9" s="40">
        <f t="shared" ref="I9:J59" si="4">C9-G9</f>
        <v>81</v>
      </c>
      <c r="J9" s="64">
        <f t="shared" si="0"/>
        <v>0</v>
      </c>
      <c r="K9" s="65"/>
      <c r="L9" s="51"/>
      <c r="M9" s="51"/>
      <c r="N9" s="51"/>
      <c r="O9" s="51"/>
      <c r="P9" s="51"/>
      <c r="Q9" s="102"/>
      <c r="R9" s="103">
        <f t="shared" si="1"/>
        <v>0</v>
      </c>
      <c r="S9" s="104">
        <f t="shared" si="1"/>
        <v>0</v>
      </c>
      <c r="T9" s="65"/>
      <c r="U9" s="136">
        <f>L9*24+N9*24+P9*24</f>
        <v>0</v>
      </c>
      <c r="V9" s="137">
        <f>U9/24</f>
        <v>0</v>
      </c>
      <c r="W9" s="138">
        <f t="shared" si="2"/>
        <v>1944</v>
      </c>
      <c r="X9" s="139"/>
      <c r="AL9" s="157"/>
      <c r="AM9" s="157"/>
      <c r="AN9" s="157"/>
      <c r="AO9" s="157"/>
      <c r="AP9" s="157"/>
      <c r="AQ9" s="157"/>
      <c r="AR9" s="157"/>
      <c r="AS9" s="157"/>
      <c r="AT9" s="157"/>
      <c r="AU9" s="157"/>
      <c r="AV9" s="157"/>
      <c r="AW9" s="157"/>
      <c r="AX9" s="157"/>
      <c r="AY9" s="157"/>
      <c r="AZ9" s="157"/>
      <c r="BA9" s="157"/>
      <c r="BB9" s="157"/>
      <c r="BC9" s="157"/>
      <c r="BD9" s="157"/>
      <c r="BE9" s="157"/>
      <c r="BF9" s="157"/>
      <c r="BG9" s="157"/>
      <c r="BH9" s="157"/>
    </row>
    <row r="10" spans="1:60">
      <c r="A10" s="1">
        <f t="shared" si="3"/>
        <v>3</v>
      </c>
      <c r="B10" s="7" t="s">
        <v>22</v>
      </c>
      <c r="C10" s="10">
        <v>46</v>
      </c>
      <c r="D10" s="11"/>
      <c r="E10" s="36"/>
      <c r="F10" s="36"/>
      <c r="G10" s="37"/>
      <c r="H10" s="38"/>
      <c r="I10" s="38">
        <f t="shared" si="4"/>
        <v>46</v>
      </c>
      <c r="J10" s="66">
        <f t="shared" si="0"/>
        <v>0</v>
      </c>
      <c r="K10" s="62"/>
      <c r="L10" s="36"/>
      <c r="M10" s="36"/>
      <c r="N10" s="36"/>
      <c r="O10" s="36"/>
      <c r="P10" s="36"/>
      <c r="Q10" s="99"/>
      <c r="R10" s="105">
        <f t="shared" si="1"/>
        <v>0</v>
      </c>
      <c r="S10" s="106">
        <f t="shared" si="1"/>
        <v>0</v>
      </c>
      <c r="T10" s="62"/>
      <c r="U10" s="8">
        <f>L10*24+N10*24+P10*24</f>
        <v>0</v>
      </c>
      <c r="V10" s="140">
        <f>U10/24</f>
        <v>0</v>
      </c>
      <c r="W10" s="134">
        <f t="shared" si="2"/>
        <v>1104</v>
      </c>
      <c r="X10" s="61"/>
      <c r="AL10" s="157"/>
      <c r="AM10" s="157"/>
      <c r="AN10" s="157"/>
      <c r="AO10" s="157"/>
      <c r="AP10" s="157"/>
      <c r="AQ10" s="157"/>
      <c r="AR10" s="157"/>
      <c r="AS10" s="157"/>
      <c r="AT10" s="157"/>
      <c r="AU10" s="157"/>
      <c r="AV10" s="157"/>
      <c r="AW10" s="157"/>
      <c r="AX10" s="157"/>
      <c r="AY10" s="157"/>
      <c r="AZ10" s="157"/>
      <c r="BA10" s="157"/>
      <c r="BB10" s="157"/>
      <c r="BC10" s="157"/>
      <c r="BD10" s="157"/>
      <c r="BE10" s="157"/>
      <c r="BF10" s="157"/>
      <c r="BG10" s="157"/>
      <c r="BH10" s="157"/>
    </row>
    <row r="11" spans="1:60">
      <c r="A11" s="1">
        <f t="shared" si="3"/>
        <v>4</v>
      </c>
      <c r="B11" s="15" t="s">
        <v>23</v>
      </c>
      <c r="C11" s="10">
        <v>49</v>
      </c>
      <c r="D11" s="11"/>
      <c r="E11" s="36"/>
      <c r="F11" s="36"/>
      <c r="G11" s="37">
        <v>3</v>
      </c>
      <c r="H11" s="38"/>
      <c r="I11" s="38">
        <f t="shared" si="4"/>
        <v>46</v>
      </c>
      <c r="J11" s="63">
        <f t="shared" si="0"/>
        <v>0</v>
      </c>
      <c r="K11" s="62"/>
      <c r="L11" s="36"/>
      <c r="M11" s="36"/>
      <c r="N11" s="36"/>
      <c r="O11" s="36"/>
      <c r="P11" s="36">
        <v>3</v>
      </c>
      <c r="Q11" s="99"/>
      <c r="R11" s="100">
        <f t="shared" si="1"/>
        <v>3</v>
      </c>
      <c r="S11" s="101">
        <f t="shared" si="1"/>
        <v>0</v>
      </c>
      <c r="T11" s="62"/>
      <c r="U11" s="8">
        <f>L11*24+N11*24+P11*24</f>
        <v>72</v>
      </c>
      <c r="V11" s="135">
        <f>U11/24</f>
        <v>3</v>
      </c>
      <c r="W11" s="134">
        <f t="shared" si="2"/>
        <v>1104</v>
      </c>
      <c r="X11" s="61"/>
      <c r="AL11" s="157"/>
      <c r="AM11" s="157"/>
      <c r="AN11" s="157"/>
      <c r="AO11" s="157"/>
      <c r="AP11" s="157"/>
      <c r="AQ11" s="157"/>
      <c r="AR11" s="157"/>
      <c r="AS11" s="157"/>
      <c r="AT11" s="157"/>
      <c r="AU11" s="157"/>
      <c r="AV11" s="157"/>
      <c r="AW11" s="157"/>
      <c r="AX11" s="157"/>
      <c r="AY11" s="157"/>
      <c r="AZ11" s="157"/>
      <c r="BA11" s="157"/>
      <c r="BB11" s="157"/>
      <c r="BC11" s="157"/>
      <c r="BD11" s="157"/>
      <c r="BE11" s="157"/>
      <c r="BF11" s="157"/>
      <c r="BG11" s="157"/>
      <c r="BH11" s="157"/>
    </row>
    <row r="12" spans="1:60">
      <c r="A12" s="1">
        <f t="shared" si="3"/>
        <v>5</v>
      </c>
      <c r="B12" s="15" t="s">
        <v>24</v>
      </c>
      <c r="C12" s="10">
        <v>1</v>
      </c>
      <c r="D12" s="11"/>
      <c r="E12" s="36"/>
      <c r="F12" s="36"/>
      <c r="G12" s="37"/>
      <c r="H12" s="38">
        <v>22</v>
      </c>
      <c r="I12" s="38">
        <f t="shared" si="4"/>
        <v>1</v>
      </c>
      <c r="J12" s="63">
        <f t="shared" si="0"/>
        <v>-22</v>
      </c>
      <c r="K12" s="62"/>
      <c r="L12" s="36"/>
      <c r="M12" s="36">
        <v>22</v>
      </c>
      <c r="N12" s="36"/>
      <c r="O12" s="36"/>
      <c r="P12" s="36"/>
      <c r="Q12" s="99"/>
      <c r="R12" s="100">
        <f t="shared" si="1"/>
        <v>0</v>
      </c>
      <c r="S12" s="101">
        <f t="shared" si="1"/>
        <v>22</v>
      </c>
      <c r="T12" s="62"/>
      <c r="U12" s="8">
        <f t="shared" ref="U12:U37" si="5">L12*24+N12*24+P12*24</f>
        <v>0</v>
      </c>
      <c r="V12" s="135">
        <f t="shared" ref="V12:V41" si="6">U12/24</f>
        <v>0</v>
      </c>
      <c r="W12" s="134">
        <f t="shared" si="2"/>
        <v>2</v>
      </c>
      <c r="X12" s="61"/>
      <c r="AL12" s="157"/>
      <c r="AM12" s="157"/>
      <c r="AN12" s="157"/>
      <c r="AO12" s="157"/>
      <c r="AP12" s="157"/>
      <c r="AQ12" s="157"/>
      <c r="AR12" s="157"/>
      <c r="AS12" s="157"/>
      <c r="AT12" s="157"/>
      <c r="AU12" s="157"/>
      <c r="AV12" s="157"/>
      <c r="AW12" s="157"/>
      <c r="AX12" s="157"/>
      <c r="AY12" s="157"/>
      <c r="AZ12" s="157"/>
      <c r="BA12" s="157"/>
      <c r="BB12" s="157"/>
      <c r="BC12" s="157"/>
      <c r="BD12" s="157"/>
      <c r="BE12" s="157"/>
      <c r="BF12" s="157"/>
      <c r="BG12" s="157"/>
      <c r="BH12" s="157"/>
    </row>
    <row r="13" spans="1:60" s="2" customFormat="1">
      <c r="A13" s="1">
        <f t="shared" si="3"/>
        <v>6</v>
      </c>
      <c r="B13" s="12" t="s">
        <v>25</v>
      </c>
      <c r="C13" s="13">
        <v>3442</v>
      </c>
      <c r="D13" s="14">
        <v>6</v>
      </c>
      <c r="E13" s="39"/>
      <c r="F13" s="39"/>
      <c r="G13" s="40">
        <v>20</v>
      </c>
      <c r="H13" s="41">
        <v>19</v>
      </c>
      <c r="I13" s="44">
        <f t="shared" si="4"/>
        <v>3422</v>
      </c>
      <c r="J13" s="64">
        <f t="shared" si="0"/>
        <v>-13</v>
      </c>
      <c r="K13" s="67"/>
      <c r="L13" s="51">
        <v>1</v>
      </c>
      <c r="M13" s="51">
        <v>10</v>
      </c>
      <c r="N13" s="51">
        <v>15</v>
      </c>
      <c r="O13" s="51">
        <v>7</v>
      </c>
      <c r="P13" s="51">
        <v>4</v>
      </c>
      <c r="Q13" s="102">
        <v>2</v>
      </c>
      <c r="R13" s="107">
        <f>L13+N13+P13</f>
        <v>20</v>
      </c>
      <c r="S13" s="104">
        <f>M13+O13+Q13</f>
        <v>19</v>
      </c>
      <c r="T13" s="67"/>
      <c r="U13" s="136">
        <f t="shared" si="5"/>
        <v>480</v>
      </c>
      <c r="V13" s="141">
        <f t="shared" si="6"/>
        <v>20</v>
      </c>
      <c r="W13" s="138">
        <f t="shared" si="2"/>
        <v>82115</v>
      </c>
      <c r="X13" s="139"/>
      <c r="Y13" s="3"/>
      <c r="AD13" s="3"/>
      <c r="AG13" s="3"/>
      <c r="AH13" s="3"/>
      <c r="AI13" s="3"/>
      <c r="AJ13" s="3"/>
      <c r="AK13" s="3"/>
      <c r="AL13" s="157"/>
      <c r="AM13" s="157"/>
      <c r="AN13" s="157"/>
      <c r="AO13" s="157"/>
      <c r="AP13" s="157"/>
      <c r="AQ13" s="157"/>
      <c r="AR13" s="157"/>
      <c r="AS13" s="157"/>
      <c r="AT13" s="157"/>
      <c r="AU13" s="157"/>
      <c r="AV13" s="157"/>
      <c r="AW13" s="157"/>
      <c r="AX13" s="157"/>
      <c r="AY13" s="157"/>
      <c r="AZ13" s="157"/>
      <c r="BA13" s="157"/>
      <c r="BB13" s="157"/>
      <c r="BC13" s="157"/>
      <c r="BD13" s="157"/>
      <c r="BE13" s="157"/>
      <c r="BF13" s="157"/>
      <c r="BG13" s="157"/>
      <c r="BH13" s="157"/>
    </row>
    <row r="14" spans="1:60">
      <c r="A14" s="1">
        <f t="shared" si="3"/>
        <v>7</v>
      </c>
      <c r="B14" s="7" t="s">
        <v>26</v>
      </c>
      <c r="C14" s="10">
        <v>3</v>
      </c>
      <c r="D14" s="11">
        <v>16</v>
      </c>
      <c r="E14" s="36"/>
      <c r="F14" s="36"/>
      <c r="G14" s="37"/>
      <c r="H14" s="38"/>
      <c r="I14" s="68">
        <f t="shared" si="4"/>
        <v>3</v>
      </c>
      <c r="J14" s="66">
        <f t="shared" si="4"/>
        <v>16</v>
      </c>
      <c r="K14" s="62"/>
      <c r="L14" s="36"/>
      <c r="M14" s="36"/>
      <c r="N14" s="36"/>
      <c r="O14" s="36"/>
      <c r="P14" s="36"/>
      <c r="Q14" s="99"/>
      <c r="R14" s="108">
        <f t="shared" ref="R14:S59" si="7">L14+N14+P14</f>
        <v>0</v>
      </c>
      <c r="S14" s="106">
        <f t="shared" si="7"/>
        <v>0</v>
      </c>
      <c r="T14" s="62"/>
      <c r="U14" s="8">
        <f t="shared" si="5"/>
        <v>0</v>
      </c>
      <c r="V14" s="33">
        <f t="shared" si="6"/>
        <v>0</v>
      </c>
      <c r="W14" s="134">
        <f t="shared" ref="W14:W37" si="8">I14*24+J14</f>
        <v>88</v>
      </c>
      <c r="X14" s="61"/>
      <c r="AL14" s="157"/>
      <c r="AM14" s="157"/>
      <c r="AN14" s="157"/>
      <c r="AO14" s="157"/>
      <c r="AP14" s="157"/>
      <c r="AQ14" s="157"/>
      <c r="AR14" s="157"/>
      <c r="AS14" s="157"/>
      <c r="AT14" s="157"/>
      <c r="AU14" s="157"/>
      <c r="AV14" s="157"/>
      <c r="AW14" s="157"/>
      <c r="AX14" s="157"/>
      <c r="AY14" s="157"/>
      <c r="AZ14" s="157"/>
      <c r="BA14" s="157"/>
      <c r="BB14" s="157"/>
      <c r="BC14" s="157"/>
      <c r="BD14" s="157"/>
      <c r="BE14" s="157"/>
      <c r="BF14" s="157"/>
      <c r="BG14" s="157"/>
      <c r="BH14" s="157"/>
    </row>
    <row r="15" spans="1:60">
      <c r="A15" s="1">
        <f t="shared" si="3"/>
        <v>8</v>
      </c>
      <c r="B15" s="15" t="s">
        <v>27</v>
      </c>
      <c r="C15" s="10">
        <v>4</v>
      </c>
      <c r="D15" s="11"/>
      <c r="E15" s="36"/>
      <c r="F15" s="36"/>
      <c r="G15" s="37"/>
      <c r="H15" s="38"/>
      <c r="I15" s="38">
        <f t="shared" si="4"/>
        <v>4</v>
      </c>
      <c r="J15" s="63">
        <f t="shared" si="4"/>
        <v>0</v>
      </c>
      <c r="K15" s="62"/>
      <c r="L15" s="36"/>
      <c r="M15" s="36"/>
      <c r="N15" s="36"/>
      <c r="O15" s="36"/>
      <c r="P15" s="36"/>
      <c r="Q15" s="99"/>
      <c r="R15" s="100">
        <f t="shared" si="7"/>
        <v>0</v>
      </c>
      <c r="S15" s="101">
        <f t="shared" si="7"/>
        <v>0</v>
      </c>
      <c r="T15" s="62"/>
      <c r="U15" s="8">
        <f t="shared" si="5"/>
        <v>0</v>
      </c>
      <c r="V15" s="135">
        <f t="shared" si="6"/>
        <v>0</v>
      </c>
      <c r="W15" s="134">
        <f t="shared" si="8"/>
        <v>96</v>
      </c>
      <c r="X15" s="61"/>
      <c r="AL15" s="157"/>
      <c r="AM15" s="157"/>
      <c r="AN15" s="157"/>
      <c r="AO15" s="157"/>
      <c r="AP15" s="157"/>
      <c r="AQ15" s="157"/>
      <c r="AR15" s="157"/>
      <c r="AS15" s="157"/>
      <c r="AT15" s="157"/>
      <c r="AU15" s="157"/>
      <c r="AV15" s="157"/>
      <c r="AW15" s="157"/>
      <c r="AX15" s="157"/>
      <c r="AY15" s="157"/>
      <c r="AZ15" s="157"/>
      <c r="BA15" s="157"/>
      <c r="BB15" s="157"/>
      <c r="BC15" s="157"/>
      <c r="BD15" s="157"/>
      <c r="BE15" s="157"/>
      <c r="BF15" s="157"/>
      <c r="BG15" s="157"/>
      <c r="BH15" s="157"/>
    </row>
    <row r="16" spans="1:60">
      <c r="A16" s="1">
        <f t="shared" si="3"/>
        <v>9</v>
      </c>
      <c r="B16" s="15" t="s">
        <v>28</v>
      </c>
      <c r="C16" s="10">
        <v>1</v>
      </c>
      <c r="D16" s="11"/>
      <c r="E16" s="36"/>
      <c r="F16" s="36"/>
      <c r="G16" s="37"/>
      <c r="H16" s="38"/>
      <c r="I16" s="38">
        <f t="shared" si="4"/>
        <v>1</v>
      </c>
      <c r="J16" s="63">
        <f t="shared" si="4"/>
        <v>0</v>
      </c>
      <c r="K16" s="62"/>
      <c r="L16" s="36"/>
      <c r="M16" s="36"/>
      <c r="N16" s="36"/>
      <c r="O16" s="36"/>
      <c r="P16" s="36"/>
      <c r="Q16" s="99"/>
      <c r="R16" s="100">
        <f t="shared" si="7"/>
        <v>0</v>
      </c>
      <c r="S16" s="101">
        <f t="shared" si="7"/>
        <v>0</v>
      </c>
      <c r="T16" s="62"/>
      <c r="U16" s="8">
        <f t="shared" si="5"/>
        <v>0</v>
      </c>
      <c r="V16" s="135">
        <f t="shared" si="6"/>
        <v>0</v>
      </c>
      <c r="W16" s="134">
        <f t="shared" si="8"/>
        <v>24</v>
      </c>
      <c r="X16" s="61"/>
      <c r="AL16" s="157"/>
      <c r="AM16" s="157"/>
      <c r="AN16" s="157"/>
      <c r="AO16" s="157"/>
      <c r="AP16" s="157"/>
      <c r="AQ16" s="157"/>
      <c r="AR16" s="157"/>
      <c r="AS16" s="157"/>
      <c r="AT16" s="157"/>
      <c r="AU16" s="157"/>
      <c r="AV16" s="157"/>
      <c r="AW16" s="157"/>
      <c r="AX16" s="157"/>
      <c r="AY16" s="157"/>
      <c r="AZ16" s="157"/>
      <c r="BA16" s="157"/>
      <c r="BB16" s="157"/>
      <c r="BC16" s="157"/>
      <c r="BD16" s="157"/>
      <c r="BE16" s="157"/>
      <c r="BF16" s="157"/>
      <c r="BG16" s="157"/>
      <c r="BH16" s="157"/>
    </row>
    <row r="17" spans="1:60">
      <c r="A17" s="1">
        <f t="shared" si="3"/>
        <v>10</v>
      </c>
      <c r="B17" s="15" t="s">
        <v>29</v>
      </c>
      <c r="C17" s="10"/>
      <c r="D17" s="11"/>
      <c r="E17" s="36"/>
      <c r="F17" s="36"/>
      <c r="G17" s="37"/>
      <c r="H17" s="38"/>
      <c r="I17" s="38">
        <f t="shared" si="4"/>
        <v>0</v>
      </c>
      <c r="J17" s="63">
        <f t="shared" si="4"/>
        <v>0</v>
      </c>
      <c r="K17" s="62"/>
      <c r="L17" s="36"/>
      <c r="M17" s="36"/>
      <c r="N17" s="36"/>
      <c r="O17" s="36"/>
      <c r="P17" s="36"/>
      <c r="Q17" s="99"/>
      <c r="R17" s="100">
        <f t="shared" si="7"/>
        <v>0</v>
      </c>
      <c r="S17" s="101">
        <f t="shared" si="7"/>
        <v>0</v>
      </c>
      <c r="T17" s="62"/>
      <c r="U17" s="8">
        <f t="shared" si="5"/>
        <v>0</v>
      </c>
      <c r="V17" s="135">
        <f t="shared" si="6"/>
        <v>0</v>
      </c>
      <c r="W17" s="134">
        <f t="shared" si="8"/>
        <v>0</v>
      </c>
      <c r="X17" s="61"/>
      <c r="AL17" s="157"/>
      <c r="AM17" s="157"/>
      <c r="AN17" s="157"/>
      <c r="AO17" s="157"/>
      <c r="AP17" s="157"/>
      <c r="AQ17" s="157"/>
      <c r="AR17" s="157"/>
      <c r="AS17" s="157"/>
      <c r="AT17" s="157"/>
      <c r="AU17" s="157"/>
      <c r="AV17" s="157"/>
      <c r="AW17" s="157"/>
      <c r="AX17" s="157"/>
      <c r="AY17" s="157"/>
      <c r="AZ17" s="157"/>
      <c r="BA17" s="157"/>
      <c r="BB17" s="157"/>
      <c r="BC17" s="157"/>
      <c r="BD17" s="157"/>
      <c r="BE17" s="157"/>
      <c r="BF17" s="157"/>
      <c r="BG17" s="157"/>
      <c r="BH17" s="157"/>
    </row>
    <row r="18" spans="1:60">
      <c r="A18" s="1">
        <f t="shared" si="3"/>
        <v>11</v>
      </c>
      <c r="B18" s="15" t="s">
        <v>30</v>
      </c>
      <c r="C18" s="10">
        <v>3</v>
      </c>
      <c r="D18" s="11"/>
      <c r="E18" s="36"/>
      <c r="F18" s="36"/>
      <c r="G18" s="37"/>
      <c r="H18" s="38"/>
      <c r="I18" s="38">
        <f t="shared" si="4"/>
        <v>3</v>
      </c>
      <c r="J18" s="63">
        <f t="shared" si="4"/>
        <v>0</v>
      </c>
      <c r="K18" s="62"/>
      <c r="L18" s="36"/>
      <c r="M18" s="36"/>
      <c r="N18" s="36"/>
      <c r="O18" s="36"/>
      <c r="P18" s="36"/>
      <c r="Q18" s="99"/>
      <c r="R18" s="100">
        <f t="shared" si="7"/>
        <v>0</v>
      </c>
      <c r="S18" s="101">
        <f t="shared" si="7"/>
        <v>0</v>
      </c>
      <c r="T18" s="62"/>
      <c r="U18" s="8">
        <f t="shared" si="5"/>
        <v>0</v>
      </c>
      <c r="V18" s="135">
        <f t="shared" si="6"/>
        <v>0</v>
      </c>
      <c r="W18" s="134">
        <f t="shared" si="8"/>
        <v>72</v>
      </c>
      <c r="X18" s="61"/>
      <c r="AL18" s="157"/>
      <c r="AM18" s="157"/>
      <c r="AN18" s="157"/>
      <c r="AO18" s="157"/>
      <c r="AP18" s="157"/>
      <c r="AQ18" s="157"/>
      <c r="AR18" s="157"/>
      <c r="AS18" s="157"/>
      <c r="AT18" s="157"/>
      <c r="AU18" s="157"/>
      <c r="AV18" s="157"/>
      <c r="AW18" s="157"/>
      <c r="AX18" s="157"/>
      <c r="AY18" s="157"/>
      <c r="AZ18" s="157"/>
      <c r="BA18" s="157"/>
      <c r="BB18" s="157"/>
      <c r="BC18" s="157"/>
      <c r="BD18" s="157"/>
      <c r="BE18" s="157"/>
      <c r="BF18" s="157"/>
      <c r="BG18" s="157"/>
      <c r="BH18" s="157"/>
    </row>
    <row r="19" spans="1:60" ht="18.75" hidden="1" customHeight="1">
      <c r="A19" s="1">
        <f t="shared" si="3"/>
        <v>12</v>
      </c>
      <c r="B19" s="15" t="s">
        <v>31</v>
      </c>
      <c r="C19" s="10"/>
      <c r="D19" s="11"/>
      <c r="E19" s="36"/>
      <c r="F19" s="36"/>
      <c r="G19" s="37"/>
      <c r="H19" s="38"/>
      <c r="I19" s="38">
        <f t="shared" si="4"/>
        <v>0</v>
      </c>
      <c r="J19" s="63">
        <f t="shared" si="4"/>
        <v>0</v>
      </c>
      <c r="K19" s="62"/>
      <c r="L19" s="36"/>
      <c r="M19" s="36"/>
      <c r="N19" s="36"/>
      <c r="O19" s="36"/>
      <c r="P19" s="36"/>
      <c r="Q19" s="99"/>
      <c r="R19" s="100">
        <f t="shared" si="7"/>
        <v>0</v>
      </c>
      <c r="S19" s="101">
        <f t="shared" si="7"/>
        <v>0</v>
      </c>
      <c r="T19" s="62"/>
      <c r="U19" s="8">
        <f t="shared" si="5"/>
        <v>0</v>
      </c>
      <c r="V19" s="135">
        <f t="shared" si="6"/>
        <v>0</v>
      </c>
      <c r="W19" s="134">
        <f t="shared" si="8"/>
        <v>0</v>
      </c>
      <c r="X19" s="61"/>
      <c r="AL19" s="157"/>
      <c r="AM19" s="157"/>
      <c r="AN19" s="157"/>
      <c r="AO19" s="157"/>
      <c r="AP19" s="157"/>
      <c r="AQ19" s="157"/>
      <c r="AR19" s="157"/>
      <c r="AS19" s="157"/>
      <c r="AT19" s="157"/>
      <c r="AU19" s="157"/>
      <c r="AV19" s="157"/>
      <c r="AW19" s="157"/>
      <c r="AX19" s="157"/>
      <c r="AY19" s="157"/>
      <c r="AZ19" s="157"/>
      <c r="BA19" s="157"/>
      <c r="BB19" s="157"/>
      <c r="BC19" s="157"/>
      <c r="BD19" s="157"/>
      <c r="BE19" s="157"/>
      <c r="BF19" s="157"/>
      <c r="BG19" s="157"/>
      <c r="BH19" s="157"/>
    </row>
    <row r="20" spans="1:60">
      <c r="A20" s="1">
        <f t="shared" si="3"/>
        <v>13</v>
      </c>
      <c r="B20" s="15" t="s">
        <v>32</v>
      </c>
      <c r="C20" s="10">
        <v>4</v>
      </c>
      <c r="D20" s="11">
        <v>20</v>
      </c>
      <c r="E20" s="36"/>
      <c r="F20" s="36"/>
      <c r="G20" s="37"/>
      <c r="H20" s="38"/>
      <c r="I20" s="38">
        <f t="shared" si="4"/>
        <v>4</v>
      </c>
      <c r="J20" s="63">
        <f t="shared" si="4"/>
        <v>20</v>
      </c>
      <c r="K20" s="62"/>
      <c r="L20" s="36"/>
      <c r="M20" s="36"/>
      <c r="N20" s="36"/>
      <c r="O20" s="36"/>
      <c r="P20" s="36"/>
      <c r="Q20" s="99"/>
      <c r="R20" s="100">
        <f t="shared" si="7"/>
        <v>0</v>
      </c>
      <c r="S20" s="101">
        <f t="shared" si="7"/>
        <v>0</v>
      </c>
      <c r="T20" s="62"/>
      <c r="U20" s="8">
        <f t="shared" si="5"/>
        <v>0</v>
      </c>
      <c r="V20" s="135">
        <f t="shared" si="6"/>
        <v>0</v>
      </c>
      <c r="W20" s="134">
        <f t="shared" si="8"/>
        <v>116</v>
      </c>
      <c r="X20" s="61"/>
      <c r="AL20" s="157"/>
      <c r="AM20" s="157"/>
      <c r="AN20" s="157"/>
      <c r="AO20" s="157"/>
      <c r="AP20" s="157"/>
      <c r="AQ20" s="157"/>
      <c r="AR20" s="157"/>
      <c r="AS20" s="157"/>
      <c r="AT20" s="157"/>
      <c r="AU20" s="157"/>
      <c r="AV20" s="157"/>
      <c r="AW20" s="157"/>
      <c r="AX20" s="157"/>
      <c r="AY20" s="157"/>
      <c r="AZ20" s="157"/>
      <c r="BA20" s="157"/>
      <c r="BB20" s="157"/>
      <c r="BC20" s="157"/>
      <c r="BD20" s="157"/>
      <c r="BE20" s="157"/>
      <c r="BF20" s="157"/>
      <c r="BG20" s="157"/>
      <c r="BH20" s="157"/>
    </row>
    <row r="21" spans="1:60">
      <c r="A21" s="1">
        <f t="shared" si="3"/>
        <v>14</v>
      </c>
      <c r="B21" s="15" t="s">
        <v>33</v>
      </c>
      <c r="C21" s="10">
        <v>7</v>
      </c>
      <c r="D21" s="11">
        <v>16</v>
      </c>
      <c r="E21" s="36"/>
      <c r="F21" s="36"/>
      <c r="G21" s="37"/>
      <c r="H21" s="38"/>
      <c r="I21" s="38">
        <f t="shared" si="4"/>
        <v>7</v>
      </c>
      <c r="J21" s="63">
        <f t="shared" si="4"/>
        <v>16</v>
      </c>
      <c r="K21" s="62"/>
      <c r="L21" s="36"/>
      <c r="M21" s="36"/>
      <c r="N21" s="36"/>
      <c r="O21" s="36"/>
      <c r="P21" s="36"/>
      <c r="Q21" s="99"/>
      <c r="R21" s="100">
        <f t="shared" si="7"/>
        <v>0</v>
      </c>
      <c r="S21" s="101">
        <f t="shared" si="7"/>
        <v>0</v>
      </c>
      <c r="T21" s="62"/>
      <c r="U21" s="8">
        <f t="shared" si="5"/>
        <v>0</v>
      </c>
      <c r="V21" s="135">
        <f t="shared" si="6"/>
        <v>0</v>
      </c>
      <c r="W21" s="134">
        <f t="shared" si="8"/>
        <v>184</v>
      </c>
      <c r="X21" s="61"/>
      <c r="AL21" s="157"/>
      <c r="AM21" s="157"/>
      <c r="AN21" s="157"/>
      <c r="AO21" s="157"/>
      <c r="AP21" s="157"/>
      <c r="AQ21" s="157"/>
      <c r="AR21" s="157"/>
      <c r="AS21" s="157"/>
      <c r="AT21" s="157"/>
      <c r="AU21" s="157"/>
      <c r="AV21" s="157"/>
      <c r="AW21" s="157"/>
      <c r="AX21" s="157"/>
      <c r="AY21" s="157"/>
      <c r="AZ21" s="157"/>
      <c r="BA21" s="157"/>
      <c r="BB21" s="157"/>
      <c r="BC21" s="157"/>
      <c r="BD21" s="157"/>
      <c r="BE21" s="157"/>
      <c r="BF21" s="157"/>
      <c r="BG21" s="157"/>
      <c r="BH21" s="157"/>
    </row>
    <row r="22" spans="1:60">
      <c r="A22" s="1">
        <f t="shared" si="3"/>
        <v>15</v>
      </c>
      <c r="B22" s="15" t="s">
        <v>34</v>
      </c>
      <c r="C22" s="10">
        <v>4</v>
      </c>
      <c r="D22" s="11"/>
      <c r="E22" s="36"/>
      <c r="F22" s="36"/>
      <c r="G22" s="37"/>
      <c r="H22" s="38"/>
      <c r="I22" s="38">
        <f t="shared" si="4"/>
        <v>4</v>
      </c>
      <c r="J22" s="63">
        <f t="shared" si="4"/>
        <v>0</v>
      </c>
      <c r="K22" s="62"/>
      <c r="L22" s="36"/>
      <c r="M22" s="36"/>
      <c r="N22" s="36"/>
      <c r="O22" s="36"/>
      <c r="P22" s="36"/>
      <c r="Q22" s="99"/>
      <c r="R22" s="100">
        <f t="shared" si="7"/>
        <v>0</v>
      </c>
      <c r="S22" s="101">
        <f t="shared" si="7"/>
        <v>0</v>
      </c>
      <c r="T22" s="62"/>
      <c r="U22" s="8">
        <f t="shared" si="5"/>
        <v>0</v>
      </c>
      <c r="V22" s="135">
        <f t="shared" si="6"/>
        <v>0</v>
      </c>
      <c r="W22" s="134">
        <f t="shared" si="8"/>
        <v>96</v>
      </c>
      <c r="X22" s="61"/>
      <c r="AL22" s="157"/>
      <c r="AM22" s="157"/>
      <c r="AN22" s="157"/>
      <c r="AO22" s="157"/>
      <c r="AP22" s="157"/>
      <c r="AQ22" s="157"/>
      <c r="AR22" s="157"/>
      <c r="AS22" s="157"/>
      <c r="AT22" s="157"/>
      <c r="AU22" s="157"/>
      <c r="AV22" s="157"/>
      <c r="AW22" s="157"/>
      <c r="AX22" s="157"/>
      <c r="AY22" s="157"/>
      <c r="AZ22" s="157"/>
      <c r="BA22" s="157"/>
      <c r="BB22" s="157"/>
      <c r="BC22" s="157"/>
      <c r="BD22" s="157"/>
      <c r="BE22" s="157"/>
      <c r="BF22" s="157"/>
      <c r="BG22" s="157"/>
      <c r="BH22" s="157"/>
    </row>
    <row r="23" spans="1:60" s="2" customFormat="1">
      <c r="A23" s="1">
        <f t="shared" si="3"/>
        <v>16</v>
      </c>
      <c r="B23" s="15" t="s">
        <v>35</v>
      </c>
      <c r="C23" s="10">
        <v>1</v>
      </c>
      <c r="D23" s="11">
        <v>20</v>
      </c>
      <c r="E23" s="36"/>
      <c r="F23" s="36"/>
      <c r="G23" s="37"/>
      <c r="H23" s="38"/>
      <c r="I23" s="38">
        <f t="shared" si="4"/>
        <v>1</v>
      </c>
      <c r="J23" s="63">
        <f t="shared" si="4"/>
        <v>20</v>
      </c>
      <c r="K23" s="69"/>
      <c r="L23" s="36"/>
      <c r="M23" s="36"/>
      <c r="N23" s="36"/>
      <c r="O23" s="36"/>
      <c r="P23" s="36"/>
      <c r="Q23" s="99"/>
      <c r="R23" s="100">
        <f t="shared" si="7"/>
        <v>0</v>
      </c>
      <c r="S23" s="101">
        <f t="shared" si="7"/>
        <v>0</v>
      </c>
      <c r="T23" s="69"/>
      <c r="U23" s="8">
        <f t="shared" si="5"/>
        <v>0</v>
      </c>
      <c r="V23" s="135">
        <f t="shared" si="6"/>
        <v>0</v>
      </c>
      <c r="W23" s="134">
        <f t="shared" si="8"/>
        <v>44</v>
      </c>
      <c r="X23" s="61"/>
      <c r="Y23" s="3"/>
      <c r="AD23" s="3"/>
      <c r="AG23" s="3"/>
      <c r="AH23" s="3"/>
      <c r="AI23" s="3"/>
      <c r="AJ23" s="3"/>
      <c r="AK23" s="3"/>
      <c r="AL23" s="157"/>
      <c r="AM23" s="157"/>
      <c r="AN23" s="157"/>
      <c r="AO23" s="157"/>
      <c r="AP23" s="157"/>
      <c r="AQ23" s="157"/>
      <c r="AR23" s="157"/>
      <c r="AS23" s="157"/>
      <c r="AT23" s="157"/>
      <c r="AU23" s="157"/>
      <c r="AV23" s="157"/>
      <c r="AW23" s="157"/>
      <c r="AX23" s="157"/>
      <c r="AY23" s="157"/>
      <c r="AZ23" s="157"/>
      <c r="BA23" s="157"/>
      <c r="BB23" s="157"/>
      <c r="BC23" s="157"/>
      <c r="BD23" s="157"/>
      <c r="BE23" s="157"/>
      <c r="BF23" s="157"/>
      <c r="BG23" s="157"/>
      <c r="BH23" s="157"/>
    </row>
    <row r="24" spans="1:60" s="2" customFormat="1">
      <c r="A24" s="1">
        <f t="shared" si="3"/>
        <v>17</v>
      </c>
      <c r="B24" s="15" t="s">
        <v>36</v>
      </c>
      <c r="C24" s="10">
        <v>37</v>
      </c>
      <c r="D24" s="11">
        <v>19</v>
      </c>
      <c r="E24" s="36"/>
      <c r="F24" s="36"/>
      <c r="G24" s="37"/>
      <c r="H24" s="38"/>
      <c r="I24" s="38">
        <f t="shared" si="4"/>
        <v>37</v>
      </c>
      <c r="J24" s="63">
        <f t="shared" si="4"/>
        <v>19</v>
      </c>
      <c r="K24" s="69"/>
      <c r="L24" s="36"/>
      <c r="M24" s="36"/>
      <c r="N24" s="36"/>
      <c r="O24" s="36"/>
      <c r="P24" s="36"/>
      <c r="Q24" s="99"/>
      <c r="R24" s="100">
        <f t="shared" si="7"/>
        <v>0</v>
      </c>
      <c r="S24" s="101">
        <f t="shared" si="7"/>
        <v>0</v>
      </c>
      <c r="T24" s="69"/>
      <c r="U24" s="8">
        <f t="shared" si="5"/>
        <v>0</v>
      </c>
      <c r="V24" s="135">
        <f t="shared" si="6"/>
        <v>0</v>
      </c>
      <c r="W24" s="134">
        <f t="shared" si="8"/>
        <v>907</v>
      </c>
      <c r="X24" s="61"/>
      <c r="Y24" s="3"/>
      <c r="AD24" s="3"/>
      <c r="AG24" s="3"/>
      <c r="AH24" s="3"/>
      <c r="AI24" s="3"/>
      <c r="AJ24" s="3"/>
      <c r="AK24" s="3"/>
      <c r="AL24" s="157"/>
      <c r="AM24" s="157"/>
      <c r="AN24" s="157"/>
      <c r="AO24" s="157"/>
      <c r="AP24" s="157"/>
      <c r="AQ24" s="157"/>
      <c r="AR24" s="157"/>
      <c r="AS24" s="157"/>
      <c r="AT24" s="157"/>
      <c r="AU24" s="157"/>
      <c r="AV24" s="157"/>
      <c r="AW24" s="157"/>
      <c r="AX24" s="157"/>
      <c r="AY24" s="157"/>
      <c r="AZ24" s="157"/>
      <c r="BA24" s="157"/>
      <c r="BB24" s="157"/>
      <c r="BC24" s="157"/>
      <c r="BD24" s="157"/>
      <c r="BE24" s="157"/>
      <c r="BF24" s="157"/>
      <c r="BG24" s="157"/>
      <c r="BH24" s="157"/>
    </row>
    <row r="25" spans="1:60">
      <c r="A25" s="1">
        <f t="shared" si="3"/>
        <v>18</v>
      </c>
      <c r="B25" s="15" t="s">
        <v>37</v>
      </c>
      <c r="C25" s="10">
        <v>10</v>
      </c>
      <c r="D25" s="11"/>
      <c r="E25" s="36"/>
      <c r="F25" s="36"/>
      <c r="G25" s="37"/>
      <c r="H25" s="38"/>
      <c r="I25" s="38">
        <f t="shared" si="4"/>
        <v>10</v>
      </c>
      <c r="J25" s="63">
        <f t="shared" si="4"/>
        <v>0</v>
      </c>
      <c r="K25" s="62"/>
      <c r="L25" s="36"/>
      <c r="M25" s="36"/>
      <c r="N25" s="36"/>
      <c r="O25" s="36"/>
      <c r="P25" s="36"/>
      <c r="Q25" s="99"/>
      <c r="R25" s="100">
        <f t="shared" si="7"/>
        <v>0</v>
      </c>
      <c r="S25" s="101">
        <f t="shared" si="7"/>
        <v>0</v>
      </c>
      <c r="T25" s="62"/>
      <c r="U25" s="8">
        <f t="shared" si="5"/>
        <v>0</v>
      </c>
      <c r="V25" s="135">
        <f t="shared" si="6"/>
        <v>0</v>
      </c>
      <c r="W25" s="134">
        <f t="shared" si="8"/>
        <v>240</v>
      </c>
      <c r="X25" s="61"/>
      <c r="AL25" s="157"/>
      <c r="AM25" s="157"/>
      <c r="AN25" s="157"/>
      <c r="AO25" s="157"/>
      <c r="AP25" s="157"/>
      <c r="AQ25" s="157"/>
      <c r="AR25" s="157"/>
      <c r="AS25" s="157"/>
      <c r="AT25" s="157"/>
      <c r="AU25" s="157"/>
      <c r="AV25" s="157"/>
      <c r="AW25" s="157"/>
      <c r="AX25" s="157"/>
      <c r="AY25" s="157"/>
      <c r="AZ25" s="157"/>
      <c r="BA25" s="157"/>
      <c r="BB25" s="157"/>
      <c r="BC25" s="157"/>
      <c r="BD25" s="157"/>
      <c r="BE25" s="157"/>
      <c r="BF25" s="157"/>
      <c r="BG25" s="157"/>
      <c r="BH25" s="157"/>
    </row>
    <row r="26" spans="1:60">
      <c r="A26" s="1">
        <f t="shared" si="3"/>
        <v>19</v>
      </c>
      <c r="B26" s="15" t="s">
        <v>38</v>
      </c>
      <c r="C26" s="10"/>
      <c r="D26" s="11">
        <v>1</v>
      </c>
      <c r="E26" s="36"/>
      <c r="F26" s="36"/>
      <c r="G26" s="37"/>
      <c r="H26" s="38"/>
      <c r="I26" s="38">
        <f t="shared" si="4"/>
        <v>0</v>
      </c>
      <c r="J26" s="63">
        <f t="shared" si="4"/>
        <v>1</v>
      </c>
      <c r="K26" s="62"/>
      <c r="L26" s="36"/>
      <c r="M26" s="36"/>
      <c r="N26" s="36"/>
      <c r="O26" s="36"/>
      <c r="P26" s="36"/>
      <c r="Q26" s="99"/>
      <c r="R26" s="100">
        <f t="shared" si="7"/>
        <v>0</v>
      </c>
      <c r="S26" s="101">
        <f t="shared" si="7"/>
        <v>0</v>
      </c>
      <c r="T26" s="62"/>
      <c r="U26" s="8">
        <f t="shared" si="5"/>
        <v>0</v>
      </c>
      <c r="V26" s="135">
        <f t="shared" si="6"/>
        <v>0</v>
      </c>
      <c r="W26" s="134">
        <f t="shared" si="8"/>
        <v>1</v>
      </c>
      <c r="X26" s="61"/>
      <c r="BE26" s="158" t="e">
        <f>#REF!-BE25</f>
        <v>#REF!</v>
      </c>
    </row>
    <row r="27" spans="1:60" s="2" customFormat="1">
      <c r="A27" s="1">
        <f t="shared" si="3"/>
        <v>20</v>
      </c>
      <c r="B27" s="15" t="s">
        <v>39</v>
      </c>
      <c r="C27" s="10"/>
      <c r="D27" s="11"/>
      <c r="E27" s="36"/>
      <c r="F27" s="36"/>
      <c r="G27" s="37"/>
      <c r="H27" s="38"/>
      <c r="I27" s="38">
        <f t="shared" si="4"/>
        <v>0</v>
      </c>
      <c r="J27" s="63">
        <f t="shared" si="4"/>
        <v>0</v>
      </c>
      <c r="K27" s="69"/>
      <c r="L27" s="36"/>
      <c r="M27" s="36"/>
      <c r="N27" s="36"/>
      <c r="O27" s="36"/>
      <c r="P27" s="36"/>
      <c r="Q27" s="99"/>
      <c r="R27" s="100">
        <f t="shared" si="7"/>
        <v>0</v>
      </c>
      <c r="S27" s="101">
        <f t="shared" si="7"/>
        <v>0</v>
      </c>
      <c r="T27" s="69"/>
      <c r="U27" s="8">
        <f t="shared" si="5"/>
        <v>0</v>
      </c>
      <c r="V27" s="135">
        <f t="shared" si="6"/>
        <v>0</v>
      </c>
      <c r="W27" s="134">
        <f t="shared" si="8"/>
        <v>0</v>
      </c>
      <c r="X27" s="61"/>
      <c r="Y27" s="3"/>
      <c r="AD27" s="3"/>
      <c r="AG27" s="3"/>
      <c r="AH27" s="3"/>
      <c r="AI27" s="3"/>
      <c r="AJ27" s="3"/>
      <c r="AK27" s="3"/>
    </row>
    <row r="28" spans="1:60" s="2" customFormat="1">
      <c r="A28" s="1">
        <f t="shared" si="3"/>
        <v>21</v>
      </c>
      <c r="B28" s="15" t="s">
        <v>40</v>
      </c>
      <c r="C28" s="10"/>
      <c r="D28" s="11"/>
      <c r="E28" s="36"/>
      <c r="F28" s="36"/>
      <c r="G28" s="37"/>
      <c r="H28" s="38"/>
      <c r="I28" s="38">
        <f t="shared" si="4"/>
        <v>0</v>
      </c>
      <c r="J28" s="63">
        <f t="shared" si="4"/>
        <v>0</v>
      </c>
      <c r="K28" s="69"/>
      <c r="L28" s="36"/>
      <c r="M28" s="36"/>
      <c r="N28" s="36"/>
      <c r="O28" s="36"/>
      <c r="P28" s="36"/>
      <c r="Q28" s="99"/>
      <c r="R28" s="100">
        <f t="shared" si="7"/>
        <v>0</v>
      </c>
      <c r="S28" s="101">
        <f t="shared" si="7"/>
        <v>0</v>
      </c>
      <c r="T28" s="69"/>
      <c r="U28" s="8">
        <f t="shared" si="5"/>
        <v>0</v>
      </c>
      <c r="V28" s="135">
        <f t="shared" si="6"/>
        <v>0</v>
      </c>
      <c r="W28" s="134">
        <f t="shared" si="8"/>
        <v>0</v>
      </c>
      <c r="X28" s="61"/>
      <c r="Y28" s="3"/>
      <c r="AD28" s="3"/>
      <c r="AG28" s="3"/>
      <c r="AH28" s="3"/>
      <c r="AI28" s="3"/>
      <c r="AJ28" s="3"/>
      <c r="AK28" s="3"/>
    </row>
    <row r="29" spans="1:60" s="2" customFormat="1">
      <c r="A29" s="1">
        <f t="shared" si="3"/>
        <v>22</v>
      </c>
      <c r="B29" s="15" t="s">
        <v>41</v>
      </c>
      <c r="C29" s="10"/>
      <c r="D29" s="11"/>
      <c r="E29" s="36"/>
      <c r="F29" s="36"/>
      <c r="G29" s="37"/>
      <c r="H29" s="38"/>
      <c r="I29" s="38">
        <f t="shared" si="4"/>
        <v>0</v>
      </c>
      <c r="J29" s="63">
        <f t="shared" si="4"/>
        <v>0</v>
      </c>
      <c r="K29" s="69"/>
      <c r="L29" s="36"/>
      <c r="M29" s="36"/>
      <c r="N29" s="36"/>
      <c r="O29" s="36"/>
      <c r="P29" s="36"/>
      <c r="Q29" s="99"/>
      <c r="R29" s="100">
        <f t="shared" si="7"/>
        <v>0</v>
      </c>
      <c r="S29" s="101">
        <f t="shared" si="7"/>
        <v>0</v>
      </c>
      <c r="T29" s="69"/>
      <c r="U29" s="8">
        <f t="shared" si="5"/>
        <v>0</v>
      </c>
      <c r="V29" s="135">
        <f t="shared" si="6"/>
        <v>0</v>
      </c>
      <c r="W29" s="134">
        <f t="shared" si="8"/>
        <v>0</v>
      </c>
      <c r="X29" s="61"/>
      <c r="Y29" s="3"/>
      <c r="AD29" s="3"/>
      <c r="AG29" s="3"/>
      <c r="AH29" s="3"/>
      <c r="AI29" s="3"/>
      <c r="AJ29" s="3"/>
      <c r="AK29" s="3"/>
    </row>
    <row r="30" spans="1:60">
      <c r="A30" s="1">
        <f t="shared" si="3"/>
        <v>23</v>
      </c>
      <c r="B30" s="15" t="s">
        <v>42</v>
      </c>
      <c r="C30" s="10">
        <v>7</v>
      </c>
      <c r="D30" s="11"/>
      <c r="E30" s="36"/>
      <c r="F30" s="36"/>
      <c r="G30" s="37">
        <v>4</v>
      </c>
      <c r="H30" s="38"/>
      <c r="I30" s="38">
        <f t="shared" si="4"/>
        <v>3</v>
      </c>
      <c r="J30" s="63">
        <f t="shared" si="4"/>
        <v>0</v>
      </c>
      <c r="K30" s="62"/>
      <c r="L30" s="36">
        <v>2</v>
      </c>
      <c r="M30" s="36"/>
      <c r="N30" s="36"/>
      <c r="O30" s="36"/>
      <c r="P30" s="36">
        <v>2</v>
      </c>
      <c r="Q30" s="99"/>
      <c r="R30" s="100">
        <f t="shared" si="7"/>
        <v>4</v>
      </c>
      <c r="S30" s="101">
        <f t="shared" si="7"/>
        <v>0</v>
      </c>
      <c r="T30" s="62"/>
      <c r="U30" s="8">
        <f t="shared" si="5"/>
        <v>96</v>
      </c>
      <c r="V30" s="135">
        <f t="shared" si="6"/>
        <v>4</v>
      </c>
      <c r="W30" s="134">
        <f t="shared" si="8"/>
        <v>72</v>
      </c>
      <c r="X30" s="61"/>
    </row>
    <row r="31" spans="1:60">
      <c r="A31" s="1">
        <f t="shared" si="3"/>
        <v>24</v>
      </c>
      <c r="B31" s="15" t="s">
        <v>43</v>
      </c>
      <c r="C31" s="10">
        <v>12</v>
      </c>
      <c r="D31" s="11"/>
      <c r="E31" s="36"/>
      <c r="F31" s="36"/>
      <c r="G31" s="37"/>
      <c r="H31" s="38"/>
      <c r="I31" s="38">
        <f t="shared" si="4"/>
        <v>12</v>
      </c>
      <c r="J31" s="63">
        <f t="shared" si="4"/>
        <v>0</v>
      </c>
      <c r="K31" s="62"/>
      <c r="L31" s="36"/>
      <c r="M31" s="36"/>
      <c r="N31" s="36"/>
      <c r="O31" s="36"/>
      <c r="P31" s="36"/>
      <c r="Q31" s="99"/>
      <c r="R31" s="100">
        <f t="shared" si="7"/>
        <v>0</v>
      </c>
      <c r="S31" s="101">
        <f t="shared" si="7"/>
        <v>0</v>
      </c>
      <c r="T31" s="62"/>
      <c r="U31" s="8">
        <f t="shared" si="5"/>
        <v>0</v>
      </c>
      <c r="V31" s="135">
        <f t="shared" si="6"/>
        <v>0</v>
      </c>
      <c r="W31" s="134">
        <f t="shared" si="8"/>
        <v>288</v>
      </c>
      <c r="X31" s="61"/>
    </row>
    <row r="32" spans="1:60">
      <c r="A32" s="1">
        <f t="shared" si="3"/>
        <v>25</v>
      </c>
      <c r="B32" s="15" t="s">
        <v>44</v>
      </c>
      <c r="C32" s="10"/>
      <c r="D32" s="11"/>
      <c r="E32" s="36"/>
      <c r="F32" s="36"/>
      <c r="G32" s="37"/>
      <c r="H32" s="38"/>
      <c r="I32" s="38">
        <f t="shared" si="4"/>
        <v>0</v>
      </c>
      <c r="J32" s="63">
        <f t="shared" si="4"/>
        <v>0</v>
      </c>
      <c r="K32" s="62"/>
      <c r="L32" s="36"/>
      <c r="M32" s="36"/>
      <c r="N32" s="36"/>
      <c r="O32" s="36"/>
      <c r="P32" s="36"/>
      <c r="Q32" s="99"/>
      <c r="R32" s="100">
        <f t="shared" si="7"/>
        <v>0</v>
      </c>
      <c r="S32" s="101">
        <f t="shared" si="7"/>
        <v>0</v>
      </c>
      <c r="T32" s="62"/>
      <c r="U32" s="8">
        <f t="shared" si="5"/>
        <v>0</v>
      </c>
      <c r="V32" s="135">
        <f t="shared" si="6"/>
        <v>0</v>
      </c>
      <c r="W32" s="134">
        <f t="shared" si="8"/>
        <v>0</v>
      </c>
      <c r="X32" s="61"/>
    </row>
    <row r="33" spans="1:26">
      <c r="A33" s="1">
        <f t="shared" si="3"/>
        <v>26</v>
      </c>
      <c r="B33" s="15" t="s">
        <v>45</v>
      </c>
      <c r="C33" s="10">
        <v>3</v>
      </c>
      <c r="D33" s="11"/>
      <c r="E33" s="36"/>
      <c r="F33" s="36"/>
      <c r="G33" s="37"/>
      <c r="H33" s="38"/>
      <c r="I33" s="38">
        <f t="shared" si="4"/>
        <v>3</v>
      </c>
      <c r="J33" s="63">
        <f t="shared" si="4"/>
        <v>0</v>
      </c>
      <c r="K33" s="62"/>
      <c r="L33" s="36"/>
      <c r="M33" s="36"/>
      <c r="N33" s="36"/>
      <c r="O33" s="36"/>
      <c r="P33" s="36"/>
      <c r="Q33" s="99"/>
      <c r="R33" s="100">
        <f t="shared" si="7"/>
        <v>0</v>
      </c>
      <c r="S33" s="101">
        <f t="shared" si="7"/>
        <v>0</v>
      </c>
      <c r="T33" s="62"/>
      <c r="U33" s="8">
        <f t="shared" si="5"/>
        <v>0</v>
      </c>
      <c r="V33" s="135">
        <f t="shared" si="6"/>
        <v>0</v>
      </c>
      <c r="W33" s="134">
        <f t="shared" si="8"/>
        <v>72</v>
      </c>
      <c r="X33" s="61"/>
    </row>
    <row r="34" spans="1:26">
      <c r="A34" s="1">
        <f t="shared" si="3"/>
        <v>27</v>
      </c>
      <c r="B34" s="15" t="s">
        <v>46</v>
      </c>
      <c r="C34" s="10">
        <v>4</v>
      </c>
      <c r="D34" s="11"/>
      <c r="E34" s="36"/>
      <c r="F34" s="36"/>
      <c r="G34" s="37"/>
      <c r="H34" s="38"/>
      <c r="I34" s="38">
        <f t="shared" si="4"/>
        <v>4</v>
      </c>
      <c r="J34" s="63">
        <f t="shared" si="4"/>
        <v>0</v>
      </c>
      <c r="K34" s="62"/>
      <c r="L34" s="36"/>
      <c r="M34" s="36"/>
      <c r="N34" s="36"/>
      <c r="O34" s="36"/>
      <c r="P34" s="36"/>
      <c r="Q34" s="99"/>
      <c r="R34" s="100">
        <f t="shared" si="7"/>
        <v>0</v>
      </c>
      <c r="S34" s="101">
        <f t="shared" si="7"/>
        <v>0</v>
      </c>
      <c r="T34" s="62"/>
      <c r="U34" s="8">
        <f t="shared" si="5"/>
        <v>0</v>
      </c>
      <c r="V34" s="135">
        <f t="shared" si="6"/>
        <v>0</v>
      </c>
      <c r="W34" s="134">
        <f t="shared" si="8"/>
        <v>96</v>
      </c>
      <c r="X34" s="61"/>
    </row>
    <row r="35" spans="1:26">
      <c r="A35" s="1">
        <f t="shared" si="3"/>
        <v>28</v>
      </c>
      <c r="B35" s="15" t="s">
        <v>47</v>
      </c>
      <c r="C35" s="10">
        <v>91</v>
      </c>
      <c r="D35" s="11">
        <v>1</v>
      </c>
      <c r="E35" s="36"/>
      <c r="F35" s="36"/>
      <c r="G35" s="37">
        <v>1</v>
      </c>
      <c r="H35" s="38"/>
      <c r="I35" s="38">
        <f t="shared" si="4"/>
        <v>90</v>
      </c>
      <c r="J35" s="63">
        <f t="shared" si="4"/>
        <v>1</v>
      </c>
      <c r="K35" s="62"/>
      <c r="L35" s="36">
        <v>1</v>
      </c>
      <c r="M35" s="36"/>
      <c r="N35" s="36"/>
      <c r="O35" s="36"/>
      <c r="P35" s="36">
        <v>1</v>
      </c>
      <c r="Q35" s="99"/>
      <c r="R35" s="100">
        <f t="shared" si="7"/>
        <v>2</v>
      </c>
      <c r="S35" s="101">
        <f t="shared" si="7"/>
        <v>0</v>
      </c>
      <c r="T35" s="62"/>
      <c r="U35" s="8">
        <f t="shared" si="5"/>
        <v>48</v>
      </c>
      <c r="V35" s="135">
        <f t="shared" si="6"/>
        <v>2</v>
      </c>
      <c r="W35" s="134">
        <f t="shared" si="8"/>
        <v>2161</v>
      </c>
      <c r="X35" s="61"/>
    </row>
    <row r="36" spans="1:26" ht="18.75" hidden="1" customHeight="1">
      <c r="A36" s="1">
        <f t="shared" si="3"/>
        <v>29</v>
      </c>
      <c r="B36" s="15" t="s">
        <v>48</v>
      </c>
      <c r="C36" s="10"/>
      <c r="D36" s="11"/>
      <c r="E36" s="36"/>
      <c r="F36" s="36"/>
      <c r="G36" s="37"/>
      <c r="H36" s="38"/>
      <c r="I36" s="38">
        <f t="shared" si="4"/>
        <v>0</v>
      </c>
      <c r="J36" s="63">
        <f t="shared" si="4"/>
        <v>0</v>
      </c>
      <c r="K36" s="62"/>
      <c r="L36" s="36"/>
      <c r="M36" s="36"/>
      <c r="N36" s="36"/>
      <c r="O36" s="36"/>
      <c r="P36" s="36"/>
      <c r="Q36" s="99"/>
      <c r="R36" s="100">
        <f t="shared" si="7"/>
        <v>0</v>
      </c>
      <c r="S36" s="101">
        <f t="shared" si="7"/>
        <v>0</v>
      </c>
      <c r="T36" s="62"/>
      <c r="U36" s="8">
        <f t="shared" si="5"/>
        <v>0</v>
      </c>
      <c r="V36" s="135">
        <f t="shared" si="6"/>
        <v>0</v>
      </c>
      <c r="W36" s="134">
        <f t="shared" si="8"/>
        <v>0</v>
      </c>
      <c r="X36" s="61"/>
    </row>
    <row r="37" spans="1:26" ht="18.75" customHeight="1">
      <c r="A37" s="1">
        <f t="shared" si="3"/>
        <v>30</v>
      </c>
      <c r="B37" s="15" t="s">
        <v>49</v>
      </c>
      <c r="C37" s="10">
        <v>1</v>
      </c>
      <c r="D37" s="11"/>
      <c r="E37" s="36"/>
      <c r="F37" s="36"/>
      <c r="G37" s="37"/>
      <c r="H37" s="38"/>
      <c r="I37" s="38">
        <f t="shared" si="4"/>
        <v>1</v>
      </c>
      <c r="J37" s="63">
        <f t="shared" si="4"/>
        <v>0</v>
      </c>
      <c r="K37" s="62"/>
      <c r="L37" s="36"/>
      <c r="M37" s="36"/>
      <c r="N37" s="36"/>
      <c r="O37" s="36"/>
      <c r="P37" s="36"/>
      <c r="Q37" s="99"/>
      <c r="R37" s="100">
        <f t="shared" si="7"/>
        <v>0</v>
      </c>
      <c r="S37" s="101">
        <f t="shared" si="7"/>
        <v>0</v>
      </c>
      <c r="T37" s="62"/>
      <c r="U37" s="8">
        <f t="shared" si="5"/>
        <v>0</v>
      </c>
      <c r="V37" s="135">
        <f t="shared" si="6"/>
        <v>0</v>
      </c>
      <c r="W37" s="134">
        <f t="shared" si="8"/>
        <v>24</v>
      </c>
      <c r="X37" s="61"/>
    </row>
    <row r="38" spans="1:26">
      <c r="A38" s="1">
        <f t="shared" si="3"/>
        <v>31</v>
      </c>
      <c r="B38" s="16" t="s">
        <v>50</v>
      </c>
      <c r="C38" s="13">
        <v>6251</v>
      </c>
      <c r="D38" s="14">
        <v>2</v>
      </c>
      <c r="E38" s="39"/>
      <c r="F38" s="39"/>
      <c r="G38" s="40">
        <v>255</v>
      </c>
      <c r="H38" s="41"/>
      <c r="I38" s="53">
        <f t="shared" si="4"/>
        <v>5996</v>
      </c>
      <c r="J38" s="70">
        <f t="shared" si="4"/>
        <v>2</v>
      </c>
      <c r="K38" s="65"/>
      <c r="L38" s="51">
        <v>30</v>
      </c>
      <c r="M38" s="51"/>
      <c r="N38" s="51">
        <v>130</v>
      </c>
      <c r="O38" s="51"/>
      <c r="P38" s="51">
        <v>95</v>
      </c>
      <c r="Q38" s="102"/>
      <c r="R38" s="107">
        <f t="shared" si="7"/>
        <v>255</v>
      </c>
      <c r="S38" s="104">
        <f t="shared" si="7"/>
        <v>0</v>
      </c>
      <c r="T38" s="65"/>
      <c r="U38" s="136">
        <f>L38*6+N38*6+P38*6</f>
        <v>1530</v>
      </c>
      <c r="V38" s="141">
        <f>U38/6</f>
        <v>255</v>
      </c>
      <c r="W38" s="138">
        <f>I38*6+J38</f>
        <v>35978</v>
      </c>
      <c r="X38" s="139"/>
    </row>
    <row r="39" spans="1:26">
      <c r="A39" s="1">
        <f t="shared" si="3"/>
        <v>32</v>
      </c>
      <c r="B39" s="7" t="s">
        <v>51</v>
      </c>
      <c r="C39" s="10">
        <v>1</v>
      </c>
      <c r="D39" s="11"/>
      <c r="E39" s="36"/>
      <c r="F39" s="36"/>
      <c r="G39" s="37"/>
      <c r="H39" s="38"/>
      <c r="I39" s="37">
        <f t="shared" si="4"/>
        <v>1</v>
      </c>
      <c r="J39" s="63">
        <f t="shared" si="4"/>
        <v>0</v>
      </c>
      <c r="K39" s="62"/>
      <c r="L39" s="36"/>
      <c r="M39" s="36"/>
      <c r="N39" s="36"/>
      <c r="O39" s="36"/>
      <c r="P39" s="36"/>
      <c r="Q39" s="99"/>
      <c r="R39" s="108">
        <f t="shared" si="7"/>
        <v>0</v>
      </c>
      <c r="S39" s="106">
        <f t="shared" si="7"/>
        <v>0</v>
      </c>
      <c r="T39" s="62"/>
      <c r="U39" s="8">
        <f t="shared" ref="U39:U41" si="9">L39*24+N39*24+P39*24</f>
        <v>0</v>
      </c>
      <c r="V39" s="33">
        <f t="shared" si="6"/>
        <v>0</v>
      </c>
      <c r="W39" s="134">
        <f t="shared" ref="W39:W41" si="10">I39*24+J39</f>
        <v>24</v>
      </c>
      <c r="X39" s="61"/>
    </row>
    <row r="40" spans="1:26">
      <c r="A40" s="1">
        <f t="shared" si="3"/>
        <v>33</v>
      </c>
      <c r="B40" s="17" t="s">
        <v>52</v>
      </c>
      <c r="C40" s="18">
        <v>1</v>
      </c>
      <c r="D40" s="19"/>
      <c r="E40" s="42"/>
      <c r="F40" s="42"/>
      <c r="G40" s="43"/>
      <c r="H40" s="44"/>
      <c r="I40" s="38">
        <f t="shared" si="4"/>
        <v>1</v>
      </c>
      <c r="J40" s="63">
        <f t="shared" si="4"/>
        <v>0</v>
      </c>
      <c r="K40" s="62"/>
      <c r="L40" s="36"/>
      <c r="M40" s="36"/>
      <c r="N40" s="36"/>
      <c r="O40" s="36"/>
      <c r="P40" s="36"/>
      <c r="Q40" s="99"/>
      <c r="R40" s="100">
        <f t="shared" si="7"/>
        <v>0</v>
      </c>
      <c r="S40" s="101">
        <f t="shared" si="7"/>
        <v>0</v>
      </c>
      <c r="T40" s="62"/>
      <c r="U40" s="142">
        <f t="shared" si="9"/>
        <v>0</v>
      </c>
      <c r="V40" s="135">
        <f t="shared" si="6"/>
        <v>0</v>
      </c>
      <c r="W40" s="143">
        <f t="shared" si="10"/>
        <v>24</v>
      </c>
      <c r="X40" s="144"/>
    </row>
    <row r="41" spans="1:26">
      <c r="A41" s="1">
        <f t="shared" si="3"/>
        <v>34</v>
      </c>
      <c r="B41" s="20" t="s">
        <v>53</v>
      </c>
      <c r="C41" s="21">
        <v>101</v>
      </c>
      <c r="D41" s="22">
        <v>20</v>
      </c>
      <c r="E41" s="45"/>
      <c r="F41" s="45"/>
      <c r="G41" s="46">
        <v>1</v>
      </c>
      <c r="H41" s="47"/>
      <c r="I41" s="71">
        <f t="shared" si="4"/>
        <v>100</v>
      </c>
      <c r="J41" s="72">
        <f t="shared" si="4"/>
        <v>20</v>
      </c>
      <c r="K41" s="73"/>
      <c r="L41" s="74">
        <v>1</v>
      </c>
      <c r="M41" s="74"/>
      <c r="N41" s="74"/>
      <c r="O41" s="74"/>
      <c r="P41" s="74"/>
      <c r="Q41" s="109"/>
      <c r="R41" s="110">
        <f t="shared" si="7"/>
        <v>1</v>
      </c>
      <c r="S41" s="111">
        <f t="shared" si="7"/>
        <v>0</v>
      </c>
      <c r="T41" s="73"/>
      <c r="U41" s="145">
        <f t="shared" si="9"/>
        <v>24</v>
      </c>
      <c r="V41" s="146">
        <f t="shared" si="6"/>
        <v>1</v>
      </c>
      <c r="W41" s="146">
        <f t="shared" si="10"/>
        <v>2420</v>
      </c>
      <c r="X41" s="147"/>
    </row>
    <row r="42" spans="1:26">
      <c r="A42" s="1">
        <f t="shared" si="3"/>
        <v>35</v>
      </c>
      <c r="B42" s="23" t="s">
        <v>54</v>
      </c>
      <c r="C42" s="24">
        <v>644</v>
      </c>
      <c r="D42" s="25"/>
      <c r="E42" s="48"/>
      <c r="F42" s="48"/>
      <c r="G42" s="49">
        <v>19</v>
      </c>
      <c r="H42" s="50"/>
      <c r="I42" s="49">
        <f t="shared" si="4"/>
        <v>625</v>
      </c>
      <c r="J42" s="75">
        <f t="shared" si="4"/>
        <v>0</v>
      </c>
      <c r="K42" s="76"/>
      <c r="L42" s="48">
        <v>10</v>
      </c>
      <c r="M42" s="48"/>
      <c r="N42" s="48"/>
      <c r="O42" s="48"/>
      <c r="P42" s="48">
        <v>9</v>
      </c>
      <c r="Q42" s="112"/>
      <c r="R42" s="113">
        <f t="shared" si="7"/>
        <v>19</v>
      </c>
      <c r="S42" s="114">
        <f t="shared" si="7"/>
        <v>0</v>
      </c>
      <c r="T42" s="76"/>
      <c r="U42" s="148">
        <f>L42*12+N42*12+P42*12</f>
        <v>228</v>
      </c>
      <c r="V42" s="149">
        <f>U42/12</f>
        <v>19</v>
      </c>
      <c r="W42" s="150">
        <f>I42*12+J42</f>
        <v>7500</v>
      </c>
      <c r="X42" s="151"/>
    </row>
    <row r="43" spans="1:26" ht="18.75" hidden="1" customHeight="1">
      <c r="A43" s="1">
        <f t="shared" si="3"/>
        <v>36</v>
      </c>
      <c r="B43" s="7" t="s">
        <v>55</v>
      </c>
      <c r="C43" s="10"/>
      <c r="D43" s="11"/>
      <c r="E43" s="36"/>
      <c r="F43" s="36"/>
      <c r="G43" s="37"/>
      <c r="H43" s="38"/>
      <c r="I43" s="38">
        <f t="shared" si="4"/>
        <v>0</v>
      </c>
      <c r="J43" s="64">
        <f t="shared" si="4"/>
        <v>0</v>
      </c>
      <c r="K43" s="62"/>
      <c r="L43" s="36"/>
      <c r="M43" s="36"/>
      <c r="N43" s="36"/>
      <c r="O43" s="36"/>
      <c r="P43" s="36"/>
      <c r="Q43" s="99"/>
      <c r="R43" s="115">
        <f t="shared" si="7"/>
        <v>0</v>
      </c>
      <c r="S43" s="116">
        <f t="shared" si="7"/>
        <v>0</v>
      </c>
      <c r="T43" s="62"/>
      <c r="U43" s="8"/>
      <c r="V43" s="33"/>
      <c r="W43" s="134"/>
      <c r="X43" s="61"/>
    </row>
    <row r="44" spans="1:26">
      <c r="A44" s="1">
        <f t="shared" si="3"/>
        <v>37</v>
      </c>
      <c r="B44" s="12" t="s">
        <v>56</v>
      </c>
      <c r="C44" s="13">
        <v>28730</v>
      </c>
      <c r="D44" s="14">
        <v>3</v>
      </c>
      <c r="E44" s="39"/>
      <c r="F44" s="39"/>
      <c r="G44" s="40">
        <v>1035</v>
      </c>
      <c r="H44" s="41"/>
      <c r="I44" s="38">
        <f>C44+E44-G44</f>
        <v>27695</v>
      </c>
      <c r="J44" s="77">
        <f t="shared" si="4"/>
        <v>3</v>
      </c>
      <c r="K44" s="65"/>
      <c r="L44" s="51">
        <v>365</v>
      </c>
      <c r="M44" s="51"/>
      <c r="N44" s="51">
        <v>375</v>
      </c>
      <c r="O44" s="51"/>
      <c r="P44" s="51">
        <v>295</v>
      </c>
      <c r="Q44" s="102"/>
      <c r="R44" s="117">
        <f t="shared" si="7"/>
        <v>1035</v>
      </c>
      <c r="S44" s="118">
        <f t="shared" si="7"/>
        <v>0</v>
      </c>
      <c r="T44" s="65"/>
      <c r="U44" s="136">
        <f>L44*6+N44*6+P44*6</f>
        <v>6210</v>
      </c>
      <c r="V44" s="135">
        <f>U44/6</f>
        <v>1035</v>
      </c>
      <c r="W44" s="138">
        <f>I44*6+J44</f>
        <v>166173</v>
      </c>
      <c r="X44" s="139"/>
      <c r="Z44" s="155"/>
    </row>
    <row r="45" spans="1:26" ht="18.75" hidden="1" customHeight="1">
      <c r="A45" s="1">
        <f t="shared" si="3"/>
        <v>38</v>
      </c>
      <c r="B45" s="7" t="s">
        <v>57</v>
      </c>
      <c r="C45" s="10"/>
      <c r="D45" s="11"/>
      <c r="E45" s="36"/>
      <c r="F45" s="36"/>
      <c r="G45" s="37"/>
      <c r="H45" s="38"/>
      <c r="I45" s="44">
        <f t="shared" si="4"/>
        <v>0</v>
      </c>
      <c r="J45" s="63">
        <f t="shared" si="4"/>
        <v>0</v>
      </c>
      <c r="K45" s="62"/>
      <c r="L45" s="36"/>
      <c r="M45" s="36"/>
      <c r="N45" s="36"/>
      <c r="O45" s="36"/>
      <c r="P45" s="36"/>
      <c r="Q45" s="99"/>
      <c r="R45" s="108">
        <f t="shared" si="7"/>
        <v>0</v>
      </c>
      <c r="S45" s="116">
        <f t="shared" si="7"/>
        <v>0</v>
      </c>
      <c r="T45" s="62"/>
      <c r="U45" s="8"/>
      <c r="V45" s="137"/>
      <c r="W45" s="134"/>
      <c r="X45" s="61"/>
    </row>
    <row r="46" spans="1:26">
      <c r="A46" s="1">
        <f t="shared" si="3"/>
        <v>39</v>
      </c>
      <c r="B46" s="15" t="s">
        <v>58</v>
      </c>
      <c r="C46" s="10">
        <v>9</v>
      </c>
      <c r="D46" s="11"/>
      <c r="E46" s="36"/>
      <c r="F46" s="36"/>
      <c r="G46" s="37"/>
      <c r="H46" s="38"/>
      <c r="I46" s="68">
        <f t="shared" si="4"/>
        <v>9</v>
      </c>
      <c r="J46" s="63">
        <f t="shared" si="4"/>
        <v>0</v>
      </c>
      <c r="K46" s="62"/>
      <c r="L46" s="36"/>
      <c r="M46" s="36"/>
      <c r="N46" s="36"/>
      <c r="O46" s="36"/>
      <c r="P46" s="36"/>
      <c r="Q46" s="99"/>
      <c r="R46" s="100">
        <f t="shared" si="7"/>
        <v>0</v>
      </c>
      <c r="S46" s="119">
        <f t="shared" si="7"/>
        <v>0</v>
      </c>
      <c r="T46" s="62"/>
      <c r="U46" s="8">
        <f t="shared" ref="U46:U47" si="11">L46*24+N46*24+P46*24</f>
        <v>0</v>
      </c>
      <c r="V46" s="140">
        <f t="shared" ref="V46:V47" si="12">U46/24</f>
        <v>0</v>
      </c>
      <c r="W46" s="134">
        <f t="shared" ref="W46:W47" si="13">I46*24+J46</f>
        <v>216</v>
      </c>
      <c r="X46" s="61"/>
    </row>
    <row r="47" spans="1:26">
      <c r="A47" s="1">
        <f t="shared" si="3"/>
        <v>40</v>
      </c>
      <c r="B47" s="15" t="s">
        <v>59</v>
      </c>
      <c r="C47" s="10"/>
      <c r="D47" s="11"/>
      <c r="E47" s="36"/>
      <c r="F47" s="36"/>
      <c r="G47" s="37"/>
      <c r="H47" s="38"/>
      <c r="I47" s="38">
        <f t="shared" si="4"/>
        <v>0</v>
      </c>
      <c r="J47" s="63">
        <f t="shared" si="4"/>
        <v>0</v>
      </c>
      <c r="K47" s="62"/>
      <c r="L47" s="36"/>
      <c r="M47" s="36"/>
      <c r="N47" s="36"/>
      <c r="O47" s="36"/>
      <c r="P47" s="36"/>
      <c r="Q47" s="99"/>
      <c r="R47" s="100">
        <f t="shared" si="7"/>
        <v>0</v>
      </c>
      <c r="S47" s="101">
        <f t="shared" si="7"/>
        <v>0</v>
      </c>
      <c r="T47" s="62"/>
      <c r="U47" s="8">
        <f t="shared" si="11"/>
        <v>0</v>
      </c>
      <c r="V47" s="135">
        <f t="shared" si="12"/>
        <v>0</v>
      </c>
      <c r="W47" s="134">
        <f t="shared" si="13"/>
        <v>0</v>
      </c>
      <c r="X47" s="61"/>
    </row>
    <row r="48" spans="1:26">
      <c r="A48" s="1">
        <f t="shared" si="3"/>
        <v>41</v>
      </c>
      <c r="B48" s="12" t="s">
        <v>48</v>
      </c>
      <c r="C48" s="26">
        <v>2829</v>
      </c>
      <c r="D48" s="27">
        <v>4</v>
      </c>
      <c r="E48" s="51"/>
      <c r="F48" s="51"/>
      <c r="G48" s="52"/>
      <c r="H48" s="53"/>
      <c r="I48" s="53">
        <f t="shared" si="4"/>
        <v>2829</v>
      </c>
      <c r="J48" s="70">
        <f t="shared" si="4"/>
        <v>4</v>
      </c>
      <c r="K48" s="65"/>
      <c r="L48" s="51"/>
      <c r="M48" s="51"/>
      <c r="N48" s="51"/>
      <c r="O48" s="51"/>
      <c r="P48" s="51"/>
      <c r="Q48" s="102"/>
      <c r="R48" s="107">
        <f t="shared" si="7"/>
        <v>0</v>
      </c>
      <c r="S48" s="120">
        <f t="shared" si="7"/>
        <v>0</v>
      </c>
      <c r="T48" s="65"/>
      <c r="U48" s="136">
        <f>L48*6+N48*6+P48*6</f>
        <v>0</v>
      </c>
      <c r="V48" s="141">
        <f>U48/6</f>
        <v>0</v>
      </c>
      <c r="W48" s="138">
        <f>I48*6+J48</f>
        <v>16978</v>
      </c>
      <c r="X48" s="139"/>
    </row>
    <row r="49" spans="1:24">
      <c r="A49" s="1">
        <f t="shared" si="3"/>
        <v>42</v>
      </c>
      <c r="B49" s="7" t="s">
        <v>60</v>
      </c>
      <c r="C49" s="10">
        <v>1</v>
      </c>
      <c r="D49" s="11"/>
      <c r="E49" s="36"/>
      <c r="F49" s="36"/>
      <c r="G49" s="37"/>
      <c r="H49" s="38"/>
      <c r="I49" s="38">
        <f t="shared" si="4"/>
        <v>1</v>
      </c>
      <c r="J49" s="63">
        <f t="shared" si="4"/>
        <v>0</v>
      </c>
      <c r="K49" s="62"/>
      <c r="L49" s="36"/>
      <c r="M49" s="36"/>
      <c r="N49" s="36"/>
      <c r="O49" s="36"/>
      <c r="P49" s="36"/>
      <c r="Q49" s="99"/>
      <c r="R49" s="108">
        <f t="shared" si="7"/>
        <v>0</v>
      </c>
      <c r="S49" s="106">
        <f t="shared" si="7"/>
        <v>0</v>
      </c>
      <c r="T49" s="62"/>
      <c r="U49" s="8">
        <f t="shared" ref="U49:U51" si="14">L49*24+N49*24+P49*24</f>
        <v>0</v>
      </c>
      <c r="V49" s="33">
        <f t="shared" ref="V49:V51" si="15">U49/24</f>
        <v>0</v>
      </c>
      <c r="W49" s="134">
        <f t="shared" ref="W49:W51" si="16">I49*24+J49</f>
        <v>24</v>
      </c>
      <c r="X49" s="61"/>
    </row>
    <row r="50" spans="1:24">
      <c r="A50" s="1">
        <f t="shared" si="3"/>
        <v>43</v>
      </c>
      <c r="B50" s="15" t="s">
        <v>61</v>
      </c>
      <c r="C50" s="10">
        <v>2</v>
      </c>
      <c r="D50" s="11"/>
      <c r="E50" s="36"/>
      <c r="F50" s="36"/>
      <c r="G50" s="37"/>
      <c r="H50" s="38"/>
      <c r="I50" s="38">
        <f t="shared" si="4"/>
        <v>2</v>
      </c>
      <c r="J50" s="63">
        <f t="shared" si="4"/>
        <v>0</v>
      </c>
      <c r="K50" s="62"/>
      <c r="L50" s="36"/>
      <c r="M50" s="36"/>
      <c r="N50" s="36"/>
      <c r="O50" s="36"/>
      <c r="P50" s="36"/>
      <c r="Q50" s="99"/>
      <c r="R50" s="100">
        <f t="shared" si="7"/>
        <v>0</v>
      </c>
      <c r="S50" s="101">
        <f t="shared" si="7"/>
        <v>0</v>
      </c>
      <c r="T50" s="62"/>
      <c r="U50" s="8">
        <f t="shared" si="14"/>
        <v>0</v>
      </c>
      <c r="V50" s="135">
        <f t="shared" si="15"/>
        <v>0</v>
      </c>
      <c r="W50" s="134">
        <f t="shared" si="16"/>
        <v>48</v>
      </c>
      <c r="X50" s="61"/>
    </row>
    <row r="51" spans="1:24">
      <c r="A51" s="1">
        <f t="shared" si="3"/>
        <v>44</v>
      </c>
      <c r="B51" s="15" t="s">
        <v>62</v>
      </c>
      <c r="C51" s="10"/>
      <c r="D51" s="11"/>
      <c r="E51" s="36"/>
      <c r="F51" s="36"/>
      <c r="G51" s="37"/>
      <c r="H51" s="38"/>
      <c r="I51" s="38">
        <f t="shared" si="4"/>
        <v>0</v>
      </c>
      <c r="J51" s="63">
        <f t="shared" si="4"/>
        <v>0</v>
      </c>
      <c r="K51" s="62"/>
      <c r="L51" s="36"/>
      <c r="M51" s="36"/>
      <c r="N51" s="36"/>
      <c r="O51" s="36"/>
      <c r="P51" s="36"/>
      <c r="Q51" s="99"/>
      <c r="R51" s="100">
        <f t="shared" si="7"/>
        <v>0</v>
      </c>
      <c r="S51" s="101">
        <f t="shared" si="7"/>
        <v>0</v>
      </c>
      <c r="T51" s="62"/>
      <c r="U51" s="8">
        <f t="shared" si="14"/>
        <v>0</v>
      </c>
      <c r="V51" s="135">
        <f t="shared" si="15"/>
        <v>0</v>
      </c>
      <c r="W51" s="134">
        <f t="shared" si="16"/>
        <v>0</v>
      </c>
      <c r="X51" s="61"/>
    </row>
    <row r="52" spans="1:24">
      <c r="A52" s="1">
        <f t="shared" si="3"/>
        <v>45</v>
      </c>
      <c r="B52" s="12" t="s">
        <v>63</v>
      </c>
      <c r="C52" s="26">
        <v>34</v>
      </c>
      <c r="D52" s="27"/>
      <c r="E52" s="51"/>
      <c r="F52" s="51"/>
      <c r="G52" s="52"/>
      <c r="H52" s="53"/>
      <c r="I52" s="53">
        <f t="shared" si="4"/>
        <v>34</v>
      </c>
      <c r="J52" s="70">
        <f t="shared" si="4"/>
        <v>0</v>
      </c>
      <c r="K52" s="65"/>
      <c r="L52" s="51"/>
      <c r="M52" s="51"/>
      <c r="N52" s="51"/>
      <c r="O52" s="51"/>
      <c r="P52" s="51"/>
      <c r="Q52" s="102"/>
      <c r="R52" s="107">
        <f t="shared" si="7"/>
        <v>0</v>
      </c>
      <c r="S52" s="120">
        <f t="shared" si="7"/>
        <v>0</v>
      </c>
      <c r="T52" s="65"/>
      <c r="U52" s="136">
        <f>L52*6+N52*6+P52*6</f>
        <v>0</v>
      </c>
      <c r="V52" s="141">
        <f>U52/6</f>
        <v>0</v>
      </c>
      <c r="W52" s="138">
        <f>I52*6+J52</f>
        <v>204</v>
      </c>
      <c r="X52" s="139"/>
    </row>
    <row r="53" spans="1:24">
      <c r="A53" s="1">
        <f t="shared" si="3"/>
        <v>46</v>
      </c>
      <c r="B53" s="7" t="s">
        <v>64</v>
      </c>
      <c r="C53" s="10">
        <v>2</v>
      </c>
      <c r="D53" s="11"/>
      <c r="E53" s="36"/>
      <c r="F53" s="36"/>
      <c r="G53" s="37"/>
      <c r="H53" s="38"/>
      <c r="I53" s="38">
        <f t="shared" si="4"/>
        <v>2</v>
      </c>
      <c r="J53" s="63">
        <f t="shared" si="4"/>
        <v>0</v>
      </c>
      <c r="K53" s="62"/>
      <c r="L53" s="36"/>
      <c r="M53" s="36"/>
      <c r="N53" s="36"/>
      <c r="O53" s="36"/>
      <c r="P53" s="36"/>
      <c r="Q53" s="99"/>
      <c r="R53" s="108">
        <f t="shared" si="7"/>
        <v>0</v>
      </c>
      <c r="S53" s="106">
        <f t="shared" si="7"/>
        <v>0</v>
      </c>
      <c r="T53" s="62"/>
      <c r="U53" s="8">
        <f t="shared" ref="U53:U54" si="17">L53*24+N53*24+P53*24</f>
        <v>0</v>
      </c>
      <c r="V53" s="33">
        <f t="shared" ref="V53:V54" si="18">U53/24</f>
        <v>0</v>
      </c>
      <c r="W53" s="134">
        <f t="shared" ref="W53:W54" si="19">I53*24+J53</f>
        <v>48</v>
      </c>
      <c r="X53" s="61"/>
    </row>
    <row r="54" spans="1:24">
      <c r="A54" s="1">
        <f t="shared" si="3"/>
        <v>47</v>
      </c>
      <c r="B54" s="15" t="s">
        <v>65</v>
      </c>
      <c r="C54" s="10">
        <v>11</v>
      </c>
      <c r="D54" s="11"/>
      <c r="E54" s="36"/>
      <c r="F54" s="36"/>
      <c r="G54" s="37"/>
      <c r="H54" s="38"/>
      <c r="I54" s="38">
        <f t="shared" si="4"/>
        <v>11</v>
      </c>
      <c r="J54" s="63">
        <f t="shared" si="4"/>
        <v>0</v>
      </c>
      <c r="K54" s="62"/>
      <c r="L54" s="36"/>
      <c r="M54" s="36"/>
      <c r="N54" s="36"/>
      <c r="O54" s="36"/>
      <c r="P54" s="36"/>
      <c r="Q54" s="99"/>
      <c r="R54" s="100">
        <f t="shared" si="7"/>
        <v>0</v>
      </c>
      <c r="S54" s="101">
        <f t="shared" si="7"/>
        <v>0</v>
      </c>
      <c r="T54" s="62"/>
      <c r="U54" s="8">
        <f t="shared" si="17"/>
        <v>0</v>
      </c>
      <c r="V54" s="135">
        <f t="shared" si="18"/>
        <v>0</v>
      </c>
      <c r="W54" s="134">
        <f t="shared" si="19"/>
        <v>264</v>
      </c>
      <c r="X54" s="61"/>
    </row>
    <row r="55" spans="1:24">
      <c r="A55" s="1">
        <f t="shared" si="3"/>
        <v>48</v>
      </c>
      <c r="B55" s="15"/>
      <c r="C55" s="10"/>
      <c r="D55" s="11"/>
      <c r="E55" s="36"/>
      <c r="F55" s="36"/>
      <c r="G55" s="37"/>
      <c r="H55" s="38"/>
      <c r="I55" s="38">
        <f t="shared" si="4"/>
        <v>0</v>
      </c>
      <c r="J55" s="63">
        <f t="shared" si="4"/>
        <v>0</v>
      </c>
      <c r="K55" s="62"/>
      <c r="L55" s="36"/>
      <c r="M55" s="36"/>
      <c r="N55" s="36"/>
      <c r="O55" s="36"/>
      <c r="P55" s="36"/>
      <c r="Q55" s="99"/>
      <c r="R55" s="100">
        <f t="shared" si="7"/>
        <v>0</v>
      </c>
      <c r="S55" s="101">
        <f t="shared" si="7"/>
        <v>0</v>
      </c>
      <c r="T55" s="62"/>
      <c r="U55" s="8"/>
      <c r="V55" s="135"/>
      <c r="W55" s="134"/>
      <c r="X55" s="61"/>
    </row>
    <row r="56" spans="1:24">
      <c r="A56" s="1">
        <f t="shared" si="3"/>
        <v>49</v>
      </c>
      <c r="B56" s="15"/>
      <c r="C56" s="10"/>
      <c r="D56" s="11"/>
      <c r="E56" s="36"/>
      <c r="F56" s="36"/>
      <c r="G56" s="37"/>
      <c r="H56" s="38"/>
      <c r="I56" s="38">
        <f t="shared" si="4"/>
        <v>0</v>
      </c>
      <c r="J56" s="63">
        <f t="shared" si="4"/>
        <v>0</v>
      </c>
      <c r="K56" s="62"/>
      <c r="L56" s="36"/>
      <c r="M56" s="36"/>
      <c r="N56" s="36"/>
      <c r="O56" s="36"/>
      <c r="P56" s="36"/>
      <c r="Q56" s="99"/>
      <c r="R56" s="100">
        <f t="shared" si="7"/>
        <v>0</v>
      </c>
      <c r="S56" s="101">
        <f t="shared" si="7"/>
        <v>0</v>
      </c>
      <c r="T56" s="62"/>
      <c r="U56" s="8"/>
      <c r="V56" s="135"/>
      <c r="W56" s="134"/>
      <c r="X56" s="61"/>
    </row>
    <row r="57" spans="1:24">
      <c r="A57" s="1">
        <f t="shared" si="3"/>
        <v>50</v>
      </c>
      <c r="B57" s="15"/>
      <c r="C57" s="10"/>
      <c r="D57" s="11"/>
      <c r="E57" s="36"/>
      <c r="F57" s="36"/>
      <c r="G57" s="37"/>
      <c r="H57" s="38"/>
      <c r="I57" s="38">
        <f t="shared" si="4"/>
        <v>0</v>
      </c>
      <c r="J57" s="63">
        <f t="shared" si="4"/>
        <v>0</v>
      </c>
      <c r="K57" s="62"/>
      <c r="L57" s="36"/>
      <c r="M57" s="36"/>
      <c r="N57" s="36"/>
      <c r="O57" s="36"/>
      <c r="P57" s="36"/>
      <c r="Q57" s="99"/>
      <c r="R57" s="100">
        <f t="shared" si="7"/>
        <v>0</v>
      </c>
      <c r="S57" s="101">
        <f t="shared" si="7"/>
        <v>0</v>
      </c>
      <c r="T57" s="62"/>
      <c r="U57" s="8"/>
      <c r="V57" s="135"/>
      <c r="W57" s="134"/>
      <c r="X57" s="61"/>
    </row>
    <row r="58" spans="1:24">
      <c r="A58" s="1">
        <f t="shared" si="3"/>
        <v>51</v>
      </c>
      <c r="B58" s="15"/>
      <c r="C58" s="10"/>
      <c r="D58" s="11"/>
      <c r="E58" s="36"/>
      <c r="F58" s="36"/>
      <c r="G58" s="37"/>
      <c r="H58" s="38"/>
      <c r="I58" s="38">
        <f t="shared" si="4"/>
        <v>0</v>
      </c>
      <c r="J58" s="63">
        <f t="shared" si="4"/>
        <v>0</v>
      </c>
      <c r="K58" s="62"/>
      <c r="L58" s="36"/>
      <c r="M58" s="36"/>
      <c r="N58" s="36"/>
      <c r="O58" s="36"/>
      <c r="P58" s="36"/>
      <c r="Q58" s="99"/>
      <c r="R58" s="100">
        <f t="shared" si="7"/>
        <v>0</v>
      </c>
      <c r="S58" s="101">
        <f t="shared" si="7"/>
        <v>0</v>
      </c>
      <c r="T58" s="62"/>
      <c r="U58" s="8"/>
      <c r="V58" s="135"/>
      <c r="W58" s="134"/>
      <c r="X58" s="61"/>
    </row>
    <row r="59" spans="1:24">
      <c r="A59" s="1">
        <f t="shared" si="3"/>
        <v>52</v>
      </c>
      <c r="B59" s="15"/>
      <c r="C59" s="10"/>
      <c r="D59" s="11"/>
      <c r="E59" s="36"/>
      <c r="F59" s="36"/>
      <c r="G59" s="37"/>
      <c r="H59" s="38"/>
      <c r="I59" s="38">
        <f t="shared" si="4"/>
        <v>0</v>
      </c>
      <c r="J59" s="63">
        <f t="shared" si="4"/>
        <v>0</v>
      </c>
      <c r="K59" s="62"/>
      <c r="L59" s="36"/>
      <c r="M59" s="36"/>
      <c r="N59" s="36"/>
      <c r="O59" s="36"/>
      <c r="P59" s="36"/>
      <c r="Q59" s="99"/>
      <c r="R59" s="100">
        <f t="shared" si="7"/>
        <v>0</v>
      </c>
      <c r="S59" s="101">
        <f t="shared" si="7"/>
        <v>0</v>
      </c>
      <c r="T59" s="62"/>
      <c r="U59" s="8"/>
      <c r="V59" s="135"/>
      <c r="W59" s="134"/>
      <c r="X59" s="61"/>
    </row>
    <row r="60" spans="1:24" s="2" customFormat="1">
      <c r="B60" s="28" t="s">
        <v>15</v>
      </c>
      <c r="C60" s="29">
        <f>SUM(C8:C59)</f>
        <v>42444</v>
      </c>
      <c r="D60" s="30">
        <f>SUM(D8:D59)</f>
        <v>147</v>
      </c>
      <c r="E60" s="54">
        <f>SUM(E8:E59)</f>
        <v>0</v>
      </c>
      <c r="F60" s="54"/>
      <c r="G60" s="55">
        <f>SUM(G8:G59)</f>
        <v>1338</v>
      </c>
      <c r="H60" s="56">
        <f>SUM(H8:H59)</f>
        <v>41</v>
      </c>
      <c r="I60" s="56">
        <f>SUM(I8:I59)</f>
        <v>41106</v>
      </c>
      <c r="J60" s="78">
        <f>SUM(J8:J59)</f>
        <v>106</v>
      </c>
      <c r="L60" s="79">
        <f t="shared" ref="L60:S60" si="20">SUM(L8:L59)</f>
        <v>410</v>
      </c>
      <c r="M60" s="79">
        <f t="shared" si="20"/>
        <v>32</v>
      </c>
      <c r="N60" s="79">
        <f t="shared" si="20"/>
        <v>520</v>
      </c>
      <c r="O60" s="79">
        <f t="shared" si="20"/>
        <v>7</v>
      </c>
      <c r="P60" s="79">
        <f t="shared" si="20"/>
        <v>409</v>
      </c>
      <c r="Q60" s="121">
        <f t="shared" si="20"/>
        <v>2</v>
      </c>
      <c r="R60" s="122">
        <f t="shared" si="20"/>
        <v>1339</v>
      </c>
      <c r="S60" s="123">
        <f t="shared" si="20"/>
        <v>41</v>
      </c>
      <c r="U60" s="29">
        <f>SUM(U8:U59)</f>
        <v>8688</v>
      </c>
      <c r="V60" s="152">
        <f>SUM(V8:V59)</f>
        <v>1339</v>
      </c>
      <c r="W60" s="179">
        <f>SUM(W8:W59)</f>
        <v>321178</v>
      </c>
      <c r="X60" s="78"/>
    </row>
    <row r="61" spans="1:24">
      <c r="V61" s="154"/>
    </row>
    <row r="62" spans="1:24" ht="18.75" customHeight="1">
      <c r="G62" s="197" t="s">
        <v>66</v>
      </c>
      <c r="H62" s="57"/>
      <c r="I62" s="57"/>
      <c r="J62" s="80" t="s">
        <v>67</v>
      </c>
      <c r="L62" s="81"/>
      <c r="M62" s="87"/>
      <c r="N62" s="88"/>
      <c r="O62" s="88"/>
      <c r="P62" s="88"/>
      <c r="Q62" s="124"/>
      <c r="R62" s="124"/>
      <c r="S62" s="125"/>
    </row>
    <row r="63" spans="1:24">
      <c r="G63" s="198"/>
      <c r="H63" s="58"/>
      <c r="I63" s="58"/>
      <c r="J63" s="82" t="s">
        <v>68</v>
      </c>
      <c r="L63" s="83"/>
      <c r="M63" s="89"/>
      <c r="N63" s="90"/>
      <c r="O63" s="90"/>
      <c r="P63" s="90"/>
      <c r="Q63" s="126"/>
      <c r="R63" s="126"/>
      <c r="S63" s="127"/>
    </row>
    <row r="64" spans="1:24">
      <c r="G64" s="199"/>
      <c r="H64" s="59"/>
      <c r="I64" s="59"/>
      <c r="J64" s="82" t="s">
        <v>69</v>
      </c>
      <c r="L64" s="84"/>
      <c r="M64" s="91"/>
      <c r="N64" s="92"/>
      <c r="O64" s="92"/>
      <c r="P64" s="92"/>
      <c r="Q64" s="128"/>
      <c r="R64" s="128"/>
      <c r="S64" s="129"/>
    </row>
    <row r="65" spans="2:24">
      <c r="G65" s="200" t="s">
        <v>70</v>
      </c>
      <c r="H65" s="164"/>
      <c r="I65" s="164"/>
      <c r="J65" s="82" t="s">
        <v>67</v>
      </c>
      <c r="L65" s="84"/>
      <c r="M65" s="91"/>
      <c r="N65" s="92"/>
      <c r="O65" s="92"/>
      <c r="P65" s="92"/>
      <c r="Q65" s="128"/>
      <c r="R65" s="128"/>
      <c r="S65" s="129"/>
    </row>
    <row r="66" spans="2:24">
      <c r="G66" s="200"/>
      <c r="H66" s="164"/>
      <c r="I66" s="164"/>
      <c r="J66" s="82" t="s">
        <v>68</v>
      </c>
      <c r="L66" s="83"/>
      <c r="M66" s="89"/>
      <c r="N66" s="90"/>
      <c r="O66" s="90"/>
      <c r="P66" s="90"/>
      <c r="Q66" s="126"/>
      <c r="R66" s="126"/>
      <c r="S66" s="127"/>
    </row>
    <row r="67" spans="2:24">
      <c r="G67" s="201"/>
      <c r="H67" s="165"/>
      <c r="I67" s="165"/>
      <c r="J67" s="167" t="s">
        <v>69</v>
      </c>
      <c r="L67" s="168"/>
      <c r="M67" s="170"/>
      <c r="N67" s="171"/>
      <c r="O67" s="171"/>
      <c r="P67" s="171"/>
      <c r="Q67" s="174"/>
      <c r="R67" s="174"/>
      <c r="S67" s="175"/>
    </row>
    <row r="69" spans="2:24" ht="49.5" customHeight="1">
      <c r="B69" s="159" t="s">
        <v>71</v>
      </c>
      <c r="C69" s="5" t="s">
        <v>4</v>
      </c>
      <c r="D69" s="6"/>
      <c r="E69" s="166" t="s">
        <v>72</v>
      </c>
      <c r="L69" s="169" t="s">
        <v>12</v>
      </c>
      <c r="M69" s="172"/>
      <c r="N69" s="173" t="s">
        <v>13</v>
      </c>
      <c r="O69" s="173"/>
      <c r="P69" s="173" t="s">
        <v>14</v>
      </c>
      <c r="Q69" s="176"/>
      <c r="R69" s="176"/>
      <c r="S69" s="177" t="s">
        <v>73</v>
      </c>
      <c r="X69" s="178" t="s">
        <v>74</v>
      </c>
    </row>
    <row r="70" spans="2:24">
      <c r="B70" s="160" t="s">
        <v>47</v>
      </c>
      <c r="C70" s="161"/>
      <c r="D70" s="161"/>
      <c r="E70" s="163"/>
      <c r="L70" s="161"/>
      <c r="M70" s="161"/>
      <c r="N70" s="161"/>
      <c r="O70" s="161"/>
      <c r="P70" s="161"/>
      <c r="Q70" s="161"/>
      <c r="R70" s="161"/>
      <c r="S70" s="161"/>
      <c r="X70" s="163"/>
    </row>
    <row r="71" spans="2:24">
      <c r="B71" s="162" t="s">
        <v>75</v>
      </c>
      <c r="C71" s="161"/>
      <c r="D71" s="161"/>
      <c r="E71" s="163"/>
      <c r="L71" s="163"/>
      <c r="M71" s="163"/>
      <c r="N71" s="163"/>
      <c r="O71" s="163"/>
      <c r="P71" s="163"/>
      <c r="Q71" s="163"/>
      <c r="R71" s="163"/>
      <c r="S71" s="163"/>
      <c r="X71" s="163"/>
    </row>
    <row r="72" spans="2:24">
      <c r="B72" s="162" t="s">
        <v>76</v>
      </c>
      <c r="C72" s="161"/>
      <c r="D72" s="161"/>
      <c r="E72" s="163"/>
      <c r="L72" s="163"/>
      <c r="M72" s="163"/>
      <c r="N72" s="163"/>
      <c r="O72" s="163"/>
      <c r="P72" s="163"/>
      <c r="Q72" s="163"/>
      <c r="R72" s="163"/>
      <c r="S72" s="163"/>
      <c r="X72" s="163"/>
    </row>
    <row r="73" spans="2:24" ht="11.25" customHeight="1"/>
    <row r="74" spans="2:24">
      <c r="B74" s="162" t="s">
        <v>77</v>
      </c>
      <c r="C74" s="163"/>
      <c r="D74" s="163"/>
      <c r="E74" s="163"/>
      <c r="L74" s="163"/>
      <c r="M74" s="163"/>
      <c r="N74" s="163"/>
      <c r="O74" s="163"/>
      <c r="P74" s="163"/>
      <c r="Q74" s="163"/>
      <c r="R74" s="163"/>
      <c r="S74" s="163"/>
      <c r="X74" s="163"/>
    </row>
    <row r="75" spans="2:24">
      <c r="B75" s="162" t="s">
        <v>75</v>
      </c>
      <c r="C75" s="163"/>
      <c r="D75" s="163"/>
      <c r="E75" s="163"/>
      <c r="L75" s="163"/>
      <c r="M75" s="163"/>
      <c r="N75" s="163"/>
      <c r="O75" s="163"/>
      <c r="P75" s="163"/>
      <c r="Q75" s="163"/>
      <c r="R75" s="163"/>
      <c r="S75" s="163"/>
      <c r="X75" s="163"/>
    </row>
    <row r="76" spans="2:24">
      <c r="B76" s="162" t="s">
        <v>76</v>
      </c>
      <c r="C76" s="163"/>
      <c r="D76" s="163"/>
      <c r="E76" s="163"/>
      <c r="L76" s="163"/>
      <c r="M76" s="163"/>
      <c r="N76" s="163"/>
      <c r="O76" s="163"/>
      <c r="P76" s="163"/>
      <c r="Q76" s="163"/>
      <c r="R76" s="163"/>
      <c r="S76" s="163"/>
      <c r="X76" s="163"/>
    </row>
    <row r="77" spans="2:24" ht="11.25" customHeight="1"/>
    <row r="78" spans="2:24">
      <c r="B78" s="162" t="s">
        <v>78</v>
      </c>
      <c r="C78" s="163"/>
      <c r="D78" s="163"/>
      <c r="E78" s="163"/>
      <c r="L78" s="163"/>
      <c r="M78" s="163"/>
      <c r="N78" s="163"/>
      <c r="O78" s="163"/>
      <c r="P78" s="163"/>
      <c r="Q78" s="163"/>
      <c r="R78" s="163"/>
      <c r="S78" s="163"/>
      <c r="X78" s="163"/>
    </row>
    <row r="79" spans="2:24">
      <c r="B79" s="162" t="s">
        <v>75</v>
      </c>
      <c r="C79" s="163"/>
      <c r="D79" s="163"/>
      <c r="E79" s="163"/>
      <c r="L79" s="163"/>
      <c r="M79" s="163"/>
      <c r="N79" s="163"/>
      <c r="O79" s="163"/>
      <c r="P79" s="163"/>
      <c r="Q79" s="163"/>
      <c r="R79" s="163"/>
      <c r="S79" s="163"/>
      <c r="X79" s="163"/>
    </row>
    <row r="80" spans="2:24">
      <c r="B80" s="162" t="s">
        <v>76</v>
      </c>
      <c r="C80" s="163"/>
      <c r="D80" s="163"/>
      <c r="E80" s="163"/>
      <c r="L80" s="163"/>
      <c r="M80" s="163"/>
      <c r="N80" s="163"/>
      <c r="O80" s="163"/>
      <c r="P80" s="163"/>
      <c r="Q80" s="163"/>
      <c r="R80" s="163"/>
      <c r="S80" s="163"/>
      <c r="X80" s="163"/>
    </row>
    <row r="81" spans="2:24" ht="11.25" customHeight="1"/>
    <row r="82" spans="2:24">
      <c r="B82" s="162" t="s">
        <v>79</v>
      </c>
      <c r="C82" s="163"/>
      <c r="D82" s="163"/>
      <c r="E82" s="163"/>
      <c r="L82" s="163"/>
      <c r="M82" s="163"/>
      <c r="N82" s="163"/>
      <c r="O82" s="163"/>
      <c r="P82" s="163"/>
      <c r="Q82" s="163"/>
      <c r="R82" s="163"/>
      <c r="S82" s="163"/>
      <c r="X82" s="163"/>
    </row>
    <row r="83" spans="2:24">
      <c r="B83" s="162" t="s">
        <v>75</v>
      </c>
      <c r="C83" s="163"/>
      <c r="D83" s="163"/>
      <c r="E83" s="163"/>
      <c r="L83" s="163"/>
      <c r="M83" s="163"/>
      <c r="N83" s="163"/>
      <c r="O83" s="163"/>
      <c r="P83" s="163"/>
      <c r="Q83" s="163"/>
      <c r="R83" s="163"/>
      <c r="S83" s="163"/>
      <c r="X83" s="163"/>
    </row>
    <row r="84" spans="2:24">
      <c r="B84" s="162" t="s">
        <v>76</v>
      </c>
      <c r="C84" s="161"/>
      <c r="D84" s="161"/>
      <c r="E84" s="163"/>
      <c r="L84" s="163"/>
      <c r="M84" s="163"/>
      <c r="N84" s="163"/>
      <c r="O84" s="163"/>
      <c r="P84" s="163"/>
      <c r="Q84" s="163"/>
      <c r="R84" s="163"/>
      <c r="S84" s="163"/>
      <c r="X84" s="163"/>
    </row>
    <row r="85" spans="2:24" ht="11.25" customHeight="1"/>
    <row r="86" spans="2:24">
      <c r="B86" s="162" t="s">
        <v>80</v>
      </c>
      <c r="C86" s="163"/>
      <c r="D86" s="163"/>
      <c r="E86" s="163"/>
      <c r="L86" s="163"/>
      <c r="M86" s="163"/>
      <c r="N86" s="163"/>
      <c r="O86" s="163"/>
      <c r="P86" s="163"/>
      <c r="Q86" s="163"/>
      <c r="R86" s="163"/>
      <c r="S86" s="163"/>
      <c r="X86" s="163"/>
    </row>
    <row r="87" spans="2:24">
      <c r="B87" s="162" t="s">
        <v>75</v>
      </c>
      <c r="C87" s="163"/>
      <c r="D87" s="163"/>
      <c r="E87" s="163"/>
      <c r="L87" s="163"/>
      <c r="M87" s="163"/>
      <c r="N87" s="163"/>
      <c r="O87" s="163"/>
      <c r="P87" s="163"/>
      <c r="Q87" s="163"/>
      <c r="R87" s="163"/>
      <c r="S87" s="163"/>
      <c r="X87" s="163"/>
    </row>
    <row r="88" spans="2:24">
      <c r="B88" s="162" t="s">
        <v>76</v>
      </c>
      <c r="C88" s="163"/>
      <c r="D88" s="163"/>
      <c r="E88" s="163"/>
      <c r="L88" s="163"/>
      <c r="M88" s="163"/>
      <c r="N88" s="163"/>
      <c r="O88" s="163"/>
      <c r="P88" s="163"/>
      <c r="Q88" s="163"/>
      <c r="R88" s="163"/>
      <c r="S88" s="163"/>
      <c r="X88" s="163"/>
    </row>
    <row r="90" spans="2:24">
      <c r="B90" s="162" t="s">
        <v>81</v>
      </c>
      <c r="C90" s="163"/>
      <c r="D90" s="163"/>
      <c r="E90" s="163"/>
      <c r="L90" s="163"/>
      <c r="M90" s="163"/>
      <c r="N90" s="163"/>
      <c r="O90" s="163"/>
      <c r="P90" s="163"/>
      <c r="Q90" s="163"/>
      <c r="R90" s="163"/>
      <c r="S90" s="163"/>
      <c r="X90" s="163"/>
    </row>
  </sheetData>
  <mergeCells count="12">
    <mergeCell ref="G62:G64"/>
    <mergeCell ref="G65:G67"/>
    <mergeCell ref="H4:H5"/>
    <mergeCell ref="I4:I5"/>
    <mergeCell ref="J4:J5"/>
    <mergeCell ref="P1:X1"/>
    <mergeCell ref="E4:F4"/>
    <mergeCell ref="L4:X4"/>
    <mergeCell ref="B4:B5"/>
    <mergeCell ref="C4:C5"/>
    <mergeCell ref="D4:D5"/>
    <mergeCell ref="G4:G5"/>
  </mergeCells>
  <printOptions horizontalCentered="1" verticalCentered="1"/>
  <pageMargins left="0.196850393700787" right="0.196850393700787" top="0.196850393700787" bottom="0.196850393700787" header="0.511811023622047" footer="0.511811023622047"/>
  <pageSetup paperSize="9" scale="51" orientation="portrait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BH90"/>
  <sheetViews>
    <sheetView topLeftCell="C1" zoomScaleNormal="100" zoomScaleSheetLayoutView="85" zoomScalePageLayoutView="80" workbookViewId="0">
      <selection activeCell="P1" sqref="P1:X1"/>
    </sheetView>
  </sheetViews>
  <sheetFormatPr defaultColWidth="9.140625" defaultRowHeight="18.75"/>
  <cols>
    <col min="1" max="1" width="5.42578125" style="3" customWidth="1"/>
    <col min="2" max="2" width="12.28515625" style="3" customWidth="1"/>
    <col min="3" max="3" width="12.7109375" style="3" customWidth="1"/>
    <col min="4" max="4" width="8.5703125" style="3" bestFit="1" customWidth="1"/>
    <col min="5" max="5" width="12.140625" style="3" customWidth="1"/>
    <col min="6" max="6" width="9.85546875" style="3" customWidth="1"/>
    <col min="7" max="7" width="11" style="3" customWidth="1"/>
    <col min="8" max="8" width="8" style="3" customWidth="1"/>
    <col min="9" max="9" width="14.7109375" style="3" customWidth="1"/>
    <col min="10" max="10" width="8.28515625" style="3" customWidth="1"/>
    <col min="11" max="11" width="1.28515625" style="3" customWidth="1"/>
    <col min="12" max="12" width="11" style="3" customWidth="1"/>
    <col min="13" max="13" width="7.85546875" style="3" customWidth="1"/>
    <col min="14" max="14" width="11" style="3" customWidth="1"/>
    <col min="15" max="15" width="6.5703125" style="3" customWidth="1"/>
    <col min="16" max="16" width="11" style="3" customWidth="1"/>
    <col min="17" max="17" width="6.5703125" style="3" customWidth="1"/>
    <col min="18" max="18" width="9.5703125" style="3" customWidth="1"/>
    <col min="19" max="19" width="8.140625" style="3" customWidth="1"/>
    <col min="20" max="20" width="1.28515625" style="3" customWidth="1"/>
    <col min="21" max="21" width="12.7109375" style="3" customWidth="1"/>
    <col min="22" max="22" width="12.7109375" style="3" hidden="1" customWidth="1"/>
    <col min="23" max="23" width="14.5703125" style="3" customWidth="1"/>
    <col min="24" max="24" width="11.5703125" style="3" customWidth="1"/>
    <col min="25" max="25" width="2" style="3" customWidth="1"/>
    <col min="26" max="26" width="10.5703125" style="3" customWidth="1"/>
    <col min="27" max="55" width="7.28515625" style="3" customWidth="1"/>
    <col min="56" max="56" width="1.5703125" style="3" customWidth="1"/>
    <col min="57" max="57" width="9.42578125" style="3" customWidth="1"/>
    <col min="58" max="58" width="1.28515625" style="3" customWidth="1"/>
    <col min="59" max="59" width="12.7109375" style="3" customWidth="1"/>
    <col min="60" max="60" width="10.28515625" style="3" customWidth="1"/>
    <col min="61" max="16384" width="9.140625" style="3"/>
  </cols>
  <sheetData>
    <row r="1" spans="1:60">
      <c r="B1" s="2" t="s">
        <v>0</v>
      </c>
      <c r="N1" s="3" t="s">
        <v>1</v>
      </c>
      <c r="P1" s="183">
        <v>46154</v>
      </c>
      <c r="Q1" s="184"/>
      <c r="R1" s="184"/>
      <c r="S1" s="184"/>
      <c r="T1" s="184"/>
      <c r="U1" s="184"/>
      <c r="V1" s="184"/>
      <c r="W1" s="184"/>
      <c r="X1" s="185"/>
    </row>
    <row r="2" spans="1:60" ht="15" customHeight="1">
      <c r="B2" s="2" t="s">
        <v>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4" spans="1:60" ht="19.5" customHeight="1">
      <c r="A4" s="4"/>
      <c r="B4" s="192" t="s">
        <v>3</v>
      </c>
      <c r="C4" s="193" t="s">
        <v>4</v>
      </c>
      <c r="D4" s="194" t="s">
        <v>5</v>
      </c>
      <c r="E4" s="186" t="s">
        <v>6</v>
      </c>
      <c r="F4" s="187"/>
      <c r="G4" s="195" t="s">
        <v>7</v>
      </c>
      <c r="H4" s="202" t="s">
        <v>5</v>
      </c>
      <c r="I4" s="204" t="s">
        <v>8</v>
      </c>
      <c r="J4" s="202" t="s">
        <v>5</v>
      </c>
      <c r="L4" s="188" t="s">
        <v>9</v>
      </c>
      <c r="M4" s="189"/>
      <c r="N4" s="189"/>
      <c r="O4" s="189"/>
      <c r="P4" s="189"/>
      <c r="Q4" s="189"/>
      <c r="R4" s="189"/>
      <c r="S4" s="189"/>
      <c r="T4" s="189"/>
      <c r="U4" s="189"/>
      <c r="V4" s="190"/>
      <c r="W4" s="189"/>
      <c r="X4" s="191"/>
    </row>
    <row r="5" spans="1:60" s="1" customFormat="1" ht="56.25">
      <c r="A5" s="4"/>
      <c r="B5" s="192"/>
      <c r="C5" s="193"/>
      <c r="D5" s="194"/>
      <c r="E5" s="31" t="s">
        <v>10</v>
      </c>
      <c r="F5" s="32" t="s">
        <v>11</v>
      </c>
      <c r="G5" s="196"/>
      <c r="H5" s="203"/>
      <c r="I5" s="205"/>
      <c r="J5" s="203"/>
      <c r="L5" s="60" t="s">
        <v>12</v>
      </c>
      <c r="M5" s="85" t="s">
        <v>5</v>
      </c>
      <c r="N5" s="86" t="s">
        <v>13</v>
      </c>
      <c r="O5" s="85" t="s">
        <v>5</v>
      </c>
      <c r="P5" s="86" t="s">
        <v>14</v>
      </c>
      <c r="Q5" s="85" t="s">
        <v>5</v>
      </c>
      <c r="R5" s="93" t="s">
        <v>15</v>
      </c>
      <c r="S5" s="94" t="s">
        <v>5</v>
      </c>
      <c r="T5" s="95"/>
      <c r="U5" s="130" t="s">
        <v>16</v>
      </c>
      <c r="V5" s="131" t="s">
        <v>17</v>
      </c>
      <c r="W5" s="132" t="s">
        <v>18</v>
      </c>
      <c r="X5" s="133" t="s">
        <v>19</v>
      </c>
      <c r="AL5" s="156"/>
      <c r="AM5" s="156"/>
      <c r="AN5" s="156"/>
      <c r="AO5" s="156"/>
      <c r="AP5" s="156"/>
      <c r="AQ5" s="156"/>
      <c r="AR5" s="156"/>
      <c r="AS5" s="156"/>
      <c r="AT5" s="156"/>
      <c r="AU5" s="156"/>
      <c r="AV5" s="156"/>
      <c r="AW5" s="156"/>
      <c r="AX5" s="156"/>
      <c r="AY5" s="156"/>
      <c r="AZ5" s="156"/>
      <c r="BA5" s="156"/>
      <c r="BB5" s="156"/>
      <c r="BC5" s="156"/>
      <c r="BD5" s="156"/>
      <c r="BE5" s="156"/>
      <c r="BF5" s="156"/>
      <c r="BG5" s="156"/>
      <c r="BH5" s="156"/>
    </row>
    <row r="6" spans="1:60" s="1" customFormat="1">
      <c r="B6" s="7"/>
      <c r="C6" s="8"/>
      <c r="D6" s="9"/>
      <c r="E6" s="33"/>
      <c r="F6" s="33"/>
      <c r="G6" s="34"/>
      <c r="H6" s="35"/>
      <c r="I6" s="35"/>
      <c r="J6" s="61"/>
      <c r="K6" s="62"/>
      <c r="L6" s="33"/>
      <c r="M6" s="33"/>
      <c r="N6" s="33"/>
      <c r="O6" s="33"/>
      <c r="P6" s="33"/>
      <c r="Q6" s="96"/>
      <c r="R6" s="97"/>
      <c r="S6" s="98"/>
      <c r="T6" s="62"/>
      <c r="U6" s="8"/>
      <c r="V6" s="33"/>
      <c r="W6" s="134"/>
      <c r="X6" s="61"/>
      <c r="AL6" s="156"/>
      <c r="AM6" s="156"/>
      <c r="AN6" s="156"/>
      <c r="AO6" s="156"/>
      <c r="AP6" s="156"/>
      <c r="AQ6" s="156"/>
      <c r="AR6" s="156"/>
      <c r="AS6" s="156"/>
      <c r="AT6" s="156"/>
      <c r="AU6" s="156"/>
      <c r="AV6" s="156"/>
      <c r="AW6" s="156"/>
      <c r="AX6" s="156"/>
      <c r="AY6" s="156"/>
      <c r="AZ6" s="156"/>
      <c r="BA6" s="156"/>
      <c r="BB6" s="156"/>
      <c r="BC6" s="156"/>
      <c r="BD6" s="156"/>
      <c r="BE6" s="156"/>
      <c r="BF6" s="156"/>
      <c r="BG6" s="156"/>
      <c r="BH6" s="156"/>
    </row>
    <row r="7" spans="1:60" s="1" customFormat="1">
      <c r="B7" s="7"/>
      <c r="C7" s="8"/>
      <c r="D7" s="9"/>
      <c r="E7" s="33"/>
      <c r="F7" s="33"/>
      <c r="G7" s="34"/>
      <c r="H7" s="35"/>
      <c r="I7" s="35"/>
      <c r="J7" s="61"/>
      <c r="K7" s="62"/>
      <c r="L7" s="33"/>
      <c r="M7" s="33"/>
      <c r="N7" s="33"/>
      <c r="O7" s="33"/>
      <c r="P7" s="33"/>
      <c r="Q7" s="96"/>
      <c r="R7" s="97"/>
      <c r="S7" s="98"/>
      <c r="T7" s="62"/>
      <c r="U7" s="8"/>
      <c r="V7" s="135"/>
      <c r="W7" s="134"/>
      <c r="X7" s="61"/>
      <c r="AL7" s="156"/>
      <c r="AM7" s="156"/>
      <c r="AN7" s="156"/>
      <c r="AO7" s="156"/>
      <c r="AP7" s="156"/>
      <c r="AQ7" s="156"/>
      <c r="AR7" s="156"/>
      <c r="AS7" s="156"/>
      <c r="AT7" s="156"/>
      <c r="AU7" s="156"/>
      <c r="AV7" s="156"/>
      <c r="AW7" s="156"/>
      <c r="AX7" s="156"/>
      <c r="AY7" s="156"/>
      <c r="AZ7" s="156"/>
      <c r="BA7" s="156"/>
      <c r="BB7" s="156"/>
      <c r="BC7" s="156"/>
      <c r="BD7" s="156"/>
      <c r="BE7" s="156"/>
      <c r="BF7" s="156"/>
      <c r="BG7" s="156"/>
      <c r="BH7" s="156"/>
    </row>
    <row r="8" spans="1:60">
      <c r="A8" s="1">
        <v>1</v>
      </c>
      <c r="B8" s="7" t="s">
        <v>20</v>
      </c>
      <c r="C8" s="10">
        <v>17</v>
      </c>
      <c r="D8" s="11">
        <v>19</v>
      </c>
      <c r="E8" s="36"/>
      <c r="F8" s="36"/>
      <c r="G8" s="37">
        <v>5</v>
      </c>
      <c r="H8" s="38"/>
      <c r="I8" s="38">
        <f t="shared" ref="I8:I43" si="0">C8-G8</f>
        <v>12</v>
      </c>
      <c r="J8" s="63">
        <f t="shared" ref="J8:J59" si="1">D8-H8</f>
        <v>19</v>
      </c>
      <c r="K8" s="62"/>
      <c r="L8" s="36"/>
      <c r="M8" s="36"/>
      <c r="N8" s="36"/>
      <c r="O8" s="36"/>
      <c r="P8" s="36">
        <v>5</v>
      </c>
      <c r="Q8" s="99"/>
      <c r="R8" s="100">
        <f t="shared" ref="R8:R59" si="2">L8+N8+P8</f>
        <v>5</v>
      </c>
      <c r="S8" s="101">
        <f t="shared" ref="S8:S59" si="3">M8+O8+Q8</f>
        <v>0</v>
      </c>
      <c r="T8" s="62"/>
      <c r="U8" s="8">
        <f t="shared" ref="U8:U37" si="4">L8*24+N8*24+P8*24</f>
        <v>120</v>
      </c>
      <c r="V8" s="135">
        <f t="shared" ref="V8:V37" si="5">U8/24</f>
        <v>5</v>
      </c>
      <c r="W8" s="134">
        <f t="shared" ref="W8:W37" si="6">I8*24+J8</f>
        <v>307</v>
      </c>
      <c r="X8" s="61"/>
      <c r="AL8" s="157"/>
      <c r="AM8" s="157"/>
      <c r="AN8" s="157"/>
      <c r="AO8" s="157"/>
      <c r="AP8" s="157"/>
      <c r="AQ8" s="157"/>
      <c r="AR8" s="157"/>
      <c r="AS8" s="157"/>
      <c r="AT8" s="157"/>
      <c r="AU8" s="157"/>
      <c r="AV8" s="157"/>
      <c r="AW8" s="157"/>
      <c r="AX8" s="157"/>
      <c r="AY8" s="157"/>
      <c r="AZ8" s="157"/>
      <c r="BA8" s="157"/>
      <c r="BB8" s="157"/>
      <c r="BC8" s="157"/>
      <c r="BD8" s="157"/>
      <c r="BE8" s="157"/>
      <c r="BF8" s="157"/>
      <c r="BG8" s="157"/>
      <c r="BH8" s="157"/>
    </row>
    <row r="9" spans="1:60">
      <c r="A9" s="1">
        <f t="shared" ref="A9:A59" si="7">A8+1</f>
        <v>2</v>
      </c>
      <c r="B9" s="12" t="s">
        <v>21</v>
      </c>
      <c r="C9" s="13">
        <v>81</v>
      </c>
      <c r="D9" s="14"/>
      <c r="E9" s="39"/>
      <c r="F9" s="39"/>
      <c r="G9" s="40">
        <v>5</v>
      </c>
      <c r="H9" s="41"/>
      <c r="I9" s="40">
        <f t="shared" si="0"/>
        <v>76</v>
      </c>
      <c r="J9" s="64">
        <f t="shared" si="1"/>
        <v>0</v>
      </c>
      <c r="K9" s="65"/>
      <c r="L9" s="51"/>
      <c r="M9" s="51"/>
      <c r="N9" s="51"/>
      <c r="O9" s="51"/>
      <c r="P9" s="51">
        <v>5</v>
      </c>
      <c r="Q9" s="102"/>
      <c r="R9" s="103">
        <f t="shared" si="2"/>
        <v>5</v>
      </c>
      <c r="S9" s="104">
        <f t="shared" si="3"/>
        <v>0</v>
      </c>
      <c r="T9" s="65"/>
      <c r="U9" s="136">
        <f t="shared" si="4"/>
        <v>120</v>
      </c>
      <c r="V9" s="137">
        <f t="shared" si="5"/>
        <v>5</v>
      </c>
      <c r="W9" s="138">
        <f t="shared" si="6"/>
        <v>1824</v>
      </c>
      <c r="X9" s="139"/>
      <c r="AL9" s="157"/>
      <c r="AM9" s="157"/>
      <c r="AN9" s="157"/>
      <c r="AO9" s="157"/>
      <c r="AP9" s="157"/>
      <c r="AQ9" s="157"/>
      <c r="AR9" s="157"/>
      <c r="AS9" s="157"/>
      <c r="AT9" s="157"/>
      <c r="AU9" s="157"/>
      <c r="AV9" s="157"/>
      <c r="AW9" s="157"/>
      <c r="AX9" s="157"/>
      <c r="AY9" s="157"/>
      <c r="AZ9" s="157"/>
      <c r="BA9" s="157"/>
      <c r="BB9" s="157"/>
      <c r="BC9" s="157"/>
      <c r="BD9" s="157"/>
      <c r="BE9" s="157"/>
      <c r="BF9" s="157"/>
      <c r="BG9" s="157"/>
      <c r="BH9" s="157"/>
    </row>
    <row r="10" spans="1:60">
      <c r="A10" s="1">
        <f t="shared" si="7"/>
        <v>3</v>
      </c>
      <c r="B10" s="7" t="s">
        <v>22</v>
      </c>
      <c r="C10" s="10">
        <v>46</v>
      </c>
      <c r="D10" s="11"/>
      <c r="E10" s="36"/>
      <c r="F10" s="36"/>
      <c r="G10" s="37"/>
      <c r="H10" s="38"/>
      <c r="I10" s="38">
        <f t="shared" si="0"/>
        <v>46</v>
      </c>
      <c r="J10" s="66">
        <f t="shared" si="1"/>
        <v>0</v>
      </c>
      <c r="K10" s="62"/>
      <c r="L10" s="36"/>
      <c r="M10" s="36"/>
      <c r="N10" s="36"/>
      <c r="O10" s="36"/>
      <c r="P10" s="36"/>
      <c r="Q10" s="99"/>
      <c r="R10" s="105">
        <f t="shared" si="2"/>
        <v>0</v>
      </c>
      <c r="S10" s="106">
        <f t="shared" si="3"/>
        <v>0</v>
      </c>
      <c r="T10" s="62"/>
      <c r="U10" s="8">
        <f t="shared" si="4"/>
        <v>0</v>
      </c>
      <c r="V10" s="140">
        <f t="shared" si="5"/>
        <v>0</v>
      </c>
      <c r="W10" s="134">
        <f t="shared" si="6"/>
        <v>1104</v>
      </c>
      <c r="X10" s="61"/>
      <c r="AL10" s="157"/>
      <c r="AM10" s="157"/>
      <c r="AN10" s="157"/>
      <c r="AO10" s="157"/>
      <c r="AP10" s="157"/>
      <c r="AQ10" s="157"/>
      <c r="AR10" s="157"/>
      <c r="AS10" s="157"/>
      <c r="AT10" s="157"/>
      <c r="AU10" s="157"/>
      <c r="AV10" s="157"/>
      <c r="AW10" s="157"/>
      <c r="AX10" s="157"/>
      <c r="AY10" s="157"/>
      <c r="AZ10" s="157"/>
      <c r="BA10" s="157"/>
      <c r="BB10" s="157"/>
      <c r="BC10" s="157"/>
      <c r="BD10" s="157"/>
      <c r="BE10" s="157"/>
      <c r="BF10" s="157"/>
      <c r="BG10" s="157"/>
      <c r="BH10" s="157"/>
    </row>
    <row r="11" spans="1:60">
      <c r="A11" s="1">
        <f t="shared" si="7"/>
        <v>4</v>
      </c>
      <c r="B11" s="15" t="s">
        <v>23</v>
      </c>
      <c r="C11" s="10">
        <v>46</v>
      </c>
      <c r="D11" s="11"/>
      <c r="E11" s="36"/>
      <c r="F11" s="36"/>
      <c r="G11" s="37">
        <v>1</v>
      </c>
      <c r="H11" s="38"/>
      <c r="I11" s="38">
        <f t="shared" si="0"/>
        <v>45</v>
      </c>
      <c r="J11" s="63">
        <f t="shared" si="1"/>
        <v>0</v>
      </c>
      <c r="K11" s="62"/>
      <c r="L11" s="36"/>
      <c r="M11" s="36"/>
      <c r="N11" s="36"/>
      <c r="O11" s="36"/>
      <c r="P11" s="36">
        <v>1</v>
      </c>
      <c r="Q11" s="99"/>
      <c r="R11" s="100">
        <f t="shared" si="2"/>
        <v>1</v>
      </c>
      <c r="S11" s="101">
        <f t="shared" si="3"/>
        <v>0</v>
      </c>
      <c r="T11" s="62"/>
      <c r="U11" s="8">
        <f t="shared" si="4"/>
        <v>24</v>
      </c>
      <c r="V11" s="135">
        <f t="shared" si="5"/>
        <v>1</v>
      </c>
      <c r="W11" s="134">
        <f t="shared" si="6"/>
        <v>1080</v>
      </c>
      <c r="X11" s="61"/>
      <c r="AL11" s="157"/>
      <c r="AM11" s="157"/>
      <c r="AN11" s="157"/>
      <c r="AO11" s="157"/>
      <c r="AP11" s="157"/>
      <c r="AQ11" s="157"/>
      <c r="AR11" s="157"/>
      <c r="AS11" s="157"/>
      <c r="AT11" s="157"/>
      <c r="AU11" s="157"/>
      <c r="AV11" s="157"/>
      <c r="AW11" s="157"/>
      <c r="AX11" s="157"/>
      <c r="AY11" s="157"/>
      <c r="AZ11" s="157"/>
      <c r="BA11" s="157"/>
      <c r="BB11" s="157"/>
      <c r="BC11" s="157"/>
      <c r="BD11" s="157"/>
      <c r="BE11" s="157"/>
      <c r="BF11" s="157"/>
      <c r="BG11" s="157"/>
      <c r="BH11" s="157"/>
    </row>
    <row r="12" spans="1:60">
      <c r="A12" s="1">
        <f t="shared" si="7"/>
        <v>5</v>
      </c>
      <c r="B12" s="15" t="s">
        <v>24</v>
      </c>
      <c r="C12" s="10"/>
      <c r="D12" s="11">
        <v>2</v>
      </c>
      <c r="E12" s="36"/>
      <c r="F12" s="36"/>
      <c r="G12" s="37"/>
      <c r="H12" s="38"/>
      <c r="I12" s="38">
        <f t="shared" si="0"/>
        <v>0</v>
      </c>
      <c r="J12" s="63">
        <f t="shared" si="1"/>
        <v>2</v>
      </c>
      <c r="K12" s="62"/>
      <c r="L12" s="36"/>
      <c r="M12" s="36"/>
      <c r="N12" s="36"/>
      <c r="O12" s="36"/>
      <c r="P12" s="36"/>
      <c r="Q12" s="99"/>
      <c r="R12" s="100">
        <f t="shared" si="2"/>
        <v>0</v>
      </c>
      <c r="S12" s="101">
        <f t="shared" si="3"/>
        <v>0</v>
      </c>
      <c r="T12" s="62"/>
      <c r="U12" s="8">
        <f t="shared" si="4"/>
        <v>0</v>
      </c>
      <c r="V12" s="135">
        <f t="shared" si="5"/>
        <v>0</v>
      </c>
      <c r="W12" s="134">
        <f t="shared" si="6"/>
        <v>2</v>
      </c>
      <c r="X12" s="61"/>
      <c r="AL12" s="157"/>
      <c r="AM12" s="157"/>
      <c r="AN12" s="157"/>
      <c r="AO12" s="157"/>
      <c r="AP12" s="157"/>
      <c r="AQ12" s="157"/>
      <c r="AR12" s="157"/>
      <c r="AS12" s="157"/>
      <c r="AT12" s="157"/>
      <c r="AU12" s="157"/>
      <c r="AV12" s="157"/>
      <c r="AW12" s="157"/>
      <c r="AX12" s="157"/>
      <c r="AY12" s="157"/>
      <c r="AZ12" s="157"/>
      <c r="BA12" s="157"/>
      <c r="BB12" s="157"/>
      <c r="BC12" s="157"/>
      <c r="BD12" s="157"/>
      <c r="BE12" s="157"/>
      <c r="BF12" s="157"/>
      <c r="BG12" s="157"/>
      <c r="BH12" s="157"/>
    </row>
    <row r="13" spans="1:60" s="2" customFormat="1">
      <c r="A13" s="1">
        <f t="shared" si="7"/>
        <v>6</v>
      </c>
      <c r="B13" s="12" t="s">
        <v>25</v>
      </c>
      <c r="C13" s="13">
        <v>3421</v>
      </c>
      <c r="D13" s="14">
        <v>11</v>
      </c>
      <c r="E13" s="39"/>
      <c r="F13" s="39"/>
      <c r="G13" s="40">
        <v>40</v>
      </c>
      <c r="H13" s="41">
        <v>24</v>
      </c>
      <c r="I13" s="44">
        <f t="shared" si="0"/>
        <v>3381</v>
      </c>
      <c r="J13" s="64">
        <f t="shared" si="1"/>
        <v>-13</v>
      </c>
      <c r="K13" s="67"/>
      <c r="L13" s="51">
        <v>10</v>
      </c>
      <c r="M13" s="51">
        <v>12</v>
      </c>
      <c r="N13" s="51">
        <v>8</v>
      </c>
      <c r="O13" s="51">
        <v>5</v>
      </c>
      <c r="P13" s="51">
        <v>22</v>
      </c>
      <c r="Q13" s="102">
        <v>7</v>
      </c>
      <c r="R13" s="107">
        <f t="shared" si="2"/>
        <v>40</v>
      </c>
      <c r="S13" s="104">
        <f t="shared" si="3"/>
        <v>24</v>
      </c>
      <c r="T13" s="67"/>
      <c r="U13" s="136">
        <f t="shared" si="4"/>
        <v>960</v>
      </c>
      <c r="V13" s="141">
        <f t="shared" si="5"/>
        <v>40</v>
      </c>
      <c r="W13" s="138">
        <f t="shared" si="6"/>
        <v>81131</v>
      </c>
      <c r="X13" s="139"/>
      <c r="Y13" s="3"/>
      <c r="AD13" s="3"/>
      <c r="AG13" s="3"/>
      <c r="AH13" s="3"/>
      <c r="AI13" s="3"/>
      <c r="AJ13" s="3"/>
      <c r="AK13" s="3"/>
      <c r="AL13" s="157"/>
      <c r="AM13" s="157"/>
      <c r="AN13" s="157"/>
      <c r="AO13" s="157"/>
      <c r="AP13" s="157"/>
      <c r="AQ13" s="157"/>
      <c r="AR13" s="157"/>
      <c r="AS13" s="157"/>
      <c r="AT13" s="157"/>
      <c r="AU13" s="157"/>
      <c r="AV13" s="157"/>
      <c r="AW13" s="157"/>
      <c r="AX13" s="157"/>
      <c r="AY13" s="157"/>
      <c r="AZ13" s="157"/>
      <c r="BA13" s="157"/>
      <c r="BB13" s="157"/>
      <c r="BC13" s="157"/>
      <c r="BD13" s="157"/>
      <c r="BE13" s="157"/>
      <c r="BF13" s="157"/>
      <c r="BG13" s="157"/>
      <c r="BH13" s="157"/>
    </row>
    <row r="14" spans="1:60">
      <c r="A14" s="1">
        <f t="shared" si="7"/>
        <v>7</v>
      </c>
      <c r="B14" s="7" t="s">
        <v>26</v>
      </c>
      <c r="C14" s="10">
        <v>3</v>
      </c>
      <c r="D14" s="11">
        <v>16</v>
      </c>
      <c r="E14" s="36"/>
      <c r="F14" s="36"/>
      <c r="G14" s="37"/>
      <c r="H14" s="38"/>
      <c r="I14" s="68">
        <f t="shared" si="0"/>
        <v>3</v>
      </c>
      <c r="J14" s="66">
        <f t="shared" si="1"/>
        <v>16</v>
      </c>
      <c r="K14" s="62"/>
      <c r="L14" s="36"/>
      <c r="M14" s="36"/>
      <c r="N14" s="36"/>
      <c r="O14" s="36"/>
      <c r="P14" s="36"/>
      <c r="Q14" s="99"/>
      <c r="R14" s="108">
        <f t="shared" si="2"/>
        <v>0</v>
      </c>
      <c r="S14" s="106">
        <f t="shared" si="3"/>
        <v>0</v>
      </c>
      <c r="T14" s="62"/>
      <c r="U14" s="8">
        <f t="shared" si="4"/>
        <v>0</v>
      </c>
      <c r="V14" s="33">
        <f t="shared" si="5"/>
        <v>0</v>
      </c>
      <c r="W14" s="134">
        <f t="shared" si="6"/>
        <v>88</v>
      </c>
      <c r="X14" s="61"/>
      <c r="AL14" s="157"/>
      <c r="AM14" s="157"/>
      <c r="AN14" s="157"/>
      <c r="AO14" s="157"/>
      <c r="AP14" s="157"/>
      <c r="AQ14" s="157"/>
      <c r="AR14" s="157"/>
      <c r="AS14" s="157"/>
      <c r="AT14" s="157"/>
      <c r="AU14" s="157"/>
      <c r="AV14" s="157"/>
      <c r="AW14" s="157"/>
      <c r="AX14" s="157"/>
      <c r="AY14" s="157"/>
      <c r="AZ14" s="157"/>
      <c r="BA14" s="157"/>
      <c r="BB14" s="157"/>
      <c r="BC14" s="157"/>
      <c r="BD14" s="157"/>
      <c r="BE14" s="157"/>
      <c r="BF14" s="157"/>
      <c r="BG14" s="157"/>
      <c r="BH14" s="157"/>
    </row>
    <row r="15" spans="1:60">
      <c r="A15" s="1">
        <f t="shared" si="7"/>
        <v>8</v>
      </c>
      <c r="B15" s="15" t="s">
        <v>27</v>
      </c>
      <c r="C15" s="10">
        <v>4</v>
      </c>
      <c r="D15" s="11"/>
      <c r="E15" s="36"/>
      <c r="F15" s="36"/>
      <c r="G15" s="37"/>
      <c r="H15" s="38"/>
      <c r="I15" s="38">
        <f t="shared" si="0"/>
        <v>4</v>
      </c>
      <c r="J15" s="63">
        <f t="shared" si="1"/>
        <v>0</v>
      </c>
      <c r="K15" s="62"/>
      <c r="L15" s="36"/>
      <c r="M15" s="36"/>
      <c r="N15" s="36"/>
      <c r="O15" s="36"/>
      <c r="P15" s="36"/>
      <c r="Q15" s="99"/>
      <c r="R15" s="100">
        <f t="shared" si="2"/>
        <v>0</v>
      </c>
      <c r="S15" s="101">
        <f t="shared" si="3"/>
        <v>0</v>
      </c>
      <c r="T15" s="62"/>
      <c r="U15" s="8">
        <f t="shared" si="4"/>
        <v>0</v>
      </c>
      <c r="V15" s="135">
        <f t="shared" si="5"/>
        <v>0</v>
      </c>
      <c r="W15" s="134">
        <f t="shared" si="6"/>
        <v>96</v>
      </c>
      <c r="X15" s="61"/>
      <c r="AL15" s="157"/>
      <c r="AM15" s="157"/>
      <c r="AN15" s="157"/>
      <c r="AO15" s="157"/>
      <c r="AP15" s="157"/>
      <c r="AQ15" s="157"/>
      <c r="AR15" s="157"/>
      <c r="AS15" s="157"/>
      <c r="AT15" s="157"/>
      <c r="AU15" s="157"/>
      <c r="AV15" s="157"/>
      <c r="AW15" s="157"/>
      <c r="AX15" s="157"/>
      <c r="AY15" s="157"/>
      <c r="AZ15" s="157"/>
      <c r="BA15" s="157"/>
      <c r="BB15" s="157"/>
      <c r="BC15" s="157"/>
      <c r="BD15" s="157"/>
      <c r="BE15" s="157"/>
      <c r="BF15" s="157"/>
      <c r="BG15" s="157"/>
      <c r="BH15" s="157"/>
    </row>
    <row r="16" spans="1:60">
      <c r="A16" s="1">
        <f t="shared" si="7"/>
        <v>9</v>
      </c>
      <c r="B16" s="15" t="s">
        <v>28</v>
      </c>
      <c r="C16" s="10">
        <v>1</v>
      </c>
      <c r="D16" s="11"/>
      <c r="E16" s="36"/>
      <c r="F16" s="36"/>
      <c r="G16" s="37"/>
      <c r="H16" s="38"/>
      <c r="I16" s="38">
        <f t="shared" si="0"/>
        <v>1</v>
      </c>
      <c r="J16" s="63">
        <f t="shared" si="1"/>
        <v>0</v>
      </c>
      <c r="K16" s="62"/>
      <c r="L16" s="36"/>
      <c r="M16" s="36"/>
      <c r="N16" s="36"/>
      <c r="O16" s="36"/>
      <c r="P16" s="36"/>
      <c r="Q16" s="99"/>
      <c r="R16" s="100">
        <f t="shared" si="2"/>
        <v>0</v>
      </c>
      <c r="S16" s="101">
        <f t="shared" si="3"/>
        <v>0</v>
      </c>
      <c r="T16" s="62"/>
      <c r="U16" s="8">
        <f t="shared" si="4"/>
        <v>0</v>
      </c>
      <c r="V16" s="135">
        <f t="shared" si="5"/>
        <v>0</v>
      </c>
      <c r="W16" s="134">
        <f t="shared" si="6"/>
        <v>24</v>
      </c>
      <c r="X16" s="61"/>
      <c r="AL16" s="157"/>
      <c r="AM16" s="157"/>
      <c r="AN16" s="157"/>
      <c r="AO16" s="157"/>
      <c r="AP16" s="157"/>
      <c r="AQ16" s="157"/>
      <c r="AR16" s="157"/>
      <c r="AS16" s="157"/>
      <c r="AT16" s="157"/>
      <c r="AU16" s="157"/>
      <c r="AV16" s="157"/>
      <c r="AW16" s="157"/>
      <c r="AX16" s="157"/>
      <c r="AY16" s="157"/>
      <c r="AZ16" s="157"/>
      <c r="BA16" s="157"/>
      <c r="BB16" s="157"/>
      <c r="BC16" s="157"/>
      <c r="BD16" s="157"/>
      <c r="BE16" s="157"/>
      <c r="BF16" s="157"/>
      <c r="BG16" s="157"/>
      <c r="BH16" s="157"/>
    </row>
    <row r="17" spans="1:60">
      <c r="A17" s="1">
        <f t="shared" si="7"/>
        <v>10</v>
      </c>
      <c r="B17" s="15" t="s">
        <v>29</v>
      </c>
      <c r="C17" s="10"/>
      <c r="D17" s="11"/>
      <c r="E17" s="36"/>
      <c r="F17" s="36"/>
      <c r="G17" s="37"/>
      <c r="H17" s="38"/>
      <c r="I17" s="38">
        <f t="shared" si="0"/>
        <v>0</v>
      </c>
      <c r="J17" s="63">
        <f t="shared" si="1"/>
        <v>0</v>
      </c>
      <c r="K17" s="62"/>
      <c r="L17" s="36"/>
      <c r="M17" s="36"/>
      <c r="N17" s="36"/>
      <c r="O17" s="36"/>
      <c r="P17" s="36"/>
      <c r="Q17" s="99"/>
      <c r="R17" s="100">
        <f t="shared" si="2"/>
        <v>0</v>
      </c>
      <c r="S17" s="101">
        <f t="shared" si="3"/>
        <v>0</v>
      </c>
      <c r="T17" s="62"/>
      <c r="U17" s="8">
        <f t="shared" si="4"/>
        <v>0</v>
      </c>
      <c r="V17" s="135">
        <f t="shared" si="5"/>
        <v>0</v>
      </c>
      <c r="W17" s="134">
        <f t="shared" si="6"/>
        <v>0</v>
      </c>
      <c r="X17" s="61"/>
      <c r="AL17" s="157"/>
      <c r="AM17" s="157"/>
      <c r="AN17" s="157"/>
      <c r="AO17" s="157"/>
      <c r="AP17" s="157"/>
      <c r="AQ17" s="157"/>
      <c r="AR17" s="157"/>
      <c r="AS17" s="157"/>
      <c r="AT17" s="157"/>
      <c r="AU17" s="157"/>
      <c r="AV17" s="157"/>
      <c r="AW17" s="157"/>
      <c r="AX17" s="157"/>
      <c r="AY17" s="157"/>
      <c r="AZ17" s="157"/>
      <c r="BA17" s="157"/>
      <c r="BB17" s="157"/>
      <c r="BC17" s="157"/>
      <c r="BD17" s="157"/>
      <c r="BE17" s="157"/>
      <c r="BF17" s="157"/>
      <c r="BG17" s="157"/>
      <c r="BH17" s="157"/>
    </row>
    <row r="18" spans="1:60">
      <c r="A18" s="1">
        <f t="shared" si="7"/>
        <v>11</v>
      </c>
      <c r="B18" s="15" t="s">
        <v>30</v>
      </c>
      <c r="C18" s="10">
        <v>3</v>
      </c>
      <c r="D18" s="11"/>
      <c r="E18" s="36"/>
      <c r="F18" s="36"/>
      <c r="G18" s="37"/>
      <c r="H18" s="38"/>
      <c r="I18" s="38">
        <f t="shared" si="0"/>
        <v>3</v>
      </c>
      <c r="J18" s="63">
        <f t="shared" si="1"/>
        <v>0</v>
      </c>
      <c r="K18" s="62"/>
      <c r="L18" s="36"/>
      <c r="M18" s="36"/>
      <c r="N18" s="36"/>
      <c r="O18" s="36"/>
      <c r="P18" s="36"/>
      <c r="Q18" s="99"/>
      <c r="R18" s="100">
        <f t="shared" si="2"/>
        <v>0</v>
      </c>
      <c r="S18" s="101">
        <f t="shared" si="3"/>
        <v>0</v>
      </c>
      <c r="T18" s="62"/>
      <c r="U18" s="8">
        <f t="shared" si="4"/>
        <v>0</v>
      </c>
      <c r="V18" s="135">
        <f t="shared" si="5"/>
        <v>0</v>
      </c>
      <c r="W18" s="134">
        <f t="shared" si="6"/>
        <v>72</v>
      </c>
      <c r="X18" s="61"/>
      <c r="AL18" s="157"/>
      <c r="AM18" s="157"/>
      <c r="AN18" s="157"/>
      <c r="AO18" s="157"/>
      <c r="AP18" s="157"/>
      <c r="AQ18" s="157"/>
      <c r="AR18" s="157"/>
      <c r="AS18" s="157"/>
      <c r="AT18" s="157"/>
      <c r="AU18" s="157"/>
      <c r="AV18" s="157"/>
      <c r="AW18" s="157"/>
      <c r="AX18" s="157"/>
      <c r="AY18" s="157"/>
      <c r="AZ18" s="157"/>
      <c r="BA18" s="157"/>
      <c r="BB18" s="157"/>
      <c r="BC18" s="157"/>
      <c r="BD18" s="157"/>
      <c r="BE18" s="157"/>
      <c r="BF18" s="157"/>
      <c r="BG18" s="157"/>
      <c r="BH18" s="157"/>
    </row>
    <row r="19" spans="1:60" ht="18.75" hidden="1" customHeight="1">
      <c r="A19" s="1">
        <f t="shared" si="7"/>
        <v>12</v>
      </c>
      <c r="B19" s="15" t="s">
        <v>31</v>
      </c>
      <c r="C19" s="10"/>
      <c r="D19" s="11"/>
      <c r="E19" s="36"/>
      <c r="F19" s="36"/>
      <c r="G19" s="37"/>
      <c r="H19" s="38"/>
      <c r="I19" s="38">
        <f t="shared" si="0"/>
        <v>0</v>
      </c>
      <c r="J19" s="63">
        <f t="shared" si="1"/>
        <v>0</v>
      </c>
      <c r="K19" s="62"/>
      <c r="L19" s="36"/>
      <c r="M19" s="36"/>
      <c r="N19" s="36"/>
      <c r="O19" s="36"/>
      <c r="P19" s="36"/>
      <c r="Q19" s="99"/>
      <c r="R19" s="100">
        <f t="shared" si="2"/>
        <v>0</v>
      </c>
      <c r="S19" s="101">
        <f t="shared" si="3"/>
        <v>0</v>
      </c>
      <c r="T19" s="62"/>
      <c r="U19" s="8">
        <f t="shared" si="4"/>
        <v>0</v>
      </c>
      <c r="V19" s="135">
        <f t="shared" si="5"/>
        <v>0</v>
      </c>
      <c r="W19" s="134">
        <f t="shared" si="6"/>
        <v>0</v>
      </c>
      <c r="X19" s="61"/>
      <c r="AL19" s="157"/>
      <c r="AM19" s="157"/>
      <c r="AN19" s="157"/>
      <c r="AO19" s="157"/>
      <c r="AP19" s="157"/>
      <c r="AQ19" s="157"/>
      <c r="AR19" s="157"/>
      <c r="AS19" s="157"/>
      <c r="AT19" s="157"/>
      <c r="AU19" s="157"/>
      <c r="AV19" s="157"/>
      <c r="AW19" s="157"/>
      <c r="AX19" s="157"/>
      <c r="AY19" s="157"/>
      <c r="AZ19" s="157"/>
      <c r="BA19" s="157"/>
      <c r="BB19" s="157"/>
      <c r="BC19" s="157"/>
      <c r="BD19" s="157"/>
      <c r="BE19" s="157"/>
      <c r="BF19" s="157"/>
      <c r="BG19" s="157"/>
      <c r="BH19" s="157"/>
    </row>
    <row r="20" spans="1:60">
      <c r="A20" s="1">
        <f t="shared" si="7"/>
        <v>13</v>
      </c>
      <c r="B20" s="15" t="s">
        <v>32</v>
      </c>
      <c r="C20" s="10">
        <v>4</v>
      </c>
      <c r="D20" s="11">
        <v>20</v>
      </c>
      <c r="E20" s="36"/>
      <c r="F20" s="36"/>
      <c r="G20" s="37"/>
      <c r="H20" s="38"/>
      <c r="I20" s="38">
        <f t="shared" si="0"/>
        <v>4</v>
      </c>
      <c r="J20" s="63">
        <f t="shared" si="1"/>
        <v>20</v>
      </c>
      <c r="K20" s="62"/>
      <c r="L20" s="36"/>
      <c r="M20" s="36"/>
      <c r="N20" s="36"/>
      <c r="O20" s="36"/>
      <c r="P20" s="36"/>
      <c r="Q20" s="99"/>
      <c r="R20" s="100">
        <f t="shared" si="2"/>
        <v>0</v>
      </c>
      <c r="S20" s="101">
        <f t="shared" si="3"/>
        <v>0</v>
      </c>
      <c r="T20" s="62"/>
      <c r="U20" s="8">
        <f t="shared" si="4"/>
        <v>0</v>
      </c>
      <c r="V20" s="135">
        <f t="shared" si="5"/>
        <v>0</v>
      </c>
      <c r="W20" s="134">
        <f t="shared" si="6"/>
        <v>116</v>
      </c>
      <c r="X20" s="61"/>
      <c r="AL20" s="157"/>
      <c r="AM20" s="157"/>
      <c r="AN20" s="157"/>
      <c r="AO20" s="157"/>
      <c r="AP20" s="157"/>
      <c r="AQ20" s="157"/>
      <c r="AR20" s="157"/>
      <c r="AS20" s="157"/>
      <c r="AT20" s="157"/>
      <c r="AU20" s="157"/>
      <c r="AV20" s="157"/>
      <c r="AW20" s="157"/>
      <c r="AX20" s="157"/>
      <c r="AY20" s="157"/>
      <c r="AZ20" s="157"/>
      <c r="BA20" s="157"/>
      <c r="BB20" s="157"/>
      <c r="BC20" s="157"/>
      <c r="BD20" s="157"/>
      <c r="BE20" s="157"/>
      <c r="BF20" s="157"/>
      <c r="BG20" s="157"/>
      <c r="BH20" s="157"/>
    </row>
    <row r="21" spans="1:60">
      <c r="A21" s="1">
        <f t="shared" si="7"/>
        <v>14</v>
      </c>
      <c r="B21" s="15" t="s">
        <v>33</v>
      </c>
      <c r="C21" s="10">
        <v>7</v>
      </c>
      <c r="D21" s="11">
        <v>16</v>
      </c>
      <c r="E21" s="36"/>
      <c r="F21" s="36"/>
      <c r="G21" s="37"/>
      <c r="H21" s="38"/>
      <c r="I21" s="38">
        <f t="shared" si="0"/>
        <v>7</v>
      </c>
      <c r="J21" s="63">
        <f t="shared" si="1"/>
        <v>16</v>
      </c>
      <c r="K21" s="62"/>
      <c r="L21" s="36"/>
      <c r="M21" s="36"/>
      <c r="N21" s="36"/>
      <c r="O21" s="36"/>
      <c r="P21" s="36"/>
      <c r="Q21" s="99"/>
      <c r="R21" s="100">
        <f t="shared" si="2"/>
        <v>0</v>
      </c>
      <c r="S21" s="101">
        <f t="shared" si="3"/>
        <v>0</v>
      </c>
      <c r="T21" s="62"/>
      <c r="U21" s="8">
        <f t="shared" si="4"/>
        <v>0</v>
      </c>
      <c r="V21" s="135">
        <f t="shared" si="5"/>
        <v>0</v>
      </c>
      <c r="W21" s="134">
        <f t="shared" si="6"/>
        <v>184</v>
      </c>
      <c r="X21" s="61"/>
      <c r="AL21" s="157"/>
      <c r="AM21" s="157"/>
      <c r="AN21" s="157"/>
      <c r="AO21" s="157"/>
      <c r="AP21" s="157"/>
      <c r="AQ21" s="157"/>
      <c r="AR21" s="157"/>
      <c r="AS21" s="157"/>
      <c r="AT21" s="157"/>
      <c r="AU21" s="157"/>
      <c r="AV21" s="157"/>
      <c r="AW21" s="157"/>
      <c r="AX21" s="157"/>
      <c r="AY21" s="157"/>
      <c r="AZ21" s="157"/>
      <c r="BA21" s="157"/>
      <c r="BB21" s="157"/>
      <c r="BC21" s="157"/>
      <c r="BD21" s="157"/>
      <c r="BE21" s="157"/>
      <c r="BF21" s="157"/>
      <c r="BG21" s="157"/>
      <c r="BH21" s="157"/>
    </row>
    <row r="22" spans="1:60">
      <c r="A22" s="1">
        <f t="shared" si="7"/>
        <v>15</v>
      </c>
      <c r="B22" s="15" t="s">
        <v>34</v>
      </c>
      <c r="C22" s="10">
        <v>4</v>
      </c>
      <c r="D22" s="11"/>
      <c r="E22" s="36"/>
      <c r="F22" s="36"/>
      <c r="G22" s="37"/>
      <c r="H22" s="38"/>
      <c r="I22" s="38">
        <f t="shared" si="0"/>
        <v>4</v>
      </c>
      <c r="J22" s="63">
        <f t="shared" si="1"/>
        <v>0</v>
      </c>
      <c r="K22" s="62"/>
      <c r="L22" s="36"/>
      <c r="M22" s="36"/>
      <c r="N22" s="36"/>
      <c r="O22" s="36"/>
      <c r="P22" s="36"/>
      <c r="Q22" s="99"/>
      <c r="R22" s="100">
        <f t="shared" si="2"/>
        <v>0</v>
      </c>
      <c r="S22" s="101">
        <f t="shared" si="3"/>
        <v>0</v>
      </c>
      <c r="T22" s="62"/>
      <c r="U22" s="8">
        <f t="shared" si="4"/>
        <v>0</v>
      </c>
      <c r="V22" s="135">
        <f t="shared" si="5"/>
        <v>0</v>
      </c>
      <c r="W22" s="134">
        <f t="shared" si="6"/>
        <v>96</v>
      </c>
      <c r="X22" s="61"/>
      <c r="AL22" s="157"/>
      <c r="AM22" s="157"/>
      <c r="AN22" s="157"/>
      <c r="AO22" s="157"/>
      <c r="AP22" s="157"/>
      <c r="AQ22" s="157"/>
      <c r="AR22" s="157"/>
      <c r="AS22" s="157"/>
      <c r="AT22" s="157"/>
      <c r="AU22" s="157"/>
      <c r="AV22" s="157"/>
      <c r="AW22" s="157"/>
      <c r="AX22" s="157"/>
      <c r="AY22" s="157"/>
      <c r="AZ22" s="157"/>
      <c r="BA22" s="157"/>
      <c r="BB22" s="157"/>
      <c r="BC22" s="157"/>
      <c r="BD22" s="157"/>
      <c r="BE22" s="157"/>
      <c r="BF22" s="157"/>
      <c r="BG22" s="157"/>
      <c r="BH22" s="157"/>
    </row>
    <row r="23" spans="1:60" s="2" customFormat="1">
      <c r="A23" s="1">
        <f t="shared" si="7"/>
        <v>16</v>
      </c>
      <c r="B23" s="15" t="s">
        <v>35</v>
      </c>
      <c r="C23" s="10">
        <v>1</v>
      </c>
      <c r="D23" s="11">
        <v>20</v>
      </c>
      <c r="E23" s="36"/>
      <c r="F23" s="36"/>
      <c r="G23" s="37"/>
      <c r="H23" s="38"/>
      <c r="I23" s="38">
        <f t="shared" si="0"/>
        <v>1</v>
      </c>
      <c r="J23" s="63">
        <f t="shared" si="1"/>
        <v>20</v>
      </c>
      <c r="K23" s="69"/>
      <c r="L23" s="36"/>
      <c r="M23" s="36"/>
      <c r="N23" s="36"/>
      <c r="O23" s="36"/>
      <c r="P23" s="36"/>
      <c r="Q23" s="99"/>
      <c r="R23" s="100">
        <f t="shared" si="2"/>
        <v>0</v>
      </c>
      <c r="S23" s="101">
        <f t="shared" si="3"/>
        <v>0</v>
      </c>
      <c r="T23" s="69"/>
      <c r="U23" s="8">
        <f t="shared" si="4"/>
        <v>0</v>
      </c>
      <c r="V23" s="135">
        <f t="shared" si="5"/>
        <v>0</v>
      </c>
      <c r="W23" s="134">
        <f t="shared" si="6"/>
        <v>44</v>
      </c>
      <c r="X23" s="61"/>
      <c r="Y23" s="3"/>
      <c r="AD23" s="3"/>
      <c r="AG23" s="3"/>
      <c r="AH23" s="3"/>
      <c r="AI23" s="3"/>
      <c r="AJ23" s="3"/>
      <c r="AK23" s="3"/>
      <c r="AL23" s="157"/>
      <c r="AM23" s="157"/>
      <c r="AN23" s="157"/>
      <c r="AO23" s="157"/>
      <c r="AP23" s="157"/>
      <c r="AQ23" s="157"/>
      <c r="AR23" s="157"/>
      <c r="AS23" s="157"/>
      <c r="AT23" s="157"/>
      <c r="AU23" s="157"/>
      <c r="AV23" s="157"/>
      <c r="AW23" s="157"/>
      <c r="AX23" s="157"/>
      <c r="AY23" s="157"/>
      <c r="AZ23" s="157"/>
      <c r="BA23" s="157"/>
      <c r="BB23" s="157"/>
      <c r="BC23" s="157"/>
      <c r="BD23" s="157"/>
      <c r="BE23" s="157"/>
      <c r="BF23" s="157"/>
      <c r="BG23" s="157"/>
      <c r="BH23" s="157"/>
    </row>
    <row r="24" spans="1:60" s="2" customFormat="1">
      <c r="A24" s="1">
        <f t="shared" si="7"/>
        <v>17</v>
      </c>
      <c r="B24" s="15" t="s">
        <v>36</v>
      </c>
      <c r="C24" s="10">
        <v>37</v>
      </c>
      <c r="D24" s="11">
        <v>19</v>
      </c>
      <c r="E24" s="36"/>
      <c r="F24" s="36"/>
      <c r="G24" s="37"/>
      <c r="H24" s="38"/>
      <c r="I24" s="38">
        <f t="shared" si="0"/>
        <v>37</v>
      </c>
      <c r="J24" s="63">
        <f t="shared" si="1"/>
        <v>19</v>
      </c>
      <c r="K24" s="69"/>
      <c r="L24" s="36"/>
      <c r="M24" s="36"/>
      <c r="N24" s="36"/>
      <c r="O24" s="36"/>
      <c r="P24" s="36"/>
      <c r="Q24" s="99"/>
      <c r="R24" s="100">
        <f t="shared" si="2"/>
        <v>0</v>
      </c>
      <c r="S24" s="101">
        <f t="shared" si="3"/>
        <v>0</v>
      </c>
      <c r="T24" s="69"/>
      <c r="U24" s="8">
        <f t="shared" si="4"/>
        <v>0</v>
      </c>
      <c r="V24" s="135">
        <f t="shared" si="5"/>
        <v>0</v>
      </c>
      <c r="W24" s="134">
        <f t="shared" si="6"/>
        <v>907</v>
      </c>
      <c r="X24" s="61"/>
      <c r="Y24" s="3"/>
      <c r="AD24" s="3"/>
      <c r="AG24" s="3"/>
      <c r="AH24" s="3"/>
      <c r="AI24" s="3"/>
      <c r="AJ24" s="3"/>
      <c r="AK24" s="3"/>
      <c r="AL24" s="157"/>
      <c r="AM24" s="157"/>
      <c r="AN24" s="157"/>
      <c r="AO24" s="157"/>
      <c r="AP24" s="157"/>
      <c r="AQ24" s="157"/>
      <c r="AR24" s="157"/>
      <c r="AS24" s="157"/>
      <c r="AT24" s="157"/>
      <c r="AU24" s="157"/>
      <c r="AV24" s="157"/>
      <c r="AW24" s="157"/>
      <c r="AX24" s="157"/>
      <c r="AY24" s="157"/>
      <c r="AZ24" s="157"/>
      <c r="BA24" s="157"/>
      <c r="BB24" s="157"/>
      <c r="BC24" s="157"/>
      <c r="BD24" s="157"/>
      <c r="BE24" s="157"/>
      <c r="BF24" s="157"/>
      <c r="BG24" s="157"/>
      <c r="BH24" s="157"/>
    </row>
    <row r="25" spans="1:60">
      <c r="A25" s="1">
        <f t="shared" si="7"/>
        <v>18</v>
      </c>
      <c r="B25" s="15" t="s">
        <v>37</v>
      </c>
      <c r="C25" s="10">
        <v>10</v>
      </c>
      <c r="D25" s="11"/>
      <c r="E25" s="36"/>
      <c r="F25" s="36"/>
      <c r="G25" s="37"/>
      <c r="H25" s="38"/>
      <c r="I25" s="38">
        <f t="shared" si="0"/>
        <v>10</v>
      </c>
      <c r="J25" s="63">
        <f t="shared" si="1"/>
        <v>0</v>
      </c>
      <c r="K25" s="62"/>
      <c r="L25" s="36"/>
      <c r="M25" s="36"/>
      <c r="N25" s="36"/>
      <c r="O25" s="36"/>
      <c r="P25" s="36"/>
      <c r="Q25" s="99"/>
      <c r="R25" s="100">
        <f t="shared" si="2"/>
        <v>0</v>
      </c>
      <c r="S25" s="101">
        <f t="shared" si="3"/>
        <v>0</v>
      </c>
      <c r="T25" s="62"/>
      <c r="U25" s="8">
        <f t="shared" si="4"/>
        <v>0</v>
      </c>
      <c r="V25" s="135">
        <f t="shared" si="5"/>
        <v>0</v>
      </c>
      <c r="W25" s="134">
        <f t="shared" si="6"/>
        <v>240</v>
      </c>
      <c r="X25" s="61"/>
      <c r="AL25" s="157"/>
      <c r="AM25" s="157"/>
      <c r="AN25" s="157"/>
      <c r="AO25" s="157"/>
      <c r="AP25" s="157"/>
      <c r="AQ25" s="157"/>
      <c r="AR25" s="157"/>
      <c r="AS25" s="157"/>
      <c r="AT25" s="157"/>
      <c r="AU25" s="157"/>
      <c r="AV25" s="157"/>
      <c r="AW25" s="157"/>
      <c r="AX25" s="157"/>
      <c r="AY25" s="157"/>
      <c r="AZ25" s="157"/>
      <c r="BA25" s="157"/>
      <c r="BB25" s="157"/>
      <c r="BC25" s="157"/>
      <c r="BD25" s="157"/>
      <c r="BE25" s="157"/>
      <c r="BF25" s="157"/>
      <c r="BG25" s="157"/>
      <c r="BH25" s="157"/>
    </row>
    <row r="26" spans="1:60">
      <c r="A26" s="1">
        <f t="shared" si="7"/>
        <v>19</v>
      </c>
      <c r="B26" s="15" t="s">
        <v>38</v>
      </c>
      <c r="C26" s="10"/>
      <c r="D26" s="11">
        <v>1</v>
      </c>
      <c r="E26" s="36"/>
      <c r="F26" s="36"/>
      <c r="G26" s="37"/>
      <c r="H26" s="38"/>
      <c r="I26" s="38">
        <f t="shared" si="0"/>
        <v>0</v>
      </c>
      <c r="J26" s="63">
        <f t="shared" si="1"/>
        <v>1</v>
      </c>
      <c r="K26" s="62"/>
      <c r="L26" s="36"/>
      <c r="M26" s="36"/>
      <c r="N26" s="36"/>
      <c r="O26" s="36"/>
      <c r="P26" s="36"/>
      <c r="Q26" s="99"/>
      <c r="R26" s="100">
        <f t="shared" si="2"/>
        <v>0</v>
      </c>
      <c r="S26" s="101">
        <f t="shared" si="3"/>
        <v>0</v>
      </c>
      <c r="T26" s="62"/>
      <c r="U26" s="8">
        <f t="shared" si="4"/>
        <v>0</v>
      </c>
      <c r="V26" s="135">
        <f t="shared" si="5"/>
        <v>0</v>
      </c>
      <c r="W26" s="134">
        <f t="shared" si="6"/>
        <v>1</v>
      </c>
      <c r="X26" s="61"/>
      <c r="BE26" s="158" t="e">
        <f>#REF!-BE25</f>
        <v>#REF!</v>
      </c>
    </row>
    <row r="27" spans="1:60" s="2" customFormat="1">
      <c r="A27" s="1">
        <f t="shared" si="7"/>
        <v>20</v>
      </c>
      <c r="B27" s="15" t="s">
        <v>39</v>
      </c>
      <c r="C27" s="10"/>
      <c r="D27" s="11"/>
      <c r="E27" s="36"/>
      <c r="F27" s="36"/>
      <c r="G27" s="37"/>
      <c r="H27" s="38"/>
      <c r="I27" s="38">
        <f t="shared" si="0"/>
        <v>0</v>
      </c>
      <c r="J27" s="63">
        <f t="shared" si="1"/>
        <v>0</v>
      </c>
      <c r="K27" s="69"/>
      <c r="L27" s="36"/>
      <c r="M27" s="36"/>
      <c r="N27" s="36"/>
      <c r="O27" s="36"/>
      <c r="P27" s="36"/>
      <c r="Q27" s="99"/>
      <c r="R27" s="100">
        <f t="shared" si="2"/>
        <v>0</v>
      </c>
      <c r="S27" s="101">
        <f t="shared" si="3"/>
        <v>0</v>
      </c>
      <c r="T27" s="69"/>
      <c r="U27" s="8">
        <f t="shared" si="4"/>
        <v>0</v>
      </c>
      <c r="V27" s="135">
        <f t="shared" si="5"/>
        <v>0</v>
      </c>
      <c r="W27" s="134">
        <f t="shared" si="6"/>
        <v>0</v>
      </c>
      <c r="X27" s="61"/>
      <c r="Y27" s="3"/>
      <c r="AD27" s="3"/>
      <c r="AG27" s="3"/>
      <c r="AH27" s="3"/>
      <c r="AI27" s="3"/>
      <c r="AJ27" s="3"/>
      <c r="AK27" s="3"/>
    </row>
    <row r="28" spans="1:60" s="2" customFormat="1">
      <c r="A28" s="1">
        <f t="shared" si="7"/>
        <v>21</v>
      </c>
      <c r="B28" s="15" t="s">
        <v>40</v>
      </c>
      <c r="C28" s="10"/>
      <c r="D28" s="11"/>
      <c r="E28" s="36"/>
      <c r="F28" s="36"/>
      <c r="G28" s="37"/>
      <c r="H28" s="38"/>
      <c r="I28" s="38">
        <f t="shared" si="0"/>
        <v>0</v>
      </c>
      <c r="J28" s="63">
        <f t="shared" si="1"/>
        <v>0</v>
      </c>
      <c r="K28" s="69"/>
      <c r="L28" s="36"/>
      <c r="M28" s="36"/>
      <c r="N28" s="36"/>
      <c r="O28" s="36"/>
      <c r="P28" s="36"/>
      <c r="Q28" s="99"/>
      <c r="R28" s="100">
        <f t="shared" si="2"/>
        <v>0</v>
      </c>
      <c r="S28" s="101">
        <f t="shared" si="3"/>
        <v>0</v>
      </c>
      <c r="T28" s="69"/>
      <c r="U28" s="8">
        <f t="shared" si="4"/>
        <v>0</v>
      </c>
      <c r="V28" s="135">
        <f t="shared" si="5"/>
        <v>0</v>
      </c>
      <c r="W28" s="134">
        <f t="shared" si="6"/>
        <v>0</v>
      </c>
      <c r="X28" s="61"/>
      <c r="Y28" s="3"/>
      <c r="AD28" s="3"/>
      <c r="AG28" s="3"/>
      <c r="AH28" s="3"/>
      <c r="AI28" s="3"/>
      <c r="AJ28" s="3"/>
      <c r="AK28" s="3"/>
    </row>
    <row r="29" spans="1:60" s="2" customFormat="1">
      <c r="A29" s="1">
        <f t="shared" si="7"/>
        <v>22</v>
      </c>
      <c r="B29" s="15" t="s">
        <v>41</v>
      </c>
      <c r="C29" s="10"/>
      <c r="D29" s="11"/>
      <c r="E29" s="36"/>
      <c r="F29" s="36"/>
      <c r="G29" s="37"/>
      <c r="H29" s="38"/>
      <c r="I29" s="38">
        <f t="shared" si="0"/>
        <v>0</v>
      </c>
      <c r="J29" s="63">
        <f t="shared" si="1"/>
        <v>0</v>
      </c>
      <c r="K29" s="69"/>
      <c r="L29" s="36"/>
      <c r="M29" s="36"/>
      <c r="N29" s="36"/>
      <c r="O29" s="36"/>
      <c r="P29" s="36"/>
      <c r="Q29" s="99"/>
      <c r="R29" s="100">
        <f t="shared" si="2"/>
        <v>0</v>
      </c>
      <c r="S29" s="101">
        <f t="shared" si="3"/>
        <v>0</v>
      </c>
      <c r="T29" s="69"/>
      <c r="U29" s="8">
        <f t="shared" si="4"/>
        <v>0</v>
      </c>
      <c r="V29" s="135">
        <f t="shared" si="5"/>
        <v>0</v>
      </c>
      <c r="W29" s="134">
        <f t="shared" si="6"/>
        <v>0</v>
      </c>
      <c r="X29" s="61"/>
      <c r="Y29" s="3"/>
      <c r="AD29" s="3"/>
      <c r="AG29" s="3"/>
      <c r="AH29" s="3"/>
      <c r="AI29" s="3"/>
      <c r="AJ29" s="3"/>
      <c r="AK29" s="3"/>
    </row>
    <row r="30" spans="1:60">
      <c r="A30" s="1">
        <f t="shared" si="7"/>
        <v>23</v>
      </c>
      <c r="B30" s="15" t="s">
        <v>42</v>
      </c>
      <c r="C30" s="10">
        <v>3</v>
      </c>
      <c r="D30" s="11"/>
      <c r="E30" s="36"/>
      <c r="F30" s="36"/>
      <c r="G30" s="37"/>
      <c r="H30" s="38"/>
      <c r="I30" s="38">
        <f t="shared" si="0"/>
        <v>3</v>
      </c>
      <c r="J30" s="63">
        <f t="shared" si="1"/>
        <v>0</v>
      </c>
      <c r="K30" s="62"/>
      <c r="L30" s="36"/>
      <c r="M30" s="36"/>
      <c r="N30" s="36"/>
      <c r="O30" s="36"/>
      <c r="P30" s="36"/>
      <c r="Q30" s="99"/>
      <c r="R30" s="100">
        <f t="shared" si="2"/>
        <v>0</v>
      </c>
      <c r="S30" s="101">
        <f t="shared" si="3"/>
        <v>0</v>
      </c>
      <c r="T30" s="62"/>
      <c r="U30" s="8">
        <f t="shared" si="4"/>
        <v>0</v>
      </c>
      <c r="V30" s="135">
        <f t="shared" si="5"/>
        <v>0</v>
      </c>
      <c r="W30" s="134">
        <f t="shared" si="6"/>
        <v>72</v>
      </c>
      <c r="X30" s="61"/>
    </row>
    <row r="31" spans="1:60">
      <c r="A31" s="1">
        <f t="shared" si="7"/>
        <v>24</v>
      </c>
      <c r="B31" s="15" t="s">
        <v>43</v>
      </c>
      <c r="C31" s="10">
        <v>12</v>
      </c>
      <c r="D31" s="11"/>
      <c r="E31" s="36"/>
      <c r="F31" s="36"/>
      <c r="G31" s="37"/>
      <c r="H31" s="38"/>
      <c r="I31" s="38">
        <f t="shared" si="0"/>
        <v>12</v>
      </c>
      <c r="J31" s="63">
        <f t="shared" si="1"/>
        <v>0</v>
      </c>
      <c r="K31" s="62"/>
      <c r="L31" s="36"/>
      <c r="M31" s="36"/>
      <c r="N31" s="36"/>
      <c r="O31" s="36"/>
      <c r="P31" s="36"/>
      <c r="Q31" s="99"/>
      <c r="R31" s="100">
        <f t="shared" si="2"/>
        <v>0</v>
      </c>
      <c r="S31" s="101">
        <f t="shared" si="3"/>
        <v>0</v>
      </c>
      <c r="T31" s="62"/>
      <c r="U31" s="8">
        <f t="shared" si="4"/>
        <v>0</v>
      </c>
      <c r="V31" s="135">
        <f t="shared" si="5"/>
        <v>0</v>
      </c>
      <c r="W31" s="134">
        <f t="shared" si="6"/>
        <v>288</v>
      </c>
      <c r="X31" s="61"/>
    </row>
    <row r="32" spans="1:60">
      <c r="A32" s="1">
        <f t="shared" si="7"/>
        <v>25</v>
      </c>
      <c r="B32" s="15" t="s">
        <v>44</v>
      </c>
      <c r="C32" s="10"/>
      <c r="D32" s="11"/>
      <c r="E32" s="36"/>
      <c r="F32" s="36"/>
      <c r="G32" s="37"/>
      <c r="H32" s="38"/>
      <c r="I32" s="38">
        <f t="shared" si="0"/>
        <v>0</v>
      </c>
      <c r="J32" s="63">
        <f t="shared" si="1"/>
        <v>0</v>
      </c>
      <c r="K32" s="62"/>
      <c r="L32" s="36"/>
      <c r="M32" s="36"/>
      <c r="N32" s="36"/>
      <c r="O32" s="36"/>
      <c r="P32" s="36"/>
      <c r="Q32" s="99"/>
      <c r="R32" s="100">
        <f t="shared" si="2"/>
        <v>0</v>
      </c>
      <c r="S32" s="101">
        <f t="shared" si="3"/>
        <v>0</v>
      </c>
      <c r="T32" s="62"/>
      <c r="U32" s="8">
        <f t="shared" si="4"/>
        <v>0</v>
      </c>
      <c r="V32" s="135">
        <f t="shared" si="5"/>
        <v>0</v>
      </c>
      <c r="W32" s="134">
        <f t="shared" si="6"/>
        <v>0</v>
      </c>
      <c r="X32" s="61"/>
    </row>
    <row r="33" spans="1:26">
      <c r="A33" s="1">
        <f t="shared" si="7"/>
        <v>26</v>
      </c>
      <c r="B33" s="15" t="s">
        <v>45</v>
      </c>
      <c r="C33" s="10">
        <v>3</v>
      </c>
      <c r="D33" s="11"/>
      <c r="E33" s="36"/>
      <c r="F33" s="36"/>
      <c r="G33" s="37"/>
      <c r="H33" s="38"/>
      <c r="I33" s="38">
        <f t="shared" si="0"/>
        <v>3</v>
      </c>
      <c r="J33" s="63">
        <f t="shared" si="1"/>
        <v>0</v>
      </c>
      <c r="K33" s="62"/>
      <c r="L33" s="36"/>
      <c r="M33" s="36"/>
      <c r="N33" s="36"/>
      <c r="O33" s="36"/>
      <c r="P33" s="36"/>
      <c r="Q33" s="99"/>
      <c r="R33" s="100">
        <f t="shared" si="2"/>
        <v>0</v>
      </c>
      <c r="S33" s="101">
        <f t="shared" si="3"/>
        <v>0</v>
      </c>
      <c r="T33" s="62"/>
      <c r="U33" s="8">
        <f t="shared" si="4"/>
        <v>0</v>
      </c>
      <c r="V33" s="135">
        <f t="shared" si="5"/>
        <v>0</v>
      </c>
      <c r="W33" s="134">
        <f t="shared" si="6"/>
        <v>72</v>
      </c>
      <c r="X33" s="61"/>
    </row>
    <row r="34" spans="1:26">
      <c r="A34" s="1">
        <f t="shared" si="7"/>
        <v>27</v>
      </c>
      <c r="B34" s="15" t="s">
        <v>46</v>
      </c>
      <c r="C34" s="10">
        <v>4</v>
      </c>
      <c r="D34" s="11"/>
      <c r="E34" s="36"/>
      <c r="F34" s="36"/>
      <c r="G34" s="37"/>
      <c r="H34" s="38"/>
      <c r="I34" s="38">
        <f t="shared" si="0"/>
        <v>4</v>
      </c>
      <c r="J34" s="63">
        <f t="shared" si="1"/>
        <v>0</v>
      </c>
      <c r="K34" s="62"/>
      <c r="L34" s="36"/>
      <c r="M34" s="36"/>
      <c r="N34" s="36"/>
      <c r="O34" s="36"/>
      <c r="P34" s="36"/>
      <c r="Q34" s="99"/>
      <c r="R34" s="100">
        <f t="shared" si="2"/>
        <v>0</v>
      </c>
      <c r="S34" s="101">
        <f t="shared" si="3"/>
        <v>0</v>
      </c>
      <c r="T34" s="62"/>
      <c r="U34" s="8">
        <f t="shared" si="4"/>
        <v>0</v>
      </c>
      <c r="V34" s="135">
        <f t="shared" si="5"/>
        <v>0</v>
      </c>
      <c r="W34" s="134">
        <f t="shared" si="6"/>
        <v>96</v>
      </c>
      <c r="X34" s="61"/>
    </row>
    <row r="35" spans="1:26">
      <c r="A35" s="1">
        <f t="shared" si="7"/>
        <v>28</v>
      </c>
      <c r="B35" s="15" t="s">
        <v>47</v>
      </c>
      <c r="C35" s="10">
        <v>90</v>
      </c>
      <c r="D35" s="11">
        <v>1</v>
      </c>
      <c r="E35" s="36"/>
      <c r="F35" s="36"/>
      <c r="G35" s="37">
        <v>5</v>
      </c>
      <c r="H35" s="38">
        <v>12</v>
      </c>
      <c r="I35" s="38">
        <f t="shared" si="0"/>
        <v>85</v>
      </c>
      <c r="J35" s="63">
        <f t="shared" si="1"/>
        <v>-11</v>
      </c>
      <c r="K35" s="62"/>
      <c r="L35" s="36"/>
      <c r="M35" s="36"/>
      <c r="N35" s="36"/>
      <c r="O35" s="36">
        <v>12</v>
      </c>
      <c r="P35" s="36">
        <v>5</v>
      </c>
      <c r="Q35" s="99"/>
      <c r="R35" s="100">
        <f t="shared" si="2"/>
        <v>5</v>
      </c>
      <c r="S35" s="101">
        <f t="shared" si="3"/>
        <v>12</v>
      </c>
      <c r="T35" s="62"/>
      <c r="U35" s="8">
        <f t="shared" si="4"/>
        <v>120</v>
      </c>
      <c r="V35" s="135">
        <f t="shared" si="5"/>
        <v>5</v>
      </c>
      <c r="W35" s="134">
        <f t="shared" si="6"/>
        <v>2029</v>
      </c>
      <c r="X35" s="61"/>
    </row>
    <row r="36" spans="1:26" ht="18.75" hidden="1" customHeight="1">
      <c r="A36" s="1">
        <f t="shared" si="7"/>
        <v>29</v>
      </c>
      <c r="B36" s="15" t="s">
        <v>48</v>
      </c>
      <c r="C36" s="10"/>
      <c r="D36" s="11"/>
      <c r="E36" s="36"/>
      <c r="F36" s="36"/>
      <c r="G36" s="37"/>
      <c r="H36" s="38"/>
      <c r="I36" s="38">
        <f t="shared" si="0"/>
        <v>0</v>
      </c>
      <c r="J36" s="63">
        <f t="shared" si="1"/>
        <v>0</v>
      </c>
      <c r="K36" s="62"/>
      <c r="L36" s="36"/>
      <c r="M36" s="36"/>
      <c r="N36" s="36"/>
      <c r="O36" s="36"/>
      <c r="P36" s="36"/>
      <c r="Q36" s="99"/>
      <c r="R36" s="100">
        <f t="shared" si="2"/>
        <v>0</v>
      </c>
      <c r="S36" s="101">
        <f t="shared" si="3"/>
        <v>0</v>
      </c>
      <c r="T36" s="62"/>
      <c r="U36" s="8">
        <f t="shared" si="4"/>
        <v>0</v>
      </c>
      <c r="V36" s="135">
        <f t="shared" si="5"/>
        <v>0</v>
      </c>
      <c r="W36" s="134">
        <f t="shared" si="6"/>
        <v>0</v>
      </c>
      <c r="X36" s="61"/>
    </row>
    <row r="37" spans="1:26" ht="18.75" customHeight="1">
      <c r="A37" s="1">
        <f t="shared" si="7"/>
        <v>30</v>
      </c>
      <c r="B37" s="15" t="s">
        <v>49</v>
      </c>
      <c r="C37" s="10">
        <v>1</v>
      </c>
      <c r="D37" s="11"/>
      <c r="E37" s="36"/>
      <c r="F37" s="36"/>
      <c r="G37" s="37"/>
      <c r="H37" s="38"/>
      <c r="I37" s="38">
        <f t="shared" si="0"/>
        <v>1</v>
      </c>
      <c r="J37" s="63">
        <f t="shared" si="1"/>
        <v>0</v>
      </c>
      <c r="K37" s="62"/>
      <c r="L37" s="36"/>
      <c r="M37" s="36"/>
      <c r="N37" s="36"/>
      <c r="O37" s="36"/>
      <c r="P37" s="36"/>
      <c r="Q37" s="99"/>
      <c r="R37" s="100">
        <f t="shared" si="2"/>
        <v>0</v>
      </c>
      <c r="S37" s="101">
        <f t="shared" si="3"/>
        <v>0</v>
      </c>
      <c r="T37" s="62"/>
      <c r="U37" s="8">
        <f t="shared" si="4"/>
        <v>0</v>
      </c>
      <c r="V37" s="135">
        <f t="shared" si="5"/>
        <v>0</v>
      </c>
      <c r="W37" s="134">
        <f t="shared" si="6"/>
        <v>24</v>
      </c>
      <c r="X37" s="61"/>
    </row>
    <row r="38" spans="1:26">
      <c r="A38" s="1">
        <f t="shared" si="7"/>
        <v>31</v>
      </c>
      <c r="B38" s="16" t="s">
        <v>50</v>
      </c>
      <c r="C38" s="13">
        <v>5996</v>
      </c>
      <c r="D38" s="14">
        <v>2</v>
      </c>
      <c r="E38" s="39"/>
      <c r="F38" s="39"/>
      <c r="G38" s="40">
        <v>143</v>
      </c>
      <c r="H38" s="41"/>
      <c r="I38" s="53">
        <f t="shared" si="0"/>
        <v>5853</v>
      </c>
      <c r="J38" s="70">
        <f t="shared" si="1"/>
        <v>2</v>
      </c>
      <c r="K38" s="65"/>
      <c r="L38" s="51">
        <v>14</v>
      </c>
      <c r="M38" s="51"/>
      <c r="N38" s="51">
        <v>60</v>
      </c>
      <c r="O38" s="51"/>
      <c r="P38" s="51">
        <v>69</v>
      </c>
      <c r="Q38" s="102"/>
      <c r="R38" s="107">
        <f t="shared" si="2"/>
        <v>143</v>
      </c>
      <c r="S38" s="104">
        <f t="shared" si="3"/>
        <v>0</v>
      </c>
      <c r="T38" s="65"/>
      <c r="U38" s="136">
        <f>L38*6+N38*6+P38*6</f>
        <v>858</v>
      </c>
      <c r="V38" s="141">
        <f>U38/6</f>
        <v>143</v>
      </c>
      <c r="W38" s="138">
        <f>I38*6+J38</f>
        <v>35120</v>
      </c>
      <c r="X38" s="139"/>
    </row>
    <row r="39" spans="1:26">
      <c r="A39" s="1">
        <f t="shared" si="7"/>
        <v>32</v>
      </c>
      <c r="B39" s="7" t="s">
        <v>51</v>
      </c>
      <c r="C39" s="10">
        <v>1</v>
      </c>
      <c r="D39" s="11"/>
      <c r="E39" s="36"/>
      <c r="F39" s="36"/>
      <c r="G39" s="37"/>
      <c r="H39" s="38"/>
      <c r="I39" s="37">
        <f t="shared" si="0"/>
        <v>1</v>
      </c>
      <c r="J39" s="63">
        <f t="shared" si="1"/>
        <v>0</v>
      </c>
      <c r="K39" s="62"/>
      <c r="L39" s="36"/>
      <c r="M39" s="36"/>
      <c r="N39" s="36"/>
      <c r="O39" s="36"/>
      <c r="P39" s="36"/>
      <c r="Q39" s="99"/>
      <c r="R39" s="108">
        <f t="shared" si="2"/>
        <v>0</v>
      </c>
      <c r="S39" s="106">
        <f t="shared" si="3"/>
        <v>0</v>
      </c>
      <c r="T39" s="62"/>
      <c r="U39" s="8">
        <f t="shared" ref="U39:U41" si="8">L39*24+N39*24+P39*24</f>
        <v>0</v>
      </c>
      <c r="V39" s="33">
        <f t="shared" ref="V39:V41" si="9">U39/24</f>
        <v>0</v>
      </c>
      <c r="W39" s="134">
        <f t="shared" ref="W39:W41" si="10">I39*24+J39</f>
        <v>24</v>
      </c>
      <c r="X39" s="61"/>
    </row>
    <row r="40" spans="1:26">
      <c r="A40" s="1">
        <f t="shared" si="7"/>
        <v>33</v>
      </c>
      <c r="B40" s="17" t="s">
        <v>52</v>
      </c>
      <c r="C40" s="18">
        <v>1</v>
      </c>
      <c r="D40" s="19"/>
      <c r="E40" s="42"/>
      <c r="F40" s="42"/>
      <c r="G40" s="43"/>
      <c r="H40" s="44"/>
      <c r="I40" s="38">
        <f t="shared" si="0"/>
        <v>1</v>
      </c>
      <c r="J40" s="63">
        <f t="shared" si="1"/>
        <v>0</v>
      </c>
      <c r="K40" s="62"/>
      <c r="L40" s="36"/>
      <c r="M40" s="36"/>
      <c r="N40" s="36"/>
      <c r="O40" s="36"/>
      <c r="P40" s="36"/>
      <c r="Q40" s="99"/>
      <c r="R40" s="100">
        <f t="shared" si="2"/>
        <v>0</v>
      </c>
      <c r="S40" s="101">
        <f t="shared" si="3"/>
        <v>0</v>
      </c>
      <c r="T40" s="62"/>
      <c r="U40" s="142">
        <f t="shared" si="8"/>
        <v>0</v>
      </c>
      <c r="V40" s="135">
        <f t="shared" si="9"/>
        <v>0</v>
      </c>
      <c r="W40" s="143">
        <f t="shared" si="10"/>
        <v>24</v>
      </c>
      <c r="X40" s="144"/>
    </row>
    <row r="41" spans="1:26">
      <c r="A41" s="1">
        <f t="shared" si="7"/>
        <v>34</v>
      </c>
      <c r="B41" s="20" t="s">
        <v>53</v>
      </c>
      <c r="C41" s="21">
        <v>100</v>
      </c>
      <c r="D41" s="22">
        <v>20</v>
      </c>
      <c r="E41" s="45"/>
      <c r="F41" s="45"/>
      <c r="G41" s="46">
        <v>5</v>
      </c>
      <c r="H41" s="47">
        <v>12</v>
      </c>
      <c r="I41" s="71">
        <f t="shared" si="0"/>
        <v>95</v>
      </c>
      <c r="J41" s="72">
        <f t="shared" si="1"/>
        <v>8</v>
      </c>
      <c r="K41" s="73"/>
      <c r="L41" s="74">
        <v>5</v>
      </c>
      <c r="M41" s="74"/>
      <c r="N41" s="74"/>
      <c r="O41" s="74">
        <v>12</v>
      </c>
      <c r="P41" s="74"/>
      <c r="Q41" s="109"/>
      <c r="R41" s="110">
        <f t="shared" si="2"/>
        <v>5</v>
      </c>
      <c r="S41" s="111">
        <f t="shared" si="3"/>
        <v>12</v>
      </c>
      <c r="T41" s="73"/>
      <c r="U41" s="145">
        <f t="shared" si="8"/>
        <v>120</v>
      </c>
      <c r="V41" s="146">
        <f t="shared" si="9"/>
        <v>5</v>
      </c>
      <c r="W41" s="146">
        <f t="shared" si="10"/>
        <v>2288</v>
      </c>
      <c r="X41" s="147"/>
    </row>
    <row r="42" spans="1:26">
      <c r="A42" s="1">
        <f t="shared" si="7"/>
        <v>35</v>
      </c>
      <c r="B42" s="23" t="s">
        <v>54</v>
      </c>
      <c r="C42" s="24">
        <v>625</v>
      </c>
      <c r="D42" s="25"/>
      <c r="E42" s="48"/>
      <c r="F42" s="48"/>
      <c r="G42" s="49">
        <v>45</v>
      </c>
      <c r="H42" s="50"/>
      <c r="I42" s="49">
        <f t="shared" si="0"/>
        <v>580</v>
      </c>
      <c r="J42" s="75">
        <f t="shared" si="1"/>
        <v>0</v>
      </c>
      <c r="K42" s="76"/>
      <c r="L42" s="48">
        <v>20</v>
      </c>
      <c r="M42" s="48"/>
      <c r="N42" s="48">
        <v>6</v>
      </c>
      <c r="O42" s="48"/>
      <c r="P42" s="48">
        <v>19</v>
      </c>
      <c r="Q42" s="112"/>
      <c r="R42" s="113">
        <f t="shared" si="2"/>
        <v>45</v>
      </c>
      <c r="S42" s="114">
        <f t="shared" si="3"/>
        <v>0</v>
      </c>
      <c r="T42" s="76"/>
      <c r="U42" s="148">
        <f>L42*12+N42*12+P42*12</f>
        <v>540</v>
      </c>
      <c r="V42" s="149">
        <f>U42/12</f>
        <v>45</v>
      </c>
      <c r="W42" s="150">
        <f>I42*12+J42</f>
        <v>6960</v>
      </c>
      <c r="X42" s="151"/>
    </row>
    <row r="43" spans="1:26" ht="18.75" hidden="1" customHeight="1">
      <c r="A43" s="1">
        <f t="shared" si="7"/>
        <v>36</v>
      </c>
      <c r="B43" s="7" t="s">
        <v>55</v>
      </c>
      <c r="C43" s="10"/>
      <c r="D43" s="11"/>
      <c r="E43" s="36"/>
      <c r="F43" s="36"/>
      <c r="G43" s="37"/>
      <c r="H43" s="38"/>
      <c r="I43" s="38">
        <f t="shared" si="0"/>
        <v>0</v>
      </c>
      <c r="J43" s="64">
        <f t="shared" si="1"/>
        <v>0</v>
      </c>
      <c r="K43" s="62"/>
      <c r="L43" s="36"/>
      <c r="M43" s="36"/>
      <c r="N43" s="36"/>
      <c r="O43" s="36"/>
      <c r="P43" s="36"/>
      <c r="Q43" s="99"/>
      <c r="R43" s="115">
        <f t="shared" si="2"/>
        <v>0</v>
      </c>
      <c r="S43" s="116">
        <f t="shared" si="3"/>
        <v>0</v>
      </c>
      <c r="T43" s="62"/>
      <c r="U43" s="8"/>
      <c r="V43" s="33"/>
      <c r="W43" s="134"/>
      <c r="X43" s="61"/>
    </row>
    <row r="44" spans="1:26">
      <c r="A44" s="1">
        <f t="shared" si="7"/>
        <v>37</v>
      </c>
      <c r="B44" s="12" t="s">
        <v>56</v>
      </c>
      <c r="C44" s="13">
        <f>27695</f>
        <v>27695</v>
      </c>
      <c r="D44" s="14">
        <v>3</v>
      </c>
      <c r="E44" s="39"/>
      <c r="F44" s="39"/>
      <c r="G44" s="40">
        <v>1189</v>
      </c>
      <c r="H44" s="41"/>
      <c r="I44" s="38">
        <f>C44+E44-G44</f>
        <v>26506</v>
      </c>
      <c r="J44" s="77">
        <f t="shared" si="1"/>
        <v>3</v>
      </c>
      <c r="K44" s="65"/>
      <c r="L44" s="51">
        <v>352</v>
      </c>
      <c r="M44" s="51"/>
      <c r="N44" s="51">
        <v>310</v>
      </c>
      <c r="O44" s="51"/>
      <c r="P44" s="51">
        <v>527</v>
      </c>
      <c r="Q44" s="102"/>
      <c r="R44" s="117">
        <f t="shared" si="2"/>
        <v>1189</v>
      </c>
      <c r="S44" s="118">
        <f t="shared" si="3"/>
        <v>0</v>
      </c>
      <c r="T44" s="65"/>
      <c r="U44" s="136">
        <f>L44*6+N44*6+P44*6</f>
        <v>7134</v>
      </c>
      <c r="V44" s="135">
        <f>U44/6</f>
        <v>1189</v>
      </c>
      <c r="W44" s="138">
        <f>I44*6+J44</f>
        <v>159039</v>
      </c>
      <c r="X44" s="139"/>
      <c r="Z44" s="155"/>
    </row>
    <row r="45" spans="1:26" ht="18.75" hidden="1" customHeight="1">
      <c r="A45" s="1">
        <f t="shared" si="7"/>
        <v>38</v>
      </c>
      <c r="B45" s="7" t="s">
        <v>57</v>
      </c>
      <c r="C45" s="10"/>
      <c r="D45" s="11"/>
      <c r="E45" s="36"/>
      <c r="F45" s="36"/>
      <c r="G45" s="37"/>
      <c r="H45" s="38"/>
      <c r="I45" s="44">
        <f t="shared" ref="I45:I59" si="11">C45-G45</f>
        <v>0</v>
      </c>
      <c r="J45" s="63">
        <f t="shared" si="1"/>
        <v>0</v>
      </c>
      <c r="K45" s="62"/>
      <c r="L45" s="36"/>
      <c r="M45" s="36"/>
      <c r="N45" s="36"/>
      <c r="O45" s="36"/>
      <c r="P45" s="36"/>
      <c r="Q45" s="99"/>
      <c r="R45" s="108">
        <f t="shared" si="2"/>
        <v>0</v>
      </c>
      <c r="S45" s="116">
        <f t="shared" si="3"/>
        <v>0</v>
      </c>
      <c r="T45" s="62"/>
      <c r="U45" s="8"/>
      <c r="V45" s="137"/>
      <c r="W45" s="134"/>
      <c r="X45" s="61"/>
    </row>
    <row r="46" spans="1:26">
      <c r="A46" s="1">
        <f t="shared" si="7"/>
        <v>39</v>
      </c>
      <c r="B46" s="15" t="s">
        <v>58</v>
      </c>
      <c r="C46" s="10">
        <v>9</v>
      </c>
      <c r="D46" s="11"/>
      <c r="E46" s="36"/>
      <c r="F46" s="36"/>
      <c r="G46" s="37"/>
      <c r="H46" s="38"/>
      <c r="I46" s="68">
        <f t="shared" si="11"/>
        <v>9</v>
      </c>
      <c r="J46" s="63">
        <f t="shared" si="1"/>
        <v>0</v>
      </c>
      <c r="K46" s="62"/>
      <c r="L46" s="36"/>
      <c r="M46" s="36"/>
      <c r="N46" s="36"/>
      <c r="O46" s="36"/>
      <c r="P46" s="36"/>
      <c r="Q46" s="99"/>
      <c r="R46" s="100">
        <f t="shared" si="2"/>
        <v>0</v>
      </c>
      <c r="S46" s="119">
        <f t="shared" si="3"/>
        <v>0</v>
      </c>
      <c r="T46" s="62"/>
      <c r="U46" s="8">
        <f t="shared" ref="U46:U51" si="12">L46*24+N46*24+P46*24</f>
        <v>0</v>
      </c>
      <c r="V46" s="140">
        <f t="shared" ref="V46:V51" si="13">U46/24</f>
        <v>0</v>
      </c>
      <c r="W46" s="134">
        <f t="shared" ref="W46:W51" si="14">I46*24+J46</f>
        <v>216</v>
      </c>
      <c r="X46" s="61"/>
    </row>
    <row r="47" spans="1:26">
      <c r="A47" s="1">
        <f t="shared" si="7"/>
        <v>40</v>
      </c>
      <c r="B47" s="15" t="s">
        <v>59</v>
      </c>
      <c r="C47" s="10"/>
      <c r="D47" s="11"/>
      <c r="E47" s="36"/>
      <c r="F47" s="36"/>
      <c r="G47" s="37"/>
      <c r="H47" s="38"/>
      <c r="I47" s="38">
        <f t="shared" si="11"/>
        <v>0</v>
      </c>
      <c r="J47" s="63">
        <f t="shared" si="1"/>
        <v>0</v>
      </c>
      <c r="K47" s="62"/>
      <c r="L47" s="36"/>
      <c r="M47" s="36"/>
      <c r="N47" s="36"/>
      <c r="O47" s="36"/>
      <c r="P47" s="36"/>
      <c r="Q47" s="99"/>
      <c r="R47" s="100">
        <f t="shared" si="2"/>
        <v>0</v>
      </c>
      <c r="S47" s="101">
        <f t="shared" si="3"/>
        <v>0</v>
      </c>
      <c r="T47" s="62"/>
      <c r="U47" s="8">
        <f t="shared" si="12"/>
        <v>0</v>
      </c>
      <c r="V47" s="135">
        <f t="shared" si="13"/>
        <v>0</v>
      </c>
      <c r="W47" s="134">
        <f t="shared" si="14"/>
        <v>0</v>
      </c>
      <c r="X47" s="61"/>
    </row>
    <row r="48" spans="1:26">
      <c r="A48" s="1">
        <f t="shared" si="7"/>
        <v>41</v>
      </c>
      <c r="B48" s="12" t="s">
        <v>48</v>
      </c>
      <c r="C48" s="26">
        <f>2829</f>
        <v>2829</v>
      </c>
      <c r="D48" s="27">
        <v>4</v>
      </c>
      <c r="E48" s="51"/>
      <c r="F48" s="51"/>
      <c r="G48" s="52"/>
      <c r="H48" s="53"/>
      <c r="I48" s="53">
        <f t="shared" si="11"/>
        <v>2829</v>
      </c>
      <c r="J48" s="70">
        <f t="shared" si="1"/>
        <v>4</v>
      </c>
      <c r="K48" s="65"/>
      <c r="L48" s="51"/>
      <c r="M48" s="51"/>
      <c r="N48" s="51"/>
      <c r="O48" s="51"/>
      <c r="P48" s="51"/>
      <c r="Q48" s="102"/>
      <c r="R48" s="107">
        <f t="shared" si="2"/>
        <v>0</v>
      </c>
      <c r="S48" s="120">
        <f t="shared" si="3"/>
        <v>0</v>
      </c>
      <c r="T48" s="65"/>
      <c r="U48" s="136">
        <f>L48*6+N48*6+P48*6</f>
        <v>0</v>
      </c>
      <c r="V48" s="141">
        <f>U48/6</f>
        <v>0</v>
      </c>
      <c r="W48" s="138">
        <f>I48*6+J48</f>
        <v>16978</v>
      </c>
      <c r="X48" s="139"/>
    </row>
    <row r="49" spans="1:24">
      <c r="A49" s="1">
        <f t="shared" si="7"/>
        <v>42</v>
      </c>
      <c r="B49" s="7" t="s">
        <v>60</v>
      </c>
      <c r="C49" s="10">
        <v>1</v>
      </c>
      <c r="D49" s="11"/>
      <c r="E49" s="36"/>
      <c r="F49" s="36"/>
      <c r="G49" s="37"/>
      <c r="H49" s="38"/>
      <c r="I49" s="38">
        <f t="shared" si="11"/>
        <v>1</v>
      </c>
      <c r="J49" s="63">
        <f t="shared" si="1"/>
        <v>0</v>
      </c>
      <c r="K49" s="62"/>
      <c r="L49" s="36"/>
      <c r="M49" s="36"/>
      <c r="N49" s="36"/>
      <c r="O49" s="36"/>
      <c r="P49" s="36"/>
      <c r="Q49" s="99"/>
      <c r="R49" s="108">
        <f t="shared" si="2"/>
        <v>0</v>
      </c>
      <c r="S49" s="106">
        <f t="shared" si="3"/>
        <v>0</v>
      </c>
      <c r="T49" s="62"/>
      <c r="U49" s="8">
        <f t="shared" si="12"/>
        <v>0</v>
      </c>
      <c r="V49" s="33">
        <f t="shared" si="13"/>
        <v>0</v>
      </c>
      <c r="W49" s="134">
        <f t="shared" si="14"/>
        <v>24</v>
      </c>
      <c r="X49" s="61"/>
    </row>
    <row r="50" spans="1:24">
      <c r="A50" s="1">
        <f t="shared" si="7"/>
        <v>43</v>
      </c>
      <c r="B50" s="15" t="s">
        <v>61</v>
      </c>
      <c r="C50" s="10">
        <v>2</v>
      </c>
      <c r="D50" s="11"/>
      <c r="E50" s="36"/>
      <c r="F50" s="36"/>
      <c r="G50" s="37"/>
      <c r="H50" s="38"/>
      <c r="I50" s="38">
        <f t="shared" si="11"/>
        <v>2</v>
      </c>
      <c r="J50" s="63">
        <f t="shared" si="1"/>
        <v>0</v>
      </c>
      <c r="K50" s="62"/>
      <c r="L50" s="36"/>
      <c r="M50" s="36"/>
      <c r="N50" s="36"/>
      <c r="O50" s="36"/>
      <c r="P50" s="36"/>
      <c r="Q50" s="99"/>
      <c r="R50" s="100">
        <f t="shared" si="2"/>
        <v>0</v>
      </c>
      <c r="S50" s="101">
        <f t="shared" si="3"/>
        <v>0</v>
      </c>
      <c r="T50" s="62"/>
      <c r="U50" s="8">
        <f t="shared" si="12"/>
        <v>0</v>
      </c>
      <c r="V50" s="135">
        <f t="shared" si="13"/>
        <v>0</v>
      </c>
      <c r="W50" s="134">
        <f t="shared" si="14"/>
        <v>48</v>
      </c>
      <c r="X50" s="61"/>
    </row>
    <row r="51" spans="1:24">
      <c r="A51" s="1">
        <f t="shared" si="7"/>
        <v>44</v>
      </c>
      <c r="B51" s="15" t="s">
        <v>62</v>
      </c>
      <c r="C51" s="10"/>
      <c r="D51" s="11"/>
      <c r="E51" s="36"/>
      <c r="F51" s="36"/>
      <c r="G51" s="37"/>
      <c r="H51" s="38"/>
      <c r="I51" s="38">
        <f t="shared" si="11"/>
        <v>0</v>
      </c>
      <c r="J51" s="63">
        <f t="shared" si="1"/>
        <v>0</v>
      </c>
      <c r="K51" s="62"/>
      <c r="L51" s="36"/>
      <c r="M51" s="36"/>
      <c r="N51" s="36"/>
      <c r="O51" s="36"/>
      <c r="P51" s="36"/>
      <c r="Q51" s="99"/>
      <c r="R51" s="100">
        <f t="shared" si="2"/>
        <v>0</v>
      </c>
      <c r="S51" s="101">
        <f t="shared" si="3"/>
        <v>0</v>
      </c>
      <c r="T51" s="62"/>
      <c r="U51" s="8">
        <f t="shared" si="12"/>
        <v>0</v>
      </c>
      <c r="V51" s="135">
        <f t="shared" si="13"/>
        <v>0</v>
      </c>
      <c r="W51" s="134">
        <f t="shared" si="14"/>
        <v>0</v>
      </c>
      <c r="X51" s="61"/>
    </row>
    <row r="52" spans="1:24">
      <c r="A52" s="1">
        <f t="shared" si="7"/>
        <v>45</v>
      </c>
      <c r="B52" s="12" t="s">
        <v>63</v>
      </c>
      <c r="C52" s="26">
        <v>34</v>
      </c>
      <c r="D52" s="27"/>
      <c r="E52" s="51"/>
      <c r="F52" s="51"/>
      <c r="G52" s="52"/>
      <c r="H52" s="53"/>
      <c r="I52" s="53">
        <f t="shared" si="11"/>
        <v>34</v>
      </c>
      <c r="J52" s="70">
        <f t="shared" si="1"/>
        <v>0</v>
      </c>
      <c r="K52" s="65"/>
      <c r="L52" s="51"/>
      <c r="M52" s="51"/>
      <c r="N52" s="51"/>
      <c r="O52" s="51"/>
      <c r="P52" s="51"/>
      <c r="Q52" s="102"/>
      <c r="R52" s="107">
        <f t="shared" si="2"/>
        <v>0</v>
      </c>
      <c r="S52" s="120">
        <f t="shared" si="3"/>
        <v>0</v>
      </c>
      <c r="T52" s="65"/>
      <c r="U52" s="136">
        <f>L52*6+N52*6+P52*6</f>
        <v>0</v>
      </c>
      <c r="V52" s="141">
        <f>U52/6</f>
        <v>0</v>
      </c>
      <c r="W52" s="138">
        <f>I52*6+J52</f>
        <v>204</v>
      </c>
      <c r="X52" s="139"/>
    </row>
    <row r="53" spans="1:24">
      <c r="A53" s="1">
        <f t="shared" si="7"/>
        <v>46</v>
      </c>
      <c r="B53" s="7" t="s">
        <v>64</v>
      </c>
      <c r="C53" s="10">
        <v>2</v>
      </c>
      <c r="D53" s="11"/>
      <c r="E53" s="36"/>
      <c r="F53" s="36"/>
      <c r="G53" s="37"/>
      <c r="H53" s="38"/>
      <c r="I53" s="38">
        <f t="shared" si="11"/>
        <v>2</v>
      </c>
      <c r="J53" s="63">
        <f t="shared" si="1"/>
        <v>0</v>
      </c>
      <c r="K53" s="62"/>
      <c r="L53" s="36"/>
      <c r="M53" s="36"/>
      <c r="N53" s="36"/>
      <c r="O53" s="36"/>
      <c r="P53" s="36"/>
      <c r="Q53" s="99"/>
      <c r="R53" s="108">
        <f t="shared" si="2"/>
        <v>0</v>
      </c>
      <c r="S53" s="106">
        <f t="shared" si="3"/>
        <v>0</v>
      </c>
      <c r="T53" s="62"/>
      <c r="U53" s="8">
        <f>L53*24+N53*24+P53*24</f>
        <v>0</v>
      </c>
      <c r="V53" s="33">
        <f>U53/24</f>
        <v>0</v>
      </c>
      <c r="W53" s="134">
        <f>I53*24+J53</f>
        <v>48</v>
      </c>
      <c r="X53" s="61"/>
    </row>
    <row r="54" spans="1:24">
      <c r="A54" s="1">
        <f t="shared" si="7"/>
        <v>47</v>
      </c>
      <c r="B54" s="15" t="s">
        <v>65</v>
      </c>
      <c r="C54" s="10">
        <v>11</v>
      </c>
      <c r="D54" s="11"/>
      <c r="E54" s="36"/>
      <c r="F54" s="36"/>
      <c r="G54" s="37"/>
      <c r="H54" s="38"/>
      <c r="I54" s="38">
        <f t="shared" si="11"/>
        <v>11</v>
      </c>
      <c r="J54" s="63">
        <f t="shared" si="1"/>
        <v>0</v>
      </c>
      <c r="K54" s="62"/>
      <c r="L54" s="36"/>
      <c r="M54" s="36"/>
      <c r="N54" s="36"/>
      <c r="O54" s="36"/>
      <c r="P54" s="36"/>
      <c r="Q54" s="99"/>
      <c r="R54" s="100">
        <f t="shared" si="2"/>
        <v>0</v>
      </c>
      <c r="S54" s="101">
        <f t="shared" si="3"/>
        <v>0</v>
      </c>
      <c r="T54" s="62"/>
      <c r="U54" s="8">
        <f>L54*24+N54*24+P54*24</f>
        <v>0</v>
      </c>
      <c r="V54" s="135">
        <f>U54/24</f>
        <v>0</v>
      </c>
      <c r="W54" s="134">
        <f>I54*24+J54</f>
        <v>264</v>
      </c>
      <c r="X54" s="61"/>
    </row>
    <row r="55" spans="1:24">
      <c r="A55" s="1">
        <f t="shared" si="7"/>
        <v>48</v>
      </c>
      <c r="B55" s="15"/>
      <c r="C55" s="10"/>
      <c r="D55" s="11"/>
      <c r="E55" s="36"/>
      <c r="F55" s="36"/>
      <c r="G55" s="37"/>
      <c r="H55" s="38"/>
      <c r="I55" s="38">
        <f t="shared" si="11"/>
        <v>0</v>
      </c>
      <c r="J55" s="63">
        <f t="shared" si="1"/>
        <v>0</v>
      </c>
      <c r="K55" s="62"/>
      <c r="L55" s="36"/>
      <c r="M55" s="36"/>
      <c r="N55" s="36"/>
      <c r="O55" s="36"/>
      <c r="P55" s="36"/>
      <c r="Q55" s="99"/>
      <c r="R55" s="100">
        <f t="shared" si="2"/>
        <v>0</v>
      </c>
      <c r="S55" s="101">
        <f t="shared" si="3"/>
        <v>0</v>
      </c>
      <c r="T55" s="62"/>
      <c r="U55" s="8"/>
      <c r="V55" s="135"/>
      <c r="W55" s="134"/>
      <c r="X55" s="61"/>
    </row>
    <row r="56" spans="1:24">
      <c r="A56" s="1">
        <f t="shared" si="7"/>
        <v>49</v>
      </c>
      <c r="B56" s="15"/>
      <c r="C56" s="10"/>
      <c r="D56" s="11"/>
      <c r="E56" s="36"/>
      <c r="F56" s="36"/>
      <c r="G56" s="37"/>
      <c r="H56" s="38"/>
      <c r="I56" s="38">
        <f t="shared" si="11"/>
        <v>0</v>
      </c>
      <c r="J56" s="63">
        <f t="shared" si="1"/>
        <v>0</v>
      </c>
      <c r="K56" s="62"/>
      <c r="L56" s="36"/>
      <c r="M56" s="36"/>
      <c r="N56" s="36"/>
      <c r="O56" s="36"/>
      <c r="P56" s="36"/>
      <c r="Q56" s="99"/>
      <c r="R56" s="100">
        <f t="shared" si="2"/>
        <v>0</v>
      </c>
      <c r="S56" s="101">
        <f t="shared" si="3"/>
        <v>0</v>
      </c>
      <c r="T56" s="62"/>
      <c r="U56" s="8"/>
      <c r="V56" s="135"/>
      <c r="W56" s="134"/>
      <c r="X56" s="61"/>
    </row>
    <row r="57" spans="1:24">
      <c r="A57" s="1">
        <f t="shared" si="7"/>
        <v>50</v>
      </c>
      <c r="B57" s="15"/>
      <c r="C57" s="10"/>
      <c r="D57" s="11"/>
      <c r="E57" s="36"/>
      <c r="F57" s="36"/>
      <c r="G57" s="37"/>
      <c r="H57" s="38"/>
      <c r="I57" s="38">
        <f t="shared" si="11"/>
        <v>0</v>
      </c>
      <c r="J57" s="63">
        <f t="shared" si="1"/>
        <v>0</v>
      </c>
      <c r="K57" s="62"/>
      <c r="L57" s="36"/>
      <c r="M57" s="36"/>
      <c r="N57" s="36"/>
      <c r="O57" s="36"/>
      <c r="P57" s="36"/>
      <c r="Q57" s="99"/>
      <c r="R57" s="100">
        <f t="shared" si="2"/>
        <v>0</v>
      </c>
      <c r="S57" s="101">
        <f t="shared" si="3"/>
        <v>0</v>
      </c>
      <c r="T57" s="62"/>
      <c r="U57" s="8"/>
      <c r="V57" s="135"/>
      <c r="W57" s="134"/>
      <c r="X57" s="61"/>
    </row>
    <row r="58" spans="1:24">
      <c r="A58" s="1">
        <f t="shared" si="7"/>
        <v>51</v>
      </c>
      <c r="B58" s="15"/>
      <c r="C58" s="10"/>
      <c r="D58" s="11"/>
      <c r="E58" s="36"/>
      <c r="F58" s="36"/>
      <c r="G58" s="37"/>
      <c r="H58" s="38"/>
      <c r="I58" s="38">
        <f t="shared" si="11"/>
        <v>0</v>
      </c>
      <c r="J58" s="63">
        <f t="shared" si="1"/>
        <v>0</v>
      </c>
      <c r="K58" s="62"/>
      <c r="L58" s="36"/>
      <c r="M58" s="36"/>
      <c r="N58" s="36"/>
      <c r="O58" s="36"/>
      <c r="P58" s="36"/>
      <c r="Q58" s="99"/>
      <c r="R58" s="100">
        <f t="shared" si="2"/>
        <v>0</v>
      </c>
      <c r="S58" s="101">
        <f t="shared" si="3"/>
        <v>0</v>
      </c>
      <c r="T58" s="62"/>
      <c r="U58" s="8"/>
      <c r="V58" s="135"/>
      <c r="W58" s="134"/>
      <c r="X58" s="61"/>
    </row>
    <row r="59" spans="1:24">
      <c r="A59" s="1">
        <f t="shared" si="7"/>
        <v>52</v>
      </c>
      <c r="B59" s="15"/>
      <c r="C59" s="10"/>
      <c r="D59" s="11"/>
      <c r="E59" s="36"/>
      <c r="F59" s="36"/>
      <c r="G59" s="37"/>
      <c r="H59" s="38"/>
      <c r="I59" s="38">
        <f t="shared" si="11"/>
        <v>0</v>
      </c>
      <c r="J59" s="63">
        <f t="shared" si="1"/>
        <v>0</v>
      </c>
      <c r="K59" s="62"/>
      <c r="L59" s="36"/>
      <c r="M59" s="36"/>
      <c r="N59" s="36"/>
      <c r="O59" s="36"/>
      <c r="P59" s="36"/>
      <c r="Q59" s="99"/>
      <c r="R59" s="100">
        <f t="shared" si="2"/>
        <v>0</v>
      </c>
      <c r="S59" s="101">
        <f t="shared" si="3"/>
        <v>0</v>
      </c>
      <c r="T59" s="62"/>
      <c r="U59" s="8"/>
      <c r="V59" s="135"/>
      <c r="W59" s="134"/>
      <c r="X59" s="61"/>
    </row>
    <row r="60" spans="1:24" s="2" customFormat="1">
      <c r="B60" s="28" t="s">
        <v>15</v>
      </c>
      <c r="C60" s="29">
        <f t="shared" ref="C60:J60" si="15">SUM(C8:C59)</f>
        <v>41104</v>
      </c>
      <c r="D60" s="30">
        <f t="shared" si="15"/>
        <v>154</v>
      </c>
      <c r="E60" s="54">
        <f t="shared" si="15"/>
        <v>0</v>
      </c>
      <c r="F60" s="54"/>
      <c r="G60" s="55">
        <f t="shared" si="15"/>
        <v>1438</v>
      </c>
      <c r="H60" s="56">
        <f t="shared" si="15"/>
        <v>48</v>
      </c>
      <c r="I60" s="56">
        <f t="shared" si="15"/>
        <v>39666</v>
      </c>
      <c r="J60" s="78">
        <f t="shared" si="15"/>
        <v>106</v>
      </c>
      <c r="L60" s="79">
        <f t="shared" ref="L60:S60" si="16">SUM(L8:L59)</f>
        <v>401</v>
      </c>
      <c r="M60" s="79">
        <f t="shared" si="16"/>
        <v>12</v>
      </c>
      <c r="N60" s="79">
        <f t="shared" si="16"/>
        <v>384</v>
      </c>
      <c r="O60" s="79">
        <f t="shared" si="16"/>
        <v>29</v>
      </c>
      <c r="P60" s="79">
        <f t="shared" si="16"/>
        <v>653</v>
      </c>
      <c r="Q60" s="121">
        <f t="shared" si="16"/>
        <v>7</v>
      </c>
      <c r="R60" s="122">
        <f t="shared" si="16"/>
        <v>1438</v>
      </c>
      <c r="S60" s="123">
        <f t="shared" si="16"/>
        <v>48</v>
      </c>
      <c r="U60" s="29">
        <f t="shared" ref="U60:W60" si="17">SUM(U8:U59)</f>
        <v>9996</v>
      </c>
      <c r="V60" s="152">
        <f t="shared" si="17"/>
        <v>1438</v>
      </c>
      <c r="W60" s="179">
        <f t="shared" si="17"/>
        <v>311134</v>
      </c>
      <c r="X60" s="78"/>
    </row>
    <row r="61" spans="1:24">
      <c r="V61" s="154"/>
    </row>
    <row r="62" spans="1:24" ht="18.75" customHeight="1">
      <c r="G62" s="197" t="s">
        <v>66</v>
      </c>
      <c r="H62" s="57"/>
      <c r="I62" s="57"/>
      <c r="J62" s="80" t="s">
        <v>67</v>
      </c>
      <c r="L62" s="81"/>
      <c r="M62" s="87"/>
      <c r="N62" s="88"/>
      <c r="O62" s="88"/>
      <c r="P62" s="88"/>
      <c r="Q62" s="124"/>
      <c r="R62" s="124"/>
      <c r="S62" s="125"/>
    </row>
    <row r="63" spans="1:24">
      <c r="G63" s="198"/>
      <c r="H63" s="58"/>
      <c r="I63" s="58"/>
      <c r="J63" s="82" t="s">
        <v>68</v>
      </c>
      <c r="L63" s="83"/>
      <c r="M63" s="89"/>
      <c r="N63" s="90"/>
      <c r="O63" s="90"/>
      <c r="P63" s="90"/>
      <c r="Q63" s="126"/>
      <c r="R63" s="126"/>
      <c r="S63" s="127"/>
    </row>
    <row r="64" spans="1:24">
      <c r="G64" s="199"/>
      <c r="H64" s="59"/>
      <c r="I64" s="59"/>
      <c r="J64" s="82" t="s">
        <v>69</v>
      </c>
      <c r="L64" s="84"/>
      <c r="M64" s="91"/>
      <c r="N64" s="92"/>
      <c r="O64" s="92"/>
      <c r="P64" s="92"/>
      <c r="Q64" s="128"/>
      <c r="R64" s="128"/>
      <c r="S64" s="129"/>
    </row>
    <row r="65" spans="2:24">
      <c r="G65" s="200" t="s">
        <v>70</v>
      </c>
      <c r="H65" s="164"/>
      <c r="I65" s="164"/>
      <c r="J65" s="82" t="s">
        <v>67</v>
      </c>
      <c r="L65" s="84"/>
      <c r="M65" s="91"/>
      <c r="N65" s="92"/>
      <c r="O65" s="92"/>
      <c r="P65" s="92"/>
      <c r="Q65" s="128"/>
      <c r="R65" s="128"/>
      <c r="S65" s="129"/>
    </row>
    <row r="66" spans="2:24">
      <c r="G66" s="200"/>
      <c r="H66" s="164"/>
      <c r="I66" s="164"/>
      <c r="J66" s="82" t="s">
        <v>68</v>
      </c>
      <c r="L66" s="83"/>
      <c r="M66" s="89"/>
      <c r="N66" s="90"/>
      <c r="O66" s="90"/>
      <c r="P66" s="90"/>
      <c r="Q66" s="126"/>
      <c r="R66" s="126"/>
      <c r="S66" s="127"/>
    </row>
    <row r="67" spans="2:24">
      <c r="G67" s="201"/>
      <c r="H67" s="165"/>
      <c r="I67" s="165"/>
      <c r="J67" s="167" t="s">
        <v>69</v>
      </c>
      <c r="L67" s="168"/>
      <c r="M67" s="170"/>
      <c r="N67" s="171"/>
      <c r="O67" s="171"/>
      <c r="P67" s="171"/>
      <c r="Q67" s="174"/>
      <c r="R67" s="174"/>
      <c r="S67" s="175"/>
    </row>
    <row r="69" spans="2:24" ht="49.5" customHeight="1">
      <c r="B69" s="159" t="s">
        <v>71</v>
      </c>
      <c r="C69" s="5" t="s">
        <v>4</v>
      </c>
      <c r="D69" s="6"/>
      <c r="E69" s="166" t="s">
        <v>72</v>
      </c>
      <c r="L69" s="169" t="s">
        <v>12</v>
      </c>
      <c r="M69" s="172"/>
      <c r="N69" s="173" t="s">
        <v>13</v>
      </c>
      <c r="O69" s="173"/>
      <c r="P69" s="173" t="s">
        <v>14</v>
      </c>
      <c r="Q69" s="176"/>
      <c r="R69" s="176"/>
      <c r="S69" s="177" t="s">
        <v>73</v>
      </c>
      <c r="X69" s="178" t="s">
        <v>74</v>
      </c>
    </row>
    <row r="70" spans="2:24">
      <c r="B70" s="160" t="s">
        <v>47</v>
      </c>
      <c r="C70" s="161"/>
      <c r="D70" s="161"/>
      <c r="E70" s="163"/>
      <c r="L70" s="161"/>
      <c r="M70" s="161"/>
      <c r="N70" s="161"/>
      <c r="O70" s="161"/>
      <c r="P70" s="161"/>
      <c r="Q70" s="161"/>
      <c r="R70" s="161"/>
      <c r="S70" s="161"/>
      <c r="X70" s="163"/>
    </row>
    <row r="71" spans="2:24">
      <c r="B71" s="162" t="s">
        <v>75</v>
      </c>
      <c r="C71" s="161"/>
      <c r="D71" s="161"/>
      <c r="E71" s="163"/>
      <c r="L71" s="163"/>
      <c r="M71" s="163"/>
      <c r="N71" s="163"/>
      <c r="O71" s="163"/>
      <c r="P71" s="163"/>
      <c r="Q71" s="163"/>
      <c r="R71" s="163"/>
      <c r="S71" s="163"/>
      <c r="X71" s="163"/>
    </row>
    <row r="72" spans="2:24">
      <c r="B72" s="162" t="s">
        <v>76</v>
      </c>
      <c r="C72" s="161"/>
      <c r="D72" s="161"/>
      <c r="E72" s="163"/>
      <c r="L72" s="163"/>
      <c r="M72" s="163"/>
      <c r="N72" s="163"/>
      <c r="O72" s="163"/>
      <c r="P72" s="163"/>
      <c r="Q72" s="163"/>
      <c r="R72" s="163"/>
      <c r="S72" s="163"/>
      <c r="X72" s="163"/>
    </row>
    <row r="73" spans="2:24" ht="11.25" customHeight="1"/>
    <row r="74" spans="2:24">
      <c r="B74" s="162" t="s">
        <v>77</v>
      </c>
      <c r="C74" s="163"/>
      <c r="D74" s="163"/>
      <c r="E74" s="163"/>
      <c r="L74" s="163"/>
      <c r="M74" s="163"/>
      <c r="N74" s="163"/>
      <c r="O74" s="163"/>
      <c r="P74" s="163"/>
      <c r="Q74" s="163"/>
      <c r="R74" s="163"/>
      <c r="S74" s="163"/>
      <c r="X74" s="163"/>
    </row>
    <row r="75" spans="2:24">
      <c r="B75" s="162" t="s">
        <v>75</v>
      </c>
      <c r="C75" s="163"/>
      <c r="D75" s="163"/>
      <c r="E75" s="163"/>
      <c r="L75" s="163"/>
      <c r="M75" s="163"/>
      <c r="N75" s="163"/>
      <c r="O75" s="163"/>
      <c r="P75" s="163"/>
      <c r="Q75" s="163"/>
      <c r="R75" s="163"/>
      <c r="S75" s="163"/>
      <c r="X75" s="163"/>
    </row>
    <row r="76" spans="2:24">
      <c r="B76" s="162" t="s">
        <v>76</v>
      </c>
      <c r="C76" s="163"/>
      <c r="D76" s="163"/>
      <c r="E76" s="163"/>
      <c r="L76" s="163"/>
      <c r="M76" s="163"/>
      <c r="N76" s="163"/>
      <c r="O76" s="163"/>
      <c r="P76" s="163"/>
      <c r="Q76" s="163"/>
      <c r="R76" s="163"/>
      <c r="S76" s="163"/>
      <c r="X76" s="163"/>
    </row>
    <row r="77" spans="2:24" ht="11.25" customHeight="1"/>
    <row r="78" spans="2:24">
      <c r="B78" s="162" t="s">
        <v>78</v>
      </c>
      <c r="C78" s="163"/>
      <c r="D78" s="163"/>
      <c r="E78" s="163"/>
      <c r="L78" s="163"/>
      <c r="M78" s="163"/>
      <c r="N78" s="163"/>
      <c r="O78" s="163"/>
      <c r="P78" s="163"/>
      <c r="Q78" s="163"/>
      <c r="R78" s="163"/>
      <c r="S78" s="163"/>
      <c r="X78" s="163"/>
    </row>
    <row r="79" spans="2:24">
      <c r="B79" s="162" t="s">
        <v>75</v>
      </c>
      <c r="C79" s="163"/>
      <c r="D79" s="163"/>
      <c r="E79" s="163"/>
      <c r="L79" s="163"/>
      <c r="M79" s="163"/>
      <c r="N79" s="163"/>
      <c r="O79" s="163"/>
      <c r="P79" s="163"/>
      <c r="Q79" s="163"/>
      <c r="R79" s="163"/>
      <c r="S79" s="163"/>
      <c r="X79" s="163"/>
    </row>
    <row r="80" spans="2:24">
      <c r="B80" s="162" t="s">
        <v>76</v>
      </c>
      <c r="C80" s="163"/>
      <c r="D80" s="163"/>
      <c r="E80" s="163"/>
      <c r="L80" s="163"/>
      <c r="M80" s="163"/>
      <c r="N80" s="163"/>
      <c r="O80" s="163"/>
      <c r="P80" s="163"/>
      <c r="Q80" s="163"/>
      <c r="R80" s="163"/>
      <c r="S80" s="163"/>
      <c r="X80" s="163"/>
    </row>
    <row r="81" spans="2:24" ht="11.25" customHeight="1"/>
    <row r="82" spans="2:24">
      <c r="B82" s="162" t="s">
        <v>79</v>
      </c>
      <c r="C82" s="163"/>
      <c r="D82" s="163"/>
      <c r="E82" s="163"/>
      <c r="L82" s="163"/>
      <c r="M82" s="163"/>
      <c r="N82" s="163"/>
      <c r="O82" s="163"/>
      <c r="P82" s="163"/>
      <c r="Q82" s="163"/>
      <c r="R82" s="163"/>
      <c r="S82" s="163"/>
      <c r="X82" s="163"/>
    </row>
    <row r="83" spans="2:24">
      <c r="B83" s="162" t="s">
        <v>75</v>
      </c>
      <c r="C83" s="163"/>
      <c r="D83" s="163"/>
      <c r="E83" s="163"/>
      <c r="L83" s="163"/>
      <c r="M83" s="163"/>
      <c r="N83" s="163"/>
      <c r="O83" s="163"/>
      <c r="P83" s="163"/>
      <c r="Q83" s="163"/>
      <c r="R83" s="163"/>
      <c r="S83" s="163"/>
      <c r="X83" s="163"/>
    </row>
    <row r="84" spans="2:24">
      <c r="B84" s="162" t="s">
        <v>76</v>
      </c>
      <c r="C84" s="161"/>
      <c r="D84" s="161"/>
      <c r="E84" s="163"/>
      <c r="L84" s="163"/>
      <c r="M84" s="163"/>
      <c r="N84" s="163"/>
      <c r="O84" s="163"/>
      <c r="P84" s="163"/>
      <c r="Q84" s="163"/>
      <c r="R84" s="163"/>
      <c r="S84" s="163"/>
      <c r="X84" s="163"/>
    </row>
    <row r="85" spans="2:24" ht="11.25" customHeight="1"/>
    <row r="86" spans="2:24">
      <c r="B86" s="162" t="s">
        <v>80</v>
      </c>
      <c r="C86" s="163"/>
      <c r="D86" s="163"/>
      <c r="E86" s="163"/>
      <c r="L86" s="163"/>
      <c r="M86" s="163"/>
      <c r="N86" s="163"/>
      <c r="O86" s="163"/>
      <c r="P86" s="163"/>
      <c r="Q86" s="163"/>
      <c r="R86" s="163"/>
      <c r="S86" s="163"/>
      <c r="X86" s="163"/>
    </row>
    <row r="87" spans="2:24">
      <c r="B87" s="162" t="s">
        <v>75</v>
      </c>
      <c r="C87" s="163"/>
      <c r="D87" s="163"/>
      <c r="E87" s="163"/>
      <c r="L87" s="163"/>
      <c r="M87" s="163"/>
      <c r="N87" s="163"/>
      <c r="O87" s="163"/>
      <c r="P87" s="163"/>
      <c r="Q87" s="163"/>
      <c r="R87" s="163"/>
      <c r="S87" s="163"/>
      <c r="X87" s="163"/>
    </row>
    <row r="88" spans="2:24">
      <c r="B88" s="162" t="s">
        <v>76</v>
      </c>
      <c r="C88" s="163"/>
      <c r="D88" s="163"/>
      <c r="E88" s="163"/>
      <c r="L88" s="163"/>
      <c r="M88" s="163"/>
      <c r="N88" s="163"/>
      <c r="O88" s="163"/>
      <c r="P88" s="163"/>
      <c r="Q88" s="163"/>
      <c r="R88" s="163"/>
      <c r="S88" s="163"/>
      <c r="X88" s="163"/>
    </row>
    <row r="90" spans="2:24">
      <c r="B90" s="162" t="s">
        <v>81</v>
      </c>
      <c r="C90" s="163"/>
      <c r="D90" s="163"/>
      <c r="E90" s="163"/>
      <c r="L90" s="163"/>
      <c r="M90" s="163"/>
      <c r="N90" s="163"/>
      <c r="O90" s="163"/>
      <c r="P90" s="163"/>
      <c r="Q90" s="163"/>
      <c r="R90" s="163"/>
      <c r="S90" s="163"/>
      <c r="X90" s="163"/>
    </row>
  </sheetData>
  <mergeCells count="12">
    <mergeCell ref="G62:G64"/>
    <mergeCell ref="G65:G67"/>
    <mergeCell ref="H4:H5"/>
    <mergeCell ref="I4:I5"/>
    <mergeCell ref="J4:J5"/>
    <mergeCell ref="P1:X1"/>
    <mergeCell ref="E4:F4"/>
    <mergeCell ref="L4:X4"/>
    <mergeCell ref="B4:B5"/>
    <mergeCell ref="C4:C5"/>
    <mergeCell ref="D4:D5"/>
    <mergeCell ref="G4:G5"/>
  </mergeCells>
  <printOptions horizontalCentered="1" verticalCentered="1"/>
  <pageMargins left="0.196850393700787" right="0.196850393700787" top="0.196850393700787" bottom="0.196850393700787" header="0.511811023622047" footer="0.511811023622047"/>
  <pageSetup paperSize="9" scale="51" orientation="portrait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BH90"/>
  <sheetViews>
    <sheetView zoomScaleNormal="100" zoomScaleSheetLayoutView="85" zoomScalePageLayoutView="80" workbookViewId="0">
      <selection activeCell="P1" sqref="P1:X1"/>
    </sheetView>
  </sheetViews>
  <sheetFormatPr defaultColWidth="9.140625" defaultRowHeight="18.75"/>
  <cols>
    <col min="1" max="1" width="5.42578125" style="3" customWidth="1"/>
    <col min="2" max="2" width="12.28515625" style="3" customWidth="1"/>
    <col min="3" max="3" width="12.7109375" style="3" customWidth="1"/>
    <col min="4" max="4" width="8.5703125" style="3" bestFit="1" customWidth="1"/>
    <col min="5" max="5" width="12.140625" style="3" customWidth="1"/>
    <col min="6" max="6" width="9.85546875" style="3" customWidth="1"/>
    <col min="7" max="7" width="11" style="3" customWidth="1"/>
    <col min="8" max="8" width="8" style="3" customWidth="1"/>
    <col min="9" max="9" width="14.7109375" style="3" customWidth="1"/>
    <col min="10" max="10" width="8.28515625" style="3" customWidth="1"/>
    <col min="11" max="11" width="1.28515625" style="3" customWidth="1"/>
    <col min="12" max="12" width="11" style="3" customWidth="1"/>
    <col min="13" max="13" width="7.85546875" style="3" customWidth="1"/>
    <col min="14" max="14" width="11" style="3" customWidth="1"/>
    <col min="15" max="15" width="6.5703125" style="3" customWidth="1"/>
    <col min="16" max="16" width="11" style="3" customWidth="1"/>
    <col min="17" max="17" width="6.5703125" style="3" customWidth="1"/>
    <col min="18" max="18" width="9.5703125" style="3" customWidth="1"/>
    <col min="19" max="19" width="8.140625" style="3" customWidth="1"/>
    <col min="20" max="20" width="1.28515625" style="3" customWidth="1"/>
    <col min="21" max="21" width="12.7109375" style="3" customWidth="1"/>
    <col min="22" max="22" width="12.7109375" style="3" hidden="1" customWidth="1"/>
    <col min="23" max="23" width="14.5703125" style="3" customWidth="1"/>
    <col min="24" max="24" width="11.5703125" style="3" customWidth="1"/>
    <col min="25" max="25" width="2" style="3" customWidth="1"/>
    <col min="26" max="26" width="10.5703125" style="3" customWidth="1"/>
    <col min="27" max="55" width="7.28515625" style="3" customWidth="1"/>
    <col min="56" max="56" width="1.5703125" style="3" customWidth="1"/>
    <col min="57" max="57" width="9.42578125" style="3" customWidth="1"/>
    <col min="58" max="58" width="1.28515625" style="3" customWidth="1"/>
    <col min="59" max="59" width="12.7109375" style="3" customWidth="1"/>
    <col min="60" max="60" width="10.28515625" style="3" customWidth="1"/>
    <col min="61" max="16384" width="9.140625" style="3"/>
  </cols>
  <sheetData>
    <row r="1" spans="1:60">
      <c r="B1" s="2" t="s">
        <v>0</v>
      </c>
      <c r="N1" s="3" t="s">
        <v>1</v>
      </c>
      <c r="P1" s="183">
        <v>46155</v>
      </c>
      <c r="Q1" s="184"/>
      <c r="R1" s="184"/>
      <c r="S1" s="184"/>
      <c r="T1" s="184"/>
      <c r="U1" s="184"/>
      <c r="V1" s="184"/>
      <c r="W1" s="184"/>
      <c r="X1" s="185"/>
    </row>
    <row r="2" spans="1:60" ht="15" customHeight="1">
      <c r="B2" s="2" t="s">
        <v>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4" spans="1:60" ht="19.5" customHeight="1">
      <c r="A4" s="4"/>
      <c r="B4" s="192" t="s">
        <v>3</v>
      </c>
      <c r="C4" s="193" t="s">
        <v>4</v>
      </c>
      <c r="D4" s="194" t="s">
        <v>5</v>
      </c>
      <c r="E4" s="186" t="s">
        <v>6</v>
      </c>
      <c r="F4" s="187"/>
      <c r="G4" s="195" t="s">
        <v>7</v>
      </c>
      <c r="H4" s="202" t="s">
        <v>5</v>
      </c>
      <c r="I4" s="204" t="s">
        <v>8</v>
      </c>
      <c r="J4" s="202" t="s">
        <v>5</v>
      </c>
      <c r="L4" s="188" t="s">
        <v>9</v>
      </c>
      <c r="M4" s="189"/>
      <c r="N4" s="189"/>
      <c r="O4" s="189"/>
      <c r="P4" s="189"/>
      <c r="Q4" s="189"/>
      <c r="R4" s="189"/>
      <c r="S4" s="189"/>
      <c r="T4" s="189"/>
      <c r="U4" s="189"/>
      <c r="V4" s="190"/>
      <c r="W4" s="189"/>
      <c r="X4" s="191"/>
    </row>
    <row r="5" spans="1:60" s="1" customFormat="1" ht="56.25">
      <c r="A5" s="4"/>
      <c r="B5" s="192"/>
      <c r="C5" s="193"/>
      <c r="D5" s="194"/>
      <c r="E5" s="31" t="s">
        <v>10</v>
      </c>
      <c r="F5" s="32" t="s">
        <v>11</v>
      </c>
      <c r="G5" s="196"/>
      <c r="H5" s="203"/>
      <c r="I5" s="205"/>
      <c r="J5" s="203"/>
      <c r="L5" s="60" t="s">
        <v>12</v>
      </c>
      <c r="M5" s="85" t="s">
        <v>5</v>
      </c>
      <c r="N5" s="86" t="s">
        <v>13</v>
      </c>
      <c r="O5" s="85" t="s">
        <v>5</v>
      </c>
      <c r="P5" s="86" t="s">
        <v>14</v>
      </c>
      <c r="Q5" s="85" t="s">
        <v>5</v>
      </c>
      <c r="R5" s="93" t="s">
        <v>15</v>
      </c>
      <c r="S5" s="94" t="s">
        <v>5</v>
      </c>
      <c r="T5" s="95"/>
      <c r="U5" s="130" t="s">
        <v>16</v>
      </c>
      <c r="V5" s="131" t="s">
        <v>17</v>
      </c>
      <c r="W5" s="132" t="s">
        <v>18</v>
      </c>
      <c r="X5" s="133" t="s">
        <v>19</v>
      </c>
      <c r="AL5" s="156"/>
      <c r="AM5" s="156"/>
      <c r="AN5" s="156"/>
      <c r="AO5" s="156"/>
      <c r="AP5" s="156"/>
      <c r="AQ5" s="156"/>
      <c r="AR5" s="156"/>
      <c r="AS5" s="156"/>
      <c r="AT5" s="156"/>
      <c r="AU5" s="156"/>
      <c r="AV5" s="156"/>
      <c r="AW5" s="156"/>
      <c r="AX5" s="156"/>
      <c r="AY5" s="156"/>
      <c r="AZ5" s="156"/>
      <c r="BA5" s="156"/>
      <c r="BB5" s="156"/>
      <c r="BC5" s="156"/>
      <c r="BD5" s="156"/>
      <c r="BE5" s="156"/>
      <c r="BF5" s="156"/>
      <c r="BG5" s="156"/>
      <c r="BH5" s="156"/>
    </row>
    <row r="6" spans="1:60" s="1" customFormat="1">
      <c r="B6" s="7"/>
      <c r="C6" s="8"/>
      <c r="D6" s="9"/>
      <c r="E6" s="33"/>
      <c r="F6" s="33"/>
      <c r="G6" s="34"/>
      <c r="H6" s="35"/>
      <c r="I6" s="35"/>
      <c r="J6" s="61"/>
      <c r="K6" s="62"/>
      <c r="L6" s="33"/>
      <c r="M6" s="33"/>
      <c r="N6" s="33"/>
      <c r="O6" s="33"/>
      <c r="P6" s="33"/>
      <c r="Q6" s="96"/>
      <c r="R6" s="97"/>
      <c r="S6" s="98"/>
      <c r="T6" s="62"/>
      <c r="U6" s="8"/>
      <c r="V6" s="33"/>
      <c r="W6" s="134"/>
      <c r="X6" s="61"/>
      <c r="AL6" s="156"/>
      <c r="AM6" s="156"/>
      <c r="AN6" s="156"/>
      <c r="AO6" s="156"/>
      <c r="AP6" s="156"/>
      <c r="AQ6" s="156"/>
      <c r="AR6" s="156"/>
      <c r="AS6" s="156"/>
      <c r="AT6" s="156"/>
      <c r="AU6" s="156"/>
      <c r="AV6" s="156"/>
      <c r="AW6" s="156"/>
      <c r="AX6" s="156"/>
      <c r="AY6" s="156"/>
      <c r="AZ6" s="156"/>
      <c r="BA6" s="156"/>
      <c r="BB6" s="156"/>
      <c r="BC6" s="156"/>
      <c r="BD6" s="156"/>
      <c r="BE6" s="156"/>
      <c r="BF6" s="156"/>
      <c r="BG6" s="156"/>
      <c r="BH6" s="156"/>
    </row>
    <row r="7" spans="1:60" s="1" customFormat="1">
      <c r="B7" s="7"/>
      <c r="C7" s="8"/>
      <c r="D7" s="9"/>
      <c r="E7" s="33"/>
      <c r="F7" s="33"/>
      <c r="G7" s="34"/>
      <c r="H7" s="35"/>
      <c r="I7" s="35"/>
      <c r="J7" s="61"/>
      <c r="K7" s="62"/>
      <c r="L7" s="33"/>
      <c r="M7" s="33"/>
      <c r="N7" s="33"/>
      <c r="O7" s="33"/>
      <c r="P7" s="33"/>
      <c r="Q7" s="96"/>
      <c r="R7" s="97"/>
      <c r="S7" s="98"/>
      <c r="T7" s="62"/>
      <c r="U7" s="8"/>
      <c r="V7" s="135"/>
      <c r="W7" s="134"/>
      <c r="X7" s="61"/>
      <c r="AL7" s="156"/>
      <c r="AM7" s="156"/>
      <c r="AN7" s="156"/>
      <c r="AO7" s="156"/>
      <c r="AP7" s="156"/>
      <c r="AQ7" s="156"/>
      <c r="AR7" s="156"/>
      <c r="AS7" s="156"/>
      <c r="AT7" s="156"/>
      <c r="AU7" s="156"/>
      <c r="AV7" s="156"/>
      <c r="AW7" s="156"/>
      <c r="AX7" s="156"/>
      <c r="AY7" s="156"/>
      <c r="AZ7" s="156"/>
      <c r="BA7" s="156"/>
      <c r="BB7" s="156"/>
      <c r="BC7" s="156"/>
      <c r="BD7" s="156"/>
      <c r="BE7" s="156"/>
      <c r="BF7" s="156"/>
      <c r="BG7" s="156"/>
      <c r="BH7" s="156"/>
    </row>
    <row r="8" spans="1:60">
      <c r="A8" s="1">
        <v>1</v>
      </c>
      <c r="B8" s="7" t="s">
        <v>20</v>
      </c>
      <c r="C8" s="10">
        <v>12</v>
      </c>
      <c r="D8" s="11">
        <v>19</v>
      </c>
      <c r="E8" s="36"/>
      <c r="F8" s="36"/>
      <c r="G8" s="37"/>
      <c r="H8" s="38"/>
      <c r="I8" s="38">
        <f t="shared" ref="I8:I43" si="0">C8-G8</f>
        <v>12</v>
      </c>
      <c r="J8" s="63">
        <f t="shared" ref="J8:J59" si="1">D8-H8</f>
        <v>19</v>
      </c>
      <c r="K8" s="62"/>
      <c r="L8" s="36"/>
      <c r="M8" s="36"/>
      <c r="N8" s="36"/>
      <c r="O8" s="36"/>
      <c r="P8" s="36"/>
      <c r="Q8" s="99"/>
      <c r="R8" s="100">
        <f t="shared" ref="R8:R59" si="2">L8+N8+P8</f>
        <v>0</v>
      </c>
      <c r="S8" s="101">
        <f t="shared" ref="S8:S59" si="3">M8+O8+Q8</f>
        <v>0</v>
      </c>
      <c r="T8" s="62"/>
      <c r="U8" s="8">
        <f t="shared" ref="U8:U37" si="4">L8*24+N8*24+P8*24</f>
        <v>0</v>
      </c>
      <c r="V8" s="135">
        <f t="shared" ref="V8:V37" si="5">U8/24</f>
        <v>0</v>
      </c>
      <c r="W8" s="134">
        <f t="shared" ref="W8:W37" si="6">I8*24+J8</f>
        <v>307</v>
      </c>
      <c r="X8" s="61"/>
      <c r="AL8" s="157"/>
      <c r="AM8" s="157"/>
      <c r="AN8" s="157"/>
      <c r="AO8" s="157"/>
      <c r="AP8" s="157"/>
      <c r="AQ8" s="157"/>
      <c r="AR8" s="157"/>
      <c r="AS8" s="157"/>
      <c r="AT8" s="157"/>
      <c r="AU8" s="157"/>
      <c r="AV8" s="157"/>
      <c r="AW8" s="157"/>
      <c r="AX8" s="157"/>
      <c r="AY8" s="157"/>
      <c r="AZ8" s="157"/>
      <c r="BA8" s="157"/>
      <c r="BB8" s="157"/>
      <c r="BC8" s="157"/>
      <c r="BD8" s="157"/>
      <c r="BE8" s="157"/>
      <c r="BF8" s="157"/>
      <c r="BG8" s="157"/>
      <c r="BH8" s="157"/>
    </row>
    <row r="9" spans="1:60">
      <c r="A9" s="1">
        <f t="shared" ref="A9:A59" si="7">A8+1</f>
        <v>2</v>
      </c>
      <c r="B9" s="12" t="s">
        <v>21</v>
      </c>
      <c r="C9" s="13">
        <v>76</v>
      </c>
      <c r="D9" s="14"/>
      <c r="E9" s="39"/>
      <c r="F9" s="39"/>
      <c r="G9" s="40"/>
      <c r="H9" s="41"/>
      <c r="I9" s="40">
        <f t="shared" si="0"/>
        <v>76</v>
      </c>
      <c r="J9" s="64">
        <f t="shared" si="1"/>
        <v>0</v>
      </c>
      <c r="K9" s="65"/>
      <c r="L9" s="51"/>
      <c r="M9" s="51"/>
      <c r="N9" s="51"/>
      <c r="O9" s="51"/>
      <c r="P9" s="51"/>
      <c r="Q9" s="102"/>
      <c r="R9" s="103">
        <f t="shared" si="2"/>
        <v>0</v>
      </c>
      <c r="S9" s="104">
        <f t="shared" si="3"/>
        <v>0</v>
      </c>
      <c r="T9" s="65"/>
      <c r="U9" s="136">
        <f t="shared" si="4"/>
        <v>0</v>
      </c>
      <c r="V9" s="137">
        <f t="shared" si="5"/>
        <v>0</v>
      </c>
      <c r="W9" s="138">
        <f t="shared" si="6"/>
        <v>1824</v>
      </c>
      <c r="X9" s="139"/>
      <c r="AL9" s="157"/>
      <c r="AM9" s="157"/>
      <c r="AN9" s="157"/>
      <c r="AO9" s="157"/>
      <c r="AP9" s="157"/>
      <c r="AQ9" s="157"/>
      <c r="AR9" s="157"/>
      <c r="AS9" s="157"/>
      <c r="AT9" s="157"/>
      <c r="AU9" s="157"/>
      <c r="AV9" s="157"/>
      <c r="AW9" s="157"/>
      <c r="AX9" s="157"/>
      <c r="AY9" s="157"/>
      <c r="AZ9" s="157"/>
      <c r="BA9" s="157"/>
      <c r="BB9" s="157"/>
      <c r="BC9" s="157"/>
      <c r="BD9" s="157"/>
      <c r="BE9" s="157"/>
      <c r="BF9" s="157"/>
      <c r="BG9" s="157"/>
      <c r="BH9" s="157"/>
    </row>
    <row r="10" spans="1:60">
      <c r="A10" s="1">
        <f t="shared" si="7"/>
        <v>3</v>
      </c>
      <c r="B10" s="7" t="s">
        <v>22</v>
      </c>
      <c r="C10" s="10">
        <v>46</v>
      </c>
      <c r="D10" s="11"/>
      <c r="E10" s="36"/>
      <c r="F10" s="36"/>
      <c r="G10" s="37">
        <v>2</v>
      </c>
      <c r="H10" s="38"/>
      <c r="I10" s="38">
        <f t="shared" si="0"/>
        <v>44</v>
      </c>
      <c r="J10" s="66">
        <f t="shared" si="1"/>
        <v>0</v>
      </c>
      <c r="K10" s="62"/>
      <c r="L10" s="36"/>
      <c r="M10" s="36"/>
      <c r="N10" s="36">
        <v>2</v>
      </c>
      <c r="O10" s="36"/>
      <c r="P10" s="36"/>
      <c r="Q10" s="99"/>
      <c r="R10" s="105">
        <f t="shared" si="2"/>
        <v>2</v>
      </c>
      <c r="S10" s="106">
        <f t="shared" si="3"/>
        <v>0</v>
      </c>
      <c r="T10" s="62"/>
      <c r="U10" s="8">
        <f t="shared" si="4"/>
        <v>48</v>
      </c>
      <c r="V10" s="140">
        <f t="shared" si="5"/>
        <v>2</v>
      </c>
      <c r="W10" s="134">
        <f t="shared" si="6"/>
        <v>1056</v>
      </c>
      <c r="X10" s="61"/>
      <c r="AL10" s="157"/>
      <c r="AM10" s="157"/>
      <c r="AN10" s="157"/>
      <c r="AO10" s="157"/>
      <c r="AP10" s="157"/>
      <c r="AQ10" s="157"/>
      <c r="AR10" s="157"/>
      <c r="AS10" s="157"/>
      <c r="AT10" s="157"/>
      <c r="AU10" s="157"/>
      <c r="AV10" s="157"/>
      <c r="AW10" s="157"/>
      <c r="AX10" s="157"/>
      <c r="AY10" s="157"/>
      <c r="AZ10" s="157"/>
      <c r="BA10" s="157"/>
      <c r="BB10" s="157"/>
      <c r="BC10" s="157"/>
      <c r="BD10" s="157"/>
      <c r="BE10" s="157"/>
      <c r="BF10" s="157"/>
      <c r="BG10" s="157"/>
      <c r="BH10" s="157"/>
    </row>
    <row r="11" spans="1:60">
      <c r="A11" s="1">
        <f t="shared" si="7"/>
        <v>4</v>
      </c>
      <c r="B11" s="15" t="s">
        <v>23</v>
      </c>
      <c r="C11" s="10">
        <v>45</v>
      </c>
      <c r="D11" s="11"/>
      <c r="E11" s="36"/>
      <c r="F11" s="36"/>
      <c r="G11" s="37">
        <v>2</v>
      </c>
      <c r="H11" s="38"/>
      <c r="I11" s="38">
        <f t="shared" si="0"/>
        <v>43</v>
      </c>
      <c r="J11" s="63">
        <f t="shared" si="1"/>
        <v>0</v>
      </c>
      <c r="K11" s="62"/>
      <c r="L11" s="36">
        <v>2</v>
      </c>
      <c r="M11" s="36"/>
      <c r="N11" s="36"/>
      <c r="O11" s="36"/>
      <c r="P11" s="36"/>
      <c r="Q11" s="99"/>
      <c r="R11" s="100">
        <f t="shared" si="2"/>
        <v>2</v>
      </c>
      <c r="S11" s="101">
        <f t="shared" si="3"/>
        <v>0</v>
      </c>
      <c r="T11" s="62"/>
      <c r="U11" s="8">
        <f t="shared" si="4"/>
        <v>48</v>
      </c>
      <c r="V11" s="135">
        <f t="shared" si="5"/>
        <v>2</v>
      </c>
      <c r="W11" s="134">
        <f t="shared" si="6"/>
        <v>1032</v>
      </c>
      <c r="X11" s="61"/>
      <c r="AL11" s="157"/>
      <c r="AM11" s="157"/>
      <c r="AN11" s="157"/>
      <c r="AO11" s="157"/>
      <c r="AP11" s="157"/>
      <c r="AQ11" s="157"/>
      <c r="AR11" s="157"/>
      <c r="AS11" s="157"/>
      <c r="AT11" s="157"/>
      <c r="AU11" s="157"/>
      <c r="AV11" s="157"/>
      <c r="AW11" s="157"/>
      <c r="AX11" s="157"/>
      <c r="AY11" s="157"/>
      <c r="AZ11" s="157"/>
      <c r="BA11" s="157"/>
      <c r="BB11" s="157"/>
      <c r="BC11" s="157"/>
      <c r="BD11" s="157"/>
      <c r="BE11" s="157"/>
      <c r="BF11" s="157"/>
      <c r="BG11" s="157"/>
      <c r="BH11" s="157"/>
    </row>
    <row r="12" spans="1:60">
      <c r="A12" s="1">
        <f t="shared" si="7"/>
        <v>5</v>
      </c>
      <c r="B12" s="15" t="s">
        <v>24</v>
      </c>
      <c r="C12" s="10"/>
      <c r="D12" s="11">
        <v>2</v>
      </c>
      <c r="E12" s="36"/>
      <c r="F12" s="36"/>
      <c r="G12" s="37"/>
      <c r="H12" s="38"/>
      <c r="I12" s="38">
        <f t="shared" si="0"/>
        <v>0</v>
      </c>
      <c r="J12" s="63">
        <f t="shared" si="1"/>
        <v>2</v>
      </c>
      <c r="K12" s="62"/>
      <c r="L12" s="36"/>
      <c r="M12" s="36"/>
      <c r="N12" s="36"/>
      <c r="O12" s="36"/>
      <c r="P12" s="36"/>
      <c r="Q12" s="99"/>
      <c r="R12" s="100">
        <f t="shared" si="2"/>
        <v>0</v>
      </c>
      <c r="S12" s="101">
        <f t="shared" si="3"/>
        <v>0</v>
      </c>
      <c r="T12" s="62"/>
      <c r="U12" s="8">
        <f t="shared" si="4"/>
        <v>0</v>
      </c>
      <c r="V12" s="135">
        <f t="shared" si="5"/>
        <v>0</v>
      </c>
      <c r="W12" s="134">
        <f t="shared" si="6"/>
        <v>2</v>
      </c>
      <c r="X12" s="61"/>
      <c r="AL12" s="157"/>
      <c r="AM12" s="157"/>
      <c r="AN12" s="157"/>
      <c r="AO12" s="157"/>
      <c r="AP12" s="157"/>
      <c r="AQ12" s="157"/>
      <c r="AR12" s="157"/>
      <c r="AS12" s="157"/>
      <c r="AT12" s="157"/>
      <c r="AU12" s="157"/>
      <c r="AV12" s="157"/>
      <c r="AW12" s="157"/>
      <c r="AX12" s="157"/>
      <c r="AY12" s="157"/>
      <c r="AZ12" s="157"/>
      <c r="BA12" s="157"/>
      <c r="BB12" s="157"/>
      <c r="BC12" s="157"/>
      <c r="BD12" s="157"/>
      <c r="BE12" s="157"/>
      <c r="BF12" s="157"/>
      <c r="BG12" s="157"/>
      <c r="BH12" s="157"/>
    </row>
    <row r="13" spans="1:60" s="2" customFormat="1">
      <c r="A13" s="1">
        <f t="shared" si="7"/>
        <v>6</v>
      </c>
      <c r="B13" s="12" t="s">
        <v>25</v>
      </c>
      <c r="C13" s="13">
        <v>3380</v>
      </c>
      <c r="D13" s="14">
        <v>11</v>
      </c>
      <c r="E13" s="39"/>
      <c r="F13" s="39"/>
      <c r="G13" s="40">
        <v>21</v>
      </c>
      <c r="H13" s="41">
        <v>16</v>
      </c>
      <c r="I13" s="44">
        <f t="shared" si="0"/>
        <v>3359</v>
      </c>
      <c r="J13" s="64">
        <f t="shared" si="1"/>
        <v>-5</v>
      </c>
      <c r="K13" s="67"/>
      <c r="L13" s="51">
        <v>9</v>
      </c>
      <c r="M13" s="51"/>
      <c r="N13" s="51">
        <v>12</v>
      </c>
      <c r="O13" s="51">
        <v>16</v>
      </c>
      <c r="P13" s="51"/>
      <c r="Q13" s="102"/>
      <c r="R13" s="107">
        <f t="shared" si="2"/>
        <v>21</v>
      </c>
      <c r="S13" s="104">
        <f t="shared" si="3"/>
        <v>16</v>
      </c>
      <c r="T13" s="67"/>
      <c r="U13" s="136">
        <f t="shared" si="4"/>
        <v>504</v>
      </c>
      <c r="V13" s="141">
        <f t="shared" si="5"/>
        <v>21</v>
      </c>
      <c r="W13" s="138">
        <f t="shared" si="6"/>
        <v>80611</v>
      </c>
      <c r="X13" s="139"/>
      <c r="Y13" s="3"/>
      <c r="AD13" s="3"/>
      <c r="AG13" s="3"/>
      <c r="AH13" s="3"/>
      <c r="AI13" s="3"/>
      <c r="AJ13" s="3"/>
      <c r="AK13" s="3"/>
      <c r="AL13" s="157"/>
      <c r="AM13" s="157"/>
      <c r="AN13" s="157"/>
      <c r="AO13" s="157"/>
      <c r="AP13" s="157"/>
      <c r="AQ13" s="157"/>
      <c r="AR13" s="157"/>
      <c r="AS13" s="157"/>
      <c r="AT13" s="157"/>
      <c r="AU13" s="157"/>
      <c r="AV13" s="157"/>
      <c r="AW13" s="157"/>
      <c r="AX13" s="157"/>
      <c r="AY13" s="157"/>
      <c r="AZ13" s="157"/>
      <c r="BA13" s="157"/>
      <c r="BB13" s="157"/>
      <c r="BC13" s="157"/>
      <c r="BD13" s="157"/>
      <c r="BE13" s="157"/>
      <c r="BF13" s="157"/>
      <c r="BG13" s="157"/>
      <c r="BH13" s="157"/>
    </row>
    <row r="14" spans="1:60">
      <c r="A14" s="1">
        <f t="shared" si="7"/>
        <v>7</v>
      </c>
      <c r="B14" s="7" t="s">
        <v>26</v>
      </c>
      <c r="C14" s="10">
        <v>3</v>
      </c>
      <c r="D14" s="11">
        <v>16</v>
      </c>
      <c r="E14" s="36"/>
      <c r="F14" s="36"/>
      <c r="G14" s="37"/>
      <c r="H14" s="38"/>
      <c r="I14" s="68">
        <f t="shared" si="0"/>
        <v>3</v>
      </c>
      <c r="J14" s="66">
        <f t="shared" si="1"/>
        <v>16</v>
      </c>
      <c r="K14" s="62"/>
      <c r="L14" s="36"/>
      <c r="M14" s="36"/>
      <c r="N14" s="36"/>
      <c r="O14" s="36"/>
      <c r="P14" s="36"/>
      <c r="Q14" s="99"/>
      <c r="R14" s="108">
        <f t="shared" si="2"/>
        <v>0</v>
      </c>
      <c r="S14" s="106">
        <f t="shared" si="3"/>
        <v>0</v>
      </c>
      <c r="T14" s="62"/>
      <c r="U14" s="8">
        <f t="shared" si="4"/>
        <v>0</v>
      </c>
      <c r="V14" s="33">
        <f t="shared" si="5"/>
        <v>0</v>
      </c>
      <c r="W14" s="134">
        <f t="shared" si="6"/>
        <v>88</v>
      </c>
      <c r="X14" s="61"/>
      <c r="AL14" s="157"/>
      <c r="AM14" s="157"/>
      <c r="AN14" s="157"/>
      <c r="AO14" s="157"/>
      <c r="AP14" s="157"/>
      <c r="AQ14" s="157"/>
      <c r="AR14" s="157"/>
      <c r="AS14" s="157"/>
      <c r="AT14" s="157"/>
      <c r="AU14" s="157"/>
      <c r="AV14" s="157"/>
      <c r="AW14" s="157"/>
      <c r="AX14" s="157"/>
      <c r="AY14" s="157"/>
      <c r="AZ14" s="157"/>
      <c r="BA14" s="157"/>
      <c r="BB14" s="157"/>
      <c r="BC14" s="157"/>
      <c r="BD14" s="157"/>
      <c r="BE14" s="157"/>
      <c r="BF14" s="157"/>
      <c r="BG14" s="157"/>
      <c r="BH14" s="157"/>
    </row>
    <row r="15" spans="1:60">
      <c r="A15" s="1">
        <f t="shared" si="7"/>
        <v>8</v>
      </c>
      <c r="B15" s="15" t="s">
        <v>27</v>
      </c>
      <c r="C15" s="10">
        <v>4</v>
      </c>
      <c r="D15" s="11"/>
      <c r="E15" s="36"/>
      <c r="F15" s="36"/>
      <c r="G15" s="37"/>
      <c r="H15" s="38"/>
      <c r="I15" s="38">
        <f t="shared" si="0"/>
        <v>4</v>
      </c>
      <c r="J15" s="63">
        <f t="shared" si="1"/>
        <v>0</v>
      </c>
      <c r="K15" s="62"/>
      <c r="L15" s="36"/>
      <c r="M15" s="36"/>
      <c r="N15" s="36"/>
      <c r="O15" s="36"/>
      <c r="P15" s="36"/>
      <c r="Q15" s="99"/>
      <c r="R15" s="100">
        <f t="shared" si="2"/>
        <v>0</v>
      </c>
      <c r="S15" s="101">
        <f t="shared" si="3"/>
        <v>0</v>
      </c>
      <c r="T15" s="62"/>
      <c r="U15" s="8">
        <f t="shared" si="4"/>
        <v>0</v>
      </c>
      <c r="V15" s="135">
        <f t="shared" si="5"/>
        <v>0</v>
      </c>
      <c r="W15" s="134">
        <f t="shared" si="6"/>
        <v>96</v>
      </c>
      <c r="X15" s="61"/>
      <c r="AL15" s="157"/>
      <c r="AM15" s="157"/>
      <c r="AN15" s="157"/>
      <c r="AO15" s="157"/>
      <c r="AP15" s="157"/>
      <c r="AQ15" s="157"/>
      <c r="AR15" s="157"/>
      <c r="AS15" s="157"/>
      <c r="AT15" s="157"/>
      <c r="AU15" s="157"/>
      <c r="AV15" s="157"/>
      <c r="AW15" s="157"/>
      <c r="AX15" s="157"/>
      <c r="AY15" s="157"/>
      <c r="AZ15" s="157"/>
      <c r="BA15" s="157"/>
      <c r="BB15" s="157"/>
      <c r="BC15" s="157"/>
      <c r="BD15" s="157"/>
      <c r="BE15" s="157"/>
      <c r="BF15" s="157"/>
      <c r="BG15" s="157"/>
      <c r="BH15" s="157"/>
    </row>
    <row r="16" spans="1:60">
      <c r="A16" s="1">
        <f t="shared" si="7"/>
        <v>9</v>
      </c>
      <c r="B16" s="15" t="s">
        <v>28</v>
      </c>
      <c r="C16" s="10">
        <v>1</v>
      </c>
      <c r="D16" s="11"/>
      <c r="E16" s="36"/>
      <c r="F16" s="36"/>
      <c r="G16" s="37"/>
      <c r="H16" s="38"/>
      <c r="I16" s="38">
        <f t="shared" si="0"/>
        <v>1</v>
      </c>
      <c r="J16" s="63">
        <f t="shared" si="1"/>
        <v>0</v>
      </c>
      <c r="K16" s="62"/>
      <c r="L16" s="36"/>
      <c r="M16" s="36"/>
      <c r="N16" s="36"/>
      <c r="O16" s="36"/>
      <c r="P16" s="36"/>
      <c r="Q16" s="99"/>
      <c r="R16" s="100">
        <f t="shared" si="2"/>
        <v>0</v>
      </c>
      <c r="S16" s="101">
        <f t="shared" si="3"/>
        <v>0</v>
      </c>
      <c r="T16" s="62"/>
      <c r="U16" s="8">
        <f t="shared" si="4"/>
        <v>0</v>
      </c>
      <c r="V16" s="135">
        <f t="shared" si="5"/>
        <v>0</v>
      </c>
      <c r="W16" s="134">
        <f t="shared" si="6"/>
        <v>24</v>
      </c>
      <c r="X16" s="61"/>
      <c r="AL16" s="157"/>
      <c r="AM16" s="157"/>
      <c r="AN16" s="157"/>
      <c r="AO16" s="157"/>
      <c r="AP16" s="157"/>
      <c r="AQ16" s="157"/>
      <c r="AR16" s="157"/>
      <c r="AS16" s="157"/>
      <c r="AT16" s="157"/>
      <c r="AU16" s="157"/>
      <c r="AV16" s="157"/>
      <c r="AW16" s="157"/>
      <c r="AX16" s="157"/>
      <c r="AY16" s="157"/>
      <c r="AZ16" s="157"/>
      <c r="BA16" s="157"/>
      <c r="BB16" s="157"/>
      <c r="BC16" s="157"/>
      <c r="BD16" s="157"/>
      <c r="BE16" s="157"/>
      <c r="BF16" s="157"/>
      <c r="BG16" s="157"/>
      <c r="BH16" s="157"/>
    </row>
    <row r="17" spans="1:60">
      <c r="A17" s="1">
        <f t="shared" si="7"/>
        <v>10</v>
      </c>
      <c r="B17" s="15" t="s">
        <v>29</v>
      </c>
      <c r="C17" s="10"/>
      <c r="D17" s="11"/>
      <c r="E17" s="36"/>
      <c r="F17" s="36"/>
      <c r="G17" s="37"/>
      <c r="H17" s="38"/>
      <c r="I17" s="38">
        <f t="shared" si="0"/>
        <v>0</v>
      </c>
      <c r="J17" s="63">
        <f t="shared" si="1"/>
        <v>0</v>
      </c>
      <c r="K17" s="62"/>
      <c r="L17" s="36"/>
      <c r="M17" s="36"/>
      <c r="N17" s="36"/>
      <c r="O17" s="36"/>
      <c r="P17" s="36"/>
      <c r="Q17" s="99"/>
      <c r="R17" s="100">
        <f t="shared" si="2"/>
        <v>0</v>
      </c>
      <c r="S17" s="101">
        <f t="shared" si="3"/>
        <v>0</v>
      </c>
      <c r="T17" s="62"/>
      <c r="U17" s="8">
        <f t="shared" si="4"/>
        <v>0</v>
      </c>
      <c r="V17" s="135">
        <f t="shared" si="5"/>
        <v>0</v>
      </c>
      <c r="W17" s="134">
        <f t="shared" si="6"/>
        <v>0</v>
      </c>
      <c r="X17" s="61"/>
      <c r="AL17" s="157"/>
      <c r="AM17" s="157"/>
      <c r="AN17" s="157"/>
      <c r="AO17" s="157"/>
      <c r="AP17" s="157"/>
      <c r="AQ17" s="157"/>
      <c r="AR17" s="157"/>
      <c r="AS17" s="157"/>
      <c r="AT17" s="157"/>
      <c r="AU17" s="157"/>
      <c r="AV17" s="157"/>
      <c r="AW17" s="157"/>
      <c r="AX17" s="157"/>
      <c r="AY17" s="157"/>
      <c r="AZ17" s="157"/>
      <c r="BA17" s="157"/>
      <c r="BB17" s="157"/>
      <c r="BC17" s="157"/>
      <c r="BD17" s="157"/>
      <c r="BE17" s="157"/>
      <c r="BF17" s="157"/>
      <c r="BG17" s="157"/>
      <c r="BH17" s="157"/>
    </row>
    <row r="18" spans="1:60">
      <c r="A18" s="1">
        <f t="shared" si="7"/>
        <v>11</v>
      </c>
      <c r="B18" s="15" t="s">
        <v>30</v>
      </c>
      <c r="C18" s="10">
        <v>3</v>
      </c>
      <c r="D18" s="11"/>
      <c r="E18" s="36"/>
      <c r="F18" s="36"/>
      <c r="G18" s="37"/>
      <c r="H18" s="38"/>
      <c r="I18" s="38">
        <f t="shared" si="0"/>
        <v>3</v>
      </c>
      <c r="J18" s="63">
        <f t="shared" si="1"/>
        <v>0</v>
      </c>
      <c r="K18" s="62"/>
      <c r="L18" s="36"/>
      <c r="M18" s="36"/>
      <c r="N18" s="36"/>
      <c r="O18" s="36"/>
      <c r="P18" s="36"/>
      <c r="Q18" s="99"/>
      <c r="R18" s="100">
        <f t="shared" si="2"/>
        <v>0</v>
      </c>
      <c r="S18" s="101">
        <f t="shared" si="3"/>
        <v>0</v>
      </c>
      <c r="T18" s="62"/>
      <c r="U18" s="8">
        <f t="shared" si="4"/>
        <v>0</v>
      </c>
      <c r="V18" s="135">
        <f t="shared" si="5"/>
        <v>0</v>
      </c>
      <c r="W18" s="134">
        <f t="shared" si="6"/>
        <v>72</v>
      </c>
      <c r="X18" s="61"/>
      <c r="AL18" s="157"/>
      <c r="AM18" s="157"/>
      <c r="AN18" s="157"/>
      <c r="AO18" s="157"/>
      <c r="AP18" s="157"/>
      <c r="AQ18" s="157"/>
      <c r="AR18" s="157"/>
      <c r="AS18" s="157"/>
      <c r="AT18" s="157"/>
      <c r="AU18" s="157"/>
      <c r="AV18" s="157"/>
      <c r="AW18" s="157"/>
      <c r="AX18" s="157"/>
      <c r="AY18" s="157"/>
      <c r="AZ18" s="157"/>
      <c r="BA18" s="157"/>
      <c r="BB18" s="157"/>
      <c r="BC18" s="157"/>
      <c r="BD18" s="157"/>
      <c r="BE18" s="157"/>
      <c r="BF18" s="157"/>
      <c r="BG18" s="157"/>
      <c r="BH18" s="157"/>
    </row>
    <row r="19" spans="1:60" ht="18.75" hidden="1" customHeight="1">
      <c r="A19" s="1">
        <f t="shared" si="7"/>
        <v>12</v>
      </c>
      <c r="B19" s="15" t="s">
        <v>31</v>
      </c>
      <c r="C19" s="10"/>
      <c r="D19" s="11"/>
      <c r="E19" s="36"/>
      <c r="F19" s="36"/>
      <c r="G19" s="37"/>
      <c r="H19" s="38"/>
      <c r="I19" s="38">
        <f t="shared" si="0"/>
        <v>0</v>
      </c>
      <c r="J19" s="63">
        <f t="shared" si="1"/>
        <v>0</v>
      </c>
      <c r="K19" s="62"/>
      <c r="L19" s="36"/>
      <c r="M19" s="36"/>
      <c r="N19" s="36"/>
      <c r="O19" s="36"/>
      <c r="P19" s="36"/>
      <c r="Q19" s="99"/>
      <c r="R19" s="100">
        <f t="shared" si="2"/>
        <v>0</v>
      </c>
      <c r="S19" s="101">
        <f t="shared" si="3"/>
        <v>0</v>
      </c>
      <c r="T19" s="62"/>
      <c r="U19" s="8">
        <f t="shared" si="4"/>
        <v>0</v>
      </c>
      <c r="V19" s="135">
        <f t="shared" si="5"/>
        <v>0</v>
      </c>
      <c r="W19" s="134">
        <f t="shared" si="6"/>
        <v>0</v>
      </c>
      <c r="X19" s="61"/>
      <c r="AL19" s="157"/>
      <c r="AM19" s="157"/>
      <c r="AN19" s="157"/>
      <c r="AO19" s="157"/>
      <c r="AP19" s="157"/>
      <c r="AQ19" s="157"/>
      <c r="AR19" s="157"/>
      <c r="AS19" s="157"/>
      <c r="AT19" s="157"/>
      <c r="AU19" s="157"/>
      <c r="AV19" s="157"/>
      <c r="AW19" s="157"/>
      <c r="AX19" s="157"/>
      <c r="AY19" s="157"/>
      <c r="AZ19" s="157"/>
      <c r="BA19" s="157"/>
      <c r="BB19" s="157"/>
      <c r="BC19" s="157"/>
      <c r="BD19" s="157"/>
      <c r="BE19" s="157"/>
      <c r="BF19" s="157"/>
      <c r="BG19" s="157"/>
      <c r="BH19" s="157"/>
    </row>
    <row r="20" spans="1:60">
      <c r="A20" s="1">
        <f t="shared" si="7"/>
        <v>13</v>
      </c>
      <c r="B20" s="15" t="s">
        <v>32</v>
      </c>
      <c r="C20" s="10">
        <v>4</v>
      </c>
      <c r="D20" s="11">
        <v>20</v>
      </c>
      <c r="E20" s="36"/>
      <c r="F20" s="36"/>
      <c r="G20" s="37"/>
      <c r="H20" s="38"/>
      <c r="I20" s="38">
        <f t="shared" si="0"/>
        <v>4</v>
      </c>
      <c r="J20" s="63">
        <f t="shared" si="1"/>
        <v>20</v>
      </c>
      <c r="K20" s="62"/>
      <c r="L20" s="36"/>
      <c r="M20" s="36"/>
      <c r="N20" s="36"/>
      <c r="O20" s="36"/>
      <c r="P20" s="36"/>
      <c r="Q20" s="99"/>
      <c r="R20" s="100">
        <f t="shared" si="2"/>
        <v>0</v>
      </c>
      <c r="S20" s="101">
        <f t="shared" si="3"/>
        <v>0</v>
      </c>
      <c r="T20" s="62"/>
      <c r="U20" s="8">
        <f t="shared" si="4"/>
        <v>0</v>
      </c>
      <c r="V20" s="135">
        <f t="shared" si="5"/>
        <v>0</v>
      </c>
      <c r="W20" s="134">
        <f t="shared" si="6"/>
        <v>116</v>
      </c>
      <c r="X20" s="61"/>
      <c r="AL20" s="157"/>
      <c r="AM20" s="157"/>
      <c r="AN20" s="157"/>
      <c r="AO20" s="157"/>
      <c r="AP20" s="157"/>
      <c r="AQ20" s="157"/>
      <c r="AR20" s="157"/>
      <c r="AS20" s="157"/>
      <c r="AT20" s="157"/>
      <c r="AU20" s="157"/>
      <c r="AV20" s="157"/>
      <c r="AW20" s="157"/>
      <c r="AX20" s="157"/>
      <c r="AY20" s="157"/>
      <c r="AZ20" s="157"/>
      <c r="BA20" s="157"/>
      <c r="BB20" s="157"/>
      <c r="BC20" s="157"/>
      <c r="BD20" s="157"/>
      <c r="BE20" s="157"/>
      <c r="BF20" s="157"/>
      <c r="BG20" s="157"/>
      <c r="BH20" s="157"/>
    </row>
    <row r="21" spans="1:60">
      <c r="A21" s="1">
        <f t="shared" si="7"/>
        <v>14</v>
      </c>
      <c r="B21" s="15" t="s">
        <v>33</v>
      </c>
      <c r="C21" s="10">
        <v>7</v>
      </c>
      <c r="D21" s="11">
        <v>16</v>
      </c>
      <c r="E21" s="36"/>
      <c r="F21" s="36"/>
      <c r="G21" s="37"/>
      <c r="H21" s="38"/>
      <c r="I21" s="38">
        <f t="shared" si="0"/>
        <v>7</v>
      </c>
      <c r="J21" s="63">
        <f t="shared" si="1"/>
        <v>16</v>
      </c>
      <c r="K21" s="62"/>
      <c r="L21" s="36"/>
      <c r="M21" s="36"/>
      <c r="N21" s="36"/>
      <c r="O21" s="36"/>
      <c r="P21" s="36"/>
      <c r="Q21" s="99"/>
      <c r="R21" s="100">
        <f t="shared" si="2"/>
        <v>0</v>
      </c>
      <c r="S21" s="101">
        <f t="shared" si="3"/>
        <v>0</v>
      </c>
      <c r="T21" s="62"/>
      <c r="U21" s="8">
        <f t="shared" si="4"/>
        <v>0</v>
      </c>
      <c r="V21" s="135">
        <f t="shared" si="5"/>
        <v>0</v>
      </c>
      <c r="W21" s="134">
        <f t="shared" si="6"/>
        <v>184</v>
      </c>
      <c r="X21" s="61"/>
      <c r="AL21" s="157"/>
      <c r="AM21" s="157"/>
      <c r="AN21" s="157"/>
      <c r="AO21" s="157"/>
      <c r="AP21" s="157"/>
      <c r="AQ21" s="157"/>
      <c r="AR21" s="157"/>
      <c r="AS21" s="157"/>
      <c r="AT21" s="157"/>
      <c r="AU21" s="157"/>
      <c r="AV21" s="157"/>
      <c r="AW21" s="157"/>
      <c r="AX21" s="157"/>
      <c r="AY21" s="157"/>
      <c r="AZ21" s="157"/>
      <c r="BA21" s="157"/>
      <c r="BB21" s="157"/>
      <c r="BC21" s="157"/>
      <c r="BD21" s="157"/>
      <c r="BE21" s="157"/>
      <c r="BF21" s="157"/>
      <c r="BG21" s="157"/>
      <c r="BH21" s="157"/>
    </row>
    <row r="22" spans="1:60">
      <c r="A22" s="1">
        <f t="shared" si="7"/>
        <v>15</v>
      </c>
      <c r="B22" s="15" t="s">
        <v>34</v>
      </c>
      <c r="C22" s="10">
        <v>4</v>
      </c>
      <c r="D22" s="11"/>
      <c r="E22" s="36"/>
      <c r="F22" s="36"/>
      <c r="G22" s="37"/>
      <c r="H22" s="38"/>
      <c r="I22" s="38">
        <f t="shared" si="0"/>
        <v>4</v>
      </c>
      <c r="J22" s="63">
        <f t="shared" si="1"/>
        <v>0</v>
      </c>
      <c r="K22" s="62"/>
      <c r="L22" s="36"/>
      <c r="M22" s="36"/>
      <c r="N22" s="36"/>
      <c r="O22" s="36"/>
      <c r="P22" s="36"/>
      <c r="Q22" s="99"/>
      <c r="R22" s="100">
        <f t="shared" si="2"/>
        <v>0</v>
      </c>
      <c r="S22" s="101">
        <f t="shared" si="3"/>
        <v>0</v>
      </c>
      <c r="T22" s="62"/>
      <c r="U22" s="8">
        <f t="shared" si="4"/>
        <v>0</v>
      </c>
      <c r="V22" s="135">
        <f t="shared" si="5"/>
        <v>0</v>
      </c>
      <c r="W22" s="134">
        <f t="shared" si="6"/>
        <v>96</v>
      </c>
      <c r="X22" s="61"/>
      <c r="AL22" s="157"/>
      <c r="AM22" s="157"/>
      <c r="AN22" s="157"/>
      <c r="AO22" s="157"/>
      <c r="AP22" s="157"/>
      <c r="AQ22" s="157"/>
      <c r="AR22" s="157"/>
      <c r="AS22" s="157"/>
      <c r="AT22" s="157"/>
      <c r="AU22" s="157"/>
      <c r="AV22" s="157"/>
      <c r="AW22" s="157"/>
      <c r="AX22" s="157"/>
      <c r="AY22" s="157"/>
      <c r="AZ22" s="157"/>
      <c r="BA22" s="157"/>
      <c r="BB22" s="157"/>
      <c r="BC22" s="157"/>
      <c r="BD22" s="157"/>
      <c r="BE22" s="157"/>
      <c r="BF22" s="157"/>
      <c r="BG22" s="157"/>
      <c r="BH22" s="157"/>
    </row>
    <row r="23" spans="1:60" s="2" customFormat="1">
      <c r="A23" s="1">
        <f t="shared" si="7"/>
        <v>16</v>
      </c>
      <c r="B23" s="15" t="s">
        <v>35</v>
      </c>
      <c r="C23" s="10">
        <v>1</v>
      </c>
      <c r="D23" s="11">
        <v>20</v>
      </c>
      <c r="E23" s="36"/>
      <c r="F23" s="36"/>
      <c r="G23" s="37"/>
      <c r="H23" s="38"/>
      <c r="I23" s="38">
        <f t="shared" si="0"/>
        <v>1</v>
      </c>
      <c r="J23" s="63">
        <f t="shared" si="1"/>
        <v>20</v>
      </c>
      <c r="K23" s="69"/>
      <c r="L23" s="36"/>
      <c r="M23" s="36"/>
      <c r="N23" s="36"/>
      <c r="O23" s="36"/>
      <c r="P23" s="36"/>
      <c r="Q23" s="99"/>
      <c r="R23" s="100">
        <f t="shared" si="2"/>
        <v>0</v>
      </c>
      <c r="S23" s="101">
        <f t="shared" si="3"/>
        <v>0</v>
      </c>
      <c r="T23" s="69"/>
      <c r="U23" s="8">
        <f t="shared" si="4"/>
        <v>0</v>
      </c>
      <c r="V23" s="135">
        <f t="shared" si="5"/>
        <v>0</v>
      </c>
      <c r="W23" s="134">
        <f t="shared" si="6"/>
        <v>44</v>
      </c>
      <c r="X23" s="61"/>
      <c r="Y23" s="3"/>
      <c r="AD23" s="3"/>
      <c r="AG23" s="3"/>
      <c r="AH23" s="3"/>
      <c r="AI23" s="3"/>
      <c r="AJ23" s="3"/>
      <c r="AK23" s="3"/>
      <c r="AL23" s="157"/>
      <c r="AM23" s="157"/>
      <c r="AN23" s="157"/>
      <c r="AO23" s="157"/>
      <c r="AP23" s="157"/>
      <c r="AQ23" s="157"/>
      <c r="AR23" s="157"/>
      <c r="AS23" s="157"/>
      <c r="AT23" s="157"/>
      <c r="AU23" s="157"/>
      <c r="AV23" s="157"/>
      <c r="AW23" s="157"/>
      <c r="AX23" s="157"/>
      <c r="AY23" s="157"/>
      <c r="AZ23" s="157"/>
      <c r="BA23" s="157"/>
      <c r="BB23" s="157"/>
      <c r="BC23" s="157"/>
      <c r="BD23" s="157"/>
      <c r="BE23" s="157"/>
      <c r="BF23" s="157"/>
      <c r="BG23" s="157"/>
      <c r="BH23" s="157"/>
    </row>
    <row r="24" spans="1:60" s="2" customFormat="1">
      <c r="A24" s="1">
        <f t="shared" si="7"/>
        <v>17</v>
      </c>
      <c r="B24" s="15" t="s">
        <v>36</v>
      </c>
      <c r="C24" s="10">
        <v>37</v>
      </c>
      <c r="D24" s="11">
        <v>19</v>
      </c>
      <c r="E24" s="36"/>
      <c r="F24" s="36"/>
      <c r="G24" s="37"/>
      <c r="H24" s="38"/>
      <c r="I24" s="38">
        <f t="shared" si="0"/>
        <v>37</v>
      </c>
      <c r="J24" s="63">
        <f t="shared" si="1"/>
        <v>19</v>
      </c>
      <c r="K24" s="69"/>
      <c r="L24" s="36"/>
      <c r="M24" s="36"/>
      <c r="N24" s="36"/>
      <c r="O24" s="36"/>
      <c r="P24" s="36"/>
      <c r="Q24" s="99"/>
      <c r="R24" s="100">
        <f t="shared" si="2"/>
        <v>0</v>
      </c>
      <c r="S24" s="101">
        <f t="shared" si="3"/>
        <v>0</v>
      </c>
      <c r="T24" s="69"/>
      <c r="U24" s="8">
        <f t="shared" si="4"/>
        <v>0</v>
      </c>
      <c r="V24" s="135">
        <f t="shared" si="5"/>
        <v>0</v>
      </c>
      <c r="W24" s="134">
        <f t="shared" si="6"/>
        <v>907</v>
      </c>
      <c r="X24" s="61"/>
      <c r="Y24" s="3"/>
      <c r="AD24" s="3"/>
      <c r="AG24" s="3"/>
      <c r="AH24" s="3"/>
      <c r="AI24" s="3"/>
      <c r="AJ24" s="3"/>
      <c r="AK24" s="3"/>
      <c r="AL24" s="157"/>
      <c r="AM24" s="157"/>
      <c r="AN24" s="157"/>
      <c r="AO24" s="157"/>
      <c r="AP24" s="157"/>
      <c r="AQ24" s="157"/>
      <c r="AR24" s="157"/>
      <c r="AS24" s="157"/>
      <c r="AT24" s="157"/>
      <c r="AU24" s="157"/>
      <c r="AV24" s="157"/>
      <c r="AW24" s="157"/>
      <c r="AX24" s="157"/>
      <c r="AY24" s="157"/>
      <c r="AZ24" s="157"/>
      <c r="BA24" s="157"/>
      <c r="BB24" s="157"/>
      <c r="BC24" s="157"/>
      <c r="BD24" s="157"/>
      <c r="BE24" s="157"/>
      <c r="BF24" s="157"/>
      <c r="BG24" s="157"/>
      <c r="BH24" s="157"/>
    </row>
    <row r="25" spans="1:60">
      <c r="A25" s="1">
        <f t="shared" si="7"/>
        <v>18</v>
      </c>
      <c r="B25" s="15" t="s">
        <v>37</v>
      </c>
      <c r="C25" s="10">
        <v>10</v>
      </c>
      <c r="D25" s="11"/>
      <c r="E25" s="36"/>
      <c r="F25" s="36"/>
      <c r="G25" s="37"/>
      <c r="H25" s="38"/>
      <c r="I25" s="38">
        <f t="shared" si="0"/>
        <v>10</v>
      </c>
      <c r="J25" s="63">
        <f t="shared" si="1"/>
        <v>0</v>
      </c>
      <c r="K25" s="62"/>
      <c r="L25" s="36"/>
      <c r="M25" s="36"/>
      <c r="N25" s="36"/>
      <c r="O25" s="36"/>
      <c r="P25" s="36"/>
      <c r="Q25" s="99"/>
      <c r="R25" s="100">
        <f t="shared" si="2"/>
        <v>0</v>
      </c>
      <c r="S25" s="101">
        <f t="shared" si="3"/>
        <v>0</v>
      </c>
      <c r="T25" s="62"/>
      <c r="U25" s="8">
        <f t="shared" si="4"/>
        <v>0</v>
      </c>
      <c r="V25" s="135">
        <f t="shared" si="5"/>
        <v>0</v>
      </c>
      <c r="W25" s="134">
        <f t="shared" si="6"/>
        <v>240</v>
      </c>
      <c r="X25" s="61"/>
      <c r="AL25" s="157"/>
      <c r="AM25" s="157"/>
      <c r="AN25" s="157"/>
      <c r="AO25" s="157"/>
      <c r="AP25" s="157"/>
      <c r="AQ25" s="157"/>
      <c r="AR25" s="157"/>
      <c r="AS25" s="157"/>
      <c r="AT25" s="157"/>
      <c r="AU25" s="157"/>
      <c r="AV25" s="157"/>
      <c r="AW25" s="157"/>
      <c r="AX25" s="157"/>
      <c r="AY25" s="157"/>
      <c r="AZ25" s="157"/>
      <c r="BA25" s="157"/>
      <c r="BB25" s="157"/>
      <c r="BC25" s="157"/>
      <c r="BD25" s="157"/>
      <c r="BE25" s="157"/>
      <c r="BF25" s="157"/>
      <c r="BG25" s="157"/>
      <c r="BH25" s="157"/>
    </row>
    <row r="26" spans="1:60">
      <c r="A26" s="1">
        <f t="shared" si="7"/>
        <v>19</v>
      </c>
      <c r="B26" s="15" t="s">
        <v>38</v>
      </c>
      <c r="C26" s="10"/>
      <c r="D26" s="11">
        <v>1</v>
      </c>
      <c r="E26" s="36"/>
      <c r="F26" s="36"/>
      <c r="G26" s="37"/>
      <c r="H26" s="38"/>
      <c r="I26" s="38">
        <f t="shared" si="0"/>
        <v>0</v>
      </c>
      <c r="J26" s="63">
        <f t="shared" si="1"/>
        <v>1</v>
      </c>
      <c r="K26" s="62"/>
      <c r="L26" s="36"/>
      <c r="M26" s="36"/>
      <c r="N26" s="36"/>
      <c r="O26" s="36"/>
      <c r="P26" s="36"/>
      <c r="Q26" s="99"/>
      <c r="R26" s="100">
        <f t="shared" si="2"/>
        <v>0</v>
      </c>
      <c r="S26" s="101">
        <f t="shared" si="3"/>
        <v>0</v>
      </c>
      <c r="T26" s="62"/>
      <c r="U26" s="8">
        <f t="shared" si="4"/>
        <v>0</v>
      </c>
      <c r="V26" s="135">
        <f t="shared" si="5"/>
        <v>0</v>
      </c>
      <c r="W26" s="134">
        <f t="shared" si="6"/>
        <v>1</v>
      </c>
      <c r="X26" s="61"/>
      <c r="BE26" s="158" t="e">
        <f>#REF!-BE25</f>
        <v>#REF!</v>
      </c>
    </row>
    <row r="27" spans="1:60" s="2" customFormat="1">
      <c r="A27" s="1">
        <f t="shared" si="7"/>
        <v>20</v>
      </c>
      <c r="B27" s="15" t="s">
        <v>39</v>
      </c>
      <c r="C27" s="10"/>
      <c r="D27" s="11"/>
      <c r="E27" s="36"/>
      <c r="F27" s="36"/>
      <c r="G27" s="37"/>
      <c r="H27" s="38"/>
      <c r="I27" s="38">
        <f t="shared" si="0"/>
        <v>0</v>
      </c>
      <c r="J27" s="63">
        <f t="shared" si="1"/>
        <v>0</v>
      </c>
      <c r="K27" s="69"/>
      <c r="L27" s="36"/>
      <c r="M27" s="36"/>
      <c r="N27" s="36"/>
      <c r="O27" s="36"/>
      <c r="P27" s="36"/>
      <c r="Q27" s="99"/>
      <c r="R27" s="100">
        <f t="shared" si="2"/>
        <v>0</v>
      </c>
      <c r="S27" s="101">
        <f t="shared" si="3"/>
        <v>0</v>
      </c>
      <c r="T27" s="69"/>
      <c r="U27" s="8">
        <f t="shared" si="4"/>
        <v>0</v>
      </c>
      <c r="V27" s="135">
        <f t="shared" si="5"/>
        <v>0</v>
      </c>
      <c r="W27" s="134">
        <f t="shared" si="6"/>
        <v>0</v>
      </c>
      <c r="X27" s="61"/>
      <c r="Y27" s="3"/>
      <c r="AD27" s="3"/>
      <c r="AG27" s="3"/>
      <c r="AH27" s="3"/>
      <c r="AI27" s="3"/>
      <c r="AJ27" s="3"/>
      <c r="AK27" s="3"/>
    </row>
    <row r="28" spans="1:60" s="2" customFormat="1">
      <c r="A28" s="1">
        <f t="shared" si="7"/>
        <v>21</v>
      </c>
      <c r="B28" s="15" t="s">
        <v>40</v>
      </c>
      <c r="C28" s="10"/>
      <c r="D28" s="11"/>
      <c r="E28" s="36"/>
      <c r="F28" s="36"/>
      <c r="G28" s="37"/>
      <c r="H28" s="38"/>
      <c r="I28" s="38">
        <f t="shared" si="0"/>
        <v>0</v>
      </c>
      <c r="J28" s="63">
        <f t="shared" si="1"/>
        <v>0</v>
      </c>
      <c r="K28" s="69"/>
      <c r="L28" s="36"/>
      <c r="M28" s="36"/>
      <c r="N28" s="36"/>
      <c r="O28" s="36"/>
      <c r="P28" s="36"/>
      <c r="Q28" s="99"/>
      <c r="R28" s="100">
        <f t="shared" si="2"/>
        <v>0</v>
      </c>
      <c r="S28" s="101">
        <f t="shared" si="3"/>
        <v>0</v>
      </c>
      <c r="T28" s="69"/>
      <c r="U28" s="8">
        <f t="shared" si="4"/>
        <v>0</v>
      </c>
      <c r="V28" s="135">
        <f t="shared" si="5"/>
        <v>0</v>
      </c>
      <c r="W28" s="134">
        <f t="shared" si="6"/>
        <v>0</v>
      </c>
      <c r="X28" s="61"/>
      <c r="Y28" s="3"/>
      <c r="AD28" s="3"/>
      <c r="AG28" s="3"/>
      <c r="AH28" s="3"/>
      <c r="AI28" s="3"/>
      <c r="AJ28" s="3"/>
      <c r="AK28" s="3"/>
    </row>
    <row r="29" spans="1:60" s="2" customFormat="1">
      <c r="A29" s="1">
        <f t="shared" si="7"/>
        <v>22</v>
      </c>
      <c r="B29" s="15" t="s">
        <v>41</v>
      </c>
      <c r="C29" s="10"/>
      <c r="D29" s="11"/>
      <c r="E29" s="36"/>
      <c r="F29" s="36"/>
      <c r="G29" s="37"/>
      <c r="H29" s="38"/>
      <c r="I29" s="38">
        <f t="shared" si="0"/>
        <v>0</v>
      </c>
      <c r="J29" s="63">
        <f t="shared" si="1"/>
        <v>0</v>
      </c>
      <c r="K29" s="69"/>
      <c r="L29" s="36"/>
      <c r="M29" s="36"/>
      <c r="N29" s="36"/>
      <c r="O29" s="36"/>
      <c r="P29" s="36"/>
      <c r="Q29" s="99"/>
      <c r="R29" s="100">
        <f t="shared" si="2"/>
        <v>0</v>
      </c>
      <c r="S29" s="101">
        <f t="shared" si="3"/>
        <v>0</v>
      </c>
      <c r="T29" s="69"/>
      <c r="U29" s="8">
        <f t="shared" si="4"/>
        <v>0</v>
      </c>
      <c r="V29" s="135">
        <f t="shared" si="5"/>
        <v>0</v>
      </c>
      <c r="W29" s="134">
        <f t="shared" si="6"/>
        <v>0</v>
      </c>
      <c r="X29" s="61"/>
      <c r="Y29" s="3"/>
      <c r="AD29" s="3"/>
      <c r="AG29" s="3"/>
      <c r="AH29" s="3"/>
      <c r="AI29" s="3"/>
      <c r="AJ29" s="3"/>
      <c r="AK29" s="3"/>
    </row>
    <row r="30" spans="1:60">
      <c r="A30" s="1">
        <f t="shared" si="7"/>
        <v>23</v>
      </c>
      <c r="B30" s="15" t="s">
        <v>42</v>
      </c>
      <c r="C30" s="10">
        <v>3</v>
      </c>
      <c r="D30" s="11"/>
      <c r="E30" s="36"/>
      <c r="F30" s="36"/>
      <c r="G30" s="37"/>
      <c r="H30" s="38">
        <v>19</v>
      </c>
      <c r="I30" s="38">
        <f t="shared" si="0"/>
        <v>3</v>
      </c>
      <c r="J30" s="63">
        <f t="shared" si="1"/>
        <v>-19</v>
      </c>
      <c r="K30" s="62"/>
      <c r="L30" s="36"/>
      <c r="M30" s="36">
        <v>19</v>
      </c>
      <c r="N30" s="36"/>
      <c r="O30" s="36"/>
      <c r="P30" s="36"/>
      <c r="Q30" s="99"/>
      <c r="R30" s="100">
        <f t="shared" si="2"/>
        <v>0</v>
      </c>
      <c r="S30" s="101">
        <f t="shared" si="3"/>
        <v>19</v>
      </c>
      <c r="T30" s="62"/>
      <c r="U30" s="8">
        <f t="shared" si="4"/>
        <v>0</v>
      </c>
      <c r="V30" s="135">
        <f t="shared" si="5"/>
        <v>0</v>
      </c>
      <c r="W30" s="134">
        <f t="shared" si="6"/>
        <v>53</v>
      </c>
      <c r="X30" s="61"/>
    </row>
    <row r="31" spans="1:60">
      <c r="A31" s="1">
        <f t="shared" si="7"/>
        <v>24</v>
      </c>
      <c r="B31" s="15" t="s">
        <v>43</v>
      </c>
      <c r="C31" s="10">
        <v>12</v>
      </c>
      <c r="D31" s="11"/>
      <c r="E31" s="36"/>
      <c r="F31" s="36"/>
      <c r="G31" s="37">
        <v>5</v>
      </c>
      <c r="H31" s="38"/>
      <c r="I31" s="38">
        <f t="shared" si="0"/>
        <v>7</v>
      </c>
      <c r="J31" s="63">
        <f t="shared" si="1"/>
        <v>0</v>
      </c>
      <c r="K31" s="62"/>
      <c r="L31" s="36">
        <v>4</v>
      </c>
      <c r="M31" s="36"/>
      <c r="N31" s="36">
        <v>1</v>
      </c>
      <c r="O31" s="36"/>
      <c r="P31" s="36"/>
      <c r="Q31" s="99"/>
      <c r="R31" s="100">
        <f t="shared" si="2"/>
        <v>5</v>
      </c>
      <c r="S31" s="101">
        <f t="shared" si="3"/>
        <v>0</v>
      </c>
      <c r="T31" s="62"/>
      <c r="U31" s="8">
        <f t="shared" si="4"/>
        <v>120</v>
      </c>
      <c r="V31" s="135">
        <f t="shared" si="5"/>
        <v>5</v>
      </c>
      <c r="W31" s="134">
        <f t="shared" si="6"/>
        <v>168</v>
      </c>
      <c r="X31" s="61"/>
    </row>
    <row r="32" spans="1:60">
      <c r="A32" s="1">
        <f t="shared" si="7"/>
        <v>25</v>
      </c>
      <c r="B32" s="15" t="s">
        <v>44</v>
      </c>
      <c r="C32" s="10"/>
      <c r="D32" s="11"/>
      <c r="E32" s="36"/>
      <c r="F32" s="36"/>
      <c r="G32" s="37"/>
      <c r="H32" s="38"/>
      <c r="I32" s="38">
        <f t="shared" si="0"/>
        <v>0</v>
      </c>
      <c r="J32" s="63">
        <f t="shared" si="1"/>
        <v>0</v>
      </c>
      <c r="K32" s="62"/>
      <c r="L32" s="36"/>
      <c r="M32" s="36"/>
      <c r="N32" s="36"/>
      <c r="O32" s="36"/>
      <c r="P32" s="36"/>
      <c r="Q32" s="99"/>
      <c r="R32" s="100">
        <f t="shared" si="2"/>
        <v>0</v>
      </c>
      <c r="S32" s="101">
        <f t="shared" si="3"/>
        <v>0</v>
      </c>
      <c r="T32" s="62"/>
      <c r="U32" s="8">
        <f t="shared" si="4"/>
        <v>0</v>
      </c>
      <c r="V32" s="135">
        <f t="shared" si="5"/>
        <v>0</v>
      </c>
      <c r="W32" s="134">
        <f t="shared" si="6"/>
        <v>0</v>
      </c>
      <c r="X32" s="61"/>
    </row>
    <row r="33" spans="1:26">
      <c r="A33" s="1">
        <f t="shared" si="7"/>
        <v>26</v>
      </c>
      <c r="B33" s="15" t="s">
        <v>45</v>
      </c>
      <c r="C33" s="10">
        <v>3</v>
      </c>
      <c r="D33" s="11"/>
      <c r="E33" s="36"/>
      <c r="F33" s="36"/>
      <c r="G33" s="37"/>
      <c r="H33" s="38"/>
      <c r="I33" s="38">
        <f t="shared" si="0"/>
        <v>3</v>
      </c>
      <c r="J33" s="63">
        <f t="shared" si="1"/>
        <v>0</v>
      </c>
      <c r="K33" s="62"/>
      <c r="L33" s="36"/>
      <c r="M33" s="36"/>
      <c r="N33" s="36"/>
      <c r="O33" s="36"/>
      <c r="P33" s="36"/>
      <c r="Q33" s="99"/>
      <c r="R33" s="100">
        <f t="shared" si="2"/>
        <v>0</v>
      </c>
      <c r="S33" s="101">
        <f t="shared" si="3"/>
        <v>0</v>
      </c>
      <c r="T33" s="62"/>
      <c r="U33" s="8">
        <f t="shared" si="4"/>
        <v>0</v>
      </c>
      <c r="V33" s="135">
        <f t="shared" si="5"/>
        <v>0</v>
      </c>
      <c r="W33" s="134">
        <f t="shared" si="6"/>
        <v>72</v>
      </c>
      <c r="X33" s="61"/>
    </row>
    <row r="34" spans="1:26">
      <c r="A34" s="1">
        <f t="shared" si="7"/>
        <v>27</v>
      </c>
      <c r="B34" s="15" t="s">
        <v>46</v>
      </c>
      <c r="C34" s="10">
        <v>4</v>
      </c>
      <c r="D34" s="11"/>
      <c r="E34" s="36"/>
      <c r="F34" s="36"/>
      <c r="G34" s="37"/>
      <c r="H34" s="38"/>
      <c r="I34" s="38">
        <f t="shared" si="0"/>
        <v>4</v>
      </c>
      <c r="J34" s="63">
        <f t="shared" si="1"/>
        <v>0</v>
      </c>
      <c r="K34" s="62"/>
      <c r="L34" s="36"/>
      <c r="M34" s="36"/>
      <c r="N34" s="36"/>
      <c r="O34" s="36"/>
      <c r="P34" s="36"/>
      <c r="Q34" s="99"/>
      <c r="R34" s="100">
        <f t="shared" si="2"/>
        <v>0</v>
      </c>
      <c r="S34" s="101">
        <f t="shared" si="3"/>
        <v>0</v>
      </c>
      <c r="T34" s="62"/>
      <c r="U34" s="8">
        <f t="shared" si="4"/>
        <v>0</v>
      </c>
      <c r="V34" s="135">
        <f t="shared" si="5"/>
        <v>0</v>
      </c>
      <c r="W34" s="134">
        <f t="shared" si="6"/>
        <v>96</v>
      </c>
      <c r="X34" s="61"/>
    </row>
    <row r="35" spans="1:26">
      <c r="A35" s="1">
        <f t="shared" si="7"/>
        <v>28</v>
      </c>
      <c r="B35" s="15" t="s">
        <v>47</v>
      </c>
      <c r="C35" s="10">
        <v>84</v>
      </c>
      <c r="D35" s="11">
        <v>13</v>
      </c>
      <c r="E35" s="36"/>
      <c r="F35" s="36"/>
      <c r="G35" s="37">
        <v>3</v>
      </c>
      <c r="H35" s="38"/>
      <c r="I35" s="38">
        <f t="shared" si="0"/>
        <v>81</v>
      </c>
      <c r="J35" s="63">
        <f t="shared" si="1"/>
        <v>13</v>
      </c>
      <c r="K35" s="62"/>
      <c r="L35" s="36">
        <v>3</v>
      </c>
      <c r="M35" s="36"/>
      <c r="N35" s="36"/>
      <c r="O35" s="36"/>
      <c r="P35" s="36"/>
      <c r="Q35" s="99"/>
      <c r="R35" s="100">
        <f t="shared" si="2"/>
        <v>3</v>
      </c>
      <c r="S35" s="101">
        <f t="shared" si="3"/>
        <v>0</v>
      </c>
      <c r="T35" s="62"/>
      <c r="U35" s="8">
        <f t="shared" si="4"/>
        <v>72</v>
      </c>
      <c r="V35" s="135">
        <f t="shared" si="5"/>
        <v>3</v>
      </c>
      <c r="W35" s="134">
        <f t="shared" si="6"/>
        <v>1957</v>
      </c>
      <c r="X35" s="61"/>
    </row>
    <row r="36" spans="1:26" ht="18.75" hidden="1" customHeight="1">
      <c r="A36" s="1">
        <f t="shared" si="7"/>
        <v>29</v>
      </c>
      <c r="B36" s="15" t="s">
        <v>48</v>
      </c>
      <c r="C36" s="10"/>
      <c r="D36" s="11"/>
      <c r="E36" s="36"/>
      <c r="F36" s="36"/>
      <c r="G36" s="37"/>
      <c r="H36" s="38"/>
      <c r="I36" s="38">
        <f t="shared" si="0"/>
        <v>0</v>
      </c>
      <c r="J36" s="63">
        <f t="shared" si="1"/>
        <v>0</v>
      </c>
      <c r="K36" s="62"/>
      <c r="L36" s="36"/>
      <c r="M36" s="36"/>
      <c r="N36" s="36"/>
      <c r="O36" s="36"/>
      <c r="P36" s="36"/>
      <c r="Q36" s="99"/>
      <c r="R36" s="100">
        <f t="shared" si="2"/>
        <v>0</v>
      </c>
      <c r="S36" s="101">
        <f t="shared" si="3"/>
        <v>0</v>
      </c>
      <c r="T36" s="62"/>
      <c r="U36" s="8">
        <f t="shared" si="4"/>
        <v>0</v>
      </c>
      <c r="V36" s="135">
        <f t="shared" si="5"/>
        <v>0</v>
      </c>
      <c r="W36" s="134">
        <f t="shared" si="6"/>
        <v>0</v>
      </c>
      <c r="X36" s="61"/>
    </row>
    <row r="37" spans="1:26" ht="18.75" customHeight="1">
      <c r="A37" s="1">
        <f t="shared" si="7"/>
        <v>30</v>
      </c>
      <c r="B37" s="15" t="s">
        <v>49</v>
      </c>
      <c r="C37" s="10">
        <v>1</v>
      </c>
      <c r="D37" s="11"/>
      <c r="E37" s="36"/>
      <c r="F37" s="36"/>
      <c r="G37" s="37"/>
      <c r="H37" s="38"/>
      <c r="I37" s="38">
        <f t="shared" si="0"/>
        <v>1</v>
      </c>
      <c r="J37" s="63">
        <f t="shared" si="1"/>
        <v>0</v>
      </c>
      <c r="K37" s="62"/>
      <c r="L37" s="36"/>
      <c r="M37" s="36"/>
      <c r="N37" s="36"/>
      <c r="O37" s="36"/>
      <c r="P37" s="36"/>
      <c r="Q37" s="99"/>
      <c r="R37" s="100">
        <f t="shared" si="2"/>
        <v>0</v>
      </c>
      <c r="S37" s="101">
        <f t="shared" si="3"/>
        <v>0</v>
      </c>
      <c r="T37" s="62"/>
      <c r="U37" s="8">
        <f t="shared" si="4"/>
        <v>0</v>
      </c>
      <c r="V37" s="135">
        <f t="shared" si="5"/>
        <v>0</v>
      </c>
      <c r="W37" s="134">
        <f t="shared" si="6"/>
        <v>24</v>
      </c>
      <c r="X37" s="61"/>
    </row>
    <row r="38" spans="1:26">
      <c r="A38" s="1">
        <f t="shared" si="7"/>
        <v>31</v>
      </c>
      <c r="B38" s="16" t="s">
        <v>50</v>
      </c>
      <c r="C38" s="13">
        <v>5853</v>
      </c>
      <c r="D38" s="14">
        <v>2</v>
      </c>
      <c r="E38" s="39"/>
      <c r="F38" s="39"/>
      <c r="G38" s="40">
        <v>34</v>
      </c>
      <c r="H38" s="41"/>
      <c r="I38" s="53">
        <f t="shared" si="0"/>
        <v>5819</v>
      </c>
      <c r="J38" s="70">
        <f t="shared" si="1"/>
        <v>2</v>
      </c>
      <c r="K38" s="65"/>
      <c r="L38" s="51">
        <v>24</v>
      </c>
      <c r="M38" s="51"/>
      <c r="N38" s="51">
        <v>10</v>
      </c>
      <c r="O38" s="51"/>
      <c r="P38" s="51"/>
      <c r="Q38" s="102"/>
      <c r="R38" s="107">
        <f t="shared" si="2"/>
        <v>34</v>
      </c>
      <c r="S38" s="104">
        <f t="shared" si="3"/>
        <v>0</v>
      </c>
      <c r="T38" s="65"/>
      <c r="U38" s="136">
        <f>L38*6+N38*6+P38*6</f>
        <v>204</v>
      </c>
      <c r="V38" s="141">
        <f>U38/6</f>
        <v>34</v>
      </c>
      <c r="W38" s="138">
        <f>I38*6+J38</f>
        <v>34916</v>
      </c>
      <c r="X38" s="139"/>
    </row>
    <row r="39" spans="1:26">
      <c r="A39" s="1">
        <f t="shared" si="7"/>
        <v>32</v>
      </c>
      <c r="B39" s="7" t="s">
        <v>51</v>
      </c>
      <c r="C39" s="10">
        <v>1</v>
      </c>
      <c r="D39" s="11"/>
      <c r="E39" s="36"/>
      <c r="F39" s="36"/>
      <c r="G39" s="37"/>
      <c r="H39" s="38"/>
      <c r="I39" s="37">
        <f t="shared" si="0"/>
        <v>1</v>
      </c>
      <c r="J39" s="63">
        <f t="shared" si="1"/>
        <v>0</v>
      </c>
      <c r="K39" s="62"/>
      <c r="L39" s="36"/>
      <c r="M39" s="36"/>
      <c r="N39" s="36"/>
      <c r="O39" s="36"/>
      <c r="P39" s="36"/>
      <c r="Q39" s="99"/>
      <c r="R39" s="108">
        <f t="shared" si="2"/>
        <v>0</v>
      </c>
      <c r="S39" s="106">
        <f t="shared" si="3"/>
        <v>0</v>
      </c>
      <c r="T39" s="62"/>
      <c r="U39" s="8">
        <f t="shared" ref="U39:U41" si="8">L39*24+N39*24+P39*24</f>
        <v>0</v>
      </c>
      <c r="V39" s="33">
        <f t="shared" ref="V39:V41" si="9">U39/24</f>
        <v>0</v>
      </c>
      <c r="W39" s="134">
        <f t="shared" ref="W39:W41" si="10">I39*24+J39</f>
        <v>24</v>
      </c>
      <c r="X39" s="61"/>
    </row>
    <row r="40" spans="1:26">
      <c r="A40" s="1">
        <f t="shared" si="7"/>
        <v>33</v>
      </c>
      <c r="B40" s="17" t="s">
        <v>52</v>
      </c>
      <c r="C40" s="18">
        <v>1</v>
      </c>
      <c r="D40" s="19"/>
      <c r="E40" s="42"/>
      <c r="F40" s="42"/>
      <c r="G40" s="43"/>
      <c r="H40" s="44"/>
      <c r="I40" s="38">
        <f t="shared" si="0"/>
        <v>1</v>
      </c>
      <c r="J40" s="63">
        <f t="shared" si="1"/>
        <v>0</v>
      </c>
      <c r="K40" s="62"/>
      <c r="L40" s="36"/>
      <c r="M40" s="36"/>
      <c r="N40" s="36"/>
      <c r="O40" s="36"/>
      <c r="P40" s="36"/>
      <c r="Q40" s="99"/>
      <c r="R40" s="100">
        <f t="shared" si="2"/>
        <v>0</v>
      </c>
      <c r="S40" s="101">
        <f t="shared" si="3"/>
        <v>0</v>
      </c>
      <c r="T40" s="62"/>
      <c r="U40" s="142">
        <f t="shared" si="8"/>
        <v>0</v>
      </c>
      <c r="V40" s="135">
        <f t="shared" si="9"/>
        <v>0</v>
      </c>
      <c r="W40" s="143">
        <f t="shared" si="10"/>
        <v>24</v>
      </c>
      <c r="X40" s="144"/>
    </row>
    <row r="41" spans="1:26">
      <c r="A41" s="1">
        <f t="shared" si="7"/>
        <v>34</v>
      </c>
      <c r="B41" s="20" t="s">
        <v>53</v>
      </c>
      <c r="C41" s="21">
        <v>95</v>
      </c>
      <c r="D41" s="22">
        <v>8</v>
      </c>
      <c r="E41" s="45"/>
      <c r="F41" s="45"/>
      <c r="G41" s="46">
        <v>62</v>
      </c>
      <c r="H41" s="47"/>
      <c r="I41" s="71">
        <f t="shared" si="0"/>
        <v>33</v>
      </c>
      <c r="J41" s="72">
        <f t="shared" si="1"/>
        <v>8</v>
      </c>
      <c r="K41" s="73"/>
      <c r="L41" s="74">
        <v>62</v>
      </c>
      <c r="M41" s="74"/>
      <c r="N41" s="74"/>
      <c r="O41" s="74"/>
      <c r="P41" s="74"/>
      <c r="Q41" s="109"/>
      <c r="R41" s="110">
        <f t="shared" si="2"/>
        <v>62</v>
      </c>
      <c r="S41" s="111">
        <f t="shared" si="3"/>
        <v>0</v>
      </c>
      <c r="T41" s="73"/>
      <c r="U41" s="145">
        <f t="shared" si="8"/>
        <v>1488</v>
      </c>
      <c r="V41" s="146">
        <f t="shared" si="9"/>
        <v>62</v>
      </c>
      <c r="W41" s="146">
        <f t="shared" si="10"/>
        <v>800</v>
      </c>
      <c r="X41" s="147"/>
    </row>
    <row r="42" spans="1:26">
      <c r="A42" s="1">
        <f t="shared" si="7"/>
        <v>35</v>
      </c>
      <c r="B42" s="23" t="s">
        <v>54</v>
      </c>
      <c r="C42" s="24">
        <v>580</v>
      </c>
      <c r="D42" s="25"/>
      <c r="E42" s="48"/>
      <c r="F42" s="48"/>
      <c r="G42" s="49">
        <v>6</v>
      </c>
      <c r="H42" s="50"/>
      <c r="I42" s="49">
        <f t="shared" si="0"/>
        <v>574</v>
      </c>
      <c r="J42" s="75">
        <f t="shared" si="1"/>
        <v>0</v>
      </c>
      <c r="K42" s="76"/>
      <c r="L42" s="48">
        <v>6</v>
      </c>
      <c r="M42" s="48"/>
      <c r="N42" s="48"/>
      <c r="O42" s="48"/>
      <c r="P42" s="48"/>
      <c r="Q42" s="112"/>
      <c r="R42" s="113">
        <f t="shared" si="2"/>
        <v>6</v>
      </c>
      <c r="S42" s="114">
        <f t="shared" si="3"/>
        <v>0</v>
      </c>
      <c r="T42" s="76"/>
      <c r="U42" s="148">
        <f>L42*12+N42*12+P42*12</f>
        <v>72</v>
      </c>
      <c r="V42" s="149">
        <f>U42/12</f>
        <v>6</v>
      </c>
      <c r="W42" s="150">
        <f>I42*12+J42</f>
        <v>6888</v>
      </c>
      <c r="X42" s="151"/>
    </row>
    <row r="43" spans="1:26" ht="18.75" hidden="1" customHeight="1">
      <c r="A43" s="1">
        <f t="shared" si="7"/>
        <v>36</v>
      </c>
      <c r="B43" s="7" t="s">
        <v>55</v>
      </c>
      <c r="C43" s="10"/>
      <c r="D43" s="11"/>
      <c r="E43" s="36"/>
      <c r="F43" s="36"/>
      <c r="G43" s="37"/>
      <c r="H43" s="38"/>
      <c r="I43" s="38">
        <f t="shared" si="0"/>
        <v>0</v>
      </c>
      <c r="J43" s="64">
        <f t="shared" si="1"/>
        <v>0</v>
      </c>
      <c r="K43" s="62"/>
      <c r="L43" s="36"/>
      <c r="M43" s="36"/>
      <c r="N43" s="36"/>
      <c r="O43" s="36"/>
      <c r="P43" s="36"/>
      <c r="Q43" s="99"/>
      <c r="R43" s="115">
        <f t="shared" si="2"/>
        <v>0</v>
      </c>
      <c r="S43" s="116">
        <f t="shared" si="3"/>
        <v>0</v>
      </c>
      <c r="T43" s="62"/>
      <c r="U43" s="8"/>
      <c r="V43" s="33"/>
      <c r="W43" s="134"/>
      <c r="X43" s="61"/>
    </row>
    <row r="44" spans="1:26">
      <c r="A44" s="1">
        <f t="shared" si="7"/>
        <v>37</v>
      </c>
      <c r="B44" s="12" t="s">
        <v>56</v>
      </c>
      <c r="C44" s="13">
        <v>26506</v>
      </c>
      <c r="D44" s="14">
        <v>3</v>
      </c>
      <c r="E44" s="39"/>
      <c r="F44" s="39"/>
      <c r="G44" s="40">
        <v>664</v>
      </c>
      <c r="H44" s="41"/>
      <c r="I44" s="38">
        <f>C44+E44-G44</f>
        <v>25842</v>
      </c>
      <c r="J44" s="77">
        <f t="shared" si="1"/>
        <v>3</v>
      </c>
      <c r="K44" s="65"/>
      <c r="L44" s="51">
        <v>321</v>
      </c>
      <c r="M44" s="51"/>
      <c r="N44" s="51">
        <v>343</v>
      </c>
      <c r="O44" s="51"/>
      <c r="P44" s="51"/>
      <c r="Q44" s="102"/>
      <c r="R44" s="117">
        <f t="shared" si="2"/>
        <v>664</v>
      </c>
      <c r="S44" s="118">
        <f t="shared" si="3"/>
        <v>0</v>
      </c>
      <c r="T44" s="65"/>
      <c r="U44" s="136">
        <f>L44*6+N44*6+P44*6</f>
        <v>3984</v>
      </c>
      <c r="V44" s="135">
        <f>U44/6</f>
        <v>664</v>
      </c>
      <c r="W44" s="138">
        <f>I44*6+J44</f>
        <v>155055</v>
      </c>
      <c r="X44" s="139"/>
      <c r="Z44" s="155"/>
    </row>
    <row r="45" spans="1:26" ht="18.75" hidden="1" customHeight="1">
      <c r="A45" s="1">
        <f t="shared" si="7"/>
        <v>38</v>
      </c>
      <c r="B45" s="7" t="s">
        <v>57</v>
      </c>
      <c r="C45" s="10"/>
      <c r="D45" s="11"/>
      <c r="E45" s="36"/>
      <c r="F45" s="36"/>
      <c r="G45" s="37"/>
      <c r="H45" s="38"/>
      <c r="I45" s="44">
        <f t="shared" ref="I45:I59" si="11">C45-G45</f>
        <v>0</v>
      </c>
      <c r="J45" s="63">
        <f t="shared" si="1"/>
        <v>0</v>
      </c>
      <c r="K45" s="62"/>
      <c r="L45" s="36"/>
      <c r="M45" s="36"/>
      <c r="N45" s="36"/>
      <c r="O45" s="36"/>
      <c r="P45" s="36"/>
      <c r="Q45" s="99"/>
      <c r="R45" s="108">
        <f t="shared" si="2"/>
        <v>0</v>
      </c>
      <c r="S45" s="116">
        <f t="shared" si="3"/>
        <v>0</v>
      </c>
      <c r="T45" s="62"/>
      <c r="U45" s="8"/>
      <c r="V45" s="137"/>
      <c r="W45" s="134"/>
      <c r="X45" s="61"/>
    </row>
    <row r="46" spans="1:26">
      <c r="A46" s="1">
        <f t="shared" si="7"/>
        <v>39</v>
      </c>
      <c r="B46" s="15" t="s">
        <v>58</v>
      </c>
      <c r="C46" s="10">
        <v>9</v>
      </c>
      <c r="D46" s="11"/>
      <c r="E46" s="36"/>
      <c r="F46" s="36"/>
      <c r="G46" s="37"/>
      <c r="H46" s="38"/>
      <c r="I46" s="68">
        <f t="shared" si="11"/>
        <v>9</v>
      </c>
      <c r="J46" s="63">
        <f t="shared" si="1"/>
        <v>0</v>
      </c>
      <c r="K46" s="62"/>
      <c r="L46" s="36"/>
      <c r="M46" s="36"/>
      <c r="N46" s="36"/>
      <c r="O46" s="36"/>
      <c r="P46" s="36"/>
      <c r="Q46" s="99"/>
      <c r="R46" s="100">
        <f t="shared" si="2"/>
        <v>0</v>
      </c>
      <c r="S46" s="119">
        <f t="shared" si="3"/>
        <v>0</v>
      </c>
      <c r="T46" s="62"/>
      <c r="U46" s="8">
        <f t="shared" ref="U46:U51" si="12">L46*24+N46*24+P46*24</f>
        <v>0</v>
      </c>
      <c r="V46" s="140">
        <f t="shared" ref="V46:V51" si="13">U46/24</f>
        <v>0</v>
      </c>
      <c r="W46" s="134">
        <f t="shared" ref="W46:W51" si="14">I46*24+J46</f>
        <v>216</v>
      </c>
      <c r="X46" s="61"/>
    </row>
    <row r="47" spans="1:26">
      <c r="A47" s="1">
        <f t="shared" si="7"/>
        <v>40</v>
      </c>
      <c r="B47" s="15" t="s">
        <v>59</v>
      </c>
      <c r="C47" s="10"/>
      <c r="D47" s="11"/>
      <c r="E47" s="36"/>
      <c r="F47" s="36"/>
      <c r="G47" s="37"/>
      <c r="H47" s="38"/>
      <c r="I47" s="38">
        <f t="shared" si="11"/>
        <v>0</v>
      </c>
      <c r="J47" s="63">
        <f t="shared" si="1"/>
        <v>0</v>
      </c>
      <c r="K47" s="62"/>
      <c r="L47" s="36"/>
      <c r="M47" s="36"/>
      <c r="N47" s="36"/>
      <c r="O47" s="36"/>
      <c r="P47" s="36"/>
      <c r="Q47" s="99"/>
      <c r="R47" s="100">
        <f t="shared" si="2"/>
        <v>0</v>
      </c>
      <c r="S47" s="101">
        <f t="shared" si="3"/>
        <v>0</v>
      </c>
      <c r="T47" s="62"/>
      <c r="U47" s="8">
        <f t="shared" si="12"/>
        <v>0</v>
      </c>
      <c r="V47" s="135">
        <f t="shared" si="13"/>
        <v>0</v>
      </c>
      <c r="W47" s="134">
        <f t="shared" si="14"/>
        <v>0</v>
      </c>
      <c r="X47" s="61"/>
    </row>
    <row r="48" spans="1:26">
      <c r="A48" s="1">
        <f t="shared" si="7"/>
        <v>41</v>
      </c>
      <c r="B48" s="12" t="s">
        <v>48</v>
      </c>
      <c r="C48" s="26">
        <v>2829</v>
      </c>
      <c r="D48" s="27">
        <v>4</v>
      </c>
      <c r="E48" s="51"/>
      <c r="F48" s="51"/>
      <c r="G48" s="52"/>
      <c r="H48" s="53"/>
      <c r="I48" s="53">
        <f t="shared" si="11"/>
        <v>2829</v>
      </c>
      <c r="J48" s="70">
        <f t="shared" si="1"/>
        <v>4</v>
      </c>
      <c r="K48" s="65"/>
      <c r="L48" s="51"/>
      <c r="M48" s="51"/>
      <c r="N48" s="51"/>
      <c r="O48" s="51"/>
      <c r="P48" s="51"/>
      <c r="Q48" s="102"/>
      <c r="R48" s="107">
        <f t="shared" si="2"/>
        <v>0</v>
      </c>
      <c r="S48" s="120">
        <f t="shared" si="3"/>
        <v>0</v>
      </c>
      <c r="T48" s="65"/>
      <c r="U48" s="136">
        <f>L48*6+N48*6+P48*6</f>
        <v>0</v>
      </c>
      <c r="V48" s="141">
        <f>U48/6</f>
        <v>0</v>
      </c>
      <c r="W48" s="138">
        <f>I48*6+J48</f>
        <v>16978</v>
      </c>
      <c r="X48" s="139"/>
    </row>
    <row r="49" spans="1:24">
      <c r="A49" s="1">
        <f t="shared" si="7"/>
        <v>42</v>
      </c>
      <c r="B49" s="7" t="s">
        <v>60</v>
      </c>
      <c r="C49" s="10">
        <v>1</v>
      </c>
      <c r="D49" s="11"/>
      <c r="E49" s="36"/>
      <c r="F49" s="36"/>
      <c r="G49" s="37"/>
      <c r="H49" s="38"/>
      <c r="I49" s="38">
        <f t="shared" si="11"/>
        <v>1</v>
      </c>
      <c r="J49" s="63">
        <f t="shared" si="1"/>
        <v>0</v>
      </c>
      <c r="K49" s="62"/>
      <c r="L49" s="36"/>
      <c r="M49" s="36"/>
      <c r="N49" s="36"/>
      <c r="O49" s="36"/>
      <c r="P49" s="36"/>
      <c r="Q49" s="99"/>
      <c r="R49" s="108">
        <f t="shared" si="2"/>
        <v>0</v>
      </c>
      <c r="S49" s="106">
        <f t="shared" si="3"/>
        <v>0</v>
      </c>
      <c r="T49" s="62"/>
      <c r="U49" s="8">
        <f t="shared" si="12"/>
        <v>0</v>
      </c>
      <c r="V49" s="33">
        <f t="shared" si="13"/>
        <v>0</v>
      </c>
      <c r="W49" s="134">
        <f t="shared" si="14"/>
        <v>24</v>
      </c>
      <c r="X49" s="61"/>
    </row>
    <row r="50" spans="1:24">
      <c r="A50" s="1">
        <f t="shared" si="7"/>
        <v>43</v>
      </c>
      <c r="B50" s="15" t="s">
        <v>61</v>
      </c>
      <c r="C50" s="10">
        <v>2</v>
      </c>
      <c r="D50" s="11"/>
      <c r="E50" s="36"/>
      <c r="F50" s="36"/>
      <c r="G50" s="37"/>
      <c r="H50" s="38"/>
      <c r="I50" s="38">
        <f t="shared" si="11"/>
        <v>2</v>
      </c>
      <c r="J50" s="63">
        <f t="shared" si="1"/>
        <v>0</v>
      </c>
      <c r="K50" s="62"/>
      <c r="L50" s="36"/>
      <c r="M50" s="36"/>
      <c r="N50" s="36"/>
      <c r="O50" s="36"/>
      <c r="P50" s="36"/>
      <c r="Q50" s="99"/>
      <c r="R50" s="100">
        <f t="shared" si="2"/>
        <v>0</v>
      </c>
      <c r="S50" s="101">
        <f t="shared" si="3"/>
        <v>0</v>
      </c>
      <c r="T50" s="62"/>
      <c r="U50" s="8">
        <f t="shared" si="12"/>
        <v>0</v>
      </c>
      <c r="V50" s="135">
        <f t="shared" si="13"/>
        <v>0</v>
      </c>
      <c r="W50" s="134">
        <f t="shared" si="14"/>
        <v>48</v>
      </c>
      <c r="X50" s="61"/>
    </row>
    <row r="51" spans="1:24">
      <c r="A51" s="1">
        <f t="shared" si="7"/>
        <v>44</v>
      </c>
      <c r="B51" s="15" t="s">
        <v>62</v>
      </c>
      <c r="C51" s="10"/>
      <c r="D51" s="11"/>
      <c r="E51" s="36"/>
      <c r="F51" s="36"/>
      <c r="G51" s="37"/>
      <c r="H51" s="38"/>
      <c r="I51" s="38">
        <f t="shared" si="11"/>
        <v>0</v>
      </c>
      <c r="J51" s="63">
        <f t="shared" si="1"/>
        <v>0</v>
      </c>
      <c r="K51" s="62"/>
      <c r="L51" s="36"/>
      <c r="M51" s="36"/>
      <c r="N51" s="36"/>
      <c r="O51" s="36"/>
      <c r="P51" s="36"/>
      <c r="Q51" s="99"/>
      <c r="R51" s="100">
        <f t="shared" si="2"/>
        <v>0</v>
      </c>
      <c r="S51" s="101">
        <f t="shared" si="3"/>
        <v>0</v>
      </c>
      <c r="T51" s="62"/>
      <c r="U51" s="8">
        <f t="shared" si="12"/>
        <v>0</v>
      </c>
      <c r="V51" s="135">
        <f t="shared" si="13"/>
        <v>0</v>
      </c>
      <c r="W51" s="134">
        <f t="shared" si="14"/>
        <v>0</v>
      </c>
      <c r="X51" s="61"/>
    </row>
    <row r="52" spans="1:24">
      <c r="A52" s="1">
        <f t="shared" si="7"/>
        <v>45</v>
      </c>
      <c r="B52" s="12" t="s">
        <v>63</v>
      </c>
      <c r="C52" s="26">
        <v>34</v>
      </c>
      <c r="D52" s="27"/>
      <c r="E52" s="51"/>
      <c r="F52" s="51"/>
      <c r="G52" s="52"/>
      <c r="H52" s="53"/>
      <c r="I52" s="53">
        <f t="shared" si="11"/>
        <v>34</v>
      </c>
      <c r="J52" s="70">
        <f t="shared" si="1"/>
        <v>0</v>
      </c>
      <c r="K52" s="65"/>
      <c r="L52" s="51"/>
      <c r="M52" s="51"/>
      <c r="N52" s="51"/>
      <c r="O52" s="51"/>
      <c r="P52" s="51"/>
      <c r="Q52" s="102"/>
      <c r="R52" s="107">
        <f t="shared" si="2"/>
        <v>0</v>
      </c>
      <c r="S52" s="120">
        <f t="shared" si="3"/>
        <v>0</v>
      </c>
      <c r="T52" s="65"/>
      <c r="U52" s="136">
        <f>L52*6+N52*6+P52*6</f>
        <v>0</v>
      </c>
      <c r="V52" s="141">
        <f>U52/6</f>
        <v>0</v>
      </c>
      <c r="W52" s="138">
        <f>I52*6+J52</f>
        <v>204</v>
      </c>
      <c r="X52" s="139"/>
    </row>
    <row r="53" spans="1:24">
      <c r="A53" s="1">
        <f t="shared" si="7"/>
        <v>46</v>
      </c>
      <c r="B53" s="7" t="s">
        <v>64</v>
      </c>
      <c r="C53" s="10">
        <v>2</v>
      </c>
      <c r="D53" s="11"/>
      <c r="E53" s="36"/>
      <c r="F53" s="36"/>
      <c r="G53" s="37"/>
      <c r="H53" s="38"/>
      <c r="I53" s="38">
        <f t="shared" si="11"/>
        <v>2</v>
      </c>
      <c r="J53" s="63">
        <f t="shared" si="1"/>
        <v>0</v>
      </c>
      <c r="K53" s="62"/>
      <c r="L53" s="36"/>
      <c r="M53" s="36"/>
      <c r="N53" s="36"/>
      <c r="O53" s="36"/>
      <c r="P53" s="36"/>
      <c r="Q53" s="99"/>
      <c r="R53" s="108">
        <f t="shared" si="2"/>
        <v>0</v>
      </c>
      <c r="S53" s="106">
        <f t="shared" si="3"/>
        <v>0</v>
      </c>
      <c r="T53" s="62"/>
      <c r="U53" s="8">
        <f>L53*24+N53*24+P53*24</f>
        <v>0</v>
      </c>
      <c r="V53" s="33">
        <f>U53/24</f>
        <v>0</v>
      </c>
      <c r="W53" s="134">
        <f>I53*24+J53</f>
        <v>48</v>
      </c>
      <c r="X53" s="61"/>
    </row>
    <row r="54" spans="1:24">
      <c r="A54" s="1">
        <f t="shared" si="7"/>
        <v>47</v>
      </c>
      <c r="B54" s="15" t="s">
        <v>65</v>
      </c>
      <c r="C54" s="10">
        <v>11</v>
      </c>
      <c r="D54" s="11"/>
      <c r="E54" s="36"/>
      <c r="F54" s="36"/>
      <c r="G54" s="37"/>
      <c r="H54" s="38"/>
      <c r="I54" s="38">
        <f t="shared" si="11"/>
        <v>11</v>
      </c>
      <c r="J54" s="63">
        <f t="shared" si="1"/>
        <v>0</v>
      </c>
      <c r="K54" s="62"/>
      <c r="L54" s="36"/>
      <c r="M54" s="36"/>
      <c r="N54" s="36"/>
      <c r="O54" s="36"/>
      <c r="P54" s="36"/>
      <c r="Q54" s="99"/>
      <c r="R54" s="100">
        <f t="shared" si="2"/>
        <v>0</v>
      </c>
      <c r="S54" s="101">
        <f t="shared" si="3"/>
        <v>0</v>
      </c>
      <c r="T54" s="62"/>
      <c r="U54" s="8">
        <f>L54*24+N54*24+P54*24</f>
        <v>0</v>
      </c>
      <c r="V54" s="135">
        <f>U54/24</f>
        <v>0</v>
      </c>
      <c r="W54" s="134">
        <f>I54*24+J54</f>
        <v>264</v>
      </c>
      <c r="X54" s="61"/>
    </row>
    <row r="55" spans="1:24">
      <c r="A55" s="1">
        <f t="shared" si="7"/>
        <v>48</v>
      </c>
      <c r="B55" s="15"/>
      <c r="C55" s="10"/>
      <c r="D55" s="11"/>
      <c r="E55" s="36"/>
      <c r="F55" s="36"/>
      <c r="G55" s="37"/>
      <c r="H55" s="38"/>
      <c r="I55" s="38">
        <f t="shared" si="11"/>
        <v>0</v>
      </c>
      <c r="J55" s="63">
        <f t="shared" si="1"/>
        <v>0</v>
      </c>
      <c r="K55" s="62"/>
      <c r="L55" s="36"/>
      <c r="M55" s="36"/>
      <c r="N55" s="36"/>
      <c r="O55" s="36"/>
      <c r="P55" s="36"/>
      <c r="Q55" s="99"/>
      <c r="R55" s="100">
        <f t="shared" si="2"/>
        <v>0</v>
      </c>
      <c r="S55" s="101">
        <f t="shared" si="3"/>
        <v>0</v>
      </c>
      <c r="T55" s="62"/>
      <c r="U55" s="8"/>
      <c r="V55" s="135"/>
      <c r="W55" s="134"/>
      <c r="X55" s="61"/>
    </row>
    <row r="56" spans="1:24">
      <c r="A56" s="1">
        <f t="shared" si="7"/>
        <v>49</v>
      </c>
      <c r="B56" s="15"/>
      <c r="C56" s="10"/>
      <c r="D56" s="11"/>
      <c r="E56" s="36"/>
      <c r="F56" s="36"/>
      <c r="G56" s="37"/>
      <c r="H56" s="38"/>
      <c r="I56" s="38">
        <f t="shared" si="11"/>
        <v>0</v>
      </c>
      <c r="J56" s="63">
        <f t="shared" si="1"/>
        <v>0</v>
      </c>
      <c r="K56" s="62"/>
      <c r="L56" s="36"/>
      <c r="M56" s="36"/>
      <c r="N56" s="36"/>
      <c r="O56" s="36"/>
      <c r="P56" s="36"/>
      <c r="Q56" s="99"/>
      <c r="R56" s="100">
        <f t="shared" si="2"/>
        <v>0</v>
      </c>
      <c r="S56" s="101">
        <f t="shared" si="3"/>
        <v>0</v>
      </c>
      <c r="T56" s="62"/>
      <c r="U56" s="8"/>
      <c r="V56" s="135"/>
      <c r="W56" s="134"/>
      <c r="X56" s="61"/>
    </row>
    <row r="57" spans="1:24">
      <c r="A57" s="1">
        <f t="shared" si="7"/>
        <v>50</v>
      </c>
      <c r="B57" s="15"/>
      <c r="C57" s="10"/>
      <c r="D57" s="11"/>
      <c r="E57" s="36"/>
      <c r="F57" s="36"/>
      <c r="G57" s="37"/>
      <c r="H57" s="38"/>
      <c r="I57" s="38">
        <f t="shared" si="11"/>
        <v>0</v>
      </c>
      <c r="J57" s="63">
        <f t="shared" si="1"/>
        <v>0</v>
      </c>
      <c r="K57" s="62"/>
      <c r="L57" s="36"/>
      <c r="M57" s="36"/>
      <c r="N57" s="36"/>
      <c r="O57" s="36"/>
      <c r="P57" s="36"/>
      <c r="Q57" s="99"/>
      <c r="R57" s="100">
        <f t="shared" si="2"/>
        <v>0</v>
      </c>
      <c r="S57" s="101">
        <f t="shared" si="3"/>
        <v>0</v>
      </c>
      <c r="T57" s="62"/>
      <c r="U57" s="8"/>
      <c r="V57" s="135"/>
      <c r="W57" s="134"/>
      <c r="X57" s="61"/>
    </row>
    <row r="58" spans="1:24">
      <c r="A58" s="1">
        <f t="shared" si="7"/>
        <v>51</v>
      </c>
      <c r="B58" s="15"/>
      <c r="C58" s="10"/>
      <c r="D58" s="11"/>
      <c r="E58" s="36"/>
      <c r="F58" s="36"/>
      <c r="G58" s="37"/>
      <c r="H58" s="38"/>
      <c r="I58" s="38">
        <f t="shared" si="11"/>
        <v>0</v>
      </c>
      <c r="J58" s="63">
        <f t="shared" si="1"/>
        <v>0</v>
      </c>
      <c r="K58" s="62"/>
      <c r="L58" s="36"/>
      <c r="M58" s="36"/>
      <c r="N58" s="36"/>
      <c r="O58" s="36"/>
      <c r="P58" s="36"/>
      <c r="Q58" s="99"/>
      <c r="R58" s="100">
        <f t="shared" si="2"/>
        <v>0</v>
      </c>
      <c r="S58" s="101">
        <f t="shared" si="3"/>
        <v>0</v>
      </c>
      <c r="T58" s="62"/>
      <c r="U58" s="8"/>
      <c r="V58" s="135"/>
      <c r="W58" s="134"/>
      <c r="X58" s="61"/>
    </row>
    <row r="59" spans="1:24">
      <c r="A59" s="1">
        <f t="shared" si="7"/>
        <v>52</v>
      </c>
      <c r="B59" s="15"/>
      <c r="C59" s="10"/>
      <c r="D59" s="11"/>
      <c r="E59" s="36"/>
      <c r="F59" s="36"/>
      <c r="G59" s="37"/>
      <c r="H59" s="38"/>
      <c r="I59" s="38">
        <f t="shared" si="11"/>
        <v>0</v>
      </c>
      <c r="J59" s="63">
        <f t="shared" si="1"/>
        <v>0</v>
      </c>
      <c r="K59" s="62"/>
      <c r="L59" s="36"/>
      <c r="M59" s="36"/>
      <c r="N59" s="36"/>
      <c r="O59" s="36"/>
      <c r="P59" s="36"/>
      <c r="Q59" s="99"/>
      <c r="R59" s="100">
        <f t="shared" si="2"/>
        <v>0</v>
      </c>
      <c r="S59" s="101">
        <f t="shared" si="3"/>
        <v>0</v>
      </c>
      <c r="T59" s="62"/>
      <c r="U59" s="8"/>
      <c r="V59" s="135"/>
      <c r="W59" s="134"/>
      <c r="X59" s="61"/>
    </row>
    <row r="60" spans="1:24" s="2" customFormat="1">
      <c r="B60" s="28" t="s">
        <v>15</v>
      </c>
      <c r="C60" s="29">
        <f t="shared" ref="C60:J60" si="15">SUM(C8:C59)</f>
        <v>39664</v>
      </c>
      <c r="D60" s="30">
        <f t="shared" si="15"/>
        <v>154</v>
      </c>
      <c r="E60" s="54">
        <f t="shared" si="15"/>
        <v>0</v>
      </c>
      <c r="F60" s="54"/>
      <c r="G60" s="55">
        <f t="shared" si="15"/>
        <v>799</v>
      </c>
      <c r="H60" s="56">
        <f t="shared" si="15"/>
        <v>35</v>
      </c>
      <c r="I60" s="56">
        <f t="shared" si="15"/>
        <v>38865</v>
      </c>
      <c r="J60" s="78">
        <f t="shared" si="15"/>
        <v>119</v>
      </c>
      <c r="L60" s="79">
        <f t="shared" ref="L60:S60" si="16">SUM(L8:L59)</f>
        <v>431</v>
      </c>
      <c r="M60" s="79">
        <f t="shared" si="16"/>
        <v>19</v>
      </c>
      <c r="N60" s="79">
        <f t="shared" si="16"/>
        <v>368</v>
      </c>
      <c r="O60" s="79">
        <f t="shared" si="16"/>
        <v>16</v>
      </c>
      <c r="P60" s="79">
        <f t="shared" si="16"/>
        <v>0</v>
      </c>
      <c r="Q60" s="121">
        <f t="shared" si="16"/>
        <v>0</v>
      </c>
      <c r="R60" s="122">
        <f t="shared" si="16"/>
        <v>799</v>
      </c>
      <c r="S60" s="123">
        <f t="shared" si="16"/>
        <v>35</v>
      </c>
      <c r="U60" s="29">
        <f t="shared" ref="U60:W60" si="17">SUM(U8:U59)</f>
        <v>6540</v>
      </c>
      <c r="V60" s="152">
        <f t="shared" si="17"/>
        <v>799</v>
      </c>
      <c r="W60" s="179">
        <f t="shared" si="17"/>
        <v>304559</v>
      </c>
      <c r="X60" s="78"/>
    </row>
    <row r="61" spans="1:24">
      <c r="V61" s="154"/>
    </row>
    <row r="62" spans="1:24" ht="18.75" customHeight="1">
      <c r="G62" s="197" t="s">
        <v>66</v>
      </c>
      <c r="H62" s="57"/>
      <c r="I62" s="57"/>
      <c r="J62" s="80" t="s">
        <v>67</v>
      </c>
      <c r="L62" s="81"/>
      <c r="M62" s="87"/>
      <c r="N62" s="88"/>
      <c r="O62" s="88"/>
      <c r="P62" s="88"/>
      <c r="Q62" s="124"/>
      <c r="R62" s="124"/>
      <c r="S62" s="125"/>
    </row>
    <row r="63" spans="1:24">
      <c r="G63" s="198"/>
      <c r="H63" s="58"/>
      <c r="I63" s="58"/>
      <c r="J63" s="82" t="s">
        <v>68</v>
      </c>
      <c r="L63" s="83"/>
      <c r="M63" s="89"/>
      <c r="N63" s="90"/>
      <c r="O63" s="90"/>
      <c r="P63" s="90"/>
      <c r="Q63" s="126"/>
      <c r="R63" s="126"/>
      <c r="S63" s="127"/>
    </row>
    <row r="64" spans="1:24">
      <c r="G64" s="199"/>
      <c r="H64" s="59"/>
      <c r="I64" s="59"/>
      <c r="J64" s="82" t="s">
        <v>69</v>
      </c>
      <c r="L64" s="84"/>
      <c r="M64" s="91"/>
      <c r="N64" s="92"/>
      <c r="O64" s="92"/>
      <c r="P64" s="92"/>
      <c r="Q64" s="128"/>
      <c r="R64" s="128"/>
      <c r="S64" s="129"/>
    </row>
    <row r="65" spans="2:24">
      <c r="G65" s="200" t="s">
        <v>70</v>
      </c>
      <c r="H65" s="164"/>
      <c r="I65" s="164"/>
      <c r="J65" s="82" t="s">
        <v>67</v>
      </c>
      <c r="L65" s="84"/>
      <c r="M65" s="91"/>
      <c r="N65" s="92"/>
      <c r="O65" s="92"/>
      <c r="P65" s="92"/>
      <c r="Q65" s="128"/>
      <c r="R65" s="128"/>
      <c r="S65" s="129"/>
    </row>
    <row r="66" spans="2:24">
      <c r="G66" s="200"/>
      <c r="H66" s="164"/>
      <c r="I66" s="164"/>
      <c r="J66" s="82" t="s">
        <v>68</v>
      </c>
      <c r="L66" s="83"/>
      <c r="M66" s="89"/>
      <c r="N66" s="90"/>
      <c r="O66" s="90"/>
      <c r="P66" s="90"/>
      <c r="Q66" s="126"/>
      <c r="R66" s="126"/>
      <c r="S66" s="127"/>
    </row>
    <row r="67" spans="2:24">
      <c r="G67" s="201"/>
      <c r="H67" s="165"/>
      <c r="I67" s="165"/>
      <c r="J67" s="167" t="s">
        <v>69</v>
      </c>
      <c r="L67" s="168"/>
      <c r="M67" s="170"/>
      <c r="N67" s="171"/>
      <c r="O67" s="171"/>
      <c r="P67" s="171"/>
      <c r="Q67" s="174"/>
      <c r="R67" s="174"/>
      <c r="S67" s="175"/>
    </row>
    <row r="69" spans="2:24" ht="49.5" customHeight="1">
      <c r="B69" s="159" t="s">
        <v>71</v>
      </c>
      <c r="C69" s="5" t="s">
        <v>4</v>
      </c>
      <c r="D69" s="6"/>
      <c r="E69" s="166" t="s">
        <v>72</v>
      </c>
      <c r="L69" s="169" t="s">
        <v>12</v>
      </c>
      <c r="M69" s="172"/>
      <c r="N69" s="173" t="s">
        <v>13</v>
      </c>
      <c r="O69" s="173"/>
      <c r="P69" s="173" t="s">
        <v>14</v>
      </c>
      <c r="Q69" s="176"/>
      <c r="R69" s="176"/>
      <c r="S69" s="177" t="s">
        <v>73</v>
      </c>
      <c r="X69" s="178" t="s">
        <v>74</v>
      </c>
    </row>
    <row r="70" spans="2:24">
      <c r="B70" s="160" t="s">
        <v>47</v>
      </c>
      <c r="C70" s="161"/>
      <c r="D70" s="161"/>
      <c r="E70" s="163"/>
      <c r="L70" s="161"/>
      <c r="M70" s="161"/>
      <c r="N70" s="161"/>
      <c r="O70" s="161"/>
      <c r="P70" s="161"/>
      <c r="Q70" s="161"/>
      <c r="R70" s="161"/>
      <c r="S70" s="161"/>
      <c r="X70" s="163"/>
    </row>
    <row r="71" spans="2:24">
      <c r="B71" s="162" t="s">
        <v>75</v>
      </c>
      <c r="C71" s="161"/>
      <c r="D71" s="161"/>
      <c r="E71" s="163"/>
      <c r="L71" s="163"/>
      <c r="M71" s="163"/>
      <c r="N71" s="163"/>
      <c r="O71" s="163"/>
      <c r="P71" s="163"/>
      <c r="Q71" s="163"/>
      <c r="R71" s="163"/>
      <c r="S71" s="163"/>
      <c r="X71" s="163"/>
    </row>
    <row r="72" spans="2:24">
      <c r="B72" s="162" t="s">
        <v>76</v>
      </c>
      <c r="C72" s="161"/>
      <c r="D72" s="161"/>
      <c r="E72" s="163"/>
      <c r="L72" s="163"/>
      <c r="M72" s="163"/>
      <c r="N72" s="163"/>
      <c r="O72" s="163"/>
      <c r="P72" s="163"/>
      <c r="Q72" s="163"/>
      <c r="R72" s="163"/>
      <c r="S72" s="163"/>
      <c r="X72" s="163"/>
    </row>
    <row r="73" spans="2:24" ht="11.25" customHeight="1"/>
    <row r="74" spans="2:24">
      <c r="B74" s="162" t="s">
        <v>77</v>
      </c>
      <c r="C74" s="163"/>
      <c r="D74" s="163"/>
      <c r="E74" s="163"/>
      <c r="L74" s="163"/>
      <c r="M74" s="163"/>
      <c r="N74" s="163"/>
      <c r="O74" s="163"/>
      <c r="P74" s="163"/>
      <c r="Q74" s="163"/>
      <c r="R74" s="163"/>
      <c r="S74" s="163"/>
      <c r="X74" s="163"/>
    </row>
    <row r="75" spans="2:24">
      <c r="B75" s="162" t="s">
        <v>75</v>
      </c>
      <c r="C75" s="163"/>
      <c r="D75" s="163"/>
      <c r="E75" s="163"/>
      <c r="L75" s="163"/>
      <c r="M75" s="163"/>
      <c r="N75" s="163"/>
      <c r="O75" s="163"/>
      <c r="P75" s="163"/>
      <c r="Q75" s="163"/>
      <c r="R75" s="163"/>
      <c r="S75" s="163"/>
      <c r="X75" s="163"/>
    </row>
    <row r="76" spans="2:24">
      <c r="B76" s="162" t="s">
        <v>76</v>
      </c>
      <c r="C76" s="163"/>
      <c r="D76" s="163"/>
      <c r="E76" s="163"/>
      <c r="L76" s="163"/>
      <c r="M76" s="163"/>
      <c r="N76" s="163"/>
      <c r="O76" s="163"/>
      <c r="P76" s="163"/>
      <c r="Q76" s="163"/>
      <c r="R76" s="163"/>
      <c r="S76" s="163"/>
      <c r="X76" s="163"/>
    </row>
    <row r="77" spans="2:24" ht="11.25" customHeight="1"/>
    <row r="78" spans="2:24">
      <c r="B78" s="162" t="s">
        <v>78</v>
      </c>
      <c r="C78" s="163"/>
      <c r="D78" s="163"/>
      <c r="E78" s="163"/>
      <c r="L78" s="163"/>
      <c r="M78" s="163"/>
      <c r="N78" s="163"/>
      <c r="O78" s="163"/>
      <c r="P78" s="163"/>
      <c r="Q78" s="163"/>
      <c r="R78" s="163"/>
      <c r="S78" s="163"/>
      <c r="X78" s="163"/>
    </row>
    <row r="79" spans="2:24">
      <c r="B79" s="162" t="s">
        <v>75</v>
      </c>
      <c r="C79" s="163"/>
      <c r="D79" s="163"/>
      <c r="E79" s="163"/>
      <c r="L79" s="163"/>
      <c r="M79" s="163"/>
      <c r="N79" s="163"/>
      <c r="O79" s="163"/>
      <c r="P79" s="163"/>
      <c r="Q79" s="163"/>
      <c r="R79" s="163"/>
      <c r="S79" s="163"/>
      <c r="X79" s="163"/>
    </row>
    <row r="80" spans="2:24">
      <c r="B80" s="162" t="s">
        <v>76</v>
      </c>
      <c r="C80" s="163"/>
      <c r="D80" s="163"/>
      <c r="E80" s="163"/>
      <c r="L80" s="163"/>
      <c r="M80" s="163"/>
      <c r="N80" s="163"/>
      <c r="O80" s="163"/>
      <c r="P80" s="163"/>
      <c r="Q80" s="163"/>
      <c r="R80" s="163"/>
      <c r="S80" s="163"/>
      <c r="X80" s="163"/>
    </row>
    <row r="81" spans="2:24" ht="11.25" customHeight="1"/>
    <row r="82" spans="2:24">
      <c r="B82" s="162" t="s">
        <v>79</v>
      </c>
      <c r="C82" s="163"/>
      <c r="D82" s="163"/>
      <c r="E82" s="163"/>
      <c r="L82" s="163"/>
      <c r="M82" s="163"/>
      <c r="N82" s="163"/>
      <c r="O82" s="163"/>
      <c r="P82" s="163"/>
      <c r="Q82" s="163"/>
      <c r="R82" s="163"/>
      <c r="S82" s="163"/>
      <c r="X82" s="163"/>
    </row>
    <row r="83" spans="2:24">
      <c r="B83" s="162" t="s">
        <v>75</v>
      </c>
      <c r="C83" s="163"/>
      <c r="D83" s="163"/>
      <c r="E83" s="163"/>
      <c r="L83" s="163"/>
      <c r="M83" s="163"/>
      <c r="N83" s="163"/>
      <c r="O83" s="163"/>
      <c r="P83" s="163"/>
      <c r="Q83" s="163"/>
      <c r="R83" s="163"/>
      <c r="S83" s="163"/>
      <c r="X83" s="163"/>
    </row>
    <row r="84" spans="2:24">
      <c r="B84" s="162" t="s">
        <v>76</v>
      </c>
      <c r="C84" s="161"/>
      <c r="D84" s="161"/>
      <c r="E84" s="163"/>
      <c r="L84" s="163"/>
      <c r="M84" s="163"/>
      <c r="N84" s="163"/>
      <c r="O84" s="163"/>
      <c r="P84" s="163"/>
      <c r="Q84" s="163"/>
      <c r="R84" s="163"/>
      <c r="S84" s="163"/>
      <c r="X84" s="163"/>
    </row>
    <row r="85" spans="2:24" ht="11.25" customHeight="1"/>
    <row r="86" spans="2:24">
      <c r="B86" s="162" t="s">
        <v>80</v>
      </c>
      <c r="C86" s="163"/>
      <c r="D86" s="163"/>
      <c r="E86" s="163"/>
      <c r="L86" s="163"/>
      <c r="M86" s="163"/>
      <c r="N86" s="163"/>
      <c r="O86" s="163"/>
      <c r="P86" s="163"/>
      <c r="Q86" s="163"/>
      <c r="R86" s="163"/>
      <c r="S86" s="163"/>
      <c r="X86" s="163"/>
    </row>
    <row r="87" spans="2:24">
      <c r="B87" s="162" t="s">
        <v>75</v>
      </c>
      <c r="C87" s="163"/>
      <c r="D87" s="163"/>
      <c r="E87" s="163"/>
      <c r="L87" s="163"/>
      <c r="M87" s="163"/>
      <c r="N87" s="163"/>
      <c r="O87" s="163"/>
      <c r="P87" s="163"/>
      <c r="Q87" s="163"/>
      <c r="R87" s="163"/>
      <c r="S87" s="163"/>
      <c r="X87" s="163"/>
    </row>
    <row r="88" spans="2:24">
      <c r="B88" s="162" t="s">
        <v>76</v>
      </c>
      <c r="C88" s="163"/>
      <c r="D88" s="163"/>
      <c r="E88" s="163"/>
      <c r="L88" s="163"/>
      <c r="M88" s="163"/>
      <c r="N88" s="163"/>
      <c r="O88" s="163"/>
      <c r="P88" s="163"/>
      <c r="Q88" s="163"/>
      <c r="R88" s="163"/>
      <c r="S88" s="163"/>
      <c r="X88" s="163"/>
    </row>
    <row r="90" spans="2:24">
      <c r="B90" s="162" t="s">
        <v>81</v>
      </c>
      <c r="C90" s="163"/>
      <c r="D90" s="163"/>
      <c r="E90" s="163"/>
      <c r="L90" s="163"/>
      <c r="M90" s="163"/>
      <c r="N90" s="163"/>
      <c r="O90" s="163"/>
      <c r="P90" s="163"/>
      <c r="Q90" s="163"/>
      <c r="R90" s="163"/>
      <c r="S90" s="163"/>
      <c r="X90" s="163"/>
    </row>
  </sheetData>
  <mergeCells count="12">
    <mergeCell ref="G62:G64"/>
    <mergeCell ref="G65:G67"/>
    <mergeCell ref="H4:H5"/>
    <mergeCell ref="I4:I5"/>
    <mergeCell ref="J4:J5"/>
    <mergeCell ref="P1:X1"/>
    <mergeCell ref="E4:F4"/>
    <mergeCell ref="L4:X4"/>
    <mergeCell ref="B4:B5"/>
    <mergeCell ref="C4:C5"/>
    <mergeCell ref="D4:D5"/>
    <mergeCell ref="G4:G5"/>
  </mergeCells>
  <printOptions horizontalCentered="1" verticalCentered="1"/>
  <pageMargins left="0.196850393700787" right="0.196850393700787" top="0.196850393700787" bottom="0.196850393700787" header="0.511811023622047" footer="0.511811023622047"/>
  <pageSetup paperSize="9" scale="51" orientation="portrait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BH90"/>
  <sheetViews>
    <sheetView zoomScaleNormal="100" zoomScaleSheetLayoutView="85" zoomScalePageLayoutView="80" workbookViewId="0">
      <selection activeCell="P1" sqref="P1:X1"/>
    </sheetView>
  </sheetViews>
  <sheetFormatPr defaultColWidth="9.140625" defaultRowHeight="18.75"/>
  <cols>
    <col min="1" max="1" width="5.42578125" style="3" customWidth="1"/>
    <col min="2" max="2" width="12.28515625" style="3" customWidth="1"/>
    <col min="3" max="3" width="12.7109375" style="3" customWidth="1"/>
    <col min="4" max="4" width="8.5703125" style="3" bestFit="1" customWidth="1"/>
    <col min="5" max="5" width="12.140625" style="3" customWidth="1"/>
    <col min="6" max="6" width="9.85546875" style="3" customWidth="1"/>
    <col min="7" max="7" width="11" style="3" customWidth="1"/>
    <col min="8" max="8" width="8" style="3" customWidth="1"/>
    <col min="9" max="9" width="14.7109375" style="3" customWidth="1"/>
    <col min="10" max="10" width="8.28515625" style="3" customWidth="1"/>
    <col min="11" max="11" width="1.28515625" style="3" customWidth="1"/>
    <col min="12" max="12" width="11" style="3" customWidth="1"/>
    <col min="13" max="13" width="7.85546875" style="3" customWidth="1"/>
    <col min="14" max="14" width="11" style="3" customWidth="1"/>
    <col min="15" max="15" width="6.5703125" style="3" customWidth="1"/>
    <col min="16" max="16" width="11" style="3" customWidth="1"/>
    <col min="17" max="17" width="6.5703125" style="3" customWidth="1"/>
    <col min="18" max="18" width="9.5703125" style="3" customWidth="1"/>
    <col min="19" max="19" width="8.140625" style="3" customWidth="1"/>
    <col min="20" max="20" width="1.28515625" style="3" customWidth="1"/>
    <col min="21" max="21" width="12.7109375" style="3" customWidth="1"/>
    <col min="22" max="22" width="12.7109375" style="3" hidden="1" customWidth="1"/>
    <col min="23" max="23" width="14.5703125" style="3" customWidth="1"/>
    <col min="24" max="24" width="11.5703125" style="3" customWidth="1"/>
    <col min="25" max="25" width="2" style="3" customWidth="1"/>
    <col min="26" max="26" width="10.5703125" style="3" customWidth="1"/>
    <col min="27" max="55" width="7.28515625" style="3" customWidth="1"/>
    <col min="56" max="56" width="1.5703125" style="3" customWidth="1"/>
    <col min="57" max="57" width="9.42578125" style="3" customWidth="1"/>
    <col min="58" max="58" width="1.28515625" style="3" customWidth="1"/>
    <col min="59" max="59" width="12.7109375" style="3" customWidth="1"/>
    <col min="60" max="60" width="10.28515625" style="3" customWidth="1"/>
    <col min="61" max="16384" width="9.140625" style="3"/>
  </cols>
  <sheetData>
    <row r="1" spans="1:60">
      <c r="B1" s="2" t="s">
        <v>0</v>
      </c>
      <c r="N1" s="3" t="s">
        <v>1</v>
      </c>
      <c r="P1" s="183">
        <v>46156</v>
      </c>
      <c r="Q1" s="184"/>
      <c r="R1" s="184"/>
      <c r="S1" s="184"/>
      <c r="T1" s="184"/>
      <c r="U1" s="184"/>
      <c r="V1" s="184"/>
      <c r="W1" s="184"/>
      <c r="X1" s="185"/>
    </row>
    <row r="2" spans="1:60" ht="15" customHeight="1">
      <c r="B2" s="2" t="s">
        <v>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4" spans="1:60" ht="19.5" customHeight="1">
      <c r="A4" s="4"/>
      <c r="B4" s="192" t="s">
        <v>3</v>
      </c>
      <c r="C4" s="193" t="s">
        <v>4</v>
      </c>
      <c r="D4" s="194" t="s">
        <v>5</v>
      </c>
      <c r="E4" s="186" t="s">
        <v>6</v>
      </c>
      <c r="F4" s="187"/>
      <c r="G4" s="195" t="s">
        <v>7</v>
      </c>
      <c r="H4" s="202" t="s">
        <v>5</v>
      </c>
      <c r="I4" s="204" t="s">
        <v>8</v>
      </c>
      <c r="J4" s="202" t="s">
        <v>5</v>
      </c>
      <c r="L4" s="188" t="s">
        <v>9</v>
      </c>
      <c r="M4" s="189"/>
      <c r="N4" s="189"/>
      <c r="O4" s="189"/>
      <c r="P4" s="189"/>
      <c r="Q4" s="189"/>
      <c r="R4" s="189"/>
      <c r="S4" s="189"/>
      <c r="T4" s="189"/>
      <c r="U4" s="189"/>
      <c r="V4" s="190"/>
      <c r="W4" s="189"/>
      <c r="X4" s="191"/>
    </row>
    <row r="5" spans="1:60" s="1" customFormat="1" ht="56.25">
      <c r="A5" s="4"/>
      <c r="B5" s="192"/>
      <c r="C5" s="193"/>
      <c r="D5" s="194"/>
      <c r="E5" s="31" t="s">
        <v>10</v>
      </c>
      <c r="F5" s="32" t="s">
        <v>11</v>
      </c>
      <c r="G5" s="196"/>
      <c r="H5" s="203"/>
      <c r="I5" s="205"/>
      <c r="J5" s="203"/>
      <c r="L5" s="60" t="s">
        <v>12</v>
      </c>
      <c r="M5" s="85" t="s">
        <v>5</v>
      </c>
      <c r="N5" s="86" t="s">
        <v>13</v>
      </c>
      <c r="O5" s="85" t="s">
        <v>5</v>
      </c>
      <c r="P5" s="86" t="s">
        <v>14</v>
      </c>
      <c r="Q5" s="85" t="s">
        <v>5</v>
      </c>
      <c r="R5" s="93" t="s">
        <v>15</v>
      </c>
      <c r="S5" s="94" t="s">
        <v>5</v>
      </c>
      <c r="T5" s="95"/>
      <c r="U5" s="130" t="s">
        <v>16</v>
      </c>
      <c r="V5" s="131" t="s">
        <v>17</v>
      </c>
      <c r="W5" s="132" t="s">
        <v>18</v>
      </c>
      <c r="X5" s="133" t="s">
        <v>19</v>
      </c>
      <c r="AL5" s="156"/>
      <c r="AM5" s="156"/>
      <c r="AN5" s="156"/>
      <c r="AO5" s="156"/>
      <c r="AP5" s="156"/>
      <c r="AQ5" s="156"/>
      <c r="AR5" s="156"/>
      <c r="AS5" s="156"/>
      <c r="AT5" s="156"/>
      <c r="AU5" s="156"/>
      <c r="AV5" s="156"/>
      <c r="AW5" s="156"/>
      <c r="AX5" s="156"/>
      <c r="AY5" s="156"/>
      <c r="AZ5" s="156"/>
      <c r="BA5" s="156"/>
      <c r="BB5" s="156"/>
      <c r="BC5" s="156"/>
      <c r="BD5" s="156"/>
      <c r="BE5" s="156"/>
      <c r="BF5" s="156"/>
      <c r="BG5" s="156"/>
      <c r="BH5" s="156"/>
    </row>
    <row r="6" spans="1:60" s="1" customFormat="1">
      <c r="B6" s="7"/>
      <c r="C6" s="8"/>
      <c r="D6" s="9"/>
      <c r="E6" s="33"/>
      <c r="F6" s="33"/>
      <c r="G6" s="34"/>
      <c r="H6" s="35"/>
      <c r="I6" s="35"/>
      <c r="J6" s="61"/>
      <c r="K6" s="62"/>
      <c r="L6" s="33"/>
      <c r="M6" s="33"/>
      <c r="N6" s="33"/>
      <c r="O6" s="33"/>
      <c r="P6" s="33"/>
      <c r="Q6" s="96"/>
      <c r="R6" s="97"/>
      <c r="S6" s="98"/>
      <c r="T6" s="62"/>
      <c r="U6" s="8"/>
      <c r="V6" s="33"/>
      <c r="W6" s="134"/>
      <c r="X6" s="61"/>
      <c r="AL6" s="156"/>
      <c r="AM6" s="156"/>
      <c r="AN6" s="156"/>
      <c r="AO6" s="156"/>
      <c r="AP6" s="156"/>
      <c r="AQ6" s="156"/>
      <c r="AR6" s="156"/>
      <c r="AS6" s="156"/>
      <c r="AT6" s="156"/>
      <c r="AU6" s="156"/>
      <c r="AV6" s="156"/>
      <c r="AW6" s="156"/>
      <c r="AX6" s="156"/>
      <c r="AY6" s="156"/>
      <c r="AZ6" s="156"/>
      <c r="BA6" s="156"/>
      <c r="BB6" s="156"/>
      <c r="BC6" s="156"/>
      <c r="BD6" s="156"/>
      <c r="BE6" s="156"/>
      <c r="BF6" s="156"/>
      <c r="BG6" s="156"/>
      <c r="BH6" s="156"/>
    </row>
    <row r="7" spans="1:60" s="1" customFormat="1">
      <c r="B7" s="7"/>
      <c r="C7" s="8"/>
      <c r="D7" s="9"/>
      <c r="E7" s="33"/>
      <c r="F7" s="33"/>
      <c r="G7" s="34"/>
      <c r="H7" s="35"/>
      <c r="I7" s="35"/>
      <c r="J7" s="61"/>
      <c r="K7" s="62"/>
      <c r="L7" s="33"/>
      <c r="M7" s="33"/>
      <c r="N7" s="33"/>
      <c r="O7" s="33"/>
      <c r="P7" s="33"/>
      <c r="Q7" s="96"/>
      <c r="R7" s="97"/>
      <c r="S7" s="98"/>
      <c r="T7" s="62"/>
      <c r="U7" s="8"/>
      <c r="V7" s="135"/>
      <c r="W7" s="134"/>
      <c r="X7" s="61"/>
      <c r="AL7" s="156"/>
      <c r="AM7" s="156"/>
      <c r="AN7" s="156"/>
      <c r="AO7" s="156"/>
      <c r="AP7" s="156"/>
      <c r="AQ7" s="156"/>
      <c r="AR7" s="156"/>
      <c r="AS7" s="156"/>
      <c r="AT7" s="156"/>
      <c r="AU7" s="156"/>
      <c r="AV7" s="156"/>
      <c r="AW7" s="156"/>
      <c r="AX7" s="156"/>
      <c r="AY7" s="156"/>
      <c r="AZ7" s="156"/>
      <c r="BA7" s="156"/>
      <c r="BB7" s="156"/>
      <c r="BC7" s="156"/>
      <c r="BD7" s="156"/>
      <c r="BE7" s="156"/>
      <c r="BF7" s="156"/>
      <c r="BG7" s="156"/>
      <c r="BH7" s="156"/>
    </row>
    <row r="8" spans="1:60">
      <c r="A8" s="1">
        <v>1</v>
      </c>
      <c r="B8" s="7" t="s">
        <v>20</v>
      </c>
      <c r="C8" s="10">
        <v>12</v>
      </c>
      <c r="D8" s="11">
        <v>19</v>
      </c>
      <c r="E8" s="36"/>
      <c r="F8" s="36"/>
      <c r="G8" s="37">
        <v>1</v>
      </c>
      <c r="H8" s="38"/>
      <c r="I8" s="38">
        <f t="shared" ref="I8:I43" si="0">C8-G8</f>
        <v>11</v>
      </c>
      <c r="J8" s="63">
        <f t="shared" ref="J8:J59" si="1">D8-H8</f>
        <v>19</v>
      </c>
      <c r="K8" s="62"/>
      <c r="L8" s="36">
        <v>1</v>
      </c>
      <c r="M8" s="36"/>
      <c r="N8" s="36"/>
      <c r="O8" s="36"/>
      <c r="P8" s="36"/>
      <c r="Q8" s="99"/>
      <c r="R8" s="100">
        <f t="shared" ref="R8:R59" si="2">L8+N8+P8</f>
        <v>1</v>
      </c>
      <c r="S8" s="101">
        <f t="shared" ref="S8:S59" si="3">M8+O8+Q8</f>
        <v>0</v>
      </c>
      <c r="T8" s="62"/>
      <c r="U8" s="8">
        <f t="shared" ref="U8:U37" si="4">L8*24+N8*24+P8*24</f>
        <v>24</v>
      </c>
      <c r="V8" s="135">
        <f t="shared" ref="V8:V37" si="5">U8/24</f>
        <v>1</v>
      </c>
      <c r="W8" s="134">
        <f t="shared" ref="W8:W37" si="6">I8*24+J8</f>
        <v>283</v>
      </c>
      <c r="X8" s="61"/>
      <c r="AL8" s="157"/>
      <c r="AM8" s="157"/>
      <c r="AN8" s="157"/>
      <c r="AO8" s="157"/>
      <c r="AP8" s="157"/>
      <c r="AQ8" s="157"/>
      <c r="AR8" s="157"/>
      <c r="AS8" s="157"/>
      <c r="AT8" s="157"/>
      <c r="AU8" s="157"/>
      <c r="AV8" s="157"/>
      <c r="AW8" s="157"/>
      <c r="AX8" s="157"/>
      <c r="AY8" s="157"/>
      <c r="AZ8" s="157"/>
      <c r="BA8" s="157"/>
      <c r="BB8" s="157"/>
      <c r="BC8" s="157"/>
      <c r="BD8" s="157"/>
      <c r="BE8" s="157"/>
      <c r="BF8" s="157"/>
      <c r="BG8" s="157"/>
      <c r="BH8" s="157"/>
    </row>
    <row r="9" spans="1:60">
      <c r="A9" s="1">
        <f t="shared" ref="A9:A59" si="7">A8+1</f>
        <v>2</v>
      </c>
      <c r="B9" s="12" t="s">
        <v>21</v>
      </c>
      <c r="C9" s="13">
        <v>76</v>
      </c>
      <c r="D9" s="14"/>
      <c r="E9" s="39"/>
      <c r="F9" s="39"/>
      <c r="G9" s="40"/>
      <c r="H9" s="41"/>
      <c r="I9" s="40">
        <f t="shared" si="0"/>
        <v>76</v>
      </c>
      <c r="J9" s="64">
        <f t="shared" si="1"/>
        <v>0</v>
      </c>
      <c r="K9" s="65"/>
      <c r="L9" s="51"/>
      <c r="M9" s="51"/>
      <c r="N9" s="51"/>
      <c r="O9" s="51"/>
      <c r="P9" s="51"/>
      <c r="Q9" s="102"/>
      <c r="R9" s="103">
        <f t="shared" si="2"/>
        <v>0</v>
      </c>
      <c r="S9" s="104">
        <f t="shared" si="3"/>
        <v>0</v>
      </c>
      <c r="T9" s="65"/>
      <c r="U9" s="136">
        <f t="shared" si="4"/>
        <v>0</v>
      </c>
      <c r="V9" s="137">
        <f t="shared" si="5"/>
        <v>0</v>
      </c>
      <c r="W9" s="138">
        <f t="shared" si="6"/>
        <v>1824</v>
      </c>
      <c r="X9" s="139"/>
      <c r="AL9" s="157"/>
      <c r="AM9" s="157"/>
      <c r="AN9" s="157"/>
      <c r="AO9" s="157"/>
      <c r="AP9" s="157"/>
      <c r="AQ9" s="157"/>
      <c r="AR9" s="157"/>
      <c r="AS9" s="157"/>
      <c r="AT9" s="157"/>
      <c r="AU9" s="157"/>
      <c r="AV9" s="157"/>
      <c r="AW9" s="157"/>
      <c r="AX9" s="157"/>
      <c r="AY9" s="157"/>
      <c r="AZ9" s="157"/>
      <c r="BA9" s="157"/>
      <c r="BB9" s="157"/>
      <c r="BC9" s="157"/>
      <c r="BD9" s="157"/>
      <c r="BE9" s="157"/>
      <c r="BF9" s="157"/>
      <c r="BG9" s="157"/>
      <c r="BH9" s="157"/>
    </row>
    <row r="10" spans="1:60">
      <c r="A10" s="1">
        <f t="shared" si="7"/>
        <v>3</v>
      </c>
      <c r="B10" s="7" t="s">
        <v>22</v>
      </c>
      <c r="C10" s="10">
        <v>44</v>
      </c>
      <c r="D10" s="11"/>
      <c r="E10" s="36"/>
      <c r="F10" s="36"/>
      <c r="G10" s="37"/>
      <c r="H10" s="38"/>
      <c r="I10" s="38">
        <f t="shared" si="0"/>
        <v>44</v>
      </c>
      <c r="J10" s="66">
        <f t="shared" si="1"/>
        <v>0</v>
      </c>
      <c r="K10" s="62"/>
      <c r="L10" s="36"/>
      <c r="M10" s="36"/>
      <c r="N10" s="36"/>
      <c r="O10" s="36"/>
      <c r="P10" s="36"/>
      <c r="Q10" s="99"/>
      <c r="R10" s="105">
        <f t="shared" si="2"/>
        <v>0</v>
      </c>
      <c r="S10" s="106">
        <f t="shared" si="3"/>
        <v>0</v>
      </c>
      <c r="T10" s="62"/>
      <c r="U10" s="8">
        <f t="shared" si="4"/>
        <v>0</v>
      </c>
      <c r="V10" s="140">
        <f t="shared" si="5"/>
        <v>0</v>
      </c>
      <c r="W10" s="134">
        <f t="shared" si="6"/>
        <v>1056</v>
      </c>
      <c r="X10" s="61"/>
      <c r="AL10" s="157"/>
      <c r="AM10" s="157"/>
      <c r="AN10" s="157"/>
      <c r="AO10" s="157"/>
      <c r="AP10" s="157"/>
      <c r="AQ10" s="157"/>
      <c r="AR10" s="157"/>
      <c r="AS10" s="157"/>
      <c r="AT10" s="157"/>
      <c r="AU10" s="157"/>
      <c r="AV10" s="157"/>
      <c r="AW10" s="157"/>
      <c r="AX10" s="157"/>
      <c r="AY10" s="157"/>
      <c r="AZ10" s="157"/>
      <c r="BA10" s="157"/>
      <c r="BB10" s="157"/>
      <c r="BC10" s="157"/>
      <c r="BD10" s="157"/>
      <c r="BE10" s="157"/>
      <c r="BF10" s="157"/>
      <c r="BG10" s="157"/>
      <c r="BH10" s="157"/>
    </row>
    <row r="11" spans="1:60">
      <c r="A11" s="1">
        <f t="shared" si="7"/>
        <v>4</v>
      </c>
      <c r="B11" s="15" t="s">
        <v>23</v>
      </c>
      <c r="C11" s="10">
        <v>43</v>
      </c>
      <c r="D11" s="11"/>
      <c r="E11" s="36"/>
      <c r="F11" s="36"/>
      <c r="G11" s="37"/>
      <c r="H11" s="38"/>
      <c r="I11" s="38">
        <f t="shared" si="0"/>
        <v>43</v>
      </c>
      <c r="J11" s="63">
        <f t="shared" si="1"/>
        <v>0</v>
      </c>
      <c r="K11" s="62"/>
      <c r="L11" s="36"/>
      <c r="M11" s="36"/>
      <c r="N11" s="36"/>
      <c r="O11" s="36"/>
      <c r="P11" s="36"/>
      <c r="Q11" s="99"/>
      <c r="R11" s="100">
        <f t="shared" si="2"/>
        <v>0</v>
      </c>
      <c r="S11" s="101">
        <f t="shared" si="3"/>
        <v>0</v>
      </c>
      <c r="T11" s="62"/>
      <c r="U11" s="8">
        <f t="shared" si="4"/>
        <v>0</v>
      </c>
      <c r="V11" s="135">
        <f t="shared" si="5"/>
        <v>0</v>
      </c>
      <c r="W11" s="134">
        <f t="shared" si="6"/>
        <v>1032</v>
      </c>
      <c r="X11" s="61"/>
      <c r="AL11" s="157"/>
      <c r="AM11" s="157"/>
      <c r="AN11" s="157"/>
      <c r="AO11" s="157"/>
      <c r="AP11" s="157"/>
      <c r="AQ11" s="157"/>
      <c r="AR11" s="157"/>
      <c r="AS11" s="157"/>
      <c r="AT11" s="157"/>
      <c r="AU11" s="157"/>
      <c r="AV11" s="157"/>
      <c r="AW11" s="157"/>
      <c r="AX11" s="157"/>
      <c r="AY11" s="157"/>
      <c r="AZ11" s="157"/>
      <c r="BA11" s="157"/>
      <c r="BB11" s="157"/>
      <c r="BC11" s="157"/>
      <c r="BD11" s="157"/>
      <c r="BE11" s="157"/>
      <c r="BF11" s="157"/>
      <c r="BG11" s="157"/>
      <c r="BH11" s="157"/>
    </row>
    <row r="12" spans="1:60">
      <c r="A12" s="1">
        <f t="shared" si="7"/>
        <v>5</v>
      </c>
      <c r="B12" s="15" t="s">
        <v>24</v>
      </c>
      <c r="C12" s="10"/>
      <c r="D12" s="11">
        <v>2</v>
      </c>
      <c r="E12" s="36"/>
      <c r="F12" s="36"/>
      <c r="G12" s="37"/>
      <c r="H12" s="38"/>
      <c r="I12" s="38">
        <f t="shared" si="0"/>
        <v>0</v>
      </c>
      <c r="J12" s="63">
        <f t="shared" si="1"/>
        <v>2</v>
      </c>
      <c r="K12" s="62"/>
      <c r="L12" s="36"/>
      <c r="M12" s="36"/>
      <c r="N12" s="36"/>
      <c r="O12" s="36"/>
      <c r="P12" s="36"/>
      <c r="Q12" s="99"/>
      <c r="R12" s="100">
        <f t="shared" si="2"/>
        <v>0</v>
      </c>
      <c r="S12" s="101">
        <f t="shared" si="3"/>
        <v>0</v>
      </c>
      <c r="T12" s="62"/>
      <c r="U12" s="8">
        <f t="shared" si="4"/>
        <v>0</v>
      </c>
      <c r="V12" s="135">
        <f t="shared" si="5"/>
        <v>0</v>
      </c>
      <c r="W12" s="134">
        <f t="shared" si="6"/>
        <v>2</v>
      </c>
      <c r="X12" s="61"/>
      <c r="AL12" s="157"/>
      <c r="AM12" s="157"/>
      <c r="AN12" s="157"/>
      <c r="AO12" s="157"/>
      <c r="AP12" s="157"/>
      <c r="AQ12" s="157"/>
      <c r="AR12" s="157"/>
      <c r="AS12" s="157"/>
      <c r="AT12" s="157"/>
      <c r="AU12" s="157"/>
      <c r="AV12" s="157"/>
      <c r="AW12" s="157"/>
      <c r="AX12" s="157"/>
      <c r="AY12" s="157"/>
      <c r="AZ12" s="157"/>
      <c r="BA12" s="157"/>
      <c r="BB12" s="157"/>
      <c r="BC12" s="157"/>
      <c r="BD12" s="157"/>
      <c r="BE12" s="157"/>
      <c r="BF12" s="157"/>
      <c r="BG12" s="157"/>
      <c r="BH12" s="157"/>
    </row>
    <row r="13" spans="1:60" s="2" customFormat="1">
      <c r="A13" s="1">
        <f t="shared" si="7"/>
        <v>6</v>
      </c>
      <c r="B13" s="12" t="s">
        <v>25</v>
      </c>
      <c r="C13" s="13">
        <f>3358</f>
        <v>3358</v>
      </c>
      <c r="D13" s="14">
        <v>19</v>
      </c>
      <c r="E13" s="39"/>
      <c r="F13" s="39"/>
      <c r="G13" s="40">
        <v>39</v>
      </c>
      <c r="H13" s="41">
        <v>13</v>
      </c>
      <c r="I13" s="44">
        <f t="shared" si="0"/>
        <v>3319</v>
      </c>
      <c r="J13" s="64">
        <f t="shared" si="1"/>
        <v>6</v>
      </c>
      <c r="K13" s="67"/>
      <c r="L13" s="51">
        <v>25</v>
      </c>
      <c r="M13" s="51">
        <v>13</v>
      </c>
      <c r="N13" s="51"/>
      <c r="O13" s="51"/>
      <c r="P13" s="51">
        <v>14</v>
      </c>
      <c r="Q13" s="102"/>
      <c r="R13" s="107">
        <f t="shared" si="2"/>
        <v>39</v>
      </c>
      <c r="S13" s="104">
        <f t="shared" si="3"/>
        <v>13</v>
      </c>
      <c r="T13" s="67"/>
      <c r="U13" s="136">
        <f t="shared" si="4"/>
        <v>936</v>
      </c>
      <c r="V13" s="141">
        <f t="shared" si="5"/>
        <v>39</v>
      </c>
      <c r="W13" s="138">
        <f t="shared" si="6"/>
        <v>79662</v>
      </c>
      <c r="X13" s="139"/>
      <c r="Y13" s="3"/>
      <c r="AD13" s="3"/>
      <c r="AG13" s="3"/>
      <c r="AH13" s="3"/>
      <c r="AI13" s="3"/>
      <c r="AJ13" s="3"/>
      <c r="AK13" s="3"/>
      <c r="AL13" s="157"/>
      <c r="AM13" s="157"/>
      <c r="AN13" s="157"/>
      <c r="AO13" s="157"/>
      <c r="AP13" s="157"/>
      <c r="AQ13" s="157"/>
      <c r="AR13" s="157"/>
      <c r="AS13" s="157"/>
      <c r="AT13" s="157"/>
      <c r="AU13" s="157"/>
      <c r="AV13" s="157"/>
      <c r="AW13" s="157"/>
      <c r="AX13" s="157"/>
      <c r="AY13" s="157"/>
      <c r="AZ13" s="157"/>
      <c r="BA13" s="157"/>
      <c r="BB13" s="157"/>
      <c r="BC13" s="157"/>
      <c r="BD13" s="157"/>
      <c r="BE13" s="157"/>
      <c r="BF13" s="157"/>
      <c r="BG13" s="157"/>
      <c r="BH13" s="157"/>
    </row>
    <row r="14" spans="1:60">
      <c r="A14" s="1">
        <f t="shared" si="7"/>
        <v>7</v>
      </c>
      <c r="B14" s="7" t="s">
        <v>26</v>
      </c>
      <c r="C14" s="10">
        <v>3</v>
      </c>
      <c r="D14" s="11">
        <v>16</v>
      </c>
      <c r="E14" s="36"/>
      <c r="F14" s="36"/>
      <c r="G14" s="37"/>
      <c r="H14" s="38"/>
      <c r="I14" s="68">
        <f t="shared" si="0"/>
        <v>3</v>
      </c>
      <c r="J14" s="66">
        <f t="shared" si="1"/>
        <v>16</v>
      </c>
      <c r="K14" s="62"/>
      <c r="L14" s="36"/>
      <c r="M14" s="36"/>
      <c r="N14" s="36"/>
      <c r="O14" s="36"/>
      <c r="P14" s="36"/>
      <c r="Q14" s="99"/>
      <c r="R14" s="108">
        <f t="shared" si="2"/>
        <v>0</v>
      </c>
      <c r="S14" s="106">
        <f t="shared" si="3"/>
        <v>0</v>
      </c>
      <c r="T14" s="62"/>
      <c r="U14" s="8">
        <f t="shared" si="4"/>
        <v>0</v>
      </c>
      <c r="V14" s="33">
        <f t="shared" si="5"/>
        <v>0</v>
      </c>
      <c r="W14" s="134">
        <f t="shared" si="6"/>
        <v>88</v>
      </c>
      <c r="X14" s="61"/>
      <c r="AL14" s="157"/>
      <c r="AM14" s="157"/>
      <c r="AN14" s="157"/>
      <c r="AO14" s="157"/>
      <c r="AP14" s="157"/>
      <c r="AQ14" s="157"/>
      <c r="AR14" s="157"/>
      <c r="AS14" s="157"/>
      <c r="AT14" s="157"/>
      <c r="AU14" s="157"/>
      <c r="AV14" s="157"/>
      <c r="AW14" s="157"/>
      <c r="AX14" s="157"/>
      <c r="AY14" s="157"/>
      <c r="AZ14" s="157"/>
      <c r="BA14" s="157"/>
      <c r="BB14" s="157"/>
      <c r="BC14" s="157"/>
      <c r="BD14" s="157"/>
      <c r="BE14" s="157"/>
      <c r="BF14" s="157"/>
      <c r="BG14" s="157"/>
      <c r="BH14" s="157"/>
    </row>
    <row r="15" spans="1:60">
      <c r="A15" s="1">
        <f t="shared" si="7"/>
        <v>8</v>
      </c>
      <c r="B15" s="15" t="s">
        <v>27</v>
      </c>
      <c r="C15" s="10">
        <v>4</v>
      </c>
      <c r="D15" s="11"/>
      <c r="E15" s="36"/>
      <c r="F15" s="36"/>
      <c r="G15" s="37"/>
      <c r="H15" s="38"/>
      <c r="I15" s="38">
        <f t="shared" si="0"/>
        <v>4</v>
      </c>
      <c r="J15" s="63">
        <f t="shared" si="1"/>
        <v>0</v>
      </c>
      <c r="K15" s="62"/>
      <c r="L15" s="36"/>
      <c r="M15" s="36"/>
      <c r="N15" s="36"/>
      <c r="O15" s="36"/>
      <c r="P15" s="36"/>
      <c r="Q15" s="99"/>
      <c r="R15" s="100">
        <f t="shared" si="2"/>
        <v>0</v>
      </c>
      <c r="S15" s="101">
        <f t="shared" si="3"/>
        <v>0</v>
      </c>
      <c r="T15" s="62"/>
      <c r="U15" s="8">
        <f t="shared" si="4"/>
        <v>0</v>
      </c>
      <c r="V15" s="135">
        <f t="shared" si="5"/>
        <v>0</v>
      </c>
      <c r="W15" s="134">
        <f t="shared" si="6"/>
        <v>96</v>
      </c>
      <c r="X15" s="61"/>
      <c r="AL15" s="157"/>
      <c r="AM15" s="157"/>
      <c r="AN15" s="157"/>
      <c r="AO15" s="157"/>
      <c r="AP15" s="157"/>
      <c r="AQ15" s="157"/>
      <c r="AR15" s="157"/>
      <c r="AS15" s="157"/>
      <c r="AT15" s="157"/>
      <c r="AU15" s="157"/>
      <c r="AV15" s="157"/>
      <c r="AW15" s="157"/>
      <c r="AX15" s="157"/>
      <c r="AY15" s="157"/>
      <c r="AZ15" s="157"/>
      <c r="BA15" s="157"/>
      <c r="BB15" s="157"/>
      <c r="BC15" s="157"/>
      <c r="BD15" s="157"/>
      <c r="BE15" s="157"/>
      <c r="BF15" s="157"/>
      <c r="BG15" s="157"/>
      <c r="BH15" s="157"/>
    </row>
    <row r="16" spans="1:60">
      <c r="A16" s="1">
        <f t="shared" si="7"/>
        <v>9</v>
      </c>
      <c r="B16" s="15" t="s">
        <v>28</v>
      </c>
      <c r="C16" s="10">
        <v>1</v>
      </c>
      <c r="D16" s="11"/>
      <c r="E16" s="36"/>
      <c r="F16" s="36"/>
      <c r="G16" s="37"/>
      <c r="H16" s="38"/>
      <c r="I16" s="38">
        <f t="shared" si="0"/>
        <v>1</v>
      </c>
      <c r="J16" s="63">
        <f t="shared" si="1"/>
        <v>0</v>
      </c>
      <c r="K16" s="62"/>
      <c r="L16" s="36"/>
      <c r="M16" s="36"/>
      <c r="N16" s="36"/>
      <c r="O16" s="36"/>
      <c r="P16" s="36"/>
      <c r="Q16" s="99"/>
      <c r="R16" s="100">
        <f t="shared" si="2"/>
        <v>0</v>
      </c>
      <c r="S16" s="101">
        <f t="shared" si="3"/>
        <v>0</v>
      </c>
      <c r="T16" s="62"/>
      <c r="U16" s="8">
        <f t="shared" si="4"/>
        <v>0</v>
      </c>
      <c r="V16" s="135">
        <f t="shared" si="5"/>
        <v>0</v>
      </c>
      <c r="W16" s="134">
        <f t="shared" si="6"/>
        <v>24</v>
      </c>
      <c r="X16" s="61"/>
      <c r="AL16" s="157"/>
      <c r="AM16" s="157"/>
      <c r="AN16" s="157"/>
      <c r="AO16" s="157"/>
      <c r="AP16" s="157"/>
      <c r="AQ16" s="157"/>
      <c r="AR16" s="157"/>
      <c r="AS16" s="157"/>
      <c r="AT16" s="157"/>
      <c r="AU16" s="157"/>
      <c r="AV16" s="157"/>
      <c r="AW16" s="157"/>
      <c r="AX16" s="157"/>
      <c r="AY16" s="157"/>
      <c r="AZ16" s="157"/>
      <c r="BA16" s="157"/>
      <c r="BB16" s="157"/>
      <c r="BC16" s="157"/>
      <c r="BD16" s="157"/>
      <c r="BE16" s="157"/>
      <c r="BF16" s="157"/>
      <c r="BG16" s="157"/>
      <c r="BH16" s="157"/>
    </row>
    <row r="17" spans="1:60">
      <c r="A17" s="1">
        <f t="shared" si="7"/>
        <v>10</v>
      </c>
      <c r="B17" s="15" t="s">
        <v>29</v>
      </c>
      <c r="C17" s="10"/>
      <c r="D17" s="11"/>
      <c r="E17" s="36"/>
      <c r="F17" s="36"/>
      <c r="G17" s="37"/>
      <c r="H17" s="38"/>
      <c r="I17" s="38">
        <f t="shared" si="0"/>
        <v>0</v>
      </c>
      <c r="J17" s="63">
        <f t="shared" si="1"/>
        <v>0</v>
      </c>
      <c r="K17" s="62"/>
      <c r="L17" s="36"/>
      <c r="M17" s="36"/>
      <c r="N17" s="36"/>
      <c r="O17" s="36"/>
      <c r="P17" s="36"/>
      <c r="Q17" s="99"/>
      <c r="R17" s="100">
        <f t="shared" si="2"/>
        <v>0</v>
      </c>
      <c r="S17" s="101">
        <f t="shared" si="3"/>
        <v>0</v>
      </c>
      <c r="T17" s="62"/>
      <c r="U17" s="8">
        <f t="shared" si="4"/>
        <v>0</v>
      </c>
      <c r="V17" s="135">
        <f t="shared" si="5"/>
        <v>0</v>
      </c>
      <c r="W17" s="134">
        <f t="shared" si="6"/>
        <v>0</v>
      </c>
      <c r="X17" s="61"/>
      <c r="AL17" s="157"/>
      <c r="AM17" s="157"/>
      <c r="AN17" s="157"/>
      <c r="AO17" s="157"/>
      <c r="AP17" s="157"/>
      <c r="AQ17" s="157"/>
      <c r="AR17" s="157"/>
      <c r="AS17" s="157"/>
      <c r="AT17" s="157"/>
      <c r="AU17" s="157"/>
      <c r="AV17" s="157"/>
      <c r="AW17" s="157"/>
      <c r="AX17" s="157"/>
      <c r="AY17" s="157"/>
      <c r="AZ17" s="157"/>
      <c r="BA17" s="157"/>
      <c r="BB17" s="157"/>
      <c r="BC17" s="157"/>
      <c r="BD17" s="157"/>
      <c r="BE17" s="157"/>
      <c r="BF17" s="157"/>
      <c r="BG17" s="157"/>
      <c r="BH17" s="157"/>
    </row>
    <row r="18" spans="1:60">
      <c r="A18" s="1">
        <f t="shared" si="7"/>
        <v>11</v>
      </c>
      <c r="B18" s="15" t="s">
        <v>30</v>
      </c>
      <c r="C18" s="10">
        <v>3</v>
      </c>
      <c r="D18" s="11"/>
      <c r="E18" s="36"/>
      <c r="F18" s="36"/>
      <c r="G18" s="37"/>
      <c r="H18" s="38"/>
      <c r="I18" s="38">
        <f t="shared" si="0"/>
        <v>3</v>
      </c>
      <c r="J18" s="63">
        <f t="shared" si="1"/>
        <v>0</v>
      </c>
      <c r="K18" s="62"/>
      <c r="L18" s="36"/>
      <c r="M18" s="36"/>
      <c r="N18" s="36"/>
      <c r="O18" s="36"/>
      <c r="P18" s="36"/>
      <c r="Q18" s="99"/>
      <c r="R18" s="100">
        <f t="shared" si="2"/>
        <v>0</v>
      </c>
      <c r="S18" s="101">
        <f t="shared" si="3"/>
        <v>0</v>
      </c>
      <c r="T18" s="62"/>
      <c r="U18" s="8">
        <f t="shared" si="4"/>
        <v>0</v>
      </c>
      <c r="V18" s="135">
        <f t="shared" si="5"/>
        <v>0</v>
      </c>
      <c r="W18" s="134">
        <f t="shared" si="6"/>
        <v>72</v>
      </c>
      <c r="X18" s="61"/>
      <c r="AL18" s="157"/>
      <c r="AM18" s="157"/>
      <c r="AN18" s="157"/>
      <c r="AO18" s="157"/>
      <c r="AP18" s="157"/>
      <c r="AQ18" s="157"/>
      <c r="AR18" s="157"/>
      <c r="AS18" s="157"/>
      <c r="AT18" s="157"/>
      <c r="AU18" s="157"/>
      <c r="AV18" s="157"/>
      <c r="AW18" s="157"/>
      <c r="AX18" s="157"/>
      <c r="AY18" s="157"/>
      <c r="AZ18" s="157"/>
      <c r="BA18" s="157"/>
      <c r="BB18" s="157"/>
      <c r="BC18" s="157"/>
      <c r="BD18" s="157"/>
      <c r="BE18" s="157"/>
      <c r="BF18" s="157"/>
      <c r="BG18" s="157"/>
      <c r="BH18" s="157"/>
    </row>
    <row r="19" spans="1:60" ht="18.75" hidden="1" customHeight="1">
      <c r="A19" s="1">
        <f t="shared" si="7"/>
        <v>12</v>
      </c>
      <c r="B19" s="15" t="s">
        <v>31</v>
      </c>
      <c r="C19" s="10"/>
      <c r="D19" s="11"/>
      <c r="E19" s="36"/>
      <c r="F19" s="36"/>
      <c r="G19" s="37"/>
      <c r="H19" s="38"/>
      <c r="I19" s="38">
        <f t="shared" si="0"/>
        <v>0</v>
      </c>
      <c r="J19" s="63">
        <f t="shared" si="1"/>
        <v>0</v>
      </c>
      <c r="K19" s="62"/>
      <c r="L19" s="36"/>
      <c r="M19" s="36"/>
      <c r="N19" s="36"/>
      <c r="O19" s="36"/>
      <c r="P19" s="36"/>
      <c r="Q19" s="99"/>
      <c r="R19" s="100">
        <f t="shared" si="2"/>
        <v>0</v>
      </c>
      <c r="S19" s="101">
        <f t="shared" si="3"/>
        <v>0</v>
      </c>
      <c r="T19" s="62"/>
      <c r="U19" s="8">
        <f t="shared" si="4"/>
        <v>0</v>
      </c>
      <c r="V19" s="135">
        <f t="shared" si="5"/>
        <v>0</v>
      </c>
      <c r="W19" s="134">
        <f t="shared" si="6"/>
        <v>0</v>
      </c>
      <c r="X19" s="61"/>
      <c r="AL19" s="157"/>
      <c r="AM19" s="157"/>
      <c r="AN19" s="157"/>
      <c r="AO19" s="157"/>
      <c r="AP19" s="157"/>
      <c r="AQ19" s="157"/>
      <c r="AR19" s="157"/>
      <c r="AS19" s="157"/>
      <c r="AT19" s="157"/>
      <c r="AU19" s="157"/>
      <c r="AV19" s="157"/>
      <c r="AW19" s="157"/>
      <c r="AX19" s="157"/>
      <c r="AY19" s="157"/>
      <c r="AZ19" s="157"/>
      <c r="BA19" s="157"/>
      <c r="BB19" s="157"/>
      <c r="BC19" s="157"/>
      <c r="BD19" s="157"/>
      <c r="BE19" s="157"/>
      <c r="BF19" s="157"/>
      <c r="BG19" s="157"/>
      <c r="BH19" s="157"/>
    </row>
    <row r="20" spans="1:60">
      <c r="A20" s="1">
        <f t="shared" si="7"/>
        <v>13</v>
      </c>
      <c r="B20" s="15" t="s">
        <v>32</v>
      </c>
      <c r="C20" s="10">
        <v>4</v>
      </c>
      <c r="D20" s="11">
        <v>20</v>
      </c>
      <c r="E20" s="36"/>
      <c r="F20" s="36"/>
      <c r="G20" s="37"/>
      <c r="H20" s="38"/>
      <c r="I20" s="38">
        <f t="shared" si="0"/>
        <v>4</v>
      </c>
      <c r="J20" s="63">
        <f t="shared" si="1"/>
        <v>20</v>
      </c>
      <c r="K20" s="62"/>
      <c r="L20" s="36"/>
      <c r="M20" s="36"/>
      <c r="N20" s="36"/>
      <c r="O20" s="36"/>
      <c r="P20" s="36"/>
      <c r="Q20" s="99"/>
      <c r="R20" s="100">
        <f t="shared" si="2"/>
        <v>0</v>
      </c>
      <c r="S20" s="101">
        <f t="shared" si="3"/>
        <v>0</v>
      </c>
      <c r="T20" s="62"/>
      <c r="U20" s="8">
        <f t="shared" si="4"/>
        <v>0</v>
      </c>
      <c r="V20" s="135">
        <f t="shared" si="5"/>
        <v>0</v>
      </c>
      <c r="W20" s="134">
        <f t="shared" si="6"/>
        <v>116</v>
      </c>
      <c r="X20" s="61"/>
      <c r="AL20" s="157"/>
      <c r="AM20" s="157"/>
      <c r="AN20" s="157"/>
      <c r="AO20" s="157"/>
      <c r="AP20" s="157"/>
      <c r="AQ20" s="157"/>
      <c r="AR20" s="157"/>
      <c r="AS20" s="157"/>
      <c r="AT20" s="157"/>
      <c r="AU20" s="157"/>
      <c r="AV20" s="157"/>
      <c r="AW20" s="157"/>
      <c r="AX20" s="157"/>
      <c r="AY20" s="157"/>
      <c r="AZ20" s="157"/>
      <c r="BA20" s="157"/>
      <c r="BB20" s="157"/>
      <c r="BC20" s="157"/>
      <c r="BD20" s="157"/>
      <c r="BE20" s="157"/>
      <c r="BF20" s="157"/>
      <c r="BG20" s="157"/>
      <c r="BH20" s="157"/>
    </row>
    <row r="21" spans="1:60">
      <c r="A21" s="1">
        <f t="shared" si="7"/>
        <v>14</v>
      </c>
      <c r="B21" s="15" t="s">
        <v>33</v>
      </c>
      <c r="C21" s="10">
        <v>7</v>
      </c>
      <c r="D21" s="11">
        <v>16</v>
      </c>
      <c r="E21" s="36"/>
      <c r="F21" s="36"/>
      <c r="G21" s="37"/>
      <c r="H21" s="38"/>
      <c r="I21" s="38">
        <f t="shared" si="0"/>
        <v>7</v>
      </c>
      <c r="J21" s="63">
        <f t="shared" si="1"/>
        <v>16</v>
      </c>
      <c r="K21" s="62"/>
      <c r="L21" s="36"/>
      <c r="M21" s="36"/>
      <c r="N21" s="36"/>
      <c r="O21" s="36"/>
      <c r="P21" s="36"/>
      <c r="Q21" s="99"/>
      <c r="R21" s="100">
        <f t="shared" si="2"/>
        <v>0</v>
      </c>
      <c r="S21" s="101">
        <f t="shared" si="3"/>
        <v>0</v>
      </c>
      <c r="T21" s="62"/>
      <c r="U21" s="8">
        <f t="shared" si="4"/>
        <v>0</v>
      </c>
      <c r="V21" s="135">
        <f t="shared" si="5"/>
        <v>0</v>
      </c>
      <c r="W21" s="134">
        <f t="shared" si="6"/>
        <v>184</v>
      </c>
      <c r="X21" s="61"/>
      <c r="AL21" s="157"/>
      <c r="AM21" s="157"/>
      <c r="AN21" s="157"/>
      <c r="AO21" s="157"/>
      <c r="AP21" s="157"/>
      <c r="AQ21" s="157"/>
      <c r="AR21" s="157"/>
      <c r="AS21" s="157"/>
      <c r="AT21" s="157"/>
      <c r="AU21" s="157"/>
      <c r="AV21" s="157"/>
      <c r="AW21" s="157"/>
      <c r="AX21" s="157"/>
      <c r="AY21" s="157"/>
      <c r="AZ21" s="157"/>
      <c r="BA21" s="157"/>
      <c r="BB21" s="157"/>
      <c r="BC21" s="157"/>
      <c r="BD21" s="157"/>
      <c r="BE21" s="157"/>
      <c r="BF21" s="157"/>
      <c r="BG21" s="157"/>
      <c r="BH21" s="157"/>
    </row>
    <row r="22" spans="1:60">
      <c r="A22" s="1">
        <f t="shared" si="7"/>
        <v>15</v>
      </c>
      <c r="B22" s="15" t="s">
        <v>34</v>
      </c>
      <c r="C22" s="10">
        <v>4</v>
      </c>
      <c r="D22" s="11"/>
      <c r="E22" s="36"/>
      <c r="F22" s="36"/>
      <c r="G22" s="37"/>
      <c r="H22" s="38"/>
      <c r="I22" s="38">
        <f t="shared" si="0"/>
        <v>4</v>
      </c>
      <c r="J22" s="63">
        <f t="shared" si="1"/>
        <v>0</v>
      </c>
      <c r="K22" s="62"/>
      <c r="L22" s="36"/>
      <c r="M22" s="36"/>
      <c r="N22" s="36"/>
      <c r="O22" s="36"/>
      <c r="P22" s="36"/>
      <c r="Q22" s="99"/>
      <c r="R22" s="100">
        <f t="shared" si="2"/>
        <v>0</v>
      </c>
      <c r="S22" s="101">
        <f t="shared" si="3"/>
        <v>0</v>
      </c>
      <c r="T22" s="62"/>
      <c r="U22" s="8">
        <f t="shared" si="4"/>
        <v>0</v>
      </c>
      <c r="V22" s="135">
        <f t="shared" si="5"/>
        <v>0</v>
      </c>
      <c r="W22" s="134">
        <f t="shared" si="6"/>
        <v>96</v>
      </c>
      <c r="X22" s="61"/>
      <c r="AL22" s="157"/>
      <c r="AM22" s="157"/>
      <c r="AN22" s="157"/>
      <c r="AO22" s="157"/>
      <c r="AP22" s="157"/>
      <c r="AQ22" s="157"/>
      <c r="AR22" s="157"/>
      <c r="AS22" s="157"/>
      <c r="AT22" s="157"/>
      <c r="AU22" s="157"/>
      <c r="AV22" s="157"/>
      <c r="AW22" s="157"/>
      <c r="AX22" s="157"/>
      <c r="AY22" s="157"/>
      <c r="AZ22" s="157"/>
      <c r="BA22" s="157"/>
      <c r="BB22" s="157"/>
      <c r="BC22" s="157"/>
      <c r="BD22" s="157"/>
      <c r="BE22" s="157"/>
      <c r="BF22" s="157"/>
      <c r="BG22" s="157"/>
      <c r="BH22" s="157"/>
    </row>
    <row r="23" spans="1:60" s="2" customFormat="1">
      <c r="A23" s="1">
        <f t="shared" si="7"/>
        <v>16</v>
      </c>
      <c r="B23" s="15" t="s">
        <v>35</v>
      </c>
      <c r="C23" s="10">
        <v>1</v>
      </c>
      <c r="D23" s="11">
        <v>20</v>
      </c>
      <c r="E23" s="36"/>
      <c r="F23" s="36"/>
      <c r="G23" s="37"/>
      <c r="H23" s="38"/>
      <c r="I23" s="38">
        <f t="shared" si="0"/>
        <v>1</v>
      </c>
      <c r="J23" s="63">
        <f t="shared" si="1"/>
        <v>20</v>
      </c>
      <c r="K23" s="69"/>
      <c r="L23" s="36"/>
      <c r="M23" s="36"/>
      <c r="N23" s="36"/>
      <c r="O23" s="36"/>
      <c r="P23" s="36"/>
      <c r="Q23" s="99"/>
      <c r="R23" s="100">
        <f t="shared" si="2"/>
        <v>0</v>
      </c>
      <c r="S23" s="101">
        <f t="shared" si="3"/>
        <v>0</v>
      </c>
      <c r="T23" s="69"/>
      <c r="U23" s="8">
        <f t="shared" si="4"/>
        <v>0</v>
      </c>
      <c r="V23" s="135">
        <f t="shared" si="5"/>
        <v>0</v>
      </c>
      <c r="W23" s="134">
        <f t="shared" si="6"/>
        <v>44</v>
      </c>
      <c r="X23" s="61"/>
      <c r="Y23" s="3"/>
      <c r="AD23" s="3"/>
      <c r="AG23" s="3"/>
      <c r="AH23" s="3"/>
      <c r="AI23" s="3"/>
      <c r="AJ23" s="3"/>
      <c r="AK23" s="3"/>
      <c r="AL23" s="157"/>
      <c r="AM23" s="157"/>
      <c r="AN23" s="157"/>
      <c r="AO23" s="157"/>
      <c r="AP23" s="157"/>
      <c r="AQ23" s="157"/>
      <c r="AR23" s="157"/>
      <c r="AS23" s="157"/>
      <c r="AT23" s="157"/>
      <c r="AU23" s="157"/>
      <c r="AV23" s="157"/>
      <c r="AW23" s="157"/>
      <c r="AX23" s="157"/>
      <c r="AY23" s="157"/>
      <c r="AZ23" s="157"/>
      <c r="BA23" s="157"/>
      <c r="BB23" s="157"/>
      <c r="BC23" s="157"/>
      <c r="BD23" s="157"/>
      <c r="BE23" s="157"/>
      <c r="BF23" s="157"/>
      <c r="BG23" s="157"/>
      <c r="BH23" s="157"/>
    </row>
    <row r="24" spans="1:60" s="2" customFormat="1">
      <c r="A24" s="1">
        <f t="shared" si="7"/>
        <v>17</v>
      </c>
      <c r="B24" s="15" t="s">
        <v>36</v>
      </c>
      <c r="C24" s="10">
        <v>37</v>
      </c>
      <c r="D24" s="11">
        <v>19</v>
      </c>
      <c r="E24" s="36"/>
      <c r="F24" s="36"/>
      <c r="G24" s="37"/>
      <c r="H24" s="38"/>
      <c r="I24" s="38">
        <f t="shared" si="0"/>
        <v>37</v>
      </c>
      <c r="J24" s="63">
        <f t="shared" si="1"/>
        <v>19</v>
      </c>
      <c r="K24" s="69"/>
      <c r="L24" s="36"/>
      <c r="M24" s="36"/>
      <c r="N24" s="36"/>
      <c r="O24" s="36"/>
      <c r="P24" s="36"/>
      <c r="Q24" s="99"/>
      <c r="R24" s="100">
        <f t="shared" si="2"/>
        <v>0</v>
      </c>
      <c r="S24" s="101">
        <f t="shared" si="3"/>
        <v>0</v>
      </c>
      <c r="T24" s="69"/>
      <c r="U24" s="8">
        <f t="shared" si="4"/>
        <v>0</v>
      </c>
      <c r="V24" s="135">
        <f t="shared" si="5"/>
        <v>0</v>
      </c>
      <c r="W24" s="134">
        <f t="shared" si="6"/>
        <v>907</v>
      </c>
      <c r="X24" s="61"/>
      <c r="Y24" s="3"/>
      <c r="AD24" s="3"/>
      <c r="AG24" s="3"/>
      <c r="AH24" s="3"/>
      <c r="AI24" s="3"/>
      <c r="AJ24" s="3"/>
      <c r="AK24" s="3"/>
      <c r="AL24" s="157"/>
      <c r="AM24" s="157"/>
      <c r="AN24" s="157"/>
      <c r="AO24" s="157"/>
      <c r="AP24" s="157"/>
      <c r="AQ24" s="157"/>
      <c r="AR24" s="157"/>
      <c r="AS24" s="157"/>
      <c r="AT24" s="157"/>
      <c r="AU24" s="157"/>
      <c r="AV24" s="157"/>
      <c r="AW24" s="157"/>
      <c r="AX24" s="157"/>
      <c r="AY24" s="157"/>
      <c r="AZ24" s="157"/>
      <c r="BA24" s="157"/>
      <c r="BB24" s="157"/>
      <c r="BC24" s="157"/>
      <c r="BD24" s="157"/>
      <c r="BE24" s="157"/>
      <c r="BF24" s="157"/>
      <c r="BG24" s="157"/>
      <c r="BH24" s="157"/>
    </row>
    <row r="25" spans="1:60">
      <c r="A25" s="1">
        <f t="shared" si="7"/>
        <v>18</v>
      </c>
      <c r="B25" s="15" t="s">
        <v>37</v>
      </c>
      <c r="C25" s="10">
        <v>10</v>
      </c>
      <c r="D25" s="11"/>
      <c r="E25" s="36"/>
      <c r="F25" s="36"/>
      <c r="G25" s="37"/>
      <c r="H25" s="38"/>
      <c r="I25" s="38">
        <f t="shared" si="0"/>
        <v>10</v>
      </c>
      <c r="J25" s="63">
        <f t="shared" si="1"/>
        <v>0</v>
      </c>
      <c r="K25" s="62"/>
      <c r="L25" s="36"/>
      <c r="M25" s="36"/>
      <c r="N25" s="36"/>
      <c r="O25" s="36"/>
      <c r="P25" s="36"/>
      <c r="Q25" s="99"/>
      <c r="R25" s="100">
        <f t="shared" si="2"/>
        <v>0</v>
      </c>
      <c r="S25" s="101">
        <f t="shared" si="3"/>
        <v>0</v>
      </c>
      <c r="T25" s="62"/>
      <c r="U25" s="8">
        <f t="shared" si="4"/>
        <v>0</v>
      </c>
      <c r="V25" s="135">
        <f t="shared" si="5"/>
        <v>0</v>
      </c>
      <c r="W25" s="134">
        <f t="shared" si="6"/>
        <v>240</v>
      </c>
      <c r="X25" s="61"/>
      <c r="AL25" s="157"/>
      <c r="AM25" s="157"/>
      <c r="AN25" s="157"/>
      <c r="AO25" s="157"/>
      <c r="AP25" s="157"/>
      <c r="AQ25" s="157"/>
      <c r="AR25" s="157"/>
      <c r="AS25" s="157"/>
      <c r="AT25" s="157"/>
      <c r="AU25" s="157"/>
      <c r="AV25" s="157"/>
      <c r="AW25" s="157"/>
      <c r="AX25" s="157"/>
      <c r="AY25" s="157"/>
      <c r="AZ25" s="157"/>
      <c r="BA25" s="157"/>
      <c r="BB25" s="157"/>
      <c r="BC25" s="157"/>
      <c r="BD25" s="157"/>
      <c r="BE25" s="157"/>
      <c r="BF25" s="157"/>
      <c r="BG25" s="157"/>
      <c r="BH25" s="157"/>
    </row>
    <row r="26" spans="1:60">
      <c r="A26" s="1">
        <f t="shared" si="7"/>
        <v>19</v>
      </c>
      <c r="B26" s="15" t="s">
        <v>38</v>
      </c>
      <c r="C26" s="10"/>
      <c r="D26" s="11">
        <v>1</v>
      </c>
      <c r="E26" s="36"/>
      <c r="F26" s="36"/>
      <c r="G26" s="37"/>
      <c r="H26" s="38"/>
      <c r="I26" s="38">
        <f t="shared" si="0"/>
        <v>0</v>
      </c>
      <c r="J26" s="63">
        <f t="shared" si="1"/>
        <v>1</v>
      </c>
      <c r="K26" s="62"/>
      <c r="L26" s="36"/>
      <c r="M26" s="36"/>
      <c r="N26" s="36"/>
      <c r="O26" s="36"/>
      <c r="P26" s="36"/>
      <c r="Q26" s="99"/>
      <c r="R26" s="100">
        <f t="shared" si="2"/>
        <v>0</v>
      </c>
      <c r="S26" s="101">
        <f t="shared" si="3"/>
        <v>0</v>
      </c>
      <c r="T26" s="62"/>
      <c r="U26" s="8">
        <f t="shared" si="4"/>
        <v>0</v>
      </c>
      <c r="V26" s="135">
        <f t="shared" si="5"/>
        <v>0</v>
      </c>
      <c r="W26" s="134">
        <f t="shared" si="6"/>
        <v>1</v>
      </c>
      <c r="X26" s="61"/>
      <c r="BE26" s="158" t="e">
        <f>#REF!-BE25</f>
        <v>#REF!</v>
      </c>
    </row>
    <row r="27" spans="1:60" s="2" customFormat="1">
      <c r="A27" s="1">
        <f t="shared" si="7"/>
        <v>20</v>
      </c>
      <c r="B27" s="15" t="s">
        <v>39</v>
      </c>
      <c r="C27" s="10"/>
      <c r="D27" s="11"/>
      <c r="E27" s="36"/>
      <c r="F27" s="36"/>
      <c r="G27" s="37"/>
      <c r="H27" s="38"/>
      <c r="I27" s="38">
        <f t="shared" si="0"/>
        <v>0</v>
      </c>
      <c r="J27" s="63">
        <f t="shared" si="1"/>
        <v>0</v>
      </c>
      <c r="K27" s="69"/>
      <c r="L27" s="36"/>
      <c r="M27" s="36"/>
      <c r="N27" s="36"/>
      <c r="O27" s="36"/>
      <c r="P27" s="36"/>
      <c r="Q27" s="99"/>
      <c r="R27" s="100">
        <f t="shared" si="2"/>
        <v>0</v>
      </c>
      <c r="S27" s="101">
        <f t="shared" si="3"/>
        <v>0</v>
      </c>
      <c r="T27" s="69"/>
      <c r="U27" s="8">
        <f t="shared" si="4"/>
        <v>0</v>
      </c>
      <c r="V27" s="135">
        <f t="shared" si="5"/>
        <v>0</v>
      </c>
      <c r="W27" s="134">
        <f t="shared" si="6"/>
        <v>0</v>
      </c>
      <c r="X27" s="61"/>
      <c r="Y27" s="3"/>
      <c r="AD27" s="3"/>
      <c r="AG27" s="3"/>
      <c r="AH27" s="3"/>
      <c r="AI27" s="3"/>
      <c r="AJ27" s="3"/>
      <c r="AK27" s="3"/>
    </row>
    <row r="28" spans="1:60" s="2" customFormat="1">
      <c r="A28" s="1">
        <f t="shared" si="7"/>
        <v>21</v>
      </c>
      <c r="B28" s="15" t="s">
        <v>40</v>
      </c>
      <c r="C28" s="10"/>
      <c r="D28" s="11"/>
      <c r="E28" s="36"/>
      <c r="F28" s="36"/>
      <c r="G28" s="37"/>
      <c r="H28" s="38"/>
      <c r="I28" s="38">
        <f t="shared" si="0"/>
        <v>0</v>
      </c>
      <c r="J28" s="63">
        <f t="shared" si="1"/>
        <v>0</v>
      </c>
      <c r="K28" s="69"/>
      <c r="L28" s="36"/>
      <c r="M28" s="36"/>
      <c r="N28" s="36"/>
      <c r="O28" s="36"/>
      <c r="P28" s="36"/>
      <c r="Q28" s="99"/>
      <c r="R28" s="100">
        <f t="shared" si="2"/>
        <v>0</v>
      </c>
      <c r="S28" s="101">
        <f t="shared" si="3"/>
        <v>0</v>
      </c>
      <c r="T28" s="69"/>
      <c r="U28" s="8">
        <f t="shared" si="4"/>
        <v>0</v>
      </c>
      <c r="V28" s="135">
        <f t="shared" si="5"/>
        <v>0</v>
      </c>
      <c r="W28" s="134">
        <f t="shared" si="6"/>
        <v>0</v>
      </c>
      <c r="X28" s="61"/>
      <c r="Y28" s="3"/>
      <c r="AD28" s="3"/>
      <c r="AG28" s="3"/>
      <c r="AH28" s="3"/>
      <c r="AI28" s="3"/>
      <c r="AJ28" s="3"/>
      <c r="AK28" s="3"/>
    </row>
    <row r="29" spans="1:60" s="2" customFormat="1">
      <c r="A29" s="1">
        <f t="shared" si="7"/>
        <v>22</v>
      </c>
      <c r="B29" s="15" t="s">
        <v>41</v>
      </c>
      <c r="C29" s="10"/>
      <c r="D29" s="11"/>
      <c r="E29" s="36"/>
      <c r="F29" s="36"/>
      <c r="G29" s="37"/>
      <c r="H29" s="38"/>
      <c r="I29" s="38">
        <f t="shared" si="0"/>
        <v>0</v>
      </c>
      <c r="J29" s="63">
        <f t="shared" si="1"/>
        <v>0</v>
      </c>
      <c r="K29" s="69"/>
      <c r="L29" s="36"/>
      <c r="M29" s="36"/>
      <c r="N29" s="36"/>
      <c r="O29" s="36"/>
      <c r="P29" s="36"/>
      <c r="Q29" s="99"/>
      <c r="R29" s="100">
        <f t="shared" si="2"/>
        <v>0</v>
      </c>
      <c r="S29" s="101">
        <f t="shared" si="3"/>
        <v>0</v>
      </c>
      <c r="T29" s="69"/>
      <c r="U29" s="8">
        <f t="shared" si="4"/>
        <v>0</v>
      </c>
      <c r="V29" s="135">
        <f t="shared" si="5"/>
        <v>0</v>
      </c>
      <c r="W29" s="134">
        <f t="shared" si="6"/>
        <v>0</v>
      </c>
      <c r="X29" s="61"/>
      <c r="Y29" s="3"/>
      <c r="AD29" s="3"/>
      <c r="AG29" s="3"/>
      <c r="AH29" s="3"/>
      <c r="AI29" s="3"/>
      <c r="AJ29" s="3"/>
      <c r="AK29" s="3"/>
    </row>
    <row r="30" spans="1:60">
      <c r="A30" s="1">
        <f t="shared" si="7"/>
        <v>23</v>
      </c>
      <c r="B30" s="15" t="s">
        <v>42</v>
      </c>
      <c r="C30" s="10">
        <v>2</v>
      </c>
      <c r="D30" s="11">
        <v>5</v>
      </c>
      <c r="E30" s="36"/>
      <c r="F30" s="36"/>
      <c r="G30" s="37">
        <v>1</v>
      </c>
      <c r="H30" s="38"/>
      <c r="I30" s="38">
        <f t="shared" si="0"/>
        <v>1</v>
      </c>
      <c r="J30" s="63">
        <f t="shared" si="1"/>
        <v>5</v>
      </c>
      <c r="K30" s="62"/>
      <c r="L30" s="36"/>
      <c r="M30" s="36"/>
      <c r="N30" s="36"/>
      <c r="O30" s="36"/>
      <c r="P30" s="36">
        <v>1</v>
      </c>
      <c r="Q30" s="99"/>
      <c r="R30" s="100">
        <f t="shared" si="2"/>
        <v>1</v>
      </c>
      <c r="S30" s="101">
        <f t="shared" si="3"/>
        <v>0</v>
      </c>
      <c r="T30" s="62"/>
      <c r="U30" s="8">
        <f t="shared" si="4"/>
        <v>24</v>
      </c>
      <c r="V30" s="135">
        <f t="shared" si="5"/>
        <v>1</v>
      </c>
      <c r="W30" s="134">
        <f t="shared" si="6"/>
        <v>29</v>
      </c>
      <c r="X30" s="61"/>
    </row>
    <row r="31" spans="1:60">
      <c r="A31" s="1">
        <f t="shared" si="7"/>
        <v>24</v>
      </c>
      <c r="B31" s="15" t="s">
        <v>43</v>
      </c>
      <c r="C31" s="10">
        <v>7</v>
      </c>
      <c r="D31" s="11"/>
      <c r="E31" s="36"/>
      <c r="F31" s="36"/>
      <c r="G31" s="37"/>
      <c r="H31" s="38"/>
      <c r="I31" s="38">
        <f t="shared" si="0"/>
        <v>7</v>
      </c>
      <c r="J31" s="63">
        <f t="shared" si="1"/>
        <v>0</v>
      </c>
      <c r="K31" s="62"/>
      <c r="L31" s="36"/>
      <c r="M31" s="36"/>
      <c r="N31" s="36"/>
      <c r="O31" s="36"/>
      <c r="P31" s="36"/>
      <c r="Q31" s="99"/>
      <c r="R31" s="100">
        <f t="shared" si="2"/>
        <v>0</v>
      </c>
      <c r="S31" s="101">
        <f t="shared" si="3"/>
        <v>0</v>
      </c>
      <c r="T31" s="62"/>
      <c r="U31" s="8">
        <f t="shared" si="4"/>
        <v>0</v>
      </c>
      <c r="V31" s="135">
        <f t="shared" si="5"/>
        <v>0</v>
      </c>
      <c r="W31" s="134">
        <f t="shared" si="6"/>
        <v>168</v>
      </c>
      <c r="X31" s="61"/>
    </row>
    <row r="32" spans="1:60">
      <c r="A32" s="1">
        <f t="shared" si="7"/>
        <v>25</v>
      </c>
      <c r="B32" s="15" t="s">
        <v>44</v>
      </c>
      <c r="C32" s="10"/>
      <c r="D32" s="11"/>
      <c r="E32" s="36"/>
      <c r="F32" s="36"/>
      <c r="G32" s="37"/>
      <c r="H32" s="38"/>
      <c r="I32" s="38">
        <f t="shared" si="0"/>
        <v>0</v>
      </c>
      <c r="J32" s="63">
        <f t="shared" si="1"/>
        <v>0</v>
      </c>
      <c r="K32" s="62"/>
      <c r="L32" s="36"/>
      <c r="M32" s="36"/>
      <c r="N32" s="36"/>
      <c r="O32" s="36"/>
      <c r="P32" s="36"/>
      <c r="Q32" s="99"/>
      <c r="R32" s="100">
        <f t="shared" si="2"/>
        <v>0</v>
      </c>
      <c r="S32" s="101">
        <f t="shared" si="3"/>
        <v>0</v>
      </c>
      <c r="T32" s="62"/>
      <c r="U32" s="8">
        <f t="shared" si="4"/>
        <v>0</v>
      </c>
      <c r="V32" s="135">
        <f t="shared" si="5"/>
        <v>0</v>
      </c>
      <c r="W32" s="134">
        <f t="shared" si="6"/>
        <v>0</v>
      </c>
      <c r="X32" s="61"/>
    </row>
    <row r="33" spans="1:26">
      <c r="A33" s="1">
        <f t="shared" si="7"/>
        <v>26</v>
      </c>
      <c r="B33" s="15" t="s">
        <v>45</v>
      </c>
      <c r="C33" s="10">
        <v>3</v>
      </c>
      <c r="D33" s="11"/>
      <c r="E33" s="36"/>
      <c r="F33" s="36"/>
      <c r="G33" s="37"/>
      <c r="H33" s="38"/>
      <c r="I33" s="38">
        <f t="shared" si="0"/>
        <v>3</v>
      </c>
      <c r="J33" s="63">
        <f t="shared" si="1"/>
        <v>0</v>
      </c>
      <c r="K33" s="62"/>
      <c r="L33" s="36"/>
      <c r="M33" s="36"/>
      <c r="N33" s="36"/>
      <c r="O33" s="36"/>
      <c r="P33" s="36"/>
      <c r="Q33" s="99"/>
      <c r="R33" s="100">
        <f t="shared" si="2"/>
        <v>0</v>
      </c>
      <c r="S33" s="101">
        <f t="shared" si="3"/>
        <v>0</v>
      </c>
      <c r="T33" s="62"/>
      <c r="U33" s="8">
        <f t="shared" si="4"/>
        <v>0</v>
      </c>
      <c r="V33" s="135">
        <f t="shared" si="5"/>
        <v>0</v>
      </c>
      <c r="W33" s="134">
        <f t="shared" si="6"/>
        <v>72</v>
      </c>
      <c r="X33" s="61"/>
    </row>
    <row r="34" spans="1:26">
      <c r="A34" s="1">
        <f t="shared" si="7"/>
        <v>27</v>
      </c>
      <c r="B34" s="15" t="s">
        <v>46</v>
      </c>
      <c r="C34" s="10">
        <v>4</v>
      </c>
      <c r="D34" s="11"/>
      <c r="E34" s="36"/>
      <c r="F34" s="36"/>
      <c r="G34" s="37"/>
      <c r="H34" s="38"/>
      <c r="I34" s="38">
        <f t="shared" si="0"/>
        <v>4</v>
      </c>
      <c r="J34" s="63">
        <f t="shared" si="1"/>
        <v>0</v>
      </c>
      <c r="K34" s="62"/>
      <c r="L34" s="36"/>
      <c r="M34" s="36"/>
      <c r="N34" s="36"/>
      <c r="O34" s="36"/>
      <c r="P34" s="36"/>
      <c r="Q34" s="99"/>
      <c r="R34" s="100">
        <f t="shared" si="2"/>
        <v>0</v>
      </c>
      <c r="S34" s="101">
        <f t="shared" si="3"/>
        <v>0</v>
      </c>
      <c r="T34" s="62"/>
      <c r="U34" s="8">
        <f t="shared" si="4"/>
        <v>0</v>
      </c>
      <c r="V34" s="135">
        <f t="shared" si="5"/>
        <v>0</v>
      </c>
      <c r="W34" s="134">
        <f t="shared" si="6"/>
        <v>96</v>
      </c>
      <c r="X34" s="61"/>
    </row>
    <row r="35" spans="1:26">
      <c r="A35" s="1">
        <f t="shared" si="7"/>
        <v>28</v>
      </c>
      <c r="B35" s="15" t="s">
        <v>47</v>
      </c>
      <c r="C35" s="10">
        <v>81</v>
      </c>
      <c r="D35" s="11">
        <v>13</v>
      </c>
      <c r="E35" s="36"/>
      <c r="F35" s="36"/>
      <c r="G35" s="37"/>
      <c r="H35" s="38"/>
      <c r="I35" s="38">
        <f t="shared" si="0"/>
        <v>81</v>
      </c>
      <c r="J35" s="63">
        <f t="shared" si="1"/>
        <v>13</v>
      </c>
      <c r="K35" s="62"/>
      <c r="L35" s="36"/>
      <c r="M35" s="36"/>
      <c r="N35" s="36"/>
      <c r="O35" s="36"/>
      <c r="P35" s="36"/>
      <c r="Q35" s="99"/>
      <c r="R35" s="100">
        <f t="shared" si="2"/>
        <v>0</v>
      </c>
      <c r="S35" s="101">
        <f t="shared" si="3"/>
        <v>0</v>
      </c>
      <c r="T35" s="62"/>
      <c r="U35" s="8">
        <f t="shared" si="4"/>
        <v>0</v>
      </c>
      <c r="V35" s="135">
        <f t="shared" si="5"/>
        <v>0</v>
      </c>
      <c r="W35" s="134">
        <f t="shared" si="6"/>
        <v>1957</v>
      </c>
      <c r="X35" s="61"/>
    </row>
    <row r="36" spans="1:26" ht="18.75" hidden="1" customHeight="1">
      <c r="A36" s="1">
        <f t="shared" si="7"/>
        <v>29</v>
      </c>
      <c r="B36" s="15" t="s">
        <v>48</v>
      </c>
      <c r="C36" s="10"/>
      <c r="D36" s="11"/>
      <c r="E36" s="36"/>
      <c r="F36" s="36"/>
      <c r="G36" s="37"/>
      <c r="H36" s="38"/>
      <c r="I36" s="38">
        <f t="shared" si="0"/>
        <v>0</v>
      </c>
      <c r="J36" s="63">
        <f t="shared" si="1"/>
        <v>0</v>
      </c>
      <c r="K36" s="62"/>
      <c r="L36" s="36"/>
      <c r="M36" s="36"/>
      <c r="N36" s="36"/>
      <c r="O36" s="36"/>
      <c r="P36" s="36"/>
      <c r="Q36" s="99"/>
      <c r="R36" s="100">
        <f t="shared" si="2"/>
        <v>0</v>
      </c>
      <c r="S36" s="101">
        <f t="shared" si="3"/>
        <v>0</v>
      </c>
      <c r="T36" s="62"/>
      <c r="U36" s="8">
        <f t="shared" si="4"/>
        <v>0</v>
      </c>
      <c r="V36" s="135">
        <f t="shared" si="5"/>
        <v>0</v>
      </c>
      <c r="W36" s="134">
        <f t="shared" si="6"/>
        <v>0</v>
      </c>
      <c r="X36" s="61"/>
    </row>
    <row r="37" spans="1:26" ht="18.75" customHeight="1">
      <c r="A37" s="1">
        <f t="shared" si="7"/>
        <v>30</v>
      </c>
      <c r="B37" s="15" t="s">
        <v>49</v>
      </c>
      <c r="C37" s="10">
        <v>1</v>
      </c>
      <c r="D37" s="11"/>
      <c r="E37" s="36"/>
      <c r="F37" s="36"/>
      <c r="G37" s="37"/>
      <c r="H37" s="38"/>
      <c r="I37" s="38">
        <f t="shared" si="0"/>
        <v>1</v>
      </c>
      <c r="J37" s="63">
        <f t="shared" si="1"/>
        <v>0</v>
      </c>
      <c r="K37" s="62"/>
      <c r="L37" s="36"/>
      <c r="M37" s="36"/>
      <c r="N37" s="36"/>
      <c r="O37" s="36"/>
      <c r="P37" s="36"/>
      <c r="Q37" s="99"/>
      <c r="R37" s="100">
        <f t="shared" si="2"/>
        <v>0</v>
      </c>
      <c r="S37" s="101">
        <f t="shared" si="3"/>
        <v>0</v>
      </c>
      <c r="T37" s="62"/>
      <c r="U37" s="8">
        <f t="shared" si="4"/>
        <v>0</v>
      </c>
      <c r="V37" s="135">
        <f t="shared" si="5"/>
        <v>0</v>
      </c>
      <c r="W37" s="134">
        <f t="shared" si="6"/>
        <v>24</v>
      </c>
      <c r="X37" s="61"/>
    </row>
    <row r="38" spans="1:26">
      <c r="A38" s="1">
        <f t="shared" si="7"/>
        <v>31</v>
      </c>
      <c r="B38" s="16" t="s">
        <v>50</v>
      </c>
      <c r="C38" s="13">
        <v>5819</v>
      </c>
      <c r="D38" s="14">
        <v>2</v>
      </c>
      <c r="E38" s="39"/>
      <c r="F38" s="39"/>
      <c r="G38" s="40">
        <v>135</v>
      </c>
      <c r="H38" s="41"/>
      <c r="I38" s="53">
        <f t="shared" si="0"/>
        <v>5684</v>
      </c>
      <c r="J38" s="70">
        <f t="shared" si="1"/>
        <v>2</v>
      </c>
      <c r="K38" s="65"/>
      <c r="L38" s="51">
        <v>43</v>
      </c>
      <c r="M38" s="51"/>
      <c r="N38" s="51"/>
      <c r="O38" s="51"/>
      <c r="P38" s="51">
        <v>92</v>
      </c>
      <c r="Q38" s="102"/>
      <c r="R38" s="107">
        <f t="shared" si="2"/>
        <v>135</v>
      </c>
      <c r="S38" s="104">
        <f t="shared" si="3"/>
        <v>0</v>
      </c>
      <c r="T38" s="65"/>
      <c r="U38" s="136">
        <f>L38*6+N38*6+P38*6</f>
        <v>810</v>
      </c>
      <c r="V38" s="141">
        <f>U38/6</f>
        <v>135</v>
      </c>
      <c r="W38" s="138">
        <f>I38*6+J38</f>
        <v>34106</v>
      </c>
      <c r="X38" s="139"/>
    </row>
    <row r="39" spans="1:26">
      <c r="A39" s="1">
        <f t="shared" si="7"/>
        <v>32</v>
      </c>
      <c r="B39" s="7" t="s">
        <v>51</v>
      </c>
      <c r="C39" s="10">
        <v>1</v>
      </c>
      <c r="D39" s="11"/>
      <c r="E39" s="36"/>
      <c r="F39" s="36"/>
      <c r="G39" s="37"/>
      <c r="H39" s="38"/>
      <c r="I39" s="37">
        <f t="shared" si="0"/>
        <v>1</v>
      </c>
      <c r="J39" s="63">
        <f t="shared" si="1"/>
        <v>0</v>
      </c>
      <c r="K39" s="62"/>
      <c r="L39" s="36"/>
      <c r="M39" s="36"/>
      <c r="N39" s="36"/>
      <c r="O39" s="36"/>
      <c r="P39" s="36"/>
      <c r="Q39" s="99"/>
      <c r="R39" s="108">
        <f t="shared" si="2"/>
        <v>0</v>
      </c>
      <c r="S39" s="106">
        <f t="shared" si="3"/>
        <v>0</v>
      </c>
      <c r="T39" s="62"/>
      <c r="U39" s="8">
        <f t="shared" ref="U39:U41" si="8">L39*24+N39*24+P39*24</f>
        <v>0</v>
      </c>
      <c r="V39" s="33">
        <f t="shared" ref="V39:V41" si="9">U39/24</f>
        <v>0</v>
      </c>
      <c r="W39" s="134">
        <f t="shared" ref="W39:W41" si="10">I39*24+J39</f>
        <v>24</v>
      </c>
      <c r="X39" s="61"/>
    </row>
    <row r="40" spans="1:26">
      <c r="A40" s="1">
        <f t="shared" si="7"/>
        <v>33</v>
      </c>
      <c r="B40" s="17" t="s">
        <v>52</v>
      </c>
      <c r="C40" s="18">
        <v>1</v>
      </c>
      <c r="D40" s="19"/>
      <c r="E40" s="42"/>
      <c r="F40" s="42"/>
      <c r="G40" s="43"/>
      <c r="H40" s="44"/>
      <c r="I40" s="38">
        <f t="shared" si="0"/>
        <v>1</v>
      </c>
      <c r="J40" s="63">
        <f t="shared" si="1"/>
        <v>0</v>
      </c>
      <c r="K40" s="62"/>
      <c r="L40" s="36"/>
      <c r="M40" s="36"/>
      <c r="N40" s="36"/>
      <c r="O40" s="36"/>
      <c r="P40" s="36"/>
      <c r="Q40" s="99"/>
      <c r="R40" s="100">
        <f t="shared" si="2"/>
        <v>0</v>
      </c>
      <c r="S40" s="101">
        <f t="shared" si="3"/>
        <v>0</v>
      </c>
      <c r="T40" s="62"/>
      <c r="U40" s="142">
        <f t="shared" si="8"/>
        <v>0</v>
      </c>
      <c r="V40" s="135">
        <f t="shared" si="9"/>
        <v>0</v>
      </c>
      <c r="W40" s="143">
        <f t="shared" si="10"/>
        <v>24</v>
      </c>
      <c r="X40" s="144"/>
    </row>
    <row r="41" spans="1:26">
      <c r="A41" s="1">
        <f t="shared" si="7"/>
        <v>34</v>
      </c>
      <c r="B41" s="20" t="s">
        <v>53</v>
      </c>
      <c r="C41" s="21">
        <v>33</v>
      </c>
      <c r="D41" s="22">
        <v>8</v>
      </c>
      <c r="E41" s="45"/>
      <c r="F41" s="45"/>
      <c r="G41" s="46">
        <v>1</v>
      </c>
      <c r="H41" s="47"/>
      <c r="I41" s="71">
        <f t="shared" si="0"/>
        <v>32</v>
      </c>
      <c r="J41" s="72">
        <f t="shared" si="1"/>
        <v>8</v>
      </c>
      <c r="K41" s="73"/>
      <c r="L41" s="74">
        <v>1</v>
      </c>
      <c r="M41" s="74"/>
      <c r="N41" s="74"/>
      <c r="O41" s="74"/>
      <c r="P41" s="74"/>
      <c r="Q41" s="109"/>
      <c r="R41" s="110">
        <f t="shared" si="2"/>
        <v>1</v>
      </c>
      <c r="S41" s="111">
        <f t="shared" si="3"/>
        <v>0</v>
      </c>
      <c r="T41" s="73"/>
      <c r="U41" s="145">
        <f t="shared" si="8"/>
        <v>24</v>
      </c>
      <c r="V41" s="146">
        <f t="shared" si="9"/>
        <v>1</v>
      </c>
      <c r="W41" s="146">
        <f t="shared" si="10"/>
        <v>776</v>
      </c>
      <c r="X41" s="147"/>
    </row>
    <row r="42" spans="1:26">
      <c r="A42" s="1">
        <f t="shared" si="7"/>
        <v>35</v>
      </c>
      <c r="B42" s="23" t="s">
        <v>54</v>
      </c>
      <c r="C42" s="24">
        <v>574</v>
      </c>
      <c r="D42" s="25"/>
      <c r="E42" s="48"/>
      <c r="F42" s="48"/>
      <c r="G42" s="49">
        <v>25</v>
      </c>
      <c r="H42" s="50"/>
      <c r="I42" s="49">
        <f t="shared" si="0"/>
        <v>549</v>
      </c>
      <c r="J42" s="75">
        <f t="shared" si="1"/>
        <v>0</v>
      </c>
      <c r="K42" s="76"/>
      <c r="L42" s="48">
        <v>5</v>
      </c>
      <c r="M42" s="48"/>
      <c r="N42" s="48"/>
      <c r="O42" s="48"/>
      <c r="P42" s="48">
        <v>20</v>
      </c>
      <c r="Q42" s="112"/>
      <c r="R42" s="113">
        <f t="shared" si="2"/>
        <v>25</v>
      </c>
      <c r="S42" s="114">
        <f t="shared" si="3"/>
        <v>0</v>
      </c>
      <c r="T42" s="76"/>
      <c r="U42" s="148">
        <f>L42*12+N42*12+P42*12</f>
        <v>300</v>
      </c>
      <c r="V42" s="149">
        <f>U42/12</f>
        <v>25</v>
      </c>
      <c r="W42" s="150">
        <f>I42*12+J42</f>
        <v>6588</v>
      </c>
      <c r="X42" s="151"/>
    </row>
    <row r="43" spans="1:26" ht="18.75" hidden="1" customHeight="1">
      <c r="A43" s="1">
        <f t="shared" si="7"/>
        <v>36</v>
      </c>
      <c r="B43" s="7" t="s">
        <v>55</v>
      </c>
      <c r="C43" s="10"/>
      <c r="D43" s="11"/>
      <c r="E43" s="36"/>
      <c r="F43" s="36"/>
      <c r="G43" s="37"/>
      <c r="H43" s="38"/>
      <c r="I43" s="38">
        <f t="shared" si="0"/>
        <v>0</v>
      </c>
      <c r="J43" s="64">
        <f t="shared" si="1"/>
        <v>0</v>
      </c>
      <c r="K43" s="62"/>
      <c r="L43" s="36"/>
      <c r="M43" s="36"/>
      <c r="N43" s="36"/>
      <c r="O43" s="36"/>
      <c r="P43" s="36"/>
      <c r="Q43" s="99"/>
      <c r="R43" s="115">
        <f t="shared" si="2"/>
        <v>0</v>
      </c>
      <c r="S43" s="116">
        <f t="shared" si="3"/>
        <v>0</v>
      </c>
      <c r="T43" s="62"/>
      <c r="U43" s="8"/>
      <c r="V43" s="33"/>
      <c r="W43" s="134"/>
      <c r="X43" s="61"/>
    </row>
    <row r="44" spans="1:26">
      <c r="A44" s="1">
        <f t="shared" si="7"/>
        <v>37</v>
      </c>
      <c r="B44" s="12" t="s">
        <v>56</v>
      </c>
      <c r="C44" s="13">
        <v>25842</v>
      </c>
      <c r="D44" s="14">
        <v>3</v>
      </c>
      <c r="E44" s="39"/>
      <c r="F44" s="39"/>
      <c r="G44" s="40">
        <v>1011</v>
      </c>
      <c r="H44" s="41"/>
      <c r="I44" s="38">
        <f>C44+E44-G44</f>
        <v>24831</v>
      </c>
      <c r="J44" s="77">
        <f t="shared" si="1"/>
        <v>3</v>
      </c>
      <c r="K44" s="65"/>
      <c r="L44" s="51">
        <v>675</v>
      </c>
      <c r="M44" s="51"/>
      <c r="N44" s="51"/>
      <c r="O44" s="51"/>
      <c r="P44" s="51">
        <v>336</v>
      </c>
      <c r="Q44" s="102"/>
      <c r="R44" s="117">
        <f t="shared" si="2"/>
        <v>1011</v>
      </c>
      <c r="S44" s="118">
        <f t="shared" si="3"/>
        <v>0</v>
      </c>
      <c r="T44" s="65"/>
      <c r="U44" s="136">
        <f>L44*6+N44*6+P44*6</f>
        <v>6066</v>
      </c>
      <c r="V44" s="135">
        <f>U44/6</f>
        <v>1011</v>
      </c>
      <c r="W44" s="138">
        <f>I44*6+J44</f>
        <v>148989</v>
      </c>
      <c r="X44" s="139"/>
      <c r="Z44" s="155"/>
    </row>
    <row r="45" spans="1:26" ht="18.75" hidden="1" customHeight="1">
      <c r="A45" s="1">
        <f t="shared" si="7"/>
        <v>38</v>
      </c>
      <c r="B45" s="7" t="s">
        <v>57</v>
      </c>
      <c r="C45" s="10"/>
      <c r="D45" s="11"/>
      <c r="E45" s="36"/>
      <c r="F45" s="36"/>
      <c r="G45" s="37"/>
      <c r="H45" s="38"/>
      <c r="I45" s="44">
        <f t="shared" ref="I45:I59" si="11">C45-G45</f>
        <v>0</v>
      </c>
      <c r="J45" s="63">
        <f t="shared" si="1"/>
        <v>0</v>
      </c>
      <c r="K45" s="62"/>
      <c r="L45" s="36"/>
      <c r="M45" s="36"/>
      <c r="N45" s="36"/>
      <c r="O45" s="36"/>
      <c r="P45" s="36"/>
      <c r="Q45" s="99"/>
      <c r="R45" s="108">
        <f t="shared" si="2"/>
        <v>0</v>
      </c>
      <c r="S45" s="116">
        <f t="shared" si="3"/>
        <v>0</v>
      </c>
      <c r="T45" s="62"/>
      <c r="U45" s="8"/>
      <c r="V45" s="137"/>
      <c r="W45" s="134"/>
      <c r="X45" s="61"/>
    </row>
    <row r="46" spans="1:26">
      <c r="A46" s="1">
        <f t="shared" si="7"/>
        <v>39</v>
      </c>
      <c r="B46" s="15" t="s">
        <v>58</v>
      </c>
      <c r="C46" s="10">
        <v>9</v>
      </c>
      <c r="D46" s="11"/>
      <c r="E46" s="36"/>
      <c r="F46" s="36"/>
      <c r="G46" s="37"/>
      <c r="H46" s="38"/>
      <c r="I46" s="68">
        <f t="shared" si="11"/>
        <v>9</v>
      </c>
      <c r="J46" s="63">
        <f t="shared" si="1"/>
        <v>0</v>
      </c>
      <c r="K46" s="62"/>
      <c r="L46" s="36"/>
      <c r="M46" s="36"/>
      <c r="N46" s="36"/>
      <c r="O46" s="36"/>
      <c r="P46" s="36"/>
      <c r="Q46" s="99"/>
      <c r="R46" s="100">
        <f t="shared" si="2"/>
        <v>0</v>
      </c>
      <c r="S46" s="119">
        <f t="shared" si="3"/>
        <v>0</v>
      </c>
      <c r="T46" s="62"/>
      <c r="U46" s="8">
        <f t="shared" ref="U46:U51" si="12">L46*24+N46*24+P46*24</f>
        <v>0</v>
      </c>
      <c r="V46" s="140">
        <f t="shared" ref="V46:V51" si="13">U46/24</f>
        <v>0</v>
      </c>
      <c r="W46" s="134">
        <f t="shared" ref="W46:W51" si="14">I46*24+J46</f>
        <v>216</v>
      </c>
      <c r="X46" s="61"/>
    </row>
    <row r="47" spans="1:26">
      <c r="A47" s="1">
        <f t="shared" si="7"/>
        <v>40</v>
      </c>
      <c r="B47" s="15" t="s">
        <v>59</v>
      </c>
      <c r="C47" s="10"/>
      <c r="D47" s="11"/>
      <c r="E47" s="36"/>
      <c r="F47" s="36"/>
      <c r="G47" s="37"/>
      <c r="H47" s="38"/>
      <c r="I47" s="38">
        <f t="shared" si="11"/>
        <v>0</v>
      </c>
      <c r="J47" s="63">
        <f t="shared" si="1"/>
        <v>0</v>
      </c>
      <c r="K47" s="62"/>
      <c r="L47" s="36"/>
      <c r="M47" s="36"/>
      <c r="N47" s="36"/>
      <c r="O47" s="36"/>
      <c r="P47" s="36"/>
      <c r="Q47" s="99"/>
      <c r="R47" s="100">
        <f t="shared" si="2"/>
        <v>0</v>
      </c>
      <c r="S47" s="101">
        <f t="shared" si="3"/>
        <v>0</v>
      </c>
      <c r="T47" s="62"/>
      <c r="U47" s="8">
        <f t="shared" si="12"/>
        <v>0</v>
      </c>
      <c r="V47" s="135">
        <f t="shared" si="13"/>
        <v>0</v>
      </c>
      <c r="W47" s="134">
        <f t="shared" si="14"/>
        <v>0</v>
      </c>
      <c r="X47" s="61"/>
    </row>
    <row r="48" spans="1:26">
      <c r="A48" s="1">
        <f t="shared" si="7"/>
        <v>41</v>
      </c>
      <c r="B48" s="12" t="s">
        <v>48</v>
      </c>
      <c r="C48" s="26">
        <v>2829</v>
      </c>
      <c r="D48" s="27">
        <v>4</v>
      </c>
      <c r="E48" s="51"/>
      <c r="F48" s="51"/>
      <c r="G48" s="52">
        <v>6</v>
      </c>
      <c r="H48" s="53"/>
      <c r="I48" s="53">
        <f t="shared" si="11"/>
        <v>2823</v>
      </c>
      <c r="J48" s="70">
        <f t="shared" si="1"/>
        <v>4</v>
      </c>
      <c r="K48" s="65"/>
      <c r="L48" s="51">
        <v>6</v>
      </c>
      <c r="M48" s="51"/>
      <c r="N48" s="51"/>
      <c r="O48" s="51"/>
      <c r="P48" s="51"/>
      <c r="Q48" s="102"/>
      <c r="R48" s="107">
        <f t="shared" si="2"/>
        <v>6</v>
      </c>
      <c r="S48" s="120">
        <f t="shared" si="3"/>
        <v>0</v>
      </c>
      <c r="T48" s="65"/>
      <c r="U48" s="136">
        <f>L48*6+N48*6+P48*6</f>
        <v>36</v>
      </c>
      <c r="V48" s="141">
        <f>U48/6</f>
        <v>6</v>
      </c>
      <c r="W48" s="138">
        <f>I48*6+J48</f>
        <v>16942</v>
      </c>
      <c r="X48" s="139"/>
    </row>
    <row r="49" spans="1:24">
      <c r="A49" s="1">
        <f t="shared" si="7"/>
        <v>42</v>
      </c>
      <c r="B49" s="7" t="s">
        <v>60</v>
      </c>
      <c r="C49" s="10">
        <v>1</v>
      </c>
      <c r="D49" s="11"/>
      <c r="E49" s="36"/>
      <c r="F49" s="36"/>
      <c r="G49" s="37"/>
      <c r="H49" s="38"/>
      <c r="I49" s="38">
        <f t="shared" si="11"/>
        <v>1</v>
      </c>
      <c r="J49" s="63">
        <f t="shared" si="1"/>
        <v>0</v>
      </c>
      <c r="K49" s="62"/>
      <c r="L49" s="36"/>
      <c r="M49" s="36"/>
      <c r="N49" s="36"/>
      <c r="O49" s="36"/>
      <c r="P49" s="36"/>
      <c r="Q49" s="99"/>
      <c r="R49" s="108">
        <f t="shared" si="2"/>
        <v>0</v>
      </c>
      <c r="S49" s="106">
        <f t="shared" si="3"/>
        <v>0</v>
      </c>
      <c r="T49" s="62"/>
      <c r="U49" s="8">
        <f t="shared" si="12"/>
        <v>0</v>
      </c>
      <c r="V49" s="33">
        <f t="shared" si="13"/>
        <v>0</v>
      </c>
      <c r="W49" s="134">
        <f t="shared" si="14"/>
        <v>24</v>
      </c>
      <c r="X49" s="61"/>
    </row>
    <row r="50" spans="1:24">
      <c r="A50" s="1">
        <f t="shared" si="7"/>
        <v>43</v>
      </c>
      <c r="B50" s="15" t="s">
        <v>61</v>
      </c>
      <c r="C50" s="10">
        <v>2</v>
      </c>
      <c r="D50" s="11"/>
      <c r="E50" s="36"/>
      <c r="F50" s="36"/>
      <c r="G50" s="37"/>
      <c r="H50" s="38"/>
      <c r="I50" s="38">
        <f t="shared" si="11"/>
        <v>2</v>
      </c>
      <c r="J50" s="63">
        <f t="shared" si="1"/>
        <v>0</v>
      </c>
      <c r="K50" s="62"/>
      <c r="L50" s="36"/>
      <c r="M50" s="36"/>
      <c r="N50" s="36"/>
      <c r="O50" s="36"/>
      <c r="P50" s="36"/>
      <c r="Q50" s="99"/>
      <c r="R50" s="100">
        <f t="shared" si="2"/>
        <v>0</v>
      </c>
      <c r="S50" s="101">
        <f t="shared" si="3"/>
        <v>0</v>
      </c>
      <c r="T50" s="62"/>
      <c r="U50" s="8">
        <f t="shared" si="12"/>
        <v>0</v>
      </c>
      <c r="V50" s="135">
        <f t="shared" si="13"/>
        <v>0</v>
      </c>
      <c r="W50" s="134">
        <f t="shared" si="14"/>
        <v>48</v>
      </c>
      <c r="X50" s="61"/>
    </row>
    <row r="51" spans="1:24">
      <c r="A51" s="1">
        <f t="shared" si="7"/>
        <v>44</v>
      </c>
      <c r="B51" s="15" t="s">
        <v>62</v>
      </c>
      <c r="C51" s="10"/>
      <c r="D51" s="11"/>
      <c r="E51" s="36"/>
      <c r="F51" s="36"/>
      <c r="G51" s="37"/>
      <c r="H51" s="38"/>
      <c r="I51" s="38">
        <f t="shared" si="11"/>
        <v>0</v>
      </c>
      <c r="J51" s="63">
        <f t="shared" si="1"/>
        <v>0</v>
      </c>
      <c r="K51" s="62"/>
      <c r="L51" s="36"/>
      <c r="M51" s="36"/>
      <c r="N51" s="36"/>
      <c r="O51" s="36"/>
      <c r="P51" s="36"/>
      <c r="Q51" s="99"/>
      <c r="R51" s="100">
        <f t="shared" si="2"/>
        <v>0</v>
      </c>
      <c r="S51" s="101">
        <f t="shared" si="3"/>
        <v>0</v>
      </c>
      <c r="T51" s="62"/>
      <c r="U51" s="8">
        <f t="shared" si="12"/>
        <v>0</v>
      </c>
      <c r="V51" s="135">
        <f t="shared" si="13"/>
        <v>0</v>
      </c>
      <c r="W51" s="134">
        <f t="shared" si="14"/>
        <v>0</v>
      </c>
      <c r="X51" s="61"/>
    </row>
    <row r="52" spans="1:24">
      <c r="A52" s="1">
        <f t="shared" si="7"/>
        <v>45</v>
      </c>
      <c r="B52" s="12" t="s">
        <v>63</v>
      </c>
      <c r="C52" s="26">
        <v>34</v>
      </c>
      <c r="D52" s="27"/>
      <c r="E52" s="51"/>
      <c r="F52" s="51"/>
      <c r="G52" s="52"/>
      <c r="H52" s="53"/>
      <c r="I52" s="53">
        <f t="shared" si="11"/>
        <v>34</v>
      </c>
      <c r="J52" s="70">
        <f t="shared" si="1"/>
        <v>0</v>
      </c>
      <c r="K52" s="65"/>
      <c r="L52" s="51"/>
      <c r="M52" s="51"/>
      <c r="N52" s="51"/>
      <c r="O52" s="51"/>
      <c r="P52" s="51"/>
      <c r="Q52" s="102"/>
      <c r="R52" s="107">
        <f t="shared" si="2"/>
        <v>0</v>
      </c>
      <c r="S52" s="120">
        <f t="shared" si="3"/>
        <v>0</v>
      </c>
      <c r="T52" s="65"/>
      <c r="U52" s="136">
        <f>L52*6+N52*6+P52*6</f>
        <v>0</v>
      </c>
      <c r="V52" s="141">
        <f>U52/6</f>
        <v>0</v>
      </c>
      <c r="W52" s="138">
        <f>I52*6+J52</f>
        <v>204</v>
      </c>
      <c r="X52" s="139"/>
    </row>
    <row r="53" spans="1:24">
      <c r="A53" s="1">
        <f t="shared" si="7"/>
        <v>46</v>
      </c>
      <c r="B53" s="7" t="s">
        <v>64</v>
      </c>
      <c r="C53" s="10">
        <v>2</v>
      </c>
      <c r="D53" s="11"/>
      <c r="E53" s="36"/>
      <c r="F53" s="36"/>
      <c r="G53" s="37"/>
      <c r="H53" s="38"/>
      <c r="I53" s="38">
        <f t="shared" si="11"/>
        <v>2</v>
      </c>
      <c r="J53" s="63">
        <f t="shared" si="1"/>
        <v>0</v>
      </c>
      <c r="K53" s="62"/>
      <c r="L53" s="36"/>
      <c r="M53" s="36"/>
      <c r="N53" s="36"/>
      <c r="O53" s="36"/>
      <c r="P53" s="36"/>
      <c r="Q53" s="99"/>
      <c r="R53" s="108">
        <f t="shared" si="2"/>
        <v>0</v>
      </c>
      <c r="S53" s="106">
        <f t="shared" si="3"/>
        <v>0</v>
      </c>
      <c r="T53" s="62"/>
      <c r="U53" s="8">
        <f>L53*24+N53*24+P53*24</f>
        <v>0</v>
      </c>
      <c r="V53" s="33">
        <f>U53/24</f>
        <v>0</v>
      </c>
      <c r="W53" s="134">
        <f>I53*24+J53</f>
        <v>48</v>
      </c>
      <c r="X53" s="61"/>
    </row>
    <row r="54" spans="1:24">
      <c r="A54" s="1">
        <f t="shared" si="7"/>
        <v>47</v>
      </c>
      <c r="B54" s="15" t="s">
        <v>65</v>
      </c>
      <c r="C54" s="10">
        <v>11</v>
      </c>
      <c r="D54" s="11"/>
      <c r="E54" s="36"/>
      <c r="F54" s="36"/>
      <c r="G54" s="37"/>
      <c r="H54" s="38"/>
      <c r="I54" s="38">
        <f t="shared" si="11"/>
        <v>11</v>
      </c>
      <c r="J54" s="63">
        <f t="shared" si="1"/>
        <v>0</v>
      </c>
      <c r="K54" s="62"/>
      <c r="L54" s="36"/>
      <c r="M54" s="36"/>
      <c r="N54" s="36"/>
      <c r="O54" s="36"/>
      <c r="P54" s="36"/>
      <c r="Q54" s="99"/>
      <c r="R54" s="100">
        <f t="shared" si="2"/>
        <v>0</v>
      </c>
      <c r="S54" s="101">
        <f t="shared" si="3"/>
        <v>0</v>
      </c>
      <c r="T54" s="62"/>
      <c r="U54" s="8">
        <f>L54*24+N54*24+P54*24</f>
        <v>0</v>
      </c>
      <c r="V54" s="135">
        <f>U54/24</f>
        <v>0</v>
      </c>
      <c r="W54" s="134">
        <f>I54*24+J54</f>
        <v>264</v>
      </c>
      <c r="X54" s="61"/>
    </row>
    <row r="55" spans="1:24">
      <c r="A55" s="1">
        <f t="shared" si="7"/>
        <v>48</v>
      </c>
      <c r="B55" s="15"/>
      <c r="C55" s="10"/>
      <c r="D55" s="11"/>
      <c r="E55" s="36"/>
      <c r="F55" s="36"/>
      <c r="G55" s="37"/>
      <c r="H55" s="38"/>
      <c r="I55" s="38">
        <f t="shared" si="11"/>
        <v>0</v>
      </c>
      <c r="J55" s="63">
        <f t="shared" si="1"/>
        <v>0</v>
      </c>
      <c r="K55" s="62"/>
      <c r="L55" s="36"/>
      <c r="M55" s="36"/>
      <c r="N55" s="36"/>
      <c r="O55" s="36"/>
      <c r="P55" s="36"/>
      <c r="Q55" s="99"/>
      <c r="R55" s="100">
        <f t="shared" si="2"/>
        <v>0</v>
      </c>
      <c r="S55" s="101">
        <f t="shared" si="3"/>
        <v>0</v>
      </c>
      <c r="T55" s="62"/>
      <c r="U55" s="8"/>
      <c r="V55" s="135"/>
      <c r="W55" s="134"/>
      <c r="X55" s="61"/>
    </row>
    <row r="56" spans="1:24">
      <c r="A56" s="1">
        <f t="shared" si="7"/>
        <v>49</v>
      </c>
      <c r="B56" s="15"/>
      <c r="C56" s="10"/>
      <c r="D56" s="11"/>
      <c r="E56" s="36"/>
      <c r="F56" s="36"/>
      <c r="G56" s="37"/>
      <c r="H56" s="38"/>
      <c r="I56" s="38">
        <f t="shared" si="11"/>
        <v>0</v>
      </c>
      <c r="J56" s="63">
        <f t="shared" si="1"/>
        <v>0</v>
      </c>
      <c r="K56" s="62"/>
      <c r="L56" s="36"/>
      <c r="M56" s="36"/>
      <c r="N56" s="36"/>
      <c r="O56" s="36"/>
      <c r="P56" s="36"/>
      <c r="Q56" s="99"/>
      <c r="R56" s="100">
        <f t="shared" si="2"/>
        <v>0</v>
      </c>
      <c r="S56" s="101">
        <f t="shared" si="3"/>
        <v>0</v>
      </c>
      <c r="T56" s="62"/>
      <c r="U56" s="8"/>
      <c r="V56" s="135"/>
      <c r="W56" s="134"/>
      <c r="X56" s="61"/>
    </row>
    <row r="57" spans="1:24">
      <c r="A57" s="1">
        <f t="shared" si="7"/>
        <v>50</v>
      </c>
      <c r="B57" s="15"/>
      <c r="C57" s="10"/>
      <c r="D57" s="11"/>
      <c r="E57" s="36"/>
      <c r="F57" s="36"/>
      <c r="G57" s="37"/>
      <c r="H57" s="38"/>
      <c r="I57" s="38">
        <f t="shared" si="11"/>
        <v>0</v>
      </c>
      <c r="J57" s="63">
        <f t="shared" si="1"/>
        <v>0</v>
      </c>
      <c r="K57" s="62"/>
      <c r="L57" s="36"/>
      <c r="M57" s="36"/>
      <c r="N57" s="36"/>
      <c r="O57" s="36"/>
      <c r="P57" s="36"/>
      <c r="Q57" s="99"/>
      <c r="R57" s="100">
        <f t="shared" si="2"/>
        <v>0</v>
      </c>
      <c r="S57" s="101">
        <f t="shared" si="3"/>
        <v>0</v>
      </c>
      <c r="T57" s="62"/>
      <c r="U57" s="8"/>
      <c r="V57" s="135"/>
      <c r="W57" s="134"/>
      <c r="X57" s="61"/>
    </row>
    <row r="58" spans="1:24">
      <c r="A58" s="1">
        <f t="shared" si="7"/>
        <v>51</v>
      </c>
      <c r="B58" s="15"/>
      <c r="C58" s="10"/>
      <c r="D58" s="11"/>
      <c r="E58" s="36"/>
      <c r="F58" s="36"/>
      <c r="G58" s="37"/>
      <c r="H58" s="38"/>
      <c r="I58" s="38">
        <f t="shared" si="11"/>
        <v>0</v>
      </c>
      <c r="J58" s="63">
        <f t="shared" si="1"/>
        <v>0</v>
      </c>
      <c r="K58" s="62"/>
      <c r="L58" s="36"/>
      <c r="M58" s="36"/>
      <c r="N58" s="36"/>
      <c r="O58" s="36"/>
      <c r="P58" s="36"/>
      <c r="Q58" s="99"/>
      <c r="R58" s="100">
        <f t="shared" si="2"/>
        <v>0</v>
      </c>
      <c r="S58" s="101">
        <f t="shared" si="3"/>
        <v>0</v>
      </c>
      <c r="T58" s="62"/>
      <c r="U58" s="8"/>
      <c r="V58" s="135"/>
      <c r="W58" s="134"/>
      <c r="X58" s="61"/>
    </row>
    <row r="59" spans="1:24">
      <c r="A59" s="1">
        <f t="shared" si="7"/>
        <v>52</v>
      </c>
      <c r="B59" s="15"/>
      <c r="C59" s="10"/>
      <c r="D59" s="11"/>
      <c r="E59" s="36"/>
      <c r="F59" s="36"/>
      <c r="G59" s="37"/>
      <c r="H59" s="38"/>
      <c r="I59" s="38">
        <f t="shared" si="11"/>
        <v>0</v>
      </c>
      <c r="J59" s="63">
        <f t="shared" si="1"/>
        <v>0</v>
      </c>
      <c r="K59" s="62"/>
      <c r="L59" s="36"/>
      <c r="M59" s="36"/>
      <c r="N59" s="36"/>
      <c r="O59" s="36"/>
      <c r="P59" s="36"/>
      <c r="Q59" s="99"/>
      <c r="R59" s="100">
        <f t="shared" si="2"/>
        <v>0</v>
      </c>
      <c r="S59" s="101">
        <f t="shared" si="3"/>
        <v>0</v>
      </c>
      <c r="T59" s="62"/>
      <c r="U59" s="8"/>
      <c r="V59" s="135"/>
      <c r="W59" s="134"/>
      <c r="X59" s="61"/>
    </row>
    <row r="60" spans="1:24" s="2" customFormat="1">
      <c r="B60" s="28" t="s">
        <v>15</v>
      </c>
      <c r="C60" s="29">
        <f t="shared" ref="C60:J60" si="15">SUM(C8:C59)</f>
        <v>38863</v>
      </c>
      <c r="D60" s="30">
        <f t="shared" si="15"/>
        <v>167</v>
      </c>
      <c r="E60" s="54">
        <f t="shared" si="15"/>
        <v>0</v>
      </c>
      <c r="F60" s="54"/>
      <c r="G60" s="55">
        <f t="shared" si="15"/>
        <v>1219</v>
      </c>
      <c r="H60" s="56">
        <f t="shared" si="15"/>
        <v>13</v>
      </c>
      <c r="I60" s="56">
        <f t="shared" si="15"/>
        <v>37644</v>
      </c>
      <c r="J60" s="78">
        <f t="shared" si="15"/>
        <v>154</v>
      </c>
      <c r="L60" s="79">
        <f t="shared" ref="L60:S60" si="16">SUM(L8:L59)</f>
        <v>756</v>
      </c>
      <c r="M60" s="79">
        <f t="shared" si="16"/>
        <v>13</v>
      </c>
      <c r="N60" s="79">
        <f t="shared" si="16"/>
        <v>0</v>
      </c>
      <c r="O60" s="79">
        <f t="shared" si="16"/>
        <v>0</v>
      </c>
      <c r="P60" s="79">
        <f t="shared" si="16"/>
        <v>463</v>
      </c>
      <c r="Q60" s="121">
        <f t="shared" si="16"/>
        <v>0</v>
      </c>
      <c r="R60" s="122">
        <f t="shared" si="16"/>
        <v>1219</v>
      </c>
      <c r="S60" s="123">
        <f t="shared" si="16"/>
        <v>13</v>
      </c>
      <c r="U60" s="29">
        <f t="shared" ref="U60:W60" si="17">SUM(U8:U59)</f>
        <v>8220</v>
      </c>
      <c r="V60" s="152">
        <f t="shared" si="17"/>
        <v>1219</v>
      </c>
      <c r="W60" s="179">
        <f t="shared" si="17"/>
        <v>296326</v>
      </c>
      <c r="X60" s="78"/>
    </row>
    <row r="61" spans="1:24">
      <c r="V61" s="154"/>
    </row>
    <row r="62" spans="1:24" ht="18.75" customHeight="1">
      <c r="G62" s="197" t="s">
        <v>66</v>
      </c>
      <c r="H62" s="57"/>
      <c r="I62" s="57"/>
      <c r="J62" s="80" t="s">
        <v>67</v>
      </c>
      <c r="L62" s="81"/>
      <c r="M62" s="87"/>
      <c r="N62" s="88"/>
      <c r="O62" s="88"/>
      <c r="P62" s="88"/>
      <c r="Q62" s="124"/>
      <c r="R62" s="124"/>
      <c r="S62" s="125"/>
    </row>
    <row r="63" spans="1:24">
      <c r="G63" s="198"/>
      <c r="H63" s="58"/>
      <c r="I63" s="58"/>
      <c r="J63" s="82" t="s">
        <v>68</v>
      </c>
      <c r="L63" s="83"/>
      <c r="M63" s="89"/>
      <c r="N63" s="90"/>
      <c r="O63" s="90"/>
      <c r="P63" s="90"/>
      <c r="Q63" s="126"/>
      <c r="R63" s="126"/>
      <c r="S63" s="127"/>
    </row>
    <row r="64" spans="1:24">
      <c r="G64" s="199"/>
      <c r="H64" s="59"/>
      <c r="I64" s="59"/>
      <c r="J64" s="82" t="s">
        <v>69</v>
      </c>
      <c r="L64" s="84"/>
      <c r="M64" s="91"/>
      <c r="N64" s="92"/>
      <c r="O64" s="92"/>
      <c r="P64" s="92"/>
      <c r="Q64" s="128"/>
      <c r="R64" s="128"/>
      <c r="S64" s="129"/>
    </row>
    <row r="65" spans="2:24">
      <c r="G65" s="200" t="s">
        <v>70</v>
      </c>
      <c r="H65" s="164"/>
      <c r="I65" s="164"/>
      <c r="J65" s="82" t="s">
        <v>67</v>
      </c>
      <c r="L65" s="84"/>
      <c r="M65" s="91"/>
      <c r="N65" s="92"/>
      <c r="O65" s="92"/>
      <c r="P65" s="92"/>
      <c r="Q65" s="128"/>
      <c r="R65" s="128"/>
      <c r="S65" s="129"/>
    </row>
    <row r="66" spans="2:24">
      <c r="G66" s="200"/>
      <c r="H66" s="164"/>
      <c r="I66" s="164"/>
      <c r="J66" s="82" t="s">
        <v>68</v>
      </c>
      <c r="L66" s="83"/>
      <c r="M66" s="89"/>
      <c r="N66" s="90"/>
      <c r="O66" s="90"/>
      <c r="P66" s="90"/>
      <c r="Q66" s="126"/>
      <c r="R66" s="126"/>
      <c r="S66" s="127"/>
    </row>
    <row r="67" spans="2:24">
      <c r="G67" s="201"/>
      <c r="H67" s="165"/>
      <c r="I67" s="165"/>
      <c r="J67" s="167" t="s">
        <v>69</v>
      </c>
      <c r="L67" s="168"/>
      <c r="M67" s="170"/>
      <c r="N67" s="171"/>
      <c r="O67" s="171"/>
      <c r="P67" s="171"/>
      <c r="Q67" s="174"/>
      <c r="R67" s="174"/>
      <c r="S67" s="175"/>
    </row>
    <row r="69" spans="2:24" ht="49.5" customHeight="1">
      <c r="B69" s="159" t="s">
        <v>71</v>
      </c>
      <c r="C69" s="5" t="s">
        <v>4</v>
      </c>
      <c r="D69" s="6"/>
      <c r="E69" s="166" t="s">
        <v>72</v>
      </c>
      <c r="L69" s="169" t="s">
        <v>12</v>
      </c>
      <c r="M69" s="172"/>
      <c r="N69" s="173" t="s">
        <v>13</v>
      </c>
      <c r="O69" s="173"/>
      <c r="P69" s="173" t="s">
        <v>14</v>
      </c>
      <c r="Q69" s="176"/>
      <c r="R69" s="176"/>
      <c r="S69" s="177" t="s">
        <v>73</v>
      </c>
      <c r="X69" s="178" t="s">
        <v>74</v>
      </c>
    </row>
    <row r="70" spans="2:24">
      <c r="B70" s="160" t="s">
        <v>47</v>
      </c>
      <c r="C70" s="161"/>
      <c r="D70" s="161"/>
      <c r="E70" s="163"/>
      <c r="L70" s="161"/>
      <c r="M70" s="161"/>
      <c r="N70" s="161"/>
      <c r="O70" s="161"/>
      <c r="P70" s="161"/>
      <c r="Q70" s="161"/>
      <c r="R70" s="161"/>
      <c r="S70" s="161"/>
      <c r="X70" s="163"/>
    </row>
    <row r="71" spans="2:24">
      <c r="B71" s="162" t="s">
        <v>75</v>
      </c>
      <c r="C71" s="161"/>
      <c r="D71" s="161"/>
      <c r="E71" s="163"/>
      <c r="L71" s="163"/>
      <c r="M71" s="163"/>
      <c r="N71" s="163"/>
      <c r="O71" s="163"/>
      <c r="P71" s="163"/>
      <c r="Q71" s="163"/>
      <c r="R71" s="163"/>
      <c r="S71" s="163"/>
      <c r="X71" s="163"/>
    </row>
    <row r="72" spans="2:24">
      <c r="B72" s="162" t="s">
        <v>76</v>
      </c>
      <c r="C72" s="161"/>
      <c r="D72" s="161"/>
      <c r="E72" s="163"/>
      <c r="L72" s="163"/>
      <c r="M72" s="163"/>
      <c r="N72" s="163"/>
      <c r="O72" s="163"/>
      <c r="P72" s="163"/>
      <c r="Q72" s="163"/>
      <c r="R72" s="163"/>
      <c r="S72" s="163"/>
      <c r="X72" s="163"/>
    </row>
    <row r="73" spans="2:24" ht="11.25" customHeight="1"/>
    <row r="74" spans="2:24">
      <c r="B74" s="162" t="s">
        <v>77</v>
      </c>
      <c r="C74" s="163"/>
      <c r="D74" s="163"/>
      <c r="E74" s="163"/>
      <c r="L74" s="163"/>
      <c r="M74" s="163"/>
      <c r="N74" s="163"/>
      <c r="O74" s="163"/>
      <c r="P74" s="163"/>
      <c r="Q74" s="163"/>
      <c r="R74" s="163"/>
      <c r="S74" s="163"/>
      <c r="X74" s="163"/>
    </row>
    <row r="75" spans="2:24">
      <c r="B75" s="162" t="s">
        <v>75</v>
      </c>
      <c r="C75" s="163"/>
      <c r="D75" s="163"/>
      <c r="E75" s="163"/>
      <c r="L75" s="163"/>
      <c r="M75" s="163"/>
      <c r="N75" s="163"/>
      <c r="O75" s="163"/>
      <c r="P75" s="163"/>
      <c r="Q75" s="163"/>
      <c r="R75" s="163"/>
      <c r="S75" s="163"/>
      <c r="X75" s="163"/>
    </row>
    <row r="76" spans="2:24">
      <c r="B76" s="162" t="s">
        <v>76</v>
      </c>
      <c r="C76" s="163"/>
      <c r="D76" s="163"/>
      <c r="E76" s="163"/>
      <c r="L76" s="163"/>
      <c r="M76" s="163"/>
      <c r="N76" s="163"/>
      <c r="O76" s="163"/>
      <c r="P76" s="163"/>
      <c r="Q76" s="163"/>
      <c r="R76" s="163"/>
      <c r="S76" s="163"/>
      <c r="X76" s="163"/>
    </row>
    <row r="77" spans="2:24" ht="11.25" customHeight="1"/>
    <row r="78" spans="2:24">
      <c r="B78" s="162" t="s">
        <v>78</v>
      </c>
      <c r="C78" s="163"/>
      <c r="D78" s="163"/>
      <c r="E78" s="163"/>
      <c r="L78" s="163"/>
      <c r="M78" s="163"/>
      <c r="N78" s="163"/>
      <c r="O78" s="163"/>
      <c r="P78" s="163"/>
      <c r="Q78" s="163"/>
      <c r="R78" s="163"/>
      <c r="S78" s="163"/>
      <c r="X78" s="163"/>
    </row>
    <row r="79" spans="2:24">
      <c r="B79" s="162" t="s">
        <v>75</v>
      </c>
      <c r="C79" s="163"/>
      <c r="D79" s="163"/>
      <c r="E79" s="163"/>
      <c r="L79" s="163"/>
      <c r="M79" s="163"/>
      <c r="N79" s="163"/>
      <c r="O79" s="163"/>
      <c r="P79" s="163"/>
      <c r="Q79" s="163"/>
      <c r="R79" s="163"/>
      <c r="S79" s="163"/>
      <c r="X79" s="163"/>
    </row>
    <row r="80" spans="2:24">
      <c r="B80" s="162" t="s">
        <v>76</v>
      </c>
      <c r="C80" s="163"/>
      <c r="D80" s="163"/>
      <c r="E80" s="163"/>
      <c r="L80" s="163"/>
      <c r="M80" s="163"/>
      <c r="N80" s="163"/>
      <c r="O80" s="163"/>
      <c r="P80" s="163"/>
      <c r="Q80" s="163"/>
      <c r="R80" s="163"/>
      <c r="S80" s="163"/>
      <c r="X80" s="163"/>
    </row>
    <row r="81" spans="2:24" ht="11.25" customHeight="1"/>
    <row r="82" spans="2:24">
      <c r="B82" s="162" t="s">
        <v>79</v>
      </c>
      <c r="C82" s="163"/>
      <c r="D82" s="163"/>
      <c r="E82" s="163"/>
      <c r="L82" s="163"/>
      <c r="M82" s="163"/>
      <c r="N82" s="163"/>
      <c r="O82" s="163"/>
      <c r="P82" s="163"/>
      <c r="Q82" s="163"/>
      <c r="R82" s="163"/>
      <c r="S82" s="163"/>
      <c r="X82" s="163"/>
    </row>
    <row r="83" spans="2:24">
      <c r="B83" s="162" t="s">
        <v>75</v>
      </c>
      <c r="C83" s="163"/>
      <c r="D83" s="163"/>
      <c r="E83" s="163"/>
      <c r="L83" s="163"/>
      <c r="M83" s="163"/>
      <c r="N83" s="163"/>
      <c r="O83" s="163"/>
      <c r="P83" s="163"/>
      <c r="Q83" s="163"/>
      <c r="R83" s="163"/>
      <c r="S83" s="163"/>
      <c r="X83" s="163"/>
    </row>
    <row r="84" spans="2:24">
      <c r="B84" s="162" t="s">
        <v>76</v>
      </c>
      <c r="C84" s="161"/>
      <c r="D84" s="161"/>
      <c r="E84" s="163"/>
      <c r="L84" s="163"/>
      <c r="M84" s="163"/>
      <c r="N84" s="163"/>
      <c r="O84" s="163"/>
      <c r="P84" s="163"/>
      <c r="Q84" s="163"/>
      <c r="R84" s="163"/>
      <c r="S84" s="163"/>
      <c r="X84" s="163"/>
    </row>
    <row r="85" spans="2:24" ht="11.25" customHeight="1"/>
    <row r="86" spans="2:24">
      <c r="B86" s="162" t="s">
        <v>80</v>
      </c>
      <c r="C86" s="163"/>
      <c r="D86" s="163"/>
      <c r="E86" s="163"/>
      <c r="L86" s="163"/>
      <c r="M86" s="163"/>
      <c r="N86" s="163"/>
      <c r="O86" s="163"/>
      <c r="P86" s="163"/>
      <c r="Q86" s="163"/>
      <c r="R86" s="163"/>
      <c r="S86" s="163"/>
      <c r="X86" s="163"/>
    </row>
    <row r="87" spans="2:24">
      <c r="B87" s="162" t="s">
        <v>75</v>
      </c>
      <c r="C87" s="163"/>
      <c r="D87" s="163"/>
      <c r="E87" s="163"/>
      <c r="L87" s="163"/>
      <c r="M87" s="163"/>
      <c r="N87" s="163"/>
      <c r="O87" s="163"/>
      <c r="P87" s="163"/>
      <c r="Q87" s="163"/>
      <c r="R87" s="163"/>
      <c r="S87" s="163"/>
      <c r="X87" s="163"/>
    </row>
    <row r="88" spans="2:24">
      <c r="B88" s="162" t="s">
        <v>76</v>
      </c>
      <c r="C88" s="163"/>
      <c r="D88" s="163"/>
      <c r="E88" s="163"/>
      <c r="L88" s="163"/>
      <c r="M88" s="163"/>
      <c r="N88" s="163"/>
      <c r="O88" s="163"/>
      <c r="P88" s="163"/>
      <c r="Q88" s="163"/>
      <c r="R88" s="163"/>
      <c r="S88" s="163"/>
      <c r="X88" s="163"/>
    </row>
    <row r="90" spans="2:24">
      <c r="B90" s="162" t="s">
        <v>81</v>
      </c>
      <c r="C90" s="163"/>
      <c r="D90" s="163"/>
      <c r="E90" s="163"/>
      <c r="L90" s="163"/>
      <c r="M90" s="163"/>
      <c r="N90" s="163"/>
      <c r="O90" s="163"/>
      <c r="P90" s="163"/>
      <c r="Q90" s="163"/>
      <c r="R90" s="163"/>
      <c r="S90" s="163"/>
      <c r="X90" s="163"/>
    </row>
  </sheetData>
  <mergeCells count="12">
    <mergeCell ref="G62:G64"/>
    <mergeCell ref="G65:G67"/>
    <mergeCell ref="H4:H5"/>
    <mergeCell ref="I4:I5"/>
    <mergeCell ref="J4:J5"/>
    <mergeCell ref="P1:X1"/>
    <mergeCell ref="E4:F4"/>
    <mergeCell ref="L4:X4"/>
    <mergeCell ref="B4:B5"/>
    <mergeCell ref="C4:C5"/>
    <mergeCell ref="D4:D5"/>
    <mergeCell ref="G4:G5"/>
  </mergeCells>
  <printOptions horizontalCentered="1" verticalCentered="1"/>
  <pageMargins left="0.196850393700787" right="0.196850393700787" top="0.196850393700787" bottom="0.196850393700787" header="0.511811023622047" footer="0.511811023622047"/>
  <pageSetup paperSize="9" scale="51" orientation="portrait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BH90"/>
  <sheetViews>
    <sheetView zoomScaleNormal="100" zoomScaleSheetLayoutView="85" zoomScalePageLayoutView="80" workbookViewId="0">
      <selection activeCell="P1" sqref="P1:X1"/>
    </sheetView>
  </sheetViews>
  <sheetFormatPr defaultColWidth="9.140625" defaultRowHeight="18.75"/>
  <cols>
    <col min="1" max="1" width="5.42578125" style="3" customWidth="1"/>
    <col min="2" max="2" width="12.28515625" style="3" customWidth="1"/>
    <col min="3" max="3" width="12.7109375" style="3" customWidth="1"/>
    <col min="4" max="4" width="8.5703125" style="3" bestFit="1" customWidth="1"/>
    <col min="5" max="5" width="12.140625" style="3" customWidth="1"/>
    <col min="6" max="6" width="9.85546875" style="3" customWidth="1"/>
    <col min="7" max="7" width="11" style="3" customWidth="1"/>
    <col min="8" max="8" width="8" style="3" customWidth="1"/>
    <col min="9" max="9" width="14.7109375" style="3" customWidth="1"/>
    <col min="10" max="10" width="8.28515625" style="3" customWidth="1"/>
    <col min="11" max="11" width="1.28515625" style="3" customWidth="1"/>
    <col min="12" max="12" width="11" style="3" customWidth="1"/>
    <col min="13" max="13" width="7.85546875" style="3" customWidth="1"/>
    <col min="14" max="14" width="11" style="3" customWidth="1"/>
    <col min="15" max="15" width="6.5703125" style="3" customWidth="1"/>
    <col min="16" max="16" width="11" style="3" customWidth="1"/>
    <col min="17" max="17" width="6.5703125" style="3" customWidth="1"/>
    <col min="18" max="18" width="9.5703125" style="3" customWidth="1"/>
    <col min="19" max="19" width="8.140625" style="3" customWidth="1"/>
    <col min="20" max="20" width="1.28515625" style="3" customWidth="1"/>
    <col min="21" max="21" width="12.7109375" style="3" customWidth="1"/>
    <col min="22" max="22" width="12.7109375" style="3" hidden="1" customWidth="1"/>
    <col min="23" max="23" width="14.5703125" style="3" customWidth="1"/>
    <col min="24" max="24" width="11.5703125" style="3" customWidth="1"/>
    <col min="25" max="25" width="2" style="3" customWidth="1"/>
    <col min="26" max="26" width="10.5703125" style="3" customWidth="1"/>
    <col min="27" max="55" width="7.28515625" style="3" customWidth="1"/>
    <col min="56" max="56" width="1.5703125" style="3" customWidth="1"/>
    <col min="57" max="57" width="9.42578125" style="3" customWidth="1"/>
    <col min="58" max="58" width="1.28515625" style="3" customWidth="1"/>
    <col min="59" max="59" width="12.7109375" style="3" customWidth="1"/>
    <col min="60" max="60" width="10.28515625" style="3" customWidth="1"/>
    <col min="61" max="16384" width="9.140625" style="3"/>
  </cols>
  <sheetData>
    <row r="1" spans="1:60">
      <c r="B1" s="2" t="s">
        <v>0</v>
      </c>
      <c r="N1" s="3" t="s">
        <v>1</v>
      </c>
      <c r="P1" s="183">
        <v>46157</v>
      </c>
      <c r="Q1" s="184"/>
      <c r="R1" s="184"/>
      <c r="S1" s="184"/>
      <c r="T1" s="184"/>
      <c r="U1" s="184"/>
      <c r="V1" s="184"/>
      <c r="W1" s="184"/>
      <c r="X1" s="185"/>
    </row>
    <row r="2" spans="1:60" ht="15" customHeight="1">
      <c r="B2" s="2" t="s">
        <v>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4" spans="1:60" ht="19.5" customHeight="1">
      <c r="A4" s="4"/>
      <c r="B4" s="192" t="s">
        <v>3</v>
      </c>
      <c r="C4" s="193" t="s">
        <v>4</v>
      </c>
      <c r="D4" s="194" t="s">
        <v>5</v>
      </c>
      <c r="E4" s="186" t="s">
        <v>6</v>
      </c>
      <c r="F4" s="187"/>
      <c r="G4" s="195" t="s">
        <v>7</v>
      </c>
      <c r="H4" s="202" t="s">
        <v>5</v>
      </c>
      <c r="I4" s="204" t="s">
        <v>8</v>
      </c>
      <c r="J4" s="202" t="s">
        <v>5</v>
      </c>
      <c r="L4" s="188" t="s">
        <v>9</v>
      </c>
      <c r="M4" s="189"/>
      <c r="N4" s="189"/>
      <c r="O4" s="189"/>
      <c r="P4" s="189"/>
      <c r="Q4" s="189"/>
      <c r="R4" s="189"/>
      <c r="S4" s="189"/>
      <c r="T4" s="189"/>
      <c r="U4" s="189"/>
      <c r="V4" s="190"/>
      <c r="W4" s="189"/>
      <c r="X4" s="191"/>
    </row>
    <row r="5" spans="1:60" s="1" customFormat="1" ht="56.25">
      <c r="A5" s="4"/>
      <c r="B5" s="192"/>
      <c r="C5" s="193"/>
      <c r="D5" s="194"/>
      <c r="E5" s="31" t="s">
        <v>10</v>
      </c>
      <c r="F5" s="32" t="s">
        <v>11</v>
      </c>
      <c r="G5" s="196"/>
      <c r="H5" s="203"/>
      <c r="I5" s="205"/>
      <c r="J5" s="203"/>
      <c r="L5" s="60" t="s">
        <v>12</v>
      </c>
      <c r="M5" s="85" t="s">
        <v>5</v>
      </c>
      <c r="N5" s="86" t="s">
        <v>13</v>
      </c>
      <c r="O5" s="85" t="s">
        <v>5</v>
      </c>
      <c r="P5" s="86" t="s">
        <v>14</v>
      </c>
      <c r="Q5" s="85" t="s">
        <v>5</v>
      </c>
      <c r="R5" s="93" t="s">
        <v>15</v>
      </c>
      <c r="S5" s="94" t="s">
        <v>5</v>
      </c>
      <c r="T5" s="95"/>
      <c r="U5" s="130" t="s">
        <v>16</v>
      </c>
      <c r="V5" s="131" t="s">
        <v>17</v>
      </c>
      <c r="W5" s="132" t="s">
        <v>18</v>
      </c>
      <c r="X5" s="133" t="s">
        <v>19</v>
      </c>
      <c r="AL5" s="156"/>
      <c r="AM5" s="156"/>
      <c r="AN5" s="156"/>
      <c r="AO5" s="156"/>
      <c r="AP5" s="156"/>
      <c r="AQ5" s="156"/>
      <c r="AR5" s="156"/>
      <c r="AS5" s="156"/>
      <c r="AT5" s="156"/>
      <c r="AU5" s="156"/>
      <c r="AV5" s="156"/>
      <c r="AW5" s="156"/>
      <c r="AX5" s="156"/>
      <c r="AY5" s="156"/>
      <c r="AZ5" s="156"/>
      <c r="BA5" s="156"/>
      <c r="BB5" s="156"/>
      <c r="BC5" s="156"/>
      <c r="BD5" s="156"/>
      <c r="BE5" s="156"/>
      <c r="BF5" s="156"/>
      <c r="BG5" s="156"/>
      <c r="BH5" s="156"/>
    </row>
    <row r="6" spans="1:60" s="1" customFormat="1">
      <c r="B6" s="7"/>
      <c r="C6" s="8"/>
      <c r="D6" s="9"/>
      <c r="E6" s="33"/>
      <c r="F6" s="33"/>
      <c r="G6" s="34"/>
      <c r="H6" s="35"/>
      <c r="I6" s="35"/>
      <c r="J6" s="61"/>
      <c r="K6" s="62"/>
      <c r="L6" s="33"/>
      <c r="M6" s="33"/>
      <c r="N6" s="33"/>
      <c r="O6" s="33"/>
      <c r="P6" s="33"/>
      <c r="Q6" s="96"/>
      <c r="R6" s="97"/>
      <c r="S6" s="98"/>
      <c r="T6" s="62"/>
      <c r="U6" s="8"/>
      <c r="V6" s="33"/>
      <c r="W6" s="134"/>
      <c r="X6" s="61"/>
      <c r="AL6" s="156"/>
      <c r="AM6" s="156"/>
      <c r="AN6" s="156"/>
      <c r="AO6" s="156"/>
      <c r="AP6" s="156"/>
      <c r="AQ6" s="156"/>
      <c r="AR6" s="156"/>
      <c r="AS6" s="156"/>
      <c r="AT6" s="156"/>
      <c r="AU6" s="156"/>
      <c r="AV6" s="156"/>
      <c r="AW6" s="156"/>
      <c r="AX6" s="156"/>
      <c r="AY6" s="156"/>
      <c r="AZ6" s="156"/>
      <c r="BA6" s="156"/>
      <c r="BB6" s="156"/>
      <c r="BC6" s="156"/>
      <c r="BD6" s="156"/>
      <c r="BE6" s="156"/>
      <c r="BF6" s="156"/>
      <c r="BG6" s="156"/>
      <c r="BH6" s="156"/>
    </row>
    <row r="7" spans="1:60" s="1" customFormat="1">
      <c r="B7" s="7"/>
      <c r="C7" s="8"/>
      <c r="D7" s="9"/>
      <c r="E7" s="33"/>
      <c r="F7" s="33"/>
      <c r="G7" s="34"/>
      <c r="H7" s="35"/>
      <c r="I7" s="35"/>
      <c r="J7" s="61"/>
      <c r="K7" s="62"/>
      <c r="L7" s="33"/>
      <c r="M7" s="33"/>
      <c r="N7" s="33"/>
      <c r="O7" s="33"/>
      <c r="P7" s="33"/>
      <c r="Q7" s="96"/>
      <c r="R7" s="97"/>
      <c r="S7" s="98"/>
      <c r="T7" s="62"/>
      <c r="U7" s="8"/>
      <c r="V7" s="135"/>
      <c r="W7" s="134"/>
      <c r="X7" s="61"/>
      <c r="AL7" s="156"/>
      <c r="AM7" s="156"/>
      <c r="AN7" s="156"/>
      <c r="AO7" s="156"/>
      <c r="AP7" s="156"/>
      <c r="AQ7" s="156"/>
      <c r="AR7" s="156"/>
      <c r="AS7" s="156"/>
      <c r="AT7" s="156"/>
      <c r="AU7" s="156"/>
      <c r="AV7" s="156"/>
      <c r="AW7" s="156"/>
      <c r="AX7" s="156"/>
      <c r="AY7" s="156"/>
      <c r="AZ7" s="156"/>
      <c r="BA7" s="156"/>
      <c r="BB7" s="156"/>
      <c r="BC7" s="156"/>
      <c r="BD7" s="156"/>
      <c r="BE7" s="156"/>
      <c r="BF7" s="156"/>
      <c r="BG7" s="156"/>
      <c r="BH7" s="156"/>
    </row>
    <row r="8" spans="1:60">
      <c r="A8" s="1">
        <v>1</v>
      </c>
      <c r="B8" s="7" t="s">
        <v>20</v>
      </c>
      <c r="C8" s="10">
        <v>11</v>
      </c>
      <c r="D8" s="11">
        <v>19</v>
      </c>
      <c r="E8" s="36"/>
      <c r="F8" s="36"/>
      <c r="G8" s="37"/>
      <c r="H8" s="38"/>
      <c r="I8" s="38">
        <f t="shared" ref="I8:I25" si="0">C8-G8</f>
        <v>11</v>
      </c>
      <c r="J8" s="63">
        <f t="shared" ref="J8:J59" si="1">D8-H8</f>
        <v>19</v>
      </c>
      <c r="K8" s="62"/>
      <c r="L8" s="36"/>
      <c r="M8" s="36"/>
      <c r="N8" s="36"/>
      <c r="O8" s="36"/>
      <c r="P8" s="36"/>
      <c r="Q8" s="99"/>
      <c r="R8" s="100">
        <f t="shared" ref="R8:R59" si="2">L8+N8+P8</f>
        <v>0</v>
      </c>
      <c r="S8" s="101">
        <f t="shared" ref="S8:S59" si="3">M8+O8+Q8</f>
        <v>0</v>
      </c>
      <c r="T8" s="62"/>
      <c r="U8" s="8">
        <f t="shared" ref="U8:U37" si="4">L8*24+N8*24+P8*24</f>
        <v>0</v>
      </c>
      <c r="V8" s="135">
        <f t="shared" ref="V8:V37" si="5">U8/24</f>
        <v>0</v>
      </c>
      <c r="W8" s="134">
        <f t="shared" ref="W8:W37" si="6">I8*24+J8</f>
        <v>283</v>
      </c>
      <c r="X8" s="61"/>
      <c r="AL8" s="157"/>
      <c r="AM8" s="157"/>
      <c r="AN8" s="157"/>
      <c r="AO8" s="157"/>
      <c r="AP8" s="157"/>
      <c r="AQ8" s="157"/>
      <c r="AR8" s="157"/>
      <c r="AS8" s="157"/>
      <c r="AT8" s="157"/>
      <c r="AU8" s="157"/>
      <c r="AV8" s="157"/>
      <c r="AW8" s="157"/>
      <c r="AX8" s="157"/>
      <c r="AY8" s="157"/>
      <c r="AZ8" s="157"/>
      <c r="BA8" s="157"/>
      <c r="BB8" s="157"/>
      <c r="BC8" s="157"/>
      <c r="BD8" s="157"/>
      <c r="BE8" s="157"/>
      <c r="BF8" s="157"/>
      <c r="BG8" s="157"/>
      <c r="BH8" s="157"/>
    </row>
    <row r="9" spans="1:60">
      <c r="A9" s="1">
        <f t="shared" ref="A9:A59" si="7">A8+1</f>
        <v>2</v>
      </c>
      <c r="B9" s="12" t="s">
        <v>21</v>
      </c>
      <c r="C9" s="13">
        <v>76</v>
      </c>
      <c r="D9" s="14"/>
      <c r="E9" s="39"/>
      <c r="F9" s="39"/>
      <c r="G9" s="40"/>
      <c r="H9" s="41"/>
      <c r="I9" s="40">
        <f t="shared" si="0"/>
        <v>76</v>
      </c>
      <c r="J9" s="64">
        <f t="shared" si="1"/>
        <v>0</v>
      </c>
      <c r="K9" s="65"/>
      <c r="L9" s="51"/>
      <c r="M9" s="51"/>
      <c r="N9" s="51"/>
      <c r="O9" s="51"/>
      <c r="P9" s="51"/>
      <c r="Q9" s="102"/>
      <c r="R9" s="103">
        <f t="shared" si="2"/>
        <v>0</v>
      </c>
      <c r="S9" s="104">
        <f t="shared" si="3"/>
        <v>0</v>
      </c>
      <c r="T9" s="65"/>
      <c r="U9" s="136">
        <f t="shared" si="4"/>
        <v>0</v>
      </c>
      <c r="V9" s="137">
        <f t="shared" si="5"/>
        <v>0</v>
      </c>
      <c r="W9" s="138">
        <f t="shared" si="6"/>
        <v>1824</v>
      </c>
      <c r="X9" s="139"/>
      <c r="AL9" s="157"/>
      <c r="AM9" s="157"/>
      <c r="AN9" s="157"/>
      <c r="AO9" s="157"/>
      <c r="AP9" s="157"/>
      <c r="AQ9" s="157"/>
      <c r="AR9" s="157"/>
      <c r="AS9" s="157"/>
      <c r="AT9" s="157"/>
      <c r="AU9" s="157"/>
      <c r="AV9" s="157"/>
      <c r="AW9" s="157"/>
      <c r="AX9" s="157"/>
      <c r="AY9" s="157"/>
      <c r="AZ9" s="157"/>
      <c r="BA9" s="157"/>
      <c r="BB9" s="157"/>
      <c r="BC9" s="157"/>
      <c r="BD9" s="157"/>
      <c r="BE9" s="157"/>
      <c r="BF9" s="157"/>
      <c r="BG9" s="157"/>
      <c r="BH9" s="157"/>
    </row>
    <row r="10" spans="1:60">
      <c r="A10" s="1">
        <f t="shared" si="7"/>
        <v>3</v>
      </c>
      <c r="B10" s="7" t="s">
        <v>22</v>
      </c>
      <c r="C10" s="10">
        <v>44</v>
      </c>
      <c r="D10" s="11"/>
      <c r="E10" s="36"/>
      <c r="F10" s="36"/>
      <c r="G10" s="37"/>
      <c r="H10" s="38"/>
      <c r="I10" s="38">
        <f t="shared" si="0"/>
        <v>44</v>
      </c>
      <c r="J10" s="66">
        <f t="shared" si="1"/>
        <v>0</v>
      </c>
      <c r="K10" s="62"/>
      <c r="L10" s="36"/>
      <c r="M10" s="36"/>
      <c r="N10" s="36"/>
      <c r="O10" s="36"/>
      <c r="P10" s="36"/>
      <c r="Q10" s="99"/>
      <c r="R10" s="105">
        <f t="shared" si="2"/>
        <v>0</v>
      </c>
      <c r="S10" s="106">
        <f t="shared" si="3"/>
        <v>0</v>
      </c>
      <c r="T10" s="62"/>
      <c r="U10" s="8">
        <f t="shared" si="4"/>
        <v>0</v>
      </c>
      <c r="V10" s="140">
        <f t="shared" si="5"/>
        <v>0</v>
      </c>
      <c r="W10" s="134">
        <f t="shared" si="6"/>
        <v>1056</v>
      </c>
      <c r="X10" s="61"/>
      <c r="AL10" s="157"/>
      <c r="AM10" s="157"/>
      <c r="AN10" s="157"/>
      <c r="AO10" s="157"/>
      <c r="AP10" s="157"/>
      <c r="AQ10" s="157"/>
      <c r="AR10" s="157"/>
      <c r="AS10" s="157"/>
      <c r="AT10" s="157"/>
      <c r="AU10" s="157"/>
      <c r="AV10" s="157"/>
      <c r="AW10" s="157"/>
      <c r="AX10" s="157"/>
      <c r="AY10" s="157"/>
      <c r="AZ10" s="157"/>
      <c r="BA10" s="157"/>
      <c r="BB10" s="157"/>
      <c r="BC10" s="157"/>
      <c r="BD10" s="157"/>
      <c r="BE10" s="157"/>
      <c r="BF10" s="157"/>
      <c r="BG10" s="157"/>
      <c r="BH10" s="157"/>
    </row>
    <row r="11" spans="1:60">
      <c r="A11" s="1">
        <f t="shared" si="7"/>
        <v>4</v>
      </c>
      <c r="B11" s="15" t="s">
        <v>23</v>
      </c>
      <c r="C11" s="10">
        <v>43</v>
      </c>
      <c r="D11" s="11"/>
      <c r="E11" s="36"/>
      <c r="F11" s="36"/>
      <c r="G11" s="37"/>
      <c r="H11" s="38"/>
      <c r="I11" s="38">
        <f t="shared" si="0"/>
        <v>43</v>
      </c>
      <c r="J11" s="63">
        <f t="shared" si="1"/>
        <v>0</v>
      </c>
      <c r="K11" s="62"/>
      <c r="L11" s="36"/>
      <c r="M11" s="36"/>
      <c r="N11" s="36"/>
      <c r="O11" s="36"/>
      <c r="P11" s="36"/>
      <c r="Q11" s="99"/>
      <c r="R11" s="100">
        <f t="shared" si="2"/>
        <v>0</v>
      </c>
      <c r="S11" s="101">
        <f t="shared" si="3"/>
        <v>0</v>
      </c>
      <c r="T11" s="62"/>
      <c r="U11" s="8">
        <f t="shared" si="4"/>
        <v>0</v>
      </c>
      <c r="V11" s="135">
        <f t="shared" si="5"/>
        <v>0</v>
      </c>
      <c r="W11" s="134">
        <f t="shared" si="6"/>
        <v>1032</v>
      </c>
      <c r="X11" s="61"/>
      <c r="AL11" s="157"/>
      <c r="AM11" s="157"/>
      <c r="AN11" s="157"/>
      <c r="AO11" s="157"/>
      <c r="AP11" s="157"/>
      <c r="AQ11" s="157"/>
      <c r="AR11" s="157"/>
      <c r="AS11" s="157"/>
      <c r="AT11" s="157"/>
      <c r="AU11" s="157"/>
      <c r="AV11" s="157"/>
      <c r="AW11" s="157"/>
      <c r="AX11" s="157"/>
      <c r="AY11" s="157"/>
      <c r="AZ11" s="157"/>
      <c r="BA11" s="157"/>
      <c r="BB11" s="157"/>
      <c r="BC11" s="157"/>
      <c r="BD11" s="157"/>
      <c r="BE11" s="157"/>
      <c r="BF11" s="157"/>
      <c r="BG11" s="157"/>
      <c r="BH11" s="157"/>
    </row>
    <row r="12" spans="1:60">
      <c r="A12" s="1">
        <f t="shared" si="7"/>
        <v>5</v>
      </c>
      <c r="B12" s="15" t="s">
        <v>24</v>
      </c>
      <c r="C12" s="10"/>
      <c r="D12" s="11">
        <v>2</v>
      </c>
      <c r="E12" s="36"/>
      <c r="F12" s="36"/>
      <c r="G12" s="37"/>
      <c r="H12" s="38"/>
      <c r="I12" s="38">
        <f t="shared" si="0"/>
        <v>0</v>
      </c>
      <c r="J12" s="63">
        <f t="shared" si="1"/>
        <v>2</v>
      </c>
      <c r="K12" s="62"/>
      <c r="L12" s="36"/>
      <c r="M12" s="36"/>
      <c r="N12" s="36"/>
      <c r="O12" s="36"/>
      <c r="P12" s="36"/>
      <c r="Q12" s="99"/>
      <c r="R12" s="100">
        <f t="shared" si="2"/>
        <v>0</v>
      </c>
      <c r="S12" s="101">
        <f t="shared" si="3"/>
        <v>0</v>
      </c>
      <c r="T12" s="62"/>
      <c r="U12" s="8">
        <f t="shared" si="4"/>
        <v>0</v>
      </c>
      <c r="V12" s="135">
        <f t="shared" si="5"/>
        <v>0</v>
      </c>
      <c r="W12" s="134">
        <f t="shared" si="6"/>
        <v>2</v>
      </c>
      <c r="X12" s="61"/>
      <c r="AL12" s="157"/>
      <c r="AM12" s="157"/>
      <c r="AN12" s="157"/>
      <c r="AO12" s="157"/>
      <c r="AP12" s="157"/>
      <c r="AQ12" s="157"/>
      <c r="AR12" s="157"/>
      <c r="AS12" s="157"/>
      <c r="AT12" s="157"/>
      <c r="AU12" s="157"/>
      <c r="AV12" s="157"/>
      <c r="AW12" s="157"/>
      <c r="AX12" s="157"/>
      <c r="AY12" s="157"/>
      <c r="AZ12" s="157"/>
      <c r="BA12" s="157"/>
      <c r="BB12" s="157"/>
      <c r="BC12" s="157"/>
      <c r="BD12" s="157"/>
      <c r="BE12" s="157"/>
      <c r="BF12" s="157"/>
      <c r="BG12" s="157"/>
      <c r="BH12" s="157"/>
    </row>
    <row r="13" spans="1:60" s="2" customFormat="1">
      <c r="A13" s="1">
        <f t="shared" si="7"/>
        <v>6</v>
      </c>
      <c r="B13" s="12" t="s">
        <v>25</v>
      </c>
      <c r="C13" s="13">
        <v>3319</v>
      </c>
      <c r="D13" s="14">
        <v>6</v>
      </c>
      <c r="E13" s="39"/>
      <c r="F13" s="39"/>
      <c r="G13" s="40">
        <v>36</v>
      </c>
      <c r="H13" s="41">
        <v>22</v>
      </c>
      <c r="I13" s="44">
        <f t="shared" si="0"/>
        <v>3283</v>
      </c>
      <c r="J13" s="64">
        <f t="shared" si="1"/>
        <v>-16</v>
      </c>
      <c r="K13" s="67"/>
      <c r="L13" s="51">
        <v>5</v>
      </c>
      <c r="M13" s="51"/>
      <c r="N13" s="51">
        <v>10</v>
      </c>
      <c r="O13" s="51">
        <v>11</v>
      </c>
      <c r="P13" s="51">
        <v>21</v>
      </c>
      <c r="Q13" s="102">
        <v>11</v>
      </c>
      <c r="R13" s="107">
        <f t="shared" si="2"/>
        <v>36</v>
      </c>
      <c r="S13" s="104">
        <f t="shared" si="3"/>
        <v>22</v>
      </c>
      <c r="T13" s="67"/>
      <c r="U13" s="136">
        <f t="shared" si="4"/>
        <v>864</v>
      </c>
      <c r="V13" s="141">
        <f t="shared" si="5"/>
        <v>36</v>
      </c>
      <c r="W13" s="138">
        <f t="shared" si="6"/>
        <v>78776</v>
      </c>
      <c r="X13" s="139"/>
      <c r="Y13" s="3"/>
      <c r="AD13" s="3"/>
      <c r="AG13" s="3"/>
      <c r="AH13" s="3"/>
      <c r="AI13" s="3"/>
      <c r="AJ13" s="3"/>
      <c r="AK13" s="3"/>
      <c r="AL13" s="157"/>
      <c r="AM13" s="157"/>
      <c r="AN13" s="157"/>
      <c r="AO13" s="157"/>
      <c r="AP13" s="157"/>
      <c r="AQ13" s="157"/>
      <c r="AR13" s="157"/>
      <c r="AS13" s="157"/>
      <c r="AT13" s="157"/>
      <c r="AU13" s="157"/>
      <c r="AV13" s="157"/>
      <c r="AW13" s="157"/>
      <c r="AX13" s="157"/>
      <c r="AY13" s="157"/>
      <c r="AZ13" s="157"/>
      <c r="BA13" s="157"/>
      <c r="BB13" s="157"/>
      <c r="BC13" s="157"/>
      <c r="BD13" s="157"/>
      <c r="BE13" s="157"/>
      <c r="BF13" s="157"/>
      <c r="BG13" s="157"/>
      <c r="BH13" s="157"/>
    </row>
    <row r="14" spans="1:60">
      <c r="A14" s="1">
        <f t="shared" si="7"/>
        <v>7</v>
      </c>
      <c r="B14" s="7" t="s">
        <v>26</v>
      </c>
      <c r="C14" s="10">
        <v>3</v>
      </c>
      <c r="D14" s="11">
        <v>16</v>
      </c>
      <c r="E14" s="36"/>
      <c r="F14" s="36"/>
      <c r="G14" s="37"/>
      <c r="H14" s="38"/>
      <c r="I14" s="68">
        <f t="shared" si="0"/>
        <v>3</v>
      </c>
      <c r="J14" s="66">
        <f t="shared" si="1"/>
        <v>16</v>
      </c>
      <c r="K14" s="62"/>
      <c r="L14" s="36"/>
      <c r="M14" s="36"/>
      <c r="N14" s="36"/>
      <c r="O14" s="36"/>
      <c r="P14" s="36"/>
      <c r="Q14" s="99"/>
      <c r="R14" s="108">
        <f t="shared" si="2"/>
        <v>0</v>
      </c>
      <c r="S14" s="106">
        <f t="shared" si="3"/>
        <v>0</v>
      </c>
      <c r="T14" s="62"/>
      <c r="U14" s="8">
        <f t="shared" si="4"/>
        <v>0</v>
      </c>
      <c r="V14" s="33">
        <f t="shared" si="5"/>
        <v>0</v>
      </c>
      <c r="W14" s="134">
        <f t="shared" si="6"/>
        <v>88</v>
      </c>
      <c r="X14" s="61"/>
      <c r="AL14" s="157"/>
      <c r="AM14" s="157"/>
      <c r="AN14" s="157"/>
      <c r="AO14" s="157"/>
      <c r="AP14" s="157"/>
      <c r="AQ14" s="157"/>
      <c r="AR14" s="157"/>
      <c r="AS14" s="157"/>
      <c r="AT14" s="157"/>
      <c r="AU14" s="157"/>
      <c r="AV14" s="157"/>
      <c r="AW14" s="157"/>
      <c r="AX14" s="157"/>
      <c r="AY14" s="157"/>
      <c r="AZ14" s="157"/>
      <c r="BA14" s="157"/>
      <c r="BB14" s="157"/>
      <c r="BC14" s="157"/>
      <c r="BD14" s="157"/>
      <c r="BE14" s="157"/>
      <c r="BF14" s="157"/>
      <c r="BG14" s="157"/>
      <c r="BH14" s="157"/>
    </row>
    <row r="15" spans="1:60">
      <c r="A15" s="1">
        <f t="shared" si="7"/>
        <v>8</v>
      </c>
      <c r="B15" s="15" t="s">
        <v>27</v>
      </c>
      <c r="C15" s="10">
        <v>4</v>
      </c>
      <c r="D15" s="11"/>
      <c r="E15" s="36"/>
      <c r="F15" s="36"/>
      <c r="G15" s="37"/>
      <c r="H15" s="38"/>
      <c r="I15" s="38">
        <f t="shared" si="0"/>
        <v>4</v>
      </c>
      <c r="J15" s="63">
        <f t="shared" si="1"/>
        <v>0</v>
      </c>
      <c r="K15" s="62"/>
      <c r="L15" s="36"/>
      <c r="M15" s="36"/>
      <c r="N15" s="36"/>
      <c r="O15" s="36"/>
      <c r="P15" s="36"/>
      <c r="Q15" s="99"/>
      <c r="R15" s="100">
        <f t="shared" si="2"/>
        <v>0</v>
      </c>
      <c r="S15" s="101">
        <f t="shared" si="3"/>
        <v>0</v>
      </c>
      <c r="T15" s="62"/>
      <c r="U15" s="8">
        <f t="shared" si="4"/>
        <v>0</v>
      </c>
      <c r="V15" s="135">
        <f t="shared" si="5"/>
        <v>0</v>
      </c>
      <c r="W15" s="134">
        <f t="shared" si="6"/>
        <v>96</v>
      </c>
      <c r="X15" s="61"/>
      <c r="AL15" s="157"/>
      <c r="AM15" s="157"/>
      <c r="AN15" s="157"/>
      <c r="AO15" s="157"/>
      <c r="AP15" s="157"/>
      <c r="AQ15" s="157"/>
      <c r="AR15" s="157"/>
      <c r="AS15" s="157"/>
      <c r="AT15" s="157"/>
      <c r="AU15" s="157"/>
      <c r="AV15" s="157"/>
      <c r="AW15" s="157"/>
      <c r="AX15" s="157"/>
      <c r="AY15" s="157"/>
      <c r="AZ15" s="157"/>
      <c r="BA15" s="157"/>
      <c r="BB15" s="157"/>
      <c r="BC15" s="157"/>
      <c r="BD15" s="157"/>
      <c r="BE15" s="157"/>
      <c r="BF15" s="157"/>
      <c r="BG15" s="157"/>
      <c r="BH15" s="157"/>
    </row>
    <row r="16" spans="1:60">
      <c r="A16" s="1">
        <f t="shared" si="7"/>
        <v>9</v>
      </c>
      <c r="B16" s="15" t="s">
        <v>28</v>
      </c>
      <c r="C16" s="10">
        <v>1</v>
      </c>
      <c r="D16" s="11"/>
      <c r="E16" s="36"/>
      <c r="F16" s="36"/>
      <c r="G16" s="37"/>
      <c r="H16" s="38"/>
      <c r="I16" s="38">
        <f t="shared" si="0"/>
        <v>1</v>
      </c>
      <c r="J16" s="63">
        <f t="shared" si="1"/>
        <v>0</v>
      </c>
      <c r="K16" s="62"/>
      <c r="L16" s="36"/>
      <c r="M16" s="36"/>
      <c r="N16" s="36"/>
      <c r="O16" s="36"/>
      <c r="P16" s="36"/>
      <c r="Q16" s="99"/>
      <c r="R16" s="100">
        <f t="shared" si="2"/>
        <v>0</v>
      </c>
      <c r="S16" s="101">
        <f t="shared" si="3"/>
        <v>0</v>
      </c>
      <c r="T16" s="62"/>
      <c r="U16" s="8">
        <f t="shared" si="4"/>
        <v>0</v>
      </c>
      <c r="V16" s="135">
        <f t="shared" si="5"/>
        <v>0</v>
      </c>
      <c r="W16" s="134">
        <f t="shared" si="6"/>
        <v>24</v>
      </c>
      <c r="X16" s="61"/>
      <c r="AL16" s="157"/>
      <c r="AM16" s="157"/>
      <c r="AN16" s="157"/>
      <c r="AO16" s="157"/>
      <c r="AP16" s="157"/>
      <c r="AQ16" s="157"/>
      <c r="AR16" s="157"/>
      <c r="AS16" s="157"/>
      <c r="AT16" s="157"/>
      <c r="AU16" s="157"/>
      <c r="AV16" s="157"/>
      <c r="AW16" s="157"/>
      <c r="AX16" s="157"/>
      <c r="AY16" s="157"/>
      <c r="AZ16" s="157"/>
      <c r="BA16" s="157"/>
      <c r="BB16" s="157"/>
      <c r="BC16" s="157"/>
      <c r="BD16" s="157"/>
      <c r="BE16" s="157"/>
      <c r="BF16" s="157"/>
      <c r="BG16" s="157"/>
      <c r="BH16" s="157"/>
    </row>
    <row r="17" spans="1:60">
      <c r="A17" s="1">
        <f t="shared" si="7"/>
        <v>10</v>
      </c>
      <c r="B17" s="15" t="s">
        <v>29</v>
      </c>
      <c r="C17" s="10"/>
      <c r="D17" s="11"/>
      <c r="E17" s="36"/>
      <c r="F17" s="36"/>
      <c r="G17" s="37"/>
      <c r="H17" s="38"/>
      <c r="I17" s="38">
        <f t="shared" si="0"/>
        <v>0</v>
      </c>
      <c r="J17" s="63">
        <f t="shared" si="1"/>
        <v>0</v>
      </c>
      <c r="K17" s="62"/>
      <c r="L17" s="36"/>
      <c r="M17" s="36"/>
      <c r="N17" s="36"/>
      <c r="O17" s="36"/>
      <c r="P17" s="36"/>
      <c r="Q17" s="99"/>
      <c r="R17" s="100">
        <f t="shared" si="2"/>
        <v>0</v>
      </c>
      <c r="S17" s="101">
        <f t="shared" si="3"/>
        <v>0</v>
      </c>
      <c r="T17" s="62"/>
      <c r="U17" s="8">
        <f t="shared" si="4"/>
        <v>0</v>
      </c>
      <c r="V17" s="135">
        <f t="shared" si="5"/>
        <v>0</v>
      </c>
      <c r="W17" s="134">
        <f t="shared" si="6"/>
        <v>0</v>
      </c>
      <c r="X17" s="61"/>
      <c r="AL17" s="157"/>
      <c r="AM17" s="157"/>
      <c r="AN17" s="157"/>
      <c r="AO17" s="157"/>
      <c r="AP17" s="157"/>
      <c r="AQ17" s="157"/>
      <c r="AR17" s="157"/>
      <c r="AS17" s="157"/>
      <c r="AT17" s="157"/>
      <c r="AU17" s="157"/>
      <c r="AV17" s="157"/>
      <c r="AW17" s="157"/>
      <c r="AX17" s="157"/>
      <c r="AY17" s="157"/>
      <c r="AZ17" s="157"/>
      <c r="BA17" s="157"/>
      <c r="BB17" s="157"/>
      <c r="BC17" s="157"/>
      <c r="BD17" s="157"/>
      <c r="BE17" s="157"/>
      <c r="BF17" s="157"/>
      <c r="BG17" s="157"/>
      <c r="BH17" s="157"/>
    </row>
    <row r="18" spans="1:60">
      <c r="A18" s="1">
        <f t="shared" si="7"/>
        <v>11</v>
      </c>
      <c r="B18" s="15" t="s">
        <v>30</v>
      </c>
      <c r="C18" s="10">
        <v>3</v>
      </c>
      <c r="D18" s="11"/>
      <c r="E18" s="36"/>
      <c r="F18" s="36"/>
      <c r="G18" s="37"/>
      <c r="H18" s="38"/>
      <c r="I18" s="38">
        <f t="shared" si="0"/>
        <v>3</v>
      </c>
      <c r="J18" s="63">
        <f t="shared" si="1"/>
        <v>0</v>
      </c>
      <c r="K18" s="62"/>
      <c r="L18" s="36"/>
      <c r="M18" s="36"/>
      <c r="N18" s="36"/>
      <c r="O18" s="36"/>
      <c r="P18" s="36"/>
      <c r="Q18" s="99"/>
      <c r="R18" s="100">
        <f t="shared" si="2"/>
        <v>0</v>
      </c>
      <c r="S18" s="101">
        <f t="shared" si="3"/>
        <v>0</v>
      </c>
      <c r="T18" s="62"/>
      <c r="U18" s="8">
        <f t="shared" si="4"/>
        <v>0</v>
      </c>
      <c r="V18" s="135">
        <f t="shared" si="5"/>
        <v>0</v>
      </c>
      <c r="W18" s="134">
        <f t="shared" si="6"/>
        <v>72</v>
      </c>
      <c r="X18" s="61"/>
      <c r="AL18" s="157"/>
      <c r="AM18" s="157"/>
      <c r="AN18" s="157"/>
      <c r="AO18" s="157"/>
      <c r="AP18" s="157"/>
      <c r="AQ18" s="157"/>
      <c r="AR18" s="157"/>
      <c r="AS18" s="157"/>
      <c r="AT18" s="157"/>
      <c r="AU18" s="157"/>
      <c r="AV18" s="157"/>
      <c r="AW18" s="157"/>
      <c r="AX18" s="157"/>
      <c r="AY18" s="157"/>
      <c r="AZ18" s="157"/>
      <c r="BA18" s="157"/>
      <c r="BB18" s="157"/>
      <c r="BC18" s="157"/>
      <c r="BD18" s="157"/>
      <c r="BE18" s="157"/>
      <c r="BF18" s="157"/>
      <c r="BG18" s="157"/>
      <c r="BH18" s="157"/>
    </row>
    <row r="19" spans="1:60" ht="18.75" hidden="1" customHeight="1">
      <c r="A19" s="1">
        <f t="shared" si="7"/>
        <v>12</v>
      </c>
      <c r="B19" s="15" t="s">
        <v>31</v>
      </c>
      <c r="C19" s="10"/>
      <c r="D19" s="11"/>
      <c r="E19" s="36"/>
      <c r="F19" s="36"/>
      <c r="G19" s="37"/>
      <c r="H19" s="38"/>
      <c r="I19" s="38">
        <f t="shared" si="0"/>
        <v>0</v>
      </c>
      <c r="J19" s="63">
        <f t="shared" si="1"/>
        <v>0</v>
      </c>
      <c r="K19" s="62"/>
      <c r="L19" s="36"/>
      <c r="M19" s="36"/>
      <c r="N19" s="36"/>
      <c r="O19" s="36"/>
      <c r="P19" s="36"/>
      <c r="Q19" s="99"/>
      <c r="R19" s="100">
        <f t="shared" si="2"/>
        <v>0</v>
      </c>
      <c r="S19" s="101">
        <f t="shared" si="3"/>
        <v>0</v>
      </c>
      <c r="T19" s="62"/>
      <c r="U19" s="8">
        <f t="shared" si="4"/>
        <v>0</v>
      </c>
      <c r="V19" s="135">
        <f t="shared" si="5"/>
        <v>0</v>
      </c>
      <c r="W19" s="134">
        <f t="shared" si="6"/>
        <v>0</v>
      </c>
      <c r="X19" s="61"/>
      <c r="AL19" s="157"/>
      <c r="AM19" s="157"/>
      <c r="AN19" s="157"/>
      <c r="AO19" s="157"/>
      <c r="AP19" s="157"/>
      <c r="AQ19" s="157"/>
      <c r="AR19" s="157"/>
      <c r="AS19" s="157"/>
      <c r="AT19" s="157"/>
      <c r="AU19" s="157"/>
      <c r="AV19" s="157"/>
      <c r="AW19" s="157"/>
      <c r="AX19" s="157"/>
      <c r="AY19" s="157"/>
      <c r="AZ19" s="157"/>
      <c r="BA19" s="157"/>
      <c r="BB19" s="157"/>
      <c r="BC19" s="157"/>
      <c r="BD19" s="157"/>
      <c r="BE19" s="157"/>
      <c r="BF19" s="157"/>
      <c r="BG19" s="157"/>
      <c r="BH19" s="157"/>
    </row>
    <row r="20" spans="1:60">
      <c r="A20" s="1">
        <f t="shared" si="7"/>
        <v>13</v>
      </c>
      <c r="B20" s="15" t="s">
        <v>32</v>
      </c>
      <c r="C20" s="10">
        <v>4</v>
      </c>
      <c r="D20" s="11">
        <v>20</v>
      </c>
      <c r="E20" s="36"/>
      <c r="F20" s="36"/>
      <c r="G20" s="37"/>
      <c r="H20" s="38"/>
      <c r="I20" s="38">
        <f t="shared" si="0"/>
        <v>4</v>
      </c>
      <c r="J20" s="63">
        <f t="shared" si="1"/>
        <v>20</v>
      </c>
      <c r="K20" s="62"/>
      <c r="L20" s="36"/>
      <c r="M20" s="36"/>
      <c r="N20" s="36"/>
      <c r="O20" s="36"/>
      <c r="P20" s="36"/>
      <c r="Q20" s="99"/>
      <c r="R20" s="100">
        <f t="shared" si="2"/>
        <v>0</v>
      </c>
      <c r="S20" s="101">
        <f t="shared" si="3"/>
        <v>0</v>
      </c>
      <c r="T20" s="62"/>
      <c r="U20" s="8">
        <f t="shared" si="4"/>
        <v>0</v>
      </c>
      <c r="V20" s="135">
        <f t="shared" si="5"/>
        <v>0</v>
      </c>
      <c r="W20" s="134">
        <f t="shared" si="6"/>
        <v>116</v>
      </c>
      <c r="X20" s="61"/>
      <c r="AL20" s="157"/>
      <c r="AM20" s="157"/>
      <c r="AN20" s="157"/>
      <c r="AO20" s="157"/>
      <c r="AP20" s="157"/>
      <c r="AQ20" s="157"/>
      <c r="AR20" s="157"/>
      <c r="AS20" s="157"/>
      <c r="AT20" s="157"/>
      <c r="AU20" s="157"/>
      <c r="AV20" s="157"/>
      <c r="AW20" s="157"/>
      <c r="AX20" s="157"/>
      <c r="AY20" s="157"/>
      <c r="AZ20" s="157"/>
      <c r="BA20" s="157"/>
      <c r="BB20" s="157"/>
      <c r="BC20" s="157"/>
      <c r="BD20" s="157"/>
      <c r="BE20" s="157"/>
      <c r="BF20" s="157"/>
      <c r="BG20" s="157"/>
      <c r="BH20" s="157"/>
    </row>
    <row r="21" spans="1:60">
      <c r="A21" s="1">
        <f t="shared" si="7"/>
        <v>14</v>
      </c>
      <c r="B21" s="15" t="s">
        <v>33</v>
      </c>
      <c r="C21" s="10">
        <v>7</v>
      </c>
      <c r="D21" s="11">
        <v>16</v>
      </c>
      <c r="E21" s="36"/>
      <c r="F21" s="36"/>
      <c r="G21" s="37"/>
      <c r="H21" s="38"/>
      <c r="I21" s="38">
        <f t="shared" si="0"/>
        <v>7</v>
      </c>
      <c r="J21" s="63">
        <f t="shared" si="1"/>
        <v>16</v>
      </c>
      <c r="K21" s="62"/>
      <c r="L21" s="36"/>
      <c r="M21" s="36"/>
      <c r="N21" s="36"/>
      <c r="O21" s="36"/>
      <c r="P21" s="36"/>
      <c r="Q21" s="99"/>
      <c r="R21" s="100">
        <f t="shared" si="2"/>
        <v>0</v>
      </c>
      <c r="S21" s="101">
        <f t="shared" si="3"/>
        <v>0</v>
      </c>
      <c r="T21" s="62"/>
      <c r="U21" s="8">
        <f t="shared" si="4"/>
        <v>0</v>
      </c>
      <c r="V21" s="135">
        <f t="shared" si="5"/>
        <v>0</v>
      </c>
      <c r="W21" s="134">
        <f t="shared" si="6"/>
        <v>184</v>
      </c>
      <c r="X21" s="61"/>
      <c r="AL21" s="157"/>
      <c r="AM21" s="157"/>
      <c r="AN21" s="157"/>
      <c r="AO21" s="157"/>
      <c r="AP21" s="157"/>
      <c r="AQ21" s="157"/>
      <c r="AR21" s="157"/>
      <c r="AS21" s="157"/>
      <c r="AT21" s="157"/>
      <c r="AU21" s="157"/>
      <c r="AV21" s="157"/>
      <c r="AW21" s="157"/>
      <c r="AX21" s="157"/>
      <c r="AY21" s="157"/>
      <c r="AZ21" s="157"/>
      <c r="BA21" s="157"/>
      <c r="BB21" s="157"/>
      <c r="BC21" s="157"/>
      <c r="BD21" s="157"/>
      <c r="BE21" s="157"/>
      <c r="BF21" s="157"/>
      <c r="BG21" s="157"/>
      <c r="BH21" s="157"/>
    </row>
    <row r="22" spans="1:60">
      <c r="A22" s="1">
        <f t="shared" si="7"/>
        <v>15</v>
      </c>
      <c r="B22" s="15" t="s">
        <v>34</v>
      </c>
      <c r="C22" s="10">
        <v>4</v>
      </c>
      <c r="D22" s="11"/>
      <c r="E22" s="36"/>
      <c r="F22" s="36"/>
      <c r="G22" s="37"/>
      <c r="H22" s="38"/>
      <c r="I22" s="38">
        <f t="shared" si="0"/>
        <v>4</v>
      </c>
      <c r="J22" s="63">
        <f t="shared" si="1"/>
        <v>0</v>
      </c>
      <c r="K22" s="62"/>
      <c r="L22" s="36"/>
      <c r="M22" s="36"/>
      <c r="N22" s="36"/>
      <c r="O22" s="36"/>
      <c r="P22" s="36"/>
      <c r="Q22" s="99"/>
      <c r="R22" s="100">
        <f t="shared" si="2"/>
        <v>0</v>
      </c>
      <c r="S22" s="101">
        <f t="shared" si="3"/>
        <v>0</v>
      </c>
      <c r="T22" s="62"/>
      <c r="U22" s="8">
        <f t="shared" si="4"/>
        <v>0</v>
      </c>
      <c r="V22" s="135">
        <f t="shared" si="5"/>
        <v>0</v>
      </c>
      <c r="W22" s="134">
        <f t="shared" si="6"/>
        <v>96</v>
      </c>
      <c r="X22" s="61"/>
      <c r="AL22" s="157"/>
      <c r="AM22" s="157"/>
      <c r="AN22" s="157"/>
      <c r="AO22" s="157"/>
      <c r="AP22" s="157"/>
      <c r="AQ22" s="157"/>
      <c r="AR22" s="157"/>
      <c r="AS22" s="157"/>
      <c r="AT22" s="157"/>
      <c r="AU22" s="157"/>
      <c r="AV22" s="157"/>
      <c r="AW22" s="157"/>
      <c r="AX22" s="157"/>
      <c r="AY22" s="157"/>
      <c r="AZ22" s="157"/>
      <c r="BA22" s="157"/>
      <c r="BB22" s="157"/>
      <c r="BC22" s="157"/>
      <c r="BD22" s="157"/>
      <c r="BE22" s="157"/>
      <c r="BF22" s="157"/>
      <c r="BG22" s="157"/>
      <c r="BH22" s="157"/>
    </row>
    <row r="23" spans="1:60" s="2" customFormat="1">
      <c r="A23" s="1">
        <f t="shared" si="7"/>
        <v>16</v>
      </c>
      <c r="B23" s="15" t="s">
        <v>35</v>
      </c>
      <c r="C23" s="10">
        <v>1</v>
      </c>
      <c r="D23" s="11">
        <v>20</v>
      </c>
      <c r="E23" s="36"/>
      <c r="F23" s="36"/>
      <c r="G23" s="37"/>
      <c r="H23" s="38"/>
      <c r="I23" s="38">
        <f t="shared" si="0"/>
        <v>1</v>
      </c>
      <c r="J23" s="63">
        <f t="shared" si="1"/>
        <v>20</v>
      </c>
      <c r="K23" s="69"/>
      <c r="L23" s="36"/>
      <c r="M23" s="36"/>
      <c r="N23" s="36"/>
      <c r="O23" s="36"/>
      <c r="P23" s="36"/>
      <c r="Q23" s="99"/>
      <c r="R23" s="100">
        <f t="shared" si="2"/>
        <v>0</v>
      </c>
      <c r="S23" s="101">
        <f t="shared" si="3"/>
        <v>0</v>
      </c>
      <c r="T23" s="69"/>
      <c r="U23" s="8">
        <f t="shared" si="4"/>
        <v>0</v>
      </c>
      <c r="V23" s="135">
        <f t="shared" si="5"/>
        <v>0</v>
      </c>
      <c r="W23" s="134">
        <f t="shared" si="6"/>
        <v>44</v>
      </c>
      <c r="X23" s="61"/>
      <c r="Y23" s="3"/>
      <c r="AD23" s="3"/>
      <c r="AG23" s="3"/>
      <c r="AH23" s="3"/>
      <c r="AI23" s="3"/>
      <c r="AJ23" s="3"/>
      <c r="AK23" s="3"/>
      <c r="AL23" s="157"/>
      <c r="AM23" s="157"/>
      <c r="AN23" s="157"/>
      <c r="AO23" s="157"/>
      <c r="AP23" s="157"/>
      <c r="AQ23" s="157"/>
      <c r="AR23" s="157"/>
      <c r="AS23" s="157"/>
      <c r="AT23" s="157"/>
      <c r="AU23" s="157"/>
      <c r="AV23" s="157"/>
      <c r="AW23" s="157"/>
      <c r="AX23" s="157"/>
      <c r="AY23" s="157"/>
      <c r="AZ23" s="157"/>
      <c r="BA23" s="157"/>
      <c r="BB23" s="157"/>
      <c r="BC23" s="157"/>
      <c r="BD23" s="157"/>
      <c r="BE23" s="157"/>
      <c r="BF23" s="157"/>
      <c r="BG23" s="157"/>
      <c r="BH23" s="157"/>
    </row>
    <row r="24" spans="1:60" s="2" customFormat="1">
      <c r="A24" s="1">
        <f t="shared" si="7"/>
        <v>17</v>
      </c>
      <c r="B24" s="15" t="s">
        <v>36</v>
      </c>
      <c r="C24" s="10">
        <v>37</v>
      </c>
      <c r="D24" s="11">
        <v>19</v>
      </c>
      <c r="E24" s="36"/>
      <c r="F24" s="36"/>
      <c r="G24" s="37"/>
      <c r="H24" s="38"/>
      <c r="I24" s="38">
        <f t="shared" si="0"/>
        <v>37</v>
      </c>
      <c r="J24" s="63">
        <f t="shared" si="1"/>
        <v>19</v>
      </c>
      <c r="K24" s="69"/>
      <c r="L24" s="36"/>
      <c r="M24" s="36"/>
      <c r="N24" s="36"/>
      <c r="O24" s="36"/>
      <c r="P24" s="36"/>
      <c r="Q24" s="99"/>
      <c r="R24" s="100">
        <f t="shared" si="2"/>
        <v>0</v>
      </c>
      <c r="S24" s="101">
        <f t="shared" si="3"/>
        <v>0</v>
      </c>
      <c r="T24" s="69"/>
      <c r="U24" s="8">
        <f t="shared" si="4"/>
        <v>0</v>
      </c>
      <c r="V24" s="135">
        <f t="shared" si="5"/>
        <v>0</v>
      </c>
      <c r="W24" s="134">
        <f t="shared" si="6"/>
        <v>907</v>
      </c>
      <c r="X24" s="61"/>
      <c r="Y24" s="3"/>
      <c r="AD24" s="3"/>
      <c r="AG24" s="3"/>
      <c r="AH24" s="3"/>
      <c r="AI24" s="3"/>
      <c r="AJ24" s="3"/>
      <c r="AK24" s="3"/>
      <c r="AL24" s="157"/>
      <c r="AM24" s="157"/>
      <c r="AN24" s="157"/>
      <c r="AO24" s="157"/>
      <c r="AP24" s="157"/>
      <c r="AQ24" s="157"/>
      <c r="AR24" s="157"/>
      <c r="AS24" s="157"/>
      <c r="AT24" s="157"/>
      <c r="AU24" s="157"/>
      <c r="AV24" s="157"/>
      <c r="AW24" s="157"/>
      <c r="AX24" s="157"/>
      <c r="AY24" s="157"/>
      <c r="AZ24" s="157"/>
      <c r="BA24" s="157"/>
      <c r="BB24" s="157"/>
      <c r="BC24" s="157"/>
      <c r="BD24" s="157"/>
      <c r="BE24" s="157"/>
      <c r="BF24" s="157"/>
      <c r="BG24" s="157"/>
      <c r="BH24" s="157"/>
    </row>
    <row r="25" spans="1:60">
      <c r="A25" s="1">
        <f t="shared" si="7"/>
        <v>18</v>
      </c>
      <c r="B25" s="15" t="s">
        <v>37</v>
      </c>
      <c r="C25" s="10">
        <v>10</v>
      </c>
      <c r="D25" s="11"/>
      <c r="E25" s="36"/>
      <c r="F25" s="36"/>
      <c r="G25" s="37"/>
      <c r="H25" s="38"/>
      <c r="I25" s="38">
        <f t="shared" si="0"/>
        <v>10</v>
      </c>
      <c r="J25" s="63">
        <f t="shared" si="1"/>
        <v>0</v>
      </c>
      <c r="K25" s="62"/>
      <c r="L25" s="36"/>
      <c r="M25" s="36"/>
      <c r="N25" s="36"/>
      <c r="O25" s="36"/>
      <c r="P25" s="36"/>
      <c r="Q25" s="99"/>
      <c r="R25" s="100">
        <f t="shared" si="2"/>
        <v>0</v>
      </c>
      <c r="S25" s="101">
        <f t="shared" si="3"/>
        <v>0</v>
      </c>
      <c r="T25" s="62"/>
      <c r="U25" s="8">
        <f t="shared" si="4"/>
        <v>0</v>
      </c>
      <c r="V25" s="135">
        <f t="shared" si="5"/>
        <v>0</v>
      </c>
      <c r="W25" s="134">
        <f t="shared" si="6"/>
        <v>240</v>
      </c>
      <c r="X25" s="61"/>
      <c r="AL25" s="157"/>
      <c r="AM25" s="157"/>
      <c r="AN25" s="157"/>
      <c r="AO25" s="157"/>
      <c r="AP25" s="157"/>
      <c r="AQ25" s="157"/>
      <c r="AR25" s="157"/>
      <c r="AS25" s="157"/>
      <c r="AT25" s="157"/>
      <c r="AU25" s="157"/>
      <c r="AV25" s="157"/>
      <c r="AW25" s="157"/>
      <c r="AX25" s="157"/>
      <c r="AY25" s="157"/>
      <c r="AZ25" s="157"/>
      <c r="BA25" s="157"/>
      <c r="BB25" s="157"/>
      <c r="BC25" s="157"/>
      <c r="BD25" s="157"/>
      <c r="BE25" s="157"/>
      <c r="BF25" s="157"/>
      <c r="BG25" s="157"/>
      <c r="BH25" s="157"/>
    </row>
    <row r="26" spans="1:60">
      <c r="A26" s="1">
        <f t="shared" si="7"/>
        <v>19</v>
      </c>
      <c r="B26" s="15" t="s">
        <v>38</v>
      </c>
      <c r="C26" s="10"/>
      <c r="D26" s="11">
        <v>1</v>
      </c>
      <c r="E26" s="36">
        <v>126</v>
      </c>
      <c r="F26" s="36"/>
      <c r="G26" s="37"/>
      <c r="H26" s="38"/>
      <c r="I26" s="38">
        <f>C26+E26-G26</f>
        <v>126</v>
      </c>
      <c r="J26" s="63">
        <f t="shared" si="1"/>
        <v>1</v>
      </c>
      <c r="K26" s="62"/>
      <c r="L26" s="36"/>
      <c r="M26" s="36"/>
      <c r="N26" s="36"/>
      <c r="O26" s="36"/>
      <c r="P26" s="36"/>
      <c r="Q26" s="99"/>
      <c r="R26" s="100">
        <f t="shared" si="2"/>
        <v>0</v>
      </c>
      <c r="S26" s="101">
        <f t="shared" si="3"/>
        <v>0</v>
      </c>
      <c r="T26" s="62"/>
      <c r="U26" s="8">
        <f t="shared" si="4"/>
        <v>0</v>
      </c>
      <c r="V26" s="135">
        <f t="shared" si="5"/>
        <v>0</v>
      </c>
      <c r="W26" s="134">
        <f t="shared" si="6"/>
        <v>3025</v>
      </c>
      <c r="X26" s="61"/>
      <c r="BE26" s="158" t="e">
        <f>#REF!-BE25</f>
        <v>#REF!</v>
      </c>
    </row>
    <row r="27" spans="1:60" s="2" customFormat="1">
      <c r="A27" s="1">
        <f t="shared" si="7"/>
        <v>20</v>
      </c>
      <c r="B27" s="15" t="s">
        <v>39</v>
      </c>
      <c r="C27" s="10"/>
      <c r="D27" s="11"/>
      <c r="E27" s="36"/>
      <c r="F27" s="36"/>
      <c r="G27" s="37"/>
      <c r="H27" s="38"/>
      <c r="I27" s="38">
        <f t="shared" ref="I27:I36" si="8">C27+E27-G27</f>
        <v>0</v>
      </c>
      <c r="J27" s="63">
        <f t="shared" si="1"/>
        <v>0</v>
      </c>
      <c r="K27" s="69"/>
      <c r="L27" s="36"/>
      <c r="M27" s="36"/>
      <c r="N27" s="36"/>
      <c r="O27" s="36"/>
      <c r="P27" s="36"/>
      <c r="Q27" s="99"/>
      <c r="R27" s="100">
        <f t="shared" si="2"/>
        <v>0</v>
      </c>
      <c r="S27" s="101">
        <f t="shared" si="3"/>
        <v>0</v>
      </c>
      <c r="T27" s="69"/>
      <c r="U27" s="8">
        <f t="shared" si="4"/>
        <v>0</v>
      </c>
      <c r="V27" s="135">
        <f t="shared" si="5"/>
        <v>0</v>
      </c>
      <c r="W27" s="134">
        <f t="shared" si="6"/>
        <v>0</v>
      </c>
      <c r="X27" s="61"/>
      <c r="Y27" s="3"/>
      <c r="AD27" s="3"/>
      <c r="AG27" s="3"/>
      <c r="AH27" s="3"/>
      <c r="AI27" s="3"/>
      <c r="AJ27" s="3"/>
      <c r="AK27" s="3"/>
    </row>
    <row r="28" spans="1:60" s="2" customFormat="1">
      <c r="A28" s="1">
        <f t="shared" si="7"/>
        <v>21</v>
      </c>
      <c r="B28" s="15" t="s">
        <v>40</v>
      </c>
      <c r="C28" s="10"/>
      <c r="D28" s="11"/>
      <c r="E28" s="36">
        <v>2</v>
      </c>
      <c r="F28" s="36"/>
      <c r="G28" s="37"/>
      <c r="H28" s="38"/>
      <c r="I28" s="38">
        <f t="shared" si="8"/>
        <v>2</v>
      </c>
      <c r="J28" s="63">
        <f t="shared" si="1"/>
        <v>0</v>
      </c>
      <c r="K28" s="69"/>
      <c r="L28" s="36"/>
      <c r="M28" s="36"/>
      <c r="N28" s="36"/>
      <c r="O28" s="36"/>
      <c r="P28" s="36"/>
      <c r="Q28" s="99"/>
      <c r="R28" s="100">
        <f t="shared" si="2"/>
        <v>0</v>
      </c>
      <c r="S28" s="101">
        <f t="shared" si="3"/>
        <v>0</v>
      </c>
      <c r="T28" s="69"/>
      <c r="U28" s="8">
        <f t="shared" si="4"/>
        <v>0</v>
      </c>
      <c r="V28" s="135">
        <f t="shared" si="5"/>
        <v>0</v>
      </c>
      <c r="W28" s="134">
        <f t="shared" si="6"/>
        <v>48</v>
      </c>
      <c r="X28" s="61"/>
      <c r="Y28" s="3"/>
      <c r="AD28" s="3"/>
      <c r="AG28" s="3"/>
      <c r="AH28" s="3"/>
      <c r="AI28" s="3"/>
      <c r="AJ28" s="3"/>
      <c r="AK28" s="3"/>
    </row>
    <row r="29" spans="1:60" s="2" customFormat="1">
      <c r="A29" s="1">
        <f t="shared" si="7"/>
        <v>22</v>
      </c>
      <c r="B29" s="15" t="s">
        <v>41</v>
      </c>
      <c r="C29" s="10"/>
      <c r="D29" s="11"/>
      <c r="E29" s="36">
        <v>63</v>
      </c>
      <c r="F29" s="36"/>
      <c r="G29" s="37"/>
      <c r="H29" s="38"/>
      <c r="I29" s="38">
        <f t="shared" si="8"/>
        <v>63</v>
      </c>
      <c r="J29" s="63">
        <f t="shared" si="1"/>
        <v>0</v>
      </c>
      <c r="K29" s="69"/>
      <c r="L29" s="36"/>
      <c r="M29" s="36"/>
      <c r="N29" s="36"/>
      <c r="O29" s="36"/>
      <c r="P29" s="36"/>
      <c r="Q29" s="99"/>
      <c r="R29" s="100">
        <f t="shared" si="2"/>
        <v>0</v>
      </c>
      <c r="S29" s="101">
        <f t="shared" si="3"/>
        <v>0</v>
      </c>
      <c r="T29" s="69"/>
      <c r="U29" s="8">
        <f t="shared" si="4"/>
        <v>0</v>
      </c>
      <c r="V29" s="135">
        <f t="shared" si="5"/>
        <v>0</v>
      </c>
      <c r="W29" s="134">
        <f t="shared" si="6"/>
        <v>1512</v>
      </c>
      <c r="X29" s="61"/>
      <c r="Y29" s="3"/>
      <c r="AD29" s="3"/>
      <c r="AG29" s="3"/>
      <c r="AH29" s="3"/>
      <c r="AI29" s="3"/>
      <c r="AJ29" s="3"/>
      <c r="AK29" s="3"/>
    </row>
    <row r="30" spans="1:60">
      <c r="A30" s="1">
        <f t="shared" si="7"/>
        <v>23</v>
      </c>
      <c r="B30" s="15" t="s">
        <v>42</v>
      </c>
      <c r="C30" s="10">
        <v>1</v>
      </c>
      <c r="D30" s="11">
        <v>5</v>
      </c>
      <c r="E30" s="36"/>
      <c r="F30" s="36"/>
      <c r="G30" s="37">
        <v>1</v>
      </c>
      <c r="H30" s="38"/>
      <c r="I30" s="38">
        <f t="shared" si="8"/>
        <v>0</v>
      </c>
      <c r="J30" s="63">
        <f t="shared" si="1"/>
        <v>5</v>
      </c>
      <c r="K30" s="62"/>
      <c r="L30" s="36"/>
      <c r="M30" s="36"/>
      <c r="N30" s="36"/>
      <c r="O30" s="36"/>
      <c r="P30" s="36">
        <v>1</v>
      </c>
      <c r="Q30" s="99"/>
      <c r="R30" s="100">
        <f t="shared" si="2"/>
        <v>1</v>
      </c>
      <c r="S30" s="101">
        <f t="shared" si="3"/>
        <v>0</v>
      </c>
      <c r="T30" s="62"/>
      <c r="U30" s="8">
        <f t="shared" si="4"/>
        <v>24</v>
      </c>
      <c r="V30" s="135">
        <f t="shared" si="5"/>
        <v>1</v>
      </c>
      <c r="W30" s="134">
        <f t="shared" si="6"/>
        <v>5</v>
      </c>
      <c r="X30" s="61"/>
    </row>
    <row r="31" spans="1:60">
      <c r="A31" s="1">
        <f t="shared" si="7"/>
        <v>24</v>
      </c>
      <c r="B31" s="15" t="s">
        <v>43</v>
      </c>
      <c r="C31" s="10">
        <v>7</v>
      </c>
      <c r="D31" s="11"/>
      <c r="E31" s="36"/>
      <c r="F31" s="36"/>
      <c r="G31" s="37"/>
      <c r="H31" s="38"/>
      <c r="I31" s="38">
        <f t="shared" si="8"/>
        <v>7</v>
      </c>
      <c r="J31" s="63">
        <f t="shared" si="1"/>
        <v>0</v>
      </c>
      <c r="K31" s="62"/>
      <c r="L31" s="36"/>
      <c r="M31" s="36"/>
      <c r="N31" s="36"/>
      <c r="O31" s="36"/>
      <c r="P31" s="36"/>
      <c r="Q31" s="99"/>
      <c r="R31" s="100">
        <f t="shared" si="2"/>
        <v>0</v>
      </c>
      <c r="S31" s="101">
        <f t="shared" si="3"/>
        <v>0</v>
      </c>
      <c r="T31" s="62"/>
      <c r="U31" s="8">
        <f t="shared" si="4"/>
        <v>0</v>
      </c>
      <c r="V31" s="135">
        <f t="shared" si="5"/>
        <v>0</v>
      </c>
      <c r="W31" s="134">
        <f t="shared" si="6"/>
        <v>168</v>
      </c>
      <c r="X31" s="61"/>
    </row>
    <row r="32" spans="1:60">
      <c r="A32" s="1">
        <f t="shared" si="7"/>
        <v>25</v>
      </c>
      <c r="B32" s="15" t="s">
        <v>44</v>
      </c>
      <c r="C32" s="10"/>
      <c r="D32" s="11"/>
      <c r="E32" s="36"/>
      <c r="F32" s="36"/>
      <c r="G32" s="37"/>
      <c r="H32" s="38"/>
      <c r="I32" s="38">
        <f t="shared" si="8"/>
        <v>0</v>
      </c>
      <c r="J32" s="63">
        <f t="shared" si="1"/>
        <v>0</v>
      </c>
      <c r="K32" s="62"/>
      <c r="L32" s="36"/>
      <c r="M32" s="36"/>
      <c r="N32" s="36"/>
      <c r="O32" s="36"/>
      <c r="P32" s="36"/>
      <c r="Q32" s="99"/>
      <c r="R32" s="100">
        <f t="shared" si="2"/>
        <v>0</v>
      </c>
      <c r="S32" s="101">
        <f t="shared" si="3"/>
        <v>0</v>
      </c>
      <c r="T32" s="62"/>
      <c r="U32" s="8">
        <f t="shared" si="4"/>
        <v>0</v>
      </c>
      <c r="V32" s="135">
        <f t="shared" si="5"/>
        <v>0</v>
      </c>
      <c r="W32" s="134">
        <f t="shared" si="6"/>
        <v>0</v>
      </c>
      <c r="X32" s="61"/>
    </row>
    <row r="33" spans="1:26">
      <c r="A33" s="1">
        <f t="shared" si="7"/>
        <v>26</v>
      </c>
      <c r="B33" s="15" t="s">
        <v>45</v>
      </c>
      <c r="C33" s="10">
        <v>3</v>
      </c>
      <c r="D33" s="11"/>
      <c r="E33" s="36"/>
      <c r="F33" s="36"/>
      <c r="G33" s="37"/>
      <c r="H33" s="38"/>
      <c r="I33" s="38">
        <f t="shared" si="8"/>
        <v>3</v>
      </c>
      <c r="J33" s="63">
        <f t="shared" si="1"/>
        <v>0</v>
      </c>
      <c r="K33" s="62"/>
      <c r="L33" s="36"/>
      <c r="M33" s="36"/>
      <c r="N33" s="36"/>
      <c r="O33" s="36"/>
      <c r="P33" s="36"/>
      <c r="Q33" s="99"/>
      <c r="R33" s="100">
        <f t="shared" si="2"/>
        <v>0</v>
      </c>
      <c r="S33" s="101">
        <f t="shared" si="3"/>
        <v>0</v>
      </c>
      <c r="T33" s="62"/>
      <c r="U33" s="8">
        <f t="shared" si="4"/>
        <v>0</v>
      </c>
      <c r="V33" s="135">
        <f t="shared" si="5"/>
        <v>0</v>
      </c>
      <c r="W33" s="134">
        <f t="shared" si="6"/>
        <v>72</v>
      </c>
      <c r="X33" s="61"/>
    </row>
    <row r="34" spans="1:26">
      <c r="A34" s="1">
        <f t="shared" si="7"/>
        <v>27</v>
      </c>
      <c r="B34" s="15" t="s">
        <v>46</v>
      </c>
      <c r="C34" s="10">
        <v>4</v>
      </c>
      <c r="D34" s="11"/>
      <c r="E34" s="36"/>
      <c r="F34" s="36"/>
      <c r="G34" s="37"/>
      <c r="H34" s="38"/>
      <c r="I34" s="38">
        <f t="shared" si="8"/>
        <v>4</v>
      </c>
      <c r="J34" s="63">
        <f t="shared" si="1"/>
        <v>0</v>
      </c>
      <c r="K34" s="62"/>
      <c r="L34" s="36"/>
      <c r="M34" s="36"/>
      <c r="N34" s="36"/>
      <c r="O34" s="36"/>
      <c r="P34" s="36"/>
      <c r="Q34" s="99"/>
      <c r="R34" s="100">
        <f t="shared" si="2"/>
        <v>0</v>
      </c>
      <c r="S34" s="101">
        <f t="shared" si="3"/>
        <v>0</v>
      </c>
      <c r="T34" s="62"/>
      <c r="U34" s="8">
        <f t="shared" si="4"/>
        <v>0</v>
      </c>
      <c r="V34" s="135">
        <f t="shared" si="5"/>
        <v>0</v>
      </c>
      <c r="W34" s="134">
        <f t="shared" si="6"/>
        <v>96</v>
      </c>
      <c r="X34" s="61"/>
    </row>
    <row r="35" spans="1:26">
      <c r="A35" s="1">
        <f t="shared" si="7"/>
        <v>28</v>
      </c>
      <c r="B35" s="15" t="s">
        <v>47</v>
      </c>
      <c r="C35" s="10">
        <v>81</v>
      </c>
      <c r="D35" s="11">
        <v>13</v>
      </c>
      <c r="E35" s="36"/>
      <c r="F35" s="36"/>
      <c r="G35" s="37"/>
      <c r="H35" s="38"/>
      <c r="I35" s="38">
        <f t="shared" si="8"/>
        <v>81</v>
      </c>
      <c r="J35" s="63">
        <f t="shared" si="1"/>
        <v>13</v>
      </c>
      <c r="K35" s="62"/>
      <c r="L35" s="36"/>
      <c r="M35" s="36"/>
      <c r="N35" s="36"/>
      <c r="O35" s="36"/>
      <c r="P35" s="36"/>
      <c r="Q35" s="99"/>
      <c r="R35" s="100">
        <f t="shared" si="2"/>
        <v>0</v>
      </c>
      <c r="S35" s="101">
        <f t="shared" si="3"/>
        <v>0</v>
      </c>
      <c r="T35" s="62"/>
      <c r="U35" s="8">
        <f t="shared" si="4"/>
        <v>0</v>
      </c>
      <c r="V35" s="135">
        <f t="shared" si="5"/>
        <v>0</v>
      </c>
      <c r="W35" s="134">
        <f t="shared" si="6"/>
        <v>1957</v>
      </c>
      <c r="X35" s="61"/>
    </row>
    <row r="36" spans="1:26" ht="18.75" hidden="1" customHeight="1">
      <c r="A36" s="1">
        <f t="shared" si="7"/>
        <v>29</v>
      </c>
      <c r="B36" s="15" t="s">
        <v>48</v>
      </c>
      <c r="C36" s="10"/>
      <c r="D36" s="11"/>
      <c r="E36" s="36"/>
      <c r="F36" s="36"/>
      <c r="G36" s="37"/>
      <c r="H36" s="38"/>
      <c r="I36" s="38">
        <f t="shared" si="8"/>
        <v>0</v>
      </c>
      <c r="J36" s="63">
        <f t="shared" si="1"/>
        <v>0</v>
      </c>
      <c r="K36" s="62"/>
      <c r="L36" s="36"/>
      <c r="M36" s="36"/>
      <c r="N36" s="36"/>
      <c r="O36" s="36"/>
      <c r="P36" s="36"/>
      <c r="Q36" s="99"/>
      <c r="R36" s="100">
        <f t="shared" si="2"/>
        <v>0</v>
      </c>
      <c r="S36" s="101">
        <f t="shared" si="3"/>
        <v>0</v>
      </c>
      <c r="T36" s="62"/>
      <c r="U36" s="8">
        <f t="shared" si="4"/>
        <v>0</v>
      </c>
      <c r="V36" s="135">
        <f t="shared" si="5"/>
        <v>0</v>
      </c>
      <c r="W36" s="134">
        <f t="shared" si="6"/>
        <v>0</v>
      </c>
      <c r="X36" s="61"/>
    </row>
    <row r="37" spans="1:26" ht="18.75" customHeight="1">
      <c r="A37" s="1">
        <f t="shared" si="7"/>
        <v>30</v>
      </c>
      <c r="B37" s="15" t="s">
        <v>49</v>
      </c>
      <c r="C37" s="10">
        <v>1</v>
      </c>
      <c r="D37" s="11"/>
      <c r="E37" s="36"/>
      <c r="F37" s="36"/>
      <c r="G37" s="37"/>
      <c r="H37" s="38"/>
      <c r="I37" s="38">
        <f>C37+E37-G37</f>
        <v>1</v>
      </c>
      <c r="J37" s="63">
        <f t="shared" si="1"/>
        <v>0</v>
      </c>
      <c r="K37" s="62"/>
      <c r="L37" s="36"/>
      <c r="M37" s="36"/>
      <c r="N37" s="36"/>
      <c r="O37" s="36"/>
      <c r="P37" s="36"/>
      <c r="Q37" s="99"/>
      <c r="R37" s="100">
        <f t="shared" si="2"/>
        <v>0</v>
      </c>
      <c r="S37" s="101">
        <f t="shared" si="3"/>
        <v>0</v>
      </c>
      <c r="T37" s="62"/>
      <c r="U37" s="8">
        <f t="shared" si="4"/>
        <v>0</v>
      </c>
      <c r="V37" s="135">
        <f t="shared" si="5"/>
        <v>0</v>
      </c>
      <c r="W37" s="134">
        <f t="shared" si="6"/>
        <v>24</v>
      </c>
      <c r="X37" s="61"/>
    </row>
    <row r="38" spans="1:26">
      <c r="A38" s="1">
        <f t="shared" si="7"/>
        <v>31</v>
      </c>
      <c r="B38" s="16" t="s">
        <v>50</v>
      </c>
      <c r="C38" s="13">
        <f>5684</f>
        <v>5684</v>
      </c>
      <c r="D38" s="14">
        <v>2</v>
      </c>
      <c r="E38" s="39"/>
      <c r="F38" s="39"/>
      <c r="G38" s="40">
        <v>159</v>
      </c>
      <c r="H38" s="41"/>
      <c r="I38" s="53">
        <f>C38+E38-G38</f>
        <v>5525</v>
      </c>
      <c r="J38" s="70">
        <f t="shared" si="1"/>
        <v>2</v>
      </c>
      <c r="K38" s="65"/>
      <c r="L38" s="51">
        <v>10</v>
      </c>
      <c r="M38" s="51"/>
      <c r="N38" s="51">
        <v>41</v>
      </c>
      <c r="O38" s="51"/>
      <c r="P38" s="51">
        <v>108</v>
      </c>
      <c r="Q38" s="102"/>
      <c r="R38" s="107">
        <f t="shared" si="2"/>
        <v>159</v>
      </c>
      <c r="S38" s="104">
        <f t="shared" si="3"/>
        <v>0</v>
      </c>
      <c r="T38" s="65"/>
      <c r="U38" s="136">
        <f>L38*6+N38*6+P38*6</f>
        <v>954</v>
      </c>
      <c r="V38" s="141">
        <f>U38/6</f>
        <v>159</v>
      </c>
      <c r="W38" s="138">
        <f>I38*6+J38</f>
        <v>33152</v>
      </c>
      <c r="X38" s="139"/>
    </row>
    <row r="39" spans="1:26">
      <c r="A39" s="1">
        <f t="shared" si="7"/>
        <v>32</v>
      </c>
      <c r="B39" s="7" t="s">
        <v>51</v>
      </c>
      <c r="C39" s="10">
        <v>1</v>
      </c>
      <c r="D39" s="11"/>
      <c r="E39" s="36"/>
      <c r="F39" s="36"/>
      <c r="G39" s="37"/>
      <c r="H39" s="38"/>
      <c r="I39" s="37">
        <f t="shared" ref="I39:I54" si="9">C39+E39-G39</f>
        <v>1</v>
      </c>
      <c r="J39" s="63">
        <f t="shared" si="1"/>
        <v>0</v>
      </c>
      <c r="K39" s="62"/>
      <c r="L39" s="36"/>
      <c r="M39" s="36"/>
      <c r="N39" s="36"/>
      <c r="O39" s="36"/>
      <c r="P39" s="36"/>
      <c r="Q39" s="99"/>
      <c r="R39" s="108">
        <f t="shared" si="2"/>
        <v>0</v>
      </c>
      <c r="S39" s="106">
        <f t="shared" si="3"/>
        <v>0</v>
      </c>
      <c r="T39" s="62"/>
      <c r="U39" s="8">
        <f t="shared" ref="U39:U41" si="10">L39*24+N39*24+P39*24</f>
        <v>0</v>
      </c>
      <c r="V39" s="33">
        <f t="shared" ref="V39:V41" si="11">U39/24</f>
        <v>0</v>
      </c>
      <c r="W39" s="134">
        <f t="shared" ref="W39:W41" si="12">I39*24+J39</f>
        <v>24</v>
      </c>
      <c r="X39" s="61"/>
    </row>
    <row r="40" spans="1:26">
      <c r="A40" s="1">
        <f t="shared" si="7"/>
        <v>33</v>
      </c>
      <c r="B40" s="17" t="s">
        <v>52</v>
      </c>
      <c r="C40" s="18">
        <v>1</v>
      </c>
      <c r="D40" s="19"/>
      <c r="E40" s="42">
        <v>2</v>
      </c>
      <c r="F40" s="42"/>
      <c r="G40" s="43"/>
      <c r="H40" s="44"/>
      <c r="I40" s="38">
        <f t="shared" si="9"/>
        <v>3</v>
      </c>
      <c r="J40" s="63">
        <f t="shared" si="1"/>
        <v>0</v>
      </c>
      <c r="K40" s="62"/>
      <c r="L40" s="36"/>
      <c r="M40" s="36"/>
      <c r="N40" s="36"/>
      <c r="O40" s="36"/>
      <c r="P40" s="36"/>
      <c r="Q40" s="99"/>
      <c r="R40" s="100">
        <f t="shared" si="2"/>
        <v>0</v>
      </c>
      <c r="S40" s="101">
        <f t="shared" si="3"/>
        <v>0</v>
      </c>
      <c r="T40" s="62"/>
      <c r="U40" s="142">
        <f t="shared" si="10"/>
        <v>0</v>
      </c>
      <c r="V40" s="135">
        <f t="shared" si="11"/>
        <v>0</v>
      </c>
      <c r="W40" s="143">
        <f t="shared" si="12"/>
        <v>72</v>
      </c>
      <c r="X40" s="144"/>
    </row>
    <row r="41" spans="1:26">
      <c r="A41" s="1">
        <f t="shared" si="7"/>
        <v>34</v>
      </c>
      <c r="B41" s="20" t="s">
        <v>53</v>
      </c>
      <c r="C41" s="21">
        <v>32</v>
      </c>
      <c r="D41" s="22">
        <v>8</v>
      </c>
      <c r="E41" s="45">
        <v>126</v>
      </c>
      <c r="F41" s="45"/>
      <c r="G41" s="46"/>
      <c r="H41" s="47"/>
      <c r="I41" s="71">
        <f t="shared" si="9"/>
        <v>158</v>
      </c>
      <c r="J41" s="72">
        <f t="shared" si="1"/>
        <v>8</v>
      </c>
      <c r="K41" s="73"/>
      <c r="L41" s="74"/>
      <c r="M41" s="74"/>
      <c r="N41" s="74"/>
      <c r="O41" s="74"/>
      <c r="P41" s="74"/>
      <c r="Q41" s="109"/>
      <c r="R41" s="110">
        <f t="shared" si="2"/>
        <v>0</v>
      </c>
      <c r="S41" s="111">
        <f t="shared" si="3"/>
        <v>0</v>
      </c>
      <c r="T41" s="73"/>
      <c r="U41" s="145">
        <f t="shared" si="10"/>
        <v>0</v>
      </c>
      <c r="V41" s="146">
        <f t="shared" si="11"/>
        <v>0</v>
      </c>
      <c r="W41" s="146">
        <f t="shared" si="12"/>
        <v>3800</v>
      </c>
      <c r="X41" s="147"/>
    </row>
    <row r="42" spans="1:26">
      <c r="A42" s="1">
        <f t="shared" si="7"/>
        <v>35</v>
      </c>
      <c r="B42" s="23" t="s">
        <v>54</v>
      </c>
      <c r="C42" s="24">
        <v>549</v>
      </c>
      <c r="D42" s="25"/>
      <c r="E42" s="48"/>
      <c r="F42" s="48"/>
      <c r="G42" s="49">
        <v>9</v>
      </c>
      <c r="H42" s="50"/>
      <c r="I42" s="49">
        <f t="shared" si="9"/>
        <v>540</v>
      </c>
      <c r="J42" s="75">
        <f t="shared" si="1"/>
        <v>0</v>
      </c>
      <c r="K42" s="76"/>
      <c r="L42" s="48">
        <v>2</v>
      </c>
      <c r="M42" s="48"/>
      <c r="N42" s="48">
        <v>6</v>
      </c>
      <c r="O42" s="48"/>
      <c r="P42" s="48">
        <v>1</v>
      </c>
      <c r="Q42" s="112"/>
      <c r="R42" s="113">
        <f t="shared" si="2"/>
        <v>9</v>
      </c>
      <c r="S42" s="114">
        <f t="shared" si="3"/>
        <v>0</v>
      </c>
      <c r="T42" s="76"/>
      <c r="U42" s="148">
        <f>L42*12+N42*12+P42*12</f>
        <v>108</v>
      </c>
      <c r="V42" s="149">
        <f>U42/12</f>
        <v>9</v>
      </c>
      <c r="W42" s="150">
        <f>I42*12+J42</f>
        <v>6480</v>
      </c>
      <c r="X42" s="151"/>
    </row>
    <row r="43" spans="1:26" ht="18.75" hidden="1" customHeight="1">
      <c r="A43" s="1">
        <f t="shared" si="7"/>
        <v>36</v>
      </c>
      <c r="B43" s="7" t="s">
        <v>55</v>
      </c>
      <c r="C43" s="10"/>
      <c r="D43" s="11"/>
      <c r="E43" s="36"/>
      <c r="F43" s="36"/>
      <c r="G43" s="37"/>
      <c r="H43" s="38"/>
      <c r="I43" s="38">
        <f t="shared" si="9"/>
        <v>0</v>
      </c>
      <c r="J43" s="64">
        <f t="shared" si="1"/>
        <v>0</v>
      </c>
      <c r="K43" s="62"/>
      <c r="L43" s="36"/>
      <c r="M43" s="36"/>
      <c r="N43" s="36"/>
      <c r="O43" s="36"/>
      <c r="P43" s="36"/>
      <c r="Q43" s="99"/>
      <c r="R43" s="115">
        <f t="shared" si="2"/>
        <v>0</v>
      </c>
      <c r="S43" s="116">
        <f t="shared" si="3"/>
        <v>0</v>
      </c>
      <c r="T43" s="62"/>
      <c r="U43" s="8"/>
      <c r="V43" s="33"/>
      <c r="W43" s="134"/>
      <c r="X43" s="61"/>
    </row>
    <row r="44" spans="1:26">
      <c r="A44" s="1">
        <f t="shared" si="7"/>
        <v>37</v>
      </c>
      <c r="B44" s="12" t="s">
        <v>56</v>
      </c>
      <c r="C44" s="13">
        <v>24831</v>
      </c>
      <c r="D44" s="14">
        <v>3</v>
      </c>
      <c r="E44" s="39">
        <v>1188</v>
      </c>
      <c r="F44" s="39"/>
      <c r="G44" s="40">
        <v>1333</v>
      </c>
      <c r="H44" s="41"/>
      <c r="I44" s="38">
        <f t="shared" si="9"/>
        <v>24686</v>
      </c>
      <c r="J44" s="77">
        <f t="shared" si="1"/>
        <v>3</v>
      </c>
      <c r="K44" s="65"/>
      <c r="L44" s="51">
        <v>432</v>
      </c>
      <c r="M44" s="51"/>
      <c r="N44" s="51">
        <v>347</v>
      </c>
      <c r="O44" s="51"/>
      <c r="P44" s="51">
        <v>554</v>
      </c>
      <c r="Q44" s="102"/>
      <c r="R44" s="117">
        <f t="shared" si="2"/>
        <v>1333</v>
      </c>
      <c r="S44" s="118">
        <f t="shared" si="3"/>
        <v>0</v>
      </c>
      <c r="T44" s="65"/>
      <c r="U44" s="136">
        <f>L44*6+N44*6+P44*6</f>
        <v>7998</v>
      </c>
      <c r="V44" s="135">
        <f>U44/6</f>
        <v>1333</v>
      </c>
      <c r="W44" s="138">
        <f>I44*6+J44</f>
        <v>148119</v>
      </c>
      <c r="X44" s="139"/>
      <c r="Z44" s="155"/>
    </row>
    <row r="45" spans="1:26" ht="18.75" hidden="1" customHeight="1">
      <c r="A45" s="1">
        <f t="shared" si="7"/>
        <v>38</v>
      </c>
      <c r="B45" s="7" t="s">
        <v>57</v>
      </c>
      <c r="C45" s="10"/>
      <c r="D45" s="11"/>
      <c r="E45" s="36"/>
      <c r="F45" s="36"/>
      <c r="G45" s="37"/>
      <c r="H45" s="38"/>
      <c r="I45" s="44">
        <f t="shared" si="9"/>
        <v>0</v>
      </c>
      <c r="J45" s="63">
        <f t="shared" si="1"/>
        <v>0</v>
      </c>
      <c r="K45" s="62"/>
      <c r="L45" s="36"/>
      <c r="M45" s="36"/>
      <c r="N45" s="36"/>
      <c r="O45" s="36"/>
      <c r="P45" s="36"/>
      <c r="Q45" s="99"/>
      <c r="R45" s="108">
        <f t="shared" si="2"/>
        <v>0</v>
      </c>
      <c r="S45" s="116">
        <f t="shared" si="3"/>
        <v>0</v>
      </c>
      <c r="T45" s="62"/>
      <c r="U45" s="8"/>
      <c r="V45" s="137"/>
      <c r="W45" s="134"/>
      <c r="X45" s="61"/>
    </row>
    <row r="46" spans="1:26">
      <c r="A46" s="1">
        <f t="shared" si="7"/>
        <v>39</v>
      </c>
      <c r="B46" s="15" t="s">
        <v>58</v>
      </c>
      <c r="C46" s="10">
        <v>9</v>
      </c>
      <c r="D46" s="11"/>
      <c r="E46" s="36"/>
      <c r="F46" s="36"/>
      <c r="G46" s="37"/>
      <c r="H46" s="38"/>
      <c r="I46" s="68">
        <f t="shared" si="9"/>
        <v>9</v>
      </c>
      <c r="J46" s="63">
        <f t="shared" si="1"/>
        <v>0</v>
      </c>
      <c r="K46" s="62"/>
      <c r="L46" s="36"/>
      <c r="M46" s="36"/>
      <c r="N46" s="36"/>
      <c r="O46" s="36"/>
      <c r="P46" s="36"/>
      <c r="Q46" s="99"/>
      <c r="R46" s="100">
        <f t="shared" si="2"/>
        <v>0</v>
      </c>
      <c r="S46" s="119">
        <f t="shared" si="3"/>
        <v>0</v>
      </c>
      <c r="T46" s="62"/>
      <c r="U46" s="8">
        <f t="shared" ref="U46:U51" si="13">L46*24+N46*24+P46*24</f>
        <v>0</v>
      </c>
      <c r="V46" s="140">
        <f t="shared" ref="V46:V51" si="14">U46/24</f>
        <v>0</v>
      </c>
      <c r="W46" s="134">
        <f t="shared" ref="W46:W51" si="15">I46*24+J46</f>
        <v>216</v>
      </c>
      <c r="X46" s="61"/>
    </row>
    <row r="47" spans="1:26">
      <c r="A47" s="1">
        <f t="shared" si="7"/>
        <v>40</v>
      </c>
      <c r="B47" s="15" t="s">
        <v>59</v>
      </c>
      <c r="C47" s="10"/>
      <c r="D47" s="11"/>
      <c r="E47" s="36">
        <v>2</v>
      </c>
      <c r="F47" s="36"/>
      <c r="G47" s="37"/>
      <c r="H47" s="38"/>
      <c r="I47" s="38">
        <f t="shared" si="9"/>
        <v>2</v>
      </c>
      <c r="J47" s="63">
        <f t="shared" si="1"/>
        <v>0</v>
      </c>
      <c r="K47" s="62"/>
      <c r="L47" s="36"/>
      <c r="M47" s="36"/>
      <c r="N47" s="36"/>
      <c r="O47" s="36"/>
      <c r="P47" s="36"/>
      <c r="Q47" s="99"/>
      <c r="R47" s="100">
        <f t="shared" si="2"/>
        <v>0</v>
      </c>
      <c r="S47" s="101">
        <f t="shared" si="3"/>
        <v>0</v>
      </c>
      <c r="T47" s="62"/>
      <c r="U47" s="8">
        <f t="shared" si="13"/>
        <v>0</v>
      </c>
      <c r="V47" s="135">
        <f t="shared" si="14"/>
        <v>0</v>
      </c>
      <c r="W47" s="134">
        <f t="shared" si="15"/>
        <v>48</v>
      </c>
      <c r="X47" s="61"/>
    </row>
    <row r="48" spans="1:26">
      <c r="A48" s="1">
        <f t="shared" si="7"/>
        <v>41</v>
      </c>
      <c r="B48" s="12" t="s">
        <v>48</v>
      </c>
      <c r="C48" s="26">
        <v>2823</v>
      </c>
      <c r="D48" s="27">
        <v>4</v>
      </c>
      <c r="E48" s="51"/>
      <c r="F48" s="51"/>
      <c r="G48" s="52"/>
      <c r="H48" s="53"/>
      <c r="I48" s="53">
        <f t="shared" si="9"/>
        <v>2823</v>
      </c>
      <c r="J48" s="70">
        <f t="shared" si="1"/>
        <v>4</v>
      </c>
      <c r="K48" s="65"/>
      <c r="L48" s="51"/>
      <c r="M48" s="51"/>
      <c r="N48" s="51"/>
      <c r="O48" s="51"/>
      <c r="P48" s="51"/>
      <c r="Q48" s="102"/>
      <c r="R48" s="107">
        <f t="shared" si="2"/>
        <v>0</v>
      </c>
      <c r="S48" s="120">
        <f t="shared" si="3"/>
        <v>0</v>
      </c>
      <c r="T48" s="65"/>
      <c r="U48" s="136">
        <f>L48*6+N48*6+P48*6</f>
        <v>0</v>
      </c>
      <c r="V48" s="141">
        <f>U48/6</f>
        <v>0</v>
      </c>
      <c r="W48" s="138">
        <f>I48*6+J48</f>
        <v>16942</v>
      </c>
      <c r="X48" s="139"/>
    </row>
    <row r="49" spans="1:24">
      <c r="A49" s="1">
        <f t="shared" si="7"/>
        <v>42</v>
      </c>
      <c r="B49" s="7" t="s">
        <v>60</v>
      </c>
      <c r="C49" s="10">
        <v>1</v>
      </c>
      <c r="D49" s="11"/>
      <c r="E49" s="36"/>
      <c r="F49" s="36"/>
      <c r="G49" s="37"/>
      <c r="H49" s="38"/>
      <c r="I49" s="38">
        <f t="shared" si="9"/>
        <v>1</v>
      </c>
      <c r="J49" s="63">
        <f t="shared" si="1"/>
        <v>0</v>
      </c>
      <c r="K49" s="62"/>
      <c r="L49" s="36"/>
      <c r="M49" s="36"/>
      <c r="N49" s="36"/>
      <c r="O49" s="36"/>
      <c r="P49" s="36"/>
      <c r="Q49" s="99"/>
      <c r="R49" s="108">
        <f t="shared" si="2"/>
        <v>0</v>
      </c>
      <c r="S49" s="106">
        <f t="shared" si="3"/>
        <v>0</v>
      </c>
      <c r="T49" s="62"/>
      <c r="U49" s="8">
        <f t="shared" si="13"/>
        <v>0</v>
      </c>
      <c r="V49" s="33">
        <f t="shared" si="14"/>
        <v>0</v>
      </c>
      <c r="W49" s="134">
        <f t="shared" si="15"/>
        <v>24</v>
      </c>
      <c r="X49" s="61"/>
    </row>
    <row r="50" spans="1:24">
      <c r="A50" s="1">
        <f t="shared" si="7"/>
        <v>43</v>
      </c>
      <c r="B50" s="15" t="s">
        <v>61</v>
      </c>
      <c r="C50" s="10">
        <v>2</v>
      </c>
      <c r="D50" s="11"/>
      <c r="E50" s="36"/>
      <c r="F50" s="36"/>
      <c r="G50" s="37"/>
      <c r="H50" s="38"/>
      <c r="I50" s="38">
        <f t="shared" si="9"/>
        <v>2</v>
      </c>
      <c r="J50" s="63">
        <f t="shared" si="1"/>
        <v>0</v>
      </c>
      <c r="K50" s="62"/>
      <c r="L50" s="36"/>
      <c r="M50" s="36"/>
      <c r="N50" s="36"/>
      <c r="O50" s="36"/>
      <c r="P50" s="36"/>
      <c r="Q50" s="99"/>
      <c r="R50" s="100">
        <f t="shared" si="2"/>
        <v>0</v>
      </c>
      <c r="S50" s="101">
        <f t="shared" si="3"/>
        <v>0</v>
      </c>
      <c r="T50" s="62"/>
      <c r="U50" s="8">
        <f t="shared" si="13"/>
        <v>0</v>
      </c>
      <c r="V50" s="135">
        <f t="shared" si="14"/>
        <v>0</v>
      </c>
      <c r="W50" s="134">
        <f t="shared" si="15"/>
        <v>48</v>
      </c>
      <c r="X50" s="61"/>
    </row>
    <row r="51" spans="1:24">
      <c r="A51" s="1">
        <f t="shared" si="7"/>
        <v>44</v>
      </c>
      <c r="B51" s="15" t="s">
        <v>62</v>
      </c>
      <c r="C51" s="10"/>
      <c r="D51" s="11"/>
      <c r="E51" s="36"/>
      <c r="F51" s="36"/>
      <c r="G51" s="37"/>
      <c r="H51" s="38"/>
      <c r="I51" s="38">
        <f t="shared" si="9"/>
        <v>0</v>
      </c>
      <c r="J51" s="63">
        <f t="shared" si="1"/>
        <v>0</v>
      </c>
      <c r="K51" s="62"/>
      <c r="L51" s="36"/>
      <c r="M51" s="36"/>
      <c r="N51" s="36"/>
      <c r="O51" s="36"/>
      <c r="P51" s="36"/>
      <c r="Q51" s="99"/>
      <c r="R51" s="100">
        <f t="shared" si="2"/>
        <v>0</v>
      </c>
      <c r="S51" s="101">
        <f t="shared" si="3"/>
        <v>0</v>
      </c>
      <c r="T51" s="62"/>
      <c r="U51" s="8">
        <f t="shared" si="13"/>
        <v>0</v>
      </c>
      <c r="V51" s="135">
        <f t="shared" si="14"/>
        <v>0</v>
      </c>
      <c r="W51" s="134">
        <f t="shared" si="15"/>
        <v>0</v>
      </c>
      <c r="X51" s="61"/>
    </row>
    <row r="52" spans="1:24">
      <c r="A52" s="1">
        <f t="shared" si="7"/>
        <v>45</v>
      </c>
      <c r="B52" s="12" t="s">
        <v>63</v>
      </c>
      <c r="C52" s="26">
        <v>34</v>
      </c>
      <c r="D52" s="27"/>
      <c r="E52" s="51"/>
      <c r="F52" s="51"/>
      <c r="G52" s="52"/>
      <c r="H52" s="53"/>
      <c r="I52" s="53">
        <f t="shared" si="9"/>
        <v>34</v>
      </c>
      <c r="J52" s="70">
        <f t="shared" si="1"/>
        <v>0</v>
      </c>
      <c r="K52" s="65"/>
      <c r="L52" s="51"/>
      <c r="M52" s="51"/>
      <c r="N52" s="51"/>
      <c r="O52" s="51"/>
      <c r="P52" s="51"/>
      <c r="Q52" s="102"/>
      <c r="R52" s="107">
        <f t="shared" si="2"/>
        <v>0</v>
      </c>
      <c r="S52" s="120">
        <f t="shared" si="3"/>
        <v>0</v>
      </c>
      <c r="T52" s="65"/>
      <c r="U52" s="136">
        <f>L52*6+N52*6+P52*6</f>
        <v>0</v>
      </c>
      <c r="V52" s="141">
        <f>U52/6</f>
        <v>0</v>
      </c>
      <c r="W52" s="138">
        <f>I52*6+J52</f>
        <v>204</v>
      </c>
      <c r="X52" s="139"/>
    </row>
    <row r="53" spans="1:24">
      <c r="A53" s="1">
        <f t="shared" si="7"/>
        <v>46</v>
      </c>
      <c r="B53" s="7" t="s">
        <v>64</v>
      </c>
      <c r="C53" s="10">
        <v>2</v>
      </c>
      <c r="D53" s="11"/>
      <c r="E53" s="36"/>
      <c r="F53" s="36"/>
      <c r="G53" s="37"/>
      <c r="H53" s="38"/>
      <c r="I53" s="38">
        <f t="shared" si="9"/>
        <v>2</v>
      </c>
      <c r="J53" s="63">
        <f t="shared" si="1"/>
        <v>0</v>
      </c>
      <c r="K53" s="62"/>
      <c r="L53" s="36"/>
      <c r="M53" s="36"/>
      <c r="N53" s="36"/>
      <c r="O53" s="36"/>
      <c r="P53" s="36"/>
      <c r="Q53" s="99"/>
      <c r="R53" s="108">
        <f t="shared" si="2"/>
        <v>0</v>
      </c>
      <c r="S53" s="106">
        <f t="shared" si="3"/>
        <v>0</v>
      </c>
      <c r="T53" s="62"/>
      <c r="U53" s="8">
        <f>L53*24+N53*24+P53*24</f>
        <v>0</v>
      </c>
      <c r="V53" s="33">
        <f>U53/24</f>
        <v>0</v>
      </c>
      <c r="W53" s="134">
        <f>I53*24+J53</f>
        <v>48</v>
      </c>
      <c r="X53" s="61"/>
    </row>
    <row r="54" spans="1:24">
      <c r="A54" s="1">
        <f t="shared" si="7"/>
        <v>47</v>
      </c>
      <c r="B54" s="15" t="s">
        <v>65</v>
      </c>
      <c r="C54" s="10">
        <v>11</v>
      </c>
      <c r="D54" s="11"/>
      <c r="E54" s="36"/>
      <c r="F54" s="36"/>
      <c r="G54" s="37"/>
      <c r="H54" s="38"/>
      <c r="I54" s="38">
        <f t="shared" si="9"/>
        <v>11</v>
      </c>
      <c r="J54" s="63">
        <f t="shared" si="1"/>
        <v>0</v>
      </c>
      <c r="K54" s="62"/>
      <c r="L54" s="36"/>
      <c r="M54" s="36"/>
      <c r="N54" s="36"/>
      <c r="O54" s="36"/>
      <c r="P54" s="36"/>
      <c r="Q54" s="99"/>
      <c r="R54" s="100">
        <f t="shared" si="2"/>
        <v>0</v>
      </c>
      <c r="S54" s="101">
        <f t="shared" si="3"/>
        <v>0</v>
      </c>
      <c r="T54" s="62"/>
      <c r="U54" s="8">
        <f>L54*24+N54*24+P54*24</f>
        <v>0</v>
      </c>
      <c r="V54" s="135">
        <f>U54/24</f>
        <v>0</v>
      </c>
      <c r="W54" s="134">
        <f>I54*24+J54</f>
        <v>264</v>
      </c>
      <c r="X54" s="61"/>
    </row>
    <row r="55" spans="1:24">
      <c r="A55" s="1">
        <f t="shared" si="7"/>
        <v>48</v>
      </c>
      <c r="B55" s="15"/>
      <c r="C55" s="10"/>
      <c r="D55" s="11"/>
      <c r="E55" s="36"/>
      <c r="F55" s="36"/>
      <c r="G55" s="37"/>
      <c r="H55" s="38"/>
      <c r="I55" s="38">
        <f t="shared" ref="I55:I59" si="16">C55-G55</f>
        <v>0</v>
      </c>
      <c r="J55" s="63">
        <f t="shared" si="1"/>
        <v>0</v>
      </c>
      <c r="K55" s="62"/>
      <c r="L55" s="36"/>
      <c r="M55" s="36"/>
      <c r="N55" s="36"/>
      <c r="O55" s="36"/>
      <c r="P55" s="36"/>
      <c r="Q55" s="99"/>
      <c r="R55" s="100">
        <f t="shared" si="2"/>
        <v>0</v>
      </c>
      <c r="S55" s="101">
        <f t="shared" si="3"/>
        <v>0</v>
      </c>
      <c r="T55" s="62"/>
      <c r="U55" s="8"/>
      <c r="V55" s="135"/>
      <c r="W55" s="134"/>
      <c r="X55" s="61"/>
    </row>
    <row r="56" spans="1:24">
      <c r="A56" s="1">
        <f t="shared" si="7"/>
        <v>49</v>
      </c>
      <c r="B56" s="15"/>
      <c r="C56" s="10"/>
      <c r="D56" s="11"/>
      <c r="E56" s="36"/>
      <c r="F56" s="36"/>
      <c r="G56" s="37"/>
      <c r="H56" s="38"/>
      <c r="I56" s="38">
        <f t="shared" si="16"/>
        <v>0</v>
      </c>
      <c r="J56" s="63">
        <f t="shared" si="1"/>
        <v>0</v>
      </c>
      <c r="K56" s="62"/>
      <c r="L56" s="36"/>
      <c r="M56" s="36"/>
      <c r="N56" s="36"/>
      <c r="O56" s="36"/>
      <c r="P56" s="36"/>
      <c r="Q56" s="99"/>
      <c r="R56" s="100">
        <f t="shared" si="2"/>
        <v>0</v>
      </c>
      <c r="S56" s="101">
        <f t="shared" si="3"/>
        <v>0</v>
      </c>
      <c r="T56" s="62"/>
      <c r="U56" s="8"/>
      <c r="V56" s="135"/>
      <c r="W56" s="134"/>
      <c r="X56" s="61"/>
    </row>
    <row r="57" spans="1:24">
      <c r="A57" s="1">
        <f t="shared" si="7"/>
        <v>50</v>
      </c>
      <c r="B57" s="15"/>
      <c r="C57" s="10"/>
      <c r="D57" s="11"/>
      <c r="E57" s="36"/>
      <c r="F57" s="36"/>
      <c r="G57" s="37"/>
      <c r="H57" s="38"/>
      <c r="I57" s="38">
        <f t="shared" si="16"/>
        <v>0</v>
      </c>
      <c r="J57" s="63">
        <f t="shared" si="1"/>
        <v>0</v>
      </c>
      <c r="K57" s="62"/>
      <c r="L57" s="36"/>
      <c r="M57" s="36"/>
      <c r="N57" s="36"/>
      <c r="O57" s="36"/>
      <c r="P57" s="36"/>
      <c r="Q57" s="99"/>
      <c r="R57" s="100">
        <f t="shared" si="2"/>
        <v>0</v>
      </c>
      <c r="S57" s="101">
        <f t="shared" si="3"/>
        <v>0</v>
      </c>
      <c r="T57" s="62"/>
      <c r="U57" s="8"/>
      <c r="V57" s="135"/>
      <c r="W57" s="134"/>
      <c r="X57" s="61"/>
    </row>
    <row r="58" spans="1:24">
      <c r="A58" s="1">
        <f t="shared" si="7"/>
        <v>51</v>
      </c>
      <c r="B58" s="15"/>
      <c r="C58" s="10"/>
      <c r="D58" s="11"/>
      <c r="E58" s="36"/>
      <c r="F58" s="36"/>
      <c r="G58" s="37"/>
      <c r="H58" s="38"/>
      <c r="I58" s="38">
        <f t="shared" si="16"/>
        <v>0</v>
      </c>
      <c r="J58" s="63">
        <f t="shared" si="1"/>
        <v>0</v>
      </c>
      <c r="K58" s="62"/>
      <c r="L58" s="36"/>
      <c r="M58" s="36"/>
      <c r="N58" s="36"/>
      <c r="O58" s="36"/>
      <c r="P58" s="36"/>
      <c r="Q58" s="99"/>
      <c r="R58" s="100">
        <f t="shared" si="2"/>
        <v>0</v>
      </c>
      <c r="S58" s="101">
        <f t="shared" si="3"/>
        <v>0</v>
      </c>
      <c r="T58" s="62"/>
      <c r="U58" s="8"/>
      <c r="V58" s="135"/>
      <c r="W58" s="134"/>
      <c r="X58" s="61"/>
    </row>
    <row r="59" spans="1:24">
      <c r="A59" s="1">
        <f t="shared" si="7"/>
        <v>52</v>
      </c>
      <c r="B59" s="15"/>
      <c r="C59" s="10"/>
      <c r="D59" s="11"/>
      <c r="E59" s="36"/>
      <c r="F59" s="36"/>
      <c r="G59" s="37"/>
      <c r="H59" s="38"/>
      <c r="I59" s="38">
        <f t="shared" si="16"/>
        <v>0</v>
      </c>
      <c r="J59" s="63">
        <f t="shared" si="1"/>
        <v>0</v>
      </c>
      <c r="K59" s="62"/>
      <c r="L59" s="36"/>
      <c r="M59" s="36"/>
      <c r="N59" s="36"/>
      <c r="O59" s="36"/>
      <c r="P59" s="36"/>
      <c r="Q59" s="99"/>
      <c r="R59" s="100">
        <f t="shared" si="2"/>
        <v>0</v>
      </c>
      <c r="S59" s="101">
        <f t="shared" si="3"/>
        <v>0</v>
      </c>
      <c r="T59" s="62"/>
      <c r="U59" s="8"/>
      <c r="V59" s="135"/>
      <c r="W59" s="134"/>
      <c r="X59" s="61"/>
    </row>
    <row r="60" spans="1:24" s="2" customFormat="1">
      <c r="B60" s="28" t="s">
        <v>15</v>
      </c>
      <c r="C60" s="29">
        <f t="shared" ref="C60:J60" si="17">SUM(C8:C59)</f>
        <v>37644</v>
      </c>
      <c r="D60" s="30">
        <f t="shared" si="17"/>
        <v>154</v>
      </c>
      <c r="E60" s="54">
        <f t="shared" si="17"/>
        <v>1509</v>
      </c>
      <c r="F60" s="54"/>
      <c r="G60" s="55">
        <f t="shared" si="17"/>
        <v>1538</v>
      </c>
      <c r="H60" s="56">
        <f t="shared" si="17"/>
        <v>22</v>
      </c>
      <c r="I60" s="56">
        <f t="shared" si="17"/>
        <v>37615</v>
      </c>
      <c r="J60" s="78">
        <f t="shared" si="17"/>
        <v>132</v>
      </c>
      <c r="L60" s="79">
        <f t="shared" ref="L60:S60" si="18">SUM(L8:L59)</f>
        <v>449</v>
      </c>
      <c r="M60" s="79">
        <f t="shared" si="18"/>
        <v>0</v>
      </c>
      <c r="N60" s="79">
        <f t="shared" si="18"/>
        <v>404</v>
      </c>
      <c r="O60" s="79">
        <f t="shared" si="18"/>
        <v>11</v>
      </c>
      <c r="P60" s="79">
        <f t="shared" si="18"/>
        <v>685</v>
      </c>
      <c r="Q60" s="121">
        <f t="shared" si="18"/>
        <v>11</v>
      </c>
      <c r="R60" s="122">
        <f t="shared" si="18"/>
        <v>1538</v>
      </c>
      <c r="S60" s="123">
        <f t="shared" si="18"/>
        <v>22</v>
      </c>
      <c r="U60" s="29">
        <f t="shared" ref="U60:W60" si="19">SUM(U8:U59)</f>
        <v>9948</v>
      </c>
      <c r="V60" s="152">
        <f t="shared" si="19"/>
        <v>1538</v>
      </c>
      <c r="W60" s="179">
        <f t="shared" si="19"/>
        <v>301188</v>
      </c>
      <c r="X60" s="78"/>
    </row>
    <row r="61" spans="1:24">
      <c r="V61" s="154"/>
    </row>
    <row r="62" spans="1:24" ht="18.75" customHeight="1">
      <c r="G62" s="197" t="s">
        <v>66</v>
      </c>
      <c r="H62" s="57"/>
      <c r="I62" s="57"/>
      <c r="J62" s="80" t="s">
        <v>67</v>
      </c>
      <c r="L62" s="81"/>
      <c r="M62" s="87"/>
      <c r="N62" s="88"/>
      <c r="O62" s="88"/>
      <c r="P62" s="88"/>
      <c r="Q62" s="124"/>
      <c r="R62" s="124"/>
      <c r="S62" s="125"/>
    </row>
    <row r="63" spans="1:24">
      <c r="G63" s="198"/>
      <c r="H63" s="58"/>
      <c r="I63" s="58"/>
      <c r="J63" s="82" t="s">
        <v>68</v>
      </c>
      <c r="L63" s="83"/>
      <c r="M63" s="89"/>
      <c r="N63" s="90"/>
      <c r="O63" s="90"/>
      <c r="P63" s="90"/>
      <c r="Q63" s="126"/>
      <c r="R63" s="126"/>
      <c r="S63" s="127"/>
    </row>
    <row r="64" spans="1:24">
      <c r="G64" s="199"/>
      <c r="H64" s="59"/>
      <c r="I64" s="59"/>
      <c r="J64" s="82" t="s">
        <v>69</v>
      </c>
      <c r="L64" s="84"/>
      <c r="M64" s="91"/>
      <c r="N64" s="92"/>
      <c r="O64" s="92"/>
      <c r="P64" s="92"/>
      <c r="Q64" s="128"/>
      <c r="R64" s="128"/>
      <c r="S64" s="129"/>
    </row>
    <row r="65" spans="2:24">
      <c r="G65" s="200" t="s">
        <v>70</v>
      </c>
      <c r="H65" s="164"/>
      <c r="I65" s="164"/>
      <c r="J65" s="82" t="s">
        <v>67</v>
      </c>
      <c r="L65" s="84"/>
      <c r="M65" s="91"/>
      <c r="N65" s="92"/>
      <c r="O65" s="92"/>
      <c r="P65" s="92"/>
      <c r="Q65" s="128"/>
      <c r="R65" s="128"/>
      <c r="S65" s="129"/>
    </row>
    <row r="66" spans="2:24">
      <c r="G66" s="200"/>
      <c r="H66" s="164"/>
      <c r="I66" s="164"/>
      <c r="J66" s="82" t="s">
        <v>68</v>
      </c>
      <c r="L66" s="83"/>
      <c r="M66" s="89"/>
      <c r="N66" s="90"/>
      <c r="O66" s="90"/>
      <c r="P66" s="90"/>
      <c r="Q66" s="126"/>
      <c r="R66" s="126"/>
      <c r="S66" s="127"/>
    </row>
    <row r="67" spans="2:24">
      <c r="G67" s="201"/>
      <c r="H67" s="165"/>
      <c r="I67" s="165"/>
      <c r="J67" s="167" t="s">
        <v>69</v>
      </c>
      <c r="L67" s="168"/>
      <c r="M67" s="170"/>
      <c r="N67" s="171"/>
      <c r="O67" s="171"/>
      <c r="P67" s="171"/>
      <c r="Q67" s="174"/>
      <c r="R67" s="174"/>
      <c r="S67" s="175"/>
    </row>
    <row r="69" spans="2:24" ht="49.5" customHeight="1">
      <c r="B69" s="159" t="s">
        <v>71</v>
      </c>
      <c r="C69" s="5" t="s">
        <v>4</v>
      </c>
      <c r="D69" s="6"/>
      <c r="E69" s="166" t="s">
        <v>72</v>
      </c>
      <c r="L69" s="169" t="s">
        <v>12</v>
      </c>
      <c r="M69" s="172"/>
      <c r="N69" s="173" t="s">
        <v>13</v>
      </c>
      <c r="O69" s="173"/>
      <c r="P69" s="173" t="s">
        <v>14</v>
      </c>
      <c r="Q69" s="176"/>
      <c r="R69" s="176"/>
      <c r="S69" s="177" t="s">
        <v>73</v>
      </c>
      <c r="X69" s="178" t="s">
        <v>74</v>
      </c>
    </row>
    <row r="70" spans="2:24">
      <c r="B70" s="160" t="s">
        <v>47</v>
      </c>
      <c r="C70" s="161"/>
      <c r="D70" s="161"/>
      <c r="E70" s="163"/>
      <c r="L70" s="161"/>
      <c r="M70" s="161"/>
      <c r="N70" s="161"/>
      <c r="O70" s="161"/>
      <c r="P70" s="161"/>
      <c r="Q70" s="161"/>
      <c r="R70" s="161"/>
      <c r="S70" s="161"/>
      <c r="X70" s="163"/>
    </row>
    <row r="71" spans="2:24">
      <c r="B71" s="162" t="s">
        <v>75</v>
      </c>
      <c r="C71" s="161"/>
      <c r="D71" s="161"/>
      <c r="E71" s="163"/>
      <c r="L71" s="163"/>
      <c r="M71" s="163"/>
      <c r="N71" s="163"/>
      <c r="O71" s="163"/>
      <c r="P71" s="163"/>
      <c r="Q71" s="163"/>
      <c r="R71" s="163"/>
      <c r="S71" s="163"/>
      <c r="X71" s="163"/>
    </row>
    <row r="72" spans="2:24">
      <c r="B72" s="162" t="s">
        <v>76</v>
      </c>
      <c r="C72" s="161"/>
      <c r="D72" s="161"/>
      <c r="E72" s="163"/>
      <c r="L72" s="163"/>
      <c r="M72" s="163"/>
      <c r="N72" s="163"/>
      <c r="O72" s="163"/>
      <c r="P72" s="163"/>
      <c r="Q72" s="163"/>
      <c r="R72" s="163"/>
      <c r="S72" s="163"/>
      <c r="X72" s="163"/>
    </row>
    <row r="73" spans="2:24" ht="11.25" customHeight="1"/>
    <row r="74" spans="2:24">
      <c r="B74" s="162" t="s">
        <v>77</v>
      </c>
      <c r="C74" s="163"/>
      <c r="D74" s="163"/>
      <c r="E74" s="163"/>
      <c r="L74" s="163"/>
      <c r="M74" s="163"/>
      <c r="N74" s="163"/>
      <c r="O74" s="163"/>
      <c r="P74" s="163"/>
      <c r="Q74" s="163"/>
      <c r="R74" s="163"/>
      <c r="S74" s="163"/>
      <c r="X74" s="163"/>
    </row>
    <row r="75" spans="2:24">
      <c r="B75" s="162" t="s">
        <v>75</v>
      </c>
      <c r="C75" s="163"/>
      <c r="D75" s="163"/>
      <c r="E75" s="163"/>
      <c r="L75" s="163"/>
      <c r="M75" s="163"/>
      <c r="N75" s="163"/>
      <c r="O75" s="163"/>
      <c r="P75" s="163"/>
      <c r="Q75" s="163"/>
      <c r="R75" s="163"/>
      <c r="S75" s="163"/>
      <c r="X75" s="163"/>
    </row>
    <row r="76" spans="2:24">
      <c r="B76" s="162" t="s">
        <v>76</v>
      </c>
      <c r="C76" s="163"/>
      <c r="D76" s="163"/>
      <c r="E76" s="163"/>
      <c r="L76" s="163"/>
      <c r="M76" s="163"/>
      <c r="N76" s="163"/>
      <c r="O76" s="163"/>
      <c r="P76" s="163"/>
      <c r="Q76" s="163"/>
      <c r="R76" s="163"/>
      <c r="S76" s="163"/>
      <c r="X76" s="163"/>
    </row>
    <row r="77" spans="2:24" ht="11.25" customHeight="1"/>
    <row r="78" spans="2:24">
      <c r="B78" s="162" t="s">
        <v>78</v>
      </c>
      <c r="C78" s="163"/>
      <c r="D78" s="163"/>
      <c r="E78" s="163"/>
      <c r="L78" s="163"/>
      <c r="M78" s="163"/>
      <c r="N78" s="163"/>
      <c r="O78" s="163"/>
      <c r="P78" s="163"/>
      <c r="Q78" s="163"/>
      <c r="R78" s="163"/>
      <c r="S78" s="163"/>
      <c r="X78" s="163"/>
    </row>
    <row r="79" spans="2:24">
      <c r="B79" s="162" t="s">
        <v>75</v>
      </c>
      <c r="C79" s="163"/>
      <c r="D79" s="163"/>
      <c r="E79" s="163"/>
      <c r="L79" s="163"/>
      <c r="M79" s="163"/>
      <c r="N79" s="163"/>
      <c r="O79" s="163"/>
      <c r="P79" s="163"/>
      <c r="Q79" s="163"/>
      <c r="R79" s="163"/>
      <c r="S79" s="163"/>
      <c r="X79" s="163"/>
    </row>
    <row r="80" spans="2:24">
      <c r="B80" s="162" t="s">
        <v>76</v>
      </c>
      <c r="C80" s="163"/>
      <c r="D80" s="163"/>
      <c r="E80" s="163"/>
      <c r="L80" s="163"/>
      <c r="M80" s="163"/>
      <c r="N80" s="163"/>
      <c r="O80" s="163"/>
      <c r="P80" s="163"/>
      <c r="Q80" s="163"/>
      <c r="R80" s="163"/>
      <c r="S80" s="163"/>
      <c r="X80" s="163"/>
    </row>
    <row r="81" spans="2:24" ht="11.25" customHeight="1"/>
    <row r="82" spans="2:24">
      <c r="B82" s="162" t="s">
        <v>79</v>
      </c>
      <c r="C82" s="163"/>
      <c r="D82" s="163"/>
      <c r="E82" s="163"/>
      <c r="L82" s="163"/>
      <c r="M82" s="163"/>
      <c r="N82" s="163"/>
      <c r="O82" s="163"/>
      <c r="P82" s="163"/>
      <c r="Q82" s="163"/>
      <c r="R82" s="163"/>
      <c r="S82" s="163"/>
      <c r="X82" s="163"/>
    </row>
    <row r="83" spans="2:24">
      <c r="B83" s="162" t="s">
        <v>75</v>
      </c>
      <c r="C83" s="163"/>
      <c r="D83" s="163"/>
      <c r="E83" s="163"/>
      <c r="L83" s="163"/>
      <c r="M83" s="163"/>
      <c r="N83" s="163"/>
      <c r="O83" s="163"/>
      <c r="P83" s="163"/>
      <c r="Q83" s="163"/>
      <c r="R83" s="163"/>
      <c r="S83" s="163"/>
      <c r="X83" s="163"/>
    </row>
    <row r="84" spans="2:24">
      <c r="B84" s="162" t="s">
        <v>76</v>
      </c>
      <c r="C84" s="161"/>
      <c r="D84" s="161"/>
      <c r="E84" s="163"/>
      <c r="L84" s="163"/>
      <c r="M84" s="163"/>
      <c r="N84" s="163"/>
      <c r="O84" s="163"/>
      <c r="P84" s="163"/>
      <c r="Q84" s="163"/>
      <c r="R84" s="163"/>
      <c r="S84" s="163"/>
      <c r="X84" s="163"/>
    </row>
    <row r="85" spans="2:24" ht="11.25" customHeight="1"/>
    <row r="86" spans="2:24">
      <c r="B86" s="162" t="s">
        <v>80</v>
      </c>
      <c r="C86" s="163"/>
      <c r="D86" s="163"/>
      <c r="E86" s="163"/>
      <c r="L86" s="163"/>
      <c r="M86" s="163"/>
      <c r="N86" s="163"/>
      <c r="O86" s="163"/>
      <c r="P86" s="163"/>
      <c r="Q86" s="163"/>
      <c r="R86" s="163"/>
      <c r="S86" s="163"/>
      <c r="X86" s="163"/>
    </row>
    <row r="87" spans="2:24">
      <c r="B87" s="162" t="s">
        <v>75</v>
      </c>
      <c r="C87" s="163"/>
      <c r="D87" s="163"/>
      <c r="E87" s="163"/>
      <c r="L87" s="163"/>
      <c r="M87" s="163"/>
      <c r="N87" s="163"/>
      <c r="O87" s="163"/>
      <c r="P87" s="163"/>
      <c r="Q87" s="163"/>
      <c r="R87" s="163"/>
      <c r="S87" s="163"/>
      <c r="X87" s="163"/>
    </row>
    <row r="88" spans="2:24">
      <c r="B88" s="162" t="s">
        <v>76</v>
      </c>
      <c r="C88" s="163"/>
      <c r="D88" s="163"/>
      <c r="E88" s="163"/>
      <c r="L88" s="163"/>
      <c r="M88" s="163"/>
      <c r="N88" s="163"/>
      <c r="O88" s="163"/>
      <c r="P88" s="163"/>
      <c r="Q88" s="163"/>
      <c r="R88" s="163"/>
      <c r="S88" s="163"/>
      <c r="X88" s="163"/>
    </row>
    <row r="90" spans="2:24">
      <c r="B90" s="162" t="s">
        <v>81</v>
      </c>
      <c r="C90" s="163"/>
      <c r="D90" s="163"/>
      <c r="E90" s="163"/>
      <c r="L90" s="163"/>
      <c r="M90" s="163"/>
      <c r="N90" s="163"/>
      <c r="O90" s="163"/>
      <c r="P90" s="163"/>
      <c r="Q90" s="163"/>
      <c r="R90" s="163"/>
      <c r="S90" s="163"/>
      <c r="X90" s="163"/>
    </row>
  </sheetData>
  <mergeCells count="12">
    <mergeCell ref="G62:G64"/>
    <mergeCell ref="G65:G67"/>
    <mergeCell ref="H4:H5"/>
    <mergeCell ref="I4:I5"/>
    <mergeCell ref="J4:J5"/>
    <mergeCell ref="P1:X1"/>
    <mergeCell ref="E4:F4"/>
    <mergeCell ref="L4:X4"/>
    <mergeCell ref="B4:B5"/>
    <mergeCell ref="C4:C5"/>
    <mergeCell ref="D4:D5"/>
    <mergeCell ref="G4:G5"/>
  </mergeCells>
  <printOptions horizontalCentered="1" verticalCentered="1"/>
  <pageMargins left="0.196850393700787" right="0.196850393700787" top="0.196850393700787" bottom="0.196850393700787" header="0.511811023622047" footer="0.511811023622047"/>
  <pageSetup paperSize="9" scale="51"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30CD1-015F-4F87-B3E8-BA8F91BEF5A2}">
  <sheetPr>
    <pageSetUpPr fitToPage="1"/>
  </sheetPr>
  <dimension ref="A1:BH90"/>
  <sheetViews>
    <sheetView zoomScaleNormal="100" zoomScaleSheetLayoutView="85" zoomScalePageLayoutView="80" workbookViewId="0">
      <selection activeCell="P1" sqref="P1:X1"/>
    </sheetView>
  </sheetViews>
  <sheetFormatPr defaultColWidth="9.140625" defaultRowHeight="18.75"/>
  <cols>
    <col min="1" max="1" width="5.42578125" style="3" customWidth="1"/>
    <col min="2" max="2" width="12.28515625" style="3" customWidth="1"/>
    <col min="3" max="3" width="12.7109375" style="3" customWidth="1"/>
    <col min="4" max="4" width="8.5703125" style="3" bestFit="1" customWidth="1"/>
    <col min="5" max="5" width="12.140625" style="3" customWidth="1"/>
    <col min="6" max="6" width="9.85546875" style="3" customWidth="1"/>
    <col min="7" max="7" width="11" style="3" customWidth="1"/>
    <col min="8" max="8" width="8" style="3" customWidth="1"/>
    <col min="9" max="9" width="14.7109375" style="3" customWidth="1"/>
    <col min="10" max="10" width="8.28515625" style="3" customWidth="1"/>
    <col min="11" max="11" width="1.28515625" style="3" customWidth="1"/>
    <col min="12" max="12" width="11" style="3" customWidth="1"/>
    <col min="13" max="13" width="7.85546875" style="3" customWidth="1"/>
    <col min="14" max="14" width="11" style="3" customWidth="1"/>
    <col min="15" max="15" width="6.5703125" style="3" customWidth="1"/>
    <col min="16" max="16" width="11" style="3" customWidth="1"/>
    <col min="17" max="17" width="6.5703125" style="3" customWidth="1"/>
    <col min="18" max="18" width="9.5703125" style="3" customWidth="1"/>
    <col min="19" max="19" width="8.140625" style="3" customWidth="1"/>
    <col min="20" max="20" width="1.28515625" style="3" customWidth="1"/>
    <col min="21" max="21" width="12.7109375" style="3" customWidth="1"/>
    <col min="22" max="22" width="12.7109375" style="3" hidden="1" customWidth="1"/>
    <col min="23" max="23" width="14.5703125" style="3" customWidth="1"/>
    <col min="24" max="24" width="11.5703125" style="3" customWidth="1"/>
    <col min="25" max="25" width="2" style="3" customWidth="1"/>
    <col min="26" max="26" width="10.5703125" style="3" customWidth="1"/>
    <col min="27" max="55" width="7.28515625" style="3" customWidth="1"/>
    <col min="56" max="56" width="1.5703125" style="3" customWidth="1"/>
    <col min="57" max="57" width="9.42578125" style="3" customWidth="1"/>
    <col min="58" max="58" width="1.28515625" style="3" customWidth="1"/>
    <col min="59" max="59" width="12.7109375" style="3" customWidth="1"/>
    <col min="60" max="60" width="10.28515625" style="3" customWidth="1"/>
    <col min="61" max="16384" width="9.140625" style="3"/>
  </cols>
  <sheetData>
    <row r="1" spans="1:60" ht="19.5" thickBot="1">
      <c r="B1" s="2" t="s">
        <v>0</v>
      </c>
      <c r="N1" s="3" t="s">
        <v>1</v>
      </c>
      <c r="P1" s="183">
        <v>46160</v>
      </c>
      <c r="Q1" s="184"/>
      <c r="R1" s="184"/>
      <c r="S1" s="184"/>
      <c r="T1" s="184"/>
      <c r="U1" s="184"/>
      <c r="V1" s="184"/>
      <c r="W1" s="184"/>
      <c r="X1" s="185"/>
    </row>
    <row r="2" spans="1:60" ht="15" customHeight="1">
      <c r="B2" s="2" t="s">
        <v>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4" spans="1:60" ht="19.5" customHeight="1" thickBot="1">
      <c r="A4" s="4"/>
      <c r="B4" s="192" t="s">
        <v>3</v>
      </c>
      <c r="C4" s="193" t="s">
        <v>4</v>
      </c>
      <c r="D4" s="194" t="s">
        <v>5</v>
      </c>
      <c r="E4" s="186" t="s">
        <v>6</v>
      </c>
      <c r="F4" s="187"/>
      <c r="G4" s="195" t="s">
        <v>7</v>
      </c>
      <c r="H4" s="202" t="s">
        <v>5</v>
      </c>
      <c r="I4" s="204" t="s">
        <v>8</v>
      </c>
      <c r="J4" s="202" t="s">
        <v>5</v>
      </c>
      <c r="L4" s="188" t="s">
        <v>9</v>
      </c>
      <c r="M4" s="189"/>
      <c r="N4" s="189"/>
      <c r="O4" s="189"/>
      <c r="P4" s="189"/>
      <c r="Q4" s="189"/>
      <c r="R4" s="189"/>
      <c r="S4" s="189"/>
      <c r="T4" s="189"/>
      <c r="U4" s="189"/>
      <c r="V4" s="190"/>
      <c r="W4" s="189"/>
      <c r="X4" s="191"/>
    </row>
    <row r="5" spans="1:60" s="1" customFormat="1" ht="57" thickBot="1">
      <c r="A5" s="4"/>
      <c r="B5" s="192"/>
      <c r="C5" s="193"/>
      <c r="D5" s="194"/>
      <c r="E5" s="31" t="s">
        <v>10</v>
      </c>
      <c r="F5" s="32" t="s">
        <v>11</v>
      </c>
      <c r="G5" s="196"/>
      <c r="H5" s="203"/>
      <c r="I5" s="205"/>
      <c r="J5" s="203"/>
      <c r="L5" s="60" t="s">
        <v>12</v>
      </c>
      <c r="M5" s="85" t="s">
        <v>5</v>
      </c>
      <c r="N5" s="86" t="s">
        <v>13</v>
      </c>
      <c r="O5" s="85" t="s">
        <v>5</v>
      </c>
      <c r="P5" s="86" t="s">
        <v>14</v>
      </c>
      <c r="Q5" s="85" t="s">
        <v>5</v>
      </c>
      <c r="R5" s="93" t="s">
        <v>15</v>
      </c>
      <c r="S5" s="94" t="s">
        <v>5</v>
      </c>
      <c r="T5" s="95"/>
      <c r="U5" s="130" t="s">
        <v>16</v>
      </c>
      <c r="V5" s="131" t="s">
        <v>17</v>
      </c>
      <c r="W5" s="132" t="s">
        <v>18</v>
      </c>
      <c r="X5" s="133" t="s">
        <v>19</v>
      </c>
      <c r="AL5" s="156"/>
      <c r="AM5" s="156"/>
      <c r="AN5" s="156"/>
      <c r="AO5" s="156"/>
      <c r="AP5" s="156"/>
      <c r="AQ5" s="156"/>
      <c r="AR5" s="156"/>
      <c r="AS5" s="156"/>
      <c r="AT5" s="156"/>
      <c r="AU5" s="156"/>
      <c r="AV5" s="156"/>
      <c r="AW5" s="156"/>
      <c r="AX5" s="156"/>
      <c r="AY5" s="156"/>
      <c r="AZ5" s="156"/>
      <c r="BA5" s="156"/>
      <c r="BB5" s="156"/>
      <c r="BC5" s="156"/>
      <c r="BD5" s="156"/>
      <c r="BE5" s="156"/>
      <c r="BF5" s="156"/>
      <c r="BG5" s="156"/>
      <c r="BH5" s="156"/>
    </row>
    <row r="6" spans="1:60" s="1" customFormat="1" ht="19.5" thickBot="1">
      <c r="B6" s="7"/>
      <c r="C6" s="8"/>
      <c r="D6" s="9"/>
      <c r="E6" s="33"/>
      <c r="F6" s="33"/>
      <c r="G6" s="34"/>
      <c r="H6" s="35"/>
      <c r="I6" s="35"/>
      <c r="J6" s="61"/>
      <c r="K6" s="62"/>
      <c r="L6" s="33"/>
      <c r="M6" s="33"/>
      <c r="N6" s="33"/>
      <c r="O6" s="33"/>
      <c r="P6" s="33"/>
      <c r="Q6" s="96"/>
      <c r="R6" s="97"/>
      <c r="S6" s="98"/>
      <c r="T6" s="62"/>
      <c r="U6" s="8"/>
      <c r="V6" s="33"/>
      <c r="W6" s="134"/>
      <c r="X6" s="61"/>
      <c r="AL6" s="156"/>
      <c r="AM6" s="156"/>
      <c r="AN6" s="156"/>
      <c r="AO6" s="156"/>
      <c r="AP6" s="156"/>
      <c r="AQ6" s="156"/>
      <c r="AR6" s="156"/>
      <c r="AS6" s="156"/>
      <c r="AT6" s="156"/>
      <c r="AU6" s="156"/>
      <c r="AV6" s="156"/>
      <c r="AW6" s="156"/>
      <c r="AX6" s="156"/>
      <c r="AY6" s="156"/>
      <c r="AZ6" s="156"/>
      <c r="BA6" s="156"/>
      <c r="BB6" s="156"/>
      <c r="BC6" s="156"/>
      <c r="BD6" s="156"/>
      <c r="BE6" s="156"/>
      <c r="BF6" s="156"/>
      <c r="BG6" s="156"/>
      <c r="BH6" s="156"/>
    </row>
    <row r="7" spans="1:60" s="1" customFormat="1" ht="19.5" thickBot="1">
      <c r="B7" s="7"/>
      <c r="C7" s="8"/>
      <c r="D7" s="9"/>
      <c r="E7" s="33"/>
      <c r="F7" s="33"/>
      <c r="G7" s="34"/>
      <c r="H7" s="35"/>
      <c r="I7" s="35"/>
      <c r="J7" s="61"/>
      <c r="K7" s="62"/>
      <c r="L7" s="33"/>
      <c r="M7" s="33"/>
      <c r="N7" s="33"/>
      <c r="O7" s="33"/>
      <c r="P7" s="33"/>
      <c r="Q7" s="96"/>
      <c r="R7" s="97"/>
      <c r="S7" s="98"/>
      <c r="T7" s="62"/>
      <c r="U7" s="8"/>
      <c r="V7" s="135"/>
      <c r="W7" s="134"/>
      <c r="X7" s="61"/>
      <c r="AL7" s="156"/>
      <c r="AM7" s="156"/>
      <c r="AN7" s="156"/>
      <c r="AO7" s="156"/>
      <c r="AP7" s="156"/>
      <c r="AQ7" s="156"/>
      <c r="AR7" s="156"/>
      <c r="AS7" s="156"/>
      <c r="AT7" s="156"/>
      <c r="AU7" s="156"/>
      <c r="AV7" s="156"/>
      <c r="AW7" s="156"/>
      <c r="AX7" s="156"/>
      <c r="AY7" s="156"/>
      <c r="AZ7" s="156"/>
      <c r="BA7" s="156"/>
      <c r="BB7" s="156"/>
      <c r="BC7" s="156"/>
      <c r="BD7" s="156"/>
      <c r="BE7" s="156"/>
      <c r="BF7" s="156"/>
      <c r="BG7" s="156"/>
      <c r="BH7" s="156"/>
    </row>
    <row r="8" spans="1:60" ht="19.5" thickBot="1">
      <c r="A8" s="1">
        <v>1</v>
      </c>
      <c r="B8" s="7" t="s">
        <v>20</v>
      </c>
      <c r="C8" s="10">
        <v>11</v>
      </c>
      <c r="D8" s="11">
        <v>19</v>
      </c>
      <c r="E8" s="36"/>
      <c r="F8" s="36"/>
      <c r="G8" s="37"/>
      <c r="H8" s="38"/>
      <c r="I8" s="38">
        <f t="shared" ref="I8:J43" si="0">C8-G8</f>
        <v>11</v>
      </c>
      <c r="J8" s="63">
        <f t="shared" si="0"/>
        <v>19</v>
      </c>
      <c r="K8" s="62"/>
      <c r="L8" s="36"/>
      <c r="M8" s="36"/>
      <c r="N8" s="36"/>
      <c r="O8" s="36"/>
      <c r="P8" s="36"/>
      <c r="Q8" s="99"/>
      <c r="R8" s="100">
        <f t="shared" ref="R8:S59" si="1">L8+N8+P8</f>
        <v>0</v>
      </c>
      <c r="S8" s="101">
        <f t="shared" si="1"/>
        <v>0</v>
      </c>
      <c r="T8" s="62"/>
      <c r="U8" s="8">
        <f t="shared" ref="U8:U37" si="2">L8*24+N8*24+P8*24</f>
        <v>0</v>
      </c>
      <c r="V8" s="135">
        <f t="shared" ref="V8:V37" si="3">U8/24</f>
        <v>0</v>
      </c>
      <c r="W8" s="134">
        <f t="shared" ref="W8:W37" si="4">I8*24+J8</f>
        <v>283</v>
      </c>
      <c r="X8" s="61"/>
      <c r="AL8" s="157"/>
      <c r="AM8" s="157"/>
      <c r="AN8" s="157"/>
      <c r="AO8" s="157"/>
      <c r="AP8" s="157"/>
      <c r="AQ8" s="157"/>
      <c r="AR8" s="157"/>
      <c r="AS8" s="157"/>
      <c r="AT8" s="157"/>
      <c r="AU8" s="157"/>
      <c r="AV8" s="157"/>
      <c r="AW8" s="157"/>
      <c r="AX8" s="157"/>
      <c r="AY8" s="157"/>
      <c r="AZ8" s="157"/>
      <c r="BA8" s="157"/>
      <c r="BB8" s="157"/>
      <c r="BC8" s="157"/>
      <c r="BD8" s="157"/>
      <c r="BE8" s="157"/>
      <c r="BF8" s="157"/>
      <c r="BG8" s="157"/>
      <c r="BH8" s="157"/>
    </row>
    <row r="9" spans="1:60" ht="19.5" thickBot="1">
      <c r="A9" s="1">
        <f t="shared" ref="A9:A59" si="5">A8+1</f>
        <v>2</v>
      </c>
      <c r="B9" s="12" t="s">
        <v>21</v>
      </c>
      <c r="C9" s="13">
        <v>76</v>
      </c>
      <c r="D9" s="14"/>
      <c r="E9" s="39"/>
      <c r="F9" s="39"/>
      <c r="G9" s="40"/>
      <c r="H9" s="41"/>
      <c r="I9" s="40">
        <f t="shared" si="0"/>
        <v>76</v>
      </c>
      <c r="J9" s="64">
        <f t="shared" si="0"/>
        <v>0</v>
      </c>
      <c r="K9" s="65"/>
      <c r="L9" s="51"/>
      <c r="M9" s="51"/>
      <c r="N9" s="51"/>
      <c r="O9" s="51"/>
      <c r="P9" s="51"/>
      <c r="Q9" s="102"/>
      <c r="R9" s="103">
        <f t="shared" si="1"/>
        <v>0</v>
      </c>
      <c r="S9" s="104">
        <f t="shared" si="1"/>
        <v>0</v>
      </c>
      <c r="T9" s="65"/>
      <c r="U9" s="136">
        <f t="shared" si="2"/>
        <v>0</v>
      </c>
      <c r="V9" s="137">
        <f t="shared" si="3"/>
        <v>0</v>
      </c>
      <c r="W9" s="138">
        <f t="shared" si="4"/>
        <v>1824</v>
      </c>
      <c r="X9" s="139"/>
      <c r="AL9" s="157"/>
      <c r="AM9" s="157"/>
      <c r="AN9" s="157"/>
      <c r="AO9" s="157"/>
      <c r="AP9" s="157"/>
      <c r="AQ9" s="157"/>
      <c r="AR9" s="157"/>
      <c r="AS9" s="157"/>
      <c r="AT9" s="157"/>
      <c r="AU9" s="157"/>
      <c r="AV9" s="157"/>
      <c r="AW9" s="157"/>
      <c r="AX9" s="157"/>
      <c r="AY9" s="157"/>
      <c r="AZ9" s="157"/>
      <c r="BA9" s="157"/>
      <c r="BB9" s="157"/>
      <c r="BC9" s="157"/>
      <c r="BD9" s="157"/>
      <c r="BE9" s="157"/>
      <c r="BF9" s="157"/>
      <c r="BG9" s="157"/>
      <c r="BH9" s="157"/>
    </row>
    <row r="10" spans="1:60" ht="19.5" thickBot="1">
      <c r="A10" s="1">
        <f t="shared" si="5"/>
        <v>3</v>
      </c>
      <c r="B10" s="7" t="s">
        <v>22</v>
      </c>
      <c r="C10" s="10">
        <v>44</v>
      </c>
      <c r="D10" s="11"/>
      <c r="E10" s="36"/>
      <c r="F10" s="36"/>
      <c r="G10" s="37">
        <v>2</v>
      </c>
      <c r="H10" s="38"/>
      <c r="I10" s="38">
        <f t="shared" si="0"/>
        <v>42</v>
      </c>
      <c r="J10" s="66">
        <f t="shared" si="0"/>
        <v>0</v>
      </c>
      <c r="K10" s="62"/>
      <c r="L10" s="36"/>
      <c r="M10" s="36"/>
      <c r="N10" s="36">
        <v>1</v>
      </c>
      <c r="O10" s="36"/>
      <c r="P10" s="36">
        <v>1</v>
      </c>
      <c r="Q10" s="99"/>
      <c r="R10" s="105">
        <f t="shared" si="1"/>
        <v>2</v>
      </c>
      <c r="S10" s="106">
        <f t="shared" si="1"/>
        <v>0</v>
      </c>
      <c r="T10" s="62"/>
      <c r="U10" s="8">
        <f t="shared" si="2"/>
        <v>48</v>
      </c>
      <c r="V10" s="140">
        <f t="shared" si="3"/>
        <v>2</v>
      </c>
      <c r="W10" s="134">
        <f t="shared" si="4"/>
        <v>1008</v>
      </c>
      <c r="X10" s="61"/>
      <c r="AL10" s="157"/>
      <c r="AM10" s="157"/>
      <c r="AN10" s="157"/>
      <c r="AO10" s="157"/>
      <c r="AP10" s="157"/>
      <c r="AQ10" s="157"/>
      <c r="AR10" s="157"/>
      <c r="AS10" s="157"/>
      <c r="AT10" s="157"/>
      <c r="AU10" s="157"/>
      <c r="AV10" s="157"/>
      <c r="AW10" s="157"/>
      <c r="AX10" s="157"/>
      <c r="AY10" s="157"/>
      <c r="AZ10" s="157"/>
      <c r="BA10" s="157"/>
      <c r="BB10" s="157"/>
      <c r="BC10" s="157"/>
      <c r="BD10" s="157"/>
      <c r="BE10" s="157"/>
      <c r="BF10" s="157"/>
      <c r="BG10" s="157"/>
      <c r="BH10" s="157"/>
    </row>
    <row r="11" spans="1:60" ht="19.5" thickBot="1">
      <c r="A11" s="1">
        <f t="shared" si="5"/>
        <v>4</v>
      </c>
      <c r="B11" s="15" t="s">
        <v>23</v>
      </c>
      <c r="C11" s="10">
        <v>42</v>
      </c>
      <c r="D11" s="11"/>
      <c r="E11" s="36"/>
      <c r="F11" s="36"/>
      <c r="G11" s="37">
        <v>1</v>
      </c>
      <c r="H11" s="38"/>
      <c r="I11" s="38">
        <f t="shared" si="0"/>
        <v>41</v>
      </c>
      <c r="J11" s="63">
        <f t="shared" si="0"/>
        <v>0</v>
      </c>
      <c r="K11" s="62"/>
      <c r="L11" s="36"/>
      <c r="M11" s="36"/>
      <c r="N11" s="36"/>
      <c r="O11" s="36"/>
      <c r="P11" s="36">
        <v>1</v>
      </c>
      <c r="Q11" s="99"/>
      <c r="R11" s="100">
        <f t="shared" si="1"/>
        <v>1</v>
      </c>
      <c r="S11" s="101">
        <f t="shared" si="1"/>
        <v>0</v>
      </c>
      <c r="T11" s="62"/>
      <c r="U11" s="8">
        <f t="shared" si="2"/>
        <v>24</v>
      </c>
      <c r="V11" s="135">
        <f t="shared" si="3"/>
        <v>1</v>
      </c>
      <c r="W11" s="134">
        <f t="shared" si="4"/>
        <v>984</v>
      </c>
      <c r="X11" s="61"/>
      <c r="AL11" s="157"/>
      <c r="AM11" s="157"/>
      <c r="AN11" s="157"/>
      <c r="AO11" s="157"/>
      <c r="AP11" s="157"/>
      <c r="AQ11" s="157"/>
      <c r="AR11" s="157"/>
      <c r="AS11" s="157"/>
      <c r="AT11" s="157"/>
      <c r="AU11" s="157"/>
      <c r="AV11" s="157"/>
      <c r="AW11" s="157"/>
      <c r="AX11" s="157"/>
      <c r="AY11" s="157"/>
      <c r="AZ11" s="157"/>
      <c r="BA11" s="157"/>
      <c r="BB11" s="157"/>
      <c r="BC11" s="157"/>
      <c r="BD11" s="157"/>
      <c r="BE11" s="157"/>
      <c r="BF11" s="157"/>
      <c r="BG11" s="157"/>
      <c r="BH11" s="157"/>
    </row>
    <row r="12" spans="1:60" ht="19.5" thickBot="1">
      <c r="A12" s="1">
        <f t="shared" si="5"/>
        <v>5</v>
      </c>
      <c r="B12" s="15" t="s">
        <v>24</v>
      </c>
      <c r="C12" s="10"/>
      <c r="D12" s="11">
        <v>2</v>
      </c>
      <c r="E12" s="36"/>
      <c r="F12" s="36"/>
      <c r="G12" s="37"/>
      <c r="H12" s="38"/>
      <c r="I12" s="38">
        <f t="shared" si="0"/>
        <v>0</v>
      </c>
      <c r="J12" s="63">
        <f t="shared" si="0"/>
        <v>2</v>
      </c>
      <c r="K12" s="62"/>
      <c r="L12" s="36"/>
      <c r="M12" s="36"/>
      <c r="N12" s="36"/>
      <c r="O12" s="36"/>
      <c r="P12" s="36"/>
      <c r="Q12" s="99"/>
      <c r="R12" s="100">
        <f t="shared" si="1"/>
        <v>0</v>
      </c>
      <c r="S12" s="101">
        <f t="shared" si="1"/>
        <v>0</v>
      </c>
      <c r="T12" s="62"/>
      <c r="U12" s="8">
        <f t="shared" si="2"/>
        <v>0</v>
      </c>
      <c r="V12" s="135">
        <f t="shared" si="3"/>
        <v>0</v>
      </c>
      <c r="W12" s="134">
        <f t="shared" si="4"/>
        <v>2</v>
      </c>
      <c r="X12" s="61"/>
      <c r="AL12" s="157"/>
      <c r="AM12" s="157"/>
      <c r="AN12" s="157"/>
      <c r="AO12" s="157"/>
      <c r="AP12" s="157"/>
      <c r="AQ12" s="157"/>
      <c r="AR12" s="157"/>
      <c r="AS12" s="157"/>
      <c r="AT12" s="157"/>
      <c r="AU12" s="157"/>
      <c r="AV12" s="157"/>
      <c r="AW12" s="157"/>
      <c r="AX12" s="157"/>
      <c r="AY12" s="157"/>
      <c r="AZ12" s="157"/>
      <c r="BA12" s="157"/>
      <c r="BB12" s="157"/>
      <c r="BC12" s="157"/>
      <c r="BD12" s="157"/>
      <c r="BE12" s="157"/>
      <c r="BF12" s="157"/>
      <c r="BG12" s="157"/>
      <c r="BH12" s="157"/>
    </row>
    <row r="13" spans="1:60" s="2" customFormat="1" ht="19.5" thickBot="1">
      <c r="A13" s="1">
        <f t="shared" si="5"/>
        <v>6</v>
      </c>
      <c r="B13" s="12" t="s">
        <v>25</v>
      </c>
      <c r="C13" s="13">
        <v>3271</v>
      </c>
      <c r="D13" s="14">
        <v>8</v>
      </c>
      <c r="E13" s="39"/>
      <c r="F13" s="39"/>
      <c r="G13" s="40">
        <v>41</v>
      </c>
      <c r="H13" s="41">
        <v>8</v>
      </c>
      <c r="I13" s="44">
        <f t="shared" si="0"/>
        <v>3230</v>
      </c>
      <c r="J13" s="64">
        <f t="shared" si="0"/>
        <v>0</v>
      </c>
      <c r="K13" s="67"/>
      <c r="L13" s="51"/>
      <c r="M13" s="51"/>
      <c r="N13" s="51">
        <v>25</v>
      </c>
      <c r="O13" s="51"/>
      <c r="P13" s="51">
        <v>16</v>
      </c>
      <c r="Q13" s="102">
        <v>8</v>
      </c>
      <c r="R13" s="107">
        <f t="shared" si="1"/>
        <v>41</v>
      </c>
      <c r="S13" s="104">
        <f t="shared" si="1"/>
        <v>8</v>
      </c>
      <c r="T13" s="67"/>
      <c r="U13" s="136">
        <f t="shared" si="2"/>
        <v>984</v>
      </c>
      <c r="V13" s="141">
        <f t="shared" si="3"/>
        <v>41</v>
      </c>
      <c r="W13" s="138">
        <f t="shared" si="4"/>
        <v>77520</v>
      </c>
      <c r="X13" s="139"/>
      <c r="Y13" s="3"/>
      <c r="AD13" s="3"/>
      <c r="AG13" s="3"/>
      <c r="AH13" s="3"/>
      <c r="AI13" s="3"/>
      <c r="AJ13" s="3"/>
      <c r="AK13" s="3"/>
      <c r="AL13" s="157"/>
      <c r="AM13" s="157"/>
      <c r="AN13" s="157"/>
      <c r="AO13" s="157"/>
      <c r="AP13" s="157"/>
      <c r="AQ13" s="157"/>
      <c r="AR13" s="157"/>
      <c r="AS13" s="157"/>
      <c r="AT13" s="157"/>
      <c r="AU13" s="157"/>
      <c r="AV13" s="157"/>
      <c r="AW13" s="157"/>
      <c r="AX13" s="157"/>
      <c r="AY13" s="157"/>
      <c r="AZ13" s="157"/>
      <c r="BA13" s="157"/>
      <c r="BB13" s="157"/>
      <c r="BC13" s="157"/>
      <c r="BD13" s="157"/>
      <c r="BE13" s="157"/>
      <c r="BF13" s="157"/>
      <c r="BG13" s="157"/>
      <c r="BH13" s="157"/>
    </row>
    <row r="14" spans="1:60" ht="19.5" thickBot="1">
      <c r="A14" s="1">
        <f t="shared" si="5"/>
        <v>7</v>
      </c>
      <c r="B14" s="7" t="s">
        <v>26</v>
      </c>
      <c r="C14" s="10">
        <v>3</v>
      </c>
      <c r="D14" s="11">
        <v>16</v>
      </c>
      <c r="E14" s="36"/>
      <c r="F14" s="36"/>
      <c r="G14" s="37"/>
      <c r="H14" s="38"/>
      <c r="I14" s="68">
        <f t="shared" si="0"/>
        <v>3</v>
      </c>
      <c r="J14" s="66">
        <f t="shared" si="0"/>
        <v>16</v>
      </c>
      <c r="K14" s="62"/>
      <c r="L14" s="36"/>
      <c r="M14" s="36"/>
      <c r="N14" s="36"/>
      <c r="O14" s="36"/>
      <c r="P14" s="36"/>
      <c r="Q14" s="99"/>
      <c r="R14" s="108">
        <f t="shared" si="1"/>
        <v>0</v>
      </c>
      <c r="S14" s="106">
        <f t="shared" si="1"/>
        <v>0</v>
      </c>
      <c r="T14" s="62"/>
      <c r="U14" s="8">
        <f t="shared" si="2"/>
        <v>0</v>
      </c>
      <c r="V14" s="33">
        <f t="shared" si="3"/>
        <v>0</v>
      </c>
      <c r="W14" s="134">
        <f t="shared" si="4"/>
        <v>88</v>
      </c>
      <c r="X14" s="61"/>
      <c r="AL14" s="157"/>
      <c r="AM14" s="157"/>
      <c r="AN14" s="157"/>
      <c r="AO14" s="157"/>
      <c r="AP14" s="157"/>
      <c r="AQ14" s="157"/>
      <c r="AR14" s="157"/>
      <c r="AS14" s="157"/>
      <c r="AT14" s="157"/>
      <c r="AU14" s="157"/>
      <c r="AV14" s="157"/>
      <c r="AW14" s="157"/>
      <c r="AX14" s="157"/>
      <c r="AY14" s="157"/>
      <c r="AZ14" s="157"/>
      <c r="BA14" s="157"/>
      <c r="BB14" s="157"/>
      <c r="BC14" s="157"/>
      <c r="BD14" s="157"/>
      <c r="BE14" s="157"/>
      <c r="BF14" s="157"/>
      <c r="BG14" s="157"/>
      <c r="BH14" s="157"/>
    </row>
    <row r="15" spans="1:60" ht="19.5" thickBot="1">
      <c r="A15" s="1">
        <f t="shared" si="5"/>
        <v>8</v>
      </c>
      <c r="B15" s="15" t="s">
        <v>27</v>
      </c>
      <c r="C15" s="10">
        <v>4</v>
      </c>
      <c r="D15" s="11"/>
      <c r="E15" s="36"/>
      <c r="F15" s="36"/>
      <c r="G15" s="37"/>
      <c r="H15" s="38"/>
      <c r="I15" s="38">
        <f t="shared" si="0"/>
        <v>4</v>
      </c>
      <c r="J15" s="63">
        <f t="shared" si="0"/>
        <v>0</v>
      </c>
      <c r="K15" s="62"/>
      <c r="L15" s="36"/>
      <c r="M15" s="36"/>
      <c r="N15" s="36"/>
      <c r="O15" s="36"/>
      <c r="P15" s="36"/>
      <c r="Q15" s="99"/>
      <c r="R15" s="100">
        <f t="shared" si="1"/>
        <v>0</v>
      </c>
      <c r="S15" s="101">
        <f t="shared" si="1"/>
        <v>0</v>
      </c>
      <c r="T15" s="62"/>
      <c r="U15" s="8">
        <f t="shared" si="2"/>
        <v>0</v>
      </c>
      <c r="V15" s="135">
        <f t="shared" si="3"/>
        <v>0</v>
      </c>
      <c r="W15" s="134">
        <f t="shared" si="4"/>
        <v>96</v>
      </c>
      <c r="X15" s="61"/>
      <c r="AL15" s="157"/>
      <c r="AM15" s="157"/>
      <c r="AN15" s="157"/>
      <c r="AO15" s="157"/>
      <c r="AP15" s="157"/>
      <c r="AQ15" s="157"/>
      <c r="AR15" s="157"/>
      <c r="AS15" s="157"/>
      <c r="AT15" s="157"/>
      <c r="AU15" s="157"/>
      <c r="AV15" s="157"/>
      <c r="AW15" s="157"/>
      <c r="AX15" s="157"/>
      <c r="AY15" s="157"/>
      <c r="AZ15" s="157"/>
      <c r="BA15" s="157"/>
      <c r="BB15" s="157"/>
      <c r="BC15" s="157"/>
      <c r="BD15" s="157"/>
      <c r="BE15" s="157"/>
      <c r="BF15" s="157"/>
      <c r="BG15" s="157"/>
      <c r="BH15" s="157"/>
    </row>
    <row r="16" spans="1:60" ht="19.5" thickBot="1">
      <c r="A16" s="1">
        <f t="shared" si="5"/>
        <v>9</v>
      </c>
      <c r="B16" s="15" t="s">
        <v>28</v>
      </c>
      <c r="C16" s="10">
        <v>1</v>
      </c>
      <c r="D16" s="11"/>
      <c r="E16" s="36"/>
      <c r="F16" s="36"/>
      <c r="G16" s="37"/>
      <c r="H16" s="38"/>
      <c r="I16" s="38">
        <f t="shared" si="0"/>
        <v>1</v>
      </c>
      <c r="J16" s="63">
        <f t="shared" si="0"/>
        <v>0</v>
      </c>
      <c r="K16" s="62"/>
      <c r="L16" s="36"/>
      <c r="M16" s="36"/>
      <c r="N16" s="36"/>
      <c r="O16" s="36"/>
      <c r="P16" s="36"/>
      <c r="Q16" s="99"/>
      <c r="R16" s="100">
        <f t="shared" si="1"/>
        <v>0</v>
      </c>
      <c r="S16" s="101">
        <f t="shared" si="1"/>
        <v>0</v>
      </c>
      <c r="T16" s="62"/>
      <c r="U16" s="8">
        <f t="shared" si="2"/>
        <v>0</v>
      </c>
      <c r="V16" s="135">
        <f t="shared" si="3"/>
        <v>0</v>
      </c>
      <c r="W16" s="134">
        <f t="shared" si="4"/>
        <v>24</v>
      </c>
      <c r="X16" s="61"/>
      <c r="AL16" s="157"/>
      <c r="AM16" s="157"/>
      <c r="AN16" s="157"/>
      <c r="AO16" s="157"/>
      <c r="AP16" s="157"/>
      <c r="AQ16" s="157"/>
      <c r="AR16" s="157"/>
      <c r="AS16" s="157"/>
      <c r="AT16" s="157"/>
      <c r="AU16" s="157"/>
      <c r="AV16" s="157"/>
      <c r="AW16" s="157"/>
      <c r="AX16" s="157"/>
      <c r="AY16" s="157"/>
      <c r="AZ16" s="157"/>
      <c r="BA16" s="157"/>
      <c r="BB16" s="157"/>
      <c r="BC16" s="157"/>
      <c r="BD16" s="157"/>
      <c r="BE16" s="157"/>
      <c r="BF16" s="157"/>
      <c r="BG16" s="157"/>
      <c r="BH16" s="157"/>
    </row>
    <row r="17" spans="1:60" ht="19.5" thickBot="1">
      <c r="A17" s="1">
        <f t="shared" si="5"/>
        <v>10</v>
      </c>
      <c r="B17" s="15" t="s">
        <v>29</v>
      </c>
      <c r="C17" s="10"/>
      <c r="D17" s="11"/>
      <c r="E17" s="36"/>
      <c r="F17" s="36"/>
      <c r="G17" s="37"/>
      <c r="H17" s="38"/>
      <c r="I17" s="38">
        <f t="shared" si="0"/>
        <v>0</v>
      </c>
      <c r="J17" s="63">
        <f t="shared" si="0"/>
        <v>0</v>
      </c>
      <c r="K17" s="62"/>
      <c r="L17" s="36"/>
      <c r="M17" s="36"/>
      <c r="N17" s="36"/>
      <c r="O17" s="36"/>
      <c r="P17" s="36"/>
      <c r="Q17" s="99"/>
      <c r="R17" s="100">
        <f t="shared" si="1"/>
        <v>0</v>
      </c>
      <c r="S17" s="101">
        <f t="shared" si="1"/>
        <v>0</v>
      </c>
      <c r="T17" s="62"/>
      <c r="U17" s="8">
        <f t="shared" si="2"/>
        <v>0</v>
      </c>
      <c r="V17" s="135">
        <f t="shared" si="3"/>
        <v>0</v>
      </c>
      <c r="W17" s="134">
        <f t="shared" si="4"/>
        <v>0</v>
      </c>
      <c r="X17" s="61"/>
      <c r="AL17" s="157"/>
      <c r="AM17" s="157"/>
      <c r="AN17" s="157"/>
      <c r="AO17" s="157"/>
      <c r="AP17" s="157"/>
      <c r="AQ17" s="157"/>
      <c r="AR17" s="157"/>
      <c r="AS17" s="157"/>
      <c r="AT17" s="157"/>
      <c r="AU17" s="157"/>
      <c r="AV17" s="157"/>
      <c r="AW17" s="157"/>
      <c r="AX17" s="157"/>
      <c r="AY17" s="157"/>
      <c r="AZ17" s="157"/>
      <c r="BA17" s="157"/>
      <c r="BB17" s="157"/>
      <c r="BC17" s="157"/>
      <c r="BD17" s="157"/>
      <c r="BE17" s="157"/>
      <c r="BF17" s="157"/>
      <c r="BG17" s="157"/>
      <c r="BH17" s="157"/>
    </row>
    <row r="18" spans="1:60" ht="19.5" thickBot="1">
      <c r="A18" s="1">
        <f t="shared" si="5"/>
        <v>11</v>
      </c>
      <c r="B18" s="15" t="s">
        <v>30</v>
      </c>
      <c r="C18" s="10">
        <v>3</v>
      </c>
      <c r="D18" s="11"/>
      <c r="E18" s="36"/>
      <c r="F18" s="36"/>
      <c r="G18" s="37"/>
      <c r="H18" s="38"/>
      <c r="I18" s="38">
        <f t="shared" si="0"/>
        <v>3</v>
      </c>
      <c r="J18" s="63">
        <f t="shared" si="0"/>
        <v>0</v>
      </c>
      <c r="K18" s="62"/>
      <c r="L18" s="36"/>
      <c r="M18" s="36"/>
      <c r="N18" s="36"/>
      <c r="O18" s="36"/>
      <c r="P18" s="36"/>
      <c r="Q18" s="99"/>
      <c r="R18" s="100">
        <f t="shared" si="1"/>
        <v>0</v>
      </c>
      <c r="S18" s="101">
        <f t="shared" si="1"/>
        <v>0</v>
      </c>
      <c r="T18" s="62"/>
      <c r="U18" s="8">
        <f t="shared" si="2"/>
        <v>0</v>
      </c>
      <c r="V18" s="135">
        <f t="shared" si="3"/>
        <v>0</v>
      </c>
      <c r="W18" s="134">
        <f t="shared" si="4"/>
        <v>72</v>
      </c>
      <c r="X18" s="61"/>
      <c r="AL18" s="157"/>
      <c r="AM18" s="157"/>
      <c r="AN18" s="157"/>
      <c r="AO18" s="157"/>
      <c r="AP18" s="157"/>
      <c r="AQ18" s="157"/>
      <c r="AR18" s="157"/>
      <c r="AS18" s="157"/>
      <c r="AT18" s="157"/>
      <c r="AU18" s="157"/>
      <c r="AV18" s="157"/>
      <c r="AW18" s="157"/>
      <c r="AX18" s="157"/>
      <c r="AY18" s="157"/>
      <c r="AZ18" s="157"/>
      <c r="BA18" s="157"/>
      <c r="BB18" s="157"/>
      <c r="BC18" s="157"/>
      <c r="BD18" s="157"/>
      <c r="BE18" s="157"/>
      <c r="BF18" s="157"/>
      <c r="BG18" s="157"/>
      <c r="BH18" s="157"/>
    </row>
    <row r="19" spans="1:60" ht="18.75" hidden="1" customHeight="1">
      <c r="A19" s="1">
        <f t="shared" si="5"/>
        <v>12</v>
      </c>
      <c r="B19" s="15" t="s">
        <v>31</v>
      </c>
      <c r="C19" s="10"/>
      <c r="D19" s="11"/>
      <c r="E19" s="36"/>
      <c r="F19" s="36"/>
      <c r="G19" s="37"/>
      <c r="H19" s="38"/>
      <c r="I19" s="38">
        <f t="shared" si="0"/>
        <v>0</v>
      </c>
      <c r="J19" s="63">
        <f t="shared" si="0"/>
        <v>0</v>
      </c>
      <c r="K19" s="62"/>
      <c r="L19" s="36"/>
      <c r="M19" s="36"/>
      <c r="N19" s="36"/>
      <c r="O19" s="36"/>
      <c r="P19" s="36"/>
      <c r="Q19" s="99"/>
      <c r="R19" s="100">
        <f t="shared" si="1"/>
        <v>0</v>
      </c>
      <c r="S19" s="101">
        <f t="shared" si="1"/>
        <v>0</v>
      </c>
      <c r="T19" s="62"/>
      <c r="U19" s="8">
        <f t="shared" si="2"/>
        <v>0</v>
      </c>
      <c r="V19" s="135">
        <f t="shared" si="3"/>
        <v>0</v>
      </c>
      <c r="W19" s="134">
        <f t="shared" si="4"/>
        <v>0</v>
      </c>
      <c r="X19" s="61"/>
      <c r="AL19" s="157"/>
      <c r="AM19" s="157"/>
      <c r="AN19" s="157"/>
      <c r="AO19" s="157"/>
      <c r="AP19" s="157"/>
      <c r="AQ19" s="157"/>
      <c r="AR19" s="157"/>
      <c r="AS19" s="157"/>
      <c r="AT19" s="157"/>
      <c r="AU19" s="157"/>
      <c r="AV19" s="157"/>
      <c r="AW19" s="157"/>
      <c r="AX19" s="157"/>
      <c r="AY19" s="157"/>
      <c r="AZ19" s="157"/>
      <c r="BA19" s="157"/>
      <c r="BB19" s="157"/>
      <c r="BC19" s="157"/>
      <c r="BD19" s="157"/>
      <c r="BE19" s="157"/>
      <c r="BF19" s="157"/>
      <c r="BG19" s="157"/>
      <c r="BH19" s="157"/>
    </row>
    <row r="20" spans="1:60" ht="19.5" thickBot="1">
      <c r="A20" s="1">
        <f t="shared" si="5"/>
        <v>13</v>
      </c>
      <c r="B20" s="15" t="s">
        <v>32</v>
      </c>
      <c r="C20" s="10">
        <v>4</v>
      </c>
      <c r="D20" s="11">
        <v>20</v>
      </c>
      <c r="E20" s="36"/>
      <c r="F20" s="36"/>
      <c r="G20" s="37"/>
      <c r="H20" s="38"/>
      <c r="I20" s="38">
        <f t="shared" si="0"/>
        <v>4</v>
      </c>
      <c r="J20" s="63">
        <f t="shared" si="0"/>
        <v>20</v>
      </c>
      <c r="K20" s="62"/>
      <c r="L20" s="36"/>
      <c r="M20" s="36"/>
      <c r="N20" s="36"/>
      <c r="O20" s="36"/>
      <c r="P20" s="36"/>
      <c r="Q20" s="99"/>
      <c r="R20" s="100">
        <f t="shared" si="1"/>
        <v>0</v>
      </c>
      <c r="S20" s="101">
        <f t="shared" si="1"/>
        <v>0</v>
      </c>
      <c r="T20" s="62"/>
      <c r="U20" s="8">
        <f t="shared" si="2"/>
        <v>0</v>
      </c>
      <c r="V20" s="135">
        <f t="shared" si="3"/>
        <v>0</v>
      </c>
      <c r="W20" s="134">
        <f t="shared" si="4"/>
        <v>116</v>
      </c>
      <c r="X20" s="61"/>
      <c r="AL20" s="157"/>
      <c r="AM20" s="157"/>
      <c r="AN20" s="157"/>
      <c r="AO20" s="157"/>
      <c r="AP20" s="157"/>
      <c r="AQ20" s="157"/>
      <c r="AR20" s="157"/>
      <c r="AS20" s="157"/>
      <c r="AT20" s="157"/>
      <c r="AU20" s="157"/>
      <c r="AV20" s="157"/>
      <c r="AW20" s="157"/>
      <c r="AX20" s="157"/>
      <c r="AY20" s="157"/>
      <c r="AZ20" s="157"/>
      <c r="BA20" s="157"/>
      <c r="BB20" s="157"/>
      <c r="BC20" s="157"/>
      <c r="BD20" s="157"/>
      <c r="BE20" s="157"/>
      <c r="BF20" s="157"/>
      <c r="BG20" s="157"/>
      <c r="BH20" s="157"/>
    </row>
    <row r="21" spans="1:60" ht="19.5" thickBot="1">
      <c r="A21" s="1">
        <f t="shared" si="5"/>
        <v>14</v>
      </c>
      <c r="B21" s="15" t="s">
        <v>33</v>
      </c>
      <c r="C21" s="10">
        <v>7</v>
      </c>
      <c r="D21" s="11">
        <v>16</v>
      </c>
      <c r="E21" s="36"/>
      <c r="F21" s="36"/>
      <c r="G21" s="37"/>
      <c r="H21" s="38"/>
      <c r="I21" s="38">
        <f t="shared" si="0"/>
        <v>7</v>
      </c>
      <c r="J21" s="63">
        <f t="shared" si="0"/>
        <v>16</v>
      </c>
      <c r="K21" s="62"/>
      <c r="L21" s="36"/>
      <c r="M21" s="36"/>
      <c r="N21" s="36"/>
      <c r="O21" s="36"/>
      <c r="P21" s="36"/>
      <c r="Q21" s="99"/>
      <c r="R21" s="100">
        <f t="shared" si="1"/>
        <v>0</v>
      </c>
      <c r="S21" s="101">
        <f t="shared" si="1"/>
        <v>0</v>
      </c>
      <c r="T21" s="62"/>
      <c r="U21" s="8">
        <f t="shared" si="2"/>
        <v>0</v>
      </c>
      <c r="V21" s="135">
        <f t="shared" si="3"/>
        <v>0</v>
      </c>
      <c r="W21" s="134">
        <f t="shared" si="4"/>
        <v>184</v>
      </c>
      <c r="X21" s="61"/>
      <c r="AL21" s="157"/>
      <c r="AM21" s="157"/>
      <c r="AN21" s="157"/>
      <c r="AO21" s="157"/>
      <c r="AP21" s="157"/>
      <c r="AQ21" s="157"/>
      <c r="AR21" s="157"/>
      <c r="AS21" s="157"/>
      <c r="AT21" s="157"/>
      <c r="AU21" s="157"/>
      <c r="AV21" s="157"/>
      <c r="AW21" s="157"/>
      <c r="AX21" s="157"/>
      <c r="AY21" s="157"/>
      <c r="AZ21" s="157"/>
      <c r="BA21" s="157"/>
      <c r="BB21" s="157"/>
      <c r="BC21" s="157"/>
      <c r="BD21" s="157"/>
      <c r="BE21" s="157"/>
      <c r="BF21" s="157"/>
      <c r="BG21" s="157"/>
      <c r="BH21" s="157"/>
    </row>
    <row r="22" spans="1:60" ht="19.5" thickBot="1">
      <c r="A22" s="1">
        <f t="shared" si="5"/>
        <v>15</v>
      </c>
      <c r="B22" s="15" t="s">
        <v>34</v>
      </c>
      <c r="C22" s="10">
        <v>4</v>
      </c>
      <c r="D22" s="11"/>
      <c r="E22" s="36"/>
      <c r="F22" s="36"/>
      <c r="G22" s="37"/>
      <c r="H22" s="38"/>
      <c r="I22" s="38">
        <f t="shared" si="0"/>
        <v>4</v>
      </c>
      <c r="J22" s="63">
        <f t="shared" si="0"/>
        <v>0</v>
      </c>
      <c r="K22" s="62"/>
      <c r="L22" s="36"/>
      <c r="M22" s="36"/>
      <c r="N22" s="36"/>
      <c r="O22" s="36"/>
      <c r="P22" s="36"/>
      <c r="Q22" s="99"/>
      <c r="R22" s="100">
        <f t="shared" si="1"/>
        <v>0</v>
      </c>
      <c r="S22" s="101">
        <f t="shared" si="1"/>
        <v>0</v>
      </c>
      <c r="T22" s="62"/>
      <c r="U22" s="8">
        <f t="shared" si="2"/>
        <v>0</v>
      </c>
      <c r="V22" s="135">
        <f t="shared" si="3"/>
        <v>0</v>
      </c>
      <c r="W22" s="134">
        <f t="shared" si="4"/>
        <v>96</v>
      </c>
      <c r="X22" s="61"/>
      <c r="AL22" s="157"/>
      <c r="AM22" s="157"/>
      <c r="AN22" s="157"/>
      <c r="AO22" s="157"/>
      <c r="AP22" s="157"/>
      <c r="AQ22" s="157"/>
      <c r="AR22" s="157"/>
      <c r="AS22" s="157"/>
      <c r="AT22" s="157"/>
      <c r="AU22" s="157"/>
      <c r="AV22" s="157"/>
      <c r="AW22" s="157"/>
      <c r="AX22" s="157"/>
      <c r="AY22" s="157"/>
      <c r="AZ22" s="157"/>
      <c r="BA22" s="157"/>
      <c r="BB22" s="157"/>
      <c r="BC22" s="157"/>
      <c r="BD22" s="157"/>
      <c r="BE22" s="157"/>
      <c r="BF22" s="157"/>
      <c r="BG22" s="157"/>
      <c r="BH22" s="157"/>
    </row>
    <row r="23" spans="1:60" s="2" customFormat="1" ht="19.5" thickBot="1">
      <c r="A23" s="1">
        <f t="shared" si="5"/>
        <v>16</v>
      </c>
      <c r="B23" s="15" t="s">
        <v>35</v>
      </c>
      <c r="C23" s="10">
        <v>1</v>
      </c>
      <c r="D23" s="11">
        <v>20</v>
      </c>
      <c r="E23" s="36"/>
      <c r="F23" s="36"/>
      <c r="G23" s="37"/>
      <c r="H23" s="38"/>
      <c r="I23" s="38">
        <f t="shared" si="0"/>
        <v>1</v>
      </c>
      <c r="J23" s="63">
        <f t="shared" si="0"/>
        <v>20</v>
      </c>
      <c r="K23" s="69"/>
      <c r="L23" s="36"/>
      <c r="M23" s="36"/>
      <c r="N23" s="36"/>
      <c r="O23" s="36"/>
      <c r="P23" s="36"/>
      <c r="Q23" s="99"/>
      <c r="R23" s="100">
        <f t="shared" si="1"/>
        <v>0</v>
      </c>
      <c r="S23" s="101">
        <f t="shared" si="1"/>
        <v>0</v>
      </c>
      <c r="T23" s="69"/>
      <c r="U23" s="8">
        <f t="shared" si="2"/>
        <v>0</v>
      </c>
      <c r="V23" s="135">
        <f t="shared" si="3"/>
        <v>0</v>
      </c>
      <c r="W23" s="134">
        <f t="shared" si="4"/>
        <v>44</v>
      </c>
      <c r="X23" s="61"/>
      <c r="Y23" s="3"/>
      <c r="AD23" s="3"/>
      <c r="AG23" s="3"/>
      <c r="AH23" s="3"/>
      <c r="AI23" s="3"/>
      <c r="AJ23" s="3"/>
      <c r="AK23" s="3"/>
      <c r="AL23" s="157"/>
      <c r="AM23" s="157"/>
      <c r="AN23" s="157"/>
      <c r="AO23" s="157"/>
      <c r="AP23" s="157"/>
      <c r="AQ23" s="157"/>
      <c r="AR23" s="157"/>
      <c r="AS23" s="157"/>
      <c r="AT23" s="157"/>
      <c r="AU23" s="157"/>
      <c r="AV23" s="157"/>
      <c r="AW23" s="157"/>
      <c r="AX23" s="157"/>
      <c r="AY23" s="157"/>
      <c r="AZ23" s="157"/>
      <c r="BA23" s="157"/>
      <c r="BB23" s="157"/>
      <c r="BC23" s="157"/>
      <c r="BD23" s="157"/>
      <c r="BE23" s="157"/>
      <c r="BF23" s="157"/>
      <c r="BG23" s="157"/>
      <c r="BH23" s="157"/>
    </row>
    <row r="24" spans="1:60" s="2" customFormat="1" ht="19.5" thickBot="1">
      <c r="A24" s="1">
        <f t="shared" si="5"/>
        <v>17</v>
      </c>
      <c r="B24" s="15" t="s">
        <v>36</v>
      </c>
      <c r="C24" s="10">
        <v>37</v>
      </c>
      <c r="D24" s="11">
        <v>19</v>
      </c>
      <c r="E24" s="36"/>
      <c r="F24" s="36"/>
      <c r="G24" s="37"/>
      <c r="H24" s="38"/>
      <c r="I24" s="38">
        <f t="shared" si="0"/>
        <v>37</v>
      </c>
      <c r="J24" s="63">
        <f t="shared" si="0"/>
        <v>19</v>
      </c>
      <c r="K24" s="69"/>
      <c r="L24" s="36"/>
      <c r="M24" s="36"/>
      <c r="N24" s="36"/>
      <c r="O24" s="36"/>
      <c r="P24" s="36"/>
      <c r="Q24" s="99"/>
      <c r="R24" s="100">
        <f t="shared" si="1"/>
        <v>0</v>
      </c>
      <c r="S24" s="101">
        <f t="shared" si="1"/>
        <v>0</v>
      </c>
      <c r="T24" s="69"/>
      <c r="U24" s="8">
        <f t="shared" si="2"/>
        <v>0</v>
      </c>
      <c r="V24" s="135">
        <f t="shared" si="3"/>
        <v>0</v>
      </c>
      <c r="W24" s="134">
        <f t="shared" si="4"/>
        <v>907</v>
      </c>
      <c r="X24" s="61"/>
      <c r="Y24" s="3"/>
      <c r="AD24" s="3"/>
      <c r="AG24" s="3"/>
      <c r="AH24" s="3"/>
      <c r="AI24" s="3"/>
      <c r="AJ24" s="3"/>
      <c r="AK24" s="3"/>
      <c r="AL24" s="157"/>
      <c r="AM24" s="157"/>
      <c r="AN24" s="157"/>
      <c r="AO24" s="157"/>
      <c r="AP24" s="157"/>
      <c r="AQ24" s="157"/>
      <c r="AR24" s="157"/>
      <c r="AS24" s="157"/>
      <c r="AT24" s="157"/>
      <c r="AU24" s="157"/>
      <c r="AV24" s="157"/>
      <c r="AW24" s="157"/>
      <c r="AX24" s="157"/>
      <c r="AY24" s="157"/>
      <c r="AZ24" s="157"/>
      <c r="BA24" s="157"/>
      <c r="BB24" s="157"/>
      <c r="BC24" s="157"/>
      <c r="BD24" s="157"/>
      <c r="BE24" s="157"/>
      <c r="BF24" s="157"/>
      <c r="BG24" s="157"/>
      <c r="BH24" s="157"/>
    </row>
    <row r="25" spans="1:60" ht="19.5" thickBot="1">
      <c r="A25" s="1">
        <f t="shared" si="5"/>
        <v>18</v>
      </c>
      <c r="B25" s="15" t="s">
        <v>37</v>
      </c>
      <c r="C25" s="10">
        <v>10</v>
      </c>
      <c r="D25" s="11"/>
      <c r="E25" s="36"/>
      <c r="F25" s="36"/>
      <c r="G25" s="37"/>
      <c r="H25" s="38"/>
      <c r="I25" s="38">
        <f t="shared" si="0"/>
        <v>10</v>
      </c>
      <c r="J25" s="63">
        <f t="shared" si="0"/>
        <v>0</v>
      </c>
      <c r="K25" s="62"/>
      <c r="L25" s="36"/>
      <c r="M25" s="36"/>
      <c r="N25" s="36"/>
      <c r="O25" s="36"/>
      <c r="P25" s="36"/>
      <c r="Q25" s="99"/>
      <c r="R25" s="100">
        <f t="shared" si="1"/>
        <v>0</v>
      </c>
      <c r="S25" s="101">
        <f t="shared" si="1"/>
        <v>0</v>
      </c>
      <c r="T25" s="62"/>
      <c r="U25" s="8">
        <f t="shared" si="2"/>
        <v>0</v>
      </c>
      <c r="V25" s="135">
        <f t="shared" si="3"/>
        <v>0</v>
      </c>
      <c r="W25" s="134">
        <f t="shared" si="4"/>
        <v>240</v>
      </c>
      <c r="X25" s="61"/>
      <c r="AL25" s="157"/>
      <c r="AM25" s="157"/>
      <c r="AN25" s="157"/>
      <c r="AO25" s="157"/>
      <c r="AP25" s="157"/>
      <c r="AQ25" s="157"/>
      <c r="AR25" s="157"/>
      <c r="AS25" s="157"/>
      <c r="AT25" s="157"/>
      <c r="AU25" s="157"/>
      <c r="AV25" s="157"/>
      <c r="AW25" s="157"/>
      <c r="AX25" s="157"/>
      <c r="AY25" s="157"/>
      <c r="AZ25" s="157"/>
      <c r="BA25" s="157"/>
      <c r="BB25" s="157"/>
      <c r="BC25" s="157"/>
      <c r="BD25" s="157"/>
      <c r="BE25" s="157"/>
      <c r="BF25" s="157"/>
      <c r="BG25" s="157"/>
      <c r="BH25" s="157"/>
    </row>
    <row r="26" spans="1:60" ht="19.5" thickBot="1">
      <c r="A26" s="1">
        <f t="shared" si="5"/>
        <v>19</v>
      </c>
      <c r="B26" s="15" t="s">
        <v>38</v>
      </c>
      <c r="C26" s="10">
        <v>126</v>
      </c>
      <c r="D26" s="11">
        <v>1</v>
      </c>
      <c r="E26" s="36"/>
      <c r="F26" s="36"/>
      <c r="G26" s="37"/>
      <c r="H26" s="38"/>
      <c r="I26" s="38">
        <f t="shared" si="0"/>
        <v>126</v>
      </c>
      <c r="J26" s="63">
        <f t="shared" si="0"/>
        <v>1</v>
      </c>
      <c r="K26" s="62"/>
      <c r="L26" s="36"/>
      <c r="M26" s="36"/>
      <c r="N26" s="36"/>
      <c r="O26" s="36"/>
      <c r="P26" s="36"/>
      <c r="Q26" s="99"/>
      <c r="R26" s="100">
        <f t="shared" si="1"/>
        <v>0</v>
      </c>
      <c r="S26" s="101">
        <f t="shared" si="1"/>
        <v>0</v>
      </c>
      <c r="T26" s="62"/>
      <c r="U26" s="8">
        <f t="shared" si="2"/>
        <v>0</v>
      </c>
      <c r="V26" s="135">
        <f t="shared" si="3"/>
        <v>0</v>
      </c>
      <c r="W26" s="134">
        <f t="shared" si="4"/>
        <v>3025</v>
      </c>
      <c r="X26" s="61"/>
      <c r="BE26" s="158" t="e">
        <f>#REF!-BE25</f>
        <v>#REF!</v>
      </c>
    </row>
    <row r="27" spans="1:60" s="2" customFormat="1" ht="19.5" thickBot="1">
      <c r="A27" s="1">
        <f t="shared" si="5"/>
        <v>20</v>
      </c>
      <c r="B27" s="15" t="s">
        <v>39</v>
      </c>
      <c r="C27" s="10"/>
      <c r="D27" s="11"/>
      <c r="E27" s="36"/>
      <c r="F27" s="36"/>
      <c r="G27" s="37"/>
      <c r="H27" s="38"/>
      <c r="I27" s="38">
        <f t="shared" si="0"/>
        <v>0</v>
      </c>
      <c r="J27" s="63">
        <f t="shared" si="0"/>
        <v>0</v>
      </c>
      <c r="K27" s="69"/>
      <c r="L27" s="36"/>
      <c r="M27" s="36"/>
      <c r="N27" s="36"/>
      <c r="O27" s="36"/>
      <c r="P27" s="36"/>
      <c r="Q27" s="99"/>
      <c r="R27" s="100">
        <f t="shared" si="1"/>
        <v>0</v>
      </c>
      <c r="S27" s="101">
        <f t="shared" si="1"/>
        <v>0</v>
      </c>
      <c r="T27" s="69"/>
      <c r="U27" s="8">
        <f t="shared" si="2"/>
        <v>0</v>
      </c>
      <c r="V27" s="135">
        <f t="shared" si="3"/>
        <v>0</v>
      </c>
      <c r="W27" s="134">
        <f t="shared" si="4"/>
        <v>0</v>
      </c>
      <c r="X27" s="61"/>
      <c r="Y27" s="3"/>
      <c r="AD27" s="3"/>
      <c r="AG27" s="3"/>
      <c r="AH27" s="3"/>
      <c r="AI27" s="3"/>
      <c r="AJ27" s="3"/>
      <c r="AK27" s="3"/>
    </row>
    <row r="28" spans="1:60" s="2" customFormat="1" ht="19.5" thickBot="1">
      <c r="A28" s="1">
        <f t="shared" si="5"/>
        <v>21</v>
      </c>
      <c r="B28" s="15" t="s">
        <v>40</v>
      </c>
      <c r="C28" s="10">
        <v>2</v>
      </c>
      <c r="D28" s="11"/>
      <c r="E28" s="36"/>
      <c r="F28" s="36"/>
      <c r="G28" s="37"/>
      <c r="H28" s="38"/>
      <c r="I28" s="38">
        <f t="shared" si="0"/>
        <v>2</v>
      </c>
      <c r="J28" s="63">
        <f t="shared" si="0"/>
        <v>0</v>
      </c>
      <c r="K28" s="69"/>
      <c r="L28" s="36"/>
      <c r="M28" s="36"/>
      <c r="N28" s="36"/>
      <c r="O28" s="36"/>
      <c r="P28" s="36"/>
      <c r="Q28" s="99"/>
      <c r="R28" s="100">
        <f t="shared" si="1"/>
        <v>0</v>
      </c>
      <c r="S28" s="101">
        <f t="shared" si="1"/>
        <v>0</v>
      </c>
      <c r="T28" s="69"/>
      <c r="U28" s="8">
        <f t="shared" si="2"/>
        <v>0</v>
      </c>
      <c r="V28" s="135">
        <f t="shared" si="3"/>
        <v>0</v>
      </c>
      <c r="W28" s="134">
        <f t="shared" si="4"/>
        <v>48</v>
      </c>
      <c r="X28" s="61"/>
      <c r="Y28" s="3"/>
      <c r="AD28" s="3"/>
      <c r="AG28" s="3"/>
      <c r="AH28" s="3"/>
      <c r="AI28" s="3"/>
      <c r="AJ28" s="3"/>
      <c r="AK28" s="3"/>
    </row>
    <row r="29" spans="1:60" s="2" customFormat="1" ht="19.5" thickBot="1">
      <c r="A29" s="1">
        <f t="shared" si="5"/>
        <v>22</v>
      </c>
      <c r="B29" s="15" t="s">
        <v>41</v>
      </c>
      <c r="C29" s="10">
        <v>63</v>
      </c>
      <c r="D29" s="11"/>
      <c r="E29" s="36"/>
      <c r="F29" s="36"/>
      <c r="G29" s="37">
        <v>7</v>
      </c>
      <c r="H29" s="38"/>
      <c r="I29" s="38">
        <f t="shared" si="0"/>
        <v>56</v>
      </c>
      <c r="J29" s="63">
        <f t="shared" si="0"/>
        <v>0</v>
      </c>
      <c r="K29" s="69"/>
      <c r="L29" s="36"/>
      <c r="M29" s="36"/>
      <c r="N29" s="36"/>
      <c r="O29" s="36"/>
      <c r="P29" s="36">
        <v>7</v>
      </c>
      <c r="Q29" s="99"/>
      <c r="R29" s="100">
        <f t="shared" si="1"/>
        <v>7</v>
      </c>
      <c r="S29" s="101">
        <f t="shared" si="1"/>
        <v>0</v>
      </c>
      <c r="T29" s="69"/>
      <c r="U29" s="8">
        <f t="shared" si="2"/>
        <v>168</v>
      </c>
      <c r="V29" s="135">
        <f t="shared" si="3"/>
        <v>7</v>
      </c>
      <c r="W29" s="134">
        <f t="shared" si="4"/>
        <v>1344</v>
      </c>
      <c r="X29" s="61"/>
      <c r="Y29" s="3"/>
      <c r="AD29" s="3"/>
      <c r="AG29" s="3"/>
      <c r="AH29" s="3"/>
      <c r="AI29" s="3"/>
      <c r="AJ29" s="3"/>
      <c r="AK29" s="3"/>
    </row>
    <row r="30" spans="1:60" ht="19.5" thickBot="1">
      <c r="A30" s="1">
        <f t="shared" si="5"/>
        <v>23</v>
      </c>
      <c r="B30" s="15" t="s">
        <v>42</v>
      </c>
      <c r="C30" s="10"/>
      <c r="D30" s="11">
        <v>5</v>
      </c>
      <c r="E30" s="36"/>
      <c r="F30" s="36"/>
      <c r="G30" s="37"/>
      <c r="H30" s="38"/>
      <c r="I30" s="38">
        <f t="shared" si="0"/>
        <v>0</v>
      </c>
      <c r="J30" s="63">
        <f t="shared" si="0"/>
        <v>5</v>
      </c>
      <c r="K30" s="62"/>
      <c r="L30" s="36"/>
      <c r="M30" s="36"/>
      <c r="N30" s="36"/>
      <c r="O30" s="36"/>
      <c r="P30" s="36"/>
      <c r="Q30" s="99"/>
      <c r="R30" s="100">
        <f t="shared" si="1"/>
        <v>0</v>
      </c>
      <c r="S30" s="101">
        <f t="shared" si="1"/>
        <v>0</v>
      </c>
      <c r="T30" s="62"/>
      <c r="U30" s="8">
        <f t="shared" si="2"/>
        <v>0</v>
      </c>
      <c r="V30" s="135">
        <f t="shared" si="3"/>
        <v>0</v>
      </c>
      <c r="W30" s="134">
        <f t="shared" si="4"/>
        <v>5</v>
      </c>
      <c r="X30" s="61"/>
    </row>
    <row r="31" spans="1:60" ht="19.5" thickBot="1">
      <c r="A31" s="1">
        <f t="shared" si="5"/>
        <v>24</v>
      </c>
      <c r="B31" s="15" t="s">
        <v>43</v>
      </c>
      <c r="C31" s="10">
        <v>7</v>
      </c>
      <c r="D31" s="11"/>
      <c r="E31" s="36"/>
      <c r="F31" s="36"/>
      <c r="G31" s="37">
        <v>1</v>
      </c>
      <c r="H31" s="38"/>
      <c r="I31" s="38">
        <f t="shared" si="0"/>
        <v>6</v>
      </c>
      <c r="J31" s="63">
        <f t="shared" si="0"/>
        <v>0</v>
      </c>
      <c r="K31" s="62"/>
      <c r="L31" s="36"/>
      <c r="M31" s="36"/>
      <c r="N31" s="36"/>
      <c r="O31" s="36"/>
      <c r="P31" s="36">
        <v>1</v>
      </c>
      <c r="Q31" s="99"/>
      <c r="R31" s="100">
        <f t="shared" si="1"/>
        <v>1</v>
      </c>
      <c r="S31" s="101">
        <f t="shared" si="1"/>
        <v>0</v>
      </c>
      <c r="T31" s="62"/>
      <c r="U31" s="8">
        <f t="shared" si="2"/>
        <v>24</v>
      </c>
      <c r="V31" s="135">
        <f t="shared" si="3"/>
        <v>1</v>
      </c>
      <c r="W31" s="134">
        <f t="shared" si="4"/>
        <v>144</v>
      </c>
      <c r="X31" s="61"/>
    </row>
    <row r="32" spans="1:60" ht="19.5" thickBot="1">
      <c r="A32" s="1">
        <f t="shared" si="5"/>
        <v>25</v>
      </c>
      <c r="B32" s="15" t="s">
        <v>44</v>
      </c>
      <c r="C32" s="10"/>
      <c r="D32" s="11"/>
      <c r="E32" s="36"/>
      <c r="F32" s="36"/>
      <c r="G32" s="37"/>
      <c r="H32" s="38"/>
      <c r="I32" s="38">
        <f t="shared" si="0"/>
        <v>0</v>
      </c>
      <c r="J32" s="63">
        <f t="shared" si="0"/>
        <v>0</v>
      </c>
      <c r="K32" s="62"/>
      <c r="L32" s="36"/>
      <c r="M32" s="36"/>
      <c r="N32" s="36"/>
      <c r="O32" s="36"/>
      <c r="P32" s="36"/>
      <c r="Q32" s="99"/>
      <c r="R32" s="100">
        <f t="shared" si="1"/>
        <v>0</v>
      </c>
      <c r="S32" s="101">
        <f t="shared" si="1"/>
        <v>0</v>
      </c>
      <c r="T32" s="62"/>
      <c r="U32" s="8">
        <f t="shared" si="2"/>
        <v>0</v>
      </c>
      <c r="V32" s="135">
        <f t="shared" si="3"/>
        <v>0</v>
      </c>
      <c r="W32" s="134">
        <f t="shared" si="4"/>
        <v>0</v>
      </c>
      <c r="X32" s="61"/>
    </row>
    <row r="33" spans="1:26" ht="19.5" thickBot="1">
      <c r="A33" s="1">
        <f t="shared" si="5"/>
        <v>26</v>
      </c>
      <c r="B33" s="15" t="s">
        <v>45</v>
      </c>
      <c r="C33" s="10">
        <v>3</v>
      </c>
      <c r="D33" s="11"/>
      <c r="E33" s="36"/>
      <c r="F33" s="36"/>
      <c r="G33" s="37"/>
      <c r="H33" s="38"/>
      <c r="I33" s="38">
        <f t="shared" si="0"/>
        <v>3</v>
      </c>
      <c r="J33" s="63">
        <f t="shared" si="0"/>
        <v>0</v>
      </c>
      <c r="K33" s="62"/>
      <c r="L33" s="36"/>
      <c r="M33" s="36"/>
      <c r="N33" s="36"/>
      <c r="O33" s="36"/>
      <c r="P33" s="36"/>
      <c r="Q33" s="99"/>
      <c r="R33" s="100">
        <f t="shared" si="1"/>
        <v>0</v>
      </c>
      <c r="S33" s="101">
        <f t="shared" si="1"/>
        <v>0</v>
      </c>
      <c r="T33" s="62"/>
      <c r="U33" s="8">
        <f t="shared" si="2"/>
        <v>0</v>
      </c>
      <c r="V33" s="135">
        <f t="shared" si="3"/>
        <v>0</v>
      </c>
      <c r="W33" s="134">
        <f t="shared" si="4"/>
        <v>72</v>
      </c>
      <c r="X33" s="61"/>
    </row>
    <row r="34" spans="1:26" ht="19.5" thickBot="1">
      <c r="A34" s="1">
        <f t="shared" si="5"/>
        <v>27</v>
      </c>
      <c r="B34" s="15" t="s">
        <v>46</v>
      </c>
      <c r="C34" s="10">
        <v>4</v>
      </c>
      <c r="D34" s="11"/>
      <c r="E34" s="36"/>
      <c r="F34" s="36"/>
      <c r="G34" s="37"/>
      <c r="H34" s="38"/>
      <c r="I34" s="38">
        <f t="shared" si="0"/>
        <v>4</v>
      </c>
      <c r="J34" s="63">
        <f t="shared" si="0"/>
        <v>0</v>
      </c>
      <c r="K34" s="62"/>
      <c r="L34" s="36"/>
      <c r="M34" s="36"/>
      <c r="N34" s="36"/>
      <c r="O34" s="36"/>
      <c r="P34" s="36"/>
      <c r="Q34" s="99"/>
      <c r="R34" s="100">
        <f t="shared" si="1"/>
        <v>0</v>
      </c>
      <c r="S34" s="101">
        <f t="shared" si="1"/>
        <v>0</v>
      </c>
      <c r="T34" s="62"/>
      <c r="U34" s="8">
        <f t="shared" si="2"/>
        <v>0</v>
      </c>
      <c r="V34" s="135">
        <f t="shared" si="3"/>
        <v>0</v>
      </c>
      <c r="W34" s="134">
        <f t="shared" si="4"/>
        <v>96</v>
      </c>
      <c r="X34" s="61"/>
    </row>
    <row r="35" spans="1:26" ht="19.5" thickBot="1">
      <c r="A35" s="1">
        <f t="shared" si="5"/>
        <v>28</v>
      </c>
      <c r="B35" s="15" t="s">
        <v>47</v>
      </c>
      <c r="C35" s="10">
        <v>81</v>
      </c>
      <c r="D35" s="11">
        <v>13</v>
      </c>
      <c r="E35" s="36"/>
      <c r="F35" s="36"/>
      <c r="G35" s="37">
        <v>5</v>
      </c>
      <c r="H35" s="38"/>
      <c r="I35" s="38">
        <f t="shared" si="0"/>
        <v>76</v>
      </c>
      <c r="J35" s="63">
        <f t="shared" si="0"/>
        <v>13</v>
      </c>
      <c r="K35" s="62"/>
      <c r="L35" s="36"/>
      <c r="M35" s="36"/>
      <c r="N35" s="36">
        <v>5</v>
      </c>
      <c r="O35" s="36"/>
      <c r="P35" s="36"/>
      <c r="Q35" s="99"/>
      <c r="R35" s="100">
        <f t="shared" si="1"/>
        <v>5</v>
      </c>
      <c r="S35" s="101">
        <f t="shared" si="1"/>
        <v>0</v>
      </c>
      <c r="T35" s="62"/>
      <c r="U35" s="8">
        <f t="shared" si="2"/>
        <v>120</v>
      </c>
      <c r="V35" s="135">
        <f t="shared" si="3"/>
        <v>5</v>
      </c>
      <c r="W35" s="134">
        <f t="shared" si="4"/>
        <v>1837</v>
      </c>
      <c r="X35" s="61"/>
    </row>
    <row r="36" spans="1:26" ht="18.75" hidden="1" customHeight="1">
      <c r="A36" s="1">
        <f t="shared" si="5"/>
        <v>29</v>
      </c>
      <c r="B36" s="15" t="s">
        <v>48</v>
      </c>
      <c r="C36" s="10"/>
      <c r="D36" s="11"/>
      <c r="E36" s="36"/>
      <c r="F36" s="36"/>
      <c r="G36" s="37"/>
      <c r="H36" s="38"/>
      <c r="I36" s="38">
        <f t="shared" si="0"/>
        <v>0</v>
      </c>
      <c r="J36" s="63">
        <f t="shared" si="0"/>
        <v>0</v>
      </c>
      <c r="K36" s="62"/>
      <c r="L36" s="36"/>
      <c r="M36" s="36"/>
      <c r="N36" s="36"/>
      <c r="O36" s="36"/>
      <c r="P36" s="36"/>
      <c r="Q36" s="99"/>
      <c r="R36" s="100">
        <f t="shared" si="1"/>
        <v>0</v>
      </c>
      <c r="S36" s="101">
        <f t="shared" si="1"/>
        <v>0</v>
      </c>
      <c r="T36" s="62"/>
      <c r="U36" s="8">
        <f t="shared" si="2"/>
        <v>0</v>
      </c>
      <c r="V36" s="135">
        <f t="shared" si="3"/>
        <v>0</v>
      </c>
      <c r="W36" s="134">
        <f t="shared" si="4"/>
        <v>0</v>
      </c>
      <c r="X36" s="61"/>
    </row>
    <row r="37" spans="1:26" ht="18.75" customHeight="1" thickBot="1">
      <c r="A37" s="1">
        <f t="shared" si="5"/>
        <v>30</v>
      </c>
      <c r="B37" s="15" t="s">
        <v>49</v>
      </c>
      <c r="C37" s="10">
        <v>1</v>
      </c>
      <c r="D37" s="11"/>
      <c r="E37" s="36"/>
      <c r="F37" s="36"/>
      <c r="G37" s="37"/>
      <c r="H37" s="38"/>
      <c r="I37" s="38">
        <f t="shared" si="0"/>
        <v>1</v>
      </c>
      <c r="J37" s="63">
        <f t="shared" si="0"/>
        <v>0</v>
      </c>
      <c r="K37" s="62"/>
      <c r="L37" s="36"/>
      <c r="M37" s="36"/>
      <c r="N37" s="36"/>
      <c r="O37" s="36"/>
      <c r="P37" s="36"/>
      <c r="Q37" s="99"/>
      <c r="R37" s="100">
        <f t="shared" si="1"/>
        <v>0</v>
      </c>
      <c r="S37" s="101">
        <f t="shared" si="1"/>
        <v>0</v>
      </c>
      <c r="T37" s="62"/>
      <c r="U37" s="8">
        <f t="shared" si="2"/>
        <v>0</v>
      </c>
      <c r="V37" s="135">
        <f t="shared" si="3"/>
        <v>0</v>
      </c>
      <c r="W37" s="134">
        <f t="shared" si="4"/>
        <v>24</v>
      </c>
      <c r="X37" s="61"/>
    </row>
    <row r="38" spans="1:26" ht="19.5" thickBot="1">
      <c r="A38" s="1">
        <f t="shared" si="5"/>
        <v>31</v>
      </c>
      <c r="B38" s="16" t="s">
        <v>50</v>
      </c>
      <c r="C38" s="13">
        <v>5505</v>
      </c>
      <c r="D38" s="14">
        <v>2</v>
      </c>
      <c r="E38" s="39"/>
      <c r="F38" s="39"/>
      <c r="G38" s="40">
        <v>205</v>
      </c>
      <c r="H38" s="41"/>
      <c r="I38" s="53">
        <f t="shared" si="0"/>
        <v>5300</v>
      </c>
      <c r="J38" s="70">
        <f t="shared" si="0"/>
        <v>2</v>
      </c>
      <c r="K38" s="65"/>
      <c r="L38" s="51"/>
      <c r="M38" s="51"/>
      <c r="N38" s="51">
        <v>43</v>
      </c>
      <c r="O38" s="51"/>
      <c r="P38" s="51">
        <v>162</v>
      </c>
      <c r="Q38" s="102"/>
      <c r="R38" s="107">
        <f t="shared" si="1"/>
        <v>205</v>
      </c>
      <c r="S38" s="104">
        <f t="shared" si="1"/>
        <v>0</v>
      </c>
      <c r="T38" s="65"/>
      <c r="U38" s="136">
        <f>L38*6+N38*6+P38*6</f>
        <v>1230</v>
      </c>
      <c r="V38" s="141">
        <f>U38/6</f>
        <v>205</v>
      </c>
      <c r="W38" s="138">
        <f>I38*6+J38</f>
        <v>31802</v>
      </c>
      <c r="X38" s="139"/>
    </row>
    <row r="39" spans="1:26" ht="19.5" thickBot="1">
      <c r="A39" s="1">
        <f t="shared" si="5"/>
        <v>32</v>
      </c>
      <c r="B39" s="7" t="s">
        <v>51</v>
      </c>
      <c r="C39" s="10">
        <v>1</v>
      </c>
      <c r="D39" s="11"/>
      <c r="E39" s="36"/>
      <c r="F39" s="36"/>
      <c r="G39" s="37"/>
      <c r="H39" s="38"/>
      <c r="I39" s="37">
        <f t="shared" si="0"/>
        <v>1</v>
      </c>
      <c r="J39" s="63">
        <f t="shared" si="0"/>
        <v>0</v>
      </c>
      <c r="K39" s="62"/>
      <c r="L39" s="36"/>
      <c r="M39" s="36"/>
      <c r="N39" s="36"/>
      <c r="O39" s="36"/>
      <c r="P39" s="36"/>
      <c r="Q39" s="99"/>
      <c r="R39" s="108">
        <f t="shared" si="1"/>
        <v>0</v>
      </c>
      <c r="S39" s="106">
        <f t="shared" si="1"/>
        <v>0</v>
      </c>
      <c r="T39" s="62"/>
      <c r="U39" s="8">
        <f t="shared" ref="U39:U41" si="6">L39*24+N39*24+P39*24</f>
        <v>0</v>
      </c>
      <c r="V39" s="33">
        <f t="shared" ref="V39:V41" si="7">U39/24</f>
        <v>0</v>
      </c>
      <c r="W39" s="134">
        <f t="shared" ref="W39:W41" si="8">I39*24+J39</f>
        <v>24</v>
      </c>
      <c r="X39" s="61"/>
    </row>
    <row r="40" spans="1:26" ht="19.5" thickBot="1">
      <c r="A40" s="1">
        <f t="shared" si="5"/>
        <v>33</v>
      </c>
      <c r="B40" s="17" t="s">
        <v>52</v>
      </c>
      <c r="C40" s="18">
        <v>2</v>
      </c>
      <c r="D40" s="19"/>
      <c r="E40" s="42"/>
      <c r="F40" s="42"/>
      <c r="G40" s="43"/>
      <c r="H40" s="44"/>
      <c r="I40" s="38">
        <f t="shared" si="0"/>
        <v>2</v>
      </c>
      <c r="J40" s="63">
        <f t="shared" si="0"/>
        <v>0</v>
      </c>
      <c r="K40" s="62"/>
      <c r="L40" s="36"/>
      <c r="M40" s="36"/>
      <c r="N40" s="36"/>
      <c r="O40" s="36"/>
      <c r="P40" s="36"/>
      <c r="Q40" s="99"/>
      <c r="R40" s="100">
        <f t="shared" si="1"/>
        <v>0</v>
      </c>
      <c r="S40" s="101">
        <f t="shared" si="1"/>
        <v>0</v>
      </c>
      <c r="T40" s="62"/>
      <c r="U40" s="142">
        <f t="shared" si="6"/>
        <v>0</v>
      </c>
      <c r="V40" s="135">
        <f t="shared" si="7"/>
        <v>0</v>
      </c>
      <c r="W40" s="143">
        <f t="shared" si="8"/>
        <v>48</v>
      </c>
      <c r="X40" s="144"/>
    </row>
    <row r="41" spans="1:26" ht="19.5" thickBot="1">
      <c r="A41" s="1">
        <f t="shared" si="5"/>
        <v>34</v>
      </c>
      <c r="B41" s="20" t="s">
        <v>53</v>
      </c>
      <c r="C41" s="21">
        <v>158</v>
      </c>
      <c r="D41" s="22">
        <v>8</v>
      </c>
      <c r="E41" s="45"/>
      <c r="F41" s="45"/>
      <c r="G41" s="46"/>
      <c r="H41" s="47"/>
      <c r="I41" s="71">
        <f t="shared" si="0"/>
        <v>158</v>
      </c>
      <c r="J41" s="72">
        <f t="shared" si="0"/>
        <v>8</v>
      </c>
      <c r="K41" s="73"/>
      <c r="L41" s="74"/>
      <c r="M41" s="74"/>
      <c r="N41" s="74"/>
      <c r="O41" s="74"/>
      <c r="P41" s="74"/>
      <c r="Q41" s="109"/>
      <c r="R41" s="110">
        <f t="shared" si="1"/>
        <v>0</v>
      </c>
      <c r="S41" s="111">
        <f t="shared" si="1"/>
        <v>0</v>
      </c>
      <c r="T41" s="73"/>
      <c r="U41" s="145">
        <f t="shared" si="6"/>
        <v>0</v>
      </c>
      <c r="V41" s="146">
        <f t="shared" si="7"/>
        <v>0</v>
      </c>
      <c r="W41" s="146">
        <f t="shared" si="8"/>
        <v>3800</v>
      </c>
      <c r="X41" s="147"/>
    </row>
    <row r="42" spans="1:26" ht="19.5" thickBot="1">
      <c r="A42" s="1">
        <f t="shared" si="5"/>
        <v>35</v>
      </c>
      <c r="B42" s="23" t="s">
        <v>54</v>
      </c>
      <c r="C42" s="24">
        <v>525</v>
      </c>
      <c r="D42" s="25"/>
      <c r="E42" s="48"/>
      <c r="F42" s="48"/>
      <c r="G42" s="49">
        <v>15</v>
      </c>
      <c r="H42" s="50"/>
      <c r="I42" s="49">
        <f t="shared" si="0"/>
        <v>510</v>
      </c>
      <c r="J42" s="75">
        <f t="shared" si="0"/>
        <v>0</v>
      </c>
      <c r="K42" s="76"/>
      <c r="L42" s="48"/>
      <c r="M42" s="48"/>
      <c r="N42" s="48"/>
      <c r="O42" s="48"/>
      <c r="P42" s="48">
        <v>15</v>
      </c>
      <c r="Q42" s="112"/>
      <c r="R42" s="113">
        <f t="shared" si="1"/>
        <v>15</v>
      </c>
      <c r="S42" s="114">
        <f t="shared" si="1"/>
        <v>0</v>
      </c>
      <c r="T42" s="76"/>
      <c r="U42" s="148">
        <f>L42*12+N42*12+P42*12</f>
        <v>180</v>
      </c>
      <c r="V42" s="149">
        <f>U42/12</f>
        <v>15</v>
      </c>
      <c r="W42" s="150">
        <f>I42*12+J42</f>
        <v>6120</v>
      </c>
      <c r="X42" s="151"/>
    </row>
    <row r="43" spans="1:26" ht="18.75" hidden="1" customHeight="1">
      <c r="A43" s="1">
        <f t="shared" si="5"/>
        <v>36</v>
      </c>
      <c r="B43" s="7" t="s">
        <v>55</v>
      </c>
      <c r="C43" s="10"/>
      <c r="D43" s="11"/>
      <c r="E43" s="36"/>
      <c r="F43" s="36"/>
      <c r="G43" s="37"/>
      <c r="H43" s="38"/>
      <c r="I43" s="38">
        <f t="shared" si="0"/>
        <v>0</v>
      </c>
      <c r="J43" s="64">
        <f t="shared" si="0"/>
        <v>0</v>
      </c>
      <c r="K43" s="62"/>
      <c r="L43" s="36"/>
      <c r="M43" s="36"/>
      <c r="N43" s="36"/>
      <c r="O43" s="36"/>
      <c r="P43" s="36"/>
      <c r="Q43" s="99"/>
      <c r="R43" s="115">
        <f t="shared" si="1"/>
        <v>0</v>
      </c>
      <c r="S43" s="116">
        <f t="shared" si="1"/>
        <v>0</v>
      </c>
      <c r="T43" s="62"/>
      <c r="U43" s="8"/>
      <c r="V43" s="33"/>
      <c r="W43" s="134"/>
      <c r="X43" s="61"/>
    </row>
    <row r="44" spans="1:26" ht="19.5" thickBot="1">
      <c r="A44" s="1">
        <f t="shared" si="5"/>
        <v>37</v>
      </c>
      <c r="B44" s="12" t="s">
        <v>56</v>
      </c>
      <c r="C44" s="13">
        <v>28370</v>
      </c>
      <c r="D44" s="14">
        <v>3</v>
      </c>
      <c r="E44" s="39">
        <v>1836</v>
      </c>
      <c r="F44" s="39"/>
      <c r="G44" s="40">
        <v>1109</v>
      </c>
      <c r="H44" s="41"/>
      <c r="I44" s="38">
        <f>C44+E44-G44</f>
        <v>29097</v>
      </c>
      <c r="J44" s="77">
        <f t="shared" ref="J44:J59" si="9">D44-H44</f>
        <v>3</v>
      </c>
      <c r="K44" s="65"/>
      <c r="L44" s="51"/>
      <c r="M44" s="51"/>
      <c r="N44" s="51">
        <v>585</v>
      </c>
      <c r="O44" s="51"/>
      <c r="P44" s="51">
        <v>524</v>
      </c>
      <c r="Q44" s="102"/>
      <c r="R44" s="117">
        <f t="shared" si="1"/>
        <v>1109</v>
      </c>
      <c r="S44" s="118">
        <f t="shared" si="1"/>
        <v>0</v>
      </c>
      <c r="T44" s="65"/>
      <c r="U44" s="136">
        <f>L44*6+N44*6+P44*6</f>
        <v>6654</v>
      </c>
      <c r="V44" s="135">
        <f>U44/6</f>
        <v>1109</v>
      </c>
      <c r="W44" s="138">
        <f>I44*6+J44</f>
        <v>174585</v>
      </c>
      <c r="X44" s="139"/>
      <c r="Z44" s="155"/>
    </row>
    <row r="45" spans="1:26" ht="18.75" hidden="1" customHeight="1">
      <c r="A45" s="1">
        <f t="shared" si="5"/>
        <v>38</v>
      </c>
      <c r="B45" s="7" t="s">
        <v>57</v>
      </c>
      <c r="C45" s="10"/>
      <c r="D45" s="11"/>
      <c r="E45" s="36"/>
      <c r="F45" s="36"/>
      <c r="G45" s="37"/>
      <c r="H45" s="38"/>
      <c r="I45" s="44">
        <f t="shared" ref="I45:I59" si="10">C45-G45</f>
        <v>0</v>
      </c>
      <c r="J45" s="63">
        <f t="shared" si="9"/>
        <v>0</v>
      </c>
      <c r="K45" s="62"/>
      <c r="L45" s="36"/>
      <c r="M45" s="36"/>
      <c r="N45" s="36"/>
      <c r="O45" s="36"/>
      <c r="P45" s="36"/>
      <c r="Q45" s="99"/>
      <c r="R45" s="108">
        <f t="shared" si="1"/>
        <v>0</v>
      </c>
      <c r="S45" s="116">
        <f t="shared" si="1"/>
        <v>0</v>
      </c>
      <c r="T45" s="62"/>
      <c r="U45" s="8"/>
      <c r="V45" s="137"/>
      <c r="W45" s="134"/>
      <c r="X45" s="61"/>
    </row>
    <row r="46" spans="1:26" ht="19.5" thickBot="1">
      <c r="A46" s="1">
        <f t="shared" si="5"/>
        <v>39</v>
      </c>
      <c r="B46" s="15" t="s">
        <v>58</v>
      </c>
      <c r="C46" s="10">
        <v>9</v>
      </c>
      <c r="D46" s="11"/>
      <c r="E46" s="36"/>
      <c r="F46" s="36"/>
      <c r="G46" s="37">
        <v>1</v>
      </c>
      <c r="H46" s="38"/>
      <c r="I46" s="68">
        <f t="shared" si="10"/>
        <v>8</v>
      </c>
      <c r="J46" s="63">
        <f t="shared" si="9"/>
        <v>0</v>
      </c>
      <c r="K46" s="62"/>
      <c r="L46" s="36"/>
      <c r="M46" s="36"/>
      <c r="N46" s="36">
        <v>1</v>
      </c>
      <c r="O46" s="36"/>
      <c r="P46" s="36"/>
      <c r="Q46" s="99"/>
      <c r="R46" s="100">
        <f t="shared" si="1"/>
        <v>1</v>
      </c>
      <c r="S46" s="119">
        <f t="shared" si="1"/>
        <v>0</v>
      </c>
      <c r="T46" s="62"/>
      <c r="U46" s="8">
        <f t="shared" ref="U46:U51" si="11">L46*24+N46*24+P46*24</f>
        <v>24</v>
      </c>
      <c r="V46" s="140">
        <f t="shared" ref="V46:V51" si="12">U46/24</f>
        <v>1</v>
      </c>
      <c r="W46" s="134">
        <f t="shared" ref="W46:W51" si="13">I46*24+J46</f>
        <v>192</v>
      </c>
      <c r="X46" s="61"/>
    </row>
    <row r="47" spans="1:26" ht="19.5" thickBot="1">
      <c r="A47" s="1">
        <f t="shared" si="5"/>
        <v>40</v>
      </c>
      <c r="B47" s="15" t="s">
        <v>59</v>
      </c>
      <c r="C47" s="10">
        <v>2</v>
      </c>
      <c r="D47" s="11"/>
      <c r="E47" s="36"/>
      <c r="F47" s="36"/>
      <c r="G47" s="37"/>
      <c r="H47" s="38"/>
      <c r="I47" s="38">
        <f t="shared" si="10"/>
        <v>2</v>
      </c>
      <c r="J47" s="63">
        <f t="shared" si="9"/>
        <v>0</v>
      </c>
      <c r="K47" s="62"/>
      <c r="L47" s="36"/>
      <c r="M47" s="36"/>
      <c r="N47" s="36"/>
      <c r="O47" s="36"/>
      <c r="P47" s="36"/>
      <c r="Q47" s="99"/>
      <c r="R47" s="100">
        <f t="shared" si="1"/>
        <v>0</v>
      </c>
      <c r="S47" s="101">
        <f t="shared" si="1"/>
        <v>0</v>
      </c>
      <c r="T47" s="62"/>
      <c r="U47" s="8">
        <f t="shared" si="11"/>
        <v>0</v>
      </c>
      <c r="V47" s="135">
        <f t="shared" si="12"/>
        <v>0</v>
      </c>
      <c r="W47" s="134">
        <f t="shared" si="13"/>
        <v>48</v>
      </c>
      <c r="X47" s="61"/>
    </row>
    <row r="48" spans="1:26" ht="19.5" thickBot="1">
      <c r="A48" s="1">
        <f t="shared" si="5"/>
        <v>41</v>
      </c>
      <c r="B48" s="12" t="s">
        <v>48</v>
      </c>
      <c r="C48" s="26">
        <v>2823</v>
      </c>
      <c r="D48" s="27">
        <v>4</v>
      </c>
      <c r="E48" s="51"/>
      <c r="F48" s="51"/>
      <c r="G48" s="52"/>
      <c r="H48" s="53"/>
      <c r="I48" s="53">
        <f t="shared" si="10"/>
        <v>2823</v>
      </c>
      <c r="J48" s="70">
        <f t="shared" si="9"/>
        <v>4</v>
      </c>
      <c r="K48" s="65"/>
      <c r="L48" s="51"/>
      <c r="M48" s="51"/>
      <c r="N48" s="51"/>
      <c r="O48" s="51"/>
      <c r="P48" s="51"/>
      <c r="Q48" s="102"/>
      <c r="R48" s="107">
        <f t="shared" si="1"/>
        <v>0</v>
      </c>
      <c r="S48" s="120">
        <f t="shared" si="1"/>
        <v>0</v>
      </c>
      <c r="T48" s="65"/>
      <c r="U48" s="136">
        <f>L48*6+N48*6+P48*6</f>
        <v>0</v>
      </c>
      <c r="V48" s="141">
        <f>U48/6</f>
        <v>0</v>
      </c>
      <c r="W48" s="138">
        <f>I48*6+J48</f>
        <v>16942</v>
      </c>
      <c r="X48" s="139"/>
    </row>
    <row r="49" spans="1:24" ht="19.5" thickBot="1">
      <c r="A49" s="1">
        <f t="shared" si="5"/>
        <v>42</v>
      </c>
      <c r="B49" s="7" t="s">
        <v>60</v>
      </c>
      <c r="C49" s="10">
        <v>1</v>
      </c>
      <c r="D49" s="11"/>
      <c r="E49" s="36"/>
      <c r="F49" s="36"/>
      <c r="G49" s="37"/>
      <c r="H49" s="38"/>
      <c r="I49" s="38">
        <f t="shared" si="10"/>
        <v>1</v>
      </c>
      <c r="J49" s="63">
        <f t="shared" si="9"/>
        <v>0</v>
      </c>
      <c r="K49" s="62"/>
      <c r="L49" s="36"/>
      <c r="M49" s="36"/>
      <c r="N49" s="36"/>
      <c r="O49" s="36"/>
      <c r="P49" s="36"/>
      <c r="Q49" s="99"/>
      <c r="R49" s="108">
        <f t="shared" si="1"/>
        <v>0</v>
      </c>
      <c r="S49" s="106">
        <f t="shared" si="1"/>
        <v>0</v>
      </c>
      <c r="T49" s="62"/>
      <c r="U49" s="8">
        <f t="shared" si="11"/>
        <v>0</v>
      </c>
      <c r="V49" s="33">
        <f t="shared" si="12"/>
        <v>0</v>
      </c>
      <c r="W49" s="134">
        <f t="shared" si="13"/>
        <v>24</v>
      </c>
      <c r="X49" s="61"/>
    </row>
    <row r="50" spans="1:24" ht="19.5" thickBot="1">
      <c r="A50" s="1">
        <f t="shared" si="5"/>
        <v>43</v>
      </c>
      <c r="B50" s="15" t="s">
        <v>61</v>
      </c>
      <c r="C50" s="10">
        <v>2</v>
      </c>
      <c r="D50" s="11"/>
      <c r="E50" s="36"/>
      <c r="F50" s="36"/>
      <c r="G50" s="37"/>
      <c r="H50" s="38"/>
      <c r="I50" s="38">
        <f t="shared" si="10"/>
        <v>2</v>
      </c>
      <c r="J50" s="63">
        <f t="shared" si="9"/>
        <v>0</v>
      </c>
      <c r="K50" s="62"/>
      <c r="L50" s="36"/>
      <c r="M50" s="36"/>
      <c r="N50" s="36"/>
      <c r="O50" s="36"/>
      <c r="P50" s="36"/>
      <c r="Q50" s="99"/>
      <c r="R50" s="100">
        <f t="shared" si="1"/>
        <v>0</v>
      </c>
      <c r="S50" s="101">
        <f t="shared" si="1"/>
        <v>0</v>
      </c>
      <c r="T50" s="62"/>
      <c r="U50" s="8">
        <f t="shared" si="11"/>
        <v>0</v>
      </c>
      <c r="V50" s="135">
        <f t="shared" si="12"/>
        <v>0</v>
      </c>
      <c r="W50" s="134">
        <f t="shared" si="13"/>
        <v>48</v>
      </c>
      <c r="X50" s="61"/>
    </row>
    <row r="51" spans="1:24" ht="19.5" thickBot="1">
      <c r="A51" s="1">
        <f t="shared" si="5"/>
        <v>44</v>
      </c>
      <c r="B51" s="15" t="s">
        <v>62</v>
      </c>
      <c r="C51" s="10"/>
      <c r="D51" s="11"/>
      <c r="E51" s="36"/>
      <c r="F51" s="36"/>
      <c r="G51" s="37"/>
      <c r="H51" s="38"/>
      <c r="I51" s="38">
        <f t="shared" si="10"/>
        <v>0</v>
      </c>
      <c r="J51" s="63">
        <f t="shared" si="9"/>
        <v>0</v>
      </c>
      <c r="K51" s="62"/>
      <c r="L51" s="36"/>
      <c r="M51" s="36"/>
      <c r="N51" s="36"/>
      <c r="O51" s="36"/>
      <c r="P51" s="36"/>
      <c r="Q51" s="99"/>
      <c r="R51" s="100">
        <f t="shared" si="1"/>
        <v>0</v>
      </c>
      <c r="S51" s="101">
        <f t="shared" si="1"/>
        <v>0</v>
      </c>
      <c r="T51" s="62"/>
      <c r="U51" s="8">
        <f t="shared" si="11"/>
        <v>0</v>
      </c>
      <c r="V51" s="135">
        <f t="shared" si="12"/>
        <v>0</v>
      </c>
      <c r="W51" s="134">
        <f t="shared" si="13"/>
        <v>0</v>
      </c>
      <c r="X51" s="61"/>
    </row>
    <row r="52" spans="1:24" ht="19.5" thickBot="1">
      <c r="A52" s="1">
        <f t="shared" si="5"/>
        <v>45</v>
      </c>
      <c r="B52" s="12" t="s">
        <v>63</v>
      </c>
      <c r="C52" s="26">
        <v>34</v>
      </c>
      <c r="D52" s="27"/>
      <c r="E52" s="51"/>
      <c r="F52" s="51"/>
      <c r="G52" s="52"/>
      <c r="H52" s="53"/>
      <c r="I52" s="53">
        <f t="shared" si="10"/>
        <v>34</v>
      </c>
      <c r="J52" s="70">
        <f t="shared" si="9"/>
        <v>0</v>
      </c>
      <c r="K52" s="65"/>
      <c r="L52" s="51"/>
      <c r="M52" s="51"/>
      <c r="N52" s="51"/>
      <c r="O52" s="51"/>
      <c r="P52" s="51"/>
      <c r="Q52" s="102"/>
      <c r="R52" s="107">
        <f t="shared" si="1"/>
        <v>0</v>
      </c>
      <c r="S52" s="120">
        <f t="shared" si="1"/>
        <v>0</v>
      </c>
      <c r="T52" s="65"/>
      <c r="U52" s="136">
        <f>L52*6+N52*6+P52*6</f>
        <v>0</v>
      </c>
      <c r="V52" s="141">
        <f>U52/6</f>
        <v>0</v>
      </c>
      <c r="W52" s="138">
        <f>I52*6+J52</f>
        <v>204</v>
      </c>
      <c r="X52" s="139"/>
    </row>
    <row r="53" spans="1:24" ht="19.5" thickBot="1">
      <c r="A53" s="1">
        <f t="shared" si="5"/>
        <v>46</v>
      </c>
      <c r="B53" s="7" t="s">
        <v>64</v>
      </c>
      <c r="C53" s="10">
        <v>2</v>
      </c>
      <c r="D53" s="11"/>
      <c r="E53" s="36"/>
      <c r="F53" s="36"/>
      <c r="G53" s="37"/>
      <c r="H53" s="38"/>
      <c r="I53" s="38">
        <f t="shared" si="10"/>
        <v>2</v>
      </c>
      <c r="J53" s="63">
        <f t="shared" si="9"/>
        <v>0</v>
      </c>
      <c r="K53" s="62"/>
      <c r="L53" s="36"/>
      <c r="M53" s="36"/>
      <c r="N53" s="36"/>
      <c r="O53" s="36"/>
      <c r="P53" s="36"/>
      <c r="Q53" s="99"/>
      <c r="R53" s="108">
        <f t="shared" si="1"/>
        <v>0</v>
      </c>
      <c r="S53" s="106">
        <f t="shared" si="1"/>
        <v>0</v>
      </c>
      <c r="T53" s="62"/>
      <c r="U53" s="8">
        <f>L53*24+N53*24+P53*24</f>
        <v>0</v>
      </c>
      <c r="V53" s="33">
        <f>U53/24</f>
        <v>0</v>
      </c>
      <c r="W53" s="134">
        <f>I53*24+J53</f>
        <v>48</v>
      </c>
      <c r="X53" s="61"/>
    </row>
    <row r="54" spans="1:24" ht="19.5" thickBot="1">
      <c r="A54" s="1">
        <f t="shared" si="5"/>
        <v>47</v>
      </c>
      <c r="B54" s="15" t="s">
        <v>65</v>
      </c>
      <c r="C54" s="10">
        <v>11</v>
      </c>
      <c r="D54" s="11"/>
      <c r="E54" s="36"/>
      <c r="F54" s="36"/>
      <c r="G54" s="37"/>
      <c r="H54" s="38"/>
      <c r="I54" s="38">
        <f t="shared" si="10"/>
        <v>11</v>
      </c>
      <c r="J54" s="63">
        <f t="shared" si="9"/>
        <v>0</v>
      </c>
      <c r="K54" s="62"/>
      <c r="L54" s="36"/>
      <c r="M54" s="36"/>
      <c r="N54" s="36"/>
      <c r="O54" s="36"/>
      <c r="P54" s="36"/>
      <c r="Q54" s="99"/>
      <c r="R54" s="100">
        <f t="shared" si="1"/>
        <v>0</v>
      </c>
      <c r="S54" s="101">
        <f t="shared" si="1"/>
        <v>0</v>
      </c>
      <c r="T54" s="62"/>
      <c r="U54" s="8">
        <f>L54*24+N54*24+P54*24</f>
        <v>0</v>
      </c>
      <c r="V54" s="135">
        <f>U54/24</f>
        <v>0</v>
      </c>
      <c r="W54" s="134">
        <f>I54*24+J54</f>
        <v>264</v>
      </c>
      <c r="X54" s="61"/>
    </row>
    <row r="55" spans="1:24" ht="19.5" thickBot="1">
      <c r="A55" s="1">
        <f t="shared" si="5"/>
        <v>48</v>
      </c>
      <c r="B55" s="15"/>
      <c r="C55" s="10"/>
      <c r="D55" s="11"/>
      <c r="E55" s="36"/>
      <c r="F55" s="36"/>
      <c r="G55" s="37"/>
      <c r="H55" s="38"/>
      <c r="I55" s="38">
        <f t="shared" si="10"/>
        <v>0</v>
      </c>
      <c r="J55" s="63">
        <f t="shared" si="9"/>
        <v>0</v>
      </c>
      <c r="K55" s="62"/>
      <c r="L55" s="36"/>
      <c r="M55" s="36"/>
      <c r="N55" s="36"/>
      <c r="O55" s="36"/>
      <c r="P55" s="36"/>
      <c r="Q55" s="99"/>
      <c r="R55" s="100">
        <f t="shared" si="1"/>
        <v>0</v>
      </c>
      <c r="S55" s="101">
        <f t="shared" si="1"/>
        <v>0</v>
      </c>
      <c r="T55" s="62"/>
      <c r="U55" s="8"/>
      <c r="V55" s="135"/>
      <c r="W55" s="134"/>
      <c r="X55" s="61"/>
    </row>
    <row r="56" spans="1:24" ht="19.5" thickBot="1">
      <c r="A56" s="1">
        <f t="shared" si="5"/>
        <v>49</v>
      </c>
      <c r="B56" s="15"/>
      <c r="C56" s="10"/>
      <c r="D56" s="11"/>
      <c r="E56" s="36"/>
      <c r="F56" s="36"/>
      <c r="G56" s="37"/>
      <c r="H56" s="38"/>
      <c r="I56" s="38">
        <f t="shared" si="10"/>
        <v>0</v>
      </c>
      <c r="J56" s="63">
        <f t="shared" si="9"/>
        <v>0</v>
      </c>
      <c r="K56" s="62"/>
      <c r="L56" s="36"/>
      <c r="M56" s="36"/>
      <c r="N56" s="36"/>
      <c r="O56" s="36"/>
      <c r="P56" s="36"/>
      <c r="Q56" s="99"/>
      <c r="R56" s="100">
        <f t="shared" si="1"/>
        <v>0</v>
      </c>
      <c r="S56" s="101">
        <f t="shared" si="1"/>
        <v>0</v>
      </c>
      <c r="T56" s="62"/>
      <c r="U56" s="8"/>
      <c r="V56" s="135"/>
      <c r="W56" s="134"/>
      <c r="X56" s="61"/>
    </row>
    <row r="57" spans="1:24" ht="19.5" thickBot="1">
      <c r="A57" s="1">
        <f t="shared" si="5"/>
        <v>50</v>
      </c>
      <c r="B57" s="15"/>
      <c r="C57" s="10"/>
      <c r="D57" s="11"/>
      <c r="E57" s="36"/>
      <c r="F57" s="36"/>
      <c r="G57" s="37"/>
      <c r="H57" s="38"/>
      <c r="I57" s="38">
        <f t="shared" si="10"/>
        <v>0</v>
      </c>
      <c r="J57" s="63">
        <f t="shared" si="9"/>
        <v>0</v>
      </c>
      <c r="K57" s="62"/>
      <c r="L57" s="36"/>
      <c r="M57" s="36"/>
      <c r="N57" s="36"/>
      <c r="O57" s="36"/>
      <c r="P57" s="36"/>
      <c r="Q57" s="99"/>
      <c r="R57" s="100">
        <f t="shared" si="1"/>
        <v>0</v>
      </c>
      <c r="S57" s="101">
        <f t="shared" si="1"/>
        <v>0</v>
      </c>
      <c r="T57" s="62"/>
      <c r="U57" s="8"/>
      <c r="V57" s="135"/>
      <c r="W57" s="134"/>
      <c r="X57" s="61"/>
    </row>
    <row r="58" spans="1:24" ht="19.5" thickBot="1">
      <c r="A58" s="1">
        <f t="shared" si="5"/>
        <v>51</v>
      </c>
      <c r="B58" s="15"/>
      <c r="C58" s="10"/>
      <c r="D58" s="11"/>
      <c r="E58" s="36"/>
      <c r="F58" s="36"/>
      <c r="G58" s="37"/>
      <c r="H58" s="38"/>
      <c r="I58" s="38">
        <f t="shared" si="10"/>
        <v>0</v>
      </c>
      <c r="J58" s="63">
        <f t="shared" si="9"/>
        <v>0</v>
      </c>
      <c r="K58" s="62"/>
      <c r="L58" s="36"/>
      <c r="M58" s="36"/>
      <c r="N58" s="36"/>
      <c r="O58" s="36"/>
      <c r="P58" s="36"/>
      <c r="Q58" s="99"/>
      <c r="R58" s="100">
        <f t="shared" si="1"/>
        <v>0</v>
      </c>
      <c r="S58" s="101">
        <f t="shared" si="1"/>
        <v>0</v>
      </c>
      <c r="T58" s="62"/>
      <c r="U58" s="8"/>
      <c r="V58" s="135"/>
      <c r="W58" s="134"/>
      <c r="X58" s="61"/>
    </row>
    <row r="59" spans="1:24" ht="19.5" thickBot="1">
      <c r="A59" s="1">
        <f t="shared" si="5"/>
        <v>52</v>
      </c>
      <c r="B59" s="15"/>
      <c r="C59" s="10"/>
      <c r="D59" s="11"/>
      <c r="E59" s="36"/>
      <c r="F59" s="36"/>
      <c r="G59" s="37"/>
      <c r="H59" s="38"/>
      <c r="I59" s="38">
        <f t="shared" si="10"/>
        <v>0</v>
      </c>
      <c r="J59" s="63">
        <f t="shared" si="9"/>
        <v>0</v>
      </c>
      <c r="K59" s="62"/>
      <c r="L59" s="36"/>
      <c r="M59" s="36"/>
      <c r="N59" s="36"/>
      <c r="O59" s="36"/>
      <c r="P59" s="36"/>
      <c r="Q59" s="99"/>
      <c r="R59" s="100">
        <f t="shared" si="1"/>
        <v>0</v>
      </c>
      <c r="S59" s="101">
        <f t="shared" si="1"/>
        <v>0</v>
      </c>
      <c r="T59" s="62"/>
      <c r="U59" s="8"/>
      <c r="V59" s="135"/>
      <c r="W59" s="134"/>
      <c r="X59" s="61"/>
    </row>
    <row r="60" spans="1:24" s="2" customFormat="1" ht="19.5" thickBot="1">
      <c r="B60" s="28" t="s">
        <v>15</v>
      </c>
      <c r="C60" s="29">
        <f t="shared" ref="C60:J60" si="14">SUM(C8:C59)</f>
        <v>41250</v>
      </c>
      <c r="D60" s="30">
        <f t="shared" si="14"/>
        <v>156</v>
      </c>
      <c r="E60" s="54">
        <f t="shared" si="14"/>
        <v>1836</v>
      </c>
      <c r="F60" s="54"/>
      <c r="G60" s="55">
        <f t="shared" si="14"/>
        <v>1387</v>
      </c>
      <c r="H60" s="56">
        <f t="shared" si="14"/>
        <v>8</v>
      </c>
      <c r="I60" s="56">
        <f t="shared" si="14"/>
        <v>41699</v>
      </c>
      <c r="J60" s="78">
        <f t="shared" si="14"/>
        <v>148</v>
      </c>
      <c r="L60" s="79">
        <f t="shared" ref="L60:S60" si="15">SUM(L8:L59)</f>
        <v>0</v>
      </c>
      <c r="M60" s="79">
        <f t="shared" si="15"/>
        <v>0</v>
      </c>
      <c r="N60" s="79">
        <f t="shared" si="15"/>
        <v>660</v>
      </c>
      <c r="O60" s="79">
        <f t="shared" si="15"/>
        <v>0</v>
      </c>
      <c r="P60" s="79">
        <f t="shared" si="15"/>
        <v>727</v>
      </c>
      <c r="Q60" s="121">
        <f t="shared" si="15"/>
        <v>8</v>
      </c>
      <c r="R60" s="122">
        <f t="shared" si="15"/>
        <v>1387</v>
      </c>
      <c r="S60" s="123">
        <f t="shared" si="15"/>
        <v>8</v>
      </c>
      <c r="U60" s="29">
        <f t="shared" ref="U60:W60" si="16">SUM(U8:U59)</f>
        <v>9456</v>
      </c>
      <c r="V60" s="152">
        <f t="shared" si="16"/>
        <v>1387</v>
      </c>
      <c r="W60" s="179">
        <f t="shared" si="16"/>
        <v>324232</v>
      </c>
      <c r="X60" s="78"/>
    </row>
    <row r="61" spans="1:24" ht="19.5" thickBot="1">
      <c r="V61" s="154"/>
    </row>
    <row r="62" spans="1:24" ht="18.75" customHeight="1">
      <c r="G62" s="197" t="s">
        <v>66</v>
      </c>
      <c r="H62" s="57"/>
      <c r="I62" s="57"/>
      <c r="J62" s="80" t="s">
        <v>67</v>
      </c>
      <c r="L62" s="81"/>
      <c r="M62" s="87"/>
      <c r="N62" s="88"/>
      <c r="O62" s="88"/>
      <c r="P62" s="88"/>
      <c r="Q62" s="124"/>
      <c r="R62" s="124"/>
      <c r="S62" s="125"/>
    </row>
    <row r="63" spans="1:24">
      <c r="G63" s="198"/>
      <c r="H63" s="58"/>
      <c r="I63" s="58"/>
      <c r="J63" s="82" t="s">
        <v>68</v>
      </c>
      <c r="L63" s="83"/>
      <c r="M63" s="89"/>
      <c r="N63" s="90"/>
      <c r="O63" s="90"/>
      <c r="P63" s="90"/>
      <c r="Q63" s="126"/>
      <c r="R63" s="126"/>
      <c r="S63" s="127"/>
    </row>
    <row r="64" spans="1:24">
      <c r="G64" s="199"/>
      <c r="H64" s="59"/>
      <c r="I64" s="59"/>
      <c r="J64" s="82" t="s">
        <v>69</v>
      </c>
      <c r="L64" s="84"/>
      <c r="M64" s="91"/>
      <c r="N64" s="92"/>
      <c r="O64" s="92"/>
      <c r="P64" s="92"/>
      <c r="Q64" s="128"/>
      <c r="R64" s="128"/>
      <c r="S64" s="129"/>
    </row>
    <row r="65" spans="2:24">
      <c r="G65" s="200" t="s">
        <v>70</v>
      </c>
      <c r="H65" s="164"/>
      <c r="I65" s="164"/>
      <c r="J65" s="82" t="s">
        <v>67</v>
      </c>
      <c r="L65" s="84"/>
      <c r="M65" s="91"/>
      <c r="N65" s="92"/>
      <c r="O65" s="92"/>
      <c r="P65" s="92"/>
      <c r="Q65" s="128"/>
      <c r="R65" s="128"/>
      <c r="S65" s="129"/>
    </row>
    <row r="66" spans="2:24">
      <c r="G66" s="200"/>
      <c r="H66" s="164"/>
      <c r="I66" s="164"/>
      <c r="J66" s="82" t="s">
        <v>68</v>
      </c>
      <c r="L66" s="83"/>
      <c r="M66" s="89"/>
      <c r="N66" s="90"/>
      <c r="O66" s="90"/>
      <c r="P66" s="90"/>
      <c r="Q66" s="126"/>
      <c r="R66" s="126"/>
      <c r="S66" s="127"/>
    </row>
    <row r="67" spans="2:24" ht="19.5" thickBot="1">
      <c r="G67" s="201"/>
      <c r="H67" s="165"/>
      <c r="I67" s="165"/>
      <c r="J67" s="167" t="s">
        <v>69</v>
      </c>
      <c r="L67" s="168"/>
      <c r="M67" s="170"/>
      <c r="N67" s="171"/>
      <c r="O67" s="171"/>
      <c r="P67" s="171"/>
      <c r="Q67" s="174"/>
      <c r="R67" s="174"/>
      <c r="S67" s="175"/>
    </row>
    <row r="69" spans="2:24" ht="49.5" customHeight="1" thickBot="1">
      <c r="B69" s="159" t="s">
        <v>71</v>
      </c>
      <c r="C69" s="5" t="s">
        <v>4</v>
      </c>
      <c r="D69" s="6"/>
      <c r="E69" s="166" t="s">
        <v>72</v>
      </c>
      <c r="L69" s="169" t="s">
        <v>12</v>
      </c>
      <c r="M69" s="172"/>
      <c r="N69" s="173" t="s">
        <v>13</v>
      </c>
      <c r="O69" s="173"/>
      <c r="P69" s="173" t="s">
        <v>14</v>
      </c>
      <c r="Q69" s="176"/>
      <c r="R69" s="176"/>
      <c r="S69" s="177" t="s">
        <v>73</v>
      </c>
      <c r="X69" s="178" t="s">
        <v>74</v>
      </c>
    </row>
    <row r="70" spans="2:24">
      <c r="B70" s="160" t="s">
        <v>47</v>
      </c>
      <c r="C70" s="161"/>
      <c r="D70" s="161"/>
      <c r="E70" s="163"/>
      <c r="L70" s="161"/>
      <c r="M70" s="161"/>
      <c r="N70" s="161"/>
      <c r="O70" s="161"/>
      <c r="P70" s="161"/>
      <c r="Q70" s="161"/>
      <c r="R70" s="161"/>
      <c r="S70" s="161"/>
      <c r="X70" s="163"/>
    </row>
    <row r="71" spans="2:24">
      <c r="B71" s="162" t="s">
        <v>75</v>
      </c>
      <c r="C71" s="161"/>
      <c r="D71" s="161"/>
      <c r="E71" s="163"/>
      <c r="L71" s="163"/>
      <c r="M71" s="163"/>
      <c r="N71" s="163"/>
      <c r="O71" s="163"/>
      <c r="P71" s="163"/>
      <c r="Q71" s="163"/>
      <c r="R71" s="163"/>
      <c r="S71" s="163"/>
      <c r="X71" s="163"/>
    </row>
    <row r="72" spans="2:24">
      <c r="B72" s="162" t="s">
        <v>76</v>
      </c>
      <c r="C72" s="161"/>
      <c r="D72" s="161"/>
      <c r="E72" s="163"/>
      <c r="L72" s="163"/>
      <c r="M72" s="163"/>
      <c r="N72" s="163"/>
      <c r="O72" s="163"/>
      <c r="P72" s="163"/>
      <c r="Q72" s="163"/>
      <c r="R72" s="163"/>
      <c r="S72" s="163"/>
      <c r="X72" s="163"/>
    </row>
    <row r="73" spans="2:24" ht="11.25" customHeight="1"/>
    <row r="74" spans="2:24">
      <c r="B74" s="162" t="s">
        <v>77</v>
      </c>
      <c r="C74" s="163"/>
      <c r="D74" s="163"/>
      <c r="E74" s="163"/>
      <c r="L74" s="163"/>
      <c r="M74" s="163"/>
      <c r="N74" s="163"/>
      <c r="O74" s="163"/>
      <c r="P74" s="163"/>
      <c r="Q74" s="163"/>
      <c r="R74" s="163"/>
      <c r="S74" s="163"/>
      <c r="X74" s="163"/>
    </row>
    <row r="75" spans="2:24">
      <c r="B75" s="162" t="s">
        <v>75</v>
      </c>
      <c r="C75" s="163"/>
      <c r="D75" s="163"/>
      <c r="E75" s="163"/>
      <c r="L75" s="163"/>
      <c r="M75" s="163"/>
      <c r="N75" s="163"/>
      <c r="O75" s="163"/>
      <c r="P75" s="163"/>
      <c r="Q75" s="163"/>
      <c r="R75" s="163"/>
      <c r="S75" s="163"/>
      <c r="X75" s="163"/>
    </row>
    <row r="76" spans="2:24">
      <c r="B76" s="162" t="s">
        <v>76</v>
      </c>
      <c r="C76" s="163"/>
      <c r="D76" s="163"/>
      <c r="E76" s="163"/>
      <c r="L76" s="163"/>
      <c r="M76" s="163"/>
      <c r="N76" s="163"/>
      <c r="O76" s="163"/>
      <c r="P76" s="163"/>
      <c r="Q76" s="163"/>
      <c r="R76" s="163"/>
      <c r="S76" s="163"/>
      <c r="X76" s="163"/>
    </row>
    <row r="77" spans="2:24" ht="11.25" customHeight="1"/>
    <row r="78" spans="2:24">
      <c r="B78" s="162" t="s">
        <v>78</v>
      </c>
      <c r="C78" s="163"/>
      <c r="D78" s="163"/>
      <c r="E78" s="163"/>
      <c r="L78" s="163"/>
      <c r="M78" s="163"/>
      <c r="N78" s="163"/>
      <c r="O78" s="163"/>
      <c r="P78" s="163"/>
      <c r="Q78" s="163"/>
      <c r="R78" s="163"/>
      <c r="S78" s="163"/>
      <c r="X78" s="163"/>
    </row>
    <row r="79" spans="2:24">
      <c r="B79" s="162" t="s">
        <v>75</v>
      </c>
      <c r="C79" s="163"/>
      <c r="D79" s="163"/>
      <c r="E79" s="163"/>
      <c r="L79" s="163"/>
      <c r="M79" s="163"/>
      <c r="N79" s="163"/>
      <c r="O79" s="163"/>
      <c r="P79" s="163"/>
      <c r="Q79" s="163"/>
      <c r="R79" s="163"/>
      <c r="S79" s="163"/>
      <c r="X79" s="163"/>
    </row>
    <row r="80" spans="2:24">
      <c r="B80" s="162" t="s">
        <v>76</v>
      </c>
      <c r="C80" s="163"/>
      <c r="D80" s="163"/>
      <c r="E80" s="163"/>
      <c r="L80" s="163"/>
      <c r="M80" s="163"/>
      <c r="N80" s="163"/>
      <c r="O80" s="163"/>
      <c r="P80" s="163"/>
      <c r="Q80" s="163"/>
      <c r="R80" s="163"/>
      <c r="S80" s="163"/>
      <c r="X80" s="163"/>
    </row>
    <row r="81" spans="2:24" ht="11.25" customHeight="1"/>
    <row r="82" spans="2:24">
      <c r="B82" s="162" t="s">
        <v>79</v>
      </c>
      <c r="C82" s="163"/>
      <c r="D82" s="163"/>
      <c r="E82" s="163"/>
      <c r="L82" s="163"/>
      <c r="M82" s="163"/>
      <c r="N82" s="163"/>
      <c r="O82" s="163"/>
      <c r="P82" s="163"/>
      <c r="Q82" s="163"/>
      <c r="R82" s="163"/>
      <c r="S82" s="163"/>
      <c r="X82" s="163"/>
    </row>
    <row r="83" spans="2:24">
      <c r="B83" s="162" t="s">
        <v>75</v>
      </c>
      <c r="C83" s="163"/>
      <c r="D83" s="163"/>
      <c r="E83" s="163"/>
      <c r="L83" s="163"/>
      <c r="M83" s="163"/>
      <c r="N83" s="163"/>
      <c r="O83" s="163"/>
      <c r="P83" s="163"/>
      <c r="Q83" s="163"/>
      <c r="R83" s="163"/>
      <c r="S83" s="163"/>
      <c r="X83" s="163"/>
    </row>
    <row r="84" spans="2:24">
      <c r="B84" s="162" t="s">
        <v>76</v>
      </c>
      <c r="C84" s="161"/>
      <c r="D84" s="161"/>
      <c r="E84" s="163"/>
      <c r="L84" s="163"/>
      <c r="M84" s="163"/>
      <c r="N84" s="163"/>
      <c r="O84" s="163"/>
      <c r="P84" s="163"/>
      <c r="Q84" s="163"/>
      <c r="R84" s="163"/>
      <c r="S84" s="163"/>
      <c r="X84" s="163"/>
    </row>
    <row r="85" spans="2:24" ht="11.25" customHeight="1"/>
    <row r="86" spans="2:24">
      <c r="B86" s="162" t="s">
        <v>80</v>
      </c>
      <c r="C86" s="163"/>
      <c r="D86" s="163"/>
      <c r="E86" s="163"/>
      <c r="L86" s="163"/>
      <c r="M86" s="163"/>
      <c r="N86" s="163"/>
      <c r="O86" s="163"/>
      <c r="P86" s="163"/>
      <c r="Q86" s="163"/>
      <c r="R86" s="163"/>
      <c r="S86" s="163"/>
      <c r="X86" s="163"/>
    </row>
    <row r="87" spans="2:24">
      <c r="B87" s="162" t="s">
        <v>75</v>
      </c>
      <c r="C87" s="163"/>
      <c r="D87" s="163"/>
      <c r="E87" s="163"/>
      <c r="L87" s="163"/>
      <c r="M87" s="163"/>
      <c r="N87" s="163"/>
      <c r="O87" s="163"/>
      <c r="P87" s="163"/>
      <c r="Q87" s="163"/>
      <c r="R87" s="163"/>
      <c r="S87" s="163"/>
      <c r="X87" s="163"/>
    </row>
    <row r="88" spans="2:24">
      <c r="B88" s="162" t="s">
        <v>76</v>
      </c>
      <c r="C88" s="163"/>
      <c r="D88" s="163"/>
      <c r="E88" s="163"/>
      <c r="L88" s="163"/>
      <c r="M88" s="163"/>
      <c r="N88" s="163"/>
      <c r="O88" s="163"/>
      <c r="P88" s="163"/>
      <c r="Q88" s="163"/>
      <c r="R88" s="163"/>
      <c r="S88" s="163"/>
      <c r="X88" s="163"/>
    </row>
    <row r="90" spans="2:24">
      <c r="B90" s="162" t="s">
        <v>81</v>
      </c>
      <c r="C90" s="163"/>
      <c r="D90" s="163"/>
      <c r="E90" s="163"/>
      <c r="L90" s="163"/>
      <c r="M90" s="163"/>
      <c r="N90" s="163"/>
      <c r="O90" s="163"/>
      <c r="P90" s="163"/>
      <c r="Q90" s="163"/>
      <c r="R90" s="163"/>
      <c r="S90" s="163"/>
      <c r="X90" s="163"/>
    </row>
  </sheetData>
  <mergeCells count="12">
    <mergeCell ref="G62:G64"/>
    <mergeCell ref="G65:G67"/>
    <mergeCell ref="P1:X1"/>
    <mergeCell ref="B4:B5"/>
    <mergeCell ref="C4:C5"/>
    <mergeCell ref="D4:D5"/>
    <mergeCell ref="E4:F4"/>
    <mergeCell ref="G4:G5"/>
    <mergeCell ref="H4:H5"/>
    <mergeCell ref="I4:I5"/>
    <mergeCell ref="J4:J5"/>
    <mergeCell ref="L4:X4"/>
  </mergeCells>
  <printOptions horizontalCentered="1" verticalCentered="1"/>
  <pageMargins left="0.196850393700787" right="0.196850393700787" top="0.196850393700787" bottom="0.196850393700787" header="0.511811023622047" footer="0.511811023622047"/>
  <pageSetup paperSize="9" scale="51" orientation="portrait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86697-9421-4499-9BE8-A8F2F963C4F4}">
  <sheetPr>
    <pageSetUpPr fitToPage="1"/>
  </sheetPr>
  <dimension ref="A1:BH90"/>
  <sheetViews>
    <sheetView zoomScaleNormal="100" zoomScaleSheetLayoutView="85" zoomScalePageLayoutView="80" workbookViewId="0">
      <selection activeCell="P1" sqref="P1:X1"/>
    </sheetView>
  </sheetViews>
  <sheetFormatPr defaultColWidth="9.140625" defaultRowHeight="18.75"/>
  <cols>
    <col min="1" max="1" width="5.42578125" style="3" customWidth="1"/>
    <col min="2" max="2" width="12.28515625" style="3" customWidth="1"/>
    <col min="3" max="3" width="12.7109375" style="3" customWidth="1"/>
    <col min="4" max="4" width="8.5703125" style="3" bestFit="1" customWidth="1"/>
    <col min="5" max="5" width="12.140625" style="3" customWidth="1"/>
    <col min="6" max="6" width="9.85546875" style="3" customWidth="1"/>
    <col min="7" max="7" width="11" style="3" customWidth="1"/>
    <col min="8" max="8" width="8" style="3" customWidth="1"/>
    <col min="9" max="9" width="14.7109375" style="3" customWidth="1"/>
    <col min="10" max="10" width="8.28515625" style="3" customWidth="1"/>
    <col min="11" max="11" width="1.28515625" style="3" customWidth="1"/>
    <col min="12" max="12" width="11" style="3" customWidth="1"/>
    <col min="13" max="13" width="7.85546875" style="3" customWidth="1"/>
    <col min="14" max="14" width="11" style="3" customWidth="1"/>
    <col min="15" max="15" width="6.5703125" style="3" customWidth="1"/>
    <col min="16" max="16" width="11" style="3" customWidth="1"/>
    <col min="17" max="17" width="6.5703125" style="3" customWidth="1"/>
    <col min="18" max="18" width="9.5703125" style="3" customWidth="1"/>
    <col min="19" max="19" width="8.140625" style="3" customWidth="1"/>
    <col min="20" max="20" width="1.28515625" style="3" customWidth="1"/>
    <col min="21" max="21" width="12.7109375" style="3" customWidth="1"/>
    <col min="22" max="22" width="12.7109375" style="3" hidden="1" customWidth="1"/>
    <col min="23" max="23" width="14.5703125" style="3" customWidth="1"/>
    <col min="24" max="24" width="11.5703125" style="3" customWidth="1"/>
    <col min="25" max="25" width="2" style="3" customWidth="1"/>
    <col min="26" max="26" width="10.5703125" style="3" customWidth="1"/>
    <col min="27" max="55" width="7.28515625" style="3" customWidth="1"/>
    <col min="56" max="56" width="1.5703125" style="3" customWidth="1"/>
    <col min="57" max="57" width="9.42578125" style="3" customWidth="1"/>
    <col min="58" max="58" width="1.28515625" style="3" customWidth="1"/>
    <col min="59" max="59" width="12.7109375" style="3" customWidth="1"/>
    <col min="60" max="60" width="10.28515625" style="3" customWidth="1"/>
    <col min="61" max="16384" width="9.140625" style="3"/>
  </cols>
  <sheetData>
    <row r="1" spans="1:60" ht="19.5" thickBot="1">
      <c r="B1" s="2" t="s">
        <v>0</v>
      </c>
      <c r="N1" s="3" t="s">
        <v>1</v>
      </c>
      <c r="P1" s="183">
        <v>46161</v>
      </c>
      <c r="Q1" s="184"/>
      <c r="R1" s="184"/>
      <c r="S1" s="184"/>
      <c r="T1" s="184"/>
      <c r="U1" s="184"/>
      <c r="V1" s="184"/>
      <c r="W1" s="184"/>
      <c r="X1" s="185"/>
    </row>
    <row r="2" spans="1:60" ht="15" customHeight="1">
      <c r="B2" s="2" t="s">
        <v>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4" spans="1:60" ht="19.5" customHeight="1" thickBot="1">
      <c r="A4" s="4"/>
      <c r="B4" s="192" t="s">
        <v>3</v>
      </c>
      <c r="C4" s="193" t="s">
        <v>4</v>
      </c>
      <c r="D4" s="194" t="s">
        <v>5</v>
      </c>
      <c r="E4" s="186" t="s">
        <v>6</v>
      </c>
      <c r="F4" s="187"/>
      <c r="G4" s="195" t="s">
        <v>7</v>
      </c>
      <c r="H4" s="202" t="s">
        <v>5</v>
      </c>
      <c r="I4" s="204" t="s">
        <v>8</v>
      </c>
      <c r="J4" s="202" t="s">
        <v>5</v>
      </c>
      <c r="L4" s="188" t="s">
        <v>9</v>
      </c>
      <c r="M4" s="189"/>
      <c r="N4" s="189"/>
      <c r="O4" s="189"/>
      <c r="P4" s="189"/>
      <c r="Q4" s="189"/>
      <c r="R4" s="189"/>
      <c r="S4" s="189"/>
      <c r="T4" s="189"/>
      <c r="U4" s="189"/>
      <c r="V4" s="190"/>
      <c r="W4" s="189"/>
      <c r="X4" s="191"/>
    </row>
    <row r="5" spans="1:60" s="1" customFormat="1" ht="57" thickBot="1">
      <c r="A5" s="4"/>
      <c r="B5" s="192"/>
      <c r="C5" s="193"/>
      <c r="D5" s="194"/>
      <c r="E5" s="31" t="s">
        <v>10</v>
      </c>
      <c r="F5" s="32" t="s">
        <v>11</v>
      </c>
      <c r="G5" s="196"/>
      <c r="H5" s="203"/>
      <c r="I5" s="205"/>
      <c r="J5" s="203"/>
      <c r="L5" s="60" t="s">
        <v>12</v>
      </c>
      <c r="M5" s="85" t="s">
        <v>5</v>
      </c>
      <c r="N5" s="86" t="s">
        <v>13</v>
      </c>
      <c r="O5" s="85" t="s">
        <v>5</v>
      </c>
      <c r="P5" s="86" t="s">
        <v>14</v>
      </c>
      <c r="Q5" s="85" t="s">
        <v>5</v>
      </c>
      <c r="R5" s="93" t="s">
        <v>15</v>
      </c>
      <c r="S5" s="94" t="s">
        <v>5</v>
      </c>
      <c r="T5" s="95"/>
      <c r="U5" s="130" t="s">
        <v>16</v>
      </c>
      <c r="V5" s="131" t="s">
        <v>17</v>
      </c>
      <c r="W5" s="132" t="s">
        <v>18</v>
      </c>
      <c r="X5" s="133" t="s">
        <v>19</v>
      </c>
      <c r="AL5" s="156"/>
      <c r="AM5" s="156"/>
      <c r="AN5" s="156"/>
      <c r="AO5" s="156"/>
      <c r="AP5" s="156"/>
      <c r="AQ5" s="156"/>
      <c r="AR5" s="156"/>
      <c r="AS5" s="156"/>
      <c r="AT5" s="156"/>
      <c r="AU5" s="156"/>
      <c r="AV5" s="156"/>
      <c r="AW5" s="156"/>
      <c r="AX5" s="156"/>
      <c r="AY5" s="156"/>
      <c r="AZ5" s="156"/>
      <c r="BA5" s="156"/>
      <c r="BB5" s="156"/>
      <c r="BC5" s="156"/>
      <c r="BD5" s="156"/>
      <c r="BE5" s="156"/>
      <c r="BF5" s="156"/>
      <c r="BG5" s="156"/>
      <c r="BH5" s="156"/>
    </row>
    <row r="6" spans="1:60" s="1" customFormat="1" ht="19.5" thickBot="1">
      <c r="B6" s="7"/>
      <c r="C6" s="8"/>
      <c r="D6" s="9"/>
      <c r="E6" s="33"/>
      <c r="F6" s="33"/>
      <c r="G6" s="34"/>
      <c r="H6" s="35"/>
      <c r="I6" s="35"/>
      <c r="J6" s="61"/>
      <c r="K6" s="62"/>
      <c r="L6" s="33"/>
      <c r="M6" s="33"/>
      <c r="N6" s="33"/>
      <c r="O6" s="33"/>
      <c r="P6" s="33"/>
      <c r="Q6" s="96"/>
      <c r="R6" s="97"/>
      <c r="S6" s="98"/>
      <c r="T6" s="62"/>
      <c r="U6" s="8"/>
      <c r="V6" s="33"/>
      <c r="W6" s="134"/>
      <c r="X6" s="61"/>
      <c r="AL6" s="156"/>
      <c r="AM6" s="156"/>
      <c r="AN6" s="156"/>
      <c r="AO6" s="156"/>
      <c r="AP6" s="156"/>
      <c r="AQ6" s="156"/>
      <c r="AR6" s="156"/>
      <c r="AS6" s="156"/>
      <c r="AT6" s="156"/>
      <c r="AU6" s="156"/>
      <c r="AV6" s="156"/>
      <c r="AW6" s="156"/>
      <c r="AX6" s="156"/>
      <c r="AY6" s="156"/>
      <c r="AZ6" s="156"/>
      <c r="BA6" s="156"/>
      <c r="BB6" s="156"/>
      <c r="BC6" s="156"/>
      <c r="BD6" s="156"/>
      <c r="BE6" s="156"/>
      <c r="BF6" s="156"/>
      <c r="BG6" s="156"/>
      <c r="BH6" s="156"/>
    </row>
    <row r="7" spans="1:60" s="1" customFormat="1" ht="19.5" thickBot="1">
      <c r="B7" s="7"/>
      <c r="C7" s="8"/>
      <c r="D7" s="9"/>
      <c r="E7" s="33"/>
      <c r="F7" s="33"/>
      <c r="G7" s="34"/>
      <c r="H7" s="35"/>
      <c r="I7" s="35"/>
      <c r="J7" s="61"/>
      <c r="K7" s="62"/>
      <c r="L7" s="33"/>
      <c r="M7" s="33"/>
      <c r="N7" s="33"/>
      <c r="O7" s="33"/>
      <c r="P7" s="33"/>
      <c r="Q7" s="96"/>
      <c r="R7" s="97"/>
      <c r="S7" s="98"/>
      <c r="T7" s="62"/>
      <c r="U7" s="8"/>
      <c r="V7" s="135"/>
      <c r="W7" s="134"/>
      <c r="X7" s="61"/>
      <c r="AL7" s="156"/>
      <c r="AM7" s="156"/>
      <c r="AN7" s="156"/>
      <c r="AO7" s="156"/>
      <c r="AP7" s="156"/>
      <c r="AQ7" s="156"/>
      <c r="AR7" s="156"/>
      <c r="AS7" s="156"/>
      <c r="AT7" s="156"/>
      <c r="AU7" s="156"/>
      <c r="AV7" s="156"/>
      <c r="AW7" s="156"/>
      <c r="AX7" s="156"/>
      <c r="AY7" s="156"/>
      <c r="AZ7" s="156"/>
      <c r="BA7" s="156"/>
      <c r="BB7" s="156"/>
      <c r="BC7" s="156"/>
      <c r="BD7" s="156"/>
      <c r="BE7" s="156"/>
      <c r="BF7" s="156"/>
      <c r="BG7" s="156"/>
      <c r="BH7" s="156"/>
    </row>
    <row r="8" spans="1:60" ht="19.5" thickBot="1">
      <c r="A8" s="1">
        <v>1</v>
      </c>
      <c r="B8" s="7" t="s">
        <v>20</v>
      </c>
      <c r="C8" s="10">
        <v>11</v>
      </c>
      <c r="D8" s="11">
        <v>19</v>
      </c>
      <c r="E8" s="36"/>
      <c r="F8" s="36"/>
      <c r="G8" s="37">
        <v>1</v>
      </c>
      <c r="H8" s="38"/>
      <c r="I8" s="38">
        <f t="shared" ref="I8:J43" si="0">C8-G8</f>
        <v>10</v>
      </c>
      <c r="J8" s="63">
        <f t="shared" si="0"/>
        <v>19</v>
      </c>
      <c r="K8" s="62"/>
      <c r="L8" s="36"/>
      <c r="M8" s="36"/>
      <c r="N8" s="36"/>
      <c r="O8" s="36"/>
      <c r="P8" s="36">
        <v>1</v>
      </c>
      <c r="Q8" s="99"/>
      <c r="R8" s="100">
        <f t="shared" ref="R8:S59" si="1">L8+N8+P8</f>
        <v>1</v>
      </c>
      <c r="S8" s="101">
        <f t="shared" si="1"/>
        <v>0</v>
      </c>
      <c r="T8" s="62"/>
      <c r="U8" s="8">
        <f t="shared" ref="U8:U37" si="2">L8*24+N8*24+P8*24</f>
        <v>24</v>
      </c>
      <c r="V8" s="135">
        <f t="shared" ref="V8:V37" si="3">U8/24</f>
        <v>1</v>
      </c>
      <c r="W8" s="134">
        <f t="shared" ref="W8:W37" si="4">I8*24+J8</f>
        <v>259</v>
      </c>
      <c r="X8" s="61"/>
      <c r="AL8" s="157"/>
      <c r="AM8" s="157"/>
      <c r="AN8" s="157"/>
      <c r="AO8" s="157"/>
      <c r="AP8" s="157"/>
      <c r="AQ8" s="157"/>
      <c r="AR8" s="157"/>
      <c r="AS8" s="157"/>
      <c r="AT8" s="157"/>
      <c r="AU8" s="157"/>
      <c r="AV8" s="157"/>
      <c r="AW8" s="157"/>
      <c r="AX8" s="157"/>
      <c r="AY8" s="157"/>
      <c r="AZ8" s="157"/>
      <c r="BA8" s="157"/>
      <c r="BB8" s="157"/>
      <c r="BC8" s="157"/>
      <c r="BD8" s="157"/>
      <c r="BE8" s="157"/>
      <c r="BF8" s="157"/>
      <c r="BG8" s="157"/>
      <c r="BH8" s="157"/>
    </row>
    <row r="9" spans="1:60" ht="19.5" thickBot="1">
      <c r="A9" s="1">
        <f t="shared" ref="A9:A59" si="5">A8+1</f>
        <v>2</v>
      </c>
      <c r="B9" s="12" t="s">
        <v>21</v>
      </c>
      <c r="C9" s="13">
        <v>76</v>
      </c>
      <c r="D9" s="14"/>
      <c r="E9" s="39"/>
      <c r="F9" s="39"/>
      <c r="G9" s="40">
        <v>1</v>
      </c>
      <c r="H9" s="41"/>
      <c r="I9" s="40">
        <f t="shared" si="0"/>
        <v>75</v>
      </c>
      <c r="J9" s="64">
        <f t="shared" si="0"/>
        <v>0</v>
      </c>
      <c r="K9" s="65"/>
      <c r="L9" s="51"/>
      <c r="M9" s="51"/>
      <c r="N9" s="51"/>
      <c r="O9" s="51"/>
      <c r="P9" s="51">
        <v>1</v>
      </c>
      <c r="Q9" s="102"/>
      <c r="R9" s="103">
        <f t="shared" si="1"/>
        <v>1</v>
      </c>
      <c r="S9" s="104">
        <f t="shared" si="1"/>
        <v>0</v>
      </c>
      <c r="T9" s="65"/>
      <c r="U9" s="136">
        <f t="shared" si="2"/>
        <v>24</v>
      </c>
      <c r="V9" s="137">
        <f t="shared" si="3"/>
        <v>1</v>
      </c>
      <c r="W9" s="138">
        <f t="shared" si="4"/>
        <v>1800</v>
      </c>
      <c r="X9" s="139"/>
      <c r="AL9" s="157"/>
      <c r="AM9" s="157"/>
      <c r="AN9" s="157"/>
      <c r="AO9" s="157"/>
      <c r="AP9" s="157"/>
      <c r="AQ9" s="157"/>
      <c r="AR9" s="157"/>
      <c r="AS9" s="157"/>
      <c r="AT9" s="157"/>
      <c r="AU9" s="157"/>
      <c r="AV9" s="157"/>
      <c r="AW9" s="157"/>
      <c r="AX9" s="157"/>
      <c r="AY9" s="157"/>
      <c r="AZ9" s="157"/>
      <c r="BA9" s="157"/>
      <c r="BB9" s="157"/>
      <c r="BC9" s="157"/>
      <c r="BD9" s="157"/>
      <c r="BE9" s="157"/>
      <c r="BF9" s="157"/>
      <c r="BG9" s="157"/>
      <c r="BH9" s="157"/>
    </row>
    <row r="10" spans="1:60" ht="19.5" thickBot="1">
      <c r="A10" s="1">
        <f t="shared" si="5"/>
        <v>3</v>
      </c>
      <c r="B10" s="7" t="s">
        <v>22</v>
      </c>
      <c r="C10" s="10">
        <v>42</v>
      </c>
      <c r="D10" s="11"/>
      <c r="E10" s="36"/>
      <c r="F10" s="36"/>
      <c r="G10" s="37"/>
      <c r="H10" s="38"/>
      <c r="I10" s="38">
        <f t="shared" si="0"/>
        <v>42</v>
      </c>
      <c r="J10" s="66">
        <f t="shared" si="0"/>
        <v>0</v>
      </c>
      <c r="K10" s="62"/>
      <c r="L10" s="36"/>
      <c r="M10" s="36"/>
      <c r="N10" s="36"/>
      <c r="O10" s="36"/>
      <c r="P10" s="36"/>
      <c r="Q10" s="99"/>
      <c r="R10" s="105">
        <f t="shared" si="1"/>
        <v>0</v>
      </c>
      <c r="S10" s="106">
        <f t="shared" si="1"/>
        <v>0</v>
      </c>
      <c r="T10" s="62"/>
      <c r="U10" s="8">
        <f t="shared" si="2"/>
        <v>0</v>
      </c>
      <c r="V10" s="140">
        <f t="shared" si="3"/>
        <v>0</v>
      </c>
      <c r="W10" s="134">
        <f t="shared" si="4"/>
        <v>1008</v>
      </c>
      <c r="X10" s="61"/>
      <c r="AL10" s="157"/>
      <c r="AM10" s="157"/>
      <c r="AN10" s="157"/>
      <c r="AO10" s="157"/>
      <c r="AP10" s="157"/>
      <c r="AQ10" s="157"/>
      <c r="AR10" s="157"/>
      <c r="AS10" s="157"/>
      <c r="AT10" s="157"/>
      <c r="AU10" s="157"/>
      <c r="AV10" s="157"/>
      <c r="AW10" s="157"/>
      <c r="AX10" s="157"/>
      <c r="AY10" s="157"/>
      <c r="AZ10" s="157"/>
      <c r="BA10" s="157"/>
      <c r="BB10" s="157"/>
      <c r="BC10" s="157"/>
      <c r="BD10" s="157"/>
      <c r="BE10" s="157"/>
      <c r="BF10" s="157"/>
      <c r="BG10" s="157"/>
      <c r="BH10" s="157"/>
    </row>
    <row r="11" spans="1:60" ht="19.5" thickBot="1">
      <c r="A11" s="1">
        <f t="shared" si="5"/>
        <v>4</v>
      </c>
      <c r="B11" s="15" t="s">
        <v>23</v>
      </c>
      <c r="C11" s="10">
        <v>41</v>
      </c>
      <c r="D11" s="11"/>
      <c r="E11" s="36"/>
      <c r="F11" s="36"/>
      <c r="G11" s="37"/>
      <c r="H11" s="38"/>
      <c r="I11" s="38">
        <f t="shared" si="0"/>
        <v>41</v>
      </c>
      <c r="J11" s="63">
        <f t="shared" si="0"/>
        <v>0</v>
      </c>
      <c r="K11" s="62"/>
      <c r="L11" s="36"/>
      <c r="M11" s="36"/>
      <c r="N11" s="36"/>
      <c r="O11" s="36"/>
      <c r="P11" s="36"/>
      <c r="Q11" s="99"/>
      <c r="R11" s="100">
        <f t="shared" si="1"/>
        <v>0</v>
      </c>
      <c r="S11" s="101">
        <f t="shared" si="1"/>
        <v>0</v>
      </c>
      <c r="T11" s="62"/>
      <c r="U11" s="8">
        <f t="shared" si="2"/>
        <v>0</v>
      </c>
      <c r="V11" s="135">
        <f t="shared" si="3"/>
        <v>0</v>
      </c>
      <c r="W11" s="134">
        <f t="shared" si="4"/>
        <v>984</v>
      </c>
      <c r="X11" s="61"/>
      <c r="AL11" s="157"/>
      <c r="AM11" s="157"/>
      <c r="AN11" s="157"/>
      <c r="AO11" s="157"/>
      <c r="AP11" s="157"/>
      <c r="AQ11" s="157"/>
      <c r="AR11" s="157"/>
      <c r="AS11" s="157"/>
      <c r="AT11" s="157"/>
      <c r="AU11" s="157"/>
      <c r="AV11" s="157"/>
      <c r="AW11" s="157"/>
      <c r="AX11" s="157"/>
      <c r="AY11" s="157"/>
      <c r="AZ11" s="157"/>
      <c r="BA11" s="157"/>
      <c r="BB11" s="157"/>
      <c r="BC11" s="157"/>
      <c r="BD11" s="157"/>
      <c r="BE11" s="157"/>
      <c r="BF11" s="157"/>
      <c r="BG11" s="157"/>
      <c r="BH11" s="157"/>
    </row>
    <row r="12" spans="1:60" ht="19.5" thickBot="1">
      <c r="A12" s="1">
        <f t="shared" si="5"/>
        <v>5</v>
      </c>
      <c r="B12" s="15" t="s">
        <v>24</v>
      </c>
      <c r="C12" s="10"/>
      <c r="D12" s="11">
        <v>2</v>
      </c>
      <c r="E12" s="36"/>
      <c r="F12" s="36"/>
      <c r="G12" s="37"/>
      <c r="H12" s="38"/>
      <c r="I12" s="38">
        <f t="shared" si="0"/>
        <v>0</v>
      </c>
      <c r="J12" s="63">
        <f t="shared" si="0"/>
        <v>2</v>
      </c>
      <c r="K12" s="62"/>
      <c r="L12" s="36"/>
      <c r="M12" s="36"/>
      <c r="N12" s="36"/>
      <c r="O12" s="36"/>
      <c r="P12" s="36"/>
      <c r="Q12" s="99"/>
      <c r="R12" s="100">
        <f t="shared" si="1"/>
        <v>0</v>
      </c>
      <c r="S12" s="101">
        <f t="shared" si="1"/>
        <v>0</v>
      </c>
      <c r="T12" s="62"/>
      <c r="U12" s="8">
        <f t="shared" si="2"/>
        <v>0</v>
      </c>
      <c r="V12" s="135">
        <f t="shared" si="3"/>
        <v>0</v>
      </c>
      <c r="W12" s="134">
        <f t="shared" si="4"/>
        <v>2</v>
      </c>
      <c r="X12" s="61"/>
      <c r="AL12" s="157"/>
      <c r="AM12" s="157"/>
      <c r="AN12" s="157"/>
      <c r="AO12" s="157"/>
      <c r="AP12" s="157"/>
      <c r="AQ12" s="157"/>
      <c r="AR12" s="157"/>
      <c r="AS12" s="157"/>
      <c r="AT12" s="157"/>
      <c r="AU12" s="157"/>
      <c r="AV12" s="157"/>
      <c r="AW12" s="157"/>
      <c r="AX12" s="157"/>
      <c r="AY12" s="157"/>
      <c r="AZ12" s="157"/>
      <c r="BA12" s="157"/>
      <c r="BB12" s="157"/>
      <c r="BC12" s="157"/>
      <c r="BD12" s="157"/>
      <c r="BE12" s="157"/>
      <c r="BF12" s="157"/>
      <c r="BG12" s="157"/>
      <c r="BH12" s="157"/>
    </row>
    <row r="13" spans="1:60" s="2" customFormat="1" ht="19.5" thickBot="1">
      <c r="A13" s="1">
        <f t="shared" si="5"/>
        <v>6</v>
      </c>
      <c r="B13" s="12" t="s">
        <v>25</v>
      </c>
      <c r="C13" s="13">
        <v>3230</v>
      </c>
      <c r="D13" s="14"/>
      <c r="E13" s="39"/>
      <c r="F13" s="39"/>
      <c r="G13" s="40">
        <v>55</v>
      </c>
      <c r="H13" s="41"/>
      <c r="I13" s="44">
        <f t="shared" si="0"/>
        <v>3175</v>
      </c>
      <c r="J13" s="64">
        <f t="shared" si="0"/>
        <v>0</v>
      </c>
      <c r="K13" s="67"/>
      <c r="L13" s="51">
        <v>19</v>
      </c>
      <c r="M13" s="51"/>
      <c r="N13" s="51">
        <v>10</v>
      </c>
      <c r="O13" s="51"/>
      <c r="P13" s="51">
        <v>26</v>
      </c>
      <c r="Q13" s="102"/>
      <c r="R13" s="107">
        <f t="shared" si="1"/>
        <v>55</v>
      </c>
      <c r="S13" s="104">
        <f t="shared" si="1"/>
        <v>0</v>
      </c>
      <c r="T13" s="67"/>
      <c r="U13" s="136">
        <f t="shared" si="2"/>
        <v>1320</v>
      </c>
      <c r="V13" s="141">
        <f t="shared" si="3"/>
        <v>55</v>
      </c>
      <c r="W13" s="138">
        <f t="shared" si="4"/>
        <v>76200</v>
      </c>
      <c r="X13" s="139"/>
      <c r="Y13" s="3"/>
      <c r="AD13" s="3"/>
      <c r="AG13" s="3"/>
      <c r="AH13" s="3"/>
      <c r="AI13" s="3"/>
      <c r="AJ13" s="3"/>
      <c r="AK13" s="3"/>
      <c r="AL13" s="157"/>
      <c r="AM13" s="157"/>
      <c r="AN13" s="157"/>
      <c r="AO13" s="157"/>
      <c r="AP13" s="157"/>
      <c r="AQ13" s="157"/>
      <c r="AR13" s="157"/>
      <c r="AS13" s="157"/>
      <c r="AT13" s="157"/>
      <c r="AU13" s="157"/>
      <c r="AV13" s="157"/>
      <c r="AW13" s="157"/>
      <c r="AX13" s="157"/>
      <c r="AY13" s="157"/>
      <c r="AZ13" s="157"/>
      <c r="BA13" s="157"/>
      <c r="BB13" s="157"/>
      <c r="BC13" s="157"/>
      <c r="BD13" s="157"/>
      <c r="BE13" s="157"/>
      <c r="BF13" s="157"/>
      <c r="BG13" s="157"/>
      <c r="BH13" s="157"/>
    </row>
    <row r="14" spans="1:60" ht="19.5" thickBot="1">
      <c r="A14" s="1">
        <f t="shared" si="5"/>
        <v>7</v>
      </c>
      <c r="B14" s="7" t="s">
        <v>26</v>
      </c>
      <c r="C14" s="10">
        <v>3</v>
      </c>
      <c r="D14" s="11">
        <v>16</v>
      </c>
      <c r="E14" s="36"/>
      <c r="F14" s="36"/>
      <c r="G14" s="37"/>
      <c r="H14" s="38"/>
      <c r="I14" s="68">
        <f t="shared" si="0"/>
        <v>3</v>
      </c>
      <c r="J14" s="66">
        <f t="shared" si="0"/>
        <v>16</v>
      </c>
      <c r="K14" s="62"/>
      <c r="L14" s="36"/>
      <c r="M14" s="36"/>
      <c r="N14" s="36"/>
      <c r="O14" s="36"/>
      <c r="P14" s="36"/>
      <c r="Q14" s="99"/>
      <c r="R14" s="108">
        <f t="shared" si="1"/>
        <v>0</v>
      </c>
      <c r="S14" s="106">
        <f t="shared" si="1"/>
        <v>0</v>
      </c>
      <c r="T14" s="62"/>
      <c r="U14" s="8">
        <f t="shared" si="2"/>
        <v>0</v>
      </c>
      <c r="V14" s="33">
        <f t="shared" si="3"/>
        <v>0</v>
      </c>
      <c r="W14" s="134">
        <f t="shared" si="4"/>
        <v>88</v>
      </c>
      <c r="X14" s="61"/>
      <c r="AL14" s="157"/>
      <c r="AM14" s="157"/>
      <c r="AN14" s="157"/>
      <c r="AO14" s="157"/>
      <c r="AP14" s="157"/>
      <c r="AQ14" s="157"/>
      <c r="AR14" s="157"/>
      <c r="AS14" s="157"/>
      <c r="AT14" s="157"/>
      <c r="AU14" s="157"/>
      <c r="AV14" s="157"/>
      <c r="AW14" s="157"/>
      <c r="AX14" s="157"/>
      <c r="AY14" s="157"/>
      <c r="AZ14" s="157"/>
      <c r="BA14" s="157"/>
      <c r="BB14" s="157"/>
      <c r="BC14" s="157"/>
      <c r="BD14" s="157"/>
      <c r="BE14" s="157"/>
      <c r="BF14" s="157"/>
      <c r="BG14" s="157"/>
      <c r="BH14" s="157"/>
    </row>
    <row r="15" spans="1:60" ht="19.5" thickBot="1">
      <c r="A15" s="1">
        <f t="shared" si="5"/>
        <v>8</v>
      </c>
      <c r="B15" s="15" t="s">
        <v>27</v>
      </c>
      <c r="C15" s="10">
        <v>4</v>
      </c>
      <c r="D15" s="11"/>
      <c r="E15" s="36"/>
      <c r="F15" s="36"/>
      <c r="G15" s="37"/>
      <c r="H15" s="38"/>
      <c r="I15" s="38">
        <f t="shared" si="0"/>
        <v>4</v>
      </c>
      <c r="J15" s="63">
        <f t="shared" si="0"/>
        <v>0</v>
      </c>
      <c r="K15" s="62"/>
      <c r="L15" s="36"/>
      <c r="M15" s="36"/>
      <c r="N15" s="36"/>
      <c r="O15" s="36"/>
      <c r="P15" s="36"/>
      <c r="Q15" s="99"/>
      <c r="R15" s="100">
        <f t="shared" si="1"/>
        <v>0</v>
      </c>
      <c r="S15" s="101">
        <f t="shared" si="1"/>
        <v>0</v>
      </c>
      <c r="T15" s="62"/>
      <c r="U15" s="8">
        <f t="shared" si="2"/>
        <v>0</v>
      </c>
      <c r="V15" s="135">
        <f t="shared" si="3"/>
        <v>0</v>
      </c>
      <c r="W15" s="134">
        <f t="shared" si="4"/>
        <v>96</v>
      </c>
      <c r="X15" s="61"/>
      <c r="AL15" s="157"/>
      <c r="AM15" s="157"/>
      <c r="AN15" s="157"/>
      <c r="AO15" s="157"/>
      <c r="AP15" s="157"/>
      <c r="AQ15" s="157"/>
      <c r="AR15" s="157"/>
      <c r="AS15" s="157"/>
      <c r="AT15" s="157"/>
      <c r="AU15" s="157"/>
      <c r="AV15" s="157"/>
      <c r="AW15" s="157"/>
      <c r="AX15" s="157"/>
      <c r="AY15" s="157"/>
      <c r="AZ15" s="157"/>
      <c r="BA15" s="157"/>
      <c r="BB15" s="157"/>
      <c r="BC15" s="157"/>
      <c r="BD15" s="157"/>
      <c r="BE15" s="157"/>
      <c r="BF15" s="157"/>
      <c r="BG15" s="157"/>
      <c r="BH15" s="157"/>
    </row>
    <row r="16" spans="1:60" ht="19.5" thickBot="1">
      <c r="A16" s="1">
        <f t="shared" si="5"/>
        <v>9</v>
      </c>
      <c r="B16" s="15" t="s">
        <v>28</v>
      </c>
      <c r="C16" s="10">
        <v>1</v>
      </c>
      <c r="D16" s="11"/>
      <c r="E16" s="36"/>
      <c r="F16" s="36"/>
      <c r="G16" s="37"/>
      <c r="H16" s="38"/>
      <c r="I16" s="38">
        <f t="shared" si="0"/>
        <v>1</v>
      </c>
      <c r="J16" s="63">
        <f t="shared" si="0"/>
        <v>0</v>
      </c>
      <c r="K16" s="62"/>
      <c r="L16" s="36"/>
      <c r="M16" s="36"/>
      <c r="N16" s="36"/>
      <c r="O16" s="36"/>
      <c r="P16" s="36"/>
      <c r="Q16" s="99"/>
      <c r="R16" s="100">
        <f t="shared" si="1"/>
        <v>0</v>
      </c>
      <c r="S16" s="101">
        <f t="shared" si="1"/>
        <v>0</v>
      </c>
      <c r="T16" s="62"/>
      <c r="U16" s="8">
        <f t="shared" si="2"/>
        <v>0</v>
      </c>
      <c r="V16" s="135">
        <f t="shared" si="3"/>
        <v>0</v>
      </c>
      <c r="W16" s="134">
        <f t="shared" si="4"/>
        <v>24</v>
      </c>
      <c r="X16" s="61"/>
      <c r="AL16" s="157"/>
      <c r="AM16" s="157"/>
      <c r="AN16" s="157"/>
      <c r="AO16" s="157"/>
      <c r="AP16" s="157"/>
      <c r="AQ16" s="157"/>
      <c r="AR16" s="157"/>
      <c r="AS16" s="157"/>
      <c r="AT16" s="157"/>
      <c r="AU16" s="157"/>
      <c r="AV16" s="157"/>
      <c r="AW16" s="157"/>
      <c r="AX16" s="157"/>
      <c r="AY16" s="157"/>
      <c r="AZ16" s="157"/>
      <c r="BA16" s="157"/>
      <c r="BB16" s="157"/>
      <c r="BC16" s="157"/>
      <c r="BD16" s="157"/>
      <c r="BE16" s="157"/>
      <c r="BF16" s="157"/>
      <c r="BG16" s="157"/>
      <c r="BH16" s="157"/>
    </row>
    <row r="17" spans="1:60" ht="19.5" thickBot="1">
      <c r="A17" s="1">
        <f t="shared" si="5"/>
        <v>10</v>
      </c>
      <c r="B17" s="15" t="s">
        <v>29</v>
      </c>
      <c r="C17" s="10"/>
      <c r="D17" s="11"/>
      <c r="E17" s="36"/>
      <c r="F17" s="36"/>
      <c r="G17" s="37"/>
      <c r="H17" s="38"/>
      <c r="I17" s="38">
        <f t="shared" si="0"/>
        <v>0</v>
      </c>
      <c r="J17" s="63">
        <f t="shared" si="0"/>
        <v>0</v>
      </c>
      <c r="K17" s="62"/>
      <c r="L17" s="36"/>
      <c r="M17" s="36"/>
      <c r="N17" s="36"/>
      <c r="O17" s="36"/>
      <c r="P17" s="36"/>
      <c r="Q17" s="99"/>
      <c r="R17" s="100">
        <f t="shared" si="1"/>
        <v>0</v>
      </c>
      <c r="S17" s="101">
        <f t="shared" si="1"/>
        <v>0</v>
      </c>
      <c r="T17" s="62"/>
      <c r="U17" s="8">
        <f t="shared" si="2"/>
        <v>0</v>
      </c>
      <c r="V17" s="135">
        <f t="shared" si="3"/>
        <v>0</v>
      </c>
      <c r="W17" s="134">
        <f t="shared" si="4"/>
        <v>0</v>
      </c>
      <c r="X17" s="61"/>
      <c r="AL17" s="157"/>
      <c r="AM17" s="157"/>
      <c r="AN17" s="157"/>
      <c r="AO17" s="157"/>
      <c r="AP17" s="157"/>
      <c r="AQ17" s="157"/>
      <c r="AR17" s="157"/>
      <c r="AS17" s="157"/>
      <c r="AT17" s="157"/>
      <c r="AU17" s="157"/>
      <c r="AV17" s="157"/>
      <c r="AW17" s="157"/>
      <c r="AX17" s="157"/>
      <c r="AY17" s="157"/>
      <c r="AZ17" s="157"/>
      <c r="BA17" s="157"/>
      <c r="BB17" s="157"/>
      <c r="BC17" s="157"/>
      <c r="BD17" s="157"/>
      <c r="BE17" s="157"/>
      <c r="BF17" s="157"/>
      <c r="BG17" s="157"/>
      <c r="BH17" s="157"/>
    </row>
    <row r="18" spans="1:60" ht="19.5" thickBot="1">
      <c r="A18" s="1">
        <f t="shared" si="5"/>
        <v>11</v>
      </c>
      <c r="B18" s="15" t="s">
        <v>30</v>
      </c>
      <c r="C18" s="10">
        <v>3</v>
      </c>
      <c r="D18" s="11"/>
      <c r="E18" s="36"/>
      <c r="F18" s="36"/>
      <c r="G18" s="37"/>
      <c r="H18" s="38"/>
      <c r="I18" s="38">
        <f t="shared" si="0"/>
        <v>3</v>
      </c>
      <c r="J18" s="63">
        <f t="shared" si="0"/>
        <v>0</v>
      </c>
      <c r="K18" s="62"/>
      <c r="L18" s="36"/>
      <c r="M18" s="36"/>
      <c r="N18" s="36"/>
      <c r="O18" s="36"/>
      <c r="P18" s="36"/>
      <c r="Q18" s="99"/>
      <c r="R18" s="100">
        <f t="shared" si="1"/>
        <v>0</v>
      </c>
      <c r="S18" s="101">
        <f t="shared" si="1"/>
        <v>0</v>
      </c>
      <c r="T18" s="62"/>
      <c r="U18" s="8">
        <f t="shared" si="2"/>
        <v>0</v>
      </c>
      <c r="V18" s="135">
        <f t="shared" si="3"/>
        <v>0</v>
      </c>
      <c r="W18" s="134">
        <f t="shared" si="4"/>
        <v>72</v>
      </c>
      <c r="X18" s="61"/>
      <c r="AL18" s="157"/>
      <c r="AM18" s="157"/>
      <c r="AN18" s="157"/>
      <c r="AO18" s="157"/>
      <c r="AP18" s="157"/>
      <c r="AQ18" s="157"/>
      <c r="AR18" s="157"/>
      <c r="AS18" s="157"/>
      <c r="AT18" s="157"/>
      <c r="AU18" s="157"/>
      <c r="AV18" s="157"/>
      <c r="AW18" s="157"/>
      <c r="AX18" s="157"/>
      <c r="AY18" s="157"/>
      <c r="AZ18" s="157"/>
      <c r="BA18" s="157"/>
      <c r="BB18" s="157"/>
      <c r="BC18" s="157"/>
      <c r="BD18" s="157"/>
      <c r="BE18" s="157"/>
      <c r="BF18" s="157"/>
      <c r="BG18" s="157"/>
      <c r="BH18" s="157"/>
    </row>
    <row r="19" spans="1:60" ht="18.75" hidden="1" customHeight="1">
      <c r="A19" s="1">
        <f t="shared" si="5"/>
        <v>12</v>
      </c>
      <c r="B19" s="15" t="s">
        <v>31</v>
      </c>
      <c r="C19" s="10"/>
      <c r="D19" s="11"/>
      <c r="E19" s="36"/>
      <c r="F19" s="36"/>
      <c r="G19" s="37"/>
      <c r="H19" s="38"/>
      <c r="I19" s="38">
        <f t="shared" si="0"/>
        <v>0</v>
      </c>
      <c r="J19" s="63">
        <f t="shared" si="0"/>
        <v>0</v>
      </c>
      <c r="K19" s="62"/>
      <c r="L19" s="36"/>
      <c r="M19" s="36"/>
      <c r="N19" s="36"/>
      <c r="O19" s="36"/>
      <c r="P19" s="36"/>
      <c r="Q19" s="99"/>
      <c r="R19" s="100">
        <f t="shared" si="1"/>
        <v>0</v>
      </c>
      <c r="S19" s="101">
        <f t="shared" si="1"/>
        <v>0</v>
      </c>
      <c r="T19" s="62"/>
      <c r="U19" s="8">
        <f t="shared" si="2"/>
        <v>0</v>
      </c>
      <c r="V19" s="135">
        <f t="shared" si="3"/>
        <v>0</v>
      </c>
      <c r="W19" s="134">
        <f t="shared" si="4"/>
        <v>0</v>
      </c>
      <c r="X19" s="61"/>
      <c r="AL19" s="157"/>
      <c r="AM19" s="157"/>
      <c r="AN19" s="157"/>
      <c r="AO19" s="157"/>
      <c r="AP19" s="157"/>
      <c r="AQ19" s="157"/>
      <c r="AR19" s="157"/>
      <c r="AS19" s="157"/>
      <c r="AT19" s="157"/>
      <c r="AU19" s="157"/>
      <c r="AV19" s="157"/>
      <c r="AW19" s="157"/>
      <c r="AX19" s="157"/>
      <c r="AY19" s="157"/>
      <c r="AZ19" s="157"/>
      <c r="BA19" s="157"/>
      <c r="BB19" s="157"/>
      <c r="BC19" s="157"/>
      <c r="BD19" s="157"/>
      <c r="BE19" s="157"/>
      <c r="BF19" s="157"/>
      <c r="BG19" s="157"/>
      <c r="BH19" s="157"/>
    </row>
    <row r="20" spans="1:60" ht="19.5" thickBot="1">
      <c r="A20" s="1">
        <f t="shared" si="5"/>
        <v>13</v>
      </c>
      <c r="B20" s="15" t="s">
        <v>32</v>
      </c>
      <c r="C20" s="10">
        <v>4</v>
      </c>
      <c r="D20" s="11">
        <v>20</v>
      </c>
      <c r="E20" s="36"/>
      <c r="F20" s="36"/>
      <c r="G20" s="37"/>
      <c r="H20" s="38"/>
      <c r="I20" s="38">
        <f t="shared" si="0"/>
        <v>4</v>
      </c>
      <c r="J20" s="63">
        <f t="shared" si="0"/>
        <v>20</v>
      </c>
      <c r="K20" s="62"/>
      <c r="L20" s="36"/>
      <c r="M20" s="36"/>
      <c r="N20" s="36"/>
      <c r="O20" s="36"/>
      <c r="P20" s="36"/>
      <c r="Q20" s="99"/>
      <c r="R20" s="100">
        <f t="shared" si="1"/>
        <v>0</v>
      </c>
      <c r="S20" s="101">
        <f t="shared" si="1"/>
        <v>0</v>
      </c>
      <c r="T20" s="62"/>
      <c r="U20" s="8">
        <f t="shared" si="2"/>
        <v>0</v>
      </c>
      <c r="V20" s="135">
        <f t="shared" si="3"/>
        <v>0</v>
      </c>
      <c r="W20" s="134">
        <f t="shared" si="4"/>
        <v>116</v>
      </c>
      <c r="X20" s="61"/>
      <c r="AL20" s="157"/>
      <c r="AM20" s="157"/>
      <c r="AN20" s="157"/>
      <c r="AO20" s="157"/>
      <c r="AP20" s="157"/>
      <c r="AQ20" s="157"/>
      <c r="AR20" s="157"/>
      <c r="AS20" s="157"/>
      <c r="AT20" s="157"/>
      <c r="AU20" s="157"/>
      <c r="AV20" s="157"/>
      <c r="AW20" s="157"/>
      <c r="AX20" s="157"/>
      <c r="AY20" s="157"/>
      <c r="AZ20" s="157"/>
      <c r="BA20" s="157"/>
      <c r="BB20" s="157"/>
      <c r="BC20" s="157"/>
      <c r="BD20" s="157"/>
      <c r="BE20" s="157"/>
      <c r="BF20" s="157"/>
      <c r="BG20" s="157"/>
      <c r="BH20" s="157"/>
    </row>
    <row r="21" spans="1:60" ht="19.5" thickBot="1">
      <c r="A21" s="1">
        <f t="shared" si="5"/>
        <v>14</v>
      </c>
      <c r="B21" s="15" t="s">
        <v>33</v>
      </c>
      <c r="C21" s="10">
        <v>7</v>
      </c>
      <c r="D21" s="11">
        <v>16</v>
      </c>
      <c r="E21" s="36"/>
      <c r="F21" s="36"/>
      <c r="G21" s="37"/>
      <c r="H21" s="38"/>
      <c r="I21" s="38">
        <f t="shared" si="0"/>
        <v>7</v>
      </c>
      <c r="J21" s="63">
        <f t="shared" si="0"/>
        <v>16</v>
      </c>
      <c r="K21" s="62"/>
      <c r="L21" s="36"/>
      <c r="M21" s="36"/>
      <c r="N21" s="36"/>
      <c r="O21" s="36"/>
      <c r="P21" s="36"/>
      <c r="Q21" s="99"/>
      <c r="R21" s="100">
        <f t="shared" si="1"/>
        <v>0</v>
      </c>
      <c r="S21" s="101">
        <f t="shared" si="1"/>
        <v>0</v>
      </c>
      <c r="T21" s="62"/>
      <c r="U21" s="8">
        <f t="shared" si="2"/>
        <v>0</v>
      </c>
      <c r="V21" s="135">
        <f t="shared" si="3"/>
        <v>0</v>
      </c>
      <c r="W21" s="134">
        <f t="shared" si="4"/>
        <v>184</v>
      </c>
      <c r="X21" s="61"/>
      <c r="AL21" s="157"/>
      <c r="AM21" s="157"/>
      <c r="AN21" s="157"/>
      <c r="AO21" s="157"/>
      <c r="AP21" s="157"/>
      <c r="AQ21" s="157"/>
      <c r="AR21" s="157"/>
      <c r="AS21" s="157"/>
      <c r="AT21" s="157"/>
      <c r="AU21" s="157"/>
      <c r="AV21" s="157"/>
      <c r="AW21" s="157"/>
      <c r="AX21" s="157"/>
      <c r="AY21" s="157"/>
      <c r="AZ21" s="157"/>
      <c r="BA21" s="157"/>
      <c r="BB21" s="157"/>
      <c r="BC21" s="157"/>
      <c r="BD21" s="157"/>
      <c r="BE21" s="157"/>
      <c r="BF21" s="157"/>
      <c r="BG21" s="157"/>
      <c r="BH21" s="157"/>
    </row>
    <row r="22" spans="1:60" ht="19.5" thickBot="1">
      <c r="A22" s="1">
        <f t="shared" si="5"/>
        <v>15</v>
      </c>
      <c r="B22" s="15" t="s">
        <v>34</v>
      </c>
      <c r="C22" s="10">
        <v>4</v>
      </c>
      <c r="D22" s="11"/>
      <c r="E22" s="36"/>
      <c r="F22" s="36"/>
      <c r="G22" s="37"/>
      <c r="H22" s="38"/>
      <c r="I22" s="38">
        <f t="shared" si="0"/>
        <v>4</v>
      </c>
      <c r="J22" s="63">
        <f t="shared" si="0"/>
        <v>0</v>
      </c>
      <c r="K22" s="62"/>
      <c r="L22" s="36"/>
      <c r="M22" s="36"/>
      <c r="N22" s="36"/>
      <c r="O22" s="36"/>
      <c r="P22" s="36"/>
      <c r="Q22" s="99"/>
      <c r="R22" s="100">
        <f t="shared" si="1"/>
        <v>0</v>
      </c>
      <c r="S22" s="101">
        <f t="shared" si="1"/>
        <v>0</v>
      </c>
      <c r="T22" s="62"/>
      <c r="U22" s="8">
        <f t="shared" si="2"/>
        <v>0</v>
      </c>
      <c r="V22" s="135">
        <f t="shared" si="3"/>
        <v>0</v>
      </c>
      <c r="W22" s="134">
        <f t="shared" si="4"/>
        <v>96</v>
      </c>
      <c r="X22" s="61"/>
      <c r="AL22" s="157"/>
      <c r="AM22" s="157"/>
      <c r="AN22" s="157"/>
      <c r="AO22" s="157"/>
      <c r="AP22" s="157"/>
      <c r="AQ22" s="157"/>
      <c r="AR22" s="157"/>
      <c r="AS22" s="157"/>
      <c r="AT22" s="157"/>
      <c r="AU22" s="157"/>
      <c r="AV22" s="157"/>
      <c r="AW22" s="157"/>
      <c r="AX22" s="157"/>
      <c r="AY22" s="157"/>
      <c r="AZ22" s="157"/>
      <c r="BA22" s="157"/>
      <c r="BB22" s="157"/>
      <c r="BC22" s="157"/>
      <c r="BD22" s="157"/>
      <c r="BE22" s="157"/>
      <c r="BF22" s="157"/>
      <c r="BG22" s="157"/>
      <c r="BH22" s="157"/>
    </row>
    <row r="23" spans="1:60" s="2" customFormat="1" ht="19.5" thickBot="1">
      <c r="A23" s="1">
        <f t="shared" si="5"/>
        <v>16</v>
      </c>
      <c r="B23" s="15" t="s">
        <v>35</v>
      </c>
      <c r="C23" s="10">
        <v>1</v>
      </c>
      <c r="D23" s="11">
        <v>20</v>
      </c>
      <c r="E23" s="36"/>
      <c r="F23" s="36"/>
      <c r="G23" s="37"/>
      <c r="H23" s="38"/>
      <c r="I23" s="38">
        <f t="shared" si="0"/>
        <v>1</v>
      </c>
      <c r="J23" s="63">
        <f t="shared" si="0"/>
        <v>20</v>
      </c>
      <c r="K23" s="69"/>
      <c r="L23" s="36"/>
      <c r="M23" s="36"/>
      <c r="N23" s="36"/>
      <c r="O23" s="36"/>
      <c r="P23" s="36"/>
      <c r="Q23" s="99"/>
      <c r="R23" s="100">
        <f t="shared" si="1"/>
        <v>0</v>
      </c>
      <c r="S23" s="101">
        <f t="shared" si="1"/>
        <v>0</v>
      </c>
      <c r="T23" s="69"/>
      <c r="U23" s="8">
        <f t="shared" si="2"/>
        <v>0</v>
      </c>
      <c r="V23" s="135">
        <f t="shared" si="3"/>
        <v>0</v>
      </c>
      <c r="W23" s="134">
        <f t="shared" si="4"/>
        <v>44</v>
      </c>
      <c r="X23" s="61"/>
      <c r="Y23" s="3"/>
      <c r="AD23" s="3"/>
      <c r="AG23" s="3"/>
      <c r="AH23" s="3"/>
      <c r="AI23" s="3"/>
      <c r="AJ23" s="3"/>
      <c r="AK23" s="3"/>
      <c r="AL23" s="157"/>
      <c r="AM23" s="157"/>
      <c r="AN23" s="157"/>
      <c r="AO23" s="157"/>
      <c r="AP23" s="157"/>
      <c r="AQ23" s="157"/>
      <c r="AR23" s="157"/>
      <c r="AS23" s="157"/>
      <c r="AT23" s="157"/>
      <c r="AU23" s="157"/>
      <c r="AV23" s="157"/>
      <c r="AW23" s="157"/>
      <c r="AX23" s="157"/>
      <c r="AY23" s="157"/>
      <c r="AZ23" s="157"/>
      <c r="BA23" s="157"/>
      <c r="BB23" s="157"/>
      <c r="BC23" s="157"/>
      <c r="BD23" s="157"/>
      <c r="BE23" s="157"/>
      <c r="BF23" s="157"/>
      <c r="BG23" s="157"/>
      <c r="BH23" s="157"/>
    </row>
    <row r="24" spans="1:60" s="2" customFormat="1" ht="19.5" thickBot="1">
      <c r="A24" s="1">
        <f t="shared" si="5"/>
        <v>17</v>
      </c>
      <c r="B24" s="15" t="s">
        <v>36</v>
      </c>
      <c r="C24" s="10">
        <v>37</v>
      </c>
      <c r="D24" s="11">
        <v>19</v>
      </c>
      <c r="E24" s="36"/>
      <c r="F24" s="36"/>
      <c r="G24" s="37"/>
      <c r="H24" s="38"/>
      <c r="I24" s="38">
        <f t="shared" si="0"/>
        <v>37</v>
      </c>
      <c r="J24" s="63">
        <f t="shared" si="0"/>
        <v>19</v>
      </c>
      <c r="K24" s="69"/>
      <c r="L24" s="36"/>
      <c r="M24" s="36"/>
      <c r="N24" s="36"/>
      <c r="O24" s="36"/>
      <c r="P24" s="36"/>
      <c r="Q24" s="99"/>
      <c r="R24" s="100">
        <f t="shared" si="1"/>
        <v>0</v>
      </c>
      <c r="S24" s="101">
        <f t="shared" si="1"/>
        <v>0</v>
      </c>
      <c r="T24" s="69"/>
      <c r="U24" s="8">
        <f t="shared" si="2"/>
        <v>0</v>
      </c>
      <c r="V24" s="135">
        <f t="shared" si="3"/>
        <v>0</v>
      </c>
      <c r="W24" s="134">
        <f t="shared" si="4"/>
        <v>907</v>
      </c>
      <c r="X24" s="61"/>
      <c r="Y24" s="3"/>
      <c r="AD24" s="3"/>
      <c r="AG24" s="3"/>
      <c r="AH24" s="3"/>
      <c r="AI24" s="3"/>
      <c r="AJ24" s="3"/>
      <c r="AK24" s="3"/>
      <c r="AL24" s="157"/>
      <c r="AM24" s="157"/>
      <c r="AN24" s="157"/>
      <c r="AO24" s="157"/>
      <c r="AP24" s="157"/>
      <c r="AQ24" s="157"/>
      <c r="AR24" s="157"/>
      <c r="AS24" s="157"/>
      <c r="AT24" s="157"/>
      <c r="AU24" s="157"/>
      <c r="AV24" s="157"/>
      <c r="AW24" s="157"/>
      <c r="AX24" s="157"/>
      <c r="AY24" s="157"/>
      <c r="AZ24" s="157"/>
      <c r="BA24" s="157"/>
      <c r="BB24" s="157"/>
      <c r="BC24" s="157"/>
      <c r="BD24" s="157"/>
      <c r="BE24" s="157"/>
      <c r="BF24" s="157"/>
      <c r="BG24" s="157"/>
      <c r="BH24" s="157"/>
    </row>
    <row r="25" spans="1:60" ht="19.5" thickBot="1">
      <c r="A25" s="1">
        <f t="shared" si="5"/>
        <v>18</v>
      </c>
      <c r="B25" s="15" t="s">
        <v>37</v>
      </c>
      <c r="C25" s="10">
        <v>10</v>
      </c>
      <c r="D25" s="11"/>
      <c r="E25" s="36"/>
      <c r="F25" s="36"/>
      <c r="G25" s="37"/>
      <c r="H25" s="38"/>
      <c r="I25" s="38">
        <f t="shared" si="0"/>
        <v>10</v>
      </c>
      <c r="J25" s="63">
        <f t="shared" si="0"/>
        <v>0</v>
      </c>
      <c r="K25" s="62"/>
      <c r="L25" s="36"/>
      <c r="M25" s="36"/>
      <c r="N25" s="36"/>
      <c r="O25" s="36"/>
      <c r="P25" s="36"/>
      <c r="Q25" s="99"/>
      <c r="R25" s="100">
        <f t="shared" si="1"/>
        <v>0</v>
      </c>
      <c r="S25" s="101">
        <f t="shared" si="1"/>
        <v>0</v>
      </c>
      <c r="T25" s="62"/>
      <c r="U25" s="8">
        <f t="shared" si="2"/>
        <v>0</v>
      </c>
      <c r="V25" s="135">
        <f t="shared" si="3"/>
        <v>0</v>
      </c>
      <c r="W25" s="134">
        <f t="shared" si="4"/>
        <v>240</v>
      </c>
      <c r="X25" s="61"/>
      <c r="AL25" s="157"/>
      <c r="AM25" s="157"/>
      <c r="AN25" s="157"/>
      <c r="AO25" s="157"/>
      <c r="AP25" s="157"/>
      <c r="AQ25" s="157"/>
      <c r="AR25" s="157"/>
      <c r="AS25" s="157"/>
      <c r="AT25" s="157"/>
      <c r="AU25" s="157"/>
      <c r="AV25" s="157"/>
      <c r="AW25" s="157"/>
      <c r="AX25" s="157"/>
      <c r="AY25" s="157"/>
      <c r="AZ25" s="157"/>
      <c r="BA25" s="157"/>
      <c r="BB25" s="157"/>
      <c r="BC25" s="157"/>
      <c r="BD25" s="157"/>
      <c r="BE25" s="157"/>
      <c r="BF25" s="157"/>
      <c r="BG25" s="157"/>
      <c r="BH25" s="157"/>
    </row>
    <row r="26" spans="1:60" ht="19.5" thickBot="1">
      <c r="A26" s="1">
        <f t="shared" si="5"/>
        <v>19</v>
      </c>
      <c r="B26" s="15" t="s">
        <v>38</v>
      </c>
      <c r="C26" s="10">
        <v>126</v>
      </c>
      <c r="D26" s="11">
        <v>1</v>
      </c>
      <c r="E26" s="36"/>
      <c r="F26" s="36"/>
      <c r="G26" s="37">
        <v>20</v>
      </c>
      <c r="H26" s="38"/>
      <c r="I26" s="38">
        <f t="shared" si="0"/>
        <v>106</v>
      </c>
      <c r="J26" s="63">
        <f t="shared" si="0"/>
        <v>1</v>
      </c>
      <c r="K26" s="62"/>
      <c r="L26" s="36">
        <v>5</v>
      </c>
      <c r="M26" s="36"/>
      <c r="N26" s="36"/>
      <c r="O26" s="36"/>
      <c r="P26" s="36">
        <v>15</v>
      </c>
      <c r="Q26" s="99"/>
      <c r="R26" s="100">
        <f t="shared" si="1"/>
        <v>20</v>
      </c>
      <c r="S26" s="101">
        <f t="shared" si="1"/>
        <v>0</v>
      </c>
      <c r="T26" s="62"/>
      <c r="U26" s="8">
        <f t="shared" si="2"/>
        <v>480</v>
      </c>
      <c r="V26" s="135">
        <f t="shared" si="3"/>
        <v>20</v>
      </c>
      <c r="W26" s="134">
        <f t="shared" si="4"/>
        <v>2545</v>
      </c>
      <c r="X26" s="61"/>
      <c r="BE26" s="158" t="e">
        <f>#REF!-BE25</f>
        <v>#REF!</v>
      </c>
    </row>
    <row r="27" spans="1:60" s="2" customFormat="1" ht="19.5" thickBot="1">
      <c r="A27" s="1">
        <f t="shared" si="5"/>
        <v>20</v>
      </c>
      <c r="B27" s="15" t="s">
        <v>39</v>
      </c>
      <c r="C27" s="10"/>
      <c r="D27" s="11"/>
      <c r="E27" s="36"/>
      <c r="F27" s="36"/>
      <c r="G27" s="37"/>
      <c r="H27" s="38"/>
      <c r="I27" s="38">
        <f t="shared" si="0"/>
        <v>0</v>
      </c>
      <c r="J27" s="63">
        <f t="shared" si="0"/>
        <v>0</v>
      </c>
      <c r="K27" s="69"/>
      <c r="L27" s="36"/>
      <c r="M27" s="36"/>
      <c r="N27" s="36"/>
      <c r="O27" s="36"/>
      <c r="P27" s="36"/>
      <c r="Q27" s="99"/>
      <c r="R27" s="100">
        <f t="shared" si="1"/>
        <v>0</v>
      </c>
      <c r="S27" s="101">
        <f t="shared" si="1"/>
        <v>0</v>
      </c>
      <c r="T27" s="69"/>
      <c r="U27" s="8">
        <f t="shared" si="2"/>
        <v>0</v>
      </c>
      <c r="V27" s="135">
        <f t="shared" si="3"/>
        <v>0</v>
      </c>
      <c r="W27" s="134">
        <f t="shared" si="4"/>
        <v>0</v>
      </c>
      <c r="X27" s="61"/>
      <c r="Y27" s="3"/>
      <c r="AD27" s="3"/>
      <c r="AG27" s="3"/>
      <c r="AH27" s="3"/>
      <c r="AI27" s="3"/>
      <c r="AJ27" s="3"/>
      <c r="AK27" s="3"/>
    </row>
    <row r="28" spans="1:60" s="2" customFormat="1" ht="19.5" thickBot="1">
      <c r="A28" s="1">
        <f t="shared" si="5"/>
        <v>21</v>
      </c>
      <c r="B28" s="15" t="s">
        <v>40</v>
      </c>
      <c r="C28" s="10">
        <v>2</v>
      </c>
      <c r="D28" s="11"/>
      <c r="E28" s="36"/>
      <c r="F28" s="36"/>
      <c r="G28" s="37"/>
      <c r="H28" s="38"/>
      <c r="I28" s="38">
        <f t="shared" si="0"/>
        <v>2</v>
      </c>
      <c r="J28" s="63">
        <f t="shared" si="0"/>
        <v>0</v>
      </c>
      <c r="K28" s="69"/>
      <c r="L28" s="36"/>
      <c r="M28" s="36"/>
      <c r="N28" s="36"/>
      <c r="O28" s="36"/>
      <c r="P28" s="36"/>
      <c r="Q28" s="99"/>
      <c r="R28" s="100">
        <f t="shared" si="1"/>
        <v>0</v>
      </c>
      <c r="S28" s="101">
        <f t="shared" si="1"/>
        <v>0</v>
      </c>
      <c r="T28" s="69"/>
      <c r="U28" s="8">
        <f t="shared" si="2"/>
        <v>0</v>
      </c>
      <c r="V28" s="135">
        <f t="shared" si="3"/>
        <v>0</v>
      </c>
      <c r="W28" s="134">
        <f t="shared" si="4"/>
        <v>48</v>
      </c>
      <c r="X28" s="61"/>
      <c r="Y28" s="3"/>
      <c r="AD28" s="3"/>
      <c r="AG28" s="3"/>
      <c r="AH28" s="3"/>
      <c r="AI28" s="3"/>
      <c r="AJ28" s="3"/>
      <c r="AK28" s="3"/>
    </row>
    <row r="29" spans="1:60" s="2" customFormat="1" ht="19.5" thickBot="1">
      <c r="A29" s="1">
        <f t="shared" si="5"/>
        <v>22</v>
      </c>
      <c r="B29" s="15" t="s">
        <v>41</v>
      </c>
      <c r="C29" s="10">
        <v>56</v>
      </c>
      <c r="D29" s="11"/>
      <c r="E29" s="36"/>
      <c r="F29" s="36"/>
      <c r="G29" s="37">
        <v>25</v>
      </c>
      <c r="H29" s="38"/>
      <c r="I29" s="38">
        <f t="shared" si="0"/>
        <v>31</v>
      </c>
      <c r="J29" s="63">
        <f t="shared" si="0"/>
        <v>0</v>
      </c>
      <c r="K29" s="69"/>
      <c r="L29" s="36">
        <v>10</v>
      </c>
      <c r="M29" s="36"/>
      <c r="N29" s="36"/>
      <c r="O29" s="36"/>
      <c r="P29" s="36">
        <v>15</v>
      </c>
      <c r="Q29" s="99"/>
      <c r="R29" s="100">
        <f t="shared" si="1"/>
        <v>25</v>
      </c>
      <c r="S29" s="101">
        <f t="shared" si="1"/>
        <v>0</v>
      </c>
      <c r="T29" s="69"/>
      <c r="U29" s="8">
        <f t="shared" si="2"/>
        <v>600</v>
      </c>
      <c r="V29" s="135">
        <f t="shared" si="3"/>
        <v>25</v>
      </c>
      <c r="W29" s="134">
        <f t="shared" si="4"/>
        <v>744</v>
      </c>
      <c r="X29" s="61"/>
      <c r="Y29" s="3"/>
      <c r="AD29" s="3"/>
      <c r="AG29" s="3"/>
      <c r="AH29" s="3"/>
      <c r="AI29" s="3"/>
      <c r="AJ29" s="3"/>
      <c r="AK29" s="3"/>
    </row>
    <row r="30" spans="1:60" ht="19.5" thickBot="1">
      <c r="A30" s="1">
        <f t="shared" si="5"/>
        <v>23</v>
      </c>
      <c r="B30" s="15" t="s">
        <v>42</v>
      </c>
      <c r="C30" s="10"/>
      <c r="D30" s="11">
        <v>5</v>
      </c>
      <c r="E30" s="36"/>
      <c r="F30" s="36"/>
      <c r="G30" s="37"/>
      <c r="H30" s="38"/>
      <c r="I30" s="38">
        <f t="shared" si="0"/>
        <v>0</v>
      </c>
      <c r="J30" s="63">
        <f t="shared" si="0"/>
        <v>5</v>
      </c>
      <c r="K30" s="62"/>
      <c r="L30" s="36"/>
      <c r="M30" s="36"/>
      <c r="N30" s="36"/>
      <c r="O30" s="36"/>
      <c r="P30" s="36"/>
      <c r="Q30" s="99"/>
      <c r="R30" s="100">
        <f t="shared" si="1"/>
        <v>0</v>
      </c>
      <c r="S30" s="101">
        <f t="shared" si="1"/>
        <v>0</v>
      </c>
      <c r="T30" s="62"/>
      <c r="U30" s="8">
        <f t="shared" si="2"/>
        <v>0</v>
      </c>
      <c r="V30" s="135">
        <f t="shared" si="3"/>
        <v>0</v>
      </c>
      <c r="W30" s="134">
        <f t="shared" si="4"/>
        <v>5</v>
      </c>
      <c r="X30" s="61"/>
    </row>
    <row r="31" spans="1:60" ht="19.5" thickBot="1">
      <c r="A31" s="1">
        <f t="shared" si="5"/>
        <v>24</v>
      </c>
      <c r="B31" s="15" t="s">
        <v>43</v>
      </c>
      <c r="C31" s="10">
        <v>6</v>
      </c>
      <c r="D31" s="11"/>
      <c r="E31" s="36"/>
      <c r="F31" s="36"/>
      <c r="G31" s="37">
        <v>3</v>
      </c>
      <c r="H31" s="38"/>
      <c r="I31" s="38">
        <f t="shared" si="0"/>
        <v>3</v>
      </c>
      <c r="J31" s="63">
        <f t="shared" si="0"/>
        <v>0</v>
      </c>
      <c r="K31" s="62"/>
      <c r="L31" s="36"/>
      <c r="M31" s="36"/>
      <c r="N31" s="36"/>
      <c r="O31" s="36"/>
      <c r="P31" s="36">
        <v>3</v>
      </c>
      <c r="Q31" s="99"/>
      <c r="R31" s="100">
        <f t="shared" si="1"/>
        <v>3</v>
      </c>
      <c r="S31" s="101">
        <f t="shared" si="1"/>
        <v>0</v>
      </c>
      <c r="T31" s="62"/>
      <c r="U31" s="8">
        <f t="shared" si="2"/>
        <v>72</v>
      </c>
      <c r="V31" s="135">
        <f t="shared" si="3"/>
        <v>3</v>
      </c>
      <c r="W31" s="134">
        <f t="shared" si="4"/>
        <v>72</v>
      </c>
      <c r="X31" s="61"/>
    </row>
    <row r="32" spans="1:60" ht="19.5" thickBot="1">
      <c r="A32" s="1">
        <f t="shared" si="5"/>
        <v>25</v>
      </c>
      <c r="B32" s="15" t="s">
        <v>44</v>
      </c>
      <c r="C32" s="10"/>
      <c r="D32" s="11"/>
      <c r="E32" s="36"/>
      <c r="F32" s="36"/>
      <c r="G32" s="37"/>
      <c r="H32" s="38"/>
      <c r="I32" s="38">
        <f t="shared" si="0"/>
        <v>0</v>
      </c>
      <c r="J32" s="63">
        <f t="shared" si="0"/>
        <v>0</v>
      </c>
      <c r="K32" s="62"/>
      <c r="L32" s="36"/>
      <c r="M32" s="36"/>
      <c r="N32" s="36"/>
      <c r="O32" s="36"/>
      <c r="P32" s="36"/>
      <c r="Q32" s="99"/>
      <c r="R32" s="100">
        <f t="shared" si="1"/>
        <v>0</v>
      </c>
      <c r="S32" s="101">
        <f t="shared" si="1"/>
        <v>0</v>
      </c>
      <c r="T32" s="62"/>
      <c r="U32" s="8">
        <f t="shared" si="2"/>
        <v>0</v>
      </c>
      <c r="V32" s="135">
        <f t="shared" si="3"/>
        <v>0</v>
      </c>
      <c r="W32" s="134">
        <f t="shared" si="4"/>
        <v>0</v>
      </c>
      <c r="X32" s="61"/>
    </row>
    <row r="33" spans="1:26" ht="19.5" thickBot="1">
      <c r="A33" s="1">
        <f t="shared" si="5"/>
        <v>26</v>
      </c>
      <c r="B33" s="15" t="s">
        <v>45</v>
      </c>
      <c r="C33" s="10">
        <v>3</v>
      </c>
      <c r="D33" s="11"/>
      <c r="E33" s="36"/>
      <c r="F33" s="36"/>
      <c r="G33" s="37"/>
      <c r="H33" s="38"/>
      <c r="I33" s="38">
        <f t="shared" si="0"/>
        <v>3</v>
      </c>
      <c r="J33" s="63">
        <f t="shared" si="0"/>
        <v>0</v>
      </c>
      <c r="K33" s="62"/>
      <c r="L33" s="36"/>
      <c r="M33" s="36"/>
      <c r="N33" s="36"/>
      <c r="O33" s="36"/>
      <c r="P33" s="36"/>
      <c r="Q33" s="99"/>
      <c r="R33" s="100">
        <f t="shared" si="1"/>
        <v>0</v>
      </c>
      <c r="S33" s="101">
        <f t="shared" si="1"/>
        <v>0</v>
      </c>
      <c r="T33" s="62"/>
      <c r="U33" s="8">
        <f t="shared" si="2"/>
        <v>0</v>
      </c>
      <c r="V33" s="135">
        <f t="shared" si="3"/>
        <v>0</v>
      </c>
      <c r="W33" s="134">
        <f t="shared" si="4"/>
        <v>72</v>
      </c>
      <c r="X33" s="61"/>
    </row>
    <row r="34" spans="1:26" ht="19.5" thickBot="1">
      <c r="A34" s="1">
        <f t="shared" si="5"/>
        <v>27</v>
      </c>
      <c r="B34" s="15" t="s">
        <v>46</v>
      </c>
      <c r="C34" s="10">
        <v>4</v>
      </c>
      <c r="D34" s="11"/>
      <c r="E34" s="36"/>
      <c r="F34" s="36"/>
      <c r="G34" s="37"/>
      <c r="H34" s="38"/>
      <c r="I34" s="38">
        <f t="shared" si="0"/>
        <v>4</v>
      </c>
      <c r="J34" s="63">
        <f t="shared" si="0"/>
        <v>0</v>
      </c>
      <c r="K34" s="62"/>
      <c r="L34" s="36"/>
      <c r="M34" s="36"/>
      <c r="N34" s="36"/>
      <c r="O34" s="36"/>
      <c r="P34" s="36"/>
      <c r="Q34" s="99"/>
      <c r="R34" s="100">
        <f t="shared" si="1"/>
        <v>0</v>
      </c>
      <c r="S34" s="101">
        <f t="shared" si="1"/>
        <v>0</v>
      </c>
      <c r="T34" s="62"/>
      <c r="U34" s="8">
        <f t="shared" si="2"/>
        <v>0</v>
      </c>
      <c r="V34" s="135">
        <f t="shared" si="3"/>
        <v>0</v>
      </c>
      <c r="W34" s="134">
        <f t="shared" si="4"/>
        <v>96</v>
      </c>
      <c r="X34" s="61"/>
    </row>
    <row r="35" spans="1:26" ht="19.5" thickBot="1">
      <c r="A35" s="1">
        <f t="shared" si="5"/>
        <v>28</v>
      </c>
      <c r="B35" s="15" t="s">
        <v>47</v>
      </c>
      <c r="C35" s="10">
        <v>76</v>
      </c>
      <c r="D35" s="11">
        <v>13</v>
      </c>
      <c r="E35" s="36"/>
      <c r="F35" s="36"/>
      <c r="G35" s="37">
        <v>15</v>
      </c>
      <c r="H35" s="38"/>
      <c r="I35" s="38">
        <f t="shared" si="0"/>
        <v>61</v>
      </c>
      <c r="J35" s="63">
        <f t="shared" si="0"/>
        <v>13</v>
      </c>
      <c r="K35" s="62"/>
      <c r="L35" s="36">
        <v>10</v>
      </c>
      <c r="M35" s="36"/>
      <c r="N35" s="36"/>
      <c r="O35" s="36"/>
      <c r="P35" s="36">
        <v>5</v>
      </c>
      <c r="Q35" s="99"/>
      <c r="R35" s="100">
        <f t="shared" si="1"/>
        <v>15</v>
      </c>
      <c r="S35" s="101">
        <f t="shared" si="1"/>
        <v>0</v>
      </c>
      <c r="T35" s="62"/>
      <c r="U35" s="8">
        <f t="shared" si="2"/>
        <v>360</v>
      </c>
      <c r="V35" s="135">
        <f t="shared" si="3"/>
        <v>15</v>
      </c>
      <c r="W35" s="134">
        <f t="shared" si="4"/>
        <v>1477</v>
      </c>
      <c r="X35" s="61"/>
    </row>
    <row r="36" spans="1:26" ht="18.75" hidden="1" customHeight="1">
      <c r="A36" s="1">
        <f t="shared" si="5"/>
        <v>29</v>
      </c>
      <c r="B36" s="15" t="s">
        <v>48</v>
      </c>
      <c r="C36" s="10"/>
      <c r="D36" s="11"/>
      <c r="E36" s="36"/>
      <c r="F36" s="36"/>
      <c r="G36" s="37"/>
      <c r="H36" s="38"/>
      <c r="I36" s="38">
        <f t="shared" si="0"/>
        <v>0</v>
      </c>
      <c r="J36" s="63">
        <f t="shared" si="0"/>
        <v>0</v>
      </c>
      <c r="K36" s="62"/>
      <c r="L36" s="36"/>
      <c r="M36" s="36"/>
      <c r="N36" s="36"/>
      <c r="O36" s="36"/>
      <c r="P36" s="36"/>
      <c r="Q36" s="99"/>
      <c r="R36" s="100">
        <f t="shared" si="1"/>
        <v>0</v>
      </c>
      <c r="S36" s="101">
        <f t="shared" si="1"/>
        <v>0</v>
      </c>
      <c r="T36" s="62"/>
      <c r="U36" s="8">
        <f t="shared" si="2"/>
        <v>0</v>
      </c>
      <c r="V36" s="135">
        <f t="shared" si="3"/>
        <v>0</v>
      </c>
      <c r="W36" s="134">
        <f t="shared" si="4"/>
        <v>0</v>
      </c>
      <c r="X36" s="61"/>
    </row>
    <row r="37" spans="1:26" ht="18.75" customHeight="1" thickBot="1">
      <c r="A37" s="1">
        <f t="shared" si="5"/>
        <v>30</v>
      </c>
      <c r="B37" s="15" t="s">
        <v>49</v>
      </c>
      <c r="C37" s="10">
        <v>1</v>
      </c>
      <c r="D37" s="11"/>
      <c r="E37" s="36"/>
      <c r="F37" s="36"/>
      <c r="G37" s="37"/>
      <c r="H37" s="38"/>
      <c r="I37" s="38">
        <f t="shared" si="0"/>
        <v>1</v>
      </c>
      <c r="J37" s="63">
        <f t="shared" si="0"/>
        <v>0</v>
      </c>
      <c r="K37" s="62"/>
      <c r="L37" s="36"/>
      <c r="M37" s="36"/>
      <c r="N37" s="36"/>
      <c r="O37" s="36"/>
      <c r="P37" s="36"/>
      <c r="Q37" s="99"/>
      <c r="R37" s="100">
        <f t="shared" si="1"/>
        <v>0</v>
      </c>
      <c r="S37" s="101">
        <f t="shared" si="1"/>
        <v>0</v>
      </c>
      <c r="T37" s="62"/>
      <c r="U37" s="8">
        <f t="shared" si="2"/>
        <v>0</v>
      </c>
      <c r="V37" s="135">
        <f t="shared" si="3"/>
        <v>0</v>
      </c>
      <c r="W37" s="134">
        <f t="shared" si="4"/>
        <v>24</v>
      </c>
      <c r="X37" s="61"/>
    </row>
    <row r="38" spans="1:26" ht="19.5" thickBot="1">
      <c r="A38" s="1">
        <f t="shared" si="5"/>
        <v>31</v>
      </c>
      <c r="B38" s="16" t="s">
        <v>50</v>
      </c>
      <c r="C38" s="13">
        <v>5300</v>
      </c>
      <c r="D38" s="14">
        <v>2</v>
      </c>
      <c r="E38" s="39"/>
      <c r="F38" s="39"/>
      <c r="G38" s="40">
        <v>220</v>
      </c>
      <c r="H38" s="41"/>
      <c r="I38" s="53">
        <f t="shared" si="0"/>
        <v>5080</v>
      </c>
      <c r="J38" s="70">
        <f t="shared" si="0"/>
        <v>2</v>
      </c>
      <c r="K38" s="65"/>
      <c r="L38" s="51">
        <v>116</v>
      </c>
      <c r="M38" s="51"/>
      <c r="N38" s="51">
        <v>42</v>
      </c>
      <c r="O38" s="51"/>
      <c r="P38" s="51">
        <v>62</v>
      </c>
      <c r="Q38" s="102"/>
      <c r="R38" s="107">
        <f t="shared" si="1"/>
        <v>220</v>
      </c>
      <c r="S38" s="104">
        <f t="shared" si="1"/>
        <v>0</v>
      </c>
      <c r="T38" s="65"/>
      <c r="U38" s="136">
        <f>L38*6+N38*6+P38*6</f>
        <v>1320</v>
      </c>
      <c r="V38" s="141">
        <f>U38/6</f>
        <v>220</v>
      </c>
      <c r="W38" s="138">
        <f>I38*6+J38</f>
        <v>30482</v>
      </c>
      <c r="X38" s="139"/>
    </row>
    <row r="39" spans="1:26" ht="19.5" thickBot="1">
      <c r="A39" s="1">
        <f t="shared" si="5"/>
        <v>32</v>
      </c>
      <c r="B39" s="7" t="s">
        <v>51</v>
      </c>
      <c r="C39" s="10">
        <v>1</v>
      </c>
      <c r="D39" s="11"/>
      <c r="E39" s="36"/>
      <c r="F39" s="36"/>
      <c r="G39" s="37"/>
      <c r="H39" s="38"/>
      <c r="I39" s="37">
        <f t="shared" si="0"/>
        <v>1</v>
      </c>
      <c r="J39" s="63">
        <f t="shared" si="0"/>
        <v>0</v>
      </c>
      <c r="K39" s="62"/>
      <c r="L39" s="36"/>
      <c r="M39" s="36"/>
      <c r="N39" s="36"/>
      <c r="O39" s="36"/>
      <c r="P39" s="36"/>
      <c r="Q39" s="99"/>
      <c r="R39" s="108">
        <f t="shared" si="1"/>
        <v>0</v>
      </c>
      <c r="S39" s="106">
        <f t="shared" si="1"/>
        <v>0</v>
      </c>
      <c r="T39" s="62"/>
      <c r="U39" s="8">
        <f t="shared" ref="U39:U41" si="6">L39*24+N39*24+P39*24</f>
        <v>0</v>
      </c>
      <c r="V39" s="33">
        <f t="shared" ref="V39:V41" si="7">U39/24</f>
        <v>0</v>
      </c>
      <c r="W39" s="134">
        <f t="shared" ref="W39:W41" si="8">I39*24+J39</f>
        <v>24</v>
      </c>
      <c r="X39" s="61"/>
    </row>
    <row r="40" spans="1:26" ht="19.5" thickBot="1">
      <c r="A40" s="1">
        <f t="shared" si="5"/>
        <v>33</v>
      </c>
      <c r="B40" s="17" t="s">
        <v>52</v>
      </c>
      <c r="C40" s="18">
        <v>2</v>
      </c>
      <c r="D40" s="19"/>
      <c r="E40" s="42"/>
      <c r="F40" s="42"/>
      <c r="G40" s="43"/>
      <c r="H40" s="44"/>
      <c r="I40" s="38">
        <f t="shared" si="0"/>
        <v>2</v>
      </c>
      <c r="J40" s="63">
        <f t="shared" si="0"/>
        <v>0</v>
      </c>
      <c r="K40" s="62"/>
      <c r="L40" s="36"/>
      <c r="M40" s="36"/>
      <c r="N40" s="36"/>
      <c r="O40" s="36"/>
      <c r="P40" s="36"/>
      <c r="Q40" s="99"/>
      <c r="R40" s="100">
        <f t="shared" si="1"/>
        <v>0</v>
      </c>
      <c r="S40" s="101">
        <f t="shared" si="1"/>
        <v>0</v>
      </c>
      <c r="T40" s="62"/>
      <c r="U40" s="142">
        <f t="shared" si="6"/>
        <v>0</v>
      </c>
      <c r="V40" s="135">
        <f t="shared" si="7"/>
        <v>0</v>
      </c>
      <c r="W40" s="143">
        <f t="shared" si="8"/>
        <v>48</v>
      </c>
      <c r="X40" s="144"/>
    </row>
    <row r="41" spans="1:26" ht="19.5" thickBot="1">
      <c r="A41" s="1">
        <f t="shared" si="5"/>
        <v>34</v>
      </c>
      <c r="B41" s="20" t="s">
        <v>53</v>
      </c>
      <c r="C41" s="21">
        <v>158</v>
      </c>
      <c r="D41" s="22">
        <v>8</v>
      </c>
      <c r="E41" s="45"/>
      <c r="F41" s="45"/>
      <c r="G41" s="46">
        <v>3</v>
      </c>
      <c r="H41" s="47"/>
      <c r="I41" s="71">
        <f t="shared" si="0"/>
        <v>155</v>
      </c>
      <c r="J41" s="72">
        <f t="shared" si="0"/>
        <v>8</v>
      </c>
      <c r="K41" s="73"/>
      <c r="L41" s="74"/>
      <c r="M41" s="74"/>
      <c r="N41" s="74">
        <v>1</v>
      </c>
      <c r="O41" s="74"/>
      <c r="P41" s="74">
        <v>2</v>
      </c>
      <c r="Q41" s="109"/>
      <c r="R41" s="110">
        <f t="shared" si="1"/>
        <v>3</v>
      </c>
      <c r="S41" s="111">
        <f t="shared" si="1"/>
        <v>0</v>
      </c>
      <c r="T41" s="73"/>
      <c r="U41" s="145">
        <f t="shared" si="6"/>
        <v>72</v>
      </c>
      <c r="V41" s="146">
        <f t="shared" si="7"/>
        <v>3</v>
      </c>
      <c r="W41" s="146">
        <f t="shared" si="8"/>
        <v>3728</v>
      </c>
      <c r="X41" s="147"/>
    </row>
    <row r="42" spans="1:26" ht="19.5" thickBot="1">
      <c r="A42" s="1">
        <f t="shared" si="5"/>
        <v>35</v>
      </c>
      <c r="B42" s="23" t="s">
        <v>54</v>
      </c>
      <c r="C42" s="24">
        <v>510</v>
      </c>
      <c r="D42" s="25"/>
      <c r="E42" s="48"/>
      <c r="F42" s="48"/>
      <c r="G42" s="49">
        <v>22</v>
      </c>
      <c r="H42" s="50"/>
      <c r="I42" s="49">
        <f t="shared" si="0"/>
        <v>488</v>
      </c>
      <c r="J42" s="75">
        <f t="shared" si="0"/>
        <v>0</v>
      </c>
      <c r="K42" s="76"/>
      <c r="L42" s="48">
        <v>7</v>
      </c>
      <c r="M42" s="48"/>
      <c r="N42" s="48">
        <v>5</v>
      </c>
      <c r="O42" s="48"/>
      <c r="P42" s="48">
        <v>10</v>
      </c>
      <c r="Q42" s="112"/>
      <c r="R42" s="113">
        <f t="shared" si="1"/>
        <v>22</v>
      </c>
      <c r="S42" s="114">
        <f t="shared" si="1"/>
        <v>0</v>
      </c>
      <c r="T42" s="76"/>
      <c r="U42" s="148">
        <f>L42*12+N42*12+P42*12</f>
        <v>264</v>
      </c>
      <c r="V42" s="149">
        <f>U42/12</f>
        <v>22</v>
      </c>
      <c r="W42" s="150">
        <f>I42*12+J42</f>
        <v>5856</v>
      </c>
      <c r="X42" s="151"/>
    </row>
    <row r="43" spans="1:26" ht="18.75" hidden="1" customHeight="1">
      <c r="A43" s="1">
        <f t="shared" si="5"/>
        <v>36</v>
      </c>
      <c r="B43" s="7" t="s">
        <v>55</v>
      </c>
      <c r="C43" s="10"/>
      <c r="D43" s="11"/>
      <c r="E43" s="36"/>
      <c r="F43" s="36"/>
      <c r="G43" s="37"/>
      <c r="H43" s="38"/>
      <c r="I43" s="38">
        <f t="shared" si="0"/>
        <v>0</v>
      </c>
      <c r="J43" s="64">
        <f t="shared" si="0"/>
        <v>0</v>
      </c>
      <c r="K43" s="62"/>
      <c r="L43" s="36"/>
      <c r="M43" s="36"/>
      <c r="N43" s="36"/>
      <c r="O43" s="36"/>
      <c r="P43" s="36"/>
      <c r="Q43" s="99"/>
      <c r="R43" s="115">
        <f t="shared" si="1"/>
        <v>0</v>
      </c>
      <c r="S43" s="116">
        <f t="shared" si="1"/>
        <v>0</v>
      </c>
      <c r="T43" s="62"/>
      <c r="U43" s="8"/>
      <c r="V43" s="33"/>
      <c r="W43" s="134"/>
      <c r="X43" s="61"/>
    </row>
    <row r="44" spans="1:26" ht="19.5" thickBot="1">
      <c r="A44" s="1">
        <f t="shared" si="5"/>
        <v>37</v>
      </c>
      <c r="B44" s="12" t="s">
        <v>56</v>
      </c>
      <c r="C44" s="13">
        <v>25097</v>
      </c>
      <c r="D44" s="14">
        <v>2</v>
      </c>
      <c r="E44" s="39">
        <v>1836</v>
      </c>
      <c r="F44" s="39"/>
      <c r="G44" s="40">
        <v>1342</v>
      </c>
      <c r="H44" s="41"/>
      <c r="I44" s="38">
        <f>C44+E44-G44</f>
        <v>25591</v>
      </c>
      <c r="J44" s="77">
        <f t="shared" ref="J44:J59" si="9">D44-H44</f>
        <v>2</v>
      </c>
      <c r="K44" s="65"/>
      <c r="L44" s="51">
        <v>421</v>
      </c>
      <c r="M44" s="51"/>
      <c r="N44" s="51">
        <v>370</v>
      </c>
      <c r="O44" s="51"/>
      <c r="P44" s="51">
        <v>551</v>
      </c>
      <c r="Q44" s="102"/>
      <c r="R44" s="117">
        <f t="shared" si="1"/>
        <v>1342</v>
      </c>
      <c r="S44" s="118">
        <f t="shared" si="1"/>
        <v>0</v>
      </c>
      <c r="T44" s="65"/>
      <c r="U44" s="136">
        <f>L44*6+N44*6+P44*6</f>
        <v>8052</v>
      </c>
      <c r="V44" s="135">
        <f>U44/6</f>
        <v>1342</v>
      </c>
      <c r="W44" s="138">
        <f>I44*6+J44</f>
        <v>153548</v>
      </c>
      <c r="X44" s="139"/>
      <c r="Z44" s="155"/>
    </row>
    <row r="45" spans="1:26" ht="18.75" hidden="1" customHeight="1">
      <c r="A45" s="1">
        <f t="shared" si="5"/>
        <v>38</v>
      </c>
      <c r="B45" s="7" t="s">
        <v>57</v>
      </c>
      <c r="C45" s="10"/>
      <c r="D45" s="11"/>
      <c r="E45" s="36"/>
      <c r="F45" s="36"/>
      <c r="G45" s="37"/>
      <c r="H45" s="38"/>
      <c r="I45" s="44">
        <f t="shared" ref="I45:I59" si="10">C45-G45</f>
        <v>0</v>
      </c>
      <c r="J45" s="63">
        <f t="shared" si="9"/>
        <v>0</v>
      </c>
      <c r="K45" s="62"/>
      <c r="L45" s="36"/>
      <c r="M45" s="36"/>
      <c r="N45" s="36"/>
      <c r="O45" s="36"/>
      <c r="P45" s="36"/>
      <c r="Q45" s="99"/>
      <c r="R45" s="108">
        <f t="shared" si="1"/>
        <v>0</v>
      </c>
      <c r="S45" s="116">
        <f t="shared" si="1"/>
        <v>0</v>
      </c>
      <c r="T45" s="62"/>
      <c r="U45" s="8"/>
      <c r="V45" s="137"/>
      <c r="W45" s="134"/>
      <c r="X45" s="61"/>
    </row>
    <row r="46" spans="1:26" ht="19.5" thickBot="1">
      <c r="A46" s="1">
        <f t="shared" si="5"/>
        <v>39</v>
      </c>
      <c r="B46" s="15" t="s">
        <v>58</v>
      </c>
      <c r="C46" s="10">
        <v>8</v>
      </c>
      <c r="D46" s="11"/>
      <c r="E46" s="36"/>
      <c r="F46" s="36"/>
      <c r="G46" s="37"/>
      <c r="H46" s="38"/>
      <c r="I46" s="68">
        <f t="shared" si="10"/>
        <v>8</v>
      </c>
      <c r="J46" s="63">
        <f t="shared" si="9"/>
        <v>0</v>
      </c>
      <c r="K46" s="62"/>
      <c r="L46" s="36"/>
      <c r="M46" s="36"/>
      <c r="N46" s="36"/>
      <c r="O46" s="36"/>
      <c r="P46" s="36"/>
      <c r="Q46" s="99"/>
      <c r="R46" s="100">
        <f t="shared" si="1"/>
        <v>0</v>
      </c>
      <c r="S46" s="119">
        <f t="shared" si="1"/>
        <v>0</v>
      </c>
      <c r="T46" s="62"/>
      <c r="U46" s="8">
        <f t="shared" ref="U46:U51" si="11">L46*24+N46*24+P46*24</f>
        <v>0</v>
      </c>
      <c r="V46" s="140">
        <f t="shared" ref="V46:V51" si="12">U46/24</f>
        <v>0</v>
      </c>
      <c r="W46" s="134">
        <f t="shared" ref="W46:W51" si="13">I46*24+J46</f>
        <v>192</v>
      </c>
      <c r="X46" s="61"/>
    </row>
    <row r="47" spans="1:26" ht="19.5" thickBot="1">
      <c r="A47" s="1">
        <f t="shared" si="5"/>
        <v>40</v>
      </c>
      <c r="B47" s="15" t="s">
        <v>59</v>
      </c>
      <c r="C47" s="10">
        <v>2</v>
      </c>
      <c r="D47" s="11"/>
      <c r="E47" s="36"/>
      <c r="F47" s="36"/>
      <c r="G47" s="37"/>
      <c r="H47" s="38"/>
      <c r="I47" s="38">
        <f t="shared" si="10"/>
        <v>2</v>
      </c>
      <c r="J47" s="63">
        <f t="shared" si="9"/>
        <v>0</v>
      </c>
      <c r="K47" s="62"/>
      <c r="L47" s="36"/>
      <c r="M47" s="36"/>
      <c r="N47" s="36"/>
      <c r="O47" s="36"/>
      <c r="P47" s="36"/>
      <c r="Q47" s="99"/>
      <c r="R47" s="100">
        <f t="shared" si="1"/>
        <v>0</v>
      </c>
      <c r="S47" s="101">
        <f t="shared" si="1"/>
        <v>0</v>
      </c>
      <c r="T47" s="62"/>
      <c r="U47" s="8">
        <f t="shared" si="11"/>
        <v>0</v>
      </c>
      <c r="V47" s="135">
        <f t="shared" si="12"/>
        <v>0</v>
      </c>
      <c r="W47" s="134">
        <f t="shared" si="13"/>
        <v>48</v>
      </c>
      <c r="X47" s="61"/>
    </row>
    <row r="48" spans="1:26" ht="19.5" thickBot="1">
      <c r="A48" s="1">
        <f t="shared" si="5"/>
        <v>41</v>
      </c>
      <c r="B48" s="12" t="s">
        <v>48</v>
      </c>
      <c r="C48" s="26">
        <v>2823</v>
      </c>
      <c r="D48" s="27">
        <v>4</v>
      </c>
      <c r="E48" s="51"/>
      <c r="F48" s="51"/>
      <c r="G48" s="52"/>
      <c r="H48" s="53"/>
      <c r="I48" s="53">
        <f t="shared" si="10"/>
        <v>2823</v>
      </c>
      <c r="J48" s="70">
        <f t="shared" si="9"/>
        <v>4</v>
      </c>
      <c r="K48" s="65"/>
      <c r="L48" s="51"/>
      <c r="M48" s="51"/>
      <c r="N48" s="51"/>
      <c r="O48" s="51"/>
      <c r="P48" s="51"/>
      <c r="Q48" s="102"/>
      <c r="R48" s="107">
        <f t="shared" si="1"/>
        <v>0</v>
      </c>
      <c r="S48" s="120">
        <f t="shared" si="1"/>
        <v>0</v>
      </c>
      <c r="T48" s="65"/>
      <c r="U48" s="136">
        <f>L48*6+N48*6+P48*6</f>
        <v>0</v>
      </c>
      <c r="V48" s="141">
        <f>U48/6</f>
        <v>0</v>
      </c>
      <c r="W48" s="138">
        <f>I48*6+J48</f>
        <v>16942</v>
      </c>
      <c r="X48" s="139"/>
    </row>
    <row r="49" spans="1:24" ht="19.5" thickBot="1">
      <c r="A49" s="1">
        <f t="shared" si="5"/>
        <v>42</v>
      </c>
      <c r="B49" s="7" t="s">
        <v>60</v>
      </c>
      <c r="C49" s="10">
        <v>1</v>
      </c>
      <c r="D49" s="11"/>
      <c r="E49" s="36"/>
      <c r="F49" s="36"/>
      <c r="G49" s="37"/>
      <c r="H49" s="38"/>
      <c r="I49" s="38">
        <f t="shared" si="10"/>
        <v>1</v>
      </c>
      <c r="J49" s="63">
        <f t="shared" si="9"/>
        <v>0</v>
      </c>
      <c r="K49" s="62"/>
      <c r="L49" s="36"/>
      <c r="M49" s="36"/>
      <c r="N49" s="36"/>
      <c r="O49" s="36"/>
      <c r="P49" s="36"/>
      <c r="Q49" s="99"/>
      <c r="R49" s="108">
        <f t="shared" si="1"/>
        <v>0</v>
      </c>
      <c r="S49" s="106">
        <f t="shared" si="1"/>
        <v>0</v>
      </c>
      <c r="T49" s="62"/>
      <c r="U49" s="8">
        <f t="shared" si="11"/>
        <v>0</v>
      </c>
      <c r="V49" s="33">
        <f t="shared" si="12"/>
        <v>0</v>
      </c>
      <c r="W49" s="134">
        <f t="shared" si="13"/>
        <v>24</v>
      </c>
      <c r="X49" s="61"/>
    </row>
    <row r="50" spans="1:24" ht="19.5" thickBot="1">
      <c r="A50" s="1">
        <f t="shared" si="5"/>
        <v>43</v>
      </c>
      <c r="B50" s="15" t="s">
        <v>61</v>
      </c>
      <c r="C50" s="10">
        <v>2</v>
      </c>
      <c r="D50" s="11"/>
      <c r="E50" s="36"/>
      <c r="F50" s="36"/>
      <c r="G50" s="37"/>
      <c r="H50" s="38"/>
      <c r="I50" s="38">
        <f t="shared" si="10"/>
        <v>2</v>
      </c>
      <c r="J50" s="63">
        <f t="shared" si="9"/>
        <v>0</v>
      </c>
      <c r="K50" s="62"/>
      <c r="L50" s="36"/>
      <c r="M50" s="36"/>
      <c r="N50" s="36"/>
      <c r="O50" s="36"/>
      <c r="P50" s="36"/>
      <c r="Q50" s="99"/>
      <c r="R50" s="100">
        <f t="shared" si="1"/>
        <v>0</v>
      </c>
      <c r="S50" s="101">
        <f t="shared" si="1"/>
        <v>0</v>
      </c>
      <c r="T50" s="62"/>
      <c r="U50" s="8">
        <f t="shared" si="11"/>
        <v>0</v>
      </c>
      <c r="V50" s="135">
        <f t="shared" si="12"/>
        <v>0</v>
      </c>
      <c r="W50" s="134">
        <f t="shared" si="13"/>
        <v>48</v>
      </c>
      <c r="X50" s="61"/>
    </row>
    <row r="51" spans="1:24" ht="19.5" thickBot="1">
      <c r="A51" s="1">
        <f t="shared" si="5"/>
        <v>44</v>
      </c>
      <c r="B51" s="15" t="s">
        <v>62</v>
      </c>
      <c r="C51" s="10"/>
      <c r="D51" s="11"/>
      <c r="E51" s="36"/>
      <c r="F51" s="36"/>
      <c r="G51" s="37"/>
      <c r="H51" s="38"/>
      <c r="I51" s="38">
        <f t="shared" si="10"/>
        <v>0</v>
      </c>
      <c r="J51" s="63">
        <f t="shared" si="9"/>
        <v>0</v>
      </c>
      <c r="K51" s="62"/>
      <c r="L51" s="36"/>
      <c r="M51" s="36"/>
      <c r="N51" s="36"/>
      <c r="O51" s="36"/>
      <c r="P51" s="36"/>
      <c r="Q51" s="99"/>
      <c r="R51" s="100">
        <f t="shared" si="1"/>
        <v>0</v>
      </c>
      <c r="S51" s="101">
        <f t="shared" si="1"/>
        <v>0</v>
      </c>
      <c r="T51" s="62"/>
      <c r="U51" s="8">
        <f t="shared" si="11"/>
        <v>0</v>
      </c>
      <c r="V51" s="135">
        <f t="shared" si="12"/>
        <v>0</v>
      </c>
      <c r="W51" s="134">
        <f t="shared" si="13"/>
        <v>0</v>
      </c>
      <c r="X51" s="61"/>
    </row>
    <row r="52" spans="1:24" ht="19.5" thickBot="1">
      <c r="A52" s="1">
        <f t="shared" si="5"/>
        <v>45</v>
      </c>
      <c r="B52" s="12" t="s">
        <v>63</v>
      </c>
      <c r="C52" s="26">
        <v>34</v>
      </c>
      <c r="D52" s="27"/>
      <c r="E52" s="51"/>
      <c r="F52" s="51"/>
      <c r="G52" s="52"/>
      <c r="H52" s="53"/>
      <c r="I52" s="53">
        <f t="shared" si="10"/>
        <v>34</v>
      </c>
      <c r="J52" s="70">
        <f t="shared" si="9"/>
        <v>0</v>
      </c>
      <c r="K52" s="65"/>
      <c r="L52" s="51"/>
      <c r="M52" s="51"/>
      <c r="N52" s="51"/>
      <c r="O52" s="51"/>
      <c r="P52" s="51"/>
      <c r="Q52" s="102"/>
      <c r="R52" s="107">
        <f t="shared" si="1"/>
        <v>0</v>
      </c>
      <c r="S52" s="120">
        <f t="shared" si="1"/>
        <v>0</v>
      </c>
      <c r="T52" s="65"/>
      <c r="U52" s="136">
        <f>L52*6+N52*6+P52*6</f>
        <v>0</v>
      </c>
      <c r="V52" s="141">
        <f>U52/6</f>
        <v>0</v>
      </c>
      <c r="W52" s="138">
        <f>I52*6+J52</f>
        <v>204</v>
      </c>
      <c r="X52" s="139"/>
    </row>
    <row r="53" spans="1:24" ht="19.5" thickBot="1">
      <c r="A53" s="1">
        <f t="shared" si="5"/>
        <v>46</v>
      </c>
      <c r="B53" s="7" t="s">
        <v>64</v>
      </c>
      <c r="C53" s="10">
        <v>2</v>
      </c>
      <c r="D53" s="11"/>
      <c r="E53" s="36"/>
      <c r="F53" s="36"/>
      <c r="G53" s="37"/>
      <c r="H53" s="38"/>
      <c r="I53" s="38">
        <f t="shared" si="10"/>
        <v>2</v>
      </c>
      <c r="J53" s="63">
        <f t="shared" si="9"/>
        <v>0</v>
      </c>
      <c r="K53" s="62"/>
      <c r="L53" s="36"/>
      <c r="M53" s="36"/>
      <c r="N53" s="36"/>
      <c r="O53" s="36"/>
      <c r="P53" s="36"/>
      <c r="Q53" s="99"/>
      <c r="R53" s="108">
        <f t="shared" si="1"/>
        <v>0</v>
      </c>
      <c r="S53" s="106">
        <f t="shared" si="1"/>
        <v>0</v>
      </c>
      <c r="T53" s="62"/>
      <c r="U53" s="8">
        <f>L53*24+N53*24+P53*24</f>
        <v>0</v>
      </c>
      <c r="V53" s="33">
        <f>U53/24</f>
        <v>0</v>
      </c>
      <c r="W53" s="134">
        <f>I53*24+J53</f>
        <v>48</v>
      </c>
      <c r="X53" s="61"/>
    </row>
    <row r="54" spans="1:24" ht="19.5" thickBot="1">
      <c r="A54" s="1">
        <f t="shared" si="5"/>
        <v>47</v>
      </c>
      <c r="B54" s="15" t="s">
        <v>65</v>
      </c>
      <c r="C54" s="10">
        <v>11</v>
      </c>
      <c r="D54" s="11"/>
      <c r="E54" s="36"/>
      <c r="F54" s="36"/>
      <c r="G54" s="37"/>
      <c r="H54" s="38"/>
      <c r="I54" s="38">
        <f t="shared" si="10"/>
        <v>11</v>
      </c>
      <c r="J54" s="63">
        <f t="shared" si="9"/>
        <v>0</v>
      </c>
      <c r="K54" s="62"/>
      <c r="L54" s="36"/>
      <c r="M54" s="36"/>
      <c r="N54" s="36"/>
      <c r="O54" s="36"/>
      <c r="P54" s="36"/>
      <c r="Q54" s="99"/>
      <c r="R54" s="100">
        <f t="shared" si="1"/>
        <v>0</v>
      </c>
      <c r="S54" s="101">
        <f t="shared" si="1"/>
        <v>0</v>
      </c>
      <c r="T54" s="62"/>
      <c r="U54" s="8">
        <f>L54*24+N54*24+P54*24</f>
        <v>0</v>
      </c>
      <c r="V54" s="135">
        <f>U54/24</f>
        <v>0</v>
      </c>
      <c r="W54" s="134">
        <f>I54*24+J54</f>
        <v>264</v>
      </c>
      <c r="X54" s="61"/>
    </row>
    <row r="55" spans="1:24" ht="19.5" thickBot="1">
      <c r="A55" s="1">
        <f t="shared" si="5"/>
        <v>48</v>
      </c>
      <c r="B55" s="15"/>
      <c r="C55" s="10"/>
      <c r="D55" s="11"/>
      <c r="E55" s="36"/>
      <c r="F55" s="36"/>
      <c r="G55" s="37"/>
      <c r="H55" s="38"/>
      <c r="I55" s="38">
        <f t="shared" si="10"/>
        <v>0</v>
      </c>
      <c r="J55" s="63">
        <f t="shared" si="9"/>
        <v>0</v>
      </c>
      <c r="K55" s="62"/>
      <c r="L55" s="36"/>
      <c r="M55" s="36"/>
      <c r="N55" s="36"/>
      <c r="O55" s="36"/>
      <c r="P55" s="36"/>
      <c r="Q55" s="99"/>
      <c r="R55" s="100">
        <f t="shared" si="1"/>
        <v>0</v>
      </c>
      <c r="S55" s="101">
        <f t="shared" si="1"/>
        <v>0</v>
      </c>
      <c r="T55" s="62"/>
      <c r="U55" s="8"/>
      <c r="V55" s="135"/>
      <c r="W55" s="134"/>
      <c r="X55" s="61"/>
    </row>
    <row r="56" spans="1:24" ht="19.5" thickBot="1">
      <c r="A56" s="1">
        <f t="shared" si="5"/>
        <v>49</v>
      </c>
      <c r="B56" s="15"/>
      <c r="C56" s="10"/>
      <c r="D56" s="11"/>
      <c r="E56" s="36"/>
      <c r="F56" s="36"/>
      <c r="G56" s="37"/>
      <c r="H56" s="38"/>
      <c r="I56" s="38">
        <f t="shared" si="10"/>
        <v>0</v>
      </c>
      <c r="J56" s="63">
        <f t="shared" si="9"/>
        <v>0</v>
      </c>
      <c r="K56" s="62"/>
      <c r="L56" s="36"/>
      <c r="M56" s="36"/>
      <c r="N56" s="36"/>
      <c r="O56" s="36"/>
      <c r="P56" s="36"/>
      <c r="Q56" s="99"/>
      <c r="R56" s="100">
        <f t="shared" si="1"/>
        <v>0</v>
      </c>
      <c r="S56" s="101">
        <f t="shared" si="1"/>
        <v>0</v>
      </c>
      <c r="T56" s="62"/>
      <c r="U56" s="8"/>
      <c r="V56" s="135"/>
      <c r="W56" s="134"/>
      <c r="X56" s="61"/>
    </row>
    <row r="57" spans="1:24" ht="19.5" thickBot="1">
      <c r="A57" s="1">
        <f t="shared" si="5"/>
        <v>50</v>
      </c>
      <c r="B57" s="15"/>
      <c r="C57" s="10"/>
      <c r="D57" s="11"/>
      <c r="E57" s="36"/>
      <c r="F57" s="36"/>
      <c r="G57" s="37"/>
      <c r="H57" s="38"/>
      <c r="I57" s="38">
        <f t="shared" si="10"/>
        <v>0</v>
      </c>
      <c r="J57" s="63">
        <f t="shared" si="9"/>
        <v>0</v>
      </c>
      <c r="K57" s="62"/>
      <c r="L57" s="36"/>
      <c r="M57" s="36"/>
      <c r="N57" s="36"/>
      <c r="O57" s="36"/>
      <c r="P57" s="36"/>
      <c r="Q57" s="99"/>
      <c r="R57" s="100">
        <f t="shared" si="1"/>
        <v>0</v>
      </c>
      <c r="S57" s="101">
        <f t="shared" si="1"/>
        <v>0</v>
      </c>
      <c r="T57" s="62"/>
      <c r="U57" s="8"/>
      <c r="V57" s="135"/>
      <c r="W57" s="134"/>
      <c r="X57" s="61"/>
    </row>
    <row r="58" spans="1:24" ht="19.5" thickBot="1">
      <c r="A58" s="1">
        <f t="shared" si="5"/>
        <v>51</v>
      </c>
      <c r="B58" s="15"/>
      <c r="C58" s="10"/>
      <c r="D58" s="11"/>
      <c r="E58" s="36"/>
      <c r="F58" s="36"/>
      <c r="G58" s="37"/>
      <c r="H58" s="38"/>
      <c r="I58" s="38">
        <f t="shared" si="10"/>
        <v>0</v>
      </c>
      <c r="J58" s="63">
        <f t="shared" si="9"/>
        <v>0</v>
      </c>
      <c r="K58" s="62"/>
      <c r="L58" s="36"/>
      <c r="M58" s="36"/>
      <c r="N58" s="36"/>
      <c r="O58" s="36"/>
      <c r="P58" s="36"/>
      <c r="Q58" s="99"/>
      <c r="R58" s="100">
        <f t="shared" si="1"/>
        <v>0</v>
      </c>
      <c r="S58" s="101">
        <f t="shared" si="1"/>
        <v>0</v>
      </c>
      <c r="T58" s="62"/>
      <c r="U58" s="8"/>
      <c r="V58" s="135"/>
      <c r="W58" s="134"/>
      <c r="X58" s="61"/>
    </row>
    <row r="59" spans="1:24" ht="19.5" thickBot="1">
      <c r="A59" s="1">
        <f t="shared" si="5"/>
        <v>52</v>
      </c>
      <c r="B59" s="15"/>
      <c r="C59" s="10"/>
      <c r="D59" s="11"/>
      <c r="E59" s="36"/>
      <c r="F59" s="36"/>
      <c r="G59" s="37"/>
      <c r="H59" s="38"/>
      <c r="I59" s="38">
        <f t="shared" si="10"/>
        <v>0</v>
      </c>
      <c r="J59" s="63">
        <f t="shared" si="9"/>
        <v>0</v>
      </c>
      <c r="K59" s="62"/>
      <c r="L59" s="36"/>
      <c r="M59" s="36"/>
      <c r="N59" s="36"/>
      <c r="O59" s="36"/>
      <c r="P59" s="36"/>
      <c r="Q59" s="99"/>
      <c r="R59" s="100">
        <f t="shared" si="1"/>
        <v>0</v>
      </c>
      <c r="S59" s="101">
        <f t="shared" si="1"/>
        <v>0</v>
      </c>
      <c r="T59" s="62"/>
      <c r="U59" s="8"/>
      <c r="V59" s="135"/>
      <c r="W59" s="134"/>
      <c r="X59" s="61"/>
    </row>
    <row r="60" spans="1:24" s="2" customFormat="1" ht="19.5" thickBot="1">
      <c r="B60" s="28" t="s">
        <v>15</v>
      </c>
      <c r="C60" s="29">
        <f t="shared" ref="C60:J60" si="14">SUM(C8:C59)</f>
        <v>37699</v>
      </c>
      <c r="D60" s="30">
        <f t="shared" si="14"/>
        <v>147</v>
      </c>
      <c r="E60" s="54">
        <f t="shared" si="14"/>
        <v>1836</v>
      </c>
      <c r="F60" s="54"/>
      <c r="G60" s="55">
        <f t="shared" si="14"/>
        <v>1707</v>
      </c>
      <c r="H60" s="56">
        <f t="shared" si="14"/>
        <v>0</v>
      </c>
      <c r="I60" s="56">
        <f t="shared" si="14"/>
        <v>37828</v>
      </c>
      <c r="J60" s="78">
        <f t="shared" si="14"/>
        <v>147</v>
      </c>
      <c r="L60" s="79">
        <f t="shared" ref="L60:S60" si="15">SUM(L8:L59)</f>
        <v>588</v>
      </c>
      <c r="M60" s="79">
        <f t="shared" si="15"/>
        <v>0</v>
      </c>
      <c r="N60" s="79">
        <f t="shared" si="15"/>
        <v>428</v>
      </c>
      <c r="O60" s="79">
        <f t="shared" si="15"/>
        <v>0</v>
      </c>
      <c r="P60" s="79">
        <f t="shared" si="15"/>
        <v>691</v>
      </c>
      <c r="Q60" s="121">
        <f t="shared" si="15"/>
        <v>0</v>
      </c>
      <c r="R60" s="122">
        <f t="shared" si="15"/>
        <v>1707</v>
      </c>
      <c r="S60" s="123">
        <f t="shared" si="15"/>
        <v>0</v>
      </c>
      <c r="U60" s="29">
        <f t="shared" ref="U60:W60" si="16">SUM(U8:U59)</f>
        <v>12588</v>
      </c>
      <c r="V60" s="152">
        <f t="shared" si="16"/>
        <v>1707</v>
      </c>
      <c r="W60" s="179">
        <f t="shared" si="16"/>
        <v>298659</v>
      </c>
      <c r="X60" s="78"/>
    </row>
    <row r="61" spans="1:24" ht="19.5" thickBot="1">
      <c r="V61" s="154"/>
    </row>
    <row r="62" spans="1:24" ht="18.75" customHeight="1">
      <c r="G62" s="197" t="s">
        <v>66</v>
      </c>
      <c r="H62" s="57"/>
      <c r="I62" s="57"/>
      <c r="J62" s="80" t="s">
        <v>67</v>
      </c>
      <c r="L62" s="81"/>
      <c r="M62" s="87"/>
      <c r="N62" s="88"/>
      <c r="O62" s="88"/>
      <c r="P62" s="88"/>
      <c r="Q62" s="124"/>
      <c r="R62" s="124"/>
      <c r="S62" s="125"/>
    </row>
    <row r="63" spans="1:24">
      <c r="G63" s="198"/>
      <c r="H63" s="58"/>
      <c r="I63" s="58"/>
      <c r="J63" s="82" t="s">
        <v>68</v>
      </c>
      <c r="L63" s="83"/>
      <c r="M63" s="89"/>
      <c r="N63" s="90"/>
      <c r="O63" s="90"/>
      <c r="P63" s="90"/>
      <c r="Q63" s="126"/>
      <c r="R63" s="126"/>
      <c r="S63" s="127"/>
    </row>
    <row r="64" spans="1:24">
      <c r="G64" s="199"/>
      <c r="H64" s="59"/>
      <c r="I64" s="59"/>
      <c r="J64" s="82" t="s">
        <v>69</v>
      </c>
      <c r="L64" s="84"/>
      <c r="M64" s="91"/>
      <c r="N64" s="92"/>
      <c r="O64" s="92"/>
      <c r="P64" s="92"/>
      <c r="Q64" s="128"/>
      <c r="R64" s="128"/>
      <c r="S64" s="129"/>
    </row>
    <row r="65" spans="2:24">
      <c r="G65" s="200" t="s">
        <v>70</v>
      </c>
      <c r="H65" s="164"/>
      <c r="I65" s="164"/>
      <c r="J65" s="82" t="s">
        <v>67</v>
      </c>
      <c r="L65" s="84"/>
      <c r="M65" s="91"/>
      <c r="N65" s="92"/>
      <c r="O65" s="92"/>
      <c r="P65" s="92"/>
      <c r="Q65" s="128"/>
      <c r="R65" s="128"/>
      <c r="S65" s="129"/>
    </row>
    <row r="66" spans="2:24">
      <c r="G66" s="200"/>
      <c r="H66" s="164"/>
      <c r="I66" s="164"/>
      <c r="J66" s="82" t="s">
        <v>68</v>
      </c>
      <c r="L66" s="83"/>
      <c r="M66" s="89"/>
      <c r="N66" s="90"/>
      <c r="O66" s="90"/>
      <c r="P66" s="90"/>
      <c r="Q66" s="126"/>
      <c r="R66" s="126"/>
      <c r="S66" s="127"/>
    </row>
    <row r="67" spans="2:24" ht="19.5" thickBot="1">
      <c r="G67" s="201"/>
      <c r="H67" s="165"/>
      <c r="I67" s="165"/>
      <c r="J67" s="167" t="s">
        <v>69</v>
      </c>
      <c r="L67" s="168"/>
      <c r="M67" s="170"/>
      <c r="N67" s="171"/>
      <c r="O67" s="171"/>
      <c r="P67" s="171"/>
      <c r="Q67" s="174"/>
      <c r="R67" s="174"/>
      <c r="S67" s="175"/>
    </row>
    <row r="69" spans="2:24" ht="49.5" customHeight="1" thickBot="1">
      <c r="B69" s="159" t="s">
        <v>71</v>
      </c>
      <c r="C69" s="5" t="s">
        <v>4</v>
      </c>
      <c r="D69" s="6"/>
      <c r="E69" s="166" t="s">
        <v>72</v>
      </c>
      <c r="L69" s="169" t="s">
        <v>12</v>
      </c>
      <c r="M69" s="172"/>
      <c r="N69" s="173" t="s">
        <v>13</v>
      </c>
      <c r="O69" s="173"/>
      <c r="P69" s="173" t="s">
        <v>14</v>
      </c>
      <c r="Q69" s="176"/>
      <c r="R69" s="176"/>
      <c r="S69" s="177" t="s">
        <v>73</v>
      </c>
      <c r="X69" s="178" t="s">
        <v>74</v>
      </c>
    </row>
    <row r="70" spans="2:24">
      <c r="B70" s="160" t="s">
        <v>47</v>
      </c>
      <c r="C70" s="161"/>
      <c r="D70" s="161"/>
      <c r="E70" s="163"/>
      <c r="L70" s="161"/>
      <c r="M70" s="161"/>
      <c r="N70" s="161"/>
      <c r="O70" s="161"/>
      <c r="P70" s="161"/>
      <c r="Q70" s="161"/>
      <c r="R70" s="161"/>
      <c r="S70" s="161"/>
      <c r="X70" s="163"/>
    </row>
    <row r="71" spans="2:24">
      <c r="B71" s="162" t="s">
        <v>75</v>
      </c>
      <c r="C71" s="161"/>
      <c r="D71" s="161"/>
      <c r="E71" s="163"/>
      <c r="L71" s="163"/>
      <c r="M71" s="163"/>
      <c r="N71" s="163"/>
      <c r="O71" s="163"/>
      <c r="P71" s="163"/>
      <c r="Q71" s="163"/>
      <c r="R71" s="163"/>
      <c r="S71" s="163"/>
      <c r="X71" s="163"/>
    </row>
    <row r="72" spans="2:24">
      <c r="B72" s="162" t="s">
        <v>76</v>
      </c>
      <c r="C72" s="161"/>
      <c r="D72" s="161"/>
      <c r="E72" s="163"/>
      <c r="L72" s="163"/>
      <c r="M72" s="163"/>
      <c r="N72" s="163"/>
      <c r="O72" s="163"/>
      <c r="P72" s="163"/>
      <c r="Q72" s="163"/>
      <c r="R72" s="163"/>
      <c r="S72" s="163"/>
      <c r="X72" s="163"/>
    </row>
    <row r="73" spans="2:24" ht="11.25" customHeight="1"/>
    <row r="74" spans="2:24">
      <c r="B74" s="162" t="s">
        <v>77</v>
      </c>
      <c r="C74" s="163"/>
      <c r="D74" s="163"/>
      <c r="E74" s="163"/>
      <c r="L74" s="163"/>
      <c r="M74" s="163"/>
      <c r="N74" s="163"/>
      <c r="O74" s="163"/>
      <c r="P74" s="163"/>
      <c r="Q74" s="163"/>
      <c r="R74" s="163"/>
      <c r="S74" s="163"/>
      <c r="X74" s="163"/>
    </row>
    <row r="75" spans="2:24">
      <c r="B75" s="162" t="s">
        <v>75</v>
      </c>
      <c r="C75" s="163"/>
      <c r="D75" s="163"/>
      <c r="E75" s="163"/>
      <c r="L75" s="163"/>
      <c r="M75" s="163"/>
      <c r="N75" s="163"/>
      <c r="O75" s="163"/>
      <c r="P75" s="163"/>
      <c r="Q75" s="163"/>
      <c r="R75" s="163"/>
      <c r="S75" s="163"/>
      <c r="X75" s="163"/>
    </row>
    <row r="76" spans="2:24">
      <c r="B76" s="162" t="s">
        <v>76</v>
      </c>
      <c r="C76" s="163"/>
      <c r="D76" s="163"/>
      <c r="E76" s="163"/>
      <c r="L76" s="163"/>
      <c r="M76" s="163"/>
      <c r="N76" s="163"/>
      <c r="O76" s="163"/>
      <c r="P76" s="163"/>
      <c r="Q76" s="163"/>
      <c r="R76" s="163"/>
      <c r="S76" s="163"/>
      <c r="X76" s="163"/>
    </row>
    <row r="77" spans="2:24" ht="11.25" customHeight="1"/>
    <row r="78" spans="2:24">
      <c r="B78" s="162" t="s">
        <v>78</v>
      </c>
      <c r="C78" s="163"/>
      <c r="D78" s="163"/>
      <c r="E78" s="163"/>
      <c r="L78" s="163"/>
      <c r="M78" s="163"/>
      <c r="N78" s="163"/>
      <c r="O78" s="163"/>
      <c r="P78" s="163"/>
      <c r="Q78" s="163"/>
      <c r="R78" s="163"/>
      <c r="S78" s="163"/>
      <c r="X78" s="163"/>
    </row>
    <row r="79" spans="2:24">
      <c r="B79" s="162" t="s">
        <v>75</v>
      </c>
      <c r="C79" s="163"/>
      <c r="D79" s="163"/>
      <c r="E79" s="163"/>
      <c r="L79" s="163"/>
      <c r="M79" s="163"/>
      <c r="N79" s="163"/>
      <c r="O79" s="163"/>
      <c r="P79" s="163"/>
      <c r="Q79" s="163"/>
      <c r="R79" s="163"/>
      <c r="S79" s="163"/>
      <c r="X79" s="163"/>
    </row>
    <row r="80" spans="2:24">
      <c r="B80" s="162" t="s">
        <v>76</v>
      </c>
      <c r="C80" s="163"/>
      <c r="D80" s="163"/>
      <c r="E80" s="163"/>
      <c r="L80" s="163"/>
      <c r="M80" s="163"/>
      <c r="N80" s="163"/>
      <c r="O80" s="163"/>
      <c r="P80" s="163"/>
      <c r="Q80" s="163"/>
      <c r="R80" s="163"/>
      <c r="S80" s="163"/>
      <c r="X80" s="163"/>
    </row>
    <row r="81" spans="2:24" ht="11.25" customHeight="1"/>
    <row r="82" spans="2:24">
      <c r="B82" s="162" t="s">
        <v>79</v>
      </c>
      <c r="C82" s="163"/>
      <c r="D82" s="163"/>
      <c r="E82" s="163"/>
      <c r="L82" s="163"/>
      <c r="M82" s="163"/>
      <c r="N82" s="163"/>
      <c r="O82" s="163"/>
      <c r="P82" s="163"/>
      <c r="Q82" s="163"/>
      <c r="R82" s="163"/>
      <c r="S82" s="163"/>
      <c r="X82" s="163"/>
    </row>
    <row r="83" spans="2:24">
      <c r="B83" s="162" t="s">
        <v>75</v>
      </c>
      <c r="C83" s="163"/>
      <c r="D83" s="163"/>
      <c r="E83" s="163"/>
      <c r="L83" s="163"/>
      <c r="M83" s="163"/>
      <c r="N83" s="163"/>
      <c r="O83" s="163"/>
      <c r="P83" s="163"/>
      <c r="Q83" s="163"/>
      <c r="R83" s="163"/>
      <c r="S83" s="163"/>
      <c r="X83" s="163"/>
    </row>
    <row r="84" spans="2:24">
      <c r="B84" s="162" t="s">
        <v>76</v>
      </c>
      <c r="C84" s="161"/>
      <c r="D84" s="161"/>
      <c r="E84" s="163"/>
      <c r="L84" s="163"/>
      <c r="M84" s="163"/>
      <c r="N84" s="163"/>
      <c r="O84" s="163"/>
      <c r="P84" s="163"/>
      <c r="Q84" s="163"/>
      <c r="R84" s="163"/>
      <c r="S84" s="163"/>
      <c r="X84" s="163"/>
    </row>
    <row r="85" spans="2:24" ht="11.25" customHeight="1"/>
    <row r="86" spans="2:24">
      <c r="B86" s="162" t="s">
        <v>80</v>
      </c>
      <c r="C86" s="163"/>
      <c r="D86" s="163"/>
      <c r="E86" s="163"/>
      <c r="L86" s="163"/>
      <c r="M86" s="163"/>
      <c r="N86" s="163"/>
      <c r="O86" s="163"/>
      <c r="P86" s="163"/>
      <c r="Q86" s="163"/>
      <c r="R86" s="163"/>
      <c r="S86" s="163"/>
      <c r="X86" s="163"/>
    </row>
    <row r="87" spans="2:24">
      <c r="B87" s="162" t="s">
        <v>75</v>
      </c>
      <c r="C87" s="163"/>
      <c r="D87" s="163"/>
      <c r="E87" s="163"/>
      <c r="L87" s="163"/>
      <c r="M87" s="163"/>
      <c r="N87" s="163"/>
      <c r="O87" s="163"/>
      <c r="P87" s="163"/>
      <c r="Q87" s="163"/>
      <c r="R87" s="163"/>
      <c r="S87" s="163"/>
      <c r="X87" s="163"/>
    </row>
    <row r="88" spans="2:24">
      <c r="B88" s="162" t="s">
        <v>76</v>
      </c>
      <c r="C88" s="163"/>
      <c r="D88" s="163"/>
      <c r="E88" s="163"/>
      <c r="L88" s="163"/>
      <c r="M88" s="163"/>
      <c r="N88" s="163"/>
      <c r="O88" s="163"/>
      <c r="P88" s="163"/>
      <c r="Q88" s="163"/>
      <c r="R88" s="163"/>
      <c r="S88" s="163"/>
      <c r="X88" s="163"/>
    </row>
    <row r="90" spans="2:24">
      <c r="B90" s="162" t="s">
        <v>81</v>
      </c>
      <c r="C90" s="163"/>
      <c r="D90" s="163"/>
      <c r="E90" s="163"/>
      <c r="L90" s="163"/>
      <c r="M90" s="163"/>
      <c r="N90" s="163"/>
      <c r="O90" s="163"/>
      <c r="P90" s="163"/>
      <c r="Q90" s="163"/>
      <c r="R90" s="163"/>
      <c r="S90" s="163"/>
      <c r="X90" s="163"/>
    </row>
  </sheetData>
  <mergeCells count="12">
    <mergeCell ref="G62:G64"/>
    <mergeCell ref="G65:G67"/>
    <mergeCell ref="P1:X1"/>
    <mergeCell ref="B4:B5"/>
    <mergeCell ref="C4:C5"/>
    <mergeCell ref="D4:D5"/>
    <mergeCell ref="E4:F4"/>
    <mergeCell ref="G4:G5"/>
    <mergeCell ref="H4:H5"/>
    <mergeCell ref="I4:I5"/>
    <mergeCell ref="J4:J5"/>
    <mergeCell ref="L4:X4"/>
  </mergeCells>
  <printOptions horizontalCentered="1" verticalCentered="1"/>
  <pageMargins left="0.196850393700787" right="0.196850393700787" top="0.196850393700787" bottom="0.196850393700787" header="0.511811023622047" footer="0.511811023622047"/>
  <pageSetup paperSize="9" scale="51" orientation="portrait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42265-97A7-40A0-8763-32B0AB9CDCD7}">
  <sheetPr>
    <pageSetUpPr fitToPage="1"/>
  </sheetPr>
  <dimension ref="A1:BH90"/>
  <sheetViews>
    <sheetView zoomScaleNormal="100" zoomScaleSheetLayoutView="85" zoomScalePageLayoutView="80" workbookViewId="0">
      <selection activeCell="P1" sqref="P1:X1"/>
    </sheetView>
  </sheetViews>
  <sheetFormatPr defaultColWidth="9.140625" defaultRowHeight="18.75"/>
  <cols>
    <col min="1" max="1" width="5.42578125" style="3" customWidth="1"/>
    <col min="2" max="2" width="12.28515625" style="3" customWidth="1"/>
    <col min="3" max="3" width="12.7109375" style="3" customWidth="1"/>
    <col min="4" max="4" width="8.5703125" style="3" bestFit="1" customWidth="1"/>
    <col min="5" max="5" width="12.140625" style="3" customWidth="1"/>
    <col min="6" max="6" width="9.85546875" style="3" customWidth="1"/>
    <col min="7" max="7" width="11" style="3" customWidth="1"/>
    <col min="8" max="8" width="8" style="3" customWidth="1"/>
    <col min="9" max="9" width="14.7109375" style="3" customWidth="1"/>
    <col min="10" max="10" width="8.28515625" style="3" customWidth="1"/>
    <col min="11" max="11" width="1.28515625" style="3" customWidth="1"/>
    <col min="12" max="12" width="11" style="3" customWidth="1"/>
    <col min="13" max="13" width="7.85546875" style="3" customWidth="1"/>
    <col min="14" max="14" width="11" style="3" customWidth="1"/>
    <col min="15" max="15" width="6.5703125" style="3" customWidth="1"/>
    <col min="16" max="16" width="11" style="3" customWidth="1"/>
    <col min="17" max="17" width="6.5703125" style="3" customWidth="1"/>
    <col min="18" max="18" width="9.5703125" style="3" customWidth="1"/>
    <col min="19" max="19" width="8.140625" style="3" customWidth="1"/>
    <col min="20" max="20" width="1.28515625" style="3" customWidth="1"/>
    <col min="21" max="21" width="12.7109375" style="3" customWidth="1"/>
    <col min="22" max="22" width="12.7109375" style="3" hidden="1" customWidth="1"/>
    <col min="23" max="23" width="14.5703125" style="3" customWidth="1"/>
    <col min="24" max="24" width="11.5703125" style="3" customWidth="1"/>
    <col min="25" max="25" width="2" style="3" customWidth="1"/>
    <col min="26" max="26" width="10.5703125" style="3" customWidth="1"/>
    <col min="27" max="55" width="7.28515625" style="3" customWidth="1"/>
    <col min="56" max="56" width="1.5703125" style="3" customWidth="1"/>
    <col min="57" max="57" width="9.42578125" style="3" customWidth="1"/>
    <col min="58" max="58" width="1.28515625" style="3" customWidth="1"/>
    <col min="59" max="59" width="12.7109375" style="3" customWidth="1"/>
    <col min="60" max="60" width="10.28515625" style="3" customWidth="1"/>
    <col min="61" max="16384" width="9.140625" style="3"/>
  </cols>
  <sheetData>
    <row r="1" spans="1:60" ht="19.5" thickBot="1">
      <c r="B1" s="2" t="s">
        <v>0</v>
      </c>
      <c r="N1" s="3" t="s">
        <v>1</v>
      </c>
      <c r="P1" s="183">
        <v>46162</v>
      </c>
      <c r="Q1" s="184"/>
      <c r="R1" s="184"/>
      <c r="S1" s="184"/>
      <c r="T1" s="184"/>
      <c r="U1" s="184"/>
      <c r="V1" s="184"/>
      <c r="W1" s="184"/>
      <c r="X1" s="185"/>
    </row>
    <row r="2" spans="1:60" ht="15" customHeight="1">
      <c r="B2" s="2" t="s">
        <v>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4" spans="1:60" ht="19.5" customHeight="1" thickBot="1">
      <c r="A4" s="4"/>
      <c r="B4" s="192" t="s">
        <v>3</v>
      </c>
      <c r="C4" s="193" t="s">
        <v>4</v>
      </c>
      <c r="D4" s="194" t="s">
        <v>5</v>
      </c>
      <c r="E4" s="186" t="s">
        <v>6</v>
      </c>
      <c r="F4" s="187"/>
      <c r="G4" s="195" t="s">
        <v>7</v>
      </c>
      <c r="H4" s="202" t="s">
        <v>5</v>
      </c>
      <c r="I4" s="204" t="s">
        <v>8</v>
      </c>
      <c r="J4" s="202" t="s">
        <v>5</v>
      </c>
      <c r="L4" s="188" t="s">
        <v>9</v>
      </c>
      <c r="M4" s="189"/>
      <c r="N4" s="189"/>
      <c r="O4" s="189"/>
      <c r="P4" s="189"/>
      <c r="Q4" s="189"/>
      <c r="R4" s="189"/>
      <c r="S4" s="189"/>
      <c r="T4" s="189"/>
      <c r="U4" s="189"/>
      <c r="V4" s="190"/>
      <c r="W4" s="189"/>
      <c r="X4" s="191"/>
    </row>
    <row r="5" spans="1:60" s="1" customFormat="1" ht="57" thickBot="1">
      <c r="A5" s="4"/>
      <c r="B5" s="192"/>
      <c r="C5" s="193"/>
      <c r="D5" s="194"/>
      <c r="E5" s="31" t="s">
        <v>10</v>
      </c>
      <c r="F5" s="32" t="s">
        <v>11</v>
      </c>
      <c r="G5" s="196"/>
      <c r="H5" s="203"/>
      <c r="I5" s="205"/>
      <c r="J5" s="203"/>
      <c r="L5" s="60" t="s">
        <v>12</v>
      </c>
      <c r="M5" s="85" t="s">
        <v>5</v>
      </c>
      <c r="N5" s="86" t="s">
        <v>13</v>
      </c>
      <c r="O5" s="85" t="s">
        <v>5</v>
      </c>
      <c r="P5" s="86" t="s">
        <v>14</v>
      </c>
      <c r="Q5" s="85" t="s">
        <v>5</v>
      </c>
      <c r="R5" s="93" t="s">
        <v>15</v>
      </c>
      <c r="S5" s="94" t="s">
        <v>5</v>
      </c>
      <c r="T5" s="95"/>
      <c r="U5" s="130" t="s">
        <v>16</v>
      </c>
      <c r="V5" s="131" t="s">
        <v>17</v>
      </c>
      <c r="W5" s="132" t="s">
        <v>18</v>
      </c>
      <c r="X5" s="133" t="s">
        <v>19</v>
      </c>
      <c r="AL5" s="156"/>
      <c r="AM5" s="156"/>
      <c r="AN5" s="156"/>
      <c r="AO5" s="156"/>
      <c r="AP5" s="156"/>
      <c r="AQ5" s="156"/>
      <c r="AR5" s="156"/>
      <c r="AS5" s="156"/>
      <c r="AT5" s="156"/>
      <c r="AU5" s="156"/>
      <c r="AV5" s="156"/>
      <c r="AW5" s="156"/>
      <c r="AX5" s="156"/>
      <c r="AY5" s="156"/>
      <c r="AZ5" s="156"/>
      <c r="BA5" s="156"/>
      <c r="BB5" s="156"/>
      <c r="BC5" s="156"/>
      <c r="BD5" s="156"/>
      <c r="BE5" s="156"/>
      <c r="BF5" s="156"/>
      <c r="BG5" s="156"/>
      <c r="BH5" s="156"/>
    </row>
    <row r="6" spans="1:60" s="1" customFormat="1" ht="19.5" thickBot="1">
      <c r="B6" s="7"/>
      <c r="C6" s="8"/>
      <c r="D6" s="9"/>
      <c r="E6" s="33"/>
      <c r="F6" s="33"/>
      <c r="G6" s="34"/>
      <c r="H6" s="35"/>
      <c r="I6" s="35"/>
      <c r="J6" s="61"/>
      <c r="K6" s="62"/>
      <c r="L6" s="33"/>
      <c r="M6" s="33"/>
      <c r="N6" s="33"/>
      <c r="O6" s="33"/>
      <c r="P6" s="33"/>
      <c r="Q6" s="96"/>
      <c r="R6" s="97"/>
      <c r="S6" s="98"/>
      <c r="T6" s="62"/>
      <c r="U6" s="8"/>
      <c r="V6" s="33"/>
      <c r="W6" s="134"/>
      <c r="X6" s="61"/>
      <c r="AL6" s="156"/>
      <c r="AM6" s="156"/>
      <c r="AN6" s="156"/>
      <c r="AO6" s="156"/>
      <c r="AP6" s="156"/>
      <c r="AQ6" s="156"/>
      <c r="AR6" s="156"/>
      <c r="AS6" s="156"/>
      <c r="AT6" s="156"/>
      <c r="AU6" s="156"/>
      <c r="AV6" s="156"/>
      <c r="AW6" s="156"/>
      <c r="AX6" s="156"/>
      <c r="AY6" s="156"/>
      <c r="AZ6" s="156"/>
      <c r="BA6" s="156"/>
      <c r="BB6" s="156"/>
      <c r="BC6" s="156"/>
      <c r="BD6" s="156"/>
      <c r="BE6" s="156"/>
      <c r="BF6" s="156"/>
      <c r="BG6" s="156"/>
      <c r="BH6" s="156"/>
    </row>
    <row r="7" spans="1:60" s="1" customFormat="1" ht="19.5" thickBot="1">
      <c r="B7" s="7"/>
      <c r="C7" s="8"/>
      <c r="D7" s="9"/>
      <c r="E7" s="33"/>
      <c r="F7" s="33"/>
      <c r="G7" s="34"/>
      <c r="H7" s="35"/>
      <c r="I7" s="35"/>
      <c r="J7" s="61"/>
      <c r="K7" s="62"/>
      <c r="L7" s="33"/>
      <c r="M7" s="33"/>
      <c r="N7" s="33"/>
      <c r="O7" s="33"/>
      <c r="P7" s="33"/>
      <c r="Q7" s="96"/>
      <c r="R7" s="97"/>
      <c r="S7" s="98"/>
      <c r="T7" s="62"/>
      <c r="U7" s="8"/>
      <c r="V7" s="135"/>
      <c r="W7" s="134"/>
      <c r="X7" s="61"/>
      <c r="AL7" s="156"/>
      <c r="AM7" s="156"/>
      <c r="AN7" s="156"/>
      <c r="AO7" s="156"/>
      <c r="AP7" s="156"/>
      <c r="AQ7" s="156"/>
      <c r="AR7" s="156"/>
      <c r="AS7" s="156"/>
      <c r="AT7" s="156"/>
      <c r="AU7" s="156"/>
      <c r="AV7" s="156"/>
      <c r="AW7" s="156"/>
      <c r="AX7" s="156"/>
      <c r="AY7" s="156"/>
      <c r="AZ7" s="156"/>
      <c r="BA7" s="156"/>
      <c r="BB7" s="156"/>
      <c r="BC7" s="156"/>
      <c r="BD7" s="156"/>
      <c r="BE7" s="156"/>
      <c r="BF7" s="156"/>
      <c r="BG7" s="156"/>
      <c r="BH7" s="156"/>
    </row>
    <row r="8" spans="1:60" ht="19.5" thickBot="1">
      <c r="A8" s="1">
        <v>1</v>
      </c>
      <c r="B8" s="7" t="s">
        <v>20</v>
      </c>
      <c r="C8" s="10">
        <v>10</v>
      </c>
      <c r="D8" s="11">
        <v>19</v>
      </c>
      <c r="E8" s="36"/>
      <c r="F8" s="36"/>
      <c r="G8" s="37">
        <v>2</v>
      </c>
      <c r="H8" s="38"/>
      <c r="I8" s="38">
        <f t="shared" ref="I8:J43" si="0">C8-G8</f>
        <v>8</v>
      </c>
      <c r="J8" s="63">
        <f t="shared" si="0"/>
        <v>19</v>
      </c>
      <c r="K8" s="62"/>
      <c r="L8" s="36">
        <v>2</v>
      </c>
      <c r="M8" s="36"/>
      <c r="N8" s="36"/>
      <c r="O8" s="36"/>
      <c r="P8" s="36"/>
      <c r="Q8" s="99"/>
      <c r="R8" s="100">
        <f t="shared" ref="R8:S59" si="1">L8+N8+P8</f>
        <v>2</v>
      </c>
      <c r="S8" s="101">
        <f t="shared" si="1"/>
        <v>0</v>
      </c>
      <c r="T8" s="62"/>
      <c r="U8" s="8">
        <f t="shared" ref="U8:U37" si="2">L8*24+N8*24+P8*24</f>
        <v>48</v>
      </c>
      <c r="V8" s="135">
        <f t="shared" ref="V8:V37" si="3">U8/24</f>
        <v>2</v>
      </c>
      <c r="W8" s="134">
        <f t="shared" ref="W8:W37" si="4">I8*24+J8</f>
        <v>211</v>
      </c>
      <c r="X8" s="61"/>
      <c r="AL8" s="157"/>
      <c r="AM8" s="157"/>
      <c r="AN8" s="157"/>
      <c r="AO8" s="157"/>
      <c r="AP8" s="157"/>
      <c r="AQ8" s="157"/>
      <c r="AR8" s="157"/>
      <c r="AS8" s="157"/>
      <c r="AT8" s="157"/>
      <c r="AU8" s="157"/>
      <c r="AV8" s="157"/>
      <c r="AW8" s="157"/>
      <c r="AX8" s="157"/>
      <c r="AY8" s="157"/>
      <c r="AZ8" s="157"/>
      <c r="BA8" s="157"/>
      <c r="BB8" s="157"/>
      <c r="BC8" s="157"/>
      <c r="BD8" s="157"/>
      <c r="BE8" s="157"/>
      <c r="BF8" s="157"/>
      <c r="BG8" s="157"/>
      <c r="BH8" s="157"/>
    </row>
    <row r="9" spans="1:60" ht="19.5" thickBot="1">
      <c r="A9" s="1">
        <f t="shared" ref="A9:A59" si="5">A8+1</f>
        <v>2</v>
      </c>
      <c r="B9" s="12" t="s">
        <v>21</v>
      </c>
      <c r="C9" s="13">
        <v>75</v>
      </c>
      <c r="D9" s="14"/>
      <c r="E9" s="39"/>
      <c r="F9" s="39"/>
      <c r="G9" s="40"/>
      <c r="H9" s="41"/>
      <c r="I9" s="40">
        <f t="shared" si="0"/>
        <v>75</v>
      </c>
      <c r="J9" s="64">
        <f t="shared" si="0"/>
        <v>0</v>
      </c>
      <c r="K9" s="65"/>
      <c r="L9" s="51"/>
      <c r="M9" s="51"/>
      <c r="N9" s="51"/>
      <c r="O9" s="51"/>
      <c r="P9" s="51"/>
      <c r="Q9" s="102"/>
      <c r="R9" s="103">
        <f t="shared" si="1"/>
        <v>0</v>
      </c>
      <c r="S9" s="104">
        <f t="shared" si="1"/>
        <v>0</v>
      </c>
      <c r="T9" s="65"/>
      <c r="U9" s="136">
        <f t="shared" si="2"/>
        <v>0</v>
      </c>
      <c r="V9" s="137">
        <f t="shared" si="3"/>
        <v>0</v>
      </c>
      <c r="W9" s="138">
        <f t="shared" si="4"/>
        <v>1800</v>
      </c>
      <c r="X9" s="139"/>
      <c r="AL9" s="157"/>
      <c r="AM9" s="157"/>
      <c r="AN9" s="157"/>
      <c r="AO9" s="157"/>
      <c r="AP9" s="157"/>
      <c r="AQ9" s="157"/>
      <c r="AR9" s="157"/>
      <c r="AS9" s="157"/>
      <c r="AT9" s="157"/>
      <c r="AU9" s="157"/>
      <c r="AV9" s="157"/>
      <c r="AW9" s="157"/>
      <c r="AX9" s="157"/>
      <c r="AY9" s="157"/>
      <c r="AZ9" s="157"/>
      <c r="BA9" s="157"/>
      <c r="BB9" s="157"/>
      <c r="BC9" s="157"/>
      <c r="BD9" s="157"/>
      <c r="BE9" s="157"/>
      <c r="BF9" s="157"/>
      <c r="BG9" s="157"/>
      <c r="BH9" s="157"/>
    </row>
    <row r="10" spans="1:60" ht="19.5" thickBot="1">
      <c r="A10" s="1">
        <f t="shared" si="5"/>
        <v>3</v>
      </c>
      <c r="B10" s="7" t="s">
        <v>22</v>
      </c>
      <c r="C10" s="10">
        <v>42</v>
      </c>
      <c r="D10" s="11"/>
      <c r="E10" s="36"/>
      <c r="F10" s="36"/>
      <c r="G10" s="37">
        <v>16</v>
      </c>
      <c r="H10" s="38"/>
      <c r="I10" s="38">
        <f t="shared" si="0"/>
        <v>26</v>
      </c>
      <c r="J10" s="66">
        <f t="shared" si="0"/>
        <v>0</v>
      </c>
      <c r="K10" s="62"/>
      <c r="L10" s="36">
        <v>1</v>
      </c>
      <c r="M10" s="36"/>
      <c r="N10" s="36"/>
      <c r="O10" s="36"/>
      <c r="P10" s="36">
        <v>15</v>
      </c>
      <c r="Q10" s="99"/>
      <c r="R10" s="105">
        <f t="shared" si="1"/>
        <v>16</v>
      </c>
      <c r="S10" s="106">
        <f t="shared" si="1"/>
        <v>0</v>
      </c>
      <c r="T10" s="62"/>
      <c r="U10" s="8">
        <f t="shared" si="2"/>
        <v>384</v>
      </c>
      <c r="V10" s="140">
        <f t="shared" si="3"/>
        <v>16</v>
      </c>
      <c r="W10" s="134">
        <f t="shared" si="4"/>
        <v>624</v>
      </c>
      <c r="X10" s="61"/>
      <c r="AL10" s="157"/>
      <c r="AM10" s="157"/>
      <c r="AN10" s="157"/>
      <c r="AO10" s="157"/>
      <c r="AP10" s="157"/>
      <c r="AQ10" s="157"/>
      <c r="AR10" s="157"/>
      <c r="AS10" s="157"/>
      <c r="AT10" s="157"/>
      <c r="AU10" s="157"/>
      <c r="AV10" s="157"/>
      <c r="AW10" s="157"/>
      <c r="AX10" s="157"/>
      <c r="AY10" s="157"/>
      <c r="AZ10" s="157"/>
      <c r="BA10" s="157"/>
      <c r="BB10" s="157"/>
      <c r="BC10" s="157"/>
      <c r="BD10" s="157"/>
      <c r="BE10" s="157"/>
      <c r="BF10" s="157"/>
      <c r="BG10" s="157"/>
      <c r="BH10" s="157"/>
    </row>
    <row r="11" spans="1:60" ht="19.5" thickBot="1">
      <c r="A11" s="1">
        <f t="shared" si="5"/>
        <v>4</v>
      </c>
      <c r="B11" s="15" t="s">
        <v>23</v>
      </c>
      <c r="C11" s="10">
        <v>41</v>
      </c>
      <c r="D11" s="11"/>
      <c r="E11" s="36"/>
      <c r="F11" s="36"/>
      <c r="G11" s="37">
        <v>17</v>
      </c>
      <c r="H11" s="38"/>
      <c r="I11" s="38">
        <f t="shared" si="0"/>
        <v>24</v>
      </c>
      <c r="J11" s="63">
        <f t="shared" si="0"/>
        <v>0</v>
      </c>
      <c r="K11" s="62"/>
      <c r="L11" s="36">
        <v>1</v>
      </c>
      <c r="M11" s="36"/>
      <c r="N11" s="36"/>
      <c r="O11" s="36"/>
      <c r="P11" s="36">
        <v>16</v>
      </c>
      <c r="Q11" s="99"/>
      <c r="R11" s="100">
        <f t="shared" si="1"/>
        <v>17</v>
      </c>
      <c r="S11" s="101">
        <f t="shared" si="1"/>
        <v>0</v>
      </c>
      <c r="T11" s="62"/>
      <c r="U11" s="8">
        <f t="shared" si="2"/>
        <v>408</v>
      </c>
      <c r="V11" s="135">
        <f t="shared" si="3"/>
        <v>17</v>
      </c>
      <c r="W11" s="134">
        <f t="shared" si="4"/>
        <v>576</v>
      </c>
      <c r="X11" s="61"/>
      <c r="AL11" s="157"/>
      <c r="AM11" s="157"/>
      <c r="AN11" s="157"/>
      <c r="AO11" s="157"/>
      <c r="AP11" s="157"/>
      <c r="AQ11" s="157"/>
      <c r="AR11" s="157"/>
      <c r="AS11" s="157"/>
      <c r="AT11" s="157"/>
      <c r="AU11" s="157"/>
      <c r="AV11" s="157"/>
      <c r="AW11" s="157"/>
      <c r="AX11" s="157"/>
      <c r="AY11" s="157"/>
      <c r="AZ11" s="157"/>
      <c r="BA11" s="157"/>
      <c r="BB11" s="157"/>
      <c r="BC11" s="157"/>
      <c r="BD11" s="157"/>
      <c r="BE11" s="157"/>
      <c r="BF11" s="157"/>
      <c r="BG11" s="157"/>
      <c r="BH11" s="157"/>
    </row>
    <row r="12" spans="1:60" ht="19.5" thickBot="1">
      <c r="A12" s="1">
        <f t="shared" si="5"/>
        <v>5</v>
      </c>
      <c r="B12" s="15" t="s">
        <v>24</v>
      </c>
      <c r="C12" s="10"/>
      <c r="D12" s="11">
        <v>2</v>
      </c>
      <c r="E12" s="36"/>
      <c r="F12" s="36"/>
      <c r="G12" s="37"/>
      <c r="H12" s="38"/>
      <c r="I12" s="38">
        <f t="shared" si="0"/>
        <v>0</v>
      </c>
      <c r="J12" s="63">
        <f t="shared" si="0"/>
        <v>2</v>
      </c>
      <c r="K12" s="62"/>
      <c r="L12" s="36"/>
      <c r="M12" s="36"/>
      <c r="N12" s="36"/>
      <c r="O12" s="36"/>
      <c r="P12" s="36"/>
      <c r="Q12" s="99"/>
      <c r="R12" s="100">
        <f t="shared" si="1"/>
        <v>0</v>
      </c>
      <c r="S12" s="101">
        <f t="shared" si="1"/>
        <v>0</v>
      </c>
      <c r="T12" s="62"/>
      <c r="U12" s="8">
        <f t="shared" si="2"/>
        <v>0</v>
      </c>
      <c r="V12" s="135">
        <f t="shared" si="3"/>
        <v>0</v>
      </c>
      <c r="W12" s="134">
        <f t="shared" si="4"/>
        <v>2</v>
      </c>
      <c r="X12" s="61"/>
      <c r="AL12" s="157"/>
      <c r="AM12" s="157"/>
      <c r="AN12" s="157"/>
      <c r="AO12" s="157"/>
      <c r="AP12" s="157"/>
      <c r="AQ12" s="157"/>
      <c r="AR12" s="157"/>
      <c r="AS12" s="157"/>
      <c r="AT12" s="157"/>
      <c r="AU12" s="157"/>
      <c r="AV12" s="157"/>
      <c r="AW12" s="157"/>
      <c r="AX12" s="157"/>
      <c r="AY12" s="157"/>
      <c r="AZ12" s="157"/>
      <c r="BA12" s="157"/>
      <c r="BB12" s="157"/>
      <c r="BC12" s="157"/>
      <c r="BD12" s="157"/>
      <c r="BE12" s="157"/>
      <c r="BF12" s="157"/>
      <c r="BG12" s="157"/>
      <c r="BH12" s="157"/>
    </row>
    <row r="13" spans="1:60" s="2" customFormat="1" ht="19.5" thickBot="1">
      <c r="A13" s="1">
        <f t="shared" si="5"/>
        <v>6</v>
      </c>
      <c r="B13" s="12" t="s">
        <v>25</v>
      </c>
      <c r="C13" s="13">
        <v>3175</v>
      </c>
      <c r="D13" s="14"/>
      <c r="E13" s="39"/>
      <c r="F13" s="39"/>
      <c r="G13" s="40">
        <v>28</v>
      </c>
      <c r="H13" s="41">
        <v>24</v>
      </c>
      <c r="I13" s="44">
        <f t="shared" si="0"/>
        <v>3147</v>
      </c>
      <c r="J13" s="64">
        <f t="shared" si="0"/>
        <v>-24</v>
      </c>
      <c r="K13" s="67"/>
      <c r="L13" s="51">
        <v>5</v>
      </c>
      <c r="M13" s="51">
        <v>12</v>
      </c>
      <c r="N13" s="51">
        <v>12</v>
      </c>
      <c r="O13" s="51"/>
      <c r="P13" s="51">
        <v>11</v>
      </c>
      <c r="Q13" s="102">
        <v>12</v>
      </c>
      <c r="R13" s="107">
        <f t="shared" si="1"/>
        <v>28</v>
      </c>
      <c r="S13" s="104">
        <f t="shared" si="1"/>
        <v>24</v>
      </c>
      <c r="T13" s="67"/>
      <c r="U13" s="136">
        <f t="shared" si="2"/>
        <v>672</v>
      </c>
      <c r="V13" s="141">
        <f t="shared" si="3"/>
        <v>28</v>
      </c>
      <c r="W13" s="138">
        <f t="shared" si="4"/>
        <v>75504</v>
      </c>
      <c r="X13" s="139"/>
      <c r="Y13" s="3"/>
      <c r="AD13" s="3"/>
      <c r="AG13" s="3"/>
      <c r="AH13" s="3"/>
      <c r="AI13" s="3"/>
      <c r="AJ13" s="3"/>
      <c r="AK13" s="3"/>
      <c r="AL13" s="157"/>
      <c r="AM13" s="157"/>
      <c r="AN13" s="157"/>
      <c r="AO13" s="157"/>
      <c r="AP13" s="157"/>
      <c r="AQ13" s="157"/>
      <c r="AR13" s="157"/>
      <c r="AS13" s="157"/>
      <c r="AT13" s="157"/>
      <c r="AU13" s="157"/>
      <c r="AV13" s="157"/>
      <c r="AW13" s="157"/>
      <c r="AX13" s="157"/>
      <c r="AY13" s="157"/>
      <c r="AZ13" s="157"/>
      <c r="BA13" s="157"/>
      <c r="BB13" s="157"/>
      <c r="BC13" s="157"/>
      <c r="BD13" s="157"/>
      <c r="BE13" s="157"/>
      <c r="BF13" s="157"/>
      <c r="BG13" s="157"/>
      <c r="BH13" s="157"/>
    </row>
    <row r="14" spans="1:60" ht="19.5" thickBot="1">
      <c r="A14" s="1">
        <f t="shared" si="5"/>
        <v>7</v>
      </c>
      <c r="B14" s="7" t="s">
        <v>26</v>
      </c>
      <c r="C14" s="10">
        <v>3</v>
      </c>
      <c r="D14" s="11">
        <v>16</v>
      </c>
      <c r="E14" s="36"/>
      <c r="F14" s="36"/>
      <c r="G14" s="37"/>
      <c r="H14" s="38"/>
      <c r="I14" s="68">
        <f t="shared" si="0"/>
        <v>3</v>
      </c>
      <c r="J14" s="66">
        <f t="shared" si="0"/>
        <v>16</v>
      </c>
      <c r="K14" s="62"/>
      <c r="L14" s="36"/>
      <c r="M14" s="36"/>
      <c r="N14" s="36"/>
      <c r="O14" s="36"/>
      <c r="P14" s="36"/>
      <c r="Q14" s="99"/>
      <c r="R14" s="108">
        <f t="shared" si="1"/>
        <v>0</v>
      </c>
      <c r="S14" s="106">
        <f t="shared" si="1"/>
        <v>0</v>
      </c>
      <c r="T14" s="62"/>
      <c r="U14" s="8">
        <f t="shared" si="2"/>
        <v>0</v>
      </c>
      <c r="V14" s="33">
        <f t="shared" si="3"/>
        <v>0</v>
      </c>
      <c r="W14" s="134">
        <f t="shared" si="4"/>
        <v>88</v>
      </c>
      <c r="X14" s="61"/>
      <c r="AL14" s="157"/>
      <c r="AM14" s="157"/>
      <c r="AN14" s="157"/>
      <c r="AO14" s="157"/>
      <c r="AP14" s="157"/>
      <c r="AQ14" s="157"/>
      <c r="AR14" s="157"/>
      <c r="AS14" s="157"/>
      <c r="AT14" s="157"/>
      <c r="AU14" s="157"/>
      <c r="AV14" s="157"/>
      <c r="AW14" s="157"/>
      <c r="AX14" s="157"/>
      <c r="AY14" s="157"/>
      <c r="AZ14" s="157"/>
      <c r="BA14" s="157"/>
      <c r="BB14" s="157"/>
      <c r="BC14" s="157"/>
      <c r="BD14" s="157"/>
      <c r="BE14" s="157"/>
      <c r="BF14" s="157"/>
      <c r="BG14" s="157"/>
      <c r="BH14" s="157"/>
    </row>
    <row r="15" spans="1:60" ht="19.5" thickBot="1">
      <c r="A15" s="1">
        <f t="shared" si="5"/>
        <v>8</v>
      </c>
      <c r="B15" s="15" t="s">
        <v>27</v>
      </c>
      <c r="C15" s="10">
        <v>4</v>
      </c>
      <c r="D15" s="11"/>
      <c r="E15" s="36"/>
      <c r="F15" s="36"/>
      <c r="G15" s="37"/>
      <c r="H15" s="38"/>
      <c r="I15" s="38">
        <f t="shared" si="0"/>
        <v>4</v>
      </c>
      <c r="J15" s="63">
        <f t="shared" si="0"/>
        <v>0</v>
      </c>
      <c r="K15" s="62"/>
      <c r="L15" s="36"/>
      <c r="M15" s="36"/>
      <c r="N15" s="36"/>
      <c r="O15" s="36"/>
      <c r="P15" s="36"/>
      <c r="Q15" s="99"/>
      <c r="R15" s="100">
        <f t="shared" si="1"/>
        <v>0</v>
      </c>
      <c r="S15" s="101">
        <f t="shared" si="1"/>
        <v>0</v>
      </c>
      <c r="T15" s="62"/>
      <c r="U15" s="8">
        <f t="shared" si="2"/>
        <v>0</v>
      </c>
      <c r="V15" s="135">
        <f t="shared" si="3"/>
        <v>0</v>
      </c>
      <c r="W15" s="134">
        <f t="shared" si="4"/>
        <v>96</v>
      </c>
      <c r="X15" s="61"/>
      <c r="AL15" s="157"/>
      <c r="AM15" s="157"/>
      <c r="AN15" s="157"/>
      <c r="AO15" s="157"/>
      <c r="AP15" s="157"/>
      <c r="AQ15" s="157"/>
      <c r="AR15" s="157"/>
      <c r="AS15" s="157"/>
      <c r="AT15" s="157"/>
      <c r="AU15" s="157"/>
      <c r="AV15" s="157"/>
      <c r="AW15" s="157"/>
      <c r="AX15" s="157"/>
      <c r="AY15" s="157"/>
      <c r="AZ15" s="157"/>
      <c r="BA15" s="157"/>
      <c r="BB15" s="157"/>
      <c r="BC15" s="157"/>
      <c r="BD15" s="157"/>
      <c r="BE15" s="157"/>
      <c r="BF15" s="157"/>
      <c r="BG15" s="157"/>
      <c r="BH15" s="157"/>
    </row>
    <row r="16" spans="1:60" ht="19.5" thickBot="1">
      <c r="A16" s="1">
        <f t="shared" si="5"/>
        <v>9</v>
      </c>
      <c r="B16" s="15" t="s">
        <v>28</v>
      </c>
      <c r="C16" s="10">
        <v>1</v>
      </c>
      <c r="D16" s="11"/>
      <c r="E16" s="36"/>
      <c r="F16" s="36"/>
      <c r="G16" s="37"/>
      <c r="H16" s="38"/>
      <c r="I16" s="38">
        <f t="shared" si="0"/>
        <v>1</v>
      </c>
      <c r="J16" s="63">
        <f t="shared" si="0"/>
        <v>0</v>
      </c>
      <c r="K16" s="62"/>
      <c r="L16" s="36"/>
      <c r="M16" s="36"/>
      <c r="N16" s="36"/>
      <c r="O16" s="36"/>
      <c r="P16" s="36"/>
      <c r="Q16" s="99"/>
      <c r="R16" s="100">
        <f t="shared" si="1"/>
        <v>0</v>
      </c>
      <c r="S16" s="101">
        <f t="shared" si="1"/>
        <v>0</v>
      </c>
      <c r="T16" s="62"/>
      <c r="U16" s="8">
        <f t="shared" si="2"/>
        <v>0</v>
      </c>
      <c r="V16" s="135">
        <f t="shared" si="3"/>
        <v>0</v>
      </c>
      <c r="W16" s="134">
        <f t="shared" si="4"/>
        <v>24</v>
      </c>
      <c r="X16" s="61"/>
      <c r="AL16" s="157"/>
      <c r="AM16" s="157"/>
      <c r="AN16" s="157"/>
      <c r="AO16" s="157"/>
      <c r="AP16" s="157"/>
      <c r="AQ16" s="157"/>
      <c r="AR16" s="157"/>
      <c r="AS16" s="157"/>
      <c r="AT16" s="157"/>
      <c r="AU16" s="157"/>
      <c r="AV16" s="157"/>
      <c r="AW16" s="157"/>
      <c r="AX16" s="157"/>
      <c r="AY16" s="157"/>
      <c r="AZ16" s="157"/>
      <c r="BA16" s="157"/>
      <c r="BB16" s="157"/>
      <c r="BC16" s="157"/>
      <c r="BD16" s="157"/>
      <c r="BE16" s="157"/>
      <c r="BF16" s="157"/>
      <c r="BG16" s="157"/>
      <c r="BH16" s="157"/>
    </row>
    <row r="17" spans="1:60" ht="19.5" thickBot="1">
      <c r="A17" s="1">
        <f t="shared" si="5"/>
        <v>10</v>
      </c>
      <c r="B17" s="15" t="s">
        <v>29</v>
      </c>
      <c r="C17" s="10"/>
      <c r="D17" s="11"/>
      <c r="E17" s="36"/>
      <c r="F17" s="36"/>
      <c r="G17" s="37"/>
      <c r="H17" s="38"/>
      <c r="I17" s="38">
        <f t="shared" si="0"/>
        <v>0</v>
      </c>
      <c r="J17" s="63">
        <f t="shared" si="0"/>
        <v>0</v>
      </c>
      <c r="K17" s="62"/>
      <c r="L17" s="36"/>
      <c r="M17" s="36"/>
      <c r="N17" s="36"/>
      <c r="O17" s="36"/>
      <c r="P17" s="36"/>
      <c r="Q17" s="99"/>
      <c r="R17" s="100">
        <f t="shared" si="1"/>
        <v>0</v>
      </c>
      <c r="S17" s="101">
        <f t="shared" si="1"/>
        <v>0</v>
      </c>
      <c r="T17" s="62"/>
      <c r="U17" s="8">
        <f t="shared" si="2"/>
        <v>0</v>
      </c>
      <c r="V17" s="135">
        <f t="shared" si="3"/>
        <v>0</v>
      </c>
      <c r="W17" s="134">
        <f t="shared" si="4"/>
        <v>0</v>
      </c>
      <c r="X17" s="61"/>
      <c r="AL17" s="157"/>
      <c r="AM17" s="157"/>
      <c r="AN17" s="157"/>
      <c r="AO17" s="157"/>
      <c r="AP17" s="157"/>
      <c r="AQ17" s="157"/>
      <c r="AR17" s="157"/>
      <c r="AS17" s="157"/>
      <c r="AT17" s="157"/>
      <c r="AU17" s="157"/>
      <c r="AV17" s="157"/>
      <c r="AW17" s="157"/>
      <c r="AX17" s="157"/>
      <c r="AY17" s="157"/>
      <c r="AZ17" s="157"/>
      <c r="BA17" s="157"/>
      <c r="BB17" s="157"/>
      <c r="BC17" s="157"/>
      <c r="BD17" s="157"/>
      <c r="BE17" s="157"/>
      <c r="BF17" s="157"/>
      <c r="BG17" s="157"/>
      <c r="BH17" s="157"/>
    </row>
    <row r="18" spans="1:60" ht="19.5" thickBot="1">
      <c r="A18" s="1">
        <f t="shared" si="5"/>
        <v>11</v>
      </c>
      <c r="B18" s="15" t="s">
        <v>30</v>
      </c>
      <c r="C18" s="10">
        <v>3</v>
      </c>
      <c r="D18" s="11"/>
      <c r="E18" s="36"/>
      <c r="F18" s="36"/>
      <c r="G18" s="37"/>
      <c r="H18" s="38"/>
      <c r="I18" s="38">
        <f t="shared" si="0"/>
        <v>3</v>
      </c>
      <c r="J18" s="63">
        <f t="shared" si="0"/>
        <v>0</v>
      </c>
      <c r="K18" s="62"/>
      <c r="L18" s="36"/>
      <c r="M18" s="36"/>
      <c r="N18" s="36"/>
      <c r="O18" s="36"/>
      <c r="P18" s="36"/>
      <c r="Q18" s="99"/>
      <c r="R18" s="100">
        <f t="shared" si="1"/>
        <v>0</v>
      </c>
      <c r="S18" s="101">
        <f t="shared" si="1"/>
        <v>0</v>
      </c>
      <c r="T18" s="62"/>
      <c r="U18" s="8">
        <f t="shared" si="2"/>
        <v>0</v>
      </c>
      <c r="V18" s="135">
        <f t="shared" si="3"/>
        <v>0</v>
      </c>
      <c r="W18" s="134">
        <f t="shared" si="4"/>
        <v>72</v>
      </c>
      <c r="X18" s="61"/>
      <c r="AL18" s="157"/>
      <c r="AM18" s="157"/>
      <c r="AN18" s="157"/>
      <c r="AO18" s="157"/>
      <c r="AP18" s="157"/>
      <c r="AQ18" s="157"/>
      <c r="AR18" s="157"/>
      <c r="AS18" s="157"/>
      <c r="AT18" s="157"/>
      <c r="AU18" s="157"/>
      <c r="AV18" s="157"/>
      <c r="AW18" s="157"/>
      <c r="AX18" s="157"/>
      <c r="AY18" s="157"/>
      <c r="AZ18" s="157"/>
      <c r="BA18" s="157"/>
      <c r="BB18" s="157"/>
      <c r="BC18" s="157"/>
      <c r="BD18" s="157"/>
      <c r="BE18" s="157"/>
      <c r="BF18" s="157"/>
      <c r="BG18" s="157"/>
      <c r="BH18" s="157"/>
    </row>
    <row r="19" spans="1:60" ht="18.75" hidden="1" customHeight="1">
      <c r="A19" s="1">
        <f t="shared" si="5"/>
        <v>12</v>
      </c>
      <c r="B19" s="15" t="s">
        <v>31</v>
      </c>
      <c r="C19" s="10"/>
      <c r="D19" s="11"/>
      <c r="E19" s="36"/>
      <c r="F19" s="36"/>
      <c r="G19" s="37"/>
      <c r="H19" s="38"/>
      <c r="I19" s="38">
        <f t="shared" si="0"/>
        <v>0</v>
      </c>
      <c r="J19" s="63">
        <f t="shared" si="0"/>
        <v>0</v>
      </c>
      <c r="K19" s="62"/>
      <c r="L19" s="36"/>
      <c r="M19" s="36"/>
      <c r="N19" s="36"/>
      <c r="O19" s="36"/>
      <c r="P19" s="36"/>
      <c r="Q19" s="99"/>
      <c r="R19" s="100">
        <f t="shared" si="1"/>
        <v>0</v>
      </c>
      <c r="S19" s="101">
        <f t="shared" si="1"/>
        <v>0</v>
      </c>
      <c r="T19" s="62"/>
      <c r="U19" s="8">
        <f t="shared" si="2"/>
        <v>0</v>
      </c>
      <c r="V19" s="135">
        <f t="shared" si="3"/>
        <v>0</v>
      </c>
      <c r="W19" s="134">
        <f t="shared" si="4"/>
        <v>0</v>
      </c>
      <c r="X19" s="61"/>
      <c r="AL19" s="157"/>
      <c r="AM19" s="157"/>
      <c r="AN19" s="157"/>
      <c r="AO19" s="157"/>
      <c r="AP19" s="157"/>
      <c r="AQ19" s="157"/>
      <c r="AR19" s="157"/>
      <c r="AS19" s="157"/>
      <c r="AT19" s="157"/>
      <c r="AU19" s="157"/>
      <c r="AV19" s="157"/>
      <c r="AW19" s="157"/>
      <c r="AX19" s="157"/>
      <c r="AY19" s="157"/>
      <c r="AZ19" s="157"/>
      <c r="BA19" s="157"/>
      <c r="BB19" s="157"/>
      <c r="BC19" s="157"/>
      <c r="BD19" s="157"/>
      <c r="BE19" s="157"/>
      <c r="BF19" s="157"/>
      <c r="BG19" s="157"/>
      <c r="BH19" s="157"/>
    </row>
    <row r="20" spans="1:60" ht="19.5" thickBot="1">
      <c r="A20" s="1">
        <f t="shared" si="5"/>
        <v>13</v>
      </c>
      <c r="B20" s="15" t="s">
        <v>32</v>
      </c>
      <c r="C20" s="10">
        <v>4</v>
      </c>
      <c r="D20" s="11">
        <v>20</v>
      </c>
      <c r="E20" s="36"/>
      <c r="F20" s="36"/>
      <c r="G20" s="37"/>
      <c r="H20" s="38"/>
      <c r="I20" s="38">
        <f t="shared" si="0"/>
        <v>4</v>
      </c>
      <c r="J20" s="63">
        <f t="shared" si="0"/>
        <v>20</v>
      </c>
      <c r="K20" s="62"/>
      <c r="L20" s="36"/>
      <c r="M20" s="36"/>
      <c r="N20" s="36"/>
      <c r="O20" s="36"/>
      <c r="P20" s="36"/>
      <c r="Q20" s="99"/>
      <c r="R20" s="100">
        <f t="shared" si="1"/>
        <v>0</v>
      </c>
      <c r="S20" s="101">
        <f t="shared" si="1"/>
        <v>0</v>
      </c>
      <c r="T20" s="62"/>
      <c r="U20" s="8">
        <f t="shared" si="2"/>
        <v>0</v>
      </c>
      <c r="V20" s="135">
        <f t="shared" si="3"/>
        <v>0</v>
      </c>
      <c r="W20" s="134">
        <f t="shared" si="4"/>
        <v>116</v>
      </c>
      <c r="X20" s="61"/>
      <c r="AL20" s="157"/>
      <c r="AM20" s="157"/>
      <c r="AN20" s="157"/>
      <c r="AO20" s="157"/>
      <c r="AP20" s="157"/>
      <c r="AQ20" s="157"/>
      <c r="AR20" s="157"/>
      <c r="AS20" s="157"/>
      <c r="AT20" s="157"/>
      <c r="AU20" s="157"/>
      <c r="AV20" s="157"/>
      <c r="AW20" s="157"/>
      <c r="AX20" s="157"/>
      <c r="AY20" s="157"/>
      <c r="AZ20" s="157"/>
      <c r="BA20" s="157"/>
      <c r="BB20" s="157"/>
      <c r="BC20" s="157"/>
      <c r="BD20" s="157"/>
      <c r="BE20" s="157"/>
      <c r="BF20" s="157"/>
      <c r="BG20" s="157"/>
      <c r="BH20" s="157"/>
    </row>
    <row r="21" spans="1:60" ht="19.5" thickBot="1">
      <c r="A21" s="1">
        <f t="shared" si="5"/>
        <v>14</v>
      </c>
      <c r="B21" s="15" t="s">
        <v>33</v>
      </c>
      <c r="C21" s="10">
        <v>7</v>
      </c>
      <c r="D21" s="11">
        <v>16</v>
      </c>
      <c r="E21" s="36"/>
      <c r="F21" s="36"/>
      <c r="G21" s="37"/>
      <c r="H21" s="38"/>
      <c r="I21" s="38">
        <f t="shared" si="0"/>
        <v>7</v>
      </c>
      <c r="J21" s="63">
        <f t="shared" si="0"/>
        <v>16</v>
      </c>
      <c r="K21" s="62"/>
      <c r="L21" s="36"/>
      <c r="M21" s="36"/>
      <c r="N21" s="36"/>
      <c r="O21" s="36"/>
      <c r="P21" s="36"/>
      <c r="Q21" s="99"/>
      <c r="R21" s="100">
        <f t="shared" si="1"/>
        <v>0</v>
      </c>
      <c r="S21" s="101">
        <f t="shared" si="1"/>
        <v>0</v>
      </c>
      <c r="T21" s="62"/>
      <c r="U21" s="8">
        <f t="shared" si="2"/>
        <v>0</v>
      </c>
      <c r="V21" s="135">
        <f t="shared" si="3"/>
        <v>0</v>
      </c>
      <c r="W21" s="134">
        <f t="shared" si="4"/>
        <v>184</v>
      </c>
      <c r="X21" s="61"/>
      <c r="AL21" s="157"/>
      <c r="AM21" s="157"/>
      <c r="AN21" s="157"/>
      <c r="AO21" s="157"/>
      <c r="AP21" s="157"/>
      <c r="AQ21" s="157"/>
      <c r="AR21" s="157"/>
      <c r="AS21" s="157"/>
      <c r="AT21" s="157"/>
      <c r="AU21" s="157"/>
      <c r="AV21" s="157"/>
      <c r="AW21" s="157"/>
      <c r="AX21" s="157"/>
      <c r="AY21" s="157"/>
      <c r="AZ21" s="157"/>
      <c r="BA21" s="157"/>
      <c r="BB21" s="157"/>
      <c r="BC21" s="157"/>
      <c r="BD21" s="157"/>
      <c r="BE21" s="157"/>
      <c r="BF21" s="157"/>
      <c r="BG21" s="157"/>
      <c r="BH21" s="157"/>
    </row>
    <row r="22" spans="1:60" ht="19.5" thickBot="1">
      <c r="A22" s="1">
        <f t="shared" si="5"/>
        <v>15</v>
      </c>
      <c r="B22" s="15" t="s">
        <v>34</v>
      </c>
      <c r="C22" s="10">
        <v>4</v>
      </c>
      <c r="D22" s="11"/>
      <c r="E22" s="36"/>
      <c r="F22" s="36"/>
      <c r="G22" s="37"/>
      <c r="H22" s="38"/>
      <c r="I22" s="38">
        <f t="shared" si="0"/>
        <v>4</v>
      </c>
      <c r="J22" s="63">
        <f t="shared" si="0"/>
        <v>0</v>
      </c>
      <c r="K22" s="62"/>
      <c r="L22" s="36"/>
      <c r="M22" s="36"/>
      <c r="N22" s="36"/>
      <c r="O22" s="36"/>
      <c r="P22" s="36"/>
      <c r="Q22" s="99"/>
      <c r="R22" s="100">
        <f t="shared" si="1"/>
        <v>0</v>
      </c>
      <c r="S22" s="101">
        <f t="shared" si="1"/>
        <v>0</v>
      </c>
      <c r="T22" s="62"/>
      <c r="U22" s="8">
        <f t="shared" si="2"/>
        <v>0</v>
      </c>
      <c r="V22" s="135">
        <f t="shared" si="3"/>
        <v>0</v>
      </c>
      <c r="W22" s="134">
        <f t="shared" si="4"/>
        <v>96</v>
      </c>
      <c r="X22" s="61"/>
      <c r="AL22" s="157"/>
      <c r="AM22" s="157"/>
      <c r="AN22" s="157"/>
      <c r="AO22" s="157"/>
      <c r="AP22" s="157"/>
      <c r="AQ22" s="157"/>
      <c r="AR22" s="157"/>
      <c r="AS22" s="157"/>
      <c r="AT22" s="157"/>
      <c r="AU22" s="157"/>
      <c r="AV22" s="157"/>
      <c r="AW22" s="157"/>
      <c r="AX22" s="157"/>
      <c r="AY22" s="157"/>
      <c r="AZ22" s="157"/>
      <c r="BA22" s="157"/>
      <c r="BB22" s="157"/>
      <c r="BC22" s="157"/>
      <c r="BD22" s="157"/>
      <c r="BE22" s="157"/>
      <c r="BF22" s="157"/>
      <c r="BG22" s="157"/>
      <c r="BH22" s="157"/>
    </row>
    <row r="23" spans="1:60" s="2" customFormat="1" ht="19.5" thickBot="1">
      <c r="A23" s="1">
        <f t="shared" si="5"/>
        <v>16</v>
      </c>
      <c r="B23" s="15" t="s">
        <v>35</v>
      </c>
      <c r="C23" s="10">
        <v>1</v>
      </c>
      <c r="D23" s="11">
        <v>20</v>
      </c>
      <c r="E23" s="36"/>
      <c r="F23" s="36"/>
      <c r="G23" s="37"/>
      <c r="H23" s="38"/>
      <c r="I23" s="38">
        <f t="shared" si="0"/>
        <v>1</v>
      </c>
      <c r="J23" s="63">
        <f t="shared" si="0"/>
        <v>20</v>
      </c>
      <c r="K23" s="69"/>
      <c r="L23" s="36"/>
      <c r="M23" s="36"/>
      <c r="N23" s="36"/>
      <c r="O23" s="36"/>
      <c r="P23" s="36"/>
      <c r="Q23" s="99"/>
      <c r="R23" s="100">
        <f t="shared" si="1"/>
        <v>0</v>
      </c>
      <c r="S23" s="101">
        <f t="shared" si="1"/>
        <v>0</v>
      </c>
      <c r="T23" s="69"/>
      <c r="U23" s="8">
        <f t="shared" si="2"/>
        <v>0</v>
      </c>
      <c r="V23" s="135">
        <f t="shared" si="3"/>
        <v>0</v>
      </c>
      <c r="W23" s="134">
        <f t="shared" si="4"/>
        <v>44</v>
      </c>
      <c r="X23" s="61"/>
      <c r="Y23" s="3"/>
      <c r="AD23" s="3"/>
      <c r="AG23" s="3"/>
      <c r="AH23" s="3"/>
      <c r="AI23" s="3"/>
      <c r="AJ23" s="3"/>
      <c r="AK23" s="3"/>
      <c r="AL23" s="157"/>
      <c r="AM23" s="157"/>
      <c r="AN23" s="157"/>
      <c r="AO23" s="157"/>
      <c r="AP23" s="157"/>
      <c r="AQ23" s="157"/>
      <c r="AR23" s="157"/>
      <c r="AS23" s="157"/>
      <c r="AT23" s="157"/>
      <c r="AU23" s="157"/>
      <c r="AV23" s="157"/>
      <c r="AW23" s="157"/>
      <c r="AX23" s="157"/>
      <c r="AY23" s="157"/>
      <c r="AZ23" s="157"/>
      <c r="BA23" s="157"/>
      <c r="BB23" s="157"/>
      <c r="BC23" s="157"/>
      <c r="BD23" s="157"/>
      <c r="BE23" s="157"/>
      <c r="BF23" s="157"/>
      <c r="BG23" s="157"/>
      <c r="BH23" s="157"/>
    </row>
    <row r="24" spans="1:60" s="2" customFormat="1" ht="19.5" thickBot="1">
      <c r="A24" s="1">
        <f t="shared" si="5"/>
        <v>17</v>
      </c>
      <c r="B24" s="15" t="s">
        <v>36</v>
      </c>
      <c r="C24" s="10">
        <v>37</v>
      </c>
      <c r="D24" s="11">
        <v>19</v>
      </c>
      <c r="E24" s="36"/>
      <c r="F24" s="36"/>
      <c r="G24" s="37"/>
      <c r="H24" s="38"/>
      <c r="I24" s="38">
        <f t="shared" si="0"/>
        <v>37</v>
      </c>
      <c r="J24" s="63">
        <f t="shared" si="0"/>
        <v>19</v>
      </c>
      <c r="K24" s="69"/>
      <c r="L24" s="36"/>
      <c r="M24" s="36"/>
      <c r="N24" s="36"/>
      <c r="O24" s="36"/>
      <c r="P24" s="36"/>
      <c r="Q24" s="99"/>
      <c r="R24" s="100">
        <f t="shared" si="1"/>
        <v>0</v>
      </c>
      <c r="S24" s="101">
        <f t="shared" si="1"/>
        <v>0</v>
      </c>
      <c r="T24" s="69"/>
      <c r="U24" s="8">
        <f t="shared" si="2"/>
        <v>0</v>
      </c>
      <c r="V24" s="135">
        <f t="shared" si="3"/>
        <v>0</v>
      </c>
      <c r="W24" s="134">
        <f t="shared" si="4"/>
        <v>907</v>
      </c>
      <c r="X24" s="61"/>
      <c r="Y24" s="3"/>
      <c r="AD24" s="3"/>
      <c r="AG24" s="3"/>
      <c r="AH24" s="3"/>
      <c r="AI24" s="3"/>
      <c r="AJ24" s="3"/>
      <c r="AK24" s="3"/>
      <c r="AL24" s="157"/>
      <c r="AM24" s="157"/>
      <c r="AN24" s="157"/>
      <c r="AO24" s="157"/>
      <c r="AP24" s="157"/>
      <c r="AQ24" s="157"/>
      <c r="AR24" s="157"/>
      <c r="AS24" s="157"/>
      <c r="AT24" s="157"/>
      <c r="AU24" s="157"/>
      <c r="AV24" s="157"/>
      <c r="AW24" s="157"/>
      <c r="AX24" s="157"/>
      <c r="AY24" s="157"/>
      <c r="AZ24" s="157"/>
      <c r="BA24" s="157"/>
      <c r="BB24" s="157"/>
      <c r="BC24" s="157"/>
      <c r="BD24" s="157"/>
      <c r="BE24" s="157"/>
      <c r="BF24" s="157"/>
      <c r="BG24" s="157"/>
      <c r="BH24" s="157"/>
    </row>
    <row r="25" spans="1:60" ht="19.5" thickBot="1">
      <c r="A25" s="1">
        <f t="shared" si="5"/>
        <v>18</v>
      </c>
      <c r="B25" s="15" t="s">
        <v>37</v>
      </c>
      <c r="C25" s="10">
        <v>10</v>
      </c>
      <c r="D25" s="11"/>
      <c r="E25" s="36"/>
      <c r="F25" s="36"/>
      <c r="G25" s="37"/>
      <c r="H25" s="38"/>
      <c r="I25" s="38">
        <f t="shared" si="0"/>
        <v>10</v>
      </c>
      <c r="J25" s="63">
        <f t="shared" si="0"/>
        <v>0</v>
      </c>
      <c r="K25" s="62"/>
      <c r="L25" s="36"/>
      <c r="M25" s="36"/>
      <c r="N25" s="36"/>
      <c r="O25" s="36"/>
      <c r="P25" s="36"/>
      <c r="Q25" s="99"/>
      <c r="R25" s="100">
        <f t="shared" si="1"/>
        <v>0</v>
      </c>
      <c r="S25" s="101">
        <f t="shared" si="1"/>
        <v>0</v>
      </c>
      <c r="T25" s="62"/>
      <c r="U25" s="8">
        <f t="shared" si="2"/>
        <v>0</v>
      </c>
      <c r="V25" s="135">
        <f t="shared" si="3"/>
        <v>0</v>
      </c>
      <c r="W25" s="134">
        <f t="shared" si="4"/>
        <v>240</v>
      </c>
      <c r="X25" s="61"/>
      <c r="AL25" s="157"/>
      <c r="AM25" s="157"/>
      <c r="AN25" s="157"/>
      <c r="AO25" s="157"/>
      <c r="AP25" s="157"/>
      <c r="AQ25" s="157"/>
      <c r="AR25" s="157"/>
      <c r="AS25" s="157"/>
      <c r="AT25" s="157"/>
      <c r="AU25" s="157"/>
      <c r="AV25" s="157"/>
      <c r="AW25" s="157"/>
      <c r="AX25" s="157"/>
      <c r="AY25" s="157"/>
      <c r="AZ25" s="157"/>
      <c r="BA25" s="157"/>
      <c r="BB25" s="157"/>
      <c r="BC25" s="157"/>
      <c r="BD25" s="157"/>
      <c r="BE25" s="157"/>
      <c r="BF25" s="157"/>
      <c r="BG25" s="157"/>
      <c r="BH25" s="157"/>
    </row>
    <row r="26" spans="1:60" ht="19.5" thickBot="1">
      <c r="A26" s="1">
        <f t="shared" si="5"/>
        <v>19</v>
      </c>
      <c r="B26" s="15" t="s">
        <v>38</v>
      </c>
      <c r="C26" s="10">
        <v>106</v>
      </c>
      <c r="D26" s="11">
        <v>1</v>
      </c>
      <c r="E26" s="36"/>
      <c r="F26" s="36"/>
      <c r="G26" s="37">
        <v>1</v>
      </c>
      <c r="H26" s="38"/>
      <c r="I26" s="38">
        <f t="shared" si="0"/>
        <v>105</v>
      </c>
      <c r="J26" s="63">
        <f t="shared" si="0"/>
        <v>1</v>
      </c>
      <c r="K26" s="62"/>
      <c r="L26" s="36"/>
      <c r="M26" s="36"/>
      <c r="N26" s="36"/>
      <c r="O26" s="36"/>
      <c r="P26" s="36">
        <v>1</v>
      </c>
      <c r="Q26" s="99"/>
      <c r="R26" s="100">
        <f t="shared" si="1"/>
        <v>1</v>
      </c>
      <c r="S26" s="101">
        <f t="shared" si="1"/>
        <v>0</v>
      </c>
      <c r="T26" s="62"/>
      <c r="U26" s="8">
        <f t="shared" si="2"/>
        <v>24</v>
      </c>
      <c r="V26" s="135">
        <f t="shared" si="3"/>
        <v>1</v>
      </c>
      <c r="W26" s="134">
        <f t="shared" si="4"/>
        <v>2521</v>
      </c>
      <c r="X26" s="61"/>
      <c r="BE26" s="158" t="e">
        <f>#REF!-BE25</f>
        <v>#REF!</v>
      </c>
    </row>
    <row r="27" spans="1:60" s="2" customFormat="1" ht="19.5" thickBot="1">
      <c r="A27" s="1">
        <f t="shared" si="5"/>
        <v>20</v>
      </c>
      <c r="B27" s="15" t="s">
        <v>39</v>
      </c>
      <c r="C27" s="10"/>
      <c r="D27" s="11"/>
      <c r="E27" s="36"/>
      <c r="F27" s="36"/>
      <c r="G27" s="37"/>
      <c r="H27" s="38"/>
      <c r="I27" s="38">
        <f t="shared" si="0"/>
        <v>0</v>
      </c>
      <c r="J27" s="63">
        <f t="shared" si="0"/>
        <v>0</v>
      </c>
      <c r="K27" s="69"/>
      <c r="L27" s="36"/>
      <c r="M27" s="36"/>
      <c r="N27" s="36"/>
      <c r="O27" s="36"/>
      <c r="P27" s="36"/>
      <c r="Q27" s="99"/>
      <c r="R27" s="100">
        <f t="shared" si="1"/>
        <v>0</v>
      </c>
      <c r="S27" s="101">
        <f t="shared" si="1"/>
        <v>0</v>
      </c>
      <c r="T27" s="69"/>
      <c r="U27" s="8">
        <f t="shared" si="2"/>
        <v>0</v>
      </c>
      <c r="V27" s="135">
        <f t="shared" si="3"/>
        <v>0</v>
      </c>
      <c r="W27" s="134">
        <f t="shared" si="4"/>
        <v>0</v>
      </c>
      <c r="X27" s="61"/>
      <c r="Y27" s="3"/>
      <c r="AD27" s="3"/>
      <c r="AG27" s="3"/>
      <c r="AH27" s="3"/>
      <c r="AI27" s="3"/>
      <c r="AJ27" s="3"/>
      <c r="AK27" s="3"/>
    </row>
    <row r="28" spans="1:60" s="2" customFormat="1" ht="19.5" thickBot="1">
      <c r="A28" s="1">
        <f t="shared" si="5"/>
        <v>21</v>
      </c>
      <c r="B28" s="15" t="s">
        <v>40</v>
      </c>
      <c r="C28" s="10">
        <v>2</v>
      </c>
      <c r="D28" s="11"/>
      <c r="E28" s="36"/>
      <c r="F28" s="36"/>
      <c r="G28" s="37"/>
      <c r="H28" s="38"/>
      <c r="I28" s="38">
        <f t="shared" si="0"/>
        <v>2</v>
      </c>
      <c r="J28" s="63">
        <f t="shared" si="0"/>
        <v>0</v>
      </c>
      <c r="K28" s="69"/>
      <c r="L28" s="36"/>
      <c r="M28" s="36"/>
      <c r="N28" s="36"/>
      <c r="O28" s="36"/>
      <c r="P28" s="36"/>
      <c r="Q28" s="99"/>
      <c r="R28" s="100">
        <f t="shared" si="1"/>
        <v>0</v>
      </c>
      <c r="S28" s="101">
        <f t="shared" si="1"/>
        <v>0</v>
      </c>
      <c r="T28" s="69"/>
      <c r="U28" s="8">
        <f t="shared" si="2"/>
        <v>0</v>
      </c>
      <c r="V28" s="135">
        <f t="shared" si="3"/>
        <v>0</v>
      </c>
      <c r="W28" s="134">
        <f t="shared" si="4"/>
        <v>48</v>
      </c>
      <c r="X28" s="61"/>
      <c r="Y28" s="3"/>
      <c r="AD28" s="3"/>
      <c r="AG28" s="3"/>
      <c r="AH28" s="3"/>
      <c r="AI28" s="3"/>
      <c r="AJ28" s="3"/>
      <c r="AK28" s="3"/>
    </row>
    <row r="29" spans="1:60" s="2" customFormat="1" ht="19.5" thickBot="1">
      <c r="A29" s="1">
        <f t="shared" si="5"/>
        <v>22</v>
      </c>
      <c r="B29" s="15" t="s">
        <v>41</v>
      </c>
      <c r="C29" s="10">
        <v>31</v>
      </c>
      <c r="D29" s="11"/>
      <c r="E29" s="36"/>
      <c r="F29" s="36"/>
      <c r="G29" s="37">
        <v>7</v>
      </c>
      <c r="H29" s="38"/>
      <c r="I29" s="38">
        <f t="shared" si="0"/>
        <v>24</v>
      </c>
      <c r="J29" s="63">
        <f t="shared" si="0"/>
        <v>0</v>
      </c>
      <c r="K29" s="69"/>
      <c r="L29" s="36">
        <v>3</v>
      </c>
      <c r="M29" s="36"/>
      <c r="N29" s="36">
        <v>1</v>
      </c>
      <c r="O29" s="36"/>
      <c r="P29" s="36">
        <v>3</v>
      </c>
      <c r="Q29" s="99"/>
      <c r="R29" s="100">
        <f t="shared" si="1"/>
        <v>7</v>
      </c>
      <c r="S29" s="101">
        <f t="shared" si="1"/>
        <v>0</v>
      </c>
      <c r="T29" s="69"/>
      <c r="U29" s="8">
        <f t="shared" si="2"/>
        <v>168</v>
      </c>
      <c r="V29" s="135">
        <f t="shared" si="3"/>
        <v>7</v>
      </c>
      <c r="W29" s="134">
        <f t="shared" si="4"/>
        <v>576</v>
      </c>
      <c r="X29" s="61"/>
      <c r="Y29" s="3"/>
      <c r="AD29" s="3"/>
      <c r="AG29" s="3"/>
      <c r="AH29" s="3"/>
      <c r="AI29" s="3"/>
      <c r="AJ29" s="3"/>
      <c r="AK29" s="3"/>
    </row>
    <row r="30" spans="1:60" ht="19.5" thickBot="1">
      <c r="A30" s="1">
        <f t="shared" si="5"/>
        <v>23</v>
      </c>
      <c r="B30" s="15" t="s">
        <v>42</v>
      </c>
      <c r="C30" s="10"/>
      <c r="D30" s="11">
        <v>5</v>
      </c>
      <c r="E30" s="36"/>
      <c r="F30" s="36"/>
      <c r="G30" s="37"/>
      <c r="H30" s="38"/>
      <c r="I30" s="38">
        <f t="shared" si="0"/>
        <v>0</v>
      </c>
      <c r="J30" s="63">
        <f t="shared" si="0"/>
        <v>5</v>
      </c>
      <c r="K30" s="62"/>
      <c r="L30" s="36"/>
      <c r="M30" s="36"/>
      <c r="N30" s="36"/>
      <c r="O30" s="36"/>
      <c r="P30" s="36"/>
      <c r="Q30" s="99"/>
      <c r="R30" s="100">
        <f t="shared" si="1"/>
        <v>0</v>
      </c>
      <c r="S30" s="101">
        <f t="shared" si="1"/>
        <v>0</v>
      </c>
      <c r="T30" s="62"/>
      <c r="U30" s="8">
        <f t="shared" si="2"/>
        <v>0</v>
      </c>
      <c r="V30" s="135">
        <f t="shared" si="3"/>
        <v>0</v>
      </c>
      <c r="W30" s="134">
        <f t="shared" si="4"/>
        <v>5</v>
      </c>
      <c r="X30" s="61"/>
    </row>
    <row r="31" spans="1:60" ht="19.5" thickBot="1">
      <c r="A31" s="1">
        <f t="shared" si="5"/>
        <v>24</v>
      </c>
      <c r="B31" s="15" t="s">
        <v>43</v>
      </c>
      <c r="C31" s="10">
        <v>3</v>
      </c>
      <c r="D31" s="11"/>
      <c r="E31" s="36"/>
      <c r="F31" s="36"/>
      <c r="G31" s="37">
        <v>1</v>
      </c>
      <c r="H31" s="38"/>
      <c r="I31" s="38">
        <f t="shared" si="0"/>
        <v>2</v>
      </c>
      <c r="J31" s="63">
        <f t="shared" si="0"/>
        <v>0</v>
      </c>
      <c r="K31" s="62"/>
      <c r="L31" s="36"/>
      <c r="M31" s="36"/>
      <c r="N31" s="36"/>
      <c r="O31" s="36"/>
      <c r="P31" s="36">
        <v>1</v>
      </c>
      <c r="Q31" s="99"/>
      <c r="R31" s="100">
        <f t="shared" si="1"/>
        <v>1</v>
      </c>
      <c r="S31" s="101">
        <f t="shared" si="1"/>
        <v>0</v>
      </c>
      <c r="T31" s="62"/>
      <c r="U31" s="8">
        <f t="shared" si="2"/>
        <v>24</v>
      </c>
      <c r="V31" s="135">
        <f t="shared" si="3"/>
        <v>1</v>
      </c>
      <c r="W31" s="134">
        <f t="shared" si="4"/>
        <v>48</v>
      </c>
      <c r="X31" s="61"/>
    </row>
    <row r="32" spans="1:60" ht="19.5" thickBot="1">
      <c r="A32" s="1">
        <f t="shared" si="5"/>
        <v>25</v>
      </c>
      <c r="B32" s="15" t="s">
        <v>44</v>
      </c>
      <c r="C32" s="10"/>
      <c r="D32" s="11"/>
      <c r="E32" s="36"/>
      <c r="F32" s="36"/>
      <c r="G32" s="37"/>
      <c r="H32" s="38"/>
      <c r="I32" s="38">
        <f t="shared" si="0"/>
        <v>0</v>
      </c>
      <c r="J32" s="63">
        <f t="shared" si="0"/>
        <v>0</v>
      </c>
      <c r="K32" s="62"/>
      <c r="L32" s="36"/>
      <c r="M32" s="36"/>
      <c r="N32" s="36"/>
      <c r="O32" s="36"/>
      <c r="P32" s="36"/>
      <c r="Q32" s="99"/>
      <c r="R32" s="100">
        <f t="shared" si="1"/>
        <v>0</v>
      </c>
      <c r="S32" s="101">
        <f t="shared" si="1"/>
        <v>0</v>
      </c>
      <c r="T32" s="62"/>
      <c r="U32" s="8">
        <f t="shared" si="2"/>
        <v>0</v>
      </c>
      <c r="V32" s="135">
        <f t="shared" si="3"/>
        <v>0</v>
      </c>
      <c r="W32" s="134">
        <f t="shared" si="4"/>
        <v>0</v>
      </c>
      <c r="X32" s="61"/>
    </row>
    <row r="33" spans="1:26" ht="19.5" thickBot="1">
      <c r="A33" s="1">
        <f t="shared" si="5"/>
        <v>26</v>
      </c>
      <c r="B33" s="15" t="s">
        <v>45</v>
      </c>
      <c r="C33" s="10">
        <v>3</v>
      </c>
      <c r="D33" s="11"/>
      <c r="E33" s="36"/>
      <c r="F33" s="36"/>
      <c r="G33" s="37"/>
      <c r="H33" s="38"/>
      <c r="I33" s="38">
        <f t="shared" si="0"/>
        <v>3</v>
      </c>
      <c r="J33" s="63">
        <f t="shared" si="0"/>
        <v>0</v>
      </c>
      <c r="K33" s="62"/>
      <c r="L33" s="36"/>
      <c r="M33" s="36"/>
      <c r="N33" s="36"/>
      <c r="O33" s="36"/>
      <c r="P33" s="36"/>
      <c r="Q33" s="99"/>
      <c r="R33" s="100">
        <f t="shared" si="1"/>
        <v>0</v>
      </c>
      <c r="S33" s="101">
        <f t="shared" si="1"/>
        <v>0</v>
      </c>
      <c r="T33" s="62"/>
      <c r="U33" s="8">
        <f t="shared" si="2"/>
        <v>0</v>
      </c>
      <c r="V33" s="135">
        <f t="shared" si="3"/>
        <v>0</v>
      </c>
      <c r="W33" s="134">
        <f t="shared" si="4"/>
        <v>72</v>
      </c>
      <c r="X33" s="61"/>
    </row>
    <row r="34" spans="1:26" ht="19.5" thickBot="1">
      <c r="A34" s="1">
        <f t="shared" si="5"/>
        <v>27</v>
      </c>
      <c r="B34" s="15" t="s">
        <v>46</v>
      </c>
      <c r="C34" s="10">
        <v>4</v>
      </c>
      <c r="D34" s="11"/>
      <c r="E34" s="36"/>
      <c r="F34" s="36"/>
      <c r="G34" s="37"/>
      <c r="H34" s="38"/>
      <c r="I34" s="38">
        <f t="shared" si="0"/>
        <v>4</v>
      </c>
      <c r="J34" s="63">
        <f t="shared" si="0"/>
        <v>0</v>
      </c>
      <c r="K34" s="62"/>
      <c r="L34" s="36"/>
      <c r="M34" s="36"/>
      <c r="N34" s="36"/>
      <c r="O34" s="36"/>
      <c r="P34" s="36"/>
      <c r="Q34" s="99"/>
      <c r="R34" s="100">
        <f t="shared" si="1"/>
        <v>0</v>
      </c>
      <c r="S34" s="101">
        <f t="shared" si="1"/>
        <v>0</v>
      </c>
      <c r="T34" s="62"/>
      <c r="U34" s="8">
        <f t="shared" si="2"/>
        <v>0</v>
      </c>
      <c r="V34" s="135">
        <f t="shared" si="3"/>
        <v>0</v>
      </c>
      <c r="W34" s="134">
        <f t="shared" si="4"/>
        <v>96</v>
      </c>
      <c r="X34" s="61"/>
    </row>
    <row r="35" spans="1:26" ht="19.5" thickBot="1">
      <c r="A35" s="1">
        <f t="shared" si="5"/>
        <v>28</v>
      </c>
      <c r="B35" s="15" t="s">
        <v>47</v>
      </c>
      <c r="C35" s="10">
        <v>61</v>
      </c>
      <c r="D35" s="11">
        <v>13</v>
      </c>
      <c r="E35" s="36"/>
      <c r="F35" s="36"/>
      <c r="G35" s="37"/>
      <c r="H35" s="38"/>
      <c r="I35" s="38">
        <f t="shared" si="0"/>
        <v>61</v>
      </c>
      <c r="J35" s="63">
        <f t="shared" si="0"/>
        <v>13</v>
      </c>
      <c r="K35" s="62"/>
      <c r="L35" s="36"/>
      <c r="M35" s="36"/>
      <c r="N35" s="36"/>
      <c r="O35" s="36"/>
      <c r="P35" s="36"/>
      <c r="Q35" s="99"/>
      <c r="R35" s="100">
        <f t="shared" si="1"/>
        <v>0</v>
      </c>
      <c r="S35" s="101">
        <f t="shared" si="1"/>
        <v>0</v>
      </c>
      <c r="T35" s="62"/>
      <c r="U35" s="8">
        <f t="shared" si="2"/>
        <v>0</v>
      </c>
      <c r="V35" s="135">
        <f t="shared" si="3"/>
        <v>0</v>
      </c>
      <c r="W35" s="134">
        <f t="shared" si="4"/>
        <v>1477</v>
      </c>
      <c r="X35" s="61"/>
    </row>
    <row r="36" spans="1:26" ht="18.75" hidden="1" customHeight="1">
      <c r="A36" s="1">
        <f t="shared" si="5"/>
        <v>29</v>
      </c>
      <c r="B36" s="15" t="s">
        <v>48</v>
      </c>
      <c r="C36" s="10"/>
      <c r="D36" s="11"/>
      <c r="E36" s="36"/>
      <c r="F36" s="36"/>
      <c r="G36" s="37"/>
      <c r="H36" s="38"/>
      <c r="I36" s="38">
        <f t="shared" si="0"/>
        <v>0</v>
      </c>
      <c r="J36" s="63">
        <f t="shared" si="0"/>
        <v>0</v>
      </c>
      <c r="K36" s="62"/>
      <c r="L36" s="36"/>
      <c r="M36" s="36"/>
      <c r="N36" s="36"/>
      <c r="O36" s="36"/>
      <c r="P36" s="36"/>
      <c r="Q36" s="99"/>
      <c r="R36" s="100">
        <f t="shared" si="1"/>
        <v>0</v>
      </c>
      <c r="S36" s="101">
        <f t="shared" si="1"/>
        <v>0</v>
      </c>
      <c r="T36" s="62"/>
      <c r="U36" s="8">
        <f t="shared" si="2"/>
        <v>0</v>
      </c>
      <c r="V36" s="135">
        <f t="shared" si="3"/>
        <v>0</v>
      </c>
      <c r="W36" s="134">
        <f t="shared" si="4"/>
        <v>0</v>
      </c>
      <c r="X36" s="61"/>
    </row>
    <row r="37" spans="1:26" ht="18.75" customHeight="1" thickBot="1">
      <c r="A37" s="1">
        <f t="shared" si="5"/>
        <v>30</v>
      </c>
      <c r="B37" s="15" t="s">
        <v>49</v>
      </c>
      <c r="C37" s="10">
        <v>1</v>
      </c>
      <c r="D37" s="11"/>
      <c r="E37" s="36"/>
      <c r="F37" s="36"/>
      <c r="G37" s="37"/>
      <c r="H37" s="38"/>
      <c r="I37" s="38">
        <f t="shared" si="0"/>
        <v>1</v>
      </c>
      <c r="J37" s="63">
        <f t="shared" si="0"/>
        <v>0</v>
      </c>
      <c r="K37" s="62"/>
      <c r="L37" s="36"/>
      <c r="M37" s="36"/>
      <c r="N37" s="36"/>
      <c r="O37" s="36"/>
      <c r="P37" s="36"/>
      <c r="Q37" s="99"/>
      <c r="R37" s="100">
        <f t="shared" si="1"/>
        <v>0</v>
      </c>
      <c r="S37" s="101">
        <f t="shared" si="1"/>
        <v>0</v>
      </c>
      <c r="T37" s="62"/>
      <c r="U37" s="8">
        <f t="shared" si="2"/>
        <v>0</v>
      </c>
      <c r="V37" s="135">
        <f t="shared" si="3"/>
        <v>0</v>
      </c>
      <c r="W37" s="134">
        <f t="shared" si="4"/>
        <v>24</v>
      </c>
      <c r="X37" s="61"/>
    </row>
    <row r="38" spans="1:26" ht="19.5" thickBot="1">
      <c r="A38" s="1">
        <f t="shared" si="5"/>
        <v>31</v>
      </c>
      <c r="B38" s="16" t="s">
        <v>50</v>
      </c>
      <c r="C38" s="13">
        <v>5080</v>
      </c>
      <c r="D38" s="14">
        <v>2</v>
      </c>
      <c r="E38" s="39"/>
      <c r="F38" s="39"/>
      <c r="G38" s="40">
        <v>152</v>
      </c>
      <c r="H38" s="41"/>
      <c r="I38" s="53">
        <f t="shared" si="0"/>
        <v>4928</v>
      </c>
      <c r="J38" s="70">
        <f t="shared" si="0"/>
        <v>2</v>
      </c>
      <c r="K38" s="65"/>
      <c r="L38" s="51">
        <v>40</v>
      </c>
      <c r="M38" s="51"/>
      <c r="N38" s="51">
        <v>19</v>
      </c>
      <c r="O38" s="51"/>
      <c r="P38" s="51">
        <v>93</v>
      </c>
      <c r="Q38" s="102"/>
      <c r="R38" s="107">
        <f t="shared" si="1"/>
        <v>152</v>
      </c>
      <c r="S38" s="104">
        <f t="shared" si="1"/>
        <v>0</v>
      </c>
      <c r="T38" s="65"/>
      <c r="U38" s="136">
        <f>L38*6+N38*6+P38*6</f>
        <v>912</v>
      </c>
      <c r="V38" s="141">
        <f>U38/6</f>
        <v>152</v>
      </c>
      <c r="W38" s="138">
        <f>I38*6+J38</f>
        <v>29570</v>
      </c>
      <c r="X38" s="139"/>
    </row>
    <row r="39" spans="1:26" ht="19.5" thickBot="1">
      <c r="A39" s="1">
        <f t="shared" si="5"/>
        <v>32</v>
      </c>
      <c r="B39" s="7" t="s">
        <v>51</v>
      </c>
      <c r="C39" s="10">
        <v>1</v>
      </c>
      <c r="D39" s="11"/>
      <c r="E39" s="36"/>
      <c r="F39" s="36"/>
      <c r="G39" s="37"/>
      <c r="H39" s="38"/>
      <c r="I39" s="37">
        <f t="shared" si="0"/>
        <v>1</v>
      </c>
      <c r="J39" s="63">
        <f t="shared" si="0"/>
        <v>0</v>
      </c>
      <c r="K39" s="62"/>
      <c r="L39" s="36"/>
      <c r="M39" s="36"/>
      <c r="N39" s="36"/>
      <c r="O39" s="36"/>
      <c r="P39" s="36"/>
      <c r="Q39" s="99"/>
      <c r="R39" s="108">
        <f t="shared" si="1"/>
        <v>0</v>
      </c>
      <c r="S39" s="106">
        <f t="shared" si="1"/>
        <v>0</v>
      </c>
      <c r="T39" s="62"/>
      <c r="U39" s="8">
        <f t="shared" ref="U39:U41" si="6">L39*24+N39*24+P39*24</f>
        <v>0</v>
      </c>
      <c r="V39" s="33">
        <f t="shared" ref="V39:V41" si="7">U39/24</f>
        <v>0</v>
      </c>
      <c r="W39" s="134">
        <f t="shared" ref="W39:W41" si="8">I39*24+J39</f>
        <v>24</v>
      </c>
      <c r="X39" s="61"/>
    </row>
    <row r="40" spans="1:26" ht="19.5" thickBot="1">
      <c r="A40" s="1">
        <f t="shared" si="5"/>
        <v>33</v>
      </c>
      <c r="B40" s="17" t="s">
        <v>52</v>
      </c>
      <c r="C40" s="18">
        <v>2</v>
      </c>
      <c r="D40" s="19"/>
      <c r="E40" s="42"/>
      <c r="F40" s="42"/>
      <c r="G40" s="43"/>
      <c r="H40" s="44"/>
      <c r="I40" s="38">
        <f t="shared" si="0"/>
        <v>2</v>
      </c>
      <c r="J40" s="63">
        <f t="shared" si="0"/>
        <v>0</v>
      </c>
      <c r="K40" s="62"/>
      <c r="L40" s="36"/>
      <c r="M40" s="36"/>
      <c r="N40" s="36"/>
      <c r="O40" s="36"/>
      <c r="P40" s="36"/>
      <c r="Q40" s="99"/>
      <c r="R40" s="100">
        <f t="shared" si="1"/>
        <v>0</v>
      </c>
      <c r="S40" s="101">
        <f t="shared" si="1"/>
        <v>0</v>
      </c>
      <c r="T40" s="62"/>
      <c r="U40" s="142">
        <f t="shared" si="6"/>
        <v>0</v>
      </c>
      <c r="V40" s="135">
        <f t="shared" si="7"/>
        <v>0</v>
      </c>
      <c r="W40" s="143">
        <f t="shared" si="8"/>
        <v>48</v>
      </c>
      <c r="X40" s="144"/>
    </row>
    <row r="41" spans="1:26" ht="19.5" thickBot="1">
      <c r="A41" s="1">
        <f t="shared" si="5"/>
        <v>34</v>
      </c>
      <c r="B41" s="20" t="s">
        <v>53</v>
      </c>
      <c r="C41" s="21">
        <v>155</v>
      </c>
      <c r="D41" s="22">
        <v>8</v>
      </c>
      <c r="E41" s="45"/>
      <c r="F41" s="45"/>
      <c r="G41" s="46"/>
      <c r="H41" s="47"/>
      <c r="I41" s="71">
        <f t="shared" si="0"/>
        <v>155</v>
      </c>
      <c r="J41" s="72">
        <f t="shared" si="0"/>
        <v>8</v>
      </c>
      <c r="K41" s="73"/>
      <c r="L41" s="74"/>
      <c r="M41" s="74"/>
      <c r="N41" s="74"/>
      <c r="O41" s="74"/>
      <c r="P41" s="74"/>
      <c r="Q41" s="109"/>
      <c r="R41" s="110">
        <f t="shared" si="1"/>
        <v>0</v>
      </c>
      <c r="S41" s="111">
        <f t="shared" si="1"/>
        <v>0</v>
      </c>
      <c r="T41" s="73"/>
      <c r="U41" s="145">
        <f t="shared" si="6"/>
        <v>0</v>
      </c>
      <c r="V41" s="146">
        <f t="shared" si="7"/>
        <v>0</v>
      </c>
      <c r="W41" s="146">
        <f t="shared" si="8"/>
        <v>3728</v>
      </c>
      <c r="X41" s="147"/>
    </row>
    <row r="42" spans="1:26" ht="19.5" thickBot="1">
      <c r="A42" s="1">
        <f t="shared" si="5"/>
        <v>35</v>
      </c>
      <c r="B42" s="23" t="s">
        <v>54</v>
      </c>
      <c r="C42" s="24">
        <v>488</v>
      </c>
      <c r="D42" s="25"/>
      <c r="E42" s="48"/>
      <c r="F42" s="48"/>
      <c r="G42" s="49">
        <v>42</v>
      </c>
      <c r="H42" s="50"/>
      <c r="I42" s="49">
        <f t="shared" si="0"/>
        <v>446</v>
      </c>
      <c r="J42" s="75">
        <f t="shared" si="0"/>
        <v>0</v>
      </c>
      <c r="K42" s="76"/>
      <c r="L42" s="48">
        <v>15</v>
      </c>
      <c r="M42" s="48"/>
      <c r="N42" s="48">
        <v>2</v>
      </c>
      <c r="O42" s="48"/>
      <c r="P42" s="48">
        <v>25</v>
      </c>
      <c r="Q42" s="112"/>
      <c r="R42" s="113">
        <f t="shared" si="1"/>
        <v>42</v>
      </c>
      <c r="S42" s="114">
        <f t="shared" si="1"/>
        <v>0</v>
      </c>
      <c r="T42" s="76"/>
      <c r="U42" s="148">
        <f>L42*12+N42*12+P42*12</f>
        <v>504</v>
      </c>
      <c r="V42" s="149">
        <f>U42/12</f>
        <v>42</v>
      </c>
      <c r="W42" s="150">
        <f>I42*12+J42</f>
        <v>5352</v>
      </c>
      <c r="X42" s="151"/>
    </row>
    <row r="43" spans="1:26" ht="18.75" hidden="1" customHeight="1">
      <c r="A43" s="1">
        <f t="shared" si="5"/>
        <v>36</v>
      </c>
      <c r="B43" s="7" t="s">
        <v>55</v>
      </c>
      <c r="C43" s="10"/>
      <c r="D43" s="11"/>
      <c r="E43" s="36"/>
      <c r="F43" s="36"/>
      <c r="G43" s="37"/>
      <c r="H43" s="38"/>
      <c r="I43" s="38">
        <f t="shared" si="0"/>
        <v>0</v>
      </c>
      <c r="J43" s="64">
        <f t="shared" si="0"/>
        <v>0</v>
      </c>
      <c r="K43" s="62"/>
      <c r="L43" s="36"/>
      <c r="M43" s="36"/>
      <c r="N43" s="36"/>
      <c r="O43" s="36"/>
      <c r="P43" s="36"/>
      <c r="Q43" s="99"/>
      <c r="R43" s="115">
        <f t="shared" si="1"/>
        <v>0</v>
      </c>
      <c r="S43" s="116">
        <f t="shared" si="1"/>
        <v>0</v>
      </c>
      <c r="T43" s="62"/>
      <c r="U43" s="8"/>
      <c r="V43" s="33"/>
      <c r="W43" s="134"/>
      <c r="X43" s="61"/>
    </row>
    <row r="44" spans="1:26" ht="19.5" thickBot="1">
      <c r="A44" s="1">
        <f t="shared" si="5"/>
        <v>37</v>
      </c>
      <c r="B44" s="12" t="s">
        <v>56</v>
      </c>
      <c r="C44" s="13">
        <v>25591</v>
      </c>
      <c r="D44" s="14">
        <v>2</v>
      </c>
      <c r="E44" s="39">
        <v>1836</v>
      </c>
      <c r="F44" s="39"/>
      <c r="G44" s="40">
        <v>1023</v>
      </c>
      <c r="H44" s="41"/>
      <c r="I44" s="38">
        <f>C44+E44-G44</f>
        <v>26404</v>
      </c>
      <c r="J44" s="77">
        <f t="shared" ref="J44:J59" si="9">D44-H44</f>
        <v>2</v>
      </c>
      <c r="K44" s="65"/>
      <c r="L44" s="51">
        <v>453</v>
      </c>
      <c r="M44" s="51"/>
      <c r="N44" s="51">
        <v>360</v>
      </c>
      <c r="O44" s="51"/>
      <c r="P44" s="51">
        <v>210</v>
      </c>
      <c r="Q44" s="102"/>
      <c r="R44" s="117">
        <f t="shared" si="1"/>
        <v>1023</v>
      </c>
      <c r="S44" s="118">
        <f t="shared" si="1"/>
        <v>0</v>
      </c>
      <c r="T44" s="65"/>
      <c r="U44" s="136">
        <f>L44*6+N44*6+P44*6</f>
        <v>6138</v>
      </c>
      <c r="V44" s="135">
        <f>U44/6</f>
        <v>1023</v>
      </c>
      <c r="W44" s="138">
        <f>I44*6+J44</f>
        <v>158426</v>
      </c>
      <c r="X44" s="139"/>
      <c r="Z44" s="155"/>
    </row>
    <row r="45" spans="1:26" ht="18.75" hidden="1" customHeight="1">
      <c r="A45" s="1">
        <f t="shared" si="5"/>
        <v>38</v>
      </c>
      <c r="B45" s="7" t="s">
        <v>57</v>
      </c>
      <c r="C45" s="10"/>
      <c r="D45" s="11"/>
      <c r="E45" s="36"/>
      <c r="F45" s="36"/>
      <c r="G45" s="37"/>
      <c r="H45" s="38"/>
      <c r="I45" s="44">
        <f t="shared" ref="I45:I59" si="10">C45-G45</f>
        <v>0</v>
      </c>
      <c r="J45" s="63">
        <f t="shared" si="9"/>
        <v>0</v>
      </c>
      <c r="K45" s="62"/>
      <c r="L45" s="36"/>
      <c r="M45" s="36"/>
      <c r="N45" s="36"/>
      <c r="O45" s="36"/>
      <c r="P45" s="36"/>
      <c r="Q45" s="99"/>
      <c r="R45" s="108">
        <f t="shared" si="1"/>
        <v>0</v>
      </c>
      <c r="S45" s="116">
        <f t="shared" si="1"/>
        <v>0</v>
      </c>
      <c r="T45" s="62"/>
      <c r="U45" s="8"/>
      <c r="V45" s="137"/>
      <c r="W45" s="134"/>
      <c r="X45" s="61"/>
    </row>
    <row r="46" spans="1:26" ht="19.5" thickBot="1">
      <c r="A46" s="1">
        <f t="shared" si="5"/>
        <v>39</v>
      </c>
      <c r="B46" s="15" t="s">
        <v>58</v>
      </c>
      <c r="C46" s="10">
        <v>8</v>
      </c>
      <c r="D46" s="11"/>
      <c r="E46" s="36"/>
      <c r="F46" s="36"/>
      <c r="G46" s="37"/>
      <c r="H46" s="38"/>
      <c r="I46" s="68">
        <f t="shared" si="10"/>
        <v>8</v>
      </c>
      <c r="J46" s="63">
        <f t="shared" si="9"/>
        <v>0</v>
      </c>
      <c r="K46" s="62"/>
      <c r="L46" s="36"/>
      <c r="M46" s="36"/>
      <c r="N46" s="36"/>
      <c r="O46" s="36"/>
      <c r="P46" s="36"/>
      <c r="Q46" s="99"/>
      <c r="R46" s="100">
        <f t="shared" si="1"/>
        <v>0</v>
      </c>
      <c r="S46" s="119">
        <f t="shared" si="1"/>
        <v>0</v>
      </c>
      <c r="T46" s="62"/>
      <c r="U46" s="8">
        <f t="shared" ref="U46:U51" si="11">L46*24+N46*24+P46*24</f>
        <v>0</v>
      </c>
      <c r="V46" s="140">
        <f t="shared" ref="V46:V51" si="12">U46/24</f>
        <v>0</v>
      </c>
      <c r="W46" s="134">
        <f t="shared" ref="W46:W51" si="13">I46*24+J46</f>
        <v>192</v>
      </c>
      <c r="X46" s="61"/>
    </row>
    <row r="47" spans="1:26" ht="19.5" thickBot="1">
      <c r="A47" s="1">
        <f t="shared" si="5"/>
        <v>40</v>
      </c>
      <c r="B47" s="15" t="s">
        <v>59</v>
      </c>
      <c r="C47" s="10">
        <v>2</v>
      </c>
      <c r="D47" s="11"/>
      <c r="E47" s="36"/>
      <c r="F47" s="36"/>
      <c r="G47" s="37"/>
      <c r="H47" s="38"/>
      <c r="I47" s="38">
        <f t="shared" si="10"/>
        <v>2</v>
      </c>
      <c r="J47" s="63">
        <f t="shared" si="9"/>
        <v>0</v>
      </c>
      <c r="K47" s="62"/>
      <c r="L47" s="36"/>
      <c r="M47" s="36"/>
      <c r="N47" s="36"/>
      <c r="O47" s="36"/>
      <c r="P47" s="36"/>
      <c r="Q47" s="99"/>
      <c r="R47" s="100">
        <f t="shared" si="1"/>
        <v>0</v>
      </c>
      <c r="S47" s="101">
        <f t="shared" si="1"/>
        <v>0</v>
      </c>
      <c r="T47" s="62"/>
      <c r="U47" s="8">
        <f t="shared" si="11"/>
        <v>0</v>
      </c>
      <c r="V47" s="135">
        <f t="shared" si="12"/>
        <v>0</v>
      </c>
      <c r="W47" s="134">
        <f t="shared" si="13"/>
        <v>48</v>
      </c>
      <c r="X47" s="61"/>
    </row>
    <row r="48" spans="1:26" ht="19.5" thickBot="1">
      <c r="A48" s="1">
        <f t="shared" si="5"/>
        <v>41</v>
      </c>
      <c r="B48" s="12" t="s">
        <v>48</v>
      </c>
      <c r="C48" s="26">
        <v>2823</v>
      </c>
      <c r="D48" s="27">
        <v>4</v>
      </c>
      <c r="E48" s="51"/>
      <c r="F48" s="51"/>
      <c r="G48" s="52"/>
      <c r="H48" s="53"/>
      <c r="I48" s="53">
        <f t="shared" si="10"/>
        <v>2823</v>
      </c>
      <c r="J48" s="70">
        <f t="shared" si="9"/>
        <v>4</v>
      </c>
      <c r="K48" s="65"/>
      <c r="L48" s="51"/>
      <c r="M48" s="51"/>
      <c r="N48" s="51"/>
      <c r="O48" s="51"/>
      <c r="P48" s="51"/>
      <c r="Q48" s="102"/>
      <c r="R48" s="107">
        <f t="shared" si="1"/>
        <v>0</v>
      </c>
      <c r="S48" s="120">
        <f t="shared" si="1"/>
        <v>0</v>
      </c>
      <c r="T48" s="65"/>
      <c r="U48" s="136">
        <f>L48*6+N48*6+P48*6</f>
        <v>0</v>
      </c>
      <c r="V48" s="141">
        <f>U48/6</f>
        <v>0</v>
      </c>
      <c r="W48" s="138">
        <f>I48*6+J48</f>
        <v>16942</v>
      </c>
      <c r="X48" s="139"/>
    </row>
    <row r="49" spans="1:24" ht="19.5" thickBot="1">
      <c r="A49" s="1">
        <f t="shared" si="5"/>
        <v>42</v>
      </c>
      <c r="B49" s="7" t="s">
        <v>60</v>
      </c>
      <c r="C49" s="10">
        <v>1</v>
      </c>
      <c r="D49" s="11"/>
      <c r="E49" s="36"/>
      <c r="F49" s="36"/>
      <c r="G49" s="37"/>
      <c r="H49" s="38"/>
      <c r="I49" s="38">
        <f t="shared" si="10"/>
        <v>1</v>
      </c>
      <c r="J49" s="63">
        <f t="shared" si="9"/>
        <v>0</v>
      </c>
      <c r="K49" s="62"/>
      <c r="L49" s="36"/>
      <c r="M49" s="36"/>
      <c r="N49" s="36"/>
      <c r="O49" s="36"/>
      <c r="P49" s="36"/>
      <c r="Q49" s="99"/>
      <c r="R49" s="108">
        <f t="shared" si="1"/>
        <v>0</v>
      </c>
      <c r="S49" s="106">
        <f t="shared" si="1"/>
        <v>0</v>
      </c>
      <c r="T49" s="62"/>
      <c r="U49" s="8">
        <f t="shared" si="11"/>
        <v>0</v>
      </c>
      <c r="V49" s="33">
        <f t="shared" si="12"/>
        <v>0</v>
      </c>
      <c r="W49" s="134">
        <f t="shared" si="13"/>
        <v>24</v>
      </c>
      <c r="X49" s="61"/>
    </row>
    <row r="50" spans="1:24" ht="19.5" thickBot="1">
      <c r="A50" s="1">
        <f t="shared" si="5"/>
        <v>43</v>
      </c>
      <c r="B50" s="15" t="s">
        <v>61</v>
      </c>
      <c r="C50" s="10">
        <v>2</v>
      </c>
      <c r="D50" s="11"/>
      <c r="E50" s="36"/>
      <c r="F50" s="36"/>
      <c r="G50" s="37"/>
      <c r="H50" s="38"/>
      <c r="I50" s="38">
        <f t="shared" si="10"/>
        <v>2</v>
      </c>
      <c r="J50" s="63">
        <f t="shared" si="9"/>
        <v>0</v>
      </c>
      <c r="K50" s="62"/>
      <c r="L50" s="36"/>
      <c r="M50" s="36"/>
      <c r="N50" s="36"/>
      <c r="O50" s="36"/>
      <c r="P50" s="36"/>
      <c r="Q50" s="99"/>
      <c r="R50" s="100">
        <f t="shared" si="1"/>
        <v>0</v>
      </c>
      <c r="S50" s="101">
        <f t="shared" si="1"/>
        <v>0</v>
      </c>
      <c r="T50" s="62"/>
      <c r="U50" s="8">
        <f t="shared" si="11"/>
        <v>0</v>
      </c>
      <c r="V50" s="135">
        <f t="shared" si="12"/>
        <v>0</v>
      </c>
      <c r="W50" s="134">
        <f t="shared" si="13"/>
        <v>48</v>
      </c>
      <c r="X50" s="61"/>
    </row>
    <row r="51" spans="1:24" ht="19.5" thickBot="1">
      <c r="A51" s="1">
        <f t="shared" si="5"/>
        <v>44</v>
      </c>
      <c r="B51" s="15" t="s">
        <v>62</v>
      </c>
      <c r="C51" s="10"/>
      <c r="D51" s="11"/>
      <c r="E51" s="36"/>
      <c r="F51" s="36"/>
      <c r="G51" s="37"/>
      <c r="H51" s="38"/>
      <c r="I51" s="38">
        <f t="shared" si="10"/>
        <v>0</v>
      </c>
      <c r="J51" s="63">
        <f t="shared" si="9"/>
        <v>0</v>
      </c>
      <c r="K51" s="62"/>
      <c r="L51" s="36"/>
      <c r="M51" s="36"/>
      <c r="N51" s="36"/>
      <c r="O51" s="36"/>
      <c r="P51" s="36"/>
      <c r="Q51" s="99"/>
      <c r="R51" s="100">
        <f t="shared" si="1"/>
        <v>0</v>
      </c>
      <c r="S51" s="101">
        <f t="shared" si="1"/>
        <v>0</v>
      </c>
      <c r="T51" s="62"/>
      <c r="U51" s="8">
        <f t="shared" si="11"/>
        <v>0</v>
      </c>
      <c r="V51" s="135">
        <f t="shared" si="12"/>
        <v>0</v>
      </c>
      <c r="W51" s="134">
        <f t="shared" si="13"/>
        <v>0</v>
      </c>
      <c r="X51" s="61"/>
    </row>
    <row r="52" spans="1:24" ht="19.5" thickBot="1">
      <c r="A52" s="1">
        <f t="shared" si="5"/>
        <v>45</v>
      </c>
      <c r="B52" s="12" t="s">
        <v>63</v>
      </c>
      <c r="C52" s="26">
        <v>34</v>
      </c>
      <c r="D52" s="27"/>
      <c r="E52" s="51"/>
      <c r="F52" s="51"/>
      <c r="G52" s="52"/>
      <c r="H52" s="53"/>
      <c r="I52" s="53">
        <f t="shared" si="10"/>
        <v>34</v>
      </c>
      <c r="J52" s="70">
        <f t="shared" si="9"/>
        <v>0</v>
      </c>
      <c r="K52" s="65"/>
      <c r="L52" s="51"/>
      <c r="M52" s="51"/>
      <c r="N52" s="51"/>
      <c r="O52" s="51"/>
      <c r="P52" s="51"/>
      <c r="Q52" s="102"/>
      <c r="R52" s="107">
        <f t="shared" si="1"/>
        <v>0</v>
      </c>
      <c r="S52" s="120">
        <f t="shared" si="1"/>
        <v>0</v>
      </c>
      <c r="T52" s="65"/>
      <c r="U52" s="136">
        <f>L52*6+N52*6+P52*6</f>
        <v>0</v>
      </c>
      <c r="V52" s="141">
        <f>U52/6</f>
        <v>0</v>
      </c>
      <c r="W52" s="138">
        <f>I52*6+J52</f>
        <v>204</v>
      </c>
      <c r="X52" s="139"/>
    </row>
    <row r="53" spans="1:24" ht="19.5" thickBot="1">
      <c r="A53" s="1">
        <f t="shared" si="5"/>
        <v>46</v>
      </c>
      <c r="B53" s="7" t="s">
        <v>64</v>
      </c>
      <c r="C53" s="10">
        <v>2</v>
      </c>
      <c r="D53" s="11"/>
      <c r="E53" s="36"/>
      <c r="F53" s="36"/>
      <c r="G53" s="37"/>
      <c r="H53" s="38"/>
      <c r="I53" s="38">
        <f t="shared" si="10"/>
        <v>2</v>
      </c>
      <c r="J53" s="63">
        <f t="shared" si="9"/>
        <v>0</v>
      </c>
      <c r="K53" s="62"/>
      <c r="L53" s="36"/>
      <c r="M53" s="36"/>
      <c r="N53" s="36"/>
      <c r="O53" s="36"/>
      <c r="P53" s="36"/>
      <c r="Q53" s="99"/>
      <c r="R53" s="108">
        <f t="shared" si="1"/>
        <v>0</v>
      </c>
      <c r="S53" s="106">
        <f t="shared" si="1"/>
        <v>0</v>
      </c>
      <c r="T53" s="62"/>
      <c r="U53" s="8">
        <f>L53*24+N53*24+P53*24</f>
        <v>0</v>
      </c>
      <c r="V53" s="33">
        <f>U53/24</f>
        <v>0</v>
      </c>
      <c r="W53" s="134">
        <f>I53*24+J53</f>
        <v>48</v>
      </c>
      <c r="X53" s="61"/>
    </row>
    <row r="54" spans="1:24" ht="19.5" thickBot="1">
      <c r="A54" s="1">
        <f t="shared" si="5"/>
        <v>47</v>
      </c>
      <c r="B54" s="15" t="s">
        <v>65</v>
      </c>
      <c r="C54" s="10">
        <v>11</v>
      </c>
      <c r="D54" s="11"/>
      <c r="E54" s="36"/>
      <c r="F54" s="36"/>
      <c r="G54" s="37"/>
      <c r="H54" s="38"/>
      <c r="I54" s="38">
        <f t="shared" si="10"/>
        <v>11</v>
      </c>
      <c r="J54" s="63">
        <f t="shared" si="9"/>
        <v>0</v>
      </c>
      <c r="K54" s="62"/>
      <c r="L54" s="36"/>
      <c r="M54" s="36"/>
      <c r="N54" s="36"/>
      <c r="O54" s="36"/>
      <c r="P54" s="36"/>
      <c r="Q54" s="99"/>
      <c r="R54" s="100">
        <f t="shared" si="1"/>
        <v>0</v>
      </c>
      <c r="S54" s="101">
        <f t="shared" si="1"/>
        <v>0</v>
      </c>
      <c r="T54" s="62"/>
      <c r="U54" s="8">
        <f>L54*24+N54*24+P54*24</f>
        <v>0</v>
      </c>
      <c r="V54" s="135">
        <f>U54/24</f>
        <v>0</v>
      </c>
      <c r="W54" s="134">
        <f>I54*24+J54</f>
        <v>264</v>
      </c>
      <c r="X54" s="61"/>
    </row>
    <row r="55" spans="1:24" ht="19.5" thickBot="1">
      <c r="A55" s="1">
        <f t="shared" si="5"/>
        <v>48</v>
      </c>
      <c r="B55" s="15"/>
      <c r="C55" s="10"/>
      <c r="D55" s="11"/>
      <c r="E55" s="36"/>
      <c r="F55" s="36"/>
      <c r="G55" s="37"/>
      <c r="H55" s="38"/>
      <c r="I55" s="38">
        <f t="shared" si="10"/>
        <v>0</v>
      </c>
      <c r="J55" s="63">
        <f t="shared" si="9"/>
        <v>0</v>
      </c>
      <c r="K55" s="62"/>
      <c r="L55" s="36"/>
      <c r="M55" s="36"/>
      <c r="N55" s="36"/>
      <c r="O55" s="36"/>
      <c r="P55" s="36"/>
      <c r="Q55" s="99"/>
      <c r="R55" s="100">
        <f t="shared" si="1"/>
        <v>0</v>
      </c>
      <c r="S55" s="101">
        <f t="shared" si="1"/>
        <v>0</v>
      </c>
      <c r="T55" s="62"/>
      <c r="U55" s="8"/>
      <c r="V55" s="135"/>
      <c r="W55" s="134"/>
      <c r="X55" s="61"/>
    </row>
    <row r="56" spans="1:24" ht="19.5" thickBot="1">
      <c r="A56" s="1">
        <f t="shared" si="5"/>
        <v>49</v>
      </c>
      <c r="B56" s="15"/>
      <c r="C56" s="10"/>
      <c r="D56" s="11"/>
      <c r="E56" s="36"/>
      <c r="F56" s="36"/>
      <c r="G56" s="37"/>
      <c r="H56" s="38"/>
      <c r="I56" s="38">
        <f t="shared" si="10"/>
        <v>0</v>
      </c>
      <c r="J56" s="63">
        <f t="shared" si="9"/>
        <v>0</v>
      </c>
      <c r="K56" s="62"/>
      <c r="L56" s="36"/>
      <c r="M56" s="36"/>
      <c r="N56" s="36"/>
      <c r="O56" s="36"/>
      <c r="P56" s="36"/>
      <c r="Q56" s="99"/>
      <c r="R56" s="100">
        <f t="shared" si="1"/>
        <v>0</v>
      </c>
      <c r="S56" s="101">
        <f t="shared" si="1"/>
        <v>0</v>
      </c>
      <c r="T56" s="62"/>
      <c r="U56" s="8"/>
      <c r="V56" s="135"/>
      <c r="W56" s="134"/>
      <c r="X56" s="61"/>
    </row>
    <row r="57" spans="1:24" ht="19.5" thickBot="1">
      <c r="A57" s="1">
        <f t="shared" si="5"/>
        <v>50</v>
      </c>
      <c r="B57" s="15"/>
      <c r="C57" s="10"/>
      <c r="D57" s="11"/>
      <c r="E57" s="36"/>
      <c r="F57" s="36"/>
      <c r="G57" s="37"/>
      <c r="H57" s="38"/>
      <c r="I57" s="38">
        <f t="shared" si="10"/>
        <v>0</v>
      </c>
      <c r="J57" s="63">
        <f t="shared" si="9"/>
        <v>0</v>
      </c>
      <c r="K57" s="62"/>
      <c r="L57" s="36"/>
      <c r="M57" s="36"/>
      <c r="N57" s="36"/>
      <c r="O57" s="36"/>
      <c r="P57" s="36"/>
      <c r="Q57" s="99"/>
      <c r="R57" s="100">
        <f t="shared" si="1"/>
        <v>0</v>
      </c>
      <c r="S57" s="101">
        <f t="shared" si="1"/>
        <v>0</v>
      </c>
      <c r="T57" s="62"/>
      <c r="U57" s="8"/>
      <c r="V57" s="135"/>
      <c r="W57" s="134"/>
      <c r="X57" s="61"/>
    </row>
    <row r="58" spans="1:24" ht="19.5" thickBot="1">
      <c r="A58" s="1">
        <f t="shared" si="5"/>
        <v>51</v>
      </c>
      <c r="B58" s="15"/>
      <c r="C58" s="10"/>
      <c r="D58" s="11"/>
      <c r="E58" s="36"/>
      <c r="F58" s="36"/>
      <c r="G58" s="37"/>
      <c r="H58" s="38"/>
      <c r="I58" s="38">
        <f t="shared" si="10"/>
        <v>0</v>
      </c>
      <c r="J58" s="63">
        <f t="shared" si="9"/>
        <v>0</v>
      </c>
      <c r="K58" s="62"/>
      <c r="L58" s="36"/>
      <c r="M58" s="36"/>
      <c r="N58" s="36"/>
      <c r="O58" s="36"/>
      <c r="P58" s="36"/>
      <c r="Q58" s="99"/>
      <c r="R58" s="100">
        <f t="shared" si="1"/>
        <v>0</v>
      </c>
      <c r="S58" s="101">
        <f t="shared" si="1"/>
        <v>0</v>
      </c>
      <c r="T58" s="62"/>
      <c r="U58" s="8"/>
      <c r="V58" s="135"/>
      <c r="W58" s="134"/>
      <c r="X58" s="61"/>
    </row>
    <row r="59" spans="1:24" ht="19.5" thickBot="1">
      <c r="A59" s="1">
        <f t="shared" si="5"/>
        <v>52</v>
      </c>
      <c r="B59" s="15"/>
      <c r="C59" s="10"/>
      <c r="D59" s="11"/>
      <c r="E59" s="36"/>
      <c r="F59" s="36"/>
      <c r="G59" s="37"/>
      <c r="H59" s="38"/>
      <c r="I59" s="38">
        <f t="shared" si="10"/>
        <v>0</v>
      </c>
      <c r="J59" s="63">
        <f t="shared" si="9"/>
        <v>0</v>
      </c>
      <c r="K59" s="62"/>
      <c r="L59" s="36"/>
      <c r="M59" s="36"/>
      <c r="N59" s="36"/>
      <c r="O59" s="36"/>
      <c r="P59" s="36"/>
      <c r="Q59" s="99"/>
      <c r="R59" s="100">
        <f t="shared" si="1"/>
        <v>0</v>
      </c>
      <c r="S59" s="101">
        <f t="shared" si="1"/>
        <v>0</v>
      </c>
      <c r="T59" s="62"/>
      <c r="U59" s="8"/>
      <c r="V59" s="135"/>
      <c r="W59" s="134"/>
      <c r="X59" s="61"/>
    </row>
    <row r="60" spans="1:24" s="2" customFormat="1" ht="19.5" thickBot="1">
      <c r="B60" s="28" t="s">
        <v>15</v>
      </c>
      <c r="C60" s="29">
        <f t="shared" ref="C60:J60" si="14">SUM(C8:C59)</f>
        <v>37828</v>
      </c>
      <c r="D60" s="30">
        <f t="shared" si="14"/>
        <v>147</v>
      </c>
      <c r="E60" s="54">
        <f t="shared" si="14"/>
        <v>1836</v>
      </c>
      <c r="F60" s="54"/>
      <c r="G60" s="55">
        <f t="shared" si="14"/>
        <v>1289</v>
      </c>
      <c r="H60" s="56">
        <f t="shared" si="14"/>
        <v>24</v>
      </c>
      <c r="I60" s="56">
        <f t="shared" si="14"/>
        <v>38375</v>
      </c>
      <c r="J60" s="78">
        <f t="shared" si="14"/>
        <v>123</v>
      </c>
      <c r="L60" s="79">
        <f t="shared" ref="L60:S60" si="15">SUM(L8:L59)</f>
        <v>520</v>
      </c>
      <c r="M60" s="79">
        <f t="shared" si="15"/>
        <v>12</v>
      </c>
      <c r="N60" s="79">
        <f t="shared" si="15"/>
        <v>394</v>
      </c>
      <c r="O60" s="79">
        <f t="shared" si="15"/>
        <v>0</v>
      </c>
      <c r="P60" s="79">
        <f t="shared" si="15"/>
        <v>375</v>
      </c>
      <c r="Q60" s="121">
        <f t="shared" si="15"/>
        <v>12</v>
      </c>
      <c r="R60" s="122">
        <f t="shared" si="15"/>
        <v>1289</v>
      </c>
      <c r="S60" s="123">
        <f t="shared" si="15"/>
        <v>24</v>
      </c>
      <c r="U60" s="29">
        <f t="shared" ref="U60:W60" si="16">SUM(U8:U59)</f>
        <v>9282</v>
      </c>
      <c r="V60" s="152">
        <f t="shared" si="16"/>
        <v>1289</v>
      </c>
      <c r="W60" s="179">
        <f t="shared" si="16"/>
        <v>300369</v>
      </c>
      <c r="X60" s="78"/>
    </row>
    <row r="61" spans="1:24" ht="19.5" thickBot="1">
      <c r="V61" s="154"/>
    </row>
    <row r="62" spans="1:24" ht="18.75" customHeight="1">
      <c r="G62" s="197" t="s">
        <v>66</v>
      </c>
      <c r="H62" s="57"/>
      <c r="I62" s="57"/>
      <c r="J62" s="80" t="s">
        <v>67</v>
      </c>
      <c r="L62" s="81"/>
      <c r="M62" s="87"/>
      <c r="N62" s="88"/>
      <c r="O62" s="88"/>
      <c r="P62" s="88"/>
      <c r="Q62" s="124"/>
      <c r="R62" s="124"/>
      <c r="S62" s="125"/>
    </row>
    <row r="63" spans="1:24">
      <c r="G63" s="198"/>
      <c r="H63" s="58"/>
      <c r="I63" s="58"/>
      <c r="J63" s="82" t="s">
        <v>68</v>
      </c>
      <c r="L63" s="83"/>
      <c r="M63" s="89"/>
      <c r="N63" s="90"/>
      <c r="O63" s="90"/>
      <c r="P63" s="90"/>
      <c r="Q63" s="126"/>
      <c r="R63" s="126"/>
      <c r="S63" s="127"/>
    </row>
    <row r="64" spans="1:24">
      <c r="G64" s="199"/>
      <c r="H64" s="59"/>
      <c r="I64" s="59"/>
      <c r="J64" s="82" t="s">
        <v>69</v>
      </c>
      <c r="L64" s="84"/>
      <c r="M64" s="91"/>
      <c r="N64" s="92"/>
      <c r="O64" s="92"/>
      <c r="P64" s="92"/>
      <c r="Q64" s="128"/>
      <c r="R64" s="128"/>
      <c r="S64" s="129"/>
    </row>
    <row r="65" spans="2:24">
      <c r="G65" s="200" t="s">
        <v>70</v>
      </c>
      <c r="H65" s="164"/>
      <c r="I65" s="164"/>
      <c r="J65" s="82" t="s">
        <v>67</v>
      </c>
      <c r="L65" s="84"/>
      <c r="M65" s="91"/>
      <c r="N65" s="92"/>
      <c r="O65" s="92"/>
      <c r="P65" s="92"/>
      <c r="Q65" s="128"/>
      <c r="R65" s="128"/>
      <c r="S65" s="129"/>
    </row>
    <row r="66" spans="2:24">
      <c r="G66" s="200"/>
      <c r="H66" s="164"/>
      <c r="I66" s="164"/>
      <c r="J66" s="82" t="s">
        <v>68</v>
      </c>
      <c r="L66" s="83"/>
      <c r="M66" s="89"/>
      <c r="N66" s="90"/>
      <c r="O66" s="90"/>
      <c r="P66" s="90"/>
      <c r="Q66" s="126"/>
      <c r="R66" s="126"/>
      <c r="S66" s="127"/>
    </row>
    <row r="67" spans="2:24" ht="19.5" thickBot="1">
      <c r="G67" s="201"/>
      <c r="H67" s="165"/>
      <c r="I67" s="165"/>
      <c r="J67" s="167" t="s">
        <v>69</v>
      </c>
      <c r="L67" s="168"/>
      <c r="M67" s="170"/>
      <c r="N67" s="171"/>
      <c r="O67" s="171"/>
      <c r="P67" s="171"/>
      <c r="Q67" s="174"/>
      <c r="R67" s="174"/>
      <c r="S67" s="175"/>
    </row>
    <row r="69" spans="2:24" ht="49.5" customHeight="1" thickBot="1">
      <c r="B69" s="159" t="s">
        <v>71</v>
      </c>
      <c r="C69" s="5" t="s">
        <v>4</v>
      </c>
      <c r="D69" s="6"/>
      <c r="E69" s="166" t="s">
        <v>72</v>
      </c>
      <c r="L69" s="169" t="s">
        <v>12</v>
      </c>
      <c r="M69" s="172"/>
      <c r="N69" s="173" t="s">
        <v>13</v>
      </c>
      <c r="O69" s="173"/>
      <c r="P69" s="173" t="s">
        <v>14</v>
      </c>
      <c r="Q69" s="176"/>
      <c r="R69" s="176"/>
      <c r="S69" s="177" t="s">
        <v>73</v>
      </c>
      <c r="X69" s="178" t="s">
        <v>74</v>
      </c>
    </row>
    <row r="70" spans="2:24">
      <c r="B70" s="160" t="s">
        <v>47</v>
      </c>
      <c r="C70" s="161"/>
      <c r="D70" s="161"/>
      <c r="E70" s="163"/>
      <c r="L70" s="161"/>
      <c r="M70" s="161"/>
      <c r="N70" s="161"/>
      <c r="O70" s="161"/>
      <c r="P70" s="161"/>
      <c r="Q70" s="161"/>
      <c r="R70" s="161"/>
      <c r="S70" s="161"/>
      <c r="X70" s="163"/>
    </row>
    <row r="71" spans="2:24">
      <c r="B71" s="162" t="s">
        <v>75</v>
      </c>
      <c r="C71" s="161"/>
      <c r="D71" s="161"/>
      <c r="E71" s="163"/>
      <c r="L71" s="163"/>
      <c r="M71" s="163"/>
      <c r="N71" s="163"/>
      <c r="O71" s="163"/>
      <c r="P71" s="163"/>
      <c r="Q71" s="163"/>
      <c r="R71" s="163"/>
      <c r="S71" s="163"/>
      <c r="X71" s="163"/>
    </row>
    <row r="72" spans="2:24">
      <c r="B72" s="162" t="s">
        <v>76</v>
      </c>
      <c r="C72" s="161"/>
      <c r="D72" s="161"/>
      <c r="E72" s="163"/>
      <c r="L72" s="163"/>
      <c r="M72" s="163"/>
      <c r="N72" s="163"/>
      <c r="O72" s="163"/>
      <c r="P72" s="163"/>
      <c r="Q72" s="163"/>
      <c r="R72" s="163"/>
      <c r="S72" s="163"/>
      <c r="X72" s="163"/>
    </row>
    <row r="73" spans="2:24" ht="11.25" customHeight="1"/>
    <row r="74" spans="2:24">
      <c r="B74" s="162" t="s">
        <v>77</v>
      </c>
      <c r="C74" s="163"/>
      <c r="D74" s="163"/>
      <c r="E74" s="163"/>
      <c r="L74" s="163"/>
      <c r="M74" s="163"/>
      <c r="N74" s="163"/>
      <c r="O74" s="163"/>
      <c r="P74" s="163"/>
      <c r="Q74" s="163"/>
      <c r="R74" s="163"/>
      <c r="S74" s="163"/>
      <c r="X74" s="163"/>
    </row>
    <row r="75" spans="2:24">
      <c r="B75" s="162" t="s">
        <v>75</v>
      </c>
      <c r="C75" s="163"/>
      <c r="D75" s="163"/>
      <c r="E75" s="163"/>
      <c r="L75" s="163"/>
      <c r="M75" s="163"/>
      <c r="N75" s="163"/>
      <c r="O75" s="163"/>
      <c r="P75" s="163"/>
      <c r="Q75" s="163"/>
      <c r="R75" s="163"/>
      <c r="S75" s="163"/>
      <c r="X75" s="163"/>
    </row>
    <row r="76" spans="2:24">
      <c r="B76" s="162" t="s">
        <v>76</v>
      </c>
      <c r="C76" s="163"/>
      <c r="D76" s="163"/>
      <c r="E76" s="163"/>
      <c r="L76" s="163"/>
      <c r="M76" s="163"/>
      <c r="N76" s="163"/>
      <c r="O76" s="163"/>
      <c r="P76" s="163"/>
      <c r="Q76" s="163"/>
      <c r="R76" s="163"/>
      <c r="S76" s="163"/>
      <c r="X76" s="163"/>
    </row>
    <row r="77" spans="2:24" ht="11.25" customHeight="1"/>
    <row r="78" spans="2:24">
      <c r="B78" s="162" t="s">
        <v>78</v>
      </c>
      <c r="C78" s="163"/>
      <c r="D78" s="163"/>
      <c r="E78" s="163"/>
      <c r="L78" s="163"/>
      <c r="M78" s="163"/>
      <c r="N78" s="163"/>
      <c r="O78" s="163"/>
      <c r="P78" s="163"/>
      <c r="Q78" s="163"/>
      <c r="R78" s="163"/>
      <c r="S78" s="163"/>
      <c r="X78" s="163"/>
    </row>
    <row r="79" spans="2:24">
      <c r="B79" s="162" t="s">
        <v>75</v>
      </c>
      <c r="C79" s="163"/>
      <c r="D79" s="163"/>
      <c r="E79" s="163"/>
      <c r="L79" s="163"/>
      <c r="M79" s="163"/>
      <c r="N79" s="163"/>
      <c r="O79" s="163"/>
      <c r="P79" s="163"/>
      <c r="Q79" s="163"/>
      <c r="R79" s="163"/>
      <c r="S79" s="163"/>
      <c r="X79" s="163"/>
    </row>
    <row r="80" spans="2:24">
      <c r="B80" s="162" t="s">
        <v>76</v>
      </c>
      <c r="C80" s="163"/>
      <c r="D80" s="163"/>
      <c r="E80" s="163"/>
      <c r="L80" s="163"/>
      <c r="M80" s="163"/>
      <c r="N80" s="163"/>
      <c r="O80" s="163"/>
      <c r="P80" s="163"/>
      <c r="Q80" s="163"/>
      <c r="R80" s="163"/>
      <c r="S80" s="163"/>
      <c r="X80" s="163"/>
    </row>
    <row r="81" spans="2:24" ht="11.25" customHeight="1"/>
    <row r="82" spans="2:24">
      <c r="B82" s="162" t="s">
        <v>79</v>
      </c>
      <c r="C82" s="163"/>
      <c r="D82" s="163"/>
      <c r="E82" s="163"/>
      <c r="L82" s="163"/>
      <c r="M82" s="163"/>
      <c r="N82" s="163"/>
      <c r="O82" s="163"/>
      <c r="P82" s="163"/>
      <c r="Q82" s="163"/>
      <c r="R82" s="163"/>
      <c r="S82" s="163"/>
      <c r="X82" s="163"/>
    </row>
    <row r="83" spans="2:24">
      <c r="B83" s="162" t="s">
        <v>75</v>
      </c>
      <c r="C83" s="163"/>
      <c r="D83" s="163"/>
      <c r="E83" s="163"/>
      <c r="L83" s="163"/>
      <c r="M83" s="163"/>
      <c r="N83" s="163"/>
      <c r="O83" s="163"/>
      <c r="P83" s="163"/>
      <c r="Q83" s="163"/>
      <c r="R83" s="163"/>
      <c r="S83" s="163"/>
      <c r="X83" s="163"/>
    </row>
    <row r="84" spans="2:24">
      <c r="B84" s="162" t="s">
        <v>76</v>
      </c>
      <c r="C84" s="161"/>
      <c r="D84" s="161"/>
      <c r="E84" s="163"/>
      <c r="L84" s="163"/>
      <c r="M84" s="163"/>
      <c r="N84" s="163"/>
      <c r="O84" s="163"/>
      <c r="P84" s="163"/>
      <c r="Q84" s="163"/>
      <c r="R84" s="163"/>
      <c r="S84" s="163"/>
      <c r="X84" s="163"/>
    </row>
    <row r="85" spans="2:24" ht="11.25" customHeight="1"/>
    <row r="86" spans="2:24">
      <c r="B86" s="162" t="s">
        <v>80</v>
      </c>
      <c r="C86" s="163"/>
      <c r="D86" s="163"/>
      <c r="E86" s="163"/>
      <c r="L86" s="163"/>
      <c r="M86" s="163"/>
      <c r="N86" s="163"/>
      <c r="O86" s="163"/>
      <c r="P86" s="163"/>
      <c r="Q86" s="163"/>
      <c r="R86" s="163"/>
      <c r="S86" s="163"/>
      <c r="X86" s="163"/>
    </row>
    <row r="87" spans="2:24">
      <c r="B87" s="162" t="s">
        <v>75</v>
      </c>
      <c r="C87" s="163"/>
      <c r="D87" s="163"/>
      <c r="E87" s="163"/>
      <c r="L87" s="163"/>
      <c r="M87" s="163"/>
      <c r="N87" s="163"/>
      <c r="O87" s="163"/>
      <c r="P87" s="163"/>
      <c r="Q87" s="163"/>
      <c r="R87" s="163"/>
      <c r="S87" s="163"/>
      <c r="X87" s="163"/>
    </row>
    <row r="88" spans="2:24">
      <c r="B88" s="162" t="s">
        <v>76</v>
      </c>
      <c r="C88" s="163"/>
      <c r="D88" s="163"/>
      <c r="E88" s="163"/>
      <c r="L88" s="163"/>
      <c r="M88" s="163"/>
      <c r="N88" s="163"/>
      <c r="O88" s="163"/>
      <c r="P88" s="163"/>
      <c r="Q88" s="163"/>
      <c r="R88" s="163"/>
      <c r="S88" s="163"/>
      <c r="X88" s="163"/>
    </row>
    <row r="90" spans="2:24">
      <c r="B90" s="162" t="s">
        <v>81</v>
      </c>
      <c r="C90" s="163"/>
      <c r="D90" s="163"/>
      <c r="E90" s="163"/>
      <c r="L90" s="163"/>
      <c r="M90" s="163"/>
      <c r="N90" s="163"/>
      <c r="O90" s="163"/>
      <c r="P90" s="163"/>
      <c r="Q90" s="163"/>
      <c r="R90" s="163"/>
      <c r="S90" s="163"/>
      <c r="X90" s="163"/>
    </row>
  </sheetData>
  <mergeCells count="12">
    <mergeCell ref="G62:G64"/>
    <mergeCell ref="G65:G67"/>
    <mergeCell ref="P1:X1"/>
    <mergeCell ref="B4:B5"/>
    <mergeCell ref="C4:C5"/>
    <mergeCell ref="D4:D5"/>
    <mergeCell ref="E4:F4"/>
    <mergeCell ref="G4:G5"/>
    <mergeCell ref="H4:H5"/>
    <mergeCell ref="I4:I5"/>
    <mergeCell ref="J4:J5"/>
    <mergeCell ref="L4:X4"/>
  </mergeCells>
  <printOptions horizontalCentered="1" verticalCentered="1"/>
  <pageMargins left="0.196850393700787" right="0.196850393700787" top="0.196850393700787" bottom="0.196850393700787" header="0.511811023622047" footer="0.511811023622047"/>
  <pageSetup paperSize="9" scale="51" orientation="portrait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DC043-3D79-453E-B00E-4727D2783397}">
  <sheetPr>
    <pageSetUpPr fitToPage="1"/>
  </sheetPr>
  <dimension ref="A1:BH90"/>
  <sheetViews>
    <sheetView zoomScaleNormal="100" zoomScaleSheetLayoutView="85" zoomScalePageLayoutView="80" workbookViewId="0">
      <selection activeCell="P1" sqref="P1:X1"/>
    </sheetView>
  </sheetViews>
  <sheetFormatPr defaultColWidth="9.140625" defaultRowHeight="18.75"/>
  <cols>
    <col min="1" max="1" width="5.42578125" style="3" customWidth="1"/>
    <col min="2" max="2" width="12.28515625" style="3" customWidth="1"/>
    <col min="3" max="3" width="12.7109375" style="3" customWidth="1"/>
    <col min="4" max="4" width="8.5703125" style="3" bestFit="1" customWidth="1"/>
    <col min="5" max="5" width="12.140625" style="3" customWidth="1"/>
    <col min="6" max="6" width="9.85546875" style="3" customWidth="1"/>
    <col min="7" max="7" width="11" style="3" customWidth="1"/>
    <col min="8" max="8" width="8" style="3" customWidth="1"/>
    <col min="9" max="9" width="14.7109375" style="3" customWidth="1"/>
    <col min="10" max="10" width="8.28515625" style="3" customWidth="1"/>
    <col min="11" max="11" width="1.28515625" style="3" customWidth="1"/>
    <col min="12" max="12" width="11" style="3" customWidth="1"/>
    <col min="13" max="13" width="7.85546875" style="3" customWidth="1"/>
    <col min="14" max="14" width="11" style="3" customWidth="1"/>
    <col min="15" max="15" width="6.5703125" style="3" customWidth="1"/>
    <col min="16" max="16" width="11" style="3" customWidth="1"/>
    <col min="17" max="17" width="6.5703125" style="3" customWidth="1"/>
    <col min="18" max="18" width="9.5703125" style="3" customWidth="1"/>
    <col min="19" max="19" width="8.140625" style="3" customWidth="1"/>
    <col min="20" max="20" width="1.28515625" style="3" customWidth="1"/>
    <col min="21" max="21" width="12.7109375" style="3" customWidth="1"/>
    <col min="22" max="22" width="12.7109375" style="3" hidden="1" customWidth="1"/>
    <col min="23" max="23" width="14.5703125" style="3" customWidth="1"/>
    <col min="24" max="24" width="11.5703125" style="3" customWidth="1"/>
    <col min="25" max="25" width="2" style="3" customWidth="1"/>
    <col min="26" max="26" width="10.5703125" style="3" customWidth="1"/>
    <col min="27" max="55" width="7.28515625" style="3" customWidth="1"/>
    <col min="56" max="56" width="1.5703125" style="3" customWidth="1"/>
    <col min="57" max="57" width="9.42578125" style="3" customWidth="1"/>
    <col min="58" max="58" width="1.28515625" style="3" customWidth="1"/>
    <col min="59" max="59" width="12.7109375" style="3" customWidth="1"/>
    <col min="60" max="60" width="10.28515625" style="3" customWidth="1"/>
    <col min="61" max="16384" width="9.140625" style="3"/>
  </cols>
  <sheetData>
    <row r="1" spans="1:60" ht="19.5" thickBot="1">
      <c r="B1" s="2" t="s">
        <v>0</v>
      </c>
      <c r="N1" s="3" t="s">
        <v>1</v>
      </c>
      <c r="P1" s="183">
        <v>46163</v>
      </c>
      <c r="Q1" s="184"/>
      <c r="R1" s="184"/>
      <c r="S1" s="184"/>
      <c r="T1" s="184"/>
      <c r="U1" s="184"/>
      <c r="V1" s="184"/>
      <c r="W1" s="184"/>
      <c r="X1" s="185"/>
    </row>
    <row r="2" spans="1:60" ht="15" customHeight="1">
      <c r="B2" s="2" t="s">
        <v>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4" spans="1:60" ht="19.5" customHeight="1" thickBot="1">
      <c r="A4" s="4"/>
      <c r="B4" s="192" t="s">
        <v>3</v>
      </c>
      <c r="C4" s="193" t="s">
        <v>4</v>
      </c>
      <c r="D4" s="194" t="s">
        <v>5</v>
      </c>
      <c r="E4" s="186" t="s">
        <v>6</v>
      </c>
      <c r="F4" s="187"/>
      <c r="G4" s="195" t="s">
        <v>7</v>
      </c>
      <c r="H4" s="202" t="s">
        <v>5</v>
      </c>
      <c r="I4" s="204" t="s">
        <v>8</v>
      </c>
      <c r="J4" s="202" t="s">
        <v>5</v>
      </c>
      <c r="L4" s="188" t="s">
        <v>9</v>
      </c>
      <c r="M4" s="189"/>
      <c r="N4" s="189"/>
      <c r="O4" s="189"/>
      <c r="P4" s="189"/>
      <c r="Q4" s="189"/>
      <c r="R4" s="189"/>
      <c r="S4" s="189"/>
      <c r="T4" s="189"/>
      <c r="U4" s="189"/>
      <c r="V4" s="190"/>
      <c r="W4" s="189"/>
      <c r="X4" s="191"/>
    </row>
    <row r="5" spans="1:60" s="1" customFormat="1" ht="57" thickBot="1">
      <c r="A5" s="4"/>
      <c r="B5" s="192"/>
      <c r="C5" s="193"/>
      <c r="D5" s="194"/>
      <c r="E5" s="31" t="s">
        <v>10</v>
      </c>
      <c r="F5" s="32" t="s">
        <v>11</v>
      </c>
      <c r="G5" s="196"/>
      <c r="H5" s="203"/>
      <c r="I5" s="205"/>
      <c r="J5" s="203"/>
      <c r="L5" s="60" t="s">
        <v>12</v>
      </c>
      <c r="M5" s="85" t="s">
        <v>5</v>
      </c>
      <c r="N5" s="86" t="s">
        <v>13</v>
      </c>
      <c r="O5" s="85" t="s">
        <v>5</v>
      </c>
      <c r="P5" s="86" t="s">
        <v>14</v>
      </c>
      <c r="Q5" s="85" t="s">
        <v>5</v>
      </c>
      <c r="R5" s="93" t="s">
        <v>15</v>
      </c>
      <c r="S5" s="94" t="s">
        <v>5</v>
      </c>
      <c r="T5" s="95"/>
      <c r="U5" s="130" t="s">
        <v>16</v>
      </c>
      <c r="V5" s="131" t="s">
        <v>17</v>
      </c>
      <c r="W5" s="132" t="s">
        <v>18</v>
      </c>
      <c r="X5" s="133" t="s">
        <v>19</v>
      </c>
      <c r="AL5" s="156"/>
      <c r="AM5" s="156"/>
      <c r="AN5" s="156"/>
      <c r="AO5" s="156"/>
      <c r="AP5" s="156"/>
      <c r="AQ5" s="156"/>
      <c r="AR5" s="156"/>
      <c r="AS5" s="156"/>
      <c r="AT5" s="156"/>
      <c r="AU5" s="156"/>
      <c r="AV5" s="156"/>
      <c r="AW5" s="156"/>
      <c r="AX5" s="156"/>
      <c r="AY5" s="156"/>
      <c r="AZ5" s="156"/>
      <c r="BA5" s="156"/>
      <c r="BB5" s="156"/>
      <c r="BC5" s="156"/>
      <c r="BD5" s="156"/>
      <c r="BE5" s="156"/>
      <c r="BF5" s="156"/>
      <c r="BG5" s="156"/>
      <c r="BH5" s="156"/>
    </row>
    <row r="6" spans="1:60" s="1" customFormat="1" ht="19.5" thickBot="1">
      <c r="B6" s="7"/>
      <c r="C6" s="8"/>
      <c r="D6" s="9"/>
      <c r="E6" s="33"/>
      <c r="F6" s="33"/>
      <c r="G6" s="34"/>
      <c r="H6" s="35"/>
      <c r="I6" s="35"/>
      <c r="J6" s="61"/>
      <c r="K6" s="62"/>
      <c r="L6" s="33"/>
      <c r="M6" s="33"/>
      <c r="N6" s="33"/>
      <c r="O6" s="33"/>
      <c r="P6" s="33"/>
      <c r="Q6" s="96"/>
      <c r="R6" s="97"/>
      <c r="S6" s="98"/>
      <c r="T6" s="62"/>
      <c r="U6" s="8"/>
      <c r="V6" s="33"/>
      <c r="W6" s="134"/>
      <c r="X6" s="61"/>
      <c r="AL6" s="156"/>
      <c r="AM6" s="156"/>
      <c r="AN6" s="156"/>
      <c r="AO6" s="156"/>
      <c r="AP6" s="156"/>
      <c r="AQ6" s="156"/>
      <c r="AR6" s="156"/>
      <c r="AS6" s="156"/>
      <c r="AT6" s="156"/>
      <c r="AU6" s="156"/>
      <c r="AV6" s="156"/>
      <c r="AW6" s="156"/>
      <c r="AX6" s="156"/>
      <c r="AY6" s="156"/>
      <c r="AZ6" s="156"/>
      <c r="BA6" s="156"/>
      <c r="BB6" s="156"/>
      <c r="BC6" s="156"/>
      <c r="BD6" s="156"/>
      <c r="BE6" s="156"/>
      <c r="BF6" s="156"/>
      <c r="BG6" s="156"/>
      <c r="BH6" s="156"/>
    </row>
    <row r="7" spans="1:60" s="1" customFormat="1" ht="19.5" thickBot="1">
      <c r="B7" s="7"/>
      <c r="C7" s="8"/>
      <c r="D7" s="9"/>
      <c r="E7" s="33"/>
      <c r="F7" s="33"/>
      <c r="G7" s="34"/>
      <c r="H7" s="35"/>
      <c r="I7" s="35"/>
      <c r="J7" s="61"/>
      <c r="K7" s="62"/>
      <c r="L7" s="33"/>
      <c r="M7" s="33"/>
      <c r="N7" s="33"/>
      <c r="O7" s="33"/>
      <c r="P7" s="33"/>
      <c r="Q7" s="96"/>
      <c r="R7" s="97"/>
      <c r="S7" s="98"/>
      <c r="T7" s="62"/>
      <c r="U7" s="8"/>
      <c r="V7" s="135"/>
      <c r="W7" s="134"/>
      <c r="X7" s="61"/>
      <c r="AL7" s="156"/>
      <c r="AM7" s="156"/>
      <c r="AN7" s="156"/>
      <c r="AO7" s="156"/>
      <c r="AP7" s="156"/>
      <c r="AQ7" s="156"/>
      <c r="AR7" s="156"/>
      <c r="AS7" s="156"/>
      <c r="AT7" s="156"/>
      <c r="AU7" s="156"/>
      <c r="AV7" s="156"/>
      <c r="AW7" s="156"/>
      <c r="AX7" s="156"/>
      <c r="AY7" s="156"/>
      <c r="AZ7" s="156"/>
      <c r="BA7" s="156"/>
      <c r="BB7" s="156"/>
      <c r="BC7" s="156"/>
      <c r="BD7" s="156"/>
      <c r="BE7" s="156"/>
      <c r="BF7" s="156"/>
      <c r="BG7" s="156"/>
      <c r="BH7" s="156"/>
    </row>
    <row r="8" spans="1:60" ht="19.5" thickBot="1">
      <c r="A8" s="1">
        <v>1</v>
      </c>
      <c r="B8" s="7" t="s">
        <v>20</v>
      </c>
      <c r="C8" s="10">
        <v>8</v>
      </c>
      <c r="D8" s="11">
        <v>19</v>
      </c>
      <c r="E8" s="36"/>
      <c r="F8" s="36"/>
      <c r="G8" s="37">
        <v>2</v>
      </c>
      <c r="H8" s="38">
        <v>12</v>
      </c>
      <c r="I8" s="38">
        <f t="shared" ref="I8:J43" si="0">C8-G8</f>
        <v>6</v>
      </c>
      <c r="J8" s="63">
        <f t="shared" si="0"/>
        <v>7</v>
      </c>
      <c r="K8" s="62"/>
      <c r="L8" s="36">
        <v>2</v>
      </c>
      <c r="M8" s="36"/>
      <c r="N8" s="36"/>
      <c r="O8" s="36">
        <v>12</v>
      </c>
      <c r="P8" s="36"/>
      <c r="Q8" s="99"/>
      <c r="R8" s="100">
        <f t="shared" ref="R8:S59" si="1">L8+N8+P8</f>
        <v>2</v>
      </c>
      <c r="S8" s="101">
        <f t="shared" si="1"/>
        <v>12</v>
      </c>
      <c r="T8" s="62"/>
      <c r="U8" s="8">
        <f t="shared" ref="U8:U37" si="2">L8*24+N8*24+P8*24</f>
        <v>48</v>
      </c>
      <c r="V8" s="135">
        <f t="shared" ref="V8:V37" si="3">U8/24</f>
        <v>2</v>
      </c>
      <c r="W8" s="134">
        <f t="shared" ref="W8:W37" si="4">I8*24+J8</f>
        <v>151</v>
      </c>
      <c r="X8" s="61"/>
      <c r="AL8" s="157"/>
      <c r="AM8" s="157"/>
      <c r="AN8" s="157"/>
      <c r="AO8" s="157"/>
      <c r="AP8" s="157"/>
      <c r="AQ8" s="157"/>
      <c r="AR8" s="157"/>
      <c r="AS8" s="157"/>
      <c r="AT8" s="157"/>
      <c r="AU8" s="157"/>
      <c r="AV8" s="157"/>
      <c r="AW8" s="157"/>
      <c r="AX8" s="157"/>
      <c r="AY8" s="157"/>
      <c r="AZ8" s="157"/>
      <c r="BA8" s="157"/>
      <c r="BB8" s="157"/>
      <c r="BC8" s="157"/>
      <c r="BD8" s="157"/>
      <c r="BE8" s="157"/>
      <c r="BF8" s="157"/>
      <c r="BG8" s="157"/>
      <c r="BH8" s="157"/>
    </row>
    <row r="9" spans="1:60" ht="19.5" thickBot="1">
      <c r="A9" s="1">
        <f t="shared" ref="A9:A59" si="5">A8+1</f>
        <v>2</v>
      </c>
      <c r="B9" s="12" t="s">
        <v>21</v>
      </c>
      <c r="C9" s="13">
        <v>75</v>
      </c>
      <c r="D9" s="14"/>
      <c r="E9" s="39"/>
      <c r="F9" s="39"/>
      <c r="G9" s="40">
        <v>2</v>
      </c>
      <c r="H9" s="41"/>
      <c r="I9" s="40">
        <f t="shared" si="0"/>
        <v>73</v>
      </c>
      <c r="J9" s="64">
        <f t="shared" si="0"/>
        <v>0</v>
      </c>
      <c r="K9" s="65"/>
      <c r="L9" s="51">
        <v>2</v>
      </c>
      <c r="M9" s="51"/>
      <c r="N9" s="51"/>
      <c r="O9" s="51"/>
      <c r="P9" s="51"/>
      <c r="Q9" s="102"/>
      <c r="R9" s="103">
        <f t="shared" si="1"/>
        <v>2</v>
      </c>
      <c r="S9" s="104">
        <f t="shared" si="1"/>
        <v>0</v>
      </c>
      <c r="T9" s="65"/>
      <c r="U9" s="136">
        <f t="shared" si="2"/>
        <v>48</v>
      </c>
      <c r="V9" s="137">
        <f t="shared" si="3"/>
        <v>2</v>
      </c>
      <c r="W9" s="138">
        <f t="shared" si="4"/>
        <v>1752</v>
      </c>
      <c r="X9" s="139"/>
      <c r="AL9" s="157"/>
      <c r="AM9" s="157"/>
      <c r="AN9" s="157"/>
      <c r="AO9" s="157"/>
      <c r="AP9" s="157"/>
      <c r="AQ9" s="157"/>
      <c r="AR9" s="157"/>
      <c r="AS9" s="157"/>
      <c r="AT9" s="157"/>
      <c r="AU9" s="157"/>
      <c r="AV9" s="157"/>
      <c r="AW9" s="157"/>
      <c r="AX9" s="157"/>
      <c r="AY9" s="157"/>
      <c r="AZ9" s="157"/>
      <c r="BA9" s="157"/>
      <c r="BB9" s="157"/>
      <c r="BC9" s="157"/>
      <c r="BD9" s="157"/>
      <c r="BE9" s="157"/>
      <c r="BF9" s="157"/>
      <c r="BG9" s="157"/>
      <c r="BH9" s="157"/>
    </row>
    <row r="10" spans="1:60" ht="19.5" thickBot="1">
      <c r="A10" s="1">
        <f t="shared" si="5"/>
        <v>3</v>
      </c>
      <c r="B10" s="7" t="s">
        <v>22</v>
      </c>
      <c r="C10" s="10">
        <v>26</v>
      </c>
      <c r="D10" s="11"/>
      <c r="E10" s="36"/>
      <c r="F10" s="36"/>
      <c r="G10" s="37">
        <v>5</v>
      </c>
      <c r="H10" s="38"/>
      <c r="I10" s="38">
        <f t="shared" si="0"/>
        <v>21</v>
      </c>
      <c r="J10" s="66">
        <f t="shared" si="0"/>
        <v>0</v>
      </c>
      <c r="K10" s="62"/>
      <c r="L10" s="36">
        <v>4</v>
      </c>
      <c r="M10" s="36"/>
      <c r="N10" s="36">
        <v>1</v>
      </c>
      <c r="O10" s="36"/>
      <c r="P10" s="36"/>
      <c r="Q10" s="99"/>
      <c r="R10" s="105">
        <f t="shared" si="1"/>
        <v>5</v>
      </c>
      <c r="S10" s="106">
        <f t="shared" si="1"/>
        <v>0</v>
      </c>
      <c r="T10" s="62"/>
      <c r="U10" s="8">
        <f t="shared" si="2"/>
        <v>120</v>
      </c>
      <c r="V10" s="140">
        <f t="shared" si="3"/>
        <v>5</v>
      </c>
      <c r="W10" s="134">
        <f t="shared" si="4"/>
        <v>504</v>
      </c>
      <c r="X10" s="61"/>
      <c r="AL10" s="157"/>
      <c r="AM10" s="157"/>
      <c r="AN10" s="157"/>
      <c r="AO10" s="157"/>
      <c r="AP10" s="157"/>
      <c r="AQ10" s="157"/>
      <c r="AR10" s="157"/>
      <c r="AS10" s="157"/>
      <c r="AT10" s="157"/>
      <c r="AU10" s="157"/>
      <c r="AV10" s="157"/>
      <c r="AW10" s="157"/>
      <c r="AX10" s="157"/>
      <c r="AY10" s="157"/>
      <c r="AZ10" s="157"/>
      <c r="BA10" s="157"/>
      <c r="BB10" s="157"/>
      <c r="BC10" s="157"/>
      <c r="BD10" s="157"/>
      <c r="BE10" s="157"/>
      <c r="BF10" s="157"/>
      <c r="BG10" s="157"/>
      <c r="BH10" s="157"/>
    </row>
    <row r="11" spans="1:60" ht="19.5" thickBot="1">
      <c r="A11" s="1">
        <f t="shared" si="5"/>
        <v>4</v>
      </c>
      <c r="B11" s="15" t="s">
        <v>23</v>
      </c>
      <c r="C11" s="10">
        <v>24</v>
      </c>
      <c r="D11" s="11"/>
      <c r="E11" s="36"/>
      <c r="F11" s="36"/>
      <c r="G11" s="37">
        <v>4</v>
      </c>
      <c r="H11" s="38"/>
      <c r="I11" s="38">
        <f t="shared" si="0"/>
        <v>20</v>
      </c>
      <c r="J11" s="63">
        <f t="shared" si="0"/>
        <v>0</v>
      </c>
      <c r="K11" s="62"/>
      <c r="L11" s="36">
        <v>3</v>
      </c>
      <c r="M11" s="36"/>
      <c r="N11" s="36">
        <v>1</v>
      </c>
      <c r="O11" s="36"/>
      <c r="P11" s="36"/>
      <c r="Q11" s="99"/>
      <c r="R11" s="100">
        <f t="shared" si="1"/>
        <v>4</v>
      </c>
      <c r="S11" s="101">
        <f t="shared" si="1"/>
        <v>0</v>
      </c>
      <c r="T11" s="62"/>
      <c r="U11" s="8">
        <f t="shared" si="2"/>
        <v>96</v>
      </c>
      <c r="V11" s="135">
        <f t="shared" si="3"/>
        <v>4</v>
      </c>
      <c r="W11" s="134">
        <f t="shared" si="4"/>
        <v>480</v>
      </c>
      <c r="X11" s="61"/>
      <c r="AL11" s="157"/>
      <c r="AM11" s="157"/>
      <c r="AN11" s="157"/>
      <c r="AO11" s="157"/>
      <c r="AP11" s="157"/>
      <c r="AQ11" s="157"/>
      <c r="AR11" s="157"/>
      <c r="AS11" s="157"/>
      <c r="AT11" s="157"/>
      <c r="AU11" s="157"/>
      <c r="AV11" s="157"/>
      <c r="AW11" s="157"/>
      <c r="AX11" s="157"/>
      <c r="AY11" s="157"/>
      <c r="AZ11" s="157"/>
      <c r="BA11" s="157"/>
      <c r="BB11" s="157"/>
      <c r="BC11" s="157"/>
      <c r="BD11" s="157"/>
      <c r="BE11" s="157"/>
      <c r="BF11" s="157"/>
      <c r="BG11" s="157"/>
      <c r="BH11" s="157"/>
    </row>
    <row r="12" spans="1:60" ht="19.5" thickBot="1">
      <c r="A12" s="1">
        <f t="shared" si="5"/>
        <v>5</v>
      </c>
      <c r="B12" s="15" t="s">
        <v>24</v>
      </c>
      <c r="C12" s="10"/>
      <c r="D12" s="11">
        <v>2</v>
      </c>
      <c r="E12" s="36"/>
      <c r="F12" s="36"/>
      <c r="G12" s="37"/>
      <c r="H12" s="38"/>
      <c r="I12" s="38">
        <f t="shared" si="0"/>
        <v>0</v>
      </c>
      <c r="J12" s="63">
        <f t="shared" si="0"/>
        <v>2</v>
      </c>
      <c r="K12" s="62"/>
      <c r="L12" s="36"/>
      <c r="M12" s="36"/>
      <c r="N12" s="36"/>
      <c r="O12" s="36"/>
      <c r="P12" s="36"/>
      <c r="Q12" s="99"/>
      <c r="R12" s="100">
        <f t="shared" si="1"/>
        <v>0</v>
      </c>
      <c r="S12" s="101">
        <f t="shared" si="1"/>
        <v>0</v>
      </c>
      <c r="T12" s="62"/>
      <c r="U12" s="8">
        <f t="shared" si="2"/>
        <v>0</v>
      </c>
      <c r="V12" s="135">
        <f t="shared" si="3"/>
        <v>0</v>
      </c>
      <c r="W12" s="134">
        <f t="shared" si="4"/>
        <v>2</v>
      </c>
      <c r="X12" s="61"/>
      <c r="AL12" s="157"/>
      <c r="AM12" s="157"/>
      <c r="AN12" s="157"/>
      <c r="AO12" s="157"/>
      <c r="AP12" s="157"/>
      <c r="AQ12" s="157"/>
      <c r="AR12" s="157"/>
      <c r="AS12" s="157"/>
      <c r="AT12" s="157"/>
      <c r="AU12" s="157"/>
      <c r="AV12" s="157"/>
      <c r="AW12" s="157"/>
      <c r="AX12" s="157"/>
      <c r="AY12" s="157"/>
      <c r="AZ12" s="157"/>
      <c r="BA12" s="157"/>
      <c r="BB12" s="157"/>
      <c r="BC12" s="157"/>
      <c r="BD12" s="157"/>
      <c r="BE12" s="157"/>
      <c r="BF12" s="157"/>
      <c r="BG12" s="157"/>
      <c r="BH12" s="157"/>
    </row>
    <row r="13" spans="1:60" s="2" customFormat="1" ht="19.5" thickBot="1">
      <c r="A13" s="1">
        <f t="shared" si="5"/>
        <v>6</v>
      </c>
      <c r="B13" s="12" t="s">
        <v>25</v>
      </c>
      <c r="C13" s="13">
        <v>3146</v>
      </c>
      <c r="D13" s="14"/>
      <c r="E13" s="39"/>
      <c r="F13" s="39"/>
      <c r="G13" s="40">
        <v>25</v>
      </c>
      <c r="H13" s="41">
        <v>36</v>
      </c>
      <c r="I13" s="44">
        <f t="shared" si="0"/>
        <v>3121</v>
      </c>
      <c r="J13" s="64">
        <f t="shared" si="0"/>
        <v>-36</v>
      </c>
      <c r="K13" s="67"/>
      <c r="L13" s="51">
        <v>3</v>
      </c>
      <c r="M13" s="51">
        <v>12</v>
      </c>
      <c r="N13" s="51">
        <v>7</v>
      </c>
      <c r="O13" s="51">
        <v>12</v>
      </c>
      <c r="P13" s="51">
        <v>15</v>
      </c>
      <c r="Q13" s="102">
        <v>12</v>
      </c>
      <c r="R13" s="107">
        <f t="shared" si="1"/>
        <v>25</v>
      </c>
      <c r="S13" s="104">
        <f t="shared" si="1"/>
        <v>36</v>
      </c>
      <c r="T13" s="67"/>
      <c r="U13" s="136">
        <f t="shared" si="2"/>
        <v>600</v>
      </c>
      <c r="V13" s="141">
        <f t="shared" si="3"/>
        <v>25</v>
      </c>
      <c r="W13" s="138">
        <f t="shared" si="4"/>
        <v>74868</v>
      </c>
      <c r="X13" s="139"/>
      <c r="Y13" s="3"/>
      <c r="AD13" s="3"/>
      <c r="AG13" s="3"/>
      <c r="AH13" s="3"/>
      <c r="AI13" s="3"/>
      <c r="AJ13" s="3"/>
      <c r="AK13" s="3"/>
      <c r="AL13" s="157"/>
      <c r="AM13" s="157"/>
      <c r="AN13" s="157"/>
      <c r="AO13" s="157"/>
      <c r="AP13" s="157"/>
      <c r="AQ13" s="157"/>
      <c r="AR13" s="157"/>
      <c r="AS13" s="157"/>
      <c r="AT13" s="157"/>
      <c r="AU13" s="157"/>
      <c r="AV13" s="157"/>
      <c r="AW13" s="157"/>
      <c r="AX13" s="157"/>
      <c r="AY13" s="157"/>
      <c r="AZ13" s="157"/>
      <c r="BA13" s="157"/>
      <c r="BB13" s="157"/>
      <c r="BC13" s="157"/>
      <c r="BD13" s="157"/>
      <c r="BE13" s="157"/>
      <c r="BF13" s="157"/>
      <c r="BG13" s="157"/>
      <c r="BH13" s="157"/>
    </row>
    <row r="14" spans="1:60" ht="19.5" thickBot="1">
      <c r="A14" s="1">
        <f t="shared" si="5"/>
        <v>7</v>
      </c>
      <c r="B14" s="7" t="s">
        <v>26</v>
      </c>
      <c r="C14" s="10">
        <v>3</v>
      </c>
      <c r="D14" s="11">
        <v>16</v>
      </c>
      <c r="E14" s="36"/>
      <c r="F14" s="36"/>
      <c r="G14" s="37"/>
      <c r="H14" s="38"/>
      <c r="I14" s="68">
        <f t="shared" si="0"/>
        <v>3</v>
      </c>
      <c r="J14" s="66">
        <f t="shared" si="0"/>
        <v>16</v>
      </c>
      <c r="K14" s="62"/>
      <c r="L14" s="36"/>
      <c r="M14" s="36"/>
      <c r="N14" s="36"/>
      <c r="O14" s="36"/>
      <c r="P14" s="36"/>
      <c r="Q14" s="99"/>
      <c r="R14" s="108">
        <f t="shared" si="1"/>
        <v>0</v>
      </c>
      <c r="S14" s="106">
        <f t="shared" si="1"/>
        <v>0</v>
      </c>
      <c r="T14" s="62"/>
      <c r="U14" s="8">
        <f t="shared" si="2"/>
        <v>0</v>
      </c>
      <c r="V14" s="33">
        <f t="shared" si="3"/>
        <v>0</v>
      </c>
      <c r="W14" s="134">
        <f t="shared" si="4"/>
        <v>88</v>
      </c>
      <c r="X14" s="61"/>
      <c r="AL14" s="157"/>
      <c r="AM14" s="157"/>
      <c r="AN14" s="157"/>
      <c r="AO14" s="157"/>
      <c r="AP14" s="157"/>
      <c r="AQ14" s="157"/>
      <c r="AR14" s="157"/>
      <c r="AS14" s="157"/>
      <c r="AT14" s="157"/>
      <c r="AU14" s="157"/>
      <c r="AV14" s="157"/>
      <c r="AW14" s="157"/>
      <c r="AX14" s="157"/>
      <c r="AY14" s="157"/>
      <c r="AZ14" s="157"/>
      <c r="BA14" s="157"/>
      <c r="BB14" s="157"/>
      <c r="BC14" s="157"/>
      <c r="BD14" s="157"/>
      <c r="BE14" s="157"/>
      <c r="BF14" s="157"/>
      <c r="BG14" s="157"/>
      <c r="BH14" s="157"/>
    </row>
    <row r="15" spans="1:60" ht="19.5" thickBot="1">
      <c r="A15" s="1">
        <f t="shared" si="5"/>
        <v>8</v>
      </c>
      <c r="B15" s="15" t="s">
        <v>27</v>
      </c>
      <c r="C15" s="10">
        <v>4</v>
      </c>
      <c r="D15" s="11"/>
      <c r="E15" s="36"/>
      <c r="F15" s="36"/>
      <c r="G15" s="37"/>
      <c r="H15" s="38"/>
      <c r="I15" s="38">
        <f t="shared" si="0"/>
        <v>4</v>
      </c>
      <c r="J15" s="63">
        <f t="shared" si="0"/>
        <v>0</v>
      </c>
      <c r="K15" s="62"/>
      <c r="L15" s="36"/>
      <c r="M15" s="36"/>
      <c r="N15" s="36"/>
      <c r="O15" s="36"/>
      <c r="P15" s="36"/>
      <c r="Q15" s="99"/>
      <c r="R15" s="100">
        <f t="shared" si="1"/>
        <v>0</v>
      </c>
      <c r="S15" s="101">
        <f t="shared" si="1"/>
        <v>0</v>
      </c>
      <c r="T15" s="62"/>
      <c r="U15" s="8">
        <f t="shared" si="2"/>
        <v>0</v>
      </c>
      <c r="V15" s="135">
        <f t="shared" si="3"/>
        <v>0</v>
      </c>
      <c r="W15" s="134">
        <f t="shared" si="4"/>
        <v>96</v>
      </c>
      <c r="X15" s="61"/>
      <c r="AL15" s="157"/>
      <c r="AM15" s="157"/>
      <c r="AN15" s="157"/>
      <c r="AO15" s="157"/>
      <c r="AP15" s="157"/>
      <c r="AQ15" s="157"/>
      <c r="AR15" s="157"/>
      <c r="AS15" s="157"/>
      <c r="AT15" s="157"/>
      <c r="AU15" s="157"/>
      <c r="AV15" s="157"/>
      <c r="AW15" s="157"/>
      <c r="AX15" s="157"/>
      <c r="AY15" s="157"/>
      <c r="AZ15" s="157"/>
      <c r="BA15" s="157"/>
      <c r="BB15" s="157"/>
      <c r="BC15" s="157"/>
      <c r="BD15" s="157"/>
      <c r="BE15" s="157"/>
      <c r="BF15" s="157"/>
      <c r="BG15" s="157"/>
      <c r="BH15" s="157"/>
    </row>
    <row r="16" spans="1:60" ht="19.5" thickBot="1">
      <c r="A16" s="1">
        <f t="shared" si="5"/>
        <v>9</v>
      </c>
      <c r="B16" s="15" t="s">
        <v>28</v>
      </c>
      <c r="C16" s="10">
        <v>1</v>
      </c>
      <c r="D16" s="11"/>
      <c r="E16" s="36"/>
      <c r="F16" s="36"/>
      <c r="G16" s="37"/>
      <c r="H16" s="38"/>
      <c r="I16" s="38">
        <f t="shared" si="0"/>
        <v>1</v>
      </c>
      <c r="J16" s="63">
        <f t="shared" si="0"/>
        <v>0</v>
      </c>
      <c r="K16" s="62"/>
      <c r="L16" s="36"/>
      <c r="M16" s="36"/>
      <c r="N16" s="36"/>
      <c r="O16" s="36"/>
      <c r="P16" s="36"/>
      <c r="Q16" s="99"/>
      <c r="R16" s="100">
        <f t="shared" si="1"/>
        <v>0</v>
      </c>
      <c r="S16" s="101">
        <f t="shared" si="1"/>
        <v>0</v>
      </c>
      <c r="T16" s="62"/>
      <c r="U16" s="8">
        <f t="shared" si="2"/>
        <v>0</v>
      </c>
      <c r="V16" s="135">
        <f t="shared" si="3"/>
        <v>0</v>
      </c>
      <c r="W16" s="134">
        <f t="shared" si="4"/>
        <v>24</v>
      </c>
      <c r="X16" s="61"/>
      <c r="AL16" s="157"/>
      <c r="AM16" s="157"/>
      <c r="AN16" s="157"/>
      <c r="AO16" s="157"/>
      <c r="AP16" s="157"/>
      <c r="AQ16" s="157"/>
      <c r="AR16" s="157"/>
      <c r="AS16" s="157"/>
      <c r="AT16" s="157"/>
      <c r="AU16" s="157"/>
      <c r="AV16" s="157"/>
      <c r="AW16" s="157"/>
      <c r="AX16" s="157"/>
      <c r="AY16" s="157"/>
      <c r="AZ16" s="157"/>
      <c r="BA16" s="157"/>
      <c r="BB16" s="157"/>
      <c r="BC16" s="157"/>
      <c r="BD16" s="157"/>
      <c r="BE16" s="157"/>
      <c r="BF16" s="157"/>
      <c r="BG16" s="157"/>
      <c r="BH16" s="157"/>
    </row>
    <row r="17" spans="1:60" ht="19.5" thickBot="1">
      <c r="A17" s="1">
        <f t="shared" si="5"/>
        <v>10</v>
      </c>
      <c r="B17" s="15" t="s">
        <v>29</v>
      </c>
      <c r="C17" s="10"/>
      <c r="D17" s="11"/>
      <c r="E17" s="36"/>
      <c r="F17" s="36"/>
      <c r="G17" s="37"/>
      <c r="H17" s="38"/>
      <c r="I17" s="38">
        <f t="shared" si="0"/>
        <v>0</v>
      </c>
      <c r="J17" s="63">
        <f t="shared" si="0"/>
        <v>0</v>
      </c>
      <c r="K17" s="62"/>
      <c r="L17" s="36"/>
      <c r="M17" s="36"/>
      <c r="N17" s="36"/>
      <c r="O17" s="36"/>
      <c r="P17" s="36"/>
      <c r="Q17" s="99"/>
      <c r="R17" s="100">
        <f t="shared" si="1"/>
        <v>0</v>
      </c>
      <c r="S17" s="101">
        <f t="shared" si="1"/>
        <v>0</v>
      </c>
      <c r="T17" s="62"/>
      <c r="U17" s="8">
        <f t="shared" si="2"/>
        <v>0</v>
      </c>
      <c r="V17" s="135">
        <f t="shared" si="3"/>
        <v>0</v>
      </c>
      <c r="W17" s="134">
        <f t="shared" si="4"/>
        <v>0</v>
      </c>
      <c r="X17" s="61"/>
      <c r="AL17" s="157"/>
      <c r="AM17" s="157"/>
      <c r="AN17" s="157"/>
      <c r="AO17" s="157"/>
      <c r="AP17" s="157"/>
      <c r="AQ17" s="157"/>
      <c r="AR17" s="157"/>
      <c r="AS17" s="157"/>
      <c r="AT17" s="157"/>
      <c r="AU17" s="157"/>
      <c r="AV17" s="157"/>
      <c r="AW17" s="157"/>
      <c r="AX17" s="157"/>
      <c r="AY17" s="157"/>
      <c r="AZ17" s="157"/>
      <c r="BA17" s="157"/>
      <c r="BB17" s="157"/>
      <c r="BC17" s="157"/>
      <c r="BD17" s="157"/>
      <c r="BE17" s="157"/>
      <c r="BF17" s="157"/>
      <c r="BG17" s="157"/>
      <c r="BH17" s="157"/>
    </row>
    <row r="18" spans="1:60" ht="19.5" thickBot="1">
      <c r="A18" s="1">
        <f t="shared" si="5"/>
        <v>11</v>
      </c>
      <c r="B18" s="15" t="s">
        <v>30</v>
      </c>
      <c r="C18" s="10">
        <v>3</v>
      </c>
      <c r="D18" s="11"/>
      <c r="E18" s="36"/>
      <c r="F18" s="36"/>
      <c r="G18" s="37"/>
      <c r="H18" s="38"/>
      <c r="I18" s="38">
        <f t="shared" si="0"/>
        <v>3</v>
      </c>
      <c r="J18" s="63">
        <f t="shared" si="0"/>
        <v>0</v>
      </c>
      <c r="K18" s="62"/>
      <c r="L18" s="36"/>
      <c r="M18" s="36"/>
      <c r="N18" s="36"/>
      <c r="O18" s="36"/>
      <c r="P18" s="36"/>
      <c r="Q18" s="99"/>
      <c r="R18" s="100">
        <f t="shared" si="1"/>
        <v>0</v>
      </c>
      <c r="S18" s="101">
        <f t="shared" si="1"/>
        <v>0</v>
      </c>
      <c r="T18" s="62"/>
      <c r="U18" s="8">
        <f t="shared" si="2"/>
        <v>0</v>
      </c>
      <c r="V18" s="135">
        <f t="shared" si="3"/>
        <v>0</v>
      </c>
      <c r="W18" s="134">
        <f t="shared" si="4"/>
        <v>72</v>
      </c>
      <c r="X18" s="61"/>
      <c r="AL18" s="157"/>
      <c r="AM18" s="157"/>
      <c r="AN18" s="157"/>
      <c r="AO18" s="157"/>
      <c r="AP18" s="157"/>
      <c r="AQ18" s="157"/>
      <c r="AR18" s="157"/>
      <c r="AS18" s="157"/>
      <c r="AT18" s="157"/>
      <c r="AU18" s="157"/>
      <c r="AV18" s="157"/>
      <c r="AW18" s="157"/>
      <c r="AX18" s="157"/>
      <c r="AY18" s="157"/>
      <c r="AZ18" s="157"/>
      <c r="BA18" s="157"/>
      <c r="BB18" s="157"/>
      <c r="BC18" s="157"/>
      <c r="BD18" s="157"/>
      <c r="BE18" s="157"/>
      <c r="BF18" s="157"/>
      <c r="BG18" s="157"/>
      <c r="BH18" s="157"/>
    </row>
    <row r="19" spans="1:60" ht="18.75" hidden="1" customHeight="1">
      <c r="A19" s="1">
        <f t="shared" si="5"/>
        <v>12</v>
      </c>
      <c r="B19" s="15" t="s">
        <v>31</v>
      </c>
      <c r="C19" s="10"/>
      <c r="D19" s="11"/>
      <c r="E19" s="36"/>
      <c r="F19" s="36"/>
      <c r="G19" s="37"/>
      <c r="H19" s="38"/>
      <c r="I19" s="38">
        <f t="shared" si="0"/>
        <v>0</v>
      </c>
      <c r="J19" s="63">
        <f t="shared" si="0"/>
        <v>0</v>
      </c>
      <c r="K19" s="62"/>
      <c r="L19" s="36"/>
      <c r="M19" s="36"/>
      <c r="N19" s="36"/>
      <c r="O19" s="36"/>
      <c r="P19" s="36"/>
      <c r="Q19" s="99"/>
      <c r="R19" s="100">
        <f t="shared" si="1"/>
        <v>0</v>
      </c>
      <c r="S19" s="101">
        <f t="shared" si="1"/>
        <v>0</v>
      </c>
      <c r="T19" s="62"/>
      <c r="U19" s="8">
        <f t="shared" si="2"/>
        <v>0</v>
      </c>
      <c r="V19" s="135">
        <f t="shared" si="3"/>
        <v>0</v>
      </c>
      <c r="W19" s="134">
        <f t="shared" si="4"/>
        <v>0</v>
      </c>
      <c r="X19" s="61"/>
      <c r="AL19" s="157"/>
      <c r="AM19" s="157"/>
      <c r="AN19" s="157"/>
      <c r="AO19" s="157"/>
      <c r="AP19" s="157"/>
      <c r="AQ19" s="157"/>
      <c r="AR19" s="157"/>
      <c r="AS19" s="157"/>
      <c r="AT19" s="157"/>
      <c r="AU19" s="157"/>
      <c r="AV19" s="157"/>
      <c r="AW19" s="157"/>
      <c r="AX19" s="157"/>
      <c r="AY19" s="157"/>
      <c r="AZ19" s="157"/>
      <c r="BA19" s="157"/>
      <c r="BB19" s="157"/>
      <c r="BC19" s="157"/>
      <c r="BD19" s="157"/>
      <c r="BE19" s="157"/>
      <c r="BF19" s="157"/>
      <c r="BG19" s="157"/>
      <c r="BH19" s="157"/>
    </row>
    <row r="20" spans="1:60" ht="19.5" thickBot="1">
      <c r="A20" s="1">
        <f t="shared" si="5"/>
        <v>13</v>
      </c>
      <c r="B20" s="15" t="s">
        <v>32</v>
      </c>
      <c r="C20" s="10">
        <v>4</v>
      </c>
      <c r="D20" s="11">
        <v>20</v>
      </c>
      <c r="E20" s="36"/>
      <c r="F20" s="36"/>
      <c r="G20" s="37"/>
      <c r="H20" s="38"/>
      <c r="I20" s="38">
        <f t="shared" si="0"/>
        <v>4</v>
      </c>
      <c r="J20" s="63">
        <f t="shared" si="0"/>
        <v>20</v>
      </c>
      <c r="K20" s="62"/>
      <c r="L20" s="36"/>
      <c r="M20" s="36"/>
      <c r="N20" s="36"/>
      <c r="O20" s="36"/>
      <c r="P20" s="36"/>
      <c r="Q20" s="99"/>
      <c r="R20" s="100">
        <f t="shared" si="1"/>
        <v>0</v>
      </c>
      <c r="S20" s="101">
        <f t="shared" si="1"/>
        <v>0</v>
      </c>
      <c r="T20" s="62"/>
      <c r="U20" s="8">
        <f t="shared" si="2"/>
        <v>0</v>
      </c>
      <c r="V20" s="135">
        <f t="shared" si="3"/>
        <v>0</v>
      </c>
      <c r="W20" s="134">
        <f t="shared" si="4"/>
        <v>116</v>
      </c>
      <c r="X20" s="61"/>
      <c r="AL20" s="157"/>
      <c r="AM20" s="157"/>
      <c r="AN20" s="157"/>
      <c r="AO20" s="157"/>
      <c r="AP20" s="157"/>
      <c r="AQ20" s="157"/>
      <c r="AR20" s="157"/>
      <c r="AS20" s="157"/>
      <c r="AT20" s="157"/>
      <c r="AU20" s="157"/>
      <c r="AV20" s="157"/>
      <c r="AW20" s="157"/>
      <c r="AX20" s="157"/>
      <c r="AY20" s="157"/>
      <c r="AZ20" s="157"/>
      <c r="BA20" s="157"/>
      <c r="BB20" s="157"/>
      <c r="BC20" s="157"/>
      <c r="BD20" s="157"/>
      <c r="BE20" s="157"/>
      <c r="BF20" s="157"/>
      <c r="BG20" s="157"/>
      <c r="BH20" s="157"/>
    </row>
    <row r="21" spans="1:60" ht="19.5" thickBot="1">
      <c r="A21" s="1">
        <f t="shared" si="5"/>
        <v>14</v>
      </c>
      <c r="B21" s="15" t="s">
        <v>33</v>
      </c>
      <c r="C21" s="10">
        <v>7</v>
      </c>
      <c r="D21" s="11">
        <v>16</v>
      </c>
      <c r="E21" s="36"/>
      <c r="F21" s="36"/>
      <c r="G21" s="37"/>
      <c r="H21" s="38">
        <v>16</v>
      </c>
      <c r="I21" s="38">
        <f t="shared" si="0"/>
        <v>7</v>
      </c>
      <c r="J21" s="63">
        <f t="shared" si="0"/>
        <v>0</v>
      </c>
      <c r="K21" s="62"/>
      <c r="L21" s="36"/>
      <c r="M21" s="36">
        <v>16</v>
      </c>
      <c r="N21" s="36"/>
      <c r="O21" s="36"/>
      <c r="P21" s="36"/>
      <c r="Q21" s="99"/>
      <c r="R21" s="100">
        <f t="shared" si="1"/>
        <v>0</v>
      </c>
      <c r="S21" s="101">
        <f t="shared" si="1"/>
        <v>16</v>
      </c>
      <c r="T21" s="62"/>
      <c r="U21" s="8">
        <f t="shared" si="2"/>
        <v>0</v>
      </c>
      <c r="V21" s="135">
        <f t="shared" si="3"/>
        <v>0</v>
      </c>
      <c r="W21" s="134">
        <f t="shared" si="4"/>
        <v>168</v>
      </c>
      <c r="X21" s="61"/>
      <c r="AL21" s="157"/>
      <c r="AM21" s="157"/>
      <c r="AN21" s="157"/>
      <c r="AO21" s="157"/>
      <c r="AP21" s="157"/>
      <c r="AQ21" s="157"/>
      <c r="AR21" s="157"/>
      <c r="AS21" s="157"/>
      <c r="AT21" s="157"/>
      <c r="AU21" s="157"/>
      <c r="AV21" s="157"/>
      <c r="AW21" s="157"/>
      <c r="AX21" s="157"/>
      <c r="AY21" s="157"/>
      <c r="AZ21" s="157"/>
      <c r="BA21" s="157"/>
      <c r="BB21" s="157"/>
      <c r="BC21" s="157"/>
      <c r="BD21" s="157"/>
      <c r="BE21" s="157"/>
      <c r="BF21" s="157"/>
      <c r="BG21" s="157"/>
      <c r="BH21" s="157"/>
    </row>
    <row r="22" spans="1:60" ht="19.5" thickBot="1">
      <c r="A22" s="1">
        <f t="shared" si="5"/>
        <v>15</v>
      </c>
      <c r="B22" s="15" t="s">
        <v>34</v>
      </c>
      <c r="C22" s="10">
        <v>4</v>
      </c>
      <c r="D22" s="11"/>
      <c r="E22" s="36"/>
      <c r="F22" s="36"/>
      <c r="G22" s="37"/>
      <c r="H22" s="38"/>
      <c r="I22" s="38">
        <f t="shared" si="0"/>
        <v>4</v>
      </c>
      <c r="J22" s="63">
        <f t="shared" si="0"/>
        <v>0</v>
      </c>
      <c r="K22" s="62"/>
      <c r="L22" s="36"/>
      <c r="M22" s="36"/>
      <c r="N22" s="36"/>
      <c r="O22" s="36"/>
      <c r="P22" s="36"/>
      <c r="Q22" s="99"/>
      <c r="R22" s="100">
        <f t="shared" si="1"/>
        <v>0</v>
      </c>
      <c r="S22" s="101">
        <f t="shared" si="1"/>
        <v>0</v>
      </c>
      <c r="T22" s="62"/>
      <c r="U22" s="8">
        <f t="shared" si="2"/>
        <v>0</v>
      </c>
      <c r="V22" s="135">
        <f t="shared" si="3"/>
        <v>0</v>
      </c>
      <c r="W22" s="134">
        <f t="shared" si="4"/>
        <v>96</v>
      </c>
      <c r="X22" s="61"/>
      <c r="AL22" s="157"/>
      <c r="AM22" s="157"/>
      <c r="AN22" s="157"/>
      <c r="AO22" s="157"/>
      <c r="AP22" s="157"/>
      <c r="AQ22" s="157"/>
      <c r="AR22" s="157"/>
      <c r="AS22" s="157"/>
      <c r="AT22" s="157"/>
      <c r="AU22" s="157"/>
      <c r="AV22" s="157"/>
      <c r="AW22" s="157"/>
      <c r="AX22" s="157"/>
      <c r="AY22" s="157"/>
      <c r="AZ22" s="157"/>
      <c r="BA22" s="157"/>
      <c r="BB22" s="157"/>
      <c r="BC22" s="157"/>
      <c r="BD22" s="157"/>
      <c r="BE22" s="157"/>
      <c r="BF22" s="157"/>
      <c r="BG22" s="157"/>
      <c r="BH22" s="157"/>
    </row>
    <row r="23" spans="1:60" s="2" customFormat="1" ht="19.5" thickBot="1">
      <c r="A23" s="1">
        <f t="shared" si="5"/>
        <v>16</v>
      </c>
      <c r="B23" s="15" t="s">
        <v>35</v>
      </c>
      <c r="C23" s="10">
        <v>1</v>
      </c>
      <c r="D23" s="11">
        <v>20</v>
      </c>
      <c r="E23" s="36"/>
      <c r="F23" s="36"/>
      <c r="G23" s="37"/>
      <c r="H23" s="38"/>
      <c r="I23" s="38">
        <f t="shared" si="0"/>
        <v>1</v>
      </c>
      <c r="J23" s="63">
        <f t="shared" si="0"/>
        <v>20</v>
      </c>
      <c r="K23" s="69"/>
      <c r="L23" s="36"/>
      <c r="M23" s="36"/>
      <c r="N23" s="36"/>
      <c r="O23" s="36"/>
      <c r="P23" s="36"/>
      <c r="Q23" s="99"/>
      <c r="R23" s="100">
        <f t="shared" si="1"/>
        <v>0</v>
      </c>
      <c r="S23" s="101">
        <f t="shared" si="1"/>
        <v>0</v>
      </c>
      <c r="T23" s="69"/>
      <c r="U23" s="8">
        <f t="shared" si="2"/>
        <v>0</v>
      </c>
      <c r="V23" s="135">
        <f t="shared" si="3"/>
        <v>0</v>
      </c>
      <c r="W23" s="134">
        <f t="shared" si="4"/>
        <v>44</v>
      </c>
      <c r="X23" s="61"/>
      <c r="Y23" s="3"/>
      <c r="AD23" s="3"/>
      <c r="AG23" s="3"/>
      <c r="AH23" s="3"/>
      <c r="AI23" s="3"/>
      <c r="AJ23" s="3"/>
      <c r="AK23" s="3"/>
      <c r="AL23" s="157"/>
      <c r="AM23" s="157"/>
      <c r="AN23" s="157"/>
      <c r="AO23" s="157"/>
      <c r="AP23" s="157"/>
      <c r="AQ23" s="157"/>
      <c r="AR23" s="157"/>
      <c r="AS23" s="157"/>
      <c r="AT23" s="157"/>
      <c r="AU23" s="157"/>
      <c r="AV23" s="157"/>
      <c r="AW23" s="157"/>
      <c r="AX23" s="157"/>
      <c r="AY23" s="157"/>
      <c r="AZ23" s="157"/>
      <c r="BA23" s="157"/>
      <c r="BB23" s="157"/>
      <c r="BC23" s="157"/>
      <c r="BD23" s="157"/>
      <c r="BE23" s="157"/>
      <c r="BF23" s="157"/>
      <c r="BG23" s="157"/>
      <c r="BH23" s="157"/>
    </row>
    <row r="24" spans="1:60" s="2" customFormat="1" ht="19.5" thickBot="1">
      <c r="A24" s="1">
        <f t="shared" si="5"/>
        <v>17</v>
      </c>
      <c r="B24" s="15" t="s">
        <v>36</v>
      </c>
      <c r="C24" s="10">
        <v>37</v>
      </c>
      <c r="D24" s="11">
        <v>19</v>
      </c>
      <c r="E24" s="36"/>
      <c r="F24" s="36"/>
      <c r="G24" s="37"/>
      <c r="H24" s="38"/>
      <c r="I24" s="38">
        <f t="shared" si="0"/>
        <v>37</v>
      </c>
      <c r="J24" s="63">
        <f t="shared" si="0"/>
        <v>19</v>
      </c>
      <c r="K24" s="69"/>
      <c r="L24" s="36"/>
      <c r="M24" s="36"/>
      <c r="N24" s="36"/>
      <c r="O24" s="36"/>
      <c r="P24" s="36"/>
      <c r="Q24" s="99"/>
      <c r="R24" s="100">
        <f t="shared" si="1"/>
        <v>0</v>
      </c>
      <c r="S24" s="101">
        <f t="shared" si="1"/>
        <v>0</v>
      </c>
      <c r="T24" s="69"/>
      <c r="U24" s="8">
        <f t="shared" si="2"/>
        <v>0</v>
      </c>
      <c r="V24" s="135">
        <f t="shared" si="3"/>
        <v>0</v>
      </c>
      <c r="W24" s="134">
        <f t="shared" si="4"/>
        <v>907</v>
      </c>
      <c r="X24" s="61"/>
      <c r="Y24" s="3"/>
      <c r="AD24" s="3"/>
      <c r="AG24" s="3"/>
      <c r="AH24" s="3"/>
      <c r="AI24" s="3"/>
      <c r="AJ24" s="3"/>
      <c r="AK24" s="3"/>
      <c r="AL24" s="157"/>
      <c r="AM24" s="157"/>
      <c r="AN24" s="157"/>
      <c r="AO24" s="157"/>
      <c r="AP24" s="157"/>
      <c r="AQ24" s="157"/>
      <c r="AR24" s="157"/>
      <c r="AS24" s="157"/>
      <c r="AT24" s="157"/>
      <c r="AU24" s="157"/>
      <c r="AV24" s="157"/>
      <c r="AW24" s="157"/>
      <c r="AX24" s="157"/>
      <c r="AY24" s="157"/>
      <c r="AZ24" s="157"/>
      <c r="BA24" s="157"/>
      <c r="BB24" s="157"/>
      <c r="BC24" s="157"/>
      <c r="BD24" s="157"/>
      <c r="BE24" s="157"/>
      <c r="BF24" s="157"/>
      <c r="BG24" s="157"/>
      <c r="BH24" s="157"/>
    </row>
    <row r="25" spans="1:60" ht="19.5" thickBot="1">
      <c r="A25" s="1">
        <f t="shared" si="5"/>
        <v>18</v>
      </c>
      <c r="B25" s="15" t="s">
        <v>37</v>
      </c>
      <c r="C25" s="10">
        <v>10</v>
      </c>
      <c r="D25" s="11"/>
      <c r="E25" s="36"/>
      <c r="F25" s="36"/>
      <c r="G25" s="37"/>
      <c r="H25" s="38"/>
      <c r="I25" s="38">
        <f t="shared" si="0"/>
        <v>10</v>
      </c>
      <c r="J25" s="63">
        <f t="shared" si="0"/>
        <v>0</v>
      </c>
      <c r="K25" s="62"/>
      <c r="L25" s="36"/>
      <c r="M25" s="36"/>
      <c r="N25" s="36"/>
      <c r="O25" s="36"/>
      <c r="P25" s="36"/>
      <c r="Q25" s="99"/>
      <c r="R25" s="100">
        <f t="shared" si="1"/>
        <v>0</v>
      </c>
      <c r="S25" s="101">
        <f t="shared" si="1"/>
        <v>0</v>
      </c>
      <c r="T25" s="62"/>
      <c r="U25" s="8">
        <f t="shared" si="2"/>
        <v>0</v>
      </c>
      <c r="V25" s="135">
        <f t="shared" si="3"/>
        <v>0</v>
      </c>
      <c r="W25" s="134">
        <f t="shared" si="4"/>
        <v>240</v>
      </c>
      <c r="X25" s="61"/>
      <c r="AL25" s="157"/>
      <c r="AM25" s="157"/>
      <c r="AN25" s="157"/>
      <c r="AO25" s="157"/>
      <c r="AP25" s="157"/>
      <c r="AQ25" s="157"/>
      <c r="AR25" s="157"/>
      <c r="AS25" s="157"/>
      <c r="AT25" s="157"/>
      <c r="AU25" s="157"/>
      <c r="AV25" s="157"/>
      <c r="AW25" s="157"/>
      <c r="AX25" s="157"/>
      <c r="AY25" s="157"/>
      <c r="AZ25" s="157"/>
      <c r="BA25" s="157"/>
      <c r="BB25" s="157"/>
      <c r="BC25" s="157"/>
      <c r="BD25" s="157"/>
      <c r="BE25" s="157"/>
      <c r="BF25" s="157"/>
      <c r="BG25" s="157"/>
      <c r="BH25" s="157"/>
    </row>
    <row r="26" spans="1:60" ht="19.5" thickBot="1">
      <c r="A26" s="1">
        <f t="shared" si="5"/>
        <v>19</v>
      </c>
      <c r="B26" s="15" t="s">
        <v>38</v>
      </c>
      <c r="C26" s="10">
        <v>105</v>
      </c>
      <c r="D26" s="11">
        <v>1</v>
      </c>
      <c r="E26" s="36"/>
      <c r="F26" s="36"/>
      <c r="G26" s="37">
        <v>9</v>
      </c>
      <c r="H26" s="38"/>
      <c r="I26" s="38">
        <f t="shared" si="0"/>
        <v>96</v>
      </c>
      <c r="J26" s="63">
        <f t="shared" si="0"/>
        <v>1</v>
      </c>
      <c r="K26" s="62"/>
      <c r="L26" s="36">
        <v>7</v>
      </c>
      <c r="M26" s="36"/>
      <c r="N26" s="36"/>
      <c r="O26" s="36"/>
      <c r="P26" s="36">
        <v>2</v>
      </c>
      <c r="Q26" s="99"/>
      <c r="R26" s="100">
        <f t="shared" si="1"/>
        <v>9</v>
      </c>
      <c r="S26" s="101">
        <f t="shared" si="1"/>
        <v>0</v>
      </c>
      <c r="T26" s="62"/>
      <c r="U26" s="8">
        <f t="shared" si="2"/>
        <v>216</v>
      </c>
      <c r="V26" s="135">
        <f t="shared" si="3"/>
        <v>9</v>
      </c>
      <c r="W26" s="134">
        <f t="shared" si="4"/>
        <v>2305</v>
      </c>
      <c r="X26" s="61"/>
      <c r="BE26" s="158" t="e">
        <f>#REF!-BE25</f>
        <v>#REF!</v>
      </c>
    </row>
    <row r="27" spans="1:60" s="2" customFormat="1" ht="19.5" thickBot="1">
      <c r="A27" s="1">
        <f t="shared" si="5"/>
        <v>20</v>
      </c>
      <c r="B27" s="15" t="s">
        <v>39</v>
      </c>
      <c r="C27" s="10"/>
      <c r="D27" s="11"/>
      <c r="E27" s="36"/>
      <c r="F27" s="36"/>
      <c r="G27" s="37"/>
      <c r="H27" s="38"/>
      <c r="I27" s="38">
        <f t="shared" si="0"/>
        <v>0</v>
      </c>
      <c r="J27" s="63">
        <f t="shared" si="0"/>
        <v>0</v>
      </c>
      <c r="K27" s="69"/>
      <c r="L27" s="36"/>
      <c r="M27" s="36"/>
      <c r="N27" s="36"/>
      <c r="O27" s="36"/>
      <c r="P27" s="36"/>
      <c r="Q27" s="99"/>
      <c r="R27" s="100">
        <f t="shared" si="1"/>
        <v>0</v>
      </c>
      <c r="S27" s="101">
        <f t="shared" si="1"/>
        <v>0</v>
      </c>
      <c r="T27" s="69"/>
      <c r="U27" s="8">
        <f t="shared" si="2"/>
        <v>0</v>
      </c>
      <c r="V27" s="135">
        <f t="shared" si="3"/>
        <v>0</v>
      </c>
      <c r="W27" s="134">
        <f t="shared" si="4"/>
        <v>0</v>
      </c>
      <c r="X27" s="61"/>
      <c r="Y27" s="3"/>
      <c r="AD27" s="3"/>
      <c r="AG27" s="3"/>
      <c r="AH27" s="3"/>
      <c r="AI27" s="3"/>
      <c r="AJ27" s="3"/>
      <c r="AK27" s="3"/>
    </row>
    <row r="28" spans="1:60" s="2" customFormat="1" ht="19.5" thickBot="1">
      <c r="A28" s="1">
        <f t="shared" si="5"/>
        <v>21</v>
      </c>
      <c r="B28" s="15" t="s">
        <v>40</v>
      </c>
      <c r="C28" s="10">
        <v>2</v>
      </c>
      <c r="D28" s="11"/>
      <c r="E28" s="36"/>
      <c r="F28" s="36"/>
      <c r="G28" s="37"/>
      <c r="H28" s="38"/>
      <c r="I28" s="38">
        <f t="shared" si="0"/>
        <v>2</v>
      </c>
      <c r="J28" s="63">
        <f t="shared" si="0"/>
        <v>0</v>
      </c>
      <c r="K28" s="69"/>
      <c r="L28" s="36"/>
      <c r="M28" s="36"/>
      <c r="N28" s="36"/>
      <c r="O28" s="36"/>
      <c r="P28" s="36"/>
      <c r="Q28" s="99"/>
      <c r="R28" s="100">
        <f t="shared" si="1"/>
        <v>0</v>
      </c>
      <c r="S28" s="101">
        <f t="shared" si="1"/>
        <v>0</v>
      </c>
      <c r="T28" s="69"/>
      <c r="U28" s="8">
        <f t="shared" si="2"/>
        <v>0</v>
      </c>
      <c r="V28" s="135">
        <f t="shared" si="3"/>
        <v>0</v>
      </c>
      <c r="W28" s="134">
        <f t="shared" si="4"/>
        <v>48</v>
      </c>
      <c r="X28" s="61"/>
      <c r="Y28" s="3"/>
      <c r="AD28" s="3"/>
      <c r="AG28" s="3"/>
      <c r="AH28" s="3"/>
      <c r="AI28" s="3"/>
      <c r="AJ28" s="3"/>
      <c r="AK28" s="3"/>
    </row>
    <row r="29" spans="1:60" s="2" customFormat="1" ht="19.5" thickBot="1">
      <c r="A29" s="1">
        <f t="shared" si="5"/>
        <v>22</v>
      </c>
      <c r="B29" s="15" t="s">
        <v>41</v>
      </c>
      <c r="C29" s="10">
        <v>24</v>
      </c>
      <c r="D29" s="11"/>
      <c r="E29" s="36"/>
      <c r="F29" s="36"/>
      <c r="G29" s="37">
        <v>12</v>
      </c>
      <c r="H29" s="38"/>
      <c r="I29" s="38">
        <f t="shared" si="0"/>
        <v>12</v>
      </c>
      <c r="J29" s="63">
        <f t="shared" si="0"/>
        <v>0</v>
      </c>
      <c r="K29" s="69"/>
      <c r="L29" s="36">
        <v>6</v>
      </c>
      <c r="M29" s="36"/>
      <c r="N29" s="36">
        <v>3</v>
      </c>
      <c r="O29" s="36"/>
      <c r="P29" s="36">
        <v>3</v>
      </c>
      <c r="Q29" s="99"/>
      <c r="R29" s="100">
        <f t="shared" si="1"/>
        <v>12</v>
      </c>
      <c r="S29" s="101">
        <f t="shared" si="1"/>
        <v>0</v>
      </c>
      <c r="T29" s="69"/>
      <c r="U29" s="8">
        <f t="shared" si="2"/>
        <v>288</v>
      </c>
      <c r="V29" s="135">
        <f t="shared" si="3"/>
        <v>12</v>
      </c>
      <c r="W29" s="134">
        <f t="shared" si="4"/>
        <v>288</v>
      </c>
      <c r="X29" s="61"/>
      <c r="Y29" s="3"/>
      <c r="AD29" s="3"/>
      <c r="AG29" s="3"/>
      <c r="AH29" s="3"/>
      <c r="AI29" s="3"/>
      <c r="AJ29" s="3"/>
      <c r="AK29" s="3"/>
    </row>
    <row r="30" spans="1:60" ht="19.5" thickBot="1">
      <c r="A30" s="1">
        <f t="shared" si="5"/>
        <v>23</v>
      </c>
      <c r="B30" s="15" t="s">
        <v>42</v>
      </c>
      <c r="C30" s="10"/>
      <c r="D30" s="11">
        <v>5</v>
      </c>
      <c r="E30" s="36"/>
      <c r="F30" s="36"/>
      <c r="G30" s="37"/>
      <c r="H30" s="38"/>
      <c r="I30" s="38">
        <f t="shared" si="0"/>
        <v>0</v>
      </c>
      <c r="J30" s="63">
        <f t="shared" si="0"/>
        <v>5</v>
      </c>
      <c r="K30" s="62"/>
      <c r="L30" s="36"/>
      <c r="M30" s="36"/>
      <c r="N30" s="36"/>
      <c r="O30" s="36"/>
      <c r="P30" s="36"/>
      <c r="Q30" s="99"/>
      <c r="R30" s="100">
        <f t="shared" si="1"/>
        <v>0</v>
      </c>
      <c r="S30" s="101">
        <f t="shared" si="1"/>
        <v>0</v>
      </c>
      <c r="T30" s="62"/>
      <c r="U30" s="8">
        <f t="shared" si="2"/>
        <v>0</v>
      </c>
      <c r="V30" s="135">
        <f t="shared" si="3"/>
        <v>0</v>
      </c>
      <c r="W30" s="134">
        <f t="shared" si="4"/>
        <v>5</v>
      </c>
      <c r="X30" s="61"/>
    </row>
    <row r="31" spans="1:60" ht="19.5" thickBot="1">
      <c r="A31" s="1">
        <f t="shared" si="5"/>
        <v>24</v>
      </c>
      <c r="B31" s="15" t="s">
        <v>43</v>
      </c>
      <c r="C31" s="10">
        <v>2</v>
      </c>
      <c r="D31" s="11"/>
      <c r="E31" s="36"/>
      <c r="F31" s="36"/>
      <c r="G31" s="37">
        <v>1</v>
      </c>
      <c r="H31" s="38"/>
      <c r="I31" s="38">
        <f t="shared" si="0"/>
        <v>1</v>
      </c>
      <c r="J31" s="63">
        <f t="shared" si="0"/>
        <v>0</v>
      </c>
      <c r="K31" s="62"/>
      <c r="L31" s="36">
        <v>1</v>
      </c>
      <c r="M31" s="36"/>
      <c r="N31" s="36"/>
      <c r="O31" s="36"/>
      <c r="P31" s="36"/>
      <c r="Q31" s="99"/>
      <c r="R31" s="100">
        <f t="shared" si="1"/>
        <v>1</v>
      </c>
      <c r="S31" s="101">
        <f t="shared" si="1"/>
        <v>0</v>
      </c>
      <c r="T31" s="62"/>
      <c r="U31" s="8">
        <f t="shared" si="2"/>
        <v>24</v>
      </c>
      <c r="V31" s="135">
        <f t="shared" si="3"/>
        <v>1</v>
      </c>
      <c r="W31" s="134">
        <f t="shared" si="4"/>
        <v>24</v>
      </c>
      <c r="X31" s="61"/>
    </row>
    <row r="32" spans="1:60" ht="19.5" thickBot="1">
      <c r="A32" s="1">
        <f t="shared" si="5"/>
        <v>25</v>
      </c>
      <c r="B32" s="15" t="s">
        <v>44</v>
      </c>
      <c r="C32" s="10"/>
      <c r="D32" s="11"/>
      <c r="E32" s="36"/>
      <c r="F32" s="36"/>
      <c r="G32" s="37"/>
      <c r="H32" s="38"/>
      <c r="I32" s="38">
        <f t="shared" si="0"/>
        <v>0</v>
      </c>
      <c r="J32" s="63">
        <f t="shared" si="0"/>
        <v>0</v>
      </c>
      <c r="K32" s="62"/>
      <c r="L32" s="36"/>
      <c r="M32" s="36"/>
      <c r="N32" s="36"/>
      <c r="O32" s="36"/>
      <c r="P32" s="36"/>
      <c r="Q32" s="99"/>
      <c r="R32" s="100">
        <f t="shared" si="1"/>
        <v>0</v>
      </c>
      <c r="S32" s="101">
        <f t="shared" si="1"/>
        <v>0</v>
      </c>
      <c r="T32" s="62"/>
      <c r="U32" s="8">
        <f t="shared" si="2"/>
        <v>0</v>
      </c>
      <c r="V32" s="135">
        <f t="shared" si="3"/>
        <v>0</v>
      </c>
      <c r="W32" s="134">
        <f t="shared" si="4"/>
        <v>0</v>
      </c>
      <c r="X32" s="61"/>
    </row>
    <row r="33" spans="1:26" ht="19.5" thickBot="1">
      <c r="A33" s="1">
        <f t="shared" si="5"/>
        <v>26</v>
      </c>
      <c r="B33" s="15" t="s">
        <v>45</v>
      </c>
      <c r="C33" s="10">
        <v>3</v>
      </c>
      <c r="D33" s="11"/>
      <c r="E33" s="36"/>
      <c r="F33" s="36"/>
      <c r="G33" s="37">
        <v>1</v>
      </c>
      <c r="H33" s="38"/>
      <c r="I33" s="38">
        <f t="shared" si="0"/>
        <v>2</v>
      </c>
      <c r="J33" s="63">
        <f t="shared" si="0"/>
        <v>0</v>
      </c>
      <c r="K33" s="62"/>
      <c r="L33" s="36"/>
      <c r="M33" s="36"/>
      <c r="N33" s="36">
        <v>1</v>
      </c>
      <c r="O33" s="36"/>
      <c r="P33" s="36"/>
      <c r="Q33" s="99"/>
      <c r="R33" s="100">
        <f t="shared" si="1"/>
        <v>1</v>
      </c>
      <c r="S33" s="101">
        <f t="shared" si="1"/>
        <v>0</v>
      </c>
      <c r="T33" s="62"/>
      <c r="U33" s="8">
        <f t="shared" si="2"/>
        <v>24</v>
      </c>
      <c r="V33" s="135">
        <f t="shared" si="3"/>
        <v>1</v>
      </c>
      <c r="W33" s="134">
        <f t="shared" si="4"/>
        <v>48</v>
      </c>
      <c r="X33" s="61"/>
    </row>
    <row r="34" spans="1:26" ht="19.5" thickBot="1">
      <c r="A34" s="1">
        <f t="shared" si="5"/>
        <v>27</v>
      </c>
      <c r="B34" s="15" t="s">
        <v>46</v>
      </c>
      <c r="C34" s="10">
        <v>4</v>
      </c>
      <c r="D34" s="11"/>
      <c r="E34" s="36"/>
      <c r="F34" s="36"/>
      <c r="G34" s="37"/>
      <c r="H34" s="38"/>
      <c r="I34" s="38">
        <f t="shared" si="0"/>
        <v>4</v>
      </c>
      <c r="J34" s="63">
        <f t="shared" si="0"/>
        <v>0</v>
      </c>
      <c r="K34" s="62"/>
      <c r="L34" s="36"/>
      <c r="M34" s="36"/>
      <c r="N34" s="36"/>
      <c r="O34" s="36"/>
      <c r="P34" s="36"/>
      <c r="Q34" s="99"/>
      <c r="R34" s="100">
        <f t="shared" si="1"/>
        <v>0</v>
      </c>
      <c r="S34" s="101">
        <f t="shared" si="1"/>
        <v>0</v>
      </c>
      <c r="T34" s="62"/>
      <c r="U34" s="8">
        <f t="shared" si="2"/>
        <v>0</v>
      </c>
      <c r="V34" s="135">
        <f t="shared" si="3"/>
        <v>0</v>
      </c>
      <c r="W34" s="134">
        <f t="shared" si="4"/>
        <v>96</v>
      </c>
      <c r="X34" s="61"/>
    </row>
    <row r="35" spans="1:26" ht="19.5" thickBot="1">
      <c r="A35" s="1">
        <f t="shared" si="5"/>
        <v>28</v>
      </c>
      <c r="B35" s="15" t="s">
        <v>47</v>
      </c>
      <c r="C35" s="10">
        <v>61</v>
      </c>
      <c r="D35" s="11">
        <v>13</v>
      </c>
      <c r="E35" s="36"/>
      <c r="F35" s="36"/>
      <c r="G35" s="37">
        <v>5</v>
      </c>
      <c r="H35" s="38">
        <v>23</v>
      </c>
      <c r="I35" s="38">
        <f t="shared" si="0"/>
        <v>56</v>
      </c>
      <c r="J35" s="63">
        <f t="shared" si="0"/>
        <v>-10</v>
      </c>
      <c r="K35" s="62"/>
      <c r="L35" s="36">
        <v>2</v>
      </c>
      <c r="M35" s="36">
        <v>23</v>
      </c>
      <c r="N35" s="36"/>
      <c r="O35" s="36"/>
      <c r="P35" s="36">
        <v>3</v>
      </c>
      <c r="Q35" s="99"/>
      <c r="R35" s="100">
        <f t="shared" si="1"/>
        <v>5</v>
      </c>
      <c r="S35" s="101">
        <f t="shared" si="1"/>
        <v>23</v>
      </c>
      <c r="T35" s="62"/>
      <c r="U35" s="8">
        <f t="shared" si="2"/>
        <v>120</v>
      </c>
      <c r="V35" s="135">
        <f t="shared" si="3"/>
        <v>5</v>
      </c>
      <c r="W35" s="134">
        <f t="shared" si="4"/>
        <v>1334</v>
      </c>
      <c r="X35" s="61"/>
    </row>
    <row r="36" spans="1:26" ht="18.75" hidden="1" customHeight="1">
      <c r="A36" s="1">
        <f t="shared" si="5"/>
        <v>29</v>
      </c>
      <c r="B36" s="15" t="s">
        <v>48</v>
      </c>
      <c r="C36" s="10"/>
      <c r="D36" s="11"/>
      <c r="E36" s="36"/>
      <c r="F36" s="36"/>
      <c r="G36" s="37"/>
      <c r="H36" s="38"/>
      <c r="I36" s="38">
        <f t="shared" si="0"/>
        <v>0</v>
      </c>
      <c r="J36" s="63">
        <f t="shared" si="0"/>
        <v>0</v>
      </c>
      <c r="K36" s="62"/>
      <c r="L36" s="36"/>
      <c r="M36" s="36"/>
      <c r="N36" s="36"/>
      <c r="O36" s="36"/>
      <c r="P36" s="36"/>
      <c r="Q36" s="99"/>
      <c r="R36" s="100">
        <f t="shared" si="1"/>
        <v>0</v>
      </c>
      <c r="S36" s="101">
        <f t="shared" si="1"/>
        <v>0</v>
      </c>
      <c r="T36" s="62"/>
      <c r="U36" s="8">
        <f t="shared" si="2"/>
        <v>0</v>
      </c>
      <c r="V36" s="135">
        <f t="shared" si="3"/>
        <v>0</v>
      </c>
      <c r="W36" s="134">
        <f t="shared" si="4"/>
        <v>0</v>
      </c>
      <c r="X36" s="61"/>
    </row>
    <row r="37" spans="1:26" ht="18.75" customHeight="1" thickBot="1">
      <c r="A37" s="1">
        <f t="shared" si="5"/>
        <v>30</v>
      </c>
      <c r="B37" s="15" t="s">
        <v>49</v>
      </c>
      <c r="C37" s="10">
        <v>1</v>
      </c>
      <c r="D37" s="11"/>
      <c r="E37" s="36"/>
      <c r="F37" s="36"/>
      <c r="G37" s="37"/>
      <c r="H37" s="38"/>
      <c r="I37" s="38">
        <f t="shared" si="0"/>
        <v>1</v>
      </c>
      <c r="J37" s="63">
        <f t="shared" si="0"/>
        <v>0</v>
      </c>
      <c r="K37" s="62"/>
      <c r="L37" s="36"/>
      <c r="M37" s="36"/>
      <c r="N37" s="36"/>
      <c r="O37" s="36"/>
      <c r="P37" s="36"/>
      <c r="Q37" s="99"/>
      <c r="R37" s="100">
        <f t="shared" si="1"/>
        <v>0</v>
      </c>
      <c r="S37" s="101">
        <f t="shared" si="1"/>
        <v>0</v>
      </c>
      <c r="T37" s="62"/>
      <c r="U37" s="8">
        <f t="shared" si="2"/>
        <v>0</v>
      </c>
      <c r="V37" s="135">
        <f t="shared" si="3"/>
        <v>0</v>
      </c>
      <c r="W37" s="134">
        <f t="shared" si="4"/>
        <v>24</v>
      </c>
      <c r="X37" s="61"/>
    </row>
    <row r="38" spans="1:26" ht="19.5" thickBot="1">
      <c r="A38" s="1">
        <f t="shared" si="5"/>
        <v>31</v>
      </c>
      <c r="B38" s="16" t="s">
        <v>50</v>
      </c>
      <c r="C38" s="13">
        <v>4928</v>
      </c>
      <c r="D38" s="14">
        <v>2</v>
      </c>
      <c r="E38" s="39"/>
      <c r="F38" s="39"/>
      <c r="G38" s="40">
        <v>122</v>
      </c>
      <c r="H38" s="41"/>
      <c r="I38" s="53">
        <f t="shared" si="0"/>
        <v>4806</v>
      </c>
      <c r="J38" s="70">
        <f t="shared" si="0"/>
        <v>2</v>
      </c>
      <c r="K38" s="65"/>
      <c r="L38" s="51">
        <v>17</v>
      </c>
      <c r="M38" s="51"/>
      <c r="N38" s="51">
        <v>22</v>
      </c>
      <c r="O38" s="51"/>
      <c r="P38" s="51">
        <v>83</v>
      </c>
      <c r="Q38" s="102"/>
      <c r="R38" s="107">
        <f t="shared" si="1"/>
        <v>122</v>
      </c>
      <c r="S38" s="104">
        <f t="shared" si="1"/>
        <v>0</v>
      </c>
      <c r="T38" s="65"/>
      <c r="U38" s="136">
        <f>L38*6+N38*6+P38*6</f>
        <v>732</v>
      </c>
      <c r="V38" s="141">
        <f>U38/6</f>
        <v>122</v>
      </c>
      <c r="W38" s="138">
        <f>I38*6+J38</f>
        <v>28838</v>
      </c>
      <c r="X38" s="139"/>
    </row>
    <row r="39" spans="1:26" ht="19.5" thickBot="1">
      <c r="A39" s="1">
        <f t="shared" si="5"/>
        <v>32</v>
      </c>
      <c r="B39" s="7" t="s">
        <v>51</v>
      </c>
      <c r="C39" s="10">
        <v>1</v>
      </c>
      <c r="D39" s="11"/>
      <c r="E39" s="36"/>
      <c r="F39" s="36"/>
      <c r="G39" s="37">
        <v>1</v>
      </c>
      <c r="H39" s="38"/>
      <c r="I39" s="37">
        <f t="shared" si="0"/>
        <v>0</v>
      </c>
      <c r="J39" s="63">
        <f t="shared" si="0"/>
        <v>0</v>
      </c>
      <c r="K39" s="62"/>
      <c r="L39" s="36"/>
      <c r="M39" s="36"/>
      <c r="N39" s="36"/>
      <c r="O39" s="36"/>
      <c r="P39" s="36"/>
      <c r="Q39" s="99"/>
      <c r="R39" s="108">
        <f t="shared" si="1"/>
        <v>0</v>
      </c>
      <c r="S39" s="106">
        <f t="shared" si="1"/>
        <v>0</v>
      </c>
      <c r="T39" s="62"/>
      <c r="U39" s="8">
        <f t="shared" ref="U39:U41" si="6">L39*24+N39*24+P39*24</f>
        <v>0</v>
      </c>
      <c r="V39" s="33">
        <f t="shared" ref="V39:V41" si="7">U39/24</f>
        <v>0</v>
      </c>
      <c r="W39" s="134">
        <f t="shared" ref="W39:W41" si="8">I39*24+J39</f>
        <v>0</v>
      </c>
      <c r="X39" s="61"/>
    </row>
    <row r="40" spans="1:26" ht="19.5" thickBot="1">
      <c r="A40" s="1">
        <f t="shared" si="5"/>
        <v>33</v>
      </c>
      <c r="B40" s="17" t="s">
        <v>52</v>
      </c>
      <c r="C40" s="18">
        <v>2</v>
      </c>
      <c r="D40" s="19"/>
      <c r="E40" s="42"/>
      <c r="F40" s="42"/>
      <c r="G40" s="43"/>
      <c r="H40" s="44"/>
      <c r="I40" s="38">
        <f t="shared" si="0"/>
        <v>2</v>
      </c>
      <c r="J40" s="63">
        <f t="shared" si="0"/>
        <v>0</v>
      </c>
      <c r="K40" s="62"/>
      <c r="L40" s="36"/>
      <c r="M40" s="36"/>
      <c r="N40" s="36"/>
      <c r="O40" s="36"/>
      <c r="P40" s="36"/>
      <c r="Q40" s="99"/>
      <c r="R40" s="100">
        <f t="shared" si="1"/>
        <v>0</v>
      </c>
      <c r="S40" s="101">
        <f t="shared" si="1"/>
        <v>0</v>
      </c>
      <c r="T40" s="62"/>
      <c r="U40" s="142">
        <f t="shared" si="6"/>
        <v>0</v>
      </c>
      <c r="V40" s="135">
        <f t="shared" si="7"/>
        <v>0</v>
      </c>
      <c r="W40" s="143">
        <f t="shared" si="8"/>
        <v>48</v>
      </c>
      <c r="X40" s="144"/>
    </row>
    <row r="41" spans="1:26" ht="19.5" thickBot="1">
      <c r="A41" s="1">
        <f t="shared" si="5"/>
        <v>34</v>
      </c>
      <c r="B41" s="20" t="s">
        <v>53</v>
      </c>
      <c r="C41" s="21">
        <v>155</v>
      </c>
      <c r="D41" s="22">
        <v>8</v>
      </c>
      <c r="E41" s="45"/>
      <c r="F41" s="45"/>
      <c r="G41" s="46">
        <v>52</v>
      </c>
      <c r="H41" s="47"/>
      <c r="I41" s="71">
        <f t="shared" si="0"/>
        <v>103</v>
      </c>
      <c r="J41" s="72">
        <f t="shared" si="0"/>
        <v>8</v>
      </c>
      <c r="K41" s="73"/>
      <c r="L41" s="74">
        <v>52</v>
      </c>
      <c r="M41" s="74"/>
      <c r="N41" s="74"/>
      <c r="O41" s="74"/>
      <c r="P41" s="74"/>
      <c r="Q41" s="109"/>
      <c r="R41" s="110">
        <f t="shared" si="1"/>
        <v>52</v>
      </c>
      <c r="S41" s="111">
        <f t="shared" si="1"/>
        <v>0</v>
      </c>
      <c r="T41" s="73"/>
      <c r="U41" s="145">
        <f t="shared" si="6"/>
        <v>1248</v>
      </c>
      <c r="V41" s="146">
        <f t="shared" si="7"/>
        <v>52</v>
      </c>
      <c r="W41" s="146">
        <f t="shared" si="8"/>
        <v>2480</v>
      </c>
      <c r="X41" s="147"/>
    </row>
    <row r="42" spans="1:26" ht="19.5" thickBot="1">
      <c r="A42" s="1">
        <f t="shared" si="5"/>
        <v>35</v>
      </c>
      <c r="B42" s="23" t="s">
        <v>54</v>
      </c>
      <c r="C42" s="24">
        <v>446</v>
      </c>
      <c r="D42" s="25"/>
      <c r="E42" s="48"/>
      <c r="F42" s="48"/>
      <c r="G42" s="49">
        <v>32</v>
      </c>
      <c r="H42" s="50"/>
      <c r="I42" s="49">
        <f t="shared" si="0"/>
        <v>414</v>
      </c>
      <c r="J42" s="75">
        <f t="shared" si="0"/>
        <v>0</v>
      </c>
      <c r="K42" s="76"/>
      <c r="L42" s="48">
        <v>9</v>
      </c>
      <c r="M42" s="48"/>
      <c r="N42" s="48">
        <v>2</v>
      </c>
      <c r="O42" s="48"/>
      <c r="P42" s="48">
        <v>21</v>
      </c>
      <c r="Q42" s="112"/>
      <c r="R42" s="113">
        <f t="shared" si="1"/>
        <v>32</v>
      </c>
      <c r="S42" s="114">
        <f t="shared" si="1"/>
        <v>0</v>
      </c>
      <c r="T42" s="76"/>
      <c r="U42" s="148">
        <f>L42*12+N42*12+P42*12</f>
        <v>384</v>
      </c>
      <c r="V42" s="149">
        <f>U42/12</f>
        <v>32</v>
      </c>
      <c r="W42" s="150">
        <f>I42*12+J42</f>
        <v>4968</v>
      </c>
      <c r="X42" s="151"/>
    </row>
    <row r="43" spans="1:26" ht="18.75" hidden="1" customHeight="1">
      <c r="A43" s="1">
        <f t="shared" si="5"/>
        <v>36</v>
      </c>
      <c r="B43" s="7" t="s">
        <v>55</v>
      </c>
      <c r="C43" s="10"/>
      <c r="D43" s="11"/>
      <c r="E43" s="36"/>
      <c r="F43" s="36"/>
      <c r="G43" s="37"/>
      <c r="H43" s="38"/>
      <c r="I43" s="38">
        <f t="shared" si="0"/>
        <v>0</v>
      </c>
      <c r="J43" s="64">
        <f t="shared" si="0"/>
        <v>0</v>
      </c>
      <c r="K43" s="62"/>
      <c r="L43" s="36"/>
      <c r="M43" s="36"/>
      <c r="N43" s="36"/>
      <c r="O43" s="36"/>
      <c r="P43" s="36"/>
      <c r="Q43" s="99"/>
      <c r="R43" s="115">
        <f t="shared" si="1"/>
        <v>0</v>
      </c>
      <c r="S43" s="116">
        <f t="shared" si="1"/>
        <v>0</v>
      </c>
      <c r="T43" s="62"/>
      <c r="U43" s="8"/>
      <c r="V43" s="33"/>
      <c r="W43" s="134"/>
      <c r="X43" s="61"/>
    </row>
    <row r="44" spans="1:26" ht="19.5" thickBot="1">
      <c r="A44" s="1">
        <f t="shared" si="5"/>
        <v>37</v>
      </c>
      <c r="B44" s="12" t="s">
        <v>56</v>
      </c>
      <c r="C44" s="13">
        <f>26404</f>
        <v>26404</v>
      </c>
      <c r="D44" s="14">
        <v>2</v>
      </c>
      <c r="E44" s="39">
        <v>1836</v>
      </c>
      <c r="F44" s="39"/>
      <c r="G44" s="40">
        <v>842</v>
      </c>
      <c r="H44" s="41"/>
      <c r="I44" s="38">
        <f>C44+E44-G44</f>
        <v>27398</v>
      </c>
      <c r="J44" s="77">
        <f t="shared" ref="J44:J59" si="9">D44-H44</f>
        <v>2</v>
      </c>
      <c r="K44" s="65"/>
      <c r="L44" s="51">
        <v>143</v>
      </c>
      <c r="M44" s="51"/>
      <c r="N44" s="51">
        <v>276</v>
      </c>
      <c r="O44" s="51"/>
      <c r="P44" s="51">
        <v>423</v>
      </c>
      <c r="Q44" s="102"/>
      <c r="R44" s="117">
        <f t="shared" si="1"/>
        <v>842</v>
      </c>
      <c r="S44" s="118">
        <f t="shared" si="1"/>
        <v>0</v>
      </c>
      <c r="T44" s="65"/>
      <c r="U44" s="136">
        <f>L44*6+N44*6+P44*6</f>
        <v>5052</v>
      </c>
      <c r="V44" s="135">
        <f>U44/6</f>
        <v>842</v>
      </c>
      <c r="W44" s="138">
        <f>I44*6+J44</f>
        <v>164390</v>
      </c>
      <c r="X44" s="139"/>
      <c r="Z44" s="155"/>
    </row>
    <row r="45" spans="1:26" ht="18.75" hidden="1" customHeight="1">
      <c r="A45" s="1">
        <f t="shared" si="5"/>
        <v>38</v>
      </c>
      <c r="B45" s="7" t="s">
        <v>57</v>
      </c>
      <c r="C45" s="10"/>
      <c r="D45" s="11"/>
      <c r="E45" s="36"/>
      <c r="F45" s="36"/>
      <c r="G45" s="37"/>
      <c r="H45" s="38"/>
      <c r="I45" s="44">
        <f t="shared" ref="I45:I59" si="10">C45-G45</f>
        <v>0</v>
      </c>
      <c r="J45" s="63">
        <f t="shared" si="9"/>
        <v>0</v>
      </c>
      <c r="K45" s="62"/>
      <c r="L45" s="36"/>
      <c r="M45" s="36"/>
      <c r="N45" s="36"/>
      <c r="O45" s="36"/>
      <c r="P45" s="36"/>
      <c r="Q45" s="99"/>
      <c r="R45" s="108">
        <f t="shared" si="1"/>
        <v>0</v>
      </c>
      <c r="S45" s="116">
        <f t="shared" si="1"/>
        <v>0</v>
      </c>
      <c r="T45" s="62"/>
      <c r="U45" s="8"/>
      <c r="V45" s="137"/>
      <c r="W45" s="134"/>
      <c r="X45" s="61"/>
    </row>
    <row r="46" spans="1:26" ht="19.5" thickBot="1">
      <c r="A46" s="1">
        <f t="shared" si="5"/>
        <v>39</v>
      </c>
      <c r="B46" s="15" t="s">
        <v>58</v>
      </c>
      <c r="C46" s="10">
        <v>8</v>
      </c>
      <c r="D46" s="11"/>
      <c r="E46" s="36"/>
      <c r="F46" s="36"/>
      <c r="G46" s="37">
        <v>1</v>
      </c>
      <c r="H46" s="38"/>
      <c r="I46" s="68">
        <f t="shared" si="10"/>
        <v>7</v>
      </c>
      <c r="J46" s="63">
        <f t="shared" si="9"/>
        <v>0</v>
      </c>
      <c r="K46" s="62"/>
      <c r="L46" s="36"/>
      <c r="M46" s="36"/>
      <c r="N46" s="36">
        <v>1</v>
      </c>
      <c r="O46" s="36"/>
      <c r="P46" s="36"/>
      <c r="Q46" s="99"/>
      <c r="R46" s="100">
        <f t="shared" si="1"/>
        <v>1</v>
      </c>
      <c r="S46" s="119">
        <f t="shared" si="1"/>
        <v>0</v>
      </c>
      <c r="T46" s="62"/>
      <c r="U46" s="8">
        <f t="shared" ref="U46:U51" si="11">L46*24+N46*24+P46*24</f>
        <v>24</v>
      </c>
      <c r="V46" s="140">
        <f t="shared" ref="V46:V51" si="12">U46/24</f>
        <v>1</v>
      </c>
      <c r="W46" s="134">
        <f t="shared" ref="W46:W51" si="13">I46*24+J46</f>
        <v>168</v>
      </c>
      <c r="X46" s="61"/>
    </row>
    <row r="47" spans="1:26" ht="19.5" thickBot="1">
      <c r="A47" s="1">
        <f t="shared" si="5"/>
        <v>40</v>
      </c>
      <c r="B47" s="15" t="s">
        <v>59</v>
      </c>
      <c r="C47" s="10">
        <v>2</v>
      </c>
      <c r="D47" s="11"/>
      <c r="E47" s="36"/>
      <c r="F47" s="36"/>
      <c r="G47" s="37">
        <v>1</v>
      </c>
      <c r="H47" s="38"/>
      <c r="I47" s="38">
        <f t="shared" si="10"/>
        <v>1</v>
      </c>
      <c r="J47" s="63">
        <f t="shared" si="9"/>
        <v>0</v>
      </c>
      <c r="K47" s="62"/>
      <c r="L47" s="36"/>
      <c r="M47" s="36"/>
      <c r="N47" s="36">
        <v>1</v>
      </c>
      <c r="O47" s="36"/>
      <c r="P47" s="36"/>
      <c r="Q47" s="99"/>
      <c r="R47" s="100">
        <f t="shared" si="1"/>
        <v>1</v>
      </c>
      <c r="S47" s="101">
        <f t="shared" si="1"/>
        <v>0</v>
      </c>
      <c r="T47" s="62"/>
      <c r="U47" s="8">
        <f t="shared" si="11"/>
        <v>24</v>
      </c>
      <c r="V47" s="135">
        <f t="shared" si="12"/>
        <v>1</v>
      </c>
      <c r="W47" s="134">
        <f t="shared" si="13"/>
        <v>24</v>
      </c>
      <c r="X47" s="61"/>
    </row>
    <row r="48" spans="1:26" ht="19.5" thickBot="1">
      <c r="A48" s="1">
        <f t="shared" si="5"/>
        <v>41</v>
      </c>
      <c r="B48" s="12" t="s">
        <v>48</v>
      </c>
      <c r="C48" s="26">
        <v>2823</v>
      </c>
      <c r="D48" s="27">
        <v>4</v>
      </c>
      <c r="E48" s="51"/>
      <c r="F48" s="51"/>
      <c r="G48" s="52">
        <v>3</v>
      </c>
      <c r="H48" s="53"/>
      <c r="I48" s="53">
        <f t="shared" si="10"/>
        <v>2820</v>
      </c>
      <c r="J48" s="70">
        <f t="shared" si="9"/>
        <v>4</v>
      </c>
      <c r="K48" s="65"/>
      <c r="L48" s="51">
        <v>3</v>
      </c>
      <c r="M48" s="51"/>
      <c r="N48" s="51"/>
      <c r="O48" s="51"/>
      <c r="P48" s="51"/>
      <c r="Q48" s="102"/>
      <c r="R48" s="107">
        <f t="shared" si="1"/>
        <v>3</v>
      </c>
      <c r="S48" s="120">
        <f t="shared" si="1"/>
        <v>0</v>
      </c>
      <c r="T48" s="65"/>
      <c r="U48" s="136">
        <f>L48*6+N48*6+P48*6</f>
        <v>18</v>
      </c>
      <c r="V48" s="141">
        <f>U48/6</f>
        <v>3</v>
      </c>
      <c r="W48" s="138">
        <f>I48*6+J48</f>
        <v>16924</v>
      </c>
      <c r="X48" s="139"/>
    </row>
    <row r="49" spans="1:24" ht="19.5" thickBot="1">
      <c r="A49" s="1">
        <f t="shared" si="5"/>
        <v>42</v>
      </c>
      <c r="B49" s="7" t="s">
        <v>60</v>
      </c>
      <c r="C49" s="10">
        <v>1</v>
      </c>
      <c r="D49" s="11"/>
      <c r="E49" s="36"/>
      <c r="F49" s="36"/>
      <c r="G49" s="37"/>
      <c r="H49" s="38"/>
      <c r="I49" s="38">
        <f t="shared" si="10"/>
        <v>1</v>
      </c>
      <c r="J49" s="63">
        <f t="shared" si="9"/>
        <v>0</v>
      </c>
      <c r="K49" s="62"/>
      <c r="L49" s="36"/>
      <c r="M49" s="36"/>
      <c r="N49" s="36"/>
      <c r="O49" s="36"/>
      <c r="P49" s="36"/>
      <c r="Q49" s="99"/>
      <c r="R49" s="108">
        <f t="shared" si="1"/>
        <v>0</v>
      </c>
      <c r="S49" s="106">
        <f t="shared" si="1"/>
        <v>0</v>
      </c>
      <c r="T49" s="62"/>
      <c r="U49" s="8">
        <f t="shared" si="11"/>
        <v>0</v>
      </c>
      <c r="V49" s="33">
        <f t="shared" si="12"/>
        <v>0</v>
      </c>
      <c r="W49" s="134">
        <f t="shared" si="13"/>
        <v>24</v>
      </c>
      <c r="X49" s="61"/>
    </row>
    <row r="50" spans="1:24" ht="19.5" thickBot="1">
      <c r="A50" s="1">
        <f t="shared" si="5"/>
        <v>43</v>
      </c>
      <c r="B50" s="15" t="s">
        <v>61</v>
      </c>
      <c r="C50" s="10">
        <v>2</v>
      </c>
      <c r="D50" s="11"/>
      <c r="E50" s="36"/>
      <c r="F50" s="36"/>
      <c r="G50" s="37"/>
      <c r="H50" s="38"/>
      <c r="I50" s="38">
        <f t="shared" si="10"/>
        <v>2</v>
      </c>
      <c r="J50" s="63">
        <f t="shared" si="9"/>
        <v>0</v>
      </c>
      <c r="K50" s="62"/>
      <c r="L50" s="36"/>
      <c r="M50" s="36"/>
      <c r="N50" s="36"/>
      <c r="O50" s="36"/>
      <c r="P50" s="36"/>
      <c r="Q50" s="99"/>
      <c r="R50" s="100">
        <f t="shared" si="1"/>
        <v>0</v>
      </c>
      <c r="S50" s="101">
        <f t="shared" si="1"/>
        <v>0</v>
      </c>
      <c r="T50" s="62"/>
      <c r="U50" s="8">
        <f t="shared" si="11"/>
        <v>0</v>
      </c>
      <c r="V50" s="135">
        <f t="shared" si="12"/>
        <v>0</v>
      </c>
      <c r="W50" s="134">
        <f t="shared" si="13"/>
        <v>48</v>
      </c>
      <c r="X50" s="61"/>
    </row>
    <row r="51" spans="1:24" ht="19.5" thickBot="1">
      <c r="A51" s="1">
        <f t="shared" si="5"/>
        <v>44</v>
      </c>
      <c r="B51" s="15" t="s">
        <v>62</v>
      </c>
      <c r="C51" s="10"/>
      <c r="D51" s="11"/>
      <c r="E51" s="36"/>
      <c r="F51" s="36"/>
      <c r="G51" s="37"/>
      <c r="H51" s="38"/>
      <c r="I51" s="38">
        <f t="shared" si="10"/>
        <v>0</v>
      </c>
      <c r="J51" s="63">
        <f t="shared" si="9"/>
        <v>0</v>
      </c>
      <c r="K51" s="62"/>
      <c r="L51" s="36"/>
      <c r="M51" s="36"/>
      <c r="N51" s="36"/>
      <c r="O51" s="36"/>
      <c r="P51" s="36"/>
      <c r="Q51" s="99"/>
      <c r="R51" s="100">
        <f t="shared" si="1"/>
        <v>0</v>
      </c>
      <c r="S51" s="101">
        <f t="shared" si="1"/>
        <v>0</v>
      </c>
      <c r="T51" s="62"/>
      <c r="U51" s="8">
        <f t="shared" si="11"/>
        <v>0</v>
      </c>
      <c r="V51" s="135">
        <f t="shared" si="12"/>
        <v>0</v>
      </c>
      <c r="W51" s="134">
        <f t="shared" si="13"/>
        <v>0</v>
      </c>
      <c r="X51" s="61"/>
    </row>
    <row r="52" spans="1:24" ht="19.5" thickBot="1">
      <c r="A52" s="1">
        <f t="shared" si="5"/>
        <v>45</v>
      </c>
      <c r="B52" s="12" t="s">
        <v>63</v>
      </c>
      <c r="C52" s="26">
        <v>34</v>
      </c>
      <c r="D52" s="27"/>
      <c r="E52" s="51"/>
      <c r="F52" s="51"/>
      <c r="G52" s="52"/>
      <c r="H52" s="53"/>
      <c r="I52" s="53">
        <f t="shared" si="10"/>
        <v>34</v>
      </c>
      <c r="J52" s="70">
        <f t="shared" si="9"/>
        <v>0</v>
      </c>
      <c r="K52" s="65"/>
      <c r="L52" s="51"/>
      <c r="M52" s="51"/>
      <c r="N52" s="51"/>
      <c r="O52" s="51"/>
      <c r="P52" s="51"/>
      <c r="Q52" s="102"/>
      <c r="R52" s="107">
        <f t="shared" si="1"/>
        <v>0</v>
      </c>
      <c r="S52" s="120">
        <f t="shared" si="1"/>
        <v>0</v>
      </c>
      <c r="T52" s="65"/>
      <c r="U52" s="136">
        <f>L52*6+N52*6+P52*6</f>
        <v>0</v>
      </c>
      <c r="V52" s="141">
        <f>U52/6</f>
        <v>0</v>
      </c>
      <c r="W52" s="138">
        <f>I52*6+J52</f>
        <v>204</v>
      </c>
      <c r="X52" s="139"/>
    </row>
    <row r="53" spans="1:24" ht="19.5" thickBot="1">
      <c r="A53" s="1">
        <f t="shared" si="5"/>
        <v>46</v>
      </c>
      <c r="B53" s="7" t="s">
        <v>64</v>
      </c>
      <c r="C53" s="10">
        <v>2</v>
      </c>
      <c r="D53" s="11"/>
      <c r="E53" s="36"/>
      <c r="F53" s="36"/>
      <c r="G53" s="37"/>
      <c r="H53" s="38"/>
      <c r="I53" s="38">
        <f t="shared" si="10"/>
        <v>2</v>
      </c>
      <c r="J53" s="63">
        <f t="shared" si="9"/>
        <v>0</v>
      </c>
      <c r="K53" s="62"/>
      <c r="L53" s="36"/>
      <c r="M53" s="36"/>
      <c r="N53" s="36"/>
      <c r="O53" s="36"/>
      <c r="P53" s="36"/>
      <c r="Q53" s="99"/>
      <c r="R53" s="108">
        <f t="shared" si="1"/>
        <v>0</v>
      </c>
      <c r="S53" s="106">
        <f t="shared" si="1"/>
        <v>0</v>
      </c>
      <c r="T53" s="62"/>
      <c r="U53" s="8">
        <f>L53*24+N53*24+P53*24</f>
        <v>0</v>
      </c>
      <c r="V53" s="33">
        <f>U53/24</f>
        <v>0</v>
      </c>
      <c r="W53" s="134">
        <f>I53*24+J53</f>
        <v>48</v>
      </c>
      <c r="X53" s="61"/>
    </row>
    <row r="54" spans="1:24" ht="19.5" thickBot="1">
      <c r="A54" s="1">
        <f t="shared" si="5"/>
        <v>47</v>
      </c>
      <c r="B54" s="15" t="s">
        <v>65</v>
      </c>
      <c r="C54" s="10">
        <v>11</v>
      </c>
      <c r="D54" s="11"/>
      <c r="E54" s="36"/>
      <c r="F54" s="36"/>
      <c r="G54" s="37"/>
      <c r="H54" s="38"/>
      <c r="I54" s="38">
        <f t="shared" si="10"/>
        <v>11</v>
      </c>
      <c r="J54" s="63">
        <f t="shared" si="9"/>
        <v>0</v>
      </c>
      <c r="K54" s="62"/>
      <c r="L54" s="36"/>
      <c r="M54" s="36"/>
      <c r="N54" s="36"/>
      <c r="O54" s="36"/>
      <c r="P54" s="36"/>
      <c r="Q54" s="99"/>
      <c r="R54" s="100">
        <f t="shared" si="1"/>
        <v>0</v>
      </c>
      <c r="S54" s="101">
        <f t="shared" si="1"/>
        <v>0</v>
      </c>
      <c r="T54" s="62"/>
      <c r="U54" s="8">
        <f>L54*24+N54*24+P54*24</f>
        <v>0</v>
      </c>
      <c r="V54" s="135">
        <f>U54/24</f>
        <v>0</v>
      </c>
      <c r="W54" s="134">
        <f>I54*24+J54</f>
        <v>264</v>
      </c>
      <c r="X54" s="61"/>
    </row>
    <row r="55" spans="1:24" ht="19.5" thickBot="1">
      <c r="A55" s="1">
        <f t="shared" si="5"/>
        <v>48</v>
      </c>
      <c r="B55" s="15"/>
      <c r="C55" s="10"/>
      <c r="D55" s="11"/>
      <c r="E55" s="36"/>
      <c r="F55" s="36"/>
      <c r="G55" s="37"/>
      <c r="H55" s="38"/>
      <c r="I55" s="38">
        <f t="shared" si="10"/>
        <v>0</v>
      </c>
      <c r="J55" s="63">
        <f t="shared" si="9"/>
        <v>0</v>
      </c>
      <c r="K55" s="62"/>
      <c r="L55" s="36"/>
      <c r="M55" s="36"/>
      <c r="N55" s="36"/>
      <c r="O55" s="36"/>
      <c r="P55" s="36"/>
      <c r="Q55" s="99"/>
      <c r="R55" s="100">
        <f t="shared" si="1"/>
        <v>0</v>
      </c>
      <c r="S55" s="101">
        <f t="shared" si="1"/>
        <v>0</v>
      </c>
      <c r="T55" s="62"/>
      <c r="U55" s="8"/>
      <c r="V55" s="135"/>
      <c r="W55" s="134"/>
      <c r="X55" s="61"/>
    </row>
    <row r="56" spans="1:24" ht="19.5" thickBot="1">
      <c r="A56" s="1">
        <f t="shared" si="5"/>
        <v>49</v>
      </c>
      <c r="B56" s="15"/>
      <c r="C56" s="10"/>
      <c r="D56" s="11"/>
      <c r="E56" s="36"/>
      <c r="F56" s="36"/>
      <c r="G56" s="37"/>
      <c r="H56" s="38"/>
      <c r="I56" s="38">
        <f t="shared" si="10"/>
        <v>0</v>
      </c>
      <c r="J56" s="63">
        <f t="shared" si="9"/>
        <v>0</v>
      </c>
      <c r="K56" s="62"/>
      <c r="L56" s="36"/>
      <c r="M56" s="36"/>
      <c r="N56" s="36"/>
      <c r="O56" s="36"/>
      <c r="P56" s="36"/>
      <c r="Q56" s="99"/>
      <c r="R56" s="100">
        <f t="shared" si="1"/>
        <v>0</v>
      </c>
      <c r="S56" s="101">
        <f t="shared" si="1"/>
        <v>0</v>
      </c>
      <c r="T56" s="62"/>
      <c r="U56" s="8"/>
      <c r="V56" s="135"/>
      <c r="W56" s="134"/>
      <c r="X56" s="61"/>
    </row>
    <row r="57" spans="1:24" ht="19.5" thickBot="1">
      <c r="A57" s="1">
        <f t="shared" si="5"/>
        <v>50</v>
      </c>
      <c r="B57" s="15"/>
      <c r="C57" s="10"/>
      <c r="D57" s="11"/>
      <c r="E57" s="36"/>
      <c r="F57" s="36"/>
      <c r="G57" s="37"/>
      <c r="H57" s="38"/>
      <c r="I57" s="38">
        <f t="shared" si="10"/>
        <v>0</v>
      </c>
      <c r="J57" s="63">
        <f t="shared" si="9"/>
        <v>0</v>
      </c>
      <c r="K57" s="62"/>
      <c r="L57" s="36"/>
      <c r="M57" s="36"/>
      <c r="N57" s="36"/>
      <c r="O57" s="36"/>
      <c r="P57" s="36"/>
      <c r="Q57" s="99"/>
      <c r="R57" s="100">
        <f t="shared" si="1"/>
        <v>0</v>
      </c>
      <c r="S57" s="101">
        <f t="shared" si="1"/>
        <v>0</v>
      </c>
      <c r="T57" s="62"/>
      <c r="U57" s="8"/>
      <c r="V57" s="135"/>
      <c r="W57" s="134"/>
      <c r="X57" s="61"/>
    </row>
    <row r="58" spans="1:24" ht="19.5" thickBot="1">
      <c r="A58" s="1">
        <f t="shared" si="5"/>
        <v>51</v>
      </c>
      <c r="B58" s="15"/>
      <c r="C58" s="10"/>
      <c r="D58" s="11"/>
      <c r="E58" s="36"/>
      <c r="F58" s="36"/>
      <c r="G58" s="37"/>
      <c r="H58" s="38"/>
      <c r="I58" s="38">
        <f t="shared" si="10"/>
        <v>0</v>
      </c>
      <c r="J58" s="63">
        <f t="shared" si="9"/>
        <v>0</v>
      </c>
      <c r="K58" s="62"/>
      <c r="L58" s="36"/>
      <c r="M58" s="36"/>
      <c r="N58" s="36"/>
      <c r="O58" s="36"/>
      <c r="P58" s="36"/>
      <c r="Q58" s="99"/>
      <c r="R58" s="100">
        <f t="shared" si="1"/>
        <v>0</v>
      </c>
      <c r="S58" s="101">
        <f t="shared" si="1"/>
        <v>0</v>
      </c>
      <c r="T58" s="62"/>
      <c r="U58" s="8"/>
      <c r="V58" s="135"/>
      <c r="W58" s="134"/>
      <c r="X58" s="61"/>
    </row>
    <row r="59" spans="1:24" ht="19.5" thickBot="1">
      <c r="A59" s="1">
        <f t="shared" si="5"/>
        <v>52</v>
      </c>
      <c r="B59" s="15"/>
      <c r="C59" s="10"/>
      <c r="D59" s="11"/>
      <c r="E59" s="36"/>
      <c r="F59" s="36"/>
      <c r="G59" s="37"/>
      <c r="H59" s="38"/>
      <c r="I59" s="38">
        <f t="shared" si="10"/>
        <v>0</v>
      </c>
      <c r="J59" s="63">
        <f t="shared" si="9"/>
        <v>0</v>
      </c>
      <c r="K59" s="62"/>
      <c r="L59" s="36"/>
      <c r="M59" s="36"/>
      <c r="N59" s="36"/>
      <c r="O59" s="36"/>
      <c r="P59" s="36"/>
      <c r="Q59" s="99"/>
      <c r="R59" s="100">
        <f t="shared" si="1"/>
        <v>0</v>
      </c>
      <c r="S59" s="101">
        <f t="shared" si="1"/>
        <v>0</v>
      </c>
      <c r="T59" s="62"/>
      <c r="U59" s="8"/>
      <c r="V59" s="135"/>
      <c r="W59" s="134"/>
      <c r="X59" s="61"/>
    </row>
    <row r="60" spans="1:24" s="2" customFormat="1" ht="19.5" thickBot="1">
      <c r="B60" s="28" t="s">
        <v>15</v>
      </c>
      <c r="C60" s="29">
        <f t="shared" ref="C60:J60" si="14">SUM(C8:C59)</f>
        <v>38374</v>
      </c>
      <c r="D60" s="30">
        <f t="shared" si="14"/>
        <v>147</v>
      </c>
      <c r="E60" s="54">
        <f t="shared" si="14"/>
        <v>1836</v>
      </c>
      <c r="F60" s="54"/>
      <c r="G60" s="55">
        <f t="shared" si="14"/>
        <v>1120</v>
      </c>
      <c r="H60" s="56">
        <f t="shared" si="14"/>
        <v>87</v>
      </c>
      <c r="I60" s="56">
        <f t="shared" si="14"/>
        <v>39090</v>
      </c>
      <c r="J60" s="78">
        <f t="shared" si="14"/>
        <v>60</v>
      </c>
      <c r="L60" s="79">
        <f t="shared" ref="L60:S60" si="15">SUM(L8:L59)</f>
        <v>254</v>
      </c>
      <c r="M60" s="79">
        <f t="shared" si="15"/>
        <v>51</v>
      </c>
      <c r="N60" s="79">
        <f t="shared" si="15"/>
        <v>315</v>
      </c>
      <c r="O60" s="79">
        <f t="shared" si="15"/>
        <v>24</v>
      </c>
      <c r="P60" s="79">
        <f t="shared" si="15"/>
        <v>550</v>
      </c>
      <c r="Q60" s="121">
        <f t="shared" si="15"/>
        <v>12</v>
      </c>
      <c r="R60" s="122">
        <f t="shared" si="15"/>
        <v>1119</v>
      </c>
      <c r="S60" s="123">
        <f t="shared" si="15"/>
        <v>87</v>
      </c>
      <c r="U60" s="29">
        <f t="shared" ref="U60:W60" si="16">SUM(U8:U59)</f>
        <v>9066</v>
      </c>
      <c r="V60" s="152">
        <f t="shared" si="16"/>
        <v>1119</v>
      </c>
      <c r="W60" s="179">
        <f t="shared" si="16"/>
        <v>302208</v>
      </c>
      <c r="X60" s="78"/>
    </row>
    <row r="61" spans="1:24" ht="19.5" thickBot="1">
      <c r="V61" s="154"/>
    </row>
    <row r="62" spans="1:24" ht="18.75" customHeight="1">
      <c r="G62" s="197" t="s">
        <v>66</v>
      </c>
      <c r="H62" s="57"/>
      <c r="I62" s="57"/>
      <c r="J62" s="80" t="s">
        <v>67</v>
      </c>
      <c r="L62" s="81"/>
      <c r="M62" s="87"/>
      <c r="N62" s="88"/>
      <c r="O62" s="88"/>
      <c r="P62" s="88"/>
      <c r="Q62" s="124"/>
      <c r="R62" s="124"/>
      <c r="S62" s="125"/>
    </row>
    <row r="63" spans="1:24">
      <c r="G63" s="198"/>
      <c r="H63" s="58"/>
      <c r="I63" s="58"/>
      <c r="J63" s="82" t="s">
        <v>68</v>
      </c>
      <c r="L63" s="83"/>
      <c r="M63" s="89"/>
      <c r="N63" s="90"/>
      <c r="O63" s="90"/>
      <c r="P63" s="90"/>
      <c r="Q63" s="126"/>
      <c r="R63" s="126"/>
      <c r="S63" s="127"/>
    </row>
    <row r="64" spans="1:24">
      <c r="G64" s="199"/>
      <c r="H64" s="59"/>
      <c r="I64" s="59"/>
      <c r="J64" s="82" t="s">
        <v>69</v>
      </c>
      <c r="L64" s="84"/>
      <c r="M64" s="91"/>
      <c r="N64" s="92"/>
      <c r="O64" s="92"/>
      <c r="P64" s="92"/>
      <c r="Q64" s="128"/>
      <c r="R64" s="128"/>
      <c r="S64" s="129"/>
    </row>
    <row r="65" spans="2:24">
      <c r="G65" s="200" t="s">
        <v>70</v>
      </c>
      <c r="H65" s="164"/>
      <c r="I65" s="164"/>
      <c r="J65" s="82" t="s">
        <v>67</v>
      </c>
      <c r="L65" s="84"/>
      <c r="M65" s="91"/>
      <c r="N65" s="92"/>
      <c r="O65" s="92"/>
      <c r="P65" s="92"/>
      <c r="Q65" s="128"/>
      <c r="R65" s="128"/>
      <c r="S65" s="129"/>
    </row>
    <row r="66" spans="2:24">
      <c r="G66" s="200"/>
      <c r="H66" s="164"/>
      <c r="I66" s="164"/>
      <c r="J66" s="82" t="s">
        <v>68</v>
      </c>
      <c r="L66" s="83"/>
      <c r="M66" s="89"/>
      <c r="N66" s="90"/>
      <c r="O66" s="90"/>
      <c r="P66" s="90"/>
      <c r="Q66" s="126"/>
      <c r="R66" s="126"/>
      <c r="S66" s="127"/>
    </row>
    <row r="67" spans="2:24" ht="19.5" thickBot="1">
      <c r="G67" s="201"/>
      <c r="H67" s="165"/>
      <c r="I67" s="165"/>
      <c r="J67" s="167" t="s">
        <v>69</v>
      </c>
      <c r="L67" s="168"/>
      <c r="M67" s="170"/>
      <c r="N67" s="171"/>
      <c r="O67" s="171"/>
      <c r="P67" s="171"/>
      <c r="Q67" s="174"/>
      <c r="R67" s="174"/>
      <c r="S67" s="175"/>
    </row>
    <row r="69" spans="2:24" ht="49.5" customHeight="1" thickBot="1">
      <c r="B69" s="159" t="s">
        <v>71</v>
      </c>
      <c r="C69" s="5" t="s">
        <v>4</v>
      </c>
      <c r="D69" s="6"/>
      <c r="E69" s="166" t="s">
        <v>72</v>
      </c>
      <c r="L69" s="169" t="s">
        <v>12</v>
      </c>
      <c r="M69" s="172"/>
      <c r="N69" s="173" t="s">
        <v>13</v>
      </c>
      <c r="O69" s="173"/>
      <c r="P69" s="173" t="s">
        <v>14</v>
      </c>
      <c r="Q69" s="176"/>
      <c r="R69" s="176"/>
      <c r="S69" s="177" t="s">
        <v>73</v>
      </c>
      <c r="X69" s="178" t="s">
        <v>74</v>
      </c>
    </row>
    <row r="70" spans="2:24">
      <c r="B70" s="160" t="s">
        <v>47</v>
      </c>
      <c r="C70" s="161"/>
      <c r="D70" s="161"/>
      <c r="E70" s="163"/>
      <c r="L70" s="161"/>
      <c r="M70" s="161"/>
      <c r="N70" s="161"/>
      <c r="O70" s="161"/>
      <c r="P70" s="161"/>
      <c r="Q70" s="161"/>
      <c r="R70" s="161"/>
      <c r="S70" s="161"/>
      <c r="X70" s="163"/>
    </row>
    <row r="71" spans="2:24">
      <c r="B71" s="162" t="s">
        <v>75</v>
      </c>
      <c r="C71" s="161"/>
      <c r="D71" s="161"/>
      <c r="E71" s="163"/>
      <c r="L71" s="163"/>
      <c r="M71" s="163"/>
      <c r="N71" s="163"/>
      <c r="O71" s="163"/>
      <c r="P71" s="163"/>
      <c r="Q71" s="163"/>
      <c r="R71" s="163"/>
      <c r="S71" s="163"/>
      <c r="X71" s="163"/>
    </row>
    <row r="72" spans="2:24">
      <c r="B72" s="162" t="s">
        <v>76</v>
      </c>
      <c r="C72" s="161"/>
      <c r="D72" s="161"/>
      <c r="E72" s="163"/>
      <c r="L72" s="163"/>
      <c r="M72" s="163"/>
      <c r="N72" s="163"/>
      <c r="O72" s="163"/>
      <c r="P72" s="163"/>
      <c r="Q72" s="163"/>
      <c r="R72" s="163"/>
      <c r="S72" s="163"/>
      <c r="X72" s="163"/>
    </row>
    <row r="73" spans="2:24" ht="11.25" customHeight="1"/>
    <row r="74" spans="2:24">
      <c r="B74" s="162" t="s">
        <v>77</v>
      </c>
      <c r="C74" s="163"/>
      <c r="D74" s="163"/>
      <c r="E74" s="163"/>
      <c r="L74" s="163"/>
      <c r="M74" s="163"/>
      <c r="N74" s="163"/>
      <c r="O74" s="163"/>
      <c r="P74" s="163"/>
      <c r="Q74" s="163"/>
      <c r="R74" s="163"/>
      <c r="S74" s="163"/>
      <c r="X74" s="163"/>
    </row>
    <row r="75" spans="2:24">
      <c r="B75" s="162" t="s">
        <v>75</v>
      </c>
      <c r="C75" s="163"/>
      <c r="D75" s="163"/>
      <c r="E75" s="163"/>
      <c r="L75" s="163"/>
      <c r="M75" s="163"/>
      <c r="N75" s="163"/>
      <c r="O75" s="163"/>
      <c r="P75" s="163"/>
      <c r="Q75" s="163"/>
      <c r="R75" s="163"/>
      <c r="S75" s="163"/>
      <c r="X75" s="163"/>
    </row>
    <row r="76" spans="2:24">
      <c r="B76" s="162" t="s">
        <v>76</v>
      </c>
      <c r="C76" s="163"/>
      <c r="D76" s="163"/>
      <c r="E76" s="163"/>
      <c r="L76" s="163"/>
      <c r="M76" s="163"/>
      <c r="N76" s="163"/>
      <c r="O76" s="163"/>
      <c r="P76" s="163"/>
      <c r="Q76" s="163"/>
      <c r="R76" s="163"/>
      <c r="S76" s="163"/>
      <c r="X76" s="163"/>
    </row>
    <row r="77" spans="2:24" ht="11.25" customHeight="1"/>
    <row r="78" spans="2:24">
      <c r="B78" s="162" t="s">
        <v>78</v>
      </c>
      <c r="C78" s="163"/>
      <c r="D78" s="163"/>
      <c r="E78" s="163"/>
      <c r="L78" s="163"/>
      <c r="M78" s="163"/>
      <c r="N78" s="163"/>
      <c r="O78" s="163"/>
      <c r="P78" s="163"/>
      <c r="Q78" s="163"/>
      <c r="R78" s="163"/>
      <c r="S78" s="163"/>
      <c r="X78" s="163"/>
    </row>
    <row r="79" spans="2:24">
      <c r="B79" s="162" t="s">
        <v>75</v>
      </c>
      <c r="C79" s="163"/>
      <c r="D79" s="163"/>
      <c r="E79" s="163"/>
      <c r="L79" s="163"/>
      <c r="M79" s="163"/>
      <c r="N79" s="163"/>
      <c r="O79" s="163"/>
      <c r="P79" s="163"/>
      <c r="Q79" s="163"/>
      <c r="R79" s="163"/>
      <c r="S79" s="163"/>
      <c r="X79" s="163"/>
    </row>
    <row r="80" spans="2:24">
      <c r="B80" s="162" t="s">
        <v>76</v>
      </c>
      <c r="C80" s="163"/>
      <c r="D80" s="163"/>
      <c r="E80" s="163"/>
      <c r="L80" s="163"/>
      <c r="M80" s="163"/>
      <c r="N80" s="163"/>
      <c r="O80" s="163"/>
      <c r="P80" s="163"/>
      <c r="Q80" s="163"/>
      <c r="R80" s="163"/>
      <c r="S80" s="163"/>
      <c r="X80" s="163"/>
    </row>
    <row r="81" spans="2:24" ht="11.25" customHeight="1"/>
    <row r="82" spans="2:24">
      <c r="B82" s="162" t="s">
        <v>79</v>
      </c>
      <c r="C82" s="163"/>
      <c r="D82" s="163"/>
      <c r="E82" s="163"/>
      <c r="L82" s="163"/>
      <c r="M82" s="163"/>
      <c r="N82" s="163"/>
      <c r="O82" s="163"/>
      <c r="P82" s="163"/>
      <c r="Q82" s="163"/>
      <c r="R82" s="163"/>
      <c r="S82" s="163"/>
      <c r="X82" s="163"/>
    </row>
    <row r="83" spans="2:24">
      <c r="B83" s="162" t="s">
        <v>75</v>
      </c>
      <c r="C83" s="163"/>
      <c r="D83" s="163"/>
      <c r="E83" s="163"/>
      <c r="L83" s="163"/>
      <c r="M83" s="163"/>
      <c r="N83" s="163"/>
      <c r="O83" s="163"/>
      <c r="P83" s="163"/>
      <c r="Q83" s="163"/>
      <c r="R83" s="163"/>
      <c r="S83" s="163"/>
      <c r="X83" s="163"/>
    </row>
    <row r="84" spans="2:24">
      <c r="B84" s="162" t="s">
        <v>76</v>
      </c>
      <c r="C84" s="161"/>
      <c r="D84" s="161"/>
      <c r="E84" s="163"/>
      <c r="L84" s="163"/>
      <c r="M84" s="163"/>
      <c r="N84" s="163"/>
      <c r="O84" s="163"/>
      <c r="P84" s="163"/>
      <c r="Q84" s="163"/>
      <c r="R84" s="163"/>
      <c r="S84" s="163"/>
      <c r="X84" s="163"/>
    </row>
    <row r="85" spans="2:24" ht="11.25" customHeight="1"/>
    <row r="86" spans="2:24">
      <c r="B86" s="162" t="s">
        <v>80</v>
      </c>
      <c r="C86" s="163"/>
      <c r="D86" s="163"/>
      <c r="E86" s="163"/>
      <c r="L86" s="163"/>
      <c r="M86" s="163"/>
      <c r="N86" s="163"/>
      <c r="O86" s="163"/>
      <c r="P86" s="163"/>
      <c r="Q86" s="163"/>
      <c r="R86" s="163"/>
      <c r="S86" s="163"/>
      <c r="X86" s="163"/>
    </row>
    <row r="87" spans="2:24">
      <c r="B87" s="162" t="s">
        <v>75</v>
      </c>
      <c r="C87" s="163"/>
      <c r="D87" s="163"/>
      <c r="E87" s="163"/>
      <c r="L87" s="163"/>
      <c r="M87" s="163"/>
      <c r="N87" s="163"/>
      <c r="O87" s="163"/>
      <c r="P87" s="163"/>
      <c r="Q87" s="163"/>
      <c r="R87" s="163"/>
      <c r="S87" s="163"/>
      <c r="X87" s="163"/>
    </row>
    <row r="88" spans="2:24">
      <c r="B88" s="162" t="s">
        <v>76</v>
      </c>
      <c r="C88" s="163"/>
      <c r="D88" s="163"/>
      <c r="E88" s="163"/>
      <c r="L88" s="163"/>
      <c r="M88" s="163"/>
      <c r="N88" s="163"/>
      <c r="O88" s="163"/>
      <c r="P88" s="163"/>
      <c r="Q88" s="163"/>
      <c r="R88" s="163"/>
      <c r="S88" s="163"/>
      <c r="X88" s="163"/>
    </row>
    <row r="90" spans="2:24">
      <c r="B90" s="162" t="s">
        <v>81</v>
      </c>
      <c r="C90" s="163"/>
      <c r="D90" s="163"/>
      <c r="E90" s="163"/>
      <c r="L90" s="163"/>
      <c r="M90" s="163"/>
      <c r="N90" s="163"/>
      <c r="O90" s="163"/>
      <c r="P90" s="163"/>
      <c r="Q90" s="163"/>
      <c r="R90" s="163"/>
      <c r="S90" s="163"/>
      <c r="X90" s="163"/>
    </row>
  </sheetData>
  <mergeCells count="12">
    <mergeCell ref="G62:G64"/>
    <mergeCell ref="G65:G67"/>
    <mergeCell ref="P1:X1"/>
    <mergeCell ref="B4:B5"/>
    <mergeCell ref="C4:C5"/>
    <mergeCell ref="D4:D5"/>
    <mergeCell ref="E4:F4"/>
    <mergeCell ref="G4:G5"/>
    <mergeCell ref="H4:H5"/>
    <mergeCell ref="I4:I5"/>
    <mergeCell ref="J4:J5"/>
    <mergeCell ref="L4:X4"/>
  </mergeCells>
  <printOptions horizontalCentered="1" verticalCentered="1"/>
  <pageMargins left="0.196850393700787" right="0.196850393700787" top="0.196850393700787" bottom="0.196850393700787" header="0.511811023622047" footer="0.511811023622047"/>
  <pageSetup paperSize="9" scale="51" orientation="portrait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C8278-2254-46A9-B435-C3CA5B58D354}">
  <sheetPr>
    <pageSetUpPr fitToPage="1"/>
  </sheetPr>
  <dimension ref="A1:BH90"/>
  <sheetViews>
    <sheetView topLeftCell="B1" zoomScaleNormal="100" zoomScaleSheetLayoutView="85" zoomScalePageLayoutView="80" workbookViewId="0">
      <selection activeCell="P1" sqref="P1:X1"/>
    </sheetView>
  </sheetViews>
  <sheetFormatPr defaultColWidth="9.140625" defaultRowHeight="18.75"/>
  <cols>
    <col min="1" max="1" width="5.42578125" style="3" customWidth="1"/>
    <col min="2" max="2" width="12.28515625" style="3" customWidth="1"/>
    <col min="3" max="3" width="12.7109375" style="3" customWidth="1"/>
    <col min="4" max="4" width="8.5703125" style="3" bestFit="1" customWidth="1"/>
    <col min="5" max="5" width="12.140625" style="3" customWidth="1"/>
    <col min="6" max="6" width="9.85546875" style="3" customWidth="1"/>
    <col min="7" max="7" width="11" style="3" customWidth="1"/>
    <col min="8" max="8" width="8" style="3" customWidth="1"/>
    <col min="9" max="9" width="14.7109375" style="3" customWidth="1"/>
    <col min="10" max="10" width="8.28515625" style="3" customWidth="1"/>
    <col min="11" max="11" width="1.28515625" style="3" customWidth="1"/>
    <col min="12" max="12" width="11" style="3" customWidth="1"/>
    <col min="13" max="13" width="7.85546875" style="3" customWidth="1"/>
    <col min="14" max="14" width="11" style="3" customWidth="1"/>
    <col min="15" max="15" width="6.5703125" style="3" customWidth="1"/>
    <col min="16" max="16" width="11" style="3" customWidth="1"/>
    <col min="17" max="17" width="6.5703125" style="3" customWidth="1"/>
    <col min="18" max="18" width="9.5703125" style="3" customWidth="1"/>
    <col min="19" max="19" width="8.140625" style="3" customWidth="1"/>
    <col min="20" max="20" width="1.28515625" style="3" customWidth="1"/>
    <col min="21" max="21" width="12.7109375" style="3" customWidth="1"/>
    <col min="22" max="22" width="12.7109375" style="3" hidden="1" customWidth="1"/>
    <col min="23" max="23" width="14.5703125" style="3" customWidth="1"/>
    <col min="24" max="24" width="11.5703125" style="3" customWidth="1"/>
    <col min="25" max="25" width="2" style="3" customWidth="1"/>
    <col min="26" max="26" width="10.5703125" style="3" customWidth="1"/>
    <col min="27" max="55" width="7.28515625" style="3" customWidth="1"/>
    <col min="56" max="56" width="1.5703125" style="3" customWidth="1"/>
    <col min="57" max="57" width="9.42578125" style="3" customWidth="1"/>
    <col min="58" max="58" width="1.28515625" style="3" customWidth="1"/>
    <col min="59" max="59" width="12.7109375" style="3" customWidth="1"/>
    <col min="60" max="60" width="10.28515625" style="3" customWidth="1"/>
    <col min="61" max="16384" width="9.140625" style="3"/>
  </cols>
  <sheetData>
    <row r="1" spans="1:60" ht="19.5" thickBot="1">
      <c r="B1" s="2" t="s">
        <v>0</v>
      </c>
      <c r="N1" s="3" t="s">
        <v>1</v>
      </c>
      <c r="P1" s="183">
        <v>46164</v>
      </c>
      <c r="Q1" s="184"/>
      <c r="R1" s="184"/>
      <c r="S1" s="184"/>
      <c r="T1" s="184"/>
      <c r="U1" s="184"/>
      <c r="V1" s="184"/>
      <c r="W1" s="184"/>
      <c r="X1" s="185"/>
    </row>
    <row r="2" spans="1:60" ht="15" customHeight="1">
      <c r="B2" s="2" t="s">
        <v>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4" spans="1:60" ht="19.5" customHeight="1" thickBot="1">
      <c r="A4" s="4"/>
      <c r="B4" s="192" t="s">
        <v>3</v>
      </c>
      <c r="C4" s="193" t="s">
        <v>4</v>
      </c>
      <c r="D4" s="194" t="s">
        <v>5</v>
      </c>
      <c r="E4" s="186" t="s">
        <v>6</v>
      </c>
      <c r="F4" s="187"/>
      <c r="G4" s="195" t="s">
        <v>7</v>
      </c>
      <c r="H4" s="202" t="s">
        <v>5</v>
      </c>
      <c r="I4" s="204" t="s">
        <v>8</v>
      </c>
      <c r="J4" s="202" t="s">
        <v>5</v>
      </c>
      <c r="L4" s="188" t="s">
        <v>9</v>
      </c>
      <c r="M4" s="189"/>
      <c r="N4" s="189"/>
      <c r="O4" s="189"/>
      <c r="P4" s="189"/>
      <c r="Q4" s="189"/>
      <c r="R4" s="189"/>
      <c r="S4" s="189"/>
      <c r="T4" s="189"/>
      <c r="U4" s="189"/>
      <c r="V4" s="190"/>
      <c r="W4" s="189"/>
      <c r="X4" s="191"/>
    </row>
    <row r="5" spans="1:60" s="1" customFormat="1" ht="57" thickBot="1">
      <c r="A5" s="4"/>
      <c r="B5" s="192"/>
      <c r="C5" s="193"/>
      <c r="D5" s="194"/>
      <c r="E5" s="31" t="s">
        <v>10</v>
      </c>
      <c r="F5" s="32" t="s">
        <v>11</v>
      </c>
      <c r="G5" s="196"/>
      <c r="H5" s="203"/>
      <c r="I5" s="205"/>
      <c r="J5" s="203"/>
      <c r="L5" s="60" t="s">
        <v>12</v>
      </c>
      <c r="M5" s="85" t="s">
        <v>5</v>
      </c>
      <c r="N5" s="86" t="s">
        <v>13</v>
      </c>
      <c r="O5" s="85" t="s">
        <v>5</v>
      </c>
      <c r="P5" s="86" t="s">
        <v>14</v>
      </c>
      <c r="Q5" s="85" t="s">
        <v>5</v>
      </c>
      <c r="R5" s="93" t="s">
        <v>15</v>
      </c>
      <c r="S5" s="94" t="s">
        <v>5</v>
      </c>
      <c r="T5" s="95"/>
      <c r="U5" s="130" t="s">
        <v>16</v>
      </c>
      <c r="V5" s="131" t="s">
        <v>17</v>
      </c>
      <c r="W5" s="132" t="s">
        <v>18</v>
      </c>
      <c r="X5" s="133" t="s">
        <v>19</v>
      </c>
      <c r="AL5" s="156"/>
      <c r="AM5" s="156"/>
      <c r="AN5" s="156"/>
      <c r="AO5" s="156"/>
      <c r="AP5" s="156"/>
      <c r="AQ5" s="156"/>
      <c r="AR5" s="156"/>
      <c r="AS5" s="156"/>
      <c r="AT5" s="156"/>
      <c r="AU5" s="156"/>
      <c r="AV5" s="156"/>
      <c r="AW5" s="156"/>
      <c r="AX5" s="156"/>
      <c r="AY5" s="156"/>
      <c r="AZ5" s="156"/>
      <c r="BA5" s="156"/>
      <c r="BB5" s="156"/>
      <c r="BC5" s="156"/>
      <c r="BD5" s="156"/>
      <c r="BE5" s="156"/>
      <c r="BF5" s="156"/>
      <c r="BG5" s="156"/>
      <c r="BH5" s="156"/>
    </row>
    <row r="6" spans="1:60" s="1" customFormat="1" ht="19.5" thickBot="1">
      <c r="B6" s="7"/>
      <c r="C6" s="8"/>
      <c r="D6" s="9"/>
      <c r="E6" s="33"/>
      <c r="F6" s="33"/>
      <c r="G6" s="34"/>
      <c r="H6" s="35"/>
      <c r="I6" s="35"/>
      <c r="J6" s="61"/>
      <c r="K6" s="62"/>
      <c r="L6" s="33"/>
      <c r="M6" s="33"/>
      <c r="N6" s="33"/>
      <c r="O6" s="33"/>
      <c r="P6" s="33"/>
      <c r="Q6" s="96"/>
      <c r="R6" s="97"/>
      <c r="S6" s="98"/>
      <c r="T6" s="62"/>
      <c r="U6" s="8"/>
      <c r="V6" s="33"/>
      <c r="W6" s="134"/>
      <c r="X6" s="61"/>
      <c r="AL6" s="156"/>
      <c r="AM6" s="156"/>
      <c r="AN6" s="156"/>
      <c r="AO6" s="156"/>
      <c r="AP6" s="156"/>
      <c r="AQ6" s="156"/>
      <c r="AR6" s="156"/>
      <c r="AS6" s="156"/>
      <c r="AT6" s="156"/>
      <c r="AU6" s="156"/>
      <c r="AV6" s="156"/>
      <c r="AW6" s="156"/>
      <c r="AX6" s="156"/>
      <c r="AY6" s="156"/>
      <c r="AZ6" s="156"/>
      <c r="BA6" s="156"/>
      <c r="BB6" s="156"/>
      <c r="BC6" s="156"/>
      <c r="BD6" s="156"/>
      <c r="BE6" s="156"/>
      <c r="BF6" s="156"/>
      <c r="BG6" s="156"/>
      <c r="BH6" s="156"/>
    </row>
    <row r="7" spans="1:60" s="1" customFormat="1" ht="19.5" thickBot="1">
      <c r="B7" s="7"/>
      <c r="C7" s="8"/>
      <c r="D7" s="9"/>
      <c r="E7" s="33"/>
      <c r="F7" s="33"/>
      <c r="G7" s="34"/>
      <c r="H7" s="35"/>
      <c r="I7" s="35"/>
      <c r="J7" s="61"/>
      <c r="K7" s="62"/>
      <c r="L7" s="33"/>
      <c r="M7" s="33"/>
      <c r="N7" s="33"/>
      <c r="O7" s="33"/>
      <c r="P7" s="33"/>
      <c r="Q7" s="96"/>
      <c r="R7" s="97"/>
      <c r="S7" s="98"/>
      <c r="T7" s="62"/>
      <c r="U7" s="8"/>
      <c r="V7" s="135"/>
      <c r="W7" s="134"/>
      <c r="X7" s="61"/>
      <c r="AL7" s="156"/>
      <c r="AM7" s="156"/>
      <c r="AN7" s="156"/>
      <c r="AO7" s="156"/>
      <c r="AP7" s="156"/>
      <c r="AQ7" s="156"/>
      <c r="AR7" s="156"/>
      <c r="AS7" s="156"/>
      <c r="AT7" s="156"/>
      <c r="AU7" s="156"/>
      <c r="AV7" s="156"/>
      <c r="AW7" s="156"/>
      <c r="AX7" s="156"/>
      <c r="AY7" s="156"/>
      <c r="AZ7" s="156"/>
      <c r="BA7" s="156"/>
      <c r="BB7" s="156"/>
      <c r="BC7" s="156"/>
      <c r="BD7" s="156"/>
      <c r="BE7" s="156"/>
      <c r="BF7" s="156"/>
      <c r="BG7" s="156"/>
      <c r="BH7" s="156"/>
    </row>
    <row r="8" spans="1:60" ht="19.5" thickBot="1">
      <c r="A8" s="1">
        <v>1</v>
      </c>
      <c r="B8" s="7" t="s">
        <v>20</v>
      </c>
      <c r="C8" s="10">
        <v>6</v>
      </c>
      <c r="D8" s="11">
        <v>7</v>
      </c>
      <c r="E8" s="36"/>
      <c r="F8" s="36"/>
      <c r="G8" s="37"/>
      <c r="H8" s="38"/>
      <c r="I8" s="38">
        <f t="shared" ref="I8:J43" si="0">C8-G8</f>
        <v>6</v>
      </c>
      <c r="J8" s="63">
        <f t="shared" si="0"/>
        <v>7</v>
      </c>
      <c r="K8" s="62"/>
      <c r="L8" s="36"/>
      <c r="M8" s="36"/>
      <c r="N8" s="36"/>
      <c r="O8" s="36"/>
      <c r="P8" s="36"/>
      <c r="Q8" s="99"/>
      <c r="R8" s="100">
        <f t="shared" ref="R8:S59" si="1">L8+N8+P8</f>
        <v>0</v>
      </c>
      <c r="S8" s="101">
        <f t="shared" si="1"/>
        <v>0</v>
      </c>
      <c r="T8" s="62"/>
      <c r="U8" s="8">
        <f t="shared" ref="U8:U37" si="2">L8*24+N8*24+P8*24</f>
        <v>0</v>
      </c>
      <c r="V8" s="135">
        <f t="shared" ref="V8:V37" si="3">U8/24</f>
        <v>0</v>
      </c>
      <c r="W8" s="134">
        <f t="shared" ref="W8:W37" si="4">I8*24+J8</f>
        <v>151</v>
      </c>
      <c r="X8" s="61"/>
      <c r="AL8" s="157"/>
      <c r="AM8" s="157"/>
      <c r="AN8" s="157"/>
      <c r="AO8" s="157"/>
      <c r="AP8" s="157"/>
      <c r="AQ8" s="157"/>
      <c r="AR8" s="157"/>
      <c r="AS8" s="157"/>
      <c r="AT8" s="157"/>
      <c r="AU8" s="157"/>
      <c r="AV8" s="157"/>
      <c r="AW8" s="157"/>
      <c r="AX8" s="157"/>
      <c r="AY8" s="157"/>
      <c r="AZ8" s="157"/>
      <c r="BA8" s="157"/>
      <c r="BB8" s="157"/>
      <c r="BC8" s="157"/>
      <c r="BD8" s="157"/>
      <c r="BE8" s="157"/>
      <c r="BF8" s="157"/>
      <c r="BG8" s="157"/>
      <c r="BH8" s="157"/>
    </row>
    <row r="9" spans="1:60" ht="19.5" thickBot="1">
      <c r="A9" s="1">
        <f t="shared" ref="A9:A59" si="5">A8+1</f>
        <v>2</v>
      </c>
      <c r="B9" s="12" t="s">
        <v>21</v>
      </c>
      <c r="C9" s="13">
        <v>73</v>
      </c>
      <c r="D9" s="14"/>
      <c r="E9" s="39"/>
      <c r="F9" s="39"/>
      <c r="G9" s="40"/>
      <c r="H9" s="41"/>
      <c r="I9" s="40">
        <f t="shared" si="0"/>
        <v>73</v>
      </c>
      <c r="J9" s="64">
        <f t="shared" si="0"/>
        <v>0</v>
      </c>
      <c r="K9" s="65"/>
      <c r="L9" s="51"/>
      <c r="M9" s="51"/>
      <c r="N9" s="51"/>
      <c r="O9" s="51"/>
      <c r="P9" s="51"/>
      <c r="Q9" s="102"/>
      <c r="R9" s="103">
        <f t="shared" si="1"/>
        <v>0</v>
      </c>
      <c r="S9" s="104">
        <f t="shared" si="1"/>
        <v>0</v>
      </c>
      <c r="T9" s="65"/>
      <c r="U9" s="136">
        <f t="shared" si="2"/>
        <v>0</v>
      </c>
      <c r="V9" s="137">
        <f t="shared" si="3"/>
        <v>0</v>
      </c>
      <c r="W9" s="138">
        <f t="shared" si="4"/>
        <v>1752</v>
      </c>
      <c r="X9" s="139"/>
      <c r="AL9" s="157"/>
      <c r="AM9" s="157"/>
      <c r="AN9" s="157"/>
      <c r="AO9" s="157"/>
      <c r="AP9" s="157"/>
      <c r="AQ9" s="157"/>
      <c r="AR9" s="157"/>
      <c r="AS9" s="157"/>
      <c r="AT9" s="157"/>
      <c r="AU9" s="157"/>
      <c r="AV9" s="157"/>
      <c r="AW9" s="157"/>
      <c r="AX9" s="157"/>
      <c r="AY9" s="157"/>
      <c r="AZ9" s="157"/>
      <c r="BA9" s="157"/>
      <c r="BB9" s="157"/>
      <c r="BC9" s="157"/>
      <c r="BD9" s="157"/>
      <c r="BE9" s="157"/>
      <c r="BF9" s="157"/>
      <c r="BG9" s="157"/>
      <c r="BH9" s="157"/>
    </row>
    <row r="10" spans="1:60" ht="19.5" thickBot="1">
      <c r="A10" s="1">
        <f t="shared" si="5"/>
        <v>3</v>
      </c>
      <c r="B10" s="7" t="s">
        <v>22</v>
      </c>
      <c r="C10" s="10">
        <v>21</v>
      </c>
      <c r="D10" s="11"/>
      <c r="E10" s="36"/>
      <c r="F10" s="36"/>
      <c r="G10" s="37">
        <v>2</v>
      </c>
      <c r="H10" s="38"/>
      <c r="I10" s="38">
        <f t="shared" si="0"/>
        <v>19</v>
      </c>
      <c r="J10" s="66">
        <f t="shared" si="0"/>
        <v>0</v>
      </c>
      <c r="K10" s="62"/>
      <c r="L10" s="36"/>
      <c r="M10" s="36"/>
      <c r="N10" s="36">
        <v>2</v>
      </c>
      <c r="O10" s="36"/>
      <c r="P10" s="36"/>
      <c r="Q10" s="99"/>
      <c r="R10" s="105">
        <f t="shared" si="1"/>
        <v>2</v>
      </c>
      <c r="S10" s="106">
        <f t="shared" si="1"/>
        <v>0</v>
      </c>
      <c r="T10" s="62"/>
      <c r="U10" s="8">
        <f t="shared" si="2"/>
        <v>48</v>
      </c>
      <c r="V10" s="140">
        <f t="shared" si="3"/>
        <v>2</v>
      </c>
      <c r="W10" s="134">
        <f t="shared" si="4"/>
        <v>456</v>
      </c>
      <c r="X10" s="61"/>
      <c r="AL10" s="157"/>
      <c r="AM10" s="157"/>
      <c r="AN10" s="157"/>
      <c r="AO10" s="157"/>
      <c r="AP10" s="157"/>
      <c r="AQ10" s="157"/>
      <c r="AR10" s="157"/>
      <c r="AS10" s="157"/>
      <c r="AT10" s="157"/>
      <c r="AU10" s="157"/>
      <c r="AV10" s="157"/>
      <c r="AW10" s="157"/>
      <c r="AX10" s="157"/>
      <c r="AY10" s="157"/>
      <c r="AZ10" s="157"/>
      <c r="BA10" s="157"/>
      <c r="BB10" s="157"/>
      <c r="BC10" s="157"/>
      <c r="BD10" s="157"/>
      <c r="BE10" s="157"/>
      <c r="BF10" s="157"/>
      <c r="BG10" s="157"/>
      <c r="BH10" s="157"/>
    </row>
    <row r="11" spans="1:60" ht="19.5" thickBot="1">
      <c r="A11" s="1">
        <f t="shared" si="5"/>
        <v>4</v>
      </c>
      <c r="B11" s="15" t="s">
        <v>23</v>
      </c>
      <c r="C11" s="10">
        <v>20</v>
      </c>
      <c r="D11" s="11"/>
      <c r="E11" s="36"/>
      <c r="F11" s="36"/>
      <c r="G11" s="37"/>
      <c r="H11" s="38"/>
      <c r="I11" s="38">
        <f t="shared" si="0"/>
        <v>20</v>
      </c>
      <c r="J11" s="63">
        <f t="shared" si="0"/>
        <v>0</v>
      </c>
      <c r="K11" s="62"/>
      <c r="L11" s="36"/>
      <c r="M11" s="36"/>
      <c r="N11" s="36"/>
      <c r="O11" s="36"/>
      <c r="P11" s="36"/>
      <c r="Q11" s="99"/>
      <c r="R11" s="100">
        <f t="shared" si="1"/>
        <v>0</v>
      </c>
      <c r="S11" s="101">
        <f t="shared" si="1"/>
        <v>0</v>
      </c>
      <c r="T11" s="62"/>
      <c r="U11" s="8">
        <f t="shared" si="2"/>
        <v>0</v>
      </c>
      <c r="V11" s="135">
        <f t="shared" si="3"/>
        <v>0</v>
      </c>
      <c r="W11" s="134">
        <f t="shared" si="4"/>
        <v>480</v>
      </c>
      <c r="X11" s="61"/>
      <c r="AL11" s="157"/>
      <c r="AM11" s="157"/>
      <c r="AN11" s="157"/>
      <c r="AO11" s="157"/>
      <c r="AP11" s="157"/>
      <c r="AQ11" s="157"/>
      <c r="AR11" s="157"/>
      <c r="AS11" s="157"/>
      <c r="AT11" s="157"/>
      <c r="AU11" s="157"/>
      <c r="AV11" s="157"/>
      <c r="AW11" s="157"/>
      <c r="AX11" s="157"/>
      <c r="AY11" s="157"/>
      <c r="AZ11" s="157"/>
      <c r="BA11" s="157"/>
      <c r="BB11" s="157"/>
      <c r="BC11" s="157"/>
      <c r="BD11" s="157"/>
      <c r="BE11" s="157"/>
      <c r="BF11" s="157"/>
      <c r="BG11" s="157"/>
      <c r="BH11" s="157"/>
    </row>
    <row r="12" spans="1:60" ht="19.5" thickBot="1">
      <c r="A12" s="1">
        <f t="shared" si="5"/>
        <v>5</v>
      </c>
      <c r="B12" s="15" t="s">
        <v>24</v>
      </c>
      <c r="C12" s="10"/>
      <c r="D12" s="11">
        <v>2</v>
      </c>
      <c r="E12" s="36"/>
      <c r="F12" s="36"/>
      <c r="G12" s="37"/>
      <c r="H12" s="38"/>
      <c r="I12" s="38">
        <f t="shared" si="0"/>
        <v>0</v>
      </c>
      <c r="J12" s="63">
        <f t="shared" si="0"/>
        <v>2</v>
      </c>
      <c r="K12" s="62"/>
      <c r="L12" s="36"/>
      <c r="M12" s="36"/>
      <c r="N12" s="36"/>
      <c r="O12" s="36"/>
      <c r="P12" s="36"/>
      <c r="Q12" s="99"/>
      <c r="R12" s="100">
        <f t="shared" si="1"/>
        <v>0</v>
      </c>
      <c r="S12" s="101">
        <f t="shared" si="1"/>
        <v>0</v>
      </c>
      <c r="T12" s="62"/>
      <c r="U12" s="8">
        <f t="shared" si="2"/>
        <v>0</v>
      </c>
      <c r="V12" s="135">
        <f t="shared" si="3"/>
        <v>0</v>
      </c>
      <c r="W12" s="134">
        <f t="shared" si="4"/>
        <v>2</v>
      </c>
      <c r="X12" s="61"/>
      <c r="AL12" s="157"/>
      <c r="AM12" s="157"/>
      <c r="AN12" s="157"/>
      <c r="AO12" s="157"/>
      <c r="AP12" s="157"/>
      <c r="AQ12" s="157"/>
      <c r="AR12" s="157"/>
      <c r="AS12" s="157"/>
      <c r="AT12" s="157"/>
      <c r="AU12" s="157"/>
      <c r="AV12" s="157"/>
      <c r="AW12" s="157"/>
      <c r="AX12" s="157"/>
      <c r="AY12" s="157"/>
      <c r="AZ12" s="157"/>
      <c r="BA12" s="157"/>
      <c r="BB12" s="157"/>
      <c r="BC12" s="157"/>
      <c r="BD12" s="157"/>
      <c r="BE12" s="157"/>
      <c r="BF12" s="157"/>
      <c r="BG12" s="157"/>
      <c r="BH12" s="157"/>
    </row>
    <row r="13" spans="1:60" s="2" customFormat="1" ht="19.5" thickBot="1">
      <c r="A13" s="1">
        <f t="shared" si="5"/>
        <v>6</v>
      </c>
      <c r="B13" s="12" t="s">
        <v>25</v>
      </c>
      <c r="C13" s="13">
        <v>3119</v>
      </c>
      <c r="D13" s="14">
        <v>12</v>
      </c>
      <c r="E13" s="39"/>
      <c r="F13" s="39"/>
      <c r="G13" s="40">
        <v>25</v>
      </c>
      <c r="H13" s="41">
        <v>12</v>
      </c>
      <c r="I13" s="44">
        <f t="shared" si="0"/>
        <v>3094</v>
      </c>
      <c r="J13" s="64">
        <f t="shared" si="0"/>
        <v>0</v>
      </c>
      <c r="K13" s="67"/>
      <c r="L13" s="51">
        <v>14</v>
      </c>
      <c r="M13" s="51">
        <v>12</v>
      </c>
      <c r="N13" s="51">
        <v>11</v>
      </c>
      <c r="O13" s="51"/>
      <c r="P13" s="51"/>
      <c r="Q13" s="102"/>
      <c r="R13" s="107">
        <f t="shared" si="1"/>
        <v>25</v>
      </c>
      <c r="S13" s="104">
        <f t="shared" si="1"/>
        <v>12</v>
      </c>
      <c r="T13" s="67"/>
      <c r="U13" s="136">
        <f t="shared" si="2"/>
        <v>600</v>
      </c>
      <c r="V13" s="141">
        <f t="shared" si="3"/>
        <v>25</v>
      </c>
      <c r="W13" s="138">
        <f t="shared" si="4"/>
        <v>74256</v>
      </c>
      <c r="X13" s="139"/>
      <c r="Y13" s="3"/>
      <c r="AD13" s="3"/>
      <c r="AG13" s="3"/>
      <c r="AH13" s="3"/>
      <c r="AI13" s="3"/>
      <c r="AJ13" s="3"/>
      <c r="AK13" s="3"/>
      <c r="AL13" s="157"/>
      <c r="AM13" s="157"/>
      <c r="AN13" s="157"/>
      <c r="AO13" s="157"/>
      <c r="AP13" s="157"/>
      <c r="AQ13" s="157"/>
      <c r="AR13" s="157"/>
      <c r="AS13" s="157"/>
      <c r="AT13" s="157"/>
      <c r="AU13" s="157"/>
      <c r="AV13" s="157"/>
      <c r="AW13" s="157"/>
      <c r="AX13" s="157"/>
      <c r="AY13" s="157"/>
      <c r="AZ13" s="157"/>
      <c r="BA13" s="157"/>
      <c r="BB13" s="157"/>
      <c r="BC13" s="157"/>
      <c r="BD13" s="157"/>
      <c r="BE13" s="157"/>
      <c r="BF13" s="157"/>
      <c r="BG13" s="157"/>
      <c r="BH13" s="157"/>
    </row>
    <row r="14" spans="1:60" ht="19.5" thickBot="1">
      <c r="A14" s="1">
        <f t="shared" si="5"/>
        <v>7</v>
      </c>
      <c r="B14" s="7" t="s">
        <v>26</v>
      </c>
      <c r="C14" s="10">
        <v>3</v>
      </c>
      <c r="D14" s="11">
        <v>16</v>
      </c>
      <c r="E14" s="36"/>
      <c r="F14" s="36"/>
      <c r="G14" s="37"/>
      <c r="H14" s="38"/>
      <c r="I14" s="68">
        <f t="shared" si="0"/>
        <v>3</v>
      </c>
      <c r="J14" s="66">
        <f t="shared" si="0"/>
        <v>16</v>
      </c>
      <c r="K14" s="62"/>
      <c r="L14" s="36"/>
      <c r="M14" s="36"/>
      <c r="N14" s="36"/>
      <c r="O14" s="36"/>
      <c r="P14" s="36"/>
      <c r="Q14" s="99"/>
      <c r="R14" s="108">
        <f t="shared" si="1"/>
        <v>0</v>
      </c>
      <c r="S14" s="106">
        <f t="shared" si="1"/>
        <v>0</v>
      </c>
      <c r="T14" s="62"/>
      <c r="U14" s="8">
        <f t="shared" si="2"/>
        <v>0</v>
      </c>
      <c r="V14" s="33">
        <f t="shared" si="3"/>
        <v>0</v>
      </c>
      <c r="W14" s="134">
        <f t="shared" si="4"/>
        <v>88</v>
      </c>
      <c r="X14" s="61"/>
      <c r="AL14" s="157"/>
      <c r="AM14" s="157"/>
      <c r="AN14" s="157"/>
      <c r="AO14" s="157"/>
      <c r="AP14" s="157"/>
      <c r="AQ14" s="157"/>
      <c r="AR14" s="157"/>
      <c r="AS14" s="157"/>
      <c r="AT14" s="157"/>
      <c r="AU14" s="157"/>
      <c r="AV14" s="157"/>
      <c r="AW14" s="157"/>
      <c r="AX14" s="157"/>
      <c r="AY14" s="157"/>
      <c r="AZ14" s="157"/>
      <c r="BA14" s="157"/>
      <c r="BB14" s="157"/>
      <c r="BC14" s="157"/>
      <c r="BD14" s="157"/>
      <c r="BE14" s="157"/>
      <c r="BF14" s="157"/>
      <c r="BG14" s="157"/>
      <c r="BH14" s="157"/>
    </row>
    <row r="15" spans="1:60" ht="19.5" thickBot="1">
      <c r="A15" s="1">
        <f t="shared" si="5"/>
        <v>8</v>
      </c>
      <c r="B15" s="15" t="s">
        <v>27</v>
      </c>
      <c r="C15" s="10">
        <v>4</v>
      </c>
      <c r="D15" s="11"/>
      <c r="E15" s="36"/>
      <c r="F15" s="36"/>
      <c r="G15" s="37"/>
      <c r="H15" s="38"/>
      <c r="I15" s="38">
        <f t="shared" si="0"/>
        <v>4</v>
      </c>
      <c r="J15" s="63">
        <f t="shared" si="0"/>
        <v>0</v>
      </c>
      <c r="K15" s="62"/>
      <c r="L15" s="36"/>
      <c r="M15" s="36"/>
      <c r="N15" s="36"/>
      <c r="O15" s="36"/>
      <c r="P15" s="36"/>
      <c r="Q15" s="99"/>
      <c r="R15" s="100">
        <f t="shared" si="1"/>
        <v>0</v>
      </c>
      <c r="S15" s="101">
        <f t="shared" si="1"/>
        <v>0</v>
      </c>
      <c r="T15" s="62"/>
      <c r="U15" s="8">
        <f t="shared" si="2"/>
        <v>0</v>
      </c>
      <c r="V15" s="135">
        <f t="shared" si="3"/>
        <v>0</v>
      </c>
      <c r="W15" s="134">
        <f t="shared" si="4"/>
        <v>96</v>
      </c>
      <c r="X15" s="61"/>
      <c r="AL15" s="157"/>
      <c r="AM15" s="157"/>
      <c r="AN15" s="157"/>
      <c r="AO15" s="157"/>
      <c r="AP15" s="157"/>
      <c r="AQ15" s="157"/>
      <c r="AR15" s="157"/>
      <c r="AS15" s="157"/>
      <c r="AT15" s="157"/>
      <c r="AU15" s="157"/>
      <c r="AV15" s="157"/>
      <c r="AW15" s="157"/>
      <c r="AX15" s="157"/>
      <c r="AY15" s="157"/>
      <c r="AZ15" s="157"/>
      <c r="BA15" s="157"/>
      <c r="BB15" s="157"/>
      <c r="BC15" s="157"/>
      <c r="BD15" s="157"/>
      <c r="BE15" s="157"/>
      <c r="BF15" s="157"/>
      <c r="BG15" s="157"/>
      <c r="BH15" s="157"/>
    </row>
    <row r="16" spans="1:60" ht="19.5" thickBot="1">
      <c r="A16" s="1">
        <f t="shared" si="5"/>
        <v>9</v>
      </c>
      <c r="B16" s="15" t="s">
        <v>28</v>
      </c>
      <c r="C16" s="10">
        <v>1</v>
      </c>
      <c r="D16" s="11"/>
      <c r="E16" s="36"/>
      <c r="F16" s="36"/>
      <c r="G16" s="37"/>
      <c r="H16" s="38"/>
      <c r="I16" s="38">
        <f t="shared" si="0"/>
        <v>1</v>
      </c>
      <c r="J16" s="63">
        <f t="shared" si="0"/>
        <v>0</v>
      </c>
      <c r="K16" s="62"/>
      <c r="L16" s="36"/>
      <c r="M16" s="36"/>
      <c r="N16" s="36"/>
      <c r="O16" s="36"/>
      <c r="P16" s="36"/>
      <c r="Q16" s="99"/>
      <c r="R16" s="100">
        <f t="shared" si="1"/>
        <v>0</v>
      </c>
      <c r="S16" s="101">
        <f t="shared" si="1"/>
        <v>0</v>
      </c>
      <c r="T16" s="62"/>
      <c r="U16" s="8">
        <f t="shared" si="2"/>
        <v>0</v>
      </c>
      <c r="V16" s="135">
        <f t="shared" si="3"/>
        <v>0</v>
      </c>
      <c r="W16" s="134">
        <f t="shared" si="4"/>
        <v>24</v>
      </c>
      <c r="X16" s="61"/>
      <c r="AL16" s="157"/>
      <c r="AM16" s="157"/>
      <c r="AN16" s="157"/>
      <c r="AO16" s="157"/>
      <c r="AP16" s="157"/>
      <c r="AQ16" s="157"/>
      <c r="AR16" s="157"/>
      <c r="AS16" s="157"/>
      <c r="AT16" s="157"/>
      <c r="AU16" s="157"/>
      <c r="AV16" s="157"/>
      <c r="AW16" s="157"/>
      <c r="AX16" s="157"/>
      <c r="AY16" s="157"/>
      <c r="AZ16" s="157"/>
      <c r="BA16" s="157"/>
      <c r="BB16" s="157"/>
      <c r="BC16" s="157"/>
      <c r="BD16" s="157"/>
      <c r="BE16" s="157"/>
      <c r="BF16" s="157"/>
      <c r="BG16" s="157"/>
      <c r="BH16" s="157"/>
    </row>
    <row r="17" spans="1:60" ht="19.5" thickBot="1">
      <c r="A17" s="1">
        <f t="shared" si="5"/>
        <v>10</v>
      </c>
      <c r="B17" s="15" t="s">
        <v>29</v>
      </c>
      <c r="C17" s="10"/>
      <c r="D17" s="11"/>
      <c r="E17" s="36"/>
      <c r="F17" s="36"/>
      <c r="G17" s="37"/>
      <c r="H17" s="38"/>
      <c r="I17" s="38">
        <f t="shared" si="0"/>
        <v>0</v>
      </c>
      <c r="J17" s="63">
        <f t="shared" si="0"/>
        <v>0</v>
      </c>
      <c r="K17" s="62"/>
      <c r="L17" s="36"/>
      <c r="M17" s="36"/>
      <c r="N17" s="36"/>
      <c r="O17" s="36"/>
      <c r="P17" s="36"/>
      <c r="Q17" s="99"/>
      <c r="R17" s="100">
        <f t="shared" si="1"/>
        <v>0</v>
      </c>
      <c r="S17" s="101">
        <f t="shared" si="1"/>
        <v>0</v>
      </c>
      <c r="T17" s="62"/>
      <c r="U17" s="8">
        <f t="shared" si="2"/>
        <v>0</v>
      </c>
      <c r="V17" s="135">
        <f t="shared" si="3"/>
        <v>0</v>
      </c>
      <c r="W17" s="134">
        <f t="shared" si="4"/>
        <v>0</v>
      </c>
      <c r="X17" s="61"/>
      <c r="AL17" s="157"/>
      <c r="AM17" s="157"/>
      <c r="AN17" s="157"/>
      <c r="AO17" s="157"/>
      <c r="AP17" s="157"/>
      <c r="AQ17" s="157"/>
      <c r="AR17" s="157"/>
      <c r="AS17" s="157"/>
      <c r="AT17" s="157"/>
      <c r="AU17" s="157"/>
      <c r="AV17" s="157"/>
      <c r="AW17" s="157"/>
      <c r="AX17" s="157"/>
      <c r="AY17" s="157"/>
      <c r="AZ17" s="157"/>
      <c r="BA17" s="157"/>
      <c r="BB17" s="157"/>
      <c r="BC17" s="157"/>
      <c r="BD17" s="157"/>
      <c r="BE17" s="157"/>
      <c r="BF17" s="157"/>
      <c r="BG17" s="157"/>
      <c r="BH17" s="157"/>
    </row>
    <row r="18" spans="1:60" ht="19.5" thickBot="1">
      <c r="A18" s="1">
        <f t="shared" si="5"/>
        <v>11</v>
      </c>
      <c r="B18" s="15" t="s">
        <v>30</v>
      </c>
      <c r="C18" s="10">
        <v>3</v>
      </c>
      <c r="D18" s="11"/>
      <c r="E18" s="36"/>
      <c r="F18" s="36"/>
      <c r="G18" s="37"/>
      <c r="H18" s="38"/>
      <c r="I18" s="38">
        <f t="shared" si="0"/>
        <v>3</v>
      </c>
      <c r="J18" s="63">
        <f t="shared" si="0"/>
        <v>0</v>
      </c>
      <c r="K18" s="62"/>
      <c r="L18" s="36"/>
      <c r="M18" s="36"/>
      <c r="N18" s="36"/>
      <c r="O18" s="36"/>
      <c r="P18" s="36"/>
      <c r="Q18" s="99"/>
      <c r="R18" s="100">
        <f t="shared" si="1"/>
        <v>0</v>
      </c>
      <c r="S18" s="101">
        <f t="shared" si="1"/>
        <v>0</v>
      </c>
      <c r="T18" s="62"/>
      <c r="U18" s="8">
        <f t="shared" si="2"/>
        <v>0</v>
      </c>
      <c r="V18" s="135">
        <f t="shared" si="3"/>
        <v>0</v>
      </c>
      <c r="W18" s="134">
        <f t="shared" si="4"/>
        <v>72</v>
      </c>
      <c r="X18" s="61"/>
      <c r="AL18" s="157"/>
      <c r="AM18" s="157"/>
      <c r="AN18" s="157"/>
      <c r="AO18" s="157"/>
      <c r="AP18" s="157"/>
      <c r="AQ18" s="157"/>
      <c r="AR18" s="157"/>
      <c r="AS18" s="157"/>
      <c r="AT18" s="157"/>
      <c r="AU18" s="157"/>
      <c r="AV18" s="157"/>
      <c r="AW18" s="157"/>
      <c r="AX18" s="157"/>
      <c r="AY18" s="157"/>
      <c r="AZ18" s="157"/>
      <c r="BA18" s="157"/>
      <c r="BB18" s="157"/>
      <c r="BC18" s="157"/>
      <c r="BD18" s="157"/>
      <c r="BE18" s="157"/>
      <c r="BF18" s="157"/>
      <c r="BG18" s="157"/>
      <c r="BH18" s="157"/>
    </row>
    <row r="19" spans="1:60" ht="18.75" hidden="1" customHeight="1">
      <c r="A19" s="1">
        <f t="shared" si="5"/>
        <v>12</v>
      </c>
      <c r="B19" s="15" t="s">
        <v>31</v>
      </c>
      <c r="C19" s="10"/>
      <c r="D19" s="11"/>
      <c r="E19" s="36"/>
      <c r="F19" s="36"/>
      <c r="G19" s="37"/>
      <c r="H19" s="38"/>
      <c r="I19" s="38">
        <f t="shared" si="0"/>
        <v>0</v>
      </c>
      <c r="J19" s="63">
        <f t="shared" si="0"/>
        <v>0</v>
      </c>
      <c r="K19" s="62"/>
      <c r="L19" s="36"/>
      <c r="M19" s="36"/>
      <c r="N19" s="36"/>
      <c r="O19" s="36"/>
      <c r="P19" s="36"/>
      <c r="Q19" s="99"/>
      <c r="R19" s="100">
        <f t="shared" si="1"/>
        <v>0</v>
      </c>
      <c r="S19" s="101">
        <f t="shared" si="1"/>
        <v>0</v>
      </c>
      <c r="T19" s="62"/>
      <c r="U19" s="8">
        <f t="shared" si="2"/>
        <v>0</v>
      </c>
      <c r="V19" s="135">
        <f t="shared" si="3"/>
        <v>0</v>
      </c>
      <c r="W19" s="134">
        <f t="shared" si="4"/>
        <v>0</v>
      </c>
      <c r="X19" s="61"/>
      <c r="AL19" s="157"/>
      <c r="AM19" s="157"/>
      <c r="AN19" s="157"/>
      <c r="AO19" s="157"/>
      <c r="AP19" s="157"/>
      <c r="AQ19" s="157"/>
      <c r="AR19" s="157"/>
      <c r="AS19" s="157"/>
      <c r="AT19" s="157"/>
      <c r="AU19" s="157"/>
      <c r="AV19" s="157"/>
      <c r="AW19" s="157"/>
      <c r="AX19" s="157"/>
      <c r="AY19" s="157"/>
      <c r="AZ19" s="157"/>
      <c r="BA19" s="157"/>
      <c r="BB19" s="157"/>
      <c r="BC19" s="157"/>
      <c r="BD19" s="157"/>
      <c r="BE19" s="157"/>
      <c r="BF19" s="157"/>
      <c r="BG19" s="157"/>
      <c r="BH19" s="157"/>
    </row>
    <row r="20" spans="1:60" ht="19.5" thickBot="1">
      <c r="A20" s="1">
        <f t="shared" si="5"/>
        <v>13</v>
      </c>
      <c r="B20" s="15" t="s">
        <v>32</v>
      </c>
      <c r="C20" s="10">
        <v>4</v>
      </c>
      <c r="D20" s="11">
        <v>20</v>
      </c>
      <c r="E20" s="36"/>
      <c r="F20" s="36"/>
      <c r="G20" s="37"/>
      <c r="H20" s="38"/>
      <c r="I20" s="38">
        <f t="shared" si="0"/>
        <v>4</v>
      </c>
      <c r="J20" s="63">
        <f t="shared" si="0"/>
        <v>20</v>
      </c>
      <c r="K20" s="62"/>
      <c r="L20" s="36"/>
      <c r="M20" s="36"/>
      <c r="N20" s="36"/>
      <c r="O20" s="36"/>
      <c r="P20" s="36"/>
      <c r="Q20" s="99"/>
      <c r="R20" s="100">
        <f t="shared" si="1"/>
        <v>0</v>
      </c>
      <c r="S20" s="101">
        <f t="shared" si="1"/>
        <v>0</v>
      </c>
      <c r="T20" s="62"/>
      <c r="U20" s="8">
        <f t="shared" si="2"/>
        <v>0</v>
      </c>
      <c r="V20" s="135">
        <f t="shared" si="3"/>
        <v>0</v>
      </c>
      <c r="W20" s="134">
        <f t="shared" si="4"/>
        <v>116</v>
      </c>
      <c r="X20" s="61"/>
      <c r="AL20" s="157"/>
      <c r="AM20" s="157"/>
      <c r="AN20" s="157"/>
      <c r="AO20" s="157"/>
      <c r="AP20" s="157"/>
      <c r="AQ20" s="157"/>
      <c r="AR20" s="157"/>
      <c r="AS20" s="157"/>
      <c r="AT20" s="157"/>
      <c r="AU20" s="157"/>
      <c r="AV20" s="157"/>
      <c r="AW20" s="157"/>
      <c r="AX20" s="157"/>
      <c r="AY20" s="157"/>
      <c r="AZ20" s="157"/>
      <c r="BA20" s="157"/>
      <c r="BB20" s="157"/>
      <c r="BC20" s="157"/>
      <c r="BD20" s="157"/>
      <c r="BE20" s="157"/>
      <c r="BF20" s="157"/>
      <c r="BG20" s="157"/>
      <c r="BH20" s="157"/>
    </row>
    <row r="21" spans="1:60" ht="19.5" thickBot="1">
      <c r="A21" s="1">
        <f t="shared" si="5"/>
        <v>14</v>
      </c>
      <c r="B21" s="15" t="s">
        <v>33</v>
      </c>
      <c r="C21" s="10">
        <v>7</v>
      </c>
      <c r="D21" s="11"/>
      <c r="E21" s="36"/>
      <c r="F21" s="36"/>
      <c r="G21" s="37"/>
      <c r="H21" s="38"/>
      <c r="I21" s="38">
        <f t="shared" si="0"/>
        <v>7</v>
      </c>
      <c r="J21" s="63">
        <f t="shared" si="0"/>
        <v>0</v>
      </c>
      <c r="K21" s="62"/>
      <c r="L21" s="36"/>
      <c r="M21" s="36"/>
      <c r="N21" s="36"/>
      <c r="O21" s="36"/>
      <c r="P21" s="36"/>
      <c r="Q21" s="99"/>
      <c r="R21" s="100">
        <f t="shared" si="1"/>
        <v>0</v>
      </c>
      <c r="S21" s="101">
        <f t="shared" si="1"/>
        <v>0</v>
      </c>
      <c r="T21" s="62"/>
      <c r="U21" s="8">
        <f t="shared" si="2"/>
        <v>0</v>
      </c>
      <c r="V21" s="135">
        <f t="shared" si="3"/>
        <v>0</v>
      </c>
      <c r="W21" s="134">
        <f t="shared" si="4"/>
        <v>168</v>
      </c>
      <c r="X21" s="61"/>
      <c r="AL21" s="157"/>
      <c r="AM21" s="157"/>
      <c r="AN21" s="157"/>
      <c r="AO21" s="157"/>
      <c r="AP21" s="157"/>
      <c r="AQ21" s="157"/>
      <c r="AR21" s="157"/>
      <c r="AS21" s="157"/>
      <c r="AT21" s="157"/>
      <c r="AU21" s="157"/>
      <c r="AV21" s="157"/>
      <c r="AW21" s="157"/>
      <c r="AX21" s="157"/>
      <c r="AY21" s="157"/>
      <c r="AZ21" s="157"/>
      <c r="BA21" s="157"/>
      <c r="BB21" s="157"/>
      <c r="BC21" s="157"/>
      <c r="BD21" s="157"/>
      <c r="BE21" s="157"/>
      <c r="BF21" s="157"/>
      <c r="BG21" s="157"/>
      <c r="BH21" s="157"/>
    </row>
    <row r="22" spans="1:60" ht="19.5" thickBot="1">
      <c r="A22" s="1">
        <f t="shared" si="5"/>
        <v>15</v>
      </c>
      <c r="B22" s="15" t="s">
        <v>34</v>
      </c>
      <c r="C22" s="10">
        <v>4</v>
      </c>
      <c r="D22" s="11"/>
      <c r="E22" s="36"/>
      <c r="F22" s="36"/>
      <c r="G22" s="37"/>
      <c r="H22" s="38"/>
      <c r="I22" s="38">
        <f t="shared" si="0"/>
        <v>4</v>
      </c>
      <c r="J22" s="63">
        <f t="shared" si="0"/>
        <v>0</v>
      </c>
      <c r="K22" s="62"/>
      <c r="L22" s="36"/>
      <c r="M22" s="36"/>
      <c r="N22" s="36"/>
      <c r="O22" s="36"/>
      <c r="P22" s="36"/>
      <c r="Q22" s="99"/>
      <c r="R22" s="100">
        <f t="shared" si="1"/>
        <v>0</v>
      </c>
      <c r="S22" s="101">
        <f t="shared" si="1"/>
        <v>0</v>
      </c>
      <c r="T22" s="62"/>
      <c r="U22" s="8">
        <f t="shared" si="2"/>
        <v>0</v>
      </c>
      <c r="V22" s="135">
        <f t="shared" si="3"/>
        <v>0</v>
      </c>
      <c r="W22" s="134">
        <f t="shared" si="4"/>
        <v>96</v>
      </c>
      <c r="X22" s="61"/>
      <c r="AL22" s="157"/>
      <c r="AM22" s="157"/>
      <c r="AN22" s="157"/>
      <c r="AO22" s="157"/>
      <c r="AP22" s="157"/>
      <c r="AQ22" s="157"/>
      <c r="AR22" s="157"/>
      <c r="AS22" s="157"/>
      <c r="AT22" s="157"/>
      <c r="AU22" s="157"/>
      <c r="AV22" s="157"/>
      <c r="AW22" s="157"/>
      <c r="AX22" s="157"/>
      <c r="AY22" s="157"/>
      <c r="AZ22" s="157"/>
      <c r="BA22" s="157"/>
      <c r="BB22" s="157"/>
      <c r="BC22" s="157"/>
      <c r="BD22" s="157"/>
      <c r="BE22" s="157"/>
      <c r="BF22" s="157"/>
      <c r="BG22" s="157"/>
      <c r="BH22" s="157"/>
    </row>
    <row r="23" spans="1:60" s="2" customFormat="1" ht="19.5" thickBot="1">
      <c r="A23" s="1">
        <f t="shared" si="5"/>
        <v>16</v>
      </c>
      <c r="B23" s="15" t="s">
        <v>35</v>
      </c>
      <c r="C23" s="10">
        <v>1</v>
      </c>
      <c r="D23" s="11">
        <v>20</v>
      </c>
      <c r="E23" s="36"/>
      <c r="F23" s="36"/>
      <c r="G23" s="37"/>
      <c r="H23" s="38"/>
      <c r="I23" s="38">
        <f t="shared" si="0"/>
        <v>1</v>
      </c>
      <c r="J23" s="63">
        <f t="shared" si="0"/>
        <v>20</v>
      </c>
      <c r="K23" s="69"/>
      <c r="L23" s="36"/>
      <c r="M23" s="36"/>
      <c r="N23" s="36"/>
      <c r="O23" s="36"/>
      <c r="P23" s="36"/>
      <c r="Q23" s="99"/>
      <c r="R23" s="100">
        <f t="shared" si="1"/>
        <v>0</v>
      </c>
      <c r="S23" s="101">
        <f t="shared" si="1"/>
        <v>0</v>
      </c>
      <c r="T23" s="69"/>
      <c r="U23" s="8">
        <f t="shared" si="2"/>
        <v>0</v>
      </c>
      <c r="V23" s="135">
        <f t="shared" si="3"/>
        <v>0</v>
      </c>
      <c r="W23" s="134">
        <f t="shared" si="4"/>
        <v>44</v>
      </c>
      <c r="X23" s="61"/>
      <c r="Y23" s="3"/>
      <c r="AD23" s="3"/>
      <c r="AG23" s="3"/>
      <c r="AH23" s="3"/>
      <c r="AI23" s="3"/>
      <c r="AJ23" s="3"/>
      <c r="AK23" s="3"/>
      <c r="AL23" s="157"/>
      <c r="AM23" s="157"/>
      <c r="AN23" s="157"/>
      <c r="AO23" s="157"/>
      <c r="AP23" s="157"/>
      <c r="AQ23" s="157"/>
      <c r="AR23" s="157"/>
      <c r="AS23" s="157"/>
      <c r="AT23" s="157"/>
      <c r="AU23" s="157"/>
      <c r="AV23" s="157"/>
      <c r="AW23" s="157"/>
      <c r="AX23" s="157"/>
      <c r="AY23" s="157"/>
      <c r="AZ23" s="157"/>
      <c r="BA23" s="157"/>
      <c r="BB23" s="157"/>
      <c r="BC23" s="157"/>
      <c r="BD23" s="157"/>
      <c r="BE23" s="157"/>
      <c r="BF23" s="157"/>
      <c r="BG23" s="157"/>
      <c r="BH23" s="157"/>
    </row>
    <row r="24" spans="1:60" s="2" customFormat="1" ht="19.5" thickBot="1">
      <c r="A24" s="1">
        <f t="shared" si="5"/>
        <v>17</v>
      </c>
      <c r="B24" s="15" t="s">
        <v>36</v>
      </c>
      <c r="C24" s="10">
        <v>37</v>
      </c>
      <c r="D24" s="11">
        <v>19</v>
      </c>
      <c r="E24" s="36"/>
      <c r="F24" s="36"/>
      <c r="G24" s="37"/>
      <c r="H24" s="38"/>
      <c r="I24" s="38">
        <f t="shared" si="0"/>
        <v>37</v>
      </c>
      <c r="J24" s="63">
        <f t="shared" si="0"/>
        <v>19</v>
      </c>
      <c r="K24" s="69"/>
      <c r="L24" s="36"/>
      <c r="M24" s="36"/>
      <c r="N24" s="36"/>
      <c r="O24" s="36"/>
      <c r="P24" s="36"/>
      <c r="Q24" s="99"/>
      <c r="R24" s="100">
        <f t="shared" si="1"/>
        <v>0</v>
      </c>
      <c r="S24" s="101">
        <f t="shared" si="1"/>
        <v>0</v>
      </c>
      <c r="T24" s="69"/>
      <c r="U24" s="8">
        <f t="shared" si="2"/>
        <v>0</v>
      </c>
      <c r="V24" s="135">
        <f t="shared" si="3"/>
        <v>0</v>
      </c>
      <c r="W24" s="134">
        <f t="shared" si="4"/>
        <v>907</v>
      </c>
      <c r="X24" s="61"/>
      <c r="Y24" s="3"/>
      <c r="AD24" s="3"/>
      <c r="AG24" s="3"/>
      <c r="AH24" s="3"/>
      <c r="AI24" s="3"/>
      <c r="AJ24" s="3"/>
      <c r="AK24" s="3"/>
      <c r="AL24" s="157"/>
      <c r="AM24" s="157"/>
      <c r="AN24" s="157"/>
      <c r="AO24" s="157"/>
      <c r="AP24" s="157"/>
      <c r="AQ24" s="157"/>
      <c r="AR24" s="157"/>
      <c r="AS24" s="157"/>
      <c r="AT24" s="157"/>
      <c r="AU24" s="157"/>
      <c r="AV24" s="157"/>
      <c r="AW24" s="157"/>
      <c r="AX24" s="157"/>
      <c r="AY24" s="157"/>
      <c r="AZ24" s="157"/>
      <c r="BA24" s="157"/>
      <c r="BB24" s="157"/>
      <c r="BC24" s="157"/>
      <c r="BD24" s="157"/>
      <c r="BE24" s="157"/>
      <c r="BF24" s="157"/>
      <c r="BG24" s="157"/>
      <c r="BH24" s="157"/>
    </row>
    <row r="25" spans="1:60" ht="19.5" thickBot="1">
      <c r="A25" s="1">
        <f t="shared" si="5"/>
        <v>18</v>
      </c>
      <c r="B25" s="15" t="s">
        <v>37</v>
      </c>
      <c r="C25" s="10">
        <v>10</v>
      </c>
      <c r="D25" s="11"/>
      <c r="E25" s="36"/>
      <c r="F25" s="36"/>
      <c r="G25" s="37"/>
      <c r="H25" s="38"/>
      <c r="I25" s="38">
        <f t="shared" si="0"/>
        <v>10</v>
      </c>
      <c r="J25" s="63">
        <f t="shared" si="0"/>
        <v>0</v>
      </c>
      <c r="K25" s="62"/>
      <c r="L25" s="36"/>
      <c r="M25" s="36"/>
      <c r="N25" s="36"/>
      <c r="O25" s="36"/>
      <c r="P25" s="36"/>
      <c r="Q25" s="99"/>
      <c r="R25" s="100">
        <f t="shared" si="1"/>
        <v>0</v>
      </c>
      <c r="S25" s="101">
        <f t="shared" si="1"/>
        <v>0</v>
      </c>
      <c r="T25" s="62"/>
      <c r="U25" s="8">
        <f t="shared" si="2"/>
        <v>0</v>
      </c>
      <c r="V25" s="135">
        <f t="shared" si="3"/>
        <v>0</v>
      </c>
      <c r="W25" s="134">
        <f t="shared" si="4"/>
        <v>240</v>
      </c>
      <c r="X25" s="61"/>
      <c r="AL25" s="157"/>
      <c r="AM25" s="157"/>
      <c r="AN25" s="157"/>
      <c r="AO25" s="157"/>
      <c r="AP25" s="157"/>
      <c r="AQ25" s="157"/>
      <c r="AR25" s="157"/>
      <c r="AS25" s="157"/>
      <c r="AT25" s="157"/>
      <c r="AU25" s="157"/>
      <c r="AV25" s="157"/>
      <c r="AW25" s="157"/>
      <c r="AX25" s="157"/>
      <c r="AY25" s="157"/>
      <c r="AZ25" s="157"/>
      <c r="BA25" s="157"/>
      <c r="BB25" s="157"/>
      <c r="BC25" s="157"/>
      <c r="BD25" s="157"/>
      <c r="BE25" s="157"/>
      <c r="BF25" s="157"/>
      <c r="BG25" s="157"/>
      <c r="BH25" s="157"/>
    </row>
    <row r="26" spans="1:60" ht="19.5" thickBot="1">
      <c r="A26" s="1">
        <f t="shared" si="5"/>
        <v>19</v>
      </c>
      <c r="B26" s="15" t="s">
        <v>38</v>
      </c>
      <c r="C26" s="10">
        <v>96</v>
      </c>
      <c r="D26" s="11">
        <v>1</v>
      </c>
      <c r="E26" s="36"/>
      <c r="F26" s="36"/>
      <c r="G26" s="37"/>
      <c r="H26" s="38"/>
      <c r="I26" s="38">
        <f t="shared" si="0"/>
        <v>96</v>
      </c>
      <c r="J26" s="63">
        <f t="shared" si="0"/>
        <v>1</v>
      </c>
      <c r="K26" s="62"/>
      <c r="L26" s="36"/>
      <c r="M26" s="36"/>
      <c r="N26" s="36"/>
      <c r="O26" s="36"/>
      <c r="P26" s="36"/>
      <c r="Q26" s="99"/>
      <c r="R26" s="100">
        <f t="shared" si="1"/>
        <v>0</v>
      </c>
      <c r="S26" s="101">
        <f t="shared" si="1"/>
        <v>0</v>
      </c>
      <c r="T26" s="62"/>
      <c r="U26" s="8">
        <f t="shared" si="2"/>
        <v>0</v>
      </c>
      <c r="V26" s="135">
        <f t="shared" si="3"/>
        <v>0</v>
      </c>
      <c r="W26" s="134">
        <f t="shared" si="4"/>
        <v>2305</v>
      </c>
      <c r="X26" s="61"/>
      <c r="BE26" s="158" t="e">
        <f>#REF!-BE25</f>
        <v>#REF!</v>
      </c>
    </row>
    <row r="27" spans="1:60" s="2" customFormat="1" ht="19.5" thickBot="1">
      <c r="A27" s="1">
        <f t="shared" si="5"/>
        <v>20</v>
      </c>
      <c r="B27" s="15" t="s">
        <v>39</v>
      </c>
      <c r="C27" s="10"/>
      <c r="D27" s="11"/>
      <c r="E27" s="36"/>
      <c r="F27" s="36"/>
      <c r="G27" s="37"/>
      <c r="H27" s="38"/>
      <c r="I27" s="38">
        <f t="shared" si="0"/>
        <v>0</v>
      </c>
      <c r="J27" s="63">
        <f t="shared" si="0"/>
        <v>0</v>
      </c>
      <c r="K27" s="69"/>
      <c r="L27" s="36"/>
      <c r="M27" s="36"/>
      <c r="N27" s="36"/>
      <c r="O27" s="36"/>
      <c r="P27" s="36"/>
      <c r="Q27" s="99"/>
      <c r="R27" s="100">
        <f t="shared" si="1"/>
        <v>0</v>
      </c>
      <c r="S27" s="101">
        <f t="shared" si="1"/>
        <v>0</v>
      </c>
      <c r="T27" s="69"/>
      <c r="U27" s="8">
        <f t="shared" si="2"/>
        <v>0</v>
      </c>
      <c r="V27" s="135">
        <f t="shared" si="3"/>
        <v>0</v>
      </c>
      <c r="W27" s="134">
        <f t="shared" si="4"/>
        <v>0</v>
      </c>
      <c r="X27" s="61"/>
      <c r="Y27" s="3"/>
      <c r="AD27" s="3"/>
      <c r="AG27" s="3"/>
      <c r="AH27" s="3"/>
      <c r="AI27" s="3"/>
      <c r="AJ27" s="3"/>
      <c r="AK27" s="3"/>
    </row>
    <row r="28" spans="1:60" s="2" customFormat="1" ht="19.5" thickBot="1">
      <c r="A28" s="1">
        <f t="shared" si="5"/>
        <v>21</v>
      </c>
      <c r="B28" s="15" t="s">
        <v>40</v>
      </c>
      <c r="C28" s="10">
        <v>2</v>
      </c>
      <c r="D28" s="11"/>
      <c r="E28" s="36"/>
      <c r="F28" s="36"/>
      <c r="G28" s="37"/>
      <c r="H28" s="38"/>
      <c r="I28" s="38">
        <f t="shared" si="0"/>
        <v>2</v>
      </c>
      <c r="J28" s="63">
        <f t="shared" si="0"/>
        <v>0</v>
      </c>
      <c r="K28" s="69"/>
      <c r="L28" s="36"/>
      <c r="M28" s="36"/>
      <c r="N28" s="36"/>
      <c r="O28" s="36"/>
      <c r="P28" s="36"/>
      <c r="Q28" s="99"/>
      <c r="R28" s="100">
        <f t="shared" si="1"/>
        <v>0</v>
      </c>
      <c r="S28" s="101">
        <f t="shared" si="1"/>
        <v>0</v>
      </c>
      <c r="T28" s="69"/>
      <c r="U28" s="8">
        <f t="shared" si="2"/>
        <v>0</v>
      </c>
      <c r="V28" s="135">
        <f t="shared" si="3"/>
        <v>0</v>
      </c>
      <c r="W28" s="134">
        <f t="shared" si="4"/>
        <v>48</v>
      </c>
      <c r="X28" s="61"/>
      <c r="Y28" s="3"/>
      <c r="AD28" s="3"/>
      <c r="AG28" s="3"/>
      <c r="AH28" s="3"/>
      <c r="AI28" s="3"/>
      <c r="AJ28" s="3"/>
      <c r="AK28" s="3"/>
    </row>
    <row r="29" spans="1:60" s="2" customFormat="1" ht="19.5" thickBot="1">
      <c r="A29" s="1">
        <f t="shared" si="5"/>
        <v>22</v>
      </c>
      <c r="B29" s="15" t="s">
        <v>41</v>
      </c>
      <c r="C29" s="10">
        <v>12</v>
      </c>
      <c r="D29" s="11"/>
      <c r="E29" s="36"/>
      <c r="F29" s="36"/>
      <c r="G29" s="37"/>
      <c r="H29" s="38"/>
      <c r="I29" s="38">
        <f t="shared" si="0"/>
        <v>12</v>
      </c>
      <c r="J29" s="63">
        <f t="shared" si="0"/>
        <v>0</v>
      </c>
      <c r="K29" s="69"/>
      <c r="L29" s="36"/>
      <c r="M29" s="36"/>
      <c r="N29" s="36"/>
      <c r="O29" s="36"/>
      <c r="P29" s="36"/>
      <c r="Q29" s="99"/>
      <c r="R29" s="100">
        <f t="shared" si="1"/>
        <v>0</v>
      </c>
      <c r="S29" s="101">
        <f t="shared" si="1"/>
        <v>0</v>
      </c>
      <c r="T29" s="69"/>
      <c r="U29" s="8">
        <f t="shared" si="2"/>
        <v>0</v>
      </c>
      <c r="V29" s="135">
        <f t="shared" si="3"/>
        <v>0</v>
      </c>
      <c r="W29" s="134">
        <f t="shared" si="4"/>
        <v>288</v>
      </c>
      <c r="X29" s="61"/>
      <c r="Y29" s="3"/>
      <c r="AD29" s="3"/>
      <c r="AG29" s="3"/>
      <c r="AH29" s="3"/>
      <c r="AI29" s="3"/>
      <c r="AJ29" s="3"/>
      <c r="AK29" s="3"/>
    </row>
    <row r="30" spans="1:60" ht="19.5" thickBot="1">
      <c r="A30" s="1">
        <f t="shared" si="5"/>
        <v>23</v>
      </c>
      <c r="B30" s="15" t="s">
        <v>42</v>
      </c>
      <c r="C30" s="10"/>
      <c r="D30" s="11">
        <v>5</v>
      </c>
      <c r="E30" s="36"/>
      <c r="F30" s="36"/>
      <c r="G30" s="37"/>
      <c r="H30" s="38"/>
      <c r="I30" s="38">
        <f t="shared" si="0"/>
        <v>0</v>
      </c>
      <c r="J30" s="63">
        <f t="shared" si="0"/>
        <v>5</v>
      </c>
      <c r="K30" s="62"/>
      <c r="L30" s="36"/>
      <c r="M30" s="36"/>
      <c r="N30" s="36"/>
      <c r="O30" s="36"/>
      <c r="P30" s="36"/>
      <c r="Q30" s="99"/>
      <c r="R30" s="100">
        <f t="shared" si="1"/>
        <v>0</v>
      </c>
      <c r="S30" s="101">
        <f t="shared" si="1"/>
        <v>0</v>
      </c>
      <c r="T30" s="62"/>
      <c r="U30" s="8">
        <f t="shared" si="2"/>
        <v>0</v>
      </c>
      <c r="V30" s="135">
        <f t="shared" si="3"/>
        <v>0</v>
      </c>
      <c r="W30" s="134">
        <f t="shared" si="4"/>
        <v>5</v>
      </c>
      <c r="X30" s="61"/>
    </row>
    <row r="31" spans="1:60" ht="19.5" thickBot="1">
      <c r="A31" s="1">
        <f t="shared" si="5"/>
        <v>24</v>
      </c>
      <c r="B31" s="15" t="s">
        <v>43</v>
      </c>
      <c r="C31" s="10">
        <v>1</v>
      </c>
      <c r="D31" s="11"/>
      <c r="E31" s="36"/>
      <c r="F31" s="36"/>
      <c r="G31" s="37"/>
      <c r="H31" s="38"/>
      <c r="I31" s="38">
        <f t="shared" si="0"/>
        <v>1</v>
      </c>
      <c r="J31" s="63">
        <f t="shared" si="0"/>
        <v>0</v>
      </c>
      <c r="K31" s="62"/>
      <c r="L31" s="36"/>
      <c r="M31" s="36"/>
      <c r="N31" s="36"/>
      <c r="O31" s="36"/>
      <c r="P31" s="36"/>
      <c r="Q31" s="99"/>
      <c r="R31" s="100">
        <f t="shared" si="1"/>
        <v>0</v>
      </c>
      <c r="S31" s="101">
        <f t="shared" si="1"/>
        <v>0</v>
      </c>
      <c r="T31" s="62"/>
      <c r="U31" s="8">
        <f t="shared" si="2"/>
        <v>0</v>
      </c>
      <c r="V31" s="135">
        <f t="shared" si="3"/>
        <v>0</v>
      </c>
      <c r="W31" s="134">
        <f t="shared" si="4"/>
        <v>24</v>
      </c>
      <c r="X31" s="61"/>
    </row>
    <row r="32" spans="1:60" ht="19.5" thickBot="1">
      <c r="A32" s="1">
        <f t="shared" si="5"/>
        <v>25</v>
      </c>
      <c r="B32" s="15" t="s">
        <v>44</v>
      </c>
      <c r="C32" s="10"/>
      <c r="D32" s="11"/>
      <c r="E32" s="36"/>
      <c r="F32" s="36"/>
      <c r="G32" s="37"/>
      <c r="H32" s="38"/>
      <c r="I32" s="38">
        <f t="shared" si="0"/>
        <v>0</v>
      </c>
      <c r="J32" s="63">
        <f t="shared" si="0"/>
        <v>0</v>
      </c>
      <c r="K32" s="62"/>
      <c r="L32" s="36"/>
      <c r="M32" s="36"/>
      <c r="N32" s="36"/>
      <c r="O32" s="36"/>
      <c r="P32" s="36"/>
      <c r="Q32" s="99"/>
      <c r="R32" s="100">
        <f t="shared" si="1"/>
        <v>0</v>
      </c>
      <c r="S32" s="101">
        <f t="shared" si="1"/>
        <v>0</v>
      </c>
      <c r="T32" s="62"/>
      <c r="U32" s="8">
        <f t="shared" si="2"/>
        <v>0</v>
      </c>
      <c r="V32" s="135">
        <f t="shared" si="3"/>
        <v>0</v>
      </c>
      <c r="W32" s="134">
        <f t="shared" si="4"/>
        <v>0</v>
      </c>
      <c r="X32" s="61"/>
    </row>
    <row r="33" spans="1:26" ht="19.5" thickBot="1">
      <c r="A33" s="1">
        <f t="shared" si="5"/>
        <v>26</v>
      </c>
      <c r="B33" s="15" t="s">
        <v>45</v>
      </c>
      <c r="C33" s="10">
        <v>2</v>
      </c>
      <c r="D33" s="11"/>
      <c r="E33" s="36"/>
      <c r="F33" s="36"/>
      <c r="G33" s="37"/>
      <c r="H33" s="38"/>
      <c r="I33" s="38">
        <f t="shared" si="0"/>
        <v>2</v>
      </c>
      <c r="J33" s="63">
        <f t="shared" si="0"/>
        <v>0</v>
      </c>
      <c r="K33" s="62"/>
      <c r="L33" s="36"/>
      <c r="M33" s="36"/>
      <c r="N33" s="36"/>
      <c r="O33" s="36"/>
      <c r="P33" s="36"/>
      <c r="Q33" s="99"/>
      <c r="R33" s="100">
        <f t="shared" si="1"/>
        <v>0</v>
      </c>
      <c r="S33" s="101">
        <f t="shared" si="1"/>
        <v>0</v>
      </c>
      <c r="T33" s="62"/>
      <c r="U33" s="8">
        <f t="shared" si="2"/>
        <v>0</v>
      </c>
      <c r="V33" s="135">
        <f t="shared" si="3"/>
        <v>0</v>
      </c>
      <c r="W33" s="134">
        <f t="shared" si="4"/>
        <v>48</v>
      </c>
      <c r="X33" s="61"/>
    </row>
    <row r="34" spans="1:26" ht="19.5" thickBot="1">
      <c r="A34" s="1">
        <f t="shared" si="5"/>
        <v>27</v>
      </c>
      <c r="B34" s="15" t="s">
        <v>46</v>
      </c>
      <c r="C34" s="10">
        <v>4</v>
      </c>
      <c r="D34" s="11"/>
      <c r="E34" s="36"/>
      <c r="F34" s="36"/>
      <c r="G34" s="37"/>
      <c r="H34" s="38"/>
      <c r="I34" s="38">
        <f t="shared" si="0"/>
        <v>4</v>
      </c>
      <c r="J34" s="63">
        <f t="shared" si="0"/>
        <v>0</v>
      </c>
      <c r="K34" s="62"/>
      <c r="L34" s="36"/>
      <c r="M34" s="36"/>
      <c r="N34" s="36"/>
      <c r="O34" s="36"/>
      <c r="P34" s="36"/>
      <c r="Q34" s="99"/>
      <c r="R34" s="100">
        <f t="shared" si="1"/>
        <v>0</v>
      </c>
      <c r="S34" s="101">
        <f t="shared" si="1"/>
        <v>0</v>
      </c>
      <c r="T34" s="62"/>
      <c r="U34" s="8">
        <f t="shared" si="2"/>
        <v>0</v>
      </c>
      <c r="V34" s="135">
        <f t="shared" si="3"/>
        <v>0</v>
      </c>
      <c r="W34" s="134">
        <f t="shared" si="4"/>
        <v>96</v>
      </c>
      <c r="X34" s="61"/>
    </row>
    <row r="35" spans="1:26" ht="19.5" thickBot="1">
      <c r="A35" s="1">
        <f t="shared" si="5"/>
        <v>28</v>
      </c>
      <c r="B35" s="15" t="s">
        <v>47</v>
      </c>
      <c r="C35" s="10">
        <v>55</v>
      </c>
      <c r="D35" s="11">
        <v>14</v>
      </c>
      <c r="E35" s="36"/>
      <c r="F35" s="36"/>
      <c r="G35" s="37"/>
      <c r="H35" s="38"/>
      <c r="I35" s="38">
        <f t="shared" si="0"/>
        <v>55</v>
      </c>
      <c r="J35" s="63">
        <f t="shared" si="0"/>
        <v>14</v>
      </c>
      <c r="K35" s="62"/>
      <c r="L35" s="36"/>
      <c r="M35" s="36"/>
      <c r="N35" s="36"/>
      <c r="O35" s="36"/>
      <c r="P35" s="36"/>
      <c r="Q35" s="99"/>
      <c r="R35" s="100">
        <f t="shared" si="1"/>
        <v>0</v>
      </c>
      <c r="S35" s="101">
        <f t="shared" si="1"/>
        <v>0</v>
      </c>
      <c r="T35" s="62"/>
      <c r="U35" s="8">
        <f t="shared" si="2"/>
        <v>0</v>
      </c>
      <c r="V35" s="135">
        <f t="shared" si="3"/>
        <v>0</v>
      </c>
      <c r="W35" s="134">
        <f t="shared" si="4"/>
        <v>1334</v>
      </c>
      <c r="X35" s="61"/>
    </row>
    <row r="36" spans="1:26" ht="18.75" hidden="1" customHeight="1">
      <c r="A36" s="1">
        <f t="shared" si="5"/>
        <v>29</v>
      </c>
      <c r="B36" s="15" t="s">
        <v>48</v>
      </c>
      <c r="C36" s="10"/>
      <c r="D36" s="11"/>
      <c r="E36" s="36"/>
      <c r="F36" s="36"/>
      <c r="G36" s="37"/>
      <c r="H36" s="38"/>
      <c r="I36" s="38">
        <f t="shared" si="0"/>
        <v>0</v>
      </c>
      <c r="J36" s="63">
        <f t="shared" si="0"/>
        <v>0</v>
      </c>
      <c r="K36" s="62"/>
      <c r="L36" s="36"/>
      <c r="M36" s="36"/>
      <c r="N36" s="36"/>
      <c r="O36" s="36"/>
      <c r="P36" s="36"/>
      <c r="Q36" s="99"/>
      <c r="R36" s="100">
        <f t="shared" si="1"/>
        <v>0</v>
      </c>
      <c r="S36" s="101">
        <f t="shared" si="1"/>
        <v>0</v>
      </c>
      <c r="T36" s="62"/>
      <c r="U36" s="8">
        <f t="shared" si="2"/>
        <v>0</v>
      </c>
      <c r="V36" s="135">
        <f t="shared" si="3"/>
        <v>0</v>
      </c>
      <c r="W36" s="134">
        <f t="shared" si="4"/>
        <v>0</v>
      </c>
      <c r="X36" s="61"/>
    </row>
    <row r="37" spans="1:26" ht="18.75" customHeight="1" thickBot="1">
      <c r="A37" s="1">
        <f t="shared" si="5"/>
        <v>30</v>
      </c>
      <c r="B37" s="15" t="s">
        <v>49</v>
      </c>
      <c r="C37" s="10">
        <v>1</v>
      </c>
      <c r="D37" s="11"/>
      <c r="E37" s="36"/>
      <c r="F37" s="36"/>
      <c r="G37" s="37"/>
      <c r="H37" s="38"/>
      <c r="I37" s="38">
        <f t="shared" si="0"/>
        <v>1</v>
      </c>
      <c r="J37" s="63">
        <f t="shared" si="0"/>
        <v>0</v>
      </c>
      <c r="K37" s="62"/>
      <c r="L37" s="36"/>
      <c r="M37" s="36"/>
      <c r="N37" s="36"/>
      <c r="O37" s="36"/>
      <c r="P37" s="36"/>
      <c r="Q37" s="99"/>
      <c r="R37" s="100">
        <f t="shared" si="1"/>
        <v>0</v>
      </c>
      <c r="S37" s="101">
        <f t="shared" si="1"/>
        <v>0</v>
      </c>
      <c r="T37" s="62"/>
      <c r="U37" s="8">
        <f t="shared" si="2"/>
        <v>0</v>
      </c>
      <c r="V37" s="135">
        <f t="shared" si="3"/>
        <v>0</v>
      </c>
      <c r="W37" s="134">
        <f t="shared" si="4"/>
        <v>24</v>
      </c>
      <c r="X37" s="61"/>
    </row>
    <row r="38" spans="1:26" ht="19.5" thickBot="1">
      <c r="A38" s="1">
        <f t="shared" si="5"/>
        <v>31</v>
      </c>
      <c r="B38" s="16" t="s">
        <v>50</v>
      </c>
      <c r="C38" s="13">
        <v>4806</v>
      </c>
      <c r="D38" s="14">
        <v>2</v>
      </c>
      <c r="E38" s="39"/>
      <c r="F38" s="39"/>
      <c r="G38" s="40">
        <v>33</v>
      </c>
      <c r="H38" s="41"/>
      <c r="I38" s="53">
        <f t="shared" si="0"/>
        <v>4773</v>
      </c>
      <c r="J38" s="70">
        <f t="shared" si="0"/>
        <v>2</v>
      </c>
      <c r="K38" s="65"/>
      <c r="L38" s="51"/>
      <c r="M38" s="51"/>
      <c r="N38" s="51">
        <v>33</v>
      </c>
      <c r="O38" s="51"/>
      <c r="P38" s="51"/>
      <c r="Q38" s="102"/>
      <c r="R38" s="107">
        <f t="shared" si="1"/>
        <v>33</v>
      </c>
      <c r="S38" s="104">
        <f t="shared" si="1"/>
        <v>0</v>
      </c>
      <c r="T38" s="65"/>
      <c r="U38" s="136">
        <f>L38*6+N38*6+P38*6</f>
        <v>198</v>
      </c>
      <c r="V38" s="141">
        <f>U38/6</f>
        <v>33</v>
      </c>
      <c r="W38" s="138">
        <f>I38*6+J38</f>
        <v>28640</v>
      </c>
      <c r="X38" s="139"/>
    </row>
    <row r="39" spans="1:26" ht="19.5" thickBot="1">
      <c r="A39" s="1">
        <f t="shared" si="5"/>
        <v>32</v>
      </c>
      <c r="B39" s="7" t="s">
        <v>51</v>
      </c>
      <c r="C39" s="10"/>
      <c r="D39" s="11"/>
      <c r="E39" s="36"/>
      <c r="F39" s="36"/>
      <c r="G39" s="37"/>
      <c r="H39" s="38"/>
      <c r="I39" s="37">
        <f t="shared" si="0"/>
        <v>0</v>
      </c>
      <c r="J39" s="63">
        <f t="shared" si="0"/>
        <v>0</v>
      </c>
      <c r="K39" s="62"/>
      <c r="L39" s="36"/>
      <c r="M39" s="36"/>
      <c r="N39" s="36"/>
      <c r="O39" s="36"/>
      <c r="P39" s="36"/>
      <c r="Q39" s="99"/>
      <c r="R39" s="108">
        <f t="shared" si="1"/>
        <v>0</v>
      </c>
      <c r="S39" s="106">
        <f t="shared" si="1"/>
        <v>0</v>
      </c>
      <c r="T39" s="62"/>
      <c r="U39" s="8">
        <f t="shared" ref="U39:U41" si="6">L39*24+N39*24+P39*24</f>
        <v>0</v>
      </c>
      <c r="V39" s="33">
        <f t="shared" ref="V39:V41" si="7">U39/24</f>
        <v>0</v>
      </c>
      <c r="W39" s="134">
        <f t="shared" ref="W39:W41" si="8">I39*24+J39</f>
        <v>0</v>
      </c>
      <c r="X39" s="61"/>
    </row>
    <row r="40" spans="1:26" ht="19.5" thickBot="1">
      <c r="A40" s="1">
        <f t="shared" si="5"/>
        <v>33</v>
      </c>
      <c r="B40" s="17" t="s">
        <v>52</v>
      </c>
      <c r="C40" s="18">
        <v>2</v>
      </c>
      <c r="D40" s="19"/>
      <c r="E40" s="42"/>
      <c r="F40" s="42"/>
      <c r="G40" s="43"/>
      <c r="H40" s="44"/>
      <c r="I40" s="38">
        <f t="shared" si="0"/>
        <v>2</v>
      </c>
      <c r="J40" s="63">
        <f t="shared" si="0"/>
        <v>0</v>
      </c>
      <c r="K40" s="62"/>
      <c r="L40" s="36"/>
      <c r="M40" s="36"/>
      <c r="N40" s="36"/>
      <c r="O40" s="36"/>
      <c r="P40" s="36"/>
      <c r="Q40" s="99"/>
      <c r="R40" s="100">
        <f t="shared" si="1"/>
        <v>0</v>
      </c>
      <c r="S40" s="101">
        <f t="shared" si="1"/>
        <v>0</v>
      </c>
      <c r="T40" s="62"/>
      <c r="U40" s="142">
        <f t="shared" si="6"/>
        <v>0</v>
      </c>
      <c r="V40" s="135">
        <f t="shared" si="7"/>
        <v>0</v>
      </c>
      <c r="W40" s="143">
        <f t="shared" si="8"/>
        <v>48</v>
      </c>
      <c r="X40" s="144"/>
    </row>
    <row r="41" spans="1:26" ht="19.5" thickBot="1">
      <c r="A41" s="1">
        <f t="shared" si="5"/>
        <v>34</v>
      </c>
      <c r="B41" s="20" t="s">
        <v>53</v>
      </c>
      <c r="C41" s="21">
        <v>103</v>
      </c>
      <c r="D41" s="22">
        <v>8</v>
      </c>
      <c r="E41" s="45"/>
      <c r="F41" s="45"/>
      <c r="G41" s="46"/>
      <c r="H41" s="47"/>
      <c r="I41" s="71">
        <f t="shared" si="0"/>
        <v>103</v>
      </c>
      <c r="J41" s="72">
        <f t="shared" si="0"/>
        <v>8</v>
      </c>
      <c r="K41" s="73"/>
      <c r="L41" s="74"/>
      <c r="M41" s="74"/>
      <c r="N41" s="74"/>
      <c r="O41" s="74"/>
      <c r="P41" s="74"/>
      <c r="Q41" s="109"/>
      <c r="R41" s="110">
        <f t="shared" si="1"/>
        <v>0</v>
      </c>
      <c r="S41" s="111">
        <f t="shared" si="1"/>
        <v>0</v>
      </c>
      <c r="T41" s="73"/>
      <c r="U41" s="145">
        <f t="shared" si="6"/>
        <v>0</v>
      </c>
      <c r="V41" s="146">
        <f t="shared" si="7"/>
        <v>0</v>
      </c>
      <c r="W41" s="146">
        <f t="shared" si="8"/>
        <v>2480</v>
      </c>
      <c r="X41" s="147"/>
    </row>
    <row r="42" spans="1:26" ht="19.5" thickBot="1">
      <c r="A42" s="1">
        <f t="shared" si="5"/>
        <v>35</v>
      </c>
      <c r="B42" s="23" t="s">
        <v>54</v>
      </c>
      <c r="C42" s="24">
        <v>414</v>
      </c>
      <c r="D42" s="25"/>
      <c r="E42" s="48"/>
      <c r="F42" s="48"/>
      <c r="G42" s="49">
        <v>3</v>
      </c>
      <c r="H42" s="50"/>
      <c r="I42" s="49">
        <f t="shared" si="0"/>
        <v>411</v>
      </c>
      <c r="J42" s="75">
        <f t="shared" si="0"/>
        <v>0</v>
      </c>
      <c r="K42" s="76"/>
      <c r="L42" s="48"/>
      <c r="M42" s="48"/>
      <c r="N42" s="48">
        <v>3</v>
      </c>
      <c r="O42" s="48"/>
      <c r="P42" s="48"/>
      <c r="Q42" s="112"/>
      <c r="R42" s="113">
        <f t="shared" si="1"/>
        <v>3</v>
      </c>
      <c r="S42" s="114">
        <f t="shared" si="1"/>
        <v>0</v>
      </c>
      <c r="T42" s="76"/>
      <c r="U42" s="148">
        <f>L42*12+N42*12+P42*12</f>
        <v>36</v>
      </c>
      <c r="V42" s="149">
        <f>U42/12</f>
        <v>3</v>
      </c>
      <c r="W42" s="150">
        <f>I42*12+J42</f>
        <v>4932</v>
      </c>
      <c r="X42" s="151"/>
    </row>
    <row r="43" spans="1:26" ht="18.75" hidden="1" customHeight="1">
      <c r="A43" s="1">
        <f t="shared" si="5"/>
        <v>36</v>
      </c>
      <c r="B43" s="7" t="s">
        <v>55</v>
      </c>
      <c r="C43" s="10"/>
      <c r="D43" s="11"/>
      <c r="E43" s="36"/>
      <c r="F43" s="36"/>
      <c r="G43" s="37"/>
      <c r="H43" s="38"/>
      <c r="I43" s="38">
        <f t="shared" si="0"/>
        <v>0</v>
      </c>
      <c r="J43" s="64">
        <f t="shared" si="0"/>
        <v>0</v>
      </c>
      <c r="K43" s="62"/>
      <c r="L43" s="36"/>
      <c r="M43" s="36"/>
      <c r="N43" s="36"/>
      <c r="O43" s="36"/>
      <c r="P43" s="36"/>
      <c r="Q43" s="99"/>
      <c r="R43" s="115">
        <f t="shared" si="1"/>
        <v>0</v>
      </c>
      <c r="S43" s="116">
        <f t="shared" si="1"/>
        <v>0</v>
      </c>
      <c r="T43" s="62"/>
      <c r="U43" s="8"/>
      <c r="V43" s="33"/>
      <c r="W43" s="134"/>
      <c r="X43" s="61"/>
    </row>
    <row r="44" spans="1:26" ht="19.5" thickBot="1">
      <c r="A44" s="1">
        <f t="shared" si="5"/>
        <v>37</v>
      </c>
      <c r="B44" s="12" t="s">
        <v>56</v>
      </c>
      <c r="C44" s="13">
        <v>27398</v>
      </c>
      <c r="D44" s="14">
        <v>2</v>
      </c>
      <c r="E44" s="39"/>
      <c r="F44" s="39"/>
      <c r="G44" s="40">
        <v>740</v>
      </c>
      <c r="H44" s="41"/>
      <c r="I44" s="38">
        <f>C44+E44-G44</f>
        <v>26658</v>
      </c>
      <c r="J44" s="77">
        <f t="shared" ref="J44:J59" si="9">D44-H44</f>
        <v>2</v>
      </c>
      <c r="K44" s="65"/>
      <c r="L44" s="51">
        <v>446</v>
      </c>
      <c r="M44" s="51"/>
      <c r="N44" s="51">
        <v>294</v>
      </c>
      <c r="O44" s="51"/>
      <c r="P44" s="51"/>
      <c r="Q44" s="102"/>
      <c r="R44" s="117">
        <f t="shared" si="1"/>
        <v>740</v>
      </c>
      <c r="S44" s="118">
        <f t="shared" si="1"/>
        <v>0</v>
      </c>
      <c r="T44" s="65"/>
      <c r="U44" s="136">
        <f>L44*6+N44*6+P44*6</f>
        <v>4440</v>
      </c>
      <c r="V44" s="135">
        <f>U44/6</f>
        <v>740</v>
      </c>
      <c r="W44" s="138">
        <f>I44*6+J44</f>
        <v>159950</v>
      </c>
      <c r="X44" s="139"/>
      <c r="Z44" s="155"/>
    </row>
    <row r="45" spans="1:26" ht="18.75" hidden="1" customHeight="1">
      <c r="A45" s="1">
        <f t="shared" si="5"/>
        <v>38</v>
      </c>
      <c r="B45" s="7" t="s">
        <v>57</v>
      </c>
      <c r="C45" s="10"/>
      <c r="D45" s="11"/>
      <c r="E45" s="36"/>
      <c r="F45" s="36"/>
      <c r="G45" s="37"/>
      <c r="H45" s="38"/>
      <c r="I45" s="44">
        <f t="shared" ref="I45:I59" si="10">C45-G45</f>
        <v>0</v>
      </c>
      <c r="J45" s="63">
        <f t="shared" si="9"/>
        <v>0</v>
      </c>
      <c r="K45" s="62"/>
      <c r="L45" s="36"/>
      <c r="M45" s="36"/>
      <c r="N45" s="36"/>
      <c r="O45" s="36"/>
      <c r="P45" s="36"/>
      <c r="Q45" s="99"/>
      <c r="R45" s="108">
        <f t="shared" si="1"/>
        <v>0</v>
      </c>
      <c r="S45" s="116">
        <f t="shared" si="1"/>
        <v>0</v>
      </c>
      <c r="T45" s="62"/>
      <c r="U45" s="8"/>
      <c r="V45" s="137"/>
      <c r="W45" s="134"/>
      <c r="X45" s="61"/>
    </row>
    <row r="46" spans="1:26" ht="19.5" thickBot="1">
      <c r="A46" s="1">
        <f t="shared" si="5"/>
        <v>39</v>
      </c>
      <c r="B46" s="15" t="s">
        <v>58</v>
      </c>
      <c r="C46" s="10">
        <v>7</v>
      </c>
      <c r="D46" s="11"/>
      <c r="E46" s="36"/>
      <c r="F46" s="36"/>
      <c r="G46" s="37"/>
      <c r="H46" s="38"/>
      <c r="I46" s="68">
        <f t="shared" si="10"/>
        <v>7</v>
      </c>
      <c r="J46" s="63">
        <f t="shared" si="9"/>
        <v>0</v>
      </c>
      <c r="K46" s="62"/>
      <c r="L46" s="36"/>
      <c r="M46" s="36"/>
      <c r="N46" s="36"/>
      <c r="O46" s="36"/>
      <c r="P46" s="36"/>
      <c r="Q46" s="99"/>
      <c r="R46" s="100">
        <f t="shared" si="1"/>
        <v>0</v>
      </c>
      <c r="S46" s="119">
        <f t="shared" si="1"/>
        <v>0</v>
      </c>
      <c r="T46" s="62"/>
      <c r="U46" s="8">
        <f t="shared" ref="U46:U51" si="11">L46*24+N46*24+P46*24</f>
        <v>0</v>
      </c>
      <c r="V46" s="140">
        <f t="shared" ref="V46:V51" si="12">U46/24</f>
        <v>0</v>
      </c>
      <c r="W46" s="134">
        <f t="shared" ref="W46:W51" si="13">I46*24+J46</f>
        <v>168</v>
      </c>
      <c r="X46" s="61"/>
    </row>
    <row r="47" spans="1:26" ht="19.5" thickBot="1">
      <c r="A47" s="1">
        <f t="shared" si="5"/>
        <v>40</v>
      </c>
      <c r="B47" s="15" t="s">
        <v>59</v>
      </c>
      <c r="C47" s="10">
        <v>1</v>
      </c>
      <c r="D47" s="11"/>
      <c r="E47" s="36"/>
      <c r="F47" s="36"/>
      <c r="G47" s="37"/>
      <c r="H47" s="38"/>
      <c r="I47" s="38">
        <f t="shared" si="10"/>
        <v>1</v>
      </c>
      <c r="J47" s="63">
        <f t="shared" si="9"/>
        <v>0</v>
      </c>
      <c r="K47" s="62"/>
      <c r="L47" s="36"/>
      <c r="M47" s="36"/>
      <c r="N47" s="36"/>
      <c r="O47" s="36"/>
      <c r="P47" s="36"/>
      <c r="Q47" s="99"/>
      <c r="R47" s="100">
        <f t="shared" si="1"/>
        <v>0</v>
      </c>
      <c r="S47" s="101">
        <f t="shared" si="1"/>
        <v>0</v>
      </c>
      <c r="T47" s="62"/>
      <c r="U47" s="8">
        <f t="shared" si="11"/>
        <v>0</v>
      </c>
      <c r="V47" s="135">
        <f t="shared" si="12"/>
        <v>0</v>
      </c>
      <c r="W47" s="134">
        <f t="shared" si="13"/>
        <v>24</v>
      </c>
      <c r="X47" s="61"/>
    </row>
    <row r="48" spans="1:26" ht="19.5" thickBot="1">
      <c r="A48" s="1">
        <f t="shared" si="5"/>
        <v>41</v>
      </c>
      <c r="B48" s="12" t="s">
        <v>48</v>
      </c>
      <c r="C48" s="26">
        <v>2820</v>
      </c>
      <c r="D48" s="27">
        <v>4</v>
      </c>
      <c r="E48" s="51"/>
      <c r="F48" s="51"/>
      <c r="G48" s="52"/>
      <c r="H48" s="53"/>
      <c r="I48" s="53">
        <f t="shared" si="10"/>
        <v>2820</v>
      </c>
      <c r="J48" s="70">
        <f t="shared" si="9"/>
        <v>4</v>
      </c>
      <c r="K48" s="65"/>
      <c r="L48" s="51"/>
      <c r="M48" s="51"/>
      <c r="N48" s="51"/>
      <c r="O48" s="51"/>
      <c r="P48" s="51"/>
      <c r="Q48" s="102"/>
      <c r="R48" s="107">
        <f t="shared" si="1"/>
        <v>0</v>
      </c>
      <c r="S48" s="120">
        <f t="shared" si="1"/>
        <v>0</v>
      </c>
      <c r="T48" s="65"/>
      <c r="U48" s="136">
        <f>L48*6+N48*6+P48*6</f>
        <v>0</v>
      </c>
      <c r="V48" s="141">
        <f>U48/6</f>
        <v>0</v>
      </c>
      <c r="W48" s="138">
        <f>I48*6+J48</f>
        <v>16924</v>
      </c>
      <c r="X48" s="139"/>
    </row>
    <row r="49" spans="1:24" ht="19.5" thickBot="1">
      <c r="A49" s="1">
        <f t="shared" si="5"/>
        <v>42</v>
      </c>
      <c r="B49" s="7" t="s">
        <v>60</v>
      </c>
      <c r="C49" s="10">
        <v>1</v>
      </c>
      <c r="D49" s="11"/>
      <c r="E49" s="36"/>
      <c r="F49" s="36"/>
      <c r="G49" s="37"/>
      <c r="H49" s="38"/>
      <c r="I49" s="38">
        <f t="shared" si="10"/>
        <v>1</v>
      </c>
      <c r="J49" s="63">
        <f t="shared" si="9"/>
        <v>0</v>
      </c>
      <c r="K49" s="62"/>
      <c r="L49" s="36"/>
      <c r="M49" s="36"/>
      <c r="N49" s="36"/>
      <c r="O49" s="36"/>
      <c r="P49" s="36"/>
      <c r="Q49" s="99"/>
      <c r="R49" s="108">
        <f t="shared" si="1"/>
        <v>0</v>
      </c>
      <c r="S49" s="106">
        <f t="shared" si="1"/>
        <v>0</v>
      </c>
      <c r="T49" s="62"/>
      <c r="U49" s="8">
        <f t="shared" si="11"/>
        <v>0</v>
      </c>
      <c r="V49" s="33">
        <f t="shared" si="12"/>
        <v>0</v>
      </c>
      <c r="W49" s="134">
        <f t="shared" si="13"/>
        <v>24</v>
      </c>
      <c r="X49" s="61"/>
    </row>
    <row r="50" spans="1:24" ht="19.5" thickBot="1">
      <c r="A50" s="1">
        <f t="shared" si="5"/>
        <v>43</v>
      </c>
      <c r="B50" s="15" t="s">
        <v>61</v>
      </c>
      <c r="C50" s="10">
        <v>2</v>
      </c>
      <c r="D50" s="11"/>
      <c r="E50" s="36"/>
      <c r="F50" s="36"/>
      <c r="G50" s="37"/>
      <c r="H50" s="38"/>
      <c r="I50" s="38">
        <f t="shared" si="10"/>
        <v>2</v>
      </c>
      <c r="J50" s="63">
        <f t="shared" si="9"/>
        <v>0</v>
      </c>
      <c r="K50" s="62"/>
      <c r="L50" s="36"/>
      <c r="M50" s="36"/>
      <c r="N50" s="36"/>
      <c r="O50" s="36"/>
      <c r="P50" s="36"/>
      <c r="Q50" s="99"/>
      <c r="R50" s="100">
        <f t="shared" si="1"/>
        <v>0</v>
      </c>
      <c r="S50" s="101">
        <f t="shared" si="1"/>
        <v>0</v>
      </c>
      <c r="T50" s="62"/>
      <c r="U50" s="8">
        <f t="shared" si="11"/>
        <v>0</v>
      </c>
      <c r="V50" s="135">
        <f t="shared" si="12"/>
        <v>0</v>
      </c>
      <c r="W50" s="134">
        <f t="shared" si="13"/>
        <v>48</v>
      </c>
      <c r="X50" s="61"/>
    </row>
    <row r="51" spans="1:24" ht="19.5" thickBot="1">
      <c r="A51" s="1">
        <f t="shared" si="5"/>
        <v>44</v>
      </c>
      <c r="B51" s="15" t="s">
        <v>62</v>
      </c>
      <c r="C51" s="10"/>
      <c r="D51" s="11"/>
      <c r="E51" s="36"/>
      <c r="F51" s="36"/>
      <c r="G51" s="37"/>
      <c r="H51" s="38"/>
      <c r="I51" s="38">
        <f t="shared" si="10"/>
        <v>0</v>
      </c>
      <c r="J51" s="63">
        <f t="shared" si="9"/>
        <v>0</v>
      </c>
      <c r="K51" s="62"/>
      <c r="L51" s="36"/>
      <c r="M51" s="36"/>
      <c r="N51" s="36"/>
      <c r="O51" s="36"/>
      <c r="P51" s="36"/>
      <c r="Q51" s="99"/>
      <c r="R51" s="100">
        <f t="shared" si="1"/>
        <v>0</v>
      </c>
      <c r="S51" s="101">
        <f t="shared" si="1"/>
        <v>0</v>
      </c>
      <c r="T51" s="62"/>
      <c r="U51" s="8">
        <f t="shared" si="11"/>
        <v>0</v>
      </c>
      <c r="V51" s="135">
        <f t="shared" si="12"/>
        <v>0</v>
      </c>
      <c r="W51" s="134">
        <f t="shared" si="13"/>
        <v>0</v>
      </c>
      <c r="X51" s="61"/>
    </row>
    <row r="52" spans="1:24" ht="19.5" thickBot="1">
      <c r="A52" s="1">
        <f t="shared" si="5"/>
        <v>45</v>
      </c>
      <c r="B52" s="12" t="s">
        <v>63</v>
      </c>
      <c r="C52" s="26">
        <v>34</v>
      </c>
      <c r="D52" s="27"/>
      <c r="E52" s="51"/>
      <c r="F52" s="51"/>
      <c r="G52" s="52"/>
      <c r="H52" s="53"/>
      <c r="I52" s="53">
        <f t="shared" si="10"/>
        <v>34</v>
      </c>
      <c r="J52" s="70">
        <f t="shared" si="9"/>
        <v>0</v>
      </c>
      <c r="K52" s="65"/>
      <c r="L52" s="51"/>
      <c r="M52" s="51"/>
      <c r="N52" s="51"/>
      <c r="O52" s="51"/>
      <c r="P52" s="51"/>
      <c r="Q52" s="102"/>
      <c r="R52" s="107">
        <f t="shared" si="1"/>
        <v>0</v>
      </c>
      <c r="S52" s="120">
        <f t="shared" si="1"/>
        <v>0</v>
      </c>
      <c r="T52" s="65"/>
      <c r="U52" s="136">
        <f>L52*6+N52*6+P52*6</f>
        <v>0</v>
      </c>
      <c r="V52" s="141">
        <f>U52/6</f>
        <v>0</v>
      </c>
      <c r="W52" s="138">
        <f>I52*6+J52</f>
        <v>204</v>
      </c>
      <c r="X52" s="139"/>
    </row>
    <row r="53" spans="1:24" ht="19.5" thickBot="1">
      <c r="A53" s="1">
        <f t="shared" si="5"/>
        <v>46</v>
      </c>
      <c r="B53" s="7" t="s">
        <v>64</v>
      </c>
      <c r="C53" s="10">
        <v>2</v>
      </c>
      <c r="D53" s="11"/>
      <c r="E53" s="36"/>
      <c r="F53" s="36"/>
      <c r="G53" s="37"/>
      <c r="H53" s="38"/>
      <c r="I53" s="38">
        <f t="shared" si="10"/>
        <v>2</v>
      </c>
      <c r="J53" s="63">
        <f t="shared" si="9"/>
        <v>0</v>
      </c>
      <c r="K53" s="62"/>
      <c r="L53" s="36"/>
      <c r="M53" s="36"/>
      <c r="N53" s="36"/>
      <c r="O53" s="36"/>
      <c r="P53" s="36"/>
      <c r="Q53" s="99"/>
      <c r="R53" s="108">
        <f t="shared" si="1"/>
        <v>0</v>
      </c>
      <c r="S53" s="106">
        <f t="shared" si="1"/>
        <v>0</v>
      </c>
      <c r="T53" s="62"/>
      <c r="U53" s="8">
        <f>L53*24+N53*24+P53*24</f>
        <v>0</v>
      </c>
      <c r="V53" s="33">
        <f>U53/24</f>
        <v>0</v>
      </c>
      <c r="W53" s="134">
        <f>I53*24+J53</f>
        <v>48</v>
      </c>
      <c r="X53" s="61"/>
    </row>
    <row r="54" spans="1:24" ht="19.5" thickBot="1">
      <c r="A54" s="1">
        <f t="shared" si="5"/>
        <v>47</v>
      </c>
      <c r="B54" s="15" t="s">
        <v>65</v>
      </c>
      <c r="C54" s="10">
        <v>11</v>
      </c>
      <c r="D54" s="11"/>
      <c r="E54" s="36"/>
      <c r="F54" s="36"/>
      <c r="G54" s="37"/>
      <c r="H54" s="38"/>
      <c r="I54" s="38">
        <f t="shared" si="10"/>
        <v>11</v>
      </c>
      <c r="J54" s="63">
        <f t="shared" si="9"/>
        <v>0</v>
      </c>
      <c r="K54" s="62"/>
      <c r="L54" s="36"/>
      <c r="M54" s="36"/>
      <c r="N54" s="36"/>
      <c r="O54" s="36"/>
      <c r="P54" s="36"/>
      <c r="Q54" s="99"/>
      <c r="R54" s="100">
        <f t="shared" si="1"/>
        <v>0</v>
      </c>
      <c r="S54" s="101">
        <f t="shared" si="1"/>
        <v>0</v>
      </c>
      <c r="T54" s="62"/>
      <c r="U54" s="8">
        <f>L54*24+N54*24+P54*24</f>
        <v>0</v>
      </c>
      <c r="V54" s="135">
        <f>U54/24</f>
        <v>0</v>
      </c>
      <c r="W54" s="134">
        <f>I54*24+J54</f>
        <v>264</v>
      </c>
      <c r="X54" s="61"/>
    </row>
    <row r="55" spans="1:24" ht="19.5" thickBot="1">
      <c r="A55" s="1">
        <f t="shared" si="5"/>
        <v>48</v>
      </c>
      <c r="B55" s="15"/>
      <c r="C55" s="10"/>
      <c r="D55" s="11"/>
      <c r="E55" s="36"/>
      <c r="F55" s="36"/>
      <c r="G55" s="37"/>
      <c r="H55" s="38"/>
      <c r="I55" s="38">
        <f t="shared" si="10"/>
        <v>0</v>
      </c>
      <c r="J55" s="63">
        <f t="shared" si="9"/>
        <v>0</v>
      </c>
      <c r="K55" s="62"/>
      <c r="L55" s="36"/>
      <c r="M55" s="36"/>
      <c r="N55" s="36"/>
      <c r="O55" s="36"/>
      <c r="P55" s="36"/>
      <c r="Q55" s="99"/>
      <c r="R55" s="100">
        <f t="shared" si="1"/>
        <v>0</v>
      </c>
      <c r="S55" s="101">
        <f t="shared" si="1"/>
        <v>0</v>
      </c>
      <c r="T55" s="62"/>
      <c r="U55" s="8"/>
      <c r="V55" s="135"/>
      <c r="W55" s="134"/>
      <c r="X55" s="61"/>
    </row>
    <row r="56" spans="1:24" ht="19.5" thickBot="1">
      <c r="A56" s="1">
        <f t="shared" si="5"/>
        <v>49</v>
      </c>
      <c r="B56" s="15"/>
      <c r="C56" s="10"/>
      <c r="D56" s="11"/>
      <c r="E56" s="36"/>
      <c r="F56" s="36"/>
      <c r="G56" s="37"/>
      <c r="H56" s="38"/>
      <c r="I56" s="38">
        <f t="shared" si="10"/>
        <v>0</v>
      </c>
      <c r="J56" s="63">
        <f t="shared" si="9"/>
        <v>0</v>
      </c>
      <c r="K56" s="62"/>
      <c r="L56" s="36"/>
      <c r="M56" s="36"/>
      <c r="N56" s="36"/>
      <c r="O56" s="36"/>
      <c r="P56" s="36"/>
      <c r="Q56" s="99"/>
      <c r="R56" s="100">
        <f t="shared" si="1"/>
        <v>0</v>
      </c>
      <c r="S56" s="101">
        <f t="shared" si="1"/>
        <v>0</v>
      </c>
      <c r="T56" s="62"/>
      <c r="U56" s="8"/>
      <c r="V56" s="135"/>
      <c r="W56" s="134"/>
      <c r="X56" s="61"/>
    </row>
    <row r="57" spans="1:24" ht="19.5" thickBot="1">
      <c r="A57" s="1">
        <f t="shared" si="5"/>
        <v>50</v>
      </c>
      <c r="B57" s="15"/>
      <c r="C57" s="10"/>
      <c r="D57" s="11"/>
      <c r="E57" s="36"/>
      <c r="F57" s="36"/>
      <c r="G57" s="37"/>
      <c r="H57" s="38"/>
      <c r="I57" s="38">
        <f t="shared" si="10"/>
        <v>0</v>
      </c>
      <c r="J57" s="63">
        <f t="shared" si="9"/>
        <v>0</v>
      </c>
      <c r="K57" s="62"/>
      <c r="L57" s="36"/>
      <c r="M57" s="36"/>
      <c r="N57" s="36"/>
      <c r="O57" s="36"/>
      <c r="P57" s="36"/>
      <c r="Q57" s="99"/>
      <c r="R57" s="100">
        <f t="shared" si="1"/>
        <v>0</v>
      </c>
      <c r="S57" s="101">
        <f t="shared" si="1"/>
        <v>0</v>
      </c>
      <c r="T57" s="62"/>
      <c r="U57" s="8"/>
      <c r="V57" s="135"/>
      <c r="W57" s="134"/>
      <c r="X57" s="61"/>
    </row>
    <row r="58" spans="1:24" ht="19.5" thickBot="1">
      <c r="A58" s="1">
        <f t="shared" si="5"/>
        <v>51</v>
      </c>
      <c r="B58" s="15"/>
      <c r="C58" s="10"/>
      <c r="D58" s="11"/>
      <c r="E58" s="36"/>
      <c r="F58" s="36"/>
      <c r="G58" s="37"/>
      <c r="H58" s="38"/>
      <c r="I58" s="38">
        <f t="shared" si="10"/>
        <v>0</v>
      </c>
      <c r="J58" s="63">
        <f t="shared" si="9"/>
        <v>0</v>
      </c>
      <c r="K58" s="62"/>
      <c r="L58" s="36"/>
      <c r="M58" s="36"/>
      <c r="N58" s="36"/>
      <c r="O58" s="36"/>
      <c r="P58" s="36"/>
      <c r="Q58" s="99"/>
      <c r="R58" s="100">
        <f t="shared" si="1"/>
        <v>0</v>
      </c>
      <c r="S58" s="101">
        <f t="shared" si="1"/>
        <v>0</v>
      </c>
      <c r="T58" s="62"/>
      <c r="U58" s="8"/>
      <c r="V58" s="135"/>
      <c r="W58" s="134"/>
      <c r="X58" s="61"/>
    </row>
    <row r="59" spans="1:24" ht="19.5" thickBot="1">
      <c r="A59" s="1">
        <f t="shared" si="5"/>
        <v>52</v>
      </c>
      <c r="B59" s="15"/>
      <c r="C59" s="10"/>
      <c r="D59" s="11"/>
      <c r="E59" s="36"/>
      <c r="F59" s="36"/>
      <c r="G59" s="37"/>
      <c r="H59" s="38"/>
      <c r="I59" s="38">
        <f t="shared" si="10"/>
        <v>0</v>
      </c>
      <c r="J59" s="63">
        <f t="shared" si="9"/>
        <v>0</v>
      </c>
      <c r="K59" s="62"/>
      <c r="L59" s="36"/>
      <c r="M59" s="36"/>
      <c r="N59" s="36"/>
      <c r="O59" s="36"/>
      <c r="P59" s="36"/>
      <c r="Q59" s="99"/>
      <c r="R59" s="100">
        <f t="shared" si="1"/>
        <v>0</v>
      </c>
      <c r="S59" s="101">
        <f t="shared" si="1"/>
        <v>0</v>
      </c>
      <c r="T59" s="62"/>
      <c r="U59" s="8"/>
      <c r="V59" s="135"/>
      <c r="W59" s="134"/>
      <c r="X59" s="61"/>
    </row>
    <row r="60" spans="1:24" s="2" customFormat="1" ht="19.5" thickBot="1">
      <c r="B60" s="28" t="s">
        <v>15</v>
      </c>
      <c r="C60" s="29">
        <f t="shared" ref="C60:J60" si="14">SUM(C8:C59)</f>
        <v>39087</v>
      </c>
      <c r="D60" s="30">
        <f t="shared" si="14"/>
        <v>132</v>
      </c>
      <c r="E60" s="54">
        <f t="shared" si="14"/>
        <v>0</v>
      </c>
      <c r="F60" s="54"/>
      <c r="G60" s="55">
        <f t="shared" si="14"/>
        <v>803</v>
      </c>
      <c r="H60" s="56">
        <f t="shared" si="14"/>
        <v>12</v>
      </c>
      <c r="I60" s="56">
        <f t="shared" si="14"/>
        <v>38284</v>
      </c>
      <c r="J60" s="78">
        <f t="shared" si="14"/>
        <v>120</v>
      </c>
      <c r="L60" s="79">
        <f t="shared" ref="L60:S60" si="15">SUM(L8:L59)</f>
        <v>460</v>
      </c>
      <c r="M60" s="79">
        <f t="shared" si="15"/>
        <v>12</v>
      </c>
      <c r="N60" s="79">
        <f t="shared" si="15"/>
        <v>343</v>
      </c>
      <c r="O60" s="79">
        <f t="shared" si="15"/>
        <v>0</v>
      </c>
      <c r="P60" s="79">
        <f t="shared" si="15"/>
        <v>0</v>
      </c>
      <c r="Q60" s="121">
        <f t="shared" si="15"/>
        <v>0</v>
      </c>
      <c r="R60" s="122">
        <f t="shared" si="15"/>
        <v>803</v>
      </c>
      <c r="S60" s="123">
        <f t="shared" si="15"/>
        <v>12</v>
      </c>
      <c r="U60" s="29">
        <f t="shared" ref="U60:W60" si="16">SUM(U8:U59)</f>
        <v>5322</v>
      </c>
      <c r="V60" s="152">
        <f t="shared" si="16"/>
        <v>803</v>
      </c>
      <c r="W60" s="179">
        <f t="shared" si="16"/>
        <v>296874</v>
      </c>
      <c r="X60" s="78"/>
    </row>
    <row r="61" spans="1:24" ht="19.5" thickBot="1">
      <c r="V61" s="154"/>
    </row>
    <row r="62" spans="1:24" ht="18.75" customHeight="1">
      <c r="G62" s="197" t="s">
        <v>66</v>
      </c>
      <c r="H62" s="57"/>
      <c r="I62" s="57"/>
      <c r="J62" s="80" t="s">
        <v>67</v>
      </c>
      <c r="L62" s="81"/>
      <c r="M62" s="87"/>
      <c r="N62" s="88"/>
      <c r="O62" s="88"/>
      <c r="P62" s="88"/>
      <c r="Q62" s="124"/>
      <c r="R62" s="124"/>
      <c r="S62" s="125"/>
    </row>
    <row r="63" spans="1:24">
      <c r="G63" s="198"/>
      <c r="H63" s="58"/>
      <c r="I63" s="58"/>
      <c r="J63" s="82" t="s">
        <v>68</v>
      </c>
      <c r="L63" s="83"/>
      <c r="M63" s="89"/>
      <c r="N63" s="90"/>
      <c r="O63" s="90"/>
      <c r="P63" s="90"/>
      <c r="Q63" s="126"/>
      <c r="R63" s="126"/>
      <c r="S63" s="127"/>
    </row>
    <row r="64" spans="1:24">
      <c r="G64" s="199"/>
      <c r="H64" s="59"/>
      <c r="I64" s="59"/>
      <c r="J64" s="82" t="s">
        <v>69</v>
      </c>
      <c r="L64" s="84"/>
      <c r="M64" s="91"/>
      <c r="N64" s="92"/>
      <c r="O64" s="92"/>
      <c r="P64" s="92"/>
      <c r="Q64" s="128"/>
      <c r="R64" s="128"/>
      <c r="S64" s="129"/>
    </row>
    <row r="65" spans="2:24">
      <c r="G65" s="200" t="s">
        <v>70</v>
      </c>
      <c r="H65" s="164"/>
      <c r="I65" s="164"/>
      <c r="J65" s="82" t="s">
        <v>67</v>
      </c>
      <c r="L65" s="84"/>
      <c r="M65" s="91"/>
      <c r="N65" s="92"/>
      <c r="O65" s="92"/>
      <c r="P65" s="92"/>
      <c r="Q65" s="128"/>
      <c r="R65" s="128"/>
      <c r="S65" s="129"/>
    </row>
    <row r="66" spans="2:24">
      <c r="G66" s="200"/>
      <c r="H66" s="164"/>
      <c r="I66" s="164"/>
      <c r="J66" s="82" t="s">
        <v>68</v>
      </c>
      <c r="L66" s="83"/>
      <c r="M66" s="89"/>
      <c r="N66" s="90"/>
      <c r="O66" s="90"/>
      <c r="P66" s="90"/>
      <c r="Q66" s="126"/>
      <c r="R66" s="126"/>
      <c r="S66" s="127"/>
    </row>
    <row r="67" spans="2:24" ht="19.5" thickBot="1">
      <c r="G67" s="201"/>
      <c r="H67" s="165"/>
      <c r="I67" s="165"/>
      <c r="J67" s="167" t="s">
        <v>69</v>
      </c>
      <c r="L67" s="168"/>
      <c r="M67" s="170"/>
      <c r="N67" s="171"/>
      <c r="O67" s="171"/>
      <c r="P67" s="171"/>
      <c r="Q67" s="174"/>
      <c r="R67" s="174"/>
      <c r="S67" s="175"/>
    </row>
    <row r="69" spans="2:24" ht="49.5" customHeight="1" thickBot="1">
      <c r="B69" s="159" t="s">
        <v>71</v>
      </c>
      <c r="C69" s="5" t="s">
        <v>4</v>
      </c>
      <c r="D69" s="6"/>
      <c r="E69" s="166" t="s">
        <v>72</v>
      </c>
      <c r="L69" s="169" t="s">
        <v>12</v>
      </c>
      <c r="M69" s="172"/>
      <c r="N69" s="173" t="s">
        <v>13</v>
      </c>
      <c r="O69" s="173"/>
      <c r="P69" s="173" t="s">
        <v>14</v>
      </c>
      <c r="Q69" s="176"/>
      <c r="R69" s="176"/>
      <c r="S69" s="177" t="s">
        <v>73</v>
      </c>
      <c r="X69" s="178" t="s">
        <v>74</v>
      </c>
    </row>
    <row r="70" spans="2:24">
      <c r="B70" s="160" t="s">
        <v>47</v>
      </c>
      <c r="C70" s="161"/>
      <c r="D70" s="161"/>
      <c r="E70" s="163"/>
      <c r="L70" s="161"/>
      <c r="M70" s="161"/>
      <c r="N70" s="161"/>
      <c r="O70" s="161"/>
      <c r="P70" s="161"/>
      <c r="Q70" s="161"/>
      <c r="R70" s="161"/>
      <c r="S70" s="161"/>
      <c r="X70" s="163"/>
    </row>
    <row r="71" spans="2:24">
      <c r="B71" s="162" t="s">
        <v>75</v>
      </c>
      <c r="C71" s="161"/>
      <c r="D71" s="161"/>
      <c r="E71" s="163"/>
      <c r="L71" s="163"/>
      <c r="M71" s="163"/>
      <c r="N71" s="163"/>
      <c r="O71" s="163"/>
      <c r="P71" s="163"/>
      <c r="Q71" s="163"/>
      <c r="R71" s="163"/>
      <c r="S71" s="163"/>
      <c r="X71" s="163"/>
    </row>
    <row r="72" spans="2:24">
      <c r="B72" s="162" t="s">
        <v>76</v>
      </c>
      <c r="C72" s="161"/>
      <c r="D72" s="161"/>
      <c r="E72" s="163"/>
      <c r="L72" s="163"/>
      <c r="M72" s="163"/>
      <c r="N72" s="163"/>
      <c r="O72" s="163"/>
      <c r="P72" s="163"/>
      <c r="Q72" s="163"/>
      <c r="R72" s="163"/>
      <c r="S72" s="163"/>
      <c r="X72" s="163"/>
    </row>
    <row r="73" spans="2:24" ht="11.25" customHeight="1"/>
    <row r="74" spans="2:24">
      <c r="B74" s="162" t="s">
        <v>77</v>
      </c>
      <c r="C74" s="163"/>
      <c r="D74" s="163"/>
      <c r="E74" s="163"/>
      <c r="L74" s="163"/>
      <c r="M74" s="163"/>
      <c r="N74" s="163"/>
      <c r="O74" s="163"/>
      <c r="P74" s="163"/>
      <c r="Q74" s="163"/>
      <c r="R74" s="163"/>
      <c r="S74" s="163"/>
      <c r="X74" s="163"/>
    </row>
    <row r="75" spans="2:24">
      <c r="B75" s="162" t="s">
        <v>75</v>
      </c>
      <c r="C75" s="163"/>
      <c r="D75" s="163"/>
      <c r="E75" s="163"/>
      <c r="L75" s="163"/>
      <c r="M75" s="163"/>
      <c r="N75" s="163"/>
      <c r="O75" s="163"/>
      <c r="P75" s="163"/>
      <c r="Q75" s="163"/>
      <c r="R75" s="163"/>
      <c r="S75" s="163"/>
      <c r="X75" s="163"/>
    </row>
    <row r="76" spans="2:24">
      <c r="B76" s="162" t="s">
        <v>76</v>
      </c>
      <c r="C76" s="163"/>
      <c r="D76" s="163"/>
      <c r="E76" s="163"/>
      <c r="L76" s="163"/>
      <c r="M76" s="163"/>
      <c r="N76" s="163"/>
      <c r="O76" s="163"/>
      <c r="P76" s="163"/>
      <c r="Q76" s="163"/>
      <c r="R76" s="163"/>
      <c r="S76" s="163"/>
      <c r="X76" s="163"/>
    </row>
    <row r="77" spans="2:24" ht="11.25" customHeight="1"/>
    <row r="78" spans="2:24">
      <c r="B78" s="162" t="s">
        <v>78</v>
      </c>
      <c r="C78" s="163"/>
      <c r="D78" s="163"/>
      <c r="E78" s="163"/>
      <c r="L78" s="163"/>
      <c r="M78" s="163"/>
      <c r="N78" s="163"/>
      <c r="O78" s="163"/>
      <c r="P78" s="163"/>
      <c r="Q78" s="163"/>
      <c r="R78" s="163"/>
      <c r="S78" s="163"/>
      <c r="X78" s="163"/>
    </row>
    <row r="79" spans="2:24">
      <c r="B79" s="162" t="s">
        <v>75</v>
      </c>
      <c r="C79" s="163"/>
      <c r="D79" s="163"/>
      <c r="E79" s="163"/>
      <c r="L79" s="163"/>
      <c r="M79" s="163"/>
      <c r="N79" s="163"/>
      <c r="O79" s="163"/>
      <c r="P79" s="163"/>
      <c r="Q79" s="163"/>
      <c r="R79" s="163"/>
      <c r="S79" s="163"/>
      <c r="X79" s="163"/>
    </row>
    <row r="80" spans="2:24">
      <c r="B80" s="162" t="s">
        <v>76</v>
      </c>
      <c r="C80" s="163"/>
      <c r="D80" s="163"/>
      <c r="E80" s="163"/>
      <c r="L80" s="163"/>
      <c r="M80" s="163"/>
      <c r="N80" s="163"/>
      <c r="O80" s="163"/>
      <c r="P80" s="163"/>
      <c r="Q80" s="163"/>
      <c r="R80" s="163"/>
      <c r="S80" s="163"/>
      <c r="X80" s="163"/>
    </row>
    <row r="81" spans="2:24" ht="11.25" customHeight="1"/>
    <row r="82" spans="2:24">
      <c r="B82" s="162" t="s">
        <v>79</v>
      </c>
      <c r="C82" s="163"/>
      <c r="D82" s="163"/>
      <c r="E82" s="163"/>
      <c r="L82" s="163"/>
      <c r="M82" s="163"/>
      <c r="N82" s="163"/>
      <c r="O82" s="163"/>
      <c r="P82" s="163"/>
      <c r="Q82" s="163"/>
      <c r="R82" s="163"/>
      <c r="S82" s="163"/>
      <c r="X82" s="163"/>
    </row>
    <row r="83" spans="2:24">
      <c r="B83" s="162" t="s">
        <v>75</v>
      </c>
      <c r="C83" s="163"/>
      <c r="D83" s="163"/>
      <c r="E83" s="163"/>
      <c r="L83" s="163"/>
      <c r="M83" s="163"/>
      <c r="N83" s="163"/>
      <c r="O83" s="163"/>
      <c r="P83" s="163"/>
      <c r="Q83" s="163"/>
      <c r="R83" s="163"/>
      <c r="S83" s="163"/>
      <c r="X83" s="163"/>
    </row>
    <row r="84" spans="2:24">
      <c r="B84" s="162" t="s">
        <v>76</v>
      </c>
      <c r="C84" s="161"/>
      <c r="D84" s="161"/>
      <c r="E84" s="163"/>
      <c r="L84" s="163"/>
      <c r="M84" s="163"/>
      <c r="N84" s="163"/>
      <c r="O84" s="163"/>
      <c r="P84" s="163"/>
      <c r="Q84" s="163"/>
      <c r="R84" s="163"/>
      <c r="S84" s="163"/>
      <c r="X84" s="163"/>
    </row>
    <row r="85" spans="2:24" ht="11.25" customHeight="1"/>
    <row r="86" spans="2:24">
      <c r="B86" s="162" t="s">
        <v>80</v>
      </c>
      <c r="C86" s="163"/>
      <c r="D86" s="163"/>
      <c r="E86" s="163"/>
      <c r="L86" s="163"/>
      <c r="M86" s="163"/>
      <c r="N86" s="163"/>
      <c r="O86" s="163"/>
      <c r="P86" s="163"/>
      <c r="Q86" s="163"/>
      <c r="R86" s="163"/>
      <c r="S86" s="163"/>
      <c r="X86" s="163"/>
    </row>
    <row r="87" spans="2:24">
      <c r="B87" s="162" t="s">
        <v>75</v>
      </c>
      <c r="C87" s="163"/>
      <c r="D87" s="163"/>
      <c r="E87" s="163"/>
      <c r="L87" s="163"/>
      <c r="M87" s="163"/>
      <c r="N87" s="163"/>
      <c r="O87" s="163"/>
      <c r="P87" s="163"/>
      <c r="Q87" s="163"/>
      <c r="R87" s="163"/>
      <c r="S87" s="163"/>
      <c r="X87" s="163"/>
    </row>
    <row r="88" spans="2:24">
      <c r="B88" s="162" t="s">
        <v>76</v>
      </c>
      <c r="C88" s="163"/>
      <c r="D88" s="163"/>
      <c r="E88" s="163"/>
      <c r="L88" s="163"/>
      <c r="M88" s="163"/>
      <c r="N88" s="163"/>
      <c r="O88" s="163"/>
      <c r="P88" s="163"/>
      <c r="Q88" s="163"/>
      <c r="R88" s="163"/>
      <c r="S88" s="163"/>
      <c r="X88" s="163"/>
    </row>
    <row r="90" spans="2:24">
      <c r="B90" s="162" t="s">
        <v>81</v>
      </c>
      <c r="C90" s="163"/>
      <c r="D90" s="163"/>
      <c r="E90" s="163"/>
      <c r="L90" s="163"/>
      <c r="M90" s="163"/>
      <c r="N90" s="163"/>
      <c r="O90" s="163"/>
      <c r="P90" s="163"/>
      <c r="Q90" s="163"/>
      <c r="R90" s="163"/>
      <c r="S90" s="163"/>
      <c r="X90" s="163"/>
    </row>
  </sheetData>
  <mergeCells count="12">
    <mergeCell ref="G62:G64"/>
    <mergeCell ref="G65:G67"/>
    <mergeCell ref="P1:X1"/>
    <mergeCell ref="B4:B5"/>
    <mergeCell ref="C4:C5"/>
    <mergeCell ref="D4:D5"/>
    <mergeCell ref="E4:F4"/>
    <mergeCell ref="G4:G5"/>
    <mergeCell ref="H4:H5"/>
    <mergeCell ref="I4:I5"/>
    <mergeCell ref="J4:J5"/>
    <mergeCell ref="L4:X4"/>
  </mergeCells>
  <printOptions horizontalCentered="1" verticalCentered="1"/>
  <pageMargins left="0.196850393700787" right="0.196850393700787" top="0.196850393700787" bottom="0.196850393700787" header="0.511811023622047" footer="0.511811023622047"/>
  <pageSetup paperSize="9" scale="51" orientation="portrait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8FAFE-BBDA-4298-8F2B-43EF65B033E7}">
  <sheetPr>
    <pageSetUpPr fitToPage="1"/>
  </sheetPr>
  <dimension ref="A1:BH90"/>
  <sheetViews>
    <sheetView zoomScaleNormal="100" zoomScaleSheetLayoutView="85" zoomScalePageLayoutView="80" workbookViewId="0">
      <selection activeCell="P1" sqref="P1:X1"/>
    </sheetView>
  </sheetViews>
  <sheetFormatPr defaultColWidth="9.140625" defaultRowHeight="18.75"/>
  <cols>
    <col min="1" max="1" width="5.42578125" style="3" customWidth="1"/>
    <col min="2" max="2" width="12.28515625" style="3" customWidth="1"/>
    <col min="3" max="3" width="12.7109375" style="3" customWidth="1"/>
    <col min="4" max="4" width="8.5703125" style="3" bestFit="1" customWidth="1"/>
    <col min="5" max="5" width="12.140625" style="3" customWidth="1"/>
    <col min="6" max="6" width="9.85546875" style="3" customWidth="1"/>
    <col min="7" max="7" width="11" style="3" customWidth="1"/>
    <col min="8" max="8" width="8" style="3" customWidth="1"/>
    <col min="9" max="9" width="14.7109375" style="3" customWidth="1"/>
    <col min="10" max="10" width="8.28515625" style="3" customWidth="1"/>
    <col min="11" max="11" width="1.28515625" style="3" customWidth="1"/>
    <col min="12" max="12" width="11" style="3" customWidth="1"/>
    <col min="13" max="13" width="7.85546875" style="3" customWidth="1"/>
    <col min="14" max="14" width="11" style="3" customWidth="1"/>
    <col min="15" max="15" width="6.5703125" style="3" customWidth="1"/>
    <col min="16" max="16" width="11" style="3" customWidth="1"/>
    <col min="17" max="17" width="6.5703125" style="3" customWidth="1"/>
    <col min="18" max="18" width="9.5703125" style="3" customWidth="1"/>
    <col min="19" max="19" width="8.140625" style="3" customWidth="1"/>
    <col min="20" max="20" width="1.28515625" style="3" customWidth="1"/>
    <col min="21" max="21" width="12.7109375" style="3" customWidth="1"/>
    <col min="22" max="22" width="12.7109375" style="3" hidden="1" customWidth="1"/>
    <col min="23" max="23" width="14.5703125" style="3" customWidth="1"/>
    <col min="24" max="24" width="11.5703125" style="3" customWidth="1"/>
    <col min="25" max="25" width="2" style="3" customWidth="1"/>
    <col min="26" max="26" width="10.5703125" style="3" customWidth="1"/>
    <col min="27" max="55" width="7.28515625" style="3" customWidth="1"/>
    <col min="56" max="56" width="1.5703125" style="3" customWidth="1"/>
    <col min="57" max="57" width="9.42578125" style="3" customWidth="1"/>
    <col min="58" max="58" width="1.28515625" style="3" customWidth="1"/>
    <col min="59" max="59" width="12.7109375" style="3" customWidth="1"/>
    <col min="60" max="60" width="10.28515625" style="3" customWidth="1"/>
    <col min="61" max="16384" width="9.140625" style="3"/>
  </cols>
  <sheetData>
    <row r="1" spans="1:60" ht="19.5" thickBot="1">
      <c r="B1" s="2" t="s">
        <v>0</v>
      </c>
      <c r="N1" s="3" t="s">
        <v>1</v>
      </c>
      <c r="P1" s="183">
        <v>46165</v>
      </c>
      <c r="Q1" s="184"/>
      <c r="R1" s="184"/>
      <c r="S1" s="184"/>
      <c r="T1" s="184"/>
      <c r="U1" s="184"/>
      <c r="V1" s="184"/>
      <c r="W1" s="184"/>
      <c r="X1" s="185"/>
    </row>
    <row r="2" spans="1:60" ht="15" customHeight="1">
      <c r="B2" s="2" t="s">
        <v>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4" spans="1:60" ht="19.5" customHeight="1" thickBot="1">
      <c r="A4" s="4"/>
      <c r="B4" s="192" t="s">
        <v>3</v>
      </c>
      <c r="C4" s="193" t="s">
        <v>4</v>
      </c>
      <c r="D4" s="194" t="s">
        <v>5</v>
      </c>
      <c r="E4" s="186" t="s">
        <v>6</v>
      </c>
      <c r="F4" s="187"/>
      <c r="G4" s="195" t="s">
        <v>7</v>
      </c>
      <c r="H4" s="202" t="s">
        <v>5</v>
      </c>
      <c r="I4" s="204" t="s">
        <v>8</v>
      </c>
      <c r="J4" s="202" t="s">
        <v>5</v>
      </c>
      <c r="L4" s="188" t="s">
        <v>9</v>
      </c>
      <c r="M4" s="189"/>
      <c r="N4" s="189"/>
      <c r="O4" s="189"/>
      <c r="P4" s="189"/>
      <c r="Q4" s="189"/>
      <c r="R4" s="189"/>
      <c r="S4" s="189"/>
      <c r="T4" s="189"/>
      <c r="U4" s="189"/>
      <c r="V4" s="190"/>
      <c r="W4" s="189"/>
      <c r="X4" s="191"/>
    </row>
    <row r="5" spans="1:60" s="1" customFormat="1" ht="57" thickBot="1">
      <c r="A5" s="4"/>
      <c r="B5" s="192"/>
      <c r="C5" s="193"/>
      <c r="D5" s="194"/>
      <c r="E5" s="31" t="s">
        <v>10</v>
      </c>
      <c r="F5" s="32" t="s">
        <v>11</v>
      </c>
      <c r="G5" s="196"/>
      <c r="H5" s="203"/>
      <c r="I5" s="205"/>
      <c r="J5" s="203"/>
      <c r="L5" s="60" t="s">
        <v>12</v>
      </c>
      <c r="M5" s="85" t="s">
        <v>5</v>
      </c>
      <c r="N5" s="86" t="s">
        <v>13</v>
      </c>
      <c r="O5" s="85" t="s">
        <v>5</v>
      </c>
      <c r="P5" s="86" t="s">
        <v>14</v>
      </c>
      <c r="Q5" s="85" t="s">
        <v>5</v>
      </c>
      <c r="R5" s="93" t="s">
        <v>15</v>
      </c>
      <c r="S5" s="94" t="s">
        <v>5</v>
      </c>
      <c r="T5" s="95"/>
      <c r="U5" s="130" t="s">
        <v>16</v>
      </c>
      <c r="V5" s="131" t="s">
        <v>17</v>
      </c>
      <c r="W5" s="132" t="s">
        <v>18</v>
      </c>
      <c r="X5" s="133" t="s">
        <v>19</v>
      </c>
      <c r="AL5" s="156"/>
      <c r="AM5" s="156"/>
      <c r="AN5" s="156"/>
      <c r="AO5" s="156"/>
      <c r="AP5" s="156"/>
      <c r="AQ5" s="156"/>
      <c r="AR5" s="156"/>
      <c r="AS5" s="156"/>
      <c r="AT5" s="156"/>
      <c r="AU5" s="156"/>
      <c r="AV5" s="156"/>
      <c r="AW5" s="156"/>
      <c r="AX5" s="156"/>
      <c r="AY5" s="156"/>
      <c r="AZ5" s="156"/>
      <c r="BA5" s="156"/>
      <c r="BB5" s="156"/>
      <c r="BC5" s="156"/>
      <c r="BD5" s="156"/>
      <c r="BE5" s="156"/>
      <c r="BF5" s="156"/>
      <c r="BG5" s="156"/>
      <c r="BH5" s="156"/>
    </row>
    <row r="6" spans="1:60" s="1" customFormat="1" ht="19.5" thickBot="1">
      <c r="B6" s="7"/>
      <c r="C6" s="8"/>
      <c r="D6" s="9"/>
      <c r="E6" s="33"/>
      <c r="F6" s="33"/>
      <c r="G6" s="34"/>
      <c r="H6" s="35"/>
      <c r="I6" s="35"/>
      <c r="J6" s="61"/>
      <c r="K6" s="62"/>
      <c r="L6" s="33"/>
      <c r="M6" s="33"/>
      <c r="N6" s="33"/>
      <c r="O6" s="33"/>
      <c r="P6" s="33"/>
      <c r="Q6" s="96"/>
      <c r="R6" s="97"/>
      <c r="S6" s="98"/>
      <c r="T6" s="62"/>
      <c r="U6" s="8"/>
      <c r="V6" s="33"/>
      <c r="W6" s="134"/>
      <c r="X6" s="61"/>
      <c r="AL6" s="156"/>
      <c r="AM6" s="156"/>
      <c r="AN6" s="156"/>
      <c r="AO6" s="156"/>
      <c r="AP6" s="156"/>
      <c r="AQ6" s="156"/>
      <c r="AR6" s="156"/>
      <c r="AS6" s="156"/>
      <c r="AT6" s="156"/>
      <c r="AU6" s="156"/>
      <c r="AV6" s="156"/>
      <c r="AW6" s="156"/>
      <c r="AX6" s="156"/>
      <c r="AY6" s="156"/>
      <c r="AZ6" s="156"/>
      <c r="BA6" s="156"/>
      <c r="BB6" s="156"/>
      <c r="BC6" s="156"/>
      <c r="BD6" s="156"/>
      <c r="BE6" s="156"/>
      <c r="BF6" s="156"/>
      <c r="BG6" s="156"/>
      <c r="BH6" s="156"/>
    </row>
    <row r="7" spans="1:60" s="1" customFormat="1" ht="19.5" thickBot="1">
      <c r="B7" s="7"/>
      <c r="C7" s="8"/>
      <c r="D7" s="9"/>
      <c r="E7" s="33"/>
      <c r="F7" s="33"/>
      <c r="G7" s="34"/>
      <c r="H7" s="35"/>
      <c r="I7" s="35"/>
      <c r="J7" s="61"/>
      <c r="K7" s="62"/>
      <c r="L7" s="33"/>
      <c r="M7" s="33"/>
      <c r="N7" s="33"/>
      <c r="O7" s="33"/>
      <c r="P7" s="33"/>
      <c r="Q7" s="96"/>
      <c r="R7" s="97"/>
      <c r="S7" s="98"/>
      <c r="T7" s="62"/>
      <c r="U7" s="8"/>
      <c r="V7" s="135"/>
      <c r="W7" s="134"/>
      <c r="X7" s="61"/>
      <c r="AL7" s="156"/>
      <c r="AM7" s="156"/>
      <c r="AN7" s="156"/>
      <c r="AO7" s="156"/>
      <c r="AP7" s="156"/>
      <c r="AQ7" s="156"/>
      <c r="AR7" s="156"/>
      <c r="AS7" s="156"/>
      <c r="AT7" s="156"/>
      <c r="AU7" s="156"/>
      <c r="AV7" s="156"/>
      <c r="AW7" s="156"/>
      <c r="AX7" s="156"/>
      <c r="AY7" s="156"/>
      <c r="AZ7" s="156"/>
      <c r="BA7" s="156"/>
      <c r="BB7" s="156"/>
      <c r="BC7" s="156"/>
      <c r="BD7" s="156"/>
      <c r="BE7" s="156"/>
      <c r="BF7" s="156"/>
      <c r="BG7" s="156"/>
      <c r="BH7" s="156"/>
    </row>
    <row r="8" spans="1:60" ht="19.5" thickBot="1">
      <c r="A8" s="1">
        <v>1</v>
      </c>
      <c r="B8" s="7" t="s">
        <v>20</v>
      </c>
      <c r="C8" s="10">
        <v>6</v>
      </c>
      <c r="D8" s="11">
        <v>7</v>
      </c>
      <c r="E8" s="36"/>
      <c r="F8" s="36"/>
      <c r="G8" s="37"/>
      <c r="H8" s="38"/>
      <c r="I8" s="38">
        <f t="shared" ref="I8:J43" si="0">C8-G8</f>
        <v>6</v>
      </c>
      <c r="J8" s="63">
        <f t="shared" si="0"/>
        <v>7</v>
      </c>
      <c r="K8" s="62"/>
      <c r="L8" s="36"/>
      <c r="M8" s="36"/>
      <c r="N8" s="36"/>
      <c r="O8" s="36"/>
      <c r="P8" s="36"/>
      <c r="Q8" s="99"/>
      <c r="R8" s="100">
        <f t="shared" ref="R8:S59" si="1">L8+N8+P8</f>
        <v>0</v>
      </c>
      <c r="S8" s="101">
        <f t="shared" si="1"/>
        <v>0</v>
      </c>
      <c r="T8" s="62"/>
      <c r="U8" s="8">
        <f t="shared" ref="U8:U37" si="2">L8*24+N8*24+P8*24</f>
        <v>0</v>
      </c>
      <c r="V8" s="135">
        <f t="shared" ref="V8:V37" si="3">U8/24</f>
        <v>0</v>
      </c>
      <c r="W8" s="134">
        <f t="shared" ref="W8:W37" si="4">I8*24+J8</f>
        <v>151</v>
      </c>
      <c r="X8" s="61"/>
      <c r="AL8" s="157"/>
      <c r="AM8" s="157"/>
      <c r="AN8" s="157"/>
      <c r="AO8" s="157"/>
      <c r="AP8" s="157"/>
      <c r="AQ8" s="157"/>
      <c r="AR8" s="157"/>
      <c r="AS8" s="157"/>
      <c r="AT8" s="157"/>
      <c r="AU8" s="157"/>
      <c r="AV8" s="157"/>
      <c r="AW8" s="157"/>
      <c r="AX8" s="157"/>
      <c r="AY8" s="157"/>
      <c r="AZ8" s="157"/>
      <c r="BA8" s="157"/>
      <c r="BB8" s="157"/>
      <c r="BC8" s="157"/>
      <c r="BD8" s="157"/>
      <c r="BE8" s="157"/>
      <c r="BF8" s="157"/>
      <c r="BG8" s="157"/>
      <c r="BH8" s="157"/>
    </row>
    <row r="9" spans="1:60" ht="19.5" thickBot="1">
      <c r="A9" s="1">
        <f t="shared" ref="A9:A59" si="5">A8+1</f>
        <v>2</v>
      </c>
      <c r="B9" s="12" t="s">
        <v>21</v>
      </c>
      <c r="C9" s="13">
        <v>73</v>
      </c>
      <c r="D9" s="14"/>
      <c r="E9" s="39"/>
      <c r="F9" s="39"/>
      <c r="G9" s="40"/>
      <c r="H9" s="41"/>
      <c r="I9" s="40">
        <f t="shared" si="0"/>
        <v>73</v>
      </c>
      <c r="J9" s="64">
        <f t="shared" si="0"/>
        <v>0</v>
      </c>
      <c r="K9" s="65"/>
      <c r="L9" s="51"/>
      <c r="M9" s="51"/>
      <c r="N9" s="51"/>
      <c r="O9" s="51"/>
      <c r="P9" s="51"/>
      <c r="Q9" s="102"/>
      <c r="R9" s="103">
        <f t="shared" si="1"/>
        <v>0</v>
      </c>
      <c r="S9" s="104">
        <f t="shared" si="1"/>
        <v>0</v>
      </c>
      <c r="T9" s="65"/>
      <c r="U9" s="136">
        <f t="shared" si="2"/>
        <v>0</v>
      </c>
      <c r="V9" s="137">
        <f t="shared" si="3"/>
        <v>0</v>
      </c>
      <c r="W9" s="138">
        <f t="shared" si="4"/>
        <v>1752</v>
      </c>
      <c r="X9" s="139"/>
      <c r="AL9" s="157"/>
      <c r="AM9" s="157"/>
      <c r="AN9" s="157"/>
      <c r="AO9" s="157"/>
      <c r="AP9" s="157"/>
      <c r="AQ9" s="157"/>
      <c r="AR9" s="157"/>
      <c r="AS9" s="157"/>
      <c r="AT9" s="157"/>
      <c r="AU9" s="157"/>
      <c r="AV9" s="157"/>
      <c r="AW9" s="157"/>
      <c r="AX9" s="157"/>
      <c r="AY9" s="157"/>
      <c r="AZ9" s="157"/>
      <c r="BA9" s="157"/>
      <c r="BB9" s="157"/>
      <c r="BC9" s="157"/>
      <c r="BD9" s="157"/>
      <c r="BE9" s="157"/>
      <c r="BF9" s="157"/>
      <c r="BG9" s="157"/>
      <c r="BH9" s="157"/>
    </row>
    <row r="10" spans="1:60" ht="19.5" thickBot="1">
      <c r="A10" s="1">
        <f t="shared" si="5"/>
        <v>3</v>
      </c>
      <c r="B10" s="7" t="s">
        <v>22</v>
      </c>
      <c r="C10" s="10">
        <v>19</v>
      </c>
      <c r="D10" s="11"/>
      <c r="E10" s="36"/>
      <c r="F10" s="36"/>
      <c r="G10" s="37"/>
      <c r="H10" s="38"/>
      <c r="I10" s="38">
        <f t="shared" si="0"/>
        <v>19</v>
      </c>
      <c r="J10" s="66">
        <f t="shared" si="0"/>
        <v>0</v>
      </c>
      <c r="K10" s="62"/>
      <c r="L10" s="36"/>
      <c r="M10" s="36"/>
      <c r="N10" s="36"/>
      <c r="O10" s="36"/>
      <c r="P10" s="36"/>
      <c r="Q10" s="99"/>
      <c r="R10" s="105">
        <f t="shared" si="1"/>
        <v>0</v>
      </c>
      <c r="S10" s="106">
        <f t="shared" si="1"/>
        <v>0</v>
      </c>
      <c r="T10" s="62"/>
      <c r="U10" s="8">
        <f t="shared" si="2"/>
        <v>0</v>
      </c>
      <c r="V10" s="140">
        <f t="shared" si="3"/>
        <v>0</v>
      </c>
      <c r="W10" s="134">
        <f t="shared" si="4"/>
        <v>456</v>
      </c>
      <c r="X10" s="61"/>
      <c r="AL10" s="157"/>
      <c r="AM10" s="157"/>
      <c r="AN10" s="157"/>
      <c r="AO10" s="157"/>
      <c r="AP10" s="157"/>
      <c r="AQ10" s="157"/>
      <c r="AR10" s="157"/>
      <c r="AS10" s="157"/>
      <c r="AT10" s="157"/>
      <c r="AU10" s="157"/>
      <c r="AV10" s="157"/>
      <c r="AW10" s="157"/>
      <c r="AX10" s="157"/>
      <c r="AY10" s="157"/>
      <c r="AZ10" s="157"/>
      <c r="BA10" s="157"/>
      <c r="BB10" s="157"/>
      <c r="BC10" s="157"/>
      <c r="BD10" s="157"/>
      <c r="BE10" s="157"/>
      <c r="BF10" s="157"/>
      <c r="BG10" s="157"/>
      <c r="BH10" s="157"/>
    </row>
    <row r="11" spans="1:60" ht="19.5" thickBot="1">
      <c r="A11" s="1">
        <f t="shared" si="5"/>
        <v>4</v>
      </c>
      <c r="B11" s="15" t="s">
        <v>23</v>
      </c>
      <c r="C11" s="10">
        <v>20</v>
      </c>
      <c r="D11" s="11"/>
      <c r="E11" s="36"/>
      <c r="F11" s="36"/>
      <c r="G11" s="37">
        <v>2</v>
      </c>
      <c r="H11" s="38"/>
      <c r="I11" s="38">
        <f t="shared" si="0"/>
        <v>18</v>
      </c>
      <c r="J11" s="63">
        <f t="shared" si="0"/>
        <v>0</v>
      </c>
      <c r="K11" s="62"/>
      <c r="L11" s="36">
        <v>2</v>
      </c>
      <c r="M11" s="36"/>
      <c r="N11" s="36"/>
      <c r="O11" s="36"/>
      <c r="P11" s="36"/>
      <c r="Q11" s="99"/>
      <c r="R11" s="100">
        <f t="shared" si="1"/>
        <v>2</v>
      </c>
      <c r="S11" s="101">
        <f t="shared" si="1"/>
        <v>0</v>
      </c>
      <c r="T11" s="62"/>
      <c r="U11" s="8">
        <f t="shared" si="2"/>
        <v>48</v>
      </c>
      <c r="V11" s="135">
        <f t="shared" si="3"/>
        <v>2</v>
      </c>
      <c r="W11" s="134">
        <f t="shared" si="4"/>
        <v>432</v>
      </c>
      <c r="X11" s="61"/>
      <c r="AL11" s="157"/>
      <c r="AM11" s="157"/>
      <c r="AN11" s="157"/>
      <c r="AO11" s="157"/>
      <c r="AP11" s="157"/>
      <c r="AQ11" s="157"/>
      <c r="AR11" s="157"/>
      <c r="AS11" s="157"/>
      <c r="AT11" s="157"/>
      <c r="AU11" s="157"/>
      <c r="AV11" s="157"/>
      <c r="AW11" s="157"/>
      <c r="AX11" s="157"/>
      <c r="AY11" s="157"/>
      <c r="AZ11" s="157"/>
      <c r="BA11" s="157"/>
      <c r="BB11" s="157"/>
      <c r="BC11" s="157"/>
      <c r="BD11" s="157"/>
      <c r="BE11" s="157"/>
      <c r="BF11" s="157"/>
      <c r="BG11" s="157"/>
      <c r="BH11" s="157"/>
    </row>
    <row r="12" spans="1:60" ht="19.5" thickBot="1">
      <c r="A12" s="1">
        <f t="shared" si="5"/>
        <v>5</v>
      </c>
      <c r="B12" s="15" t="s">
        <v>24</v>
      </c>
      <c r="C12" s="10"/>
      <c r="D12" s="11">
        <v>2</v>
      </c>
      <c r="E12" s="36"/>
      <c r="F12" s="36"/>
      <c r="G12" s="37"/>
      <c r="H12" s="38"/>
      <c r="I12" s="38">
        <f t="shared" si="0"/>
        <v>0</v>
      </c>
      <c r="J12" s="63">
        <f t="shared" si="0"/>
        <v>2</v>
      </c>
      <c r="K12" s="62"/>
      <c r="L12" s="36"/>
      <c r="M12" s="36"/>
      <c r="N12" s="36"/>
      <c r="O12" s="36"/>
      <c r="P12" s="36"/>
      <c r="Q12" s="99"/>
      <c r="R12" s="100">
        <f t="shared" si="1"/>
        <v>0</v>
      </c>
      <c r="S12" s="101">
        <f t="shared" si="1"/>
        <v>0</v>
      </c>
      <c r="T12" s="62"/>
      <c r="U12" s="8">
        <f t="shared" si="2"/>
        <v>0</v>
      </c>
      <c r="V12" s="135">
        <f t="shared" si="3"/>
        <v>0</v>
      </c>
      <c r="W12" s="134">
        <f t="shared" si="4"/>
        <v>2</v>
      </c>
      <c r="X12" s="61"/>
      <c r="AL12" s="157"/>
      <c r="AM12" s="157"/>
      <c r="AN12" s="157"/>
      <c r="AO12" s="157"/>
      <c r="AP12" s="157"/>
      <c r="AQ12" s="157"/>
      <c r="AR12" s="157"/>
      <c r="AS12" s="157"/>
      <c r="AT12" s="157"/>
      <c r="AU12" s="157"/>
      <c r="AV12" s="157"/>
      <c r="AW12" s="157"/>
      <c r="AX12" s="157"/>
      <c r="AY12" s="157"/>
      <c r="AZ12" s="157"/>
      <c r="BA12" s="157"/>
      <c r="BB12" s="157"/>
      <c r="BC12" s="157"/>
      <c r="BD12" s="157"/>
      <c r="BE12" s="157"/>
      <c r="BF12" s="157"/>
      <c r="BG12" s="157"/>
      <c r="BH12" s="157"/>
    </row>
    <row r="13" spans="1:60" s="2" customFormat="1" ht="19.5" thickBot="1">
      <c r="A13" s="1">
        <f t="shared" si="5"/>
        <v>6</v>
      </c>
      <c r="B13" s="12" t="s">
        <v>25</v>
      </c>
      <c r="C13" s="13">
        <v>3094</v>
      </c>
      <c r="D13" s="14"/>
      <c r="E13" s="39"/>
      <c r="F13" s="39"/>
      <c r="G13" s="40">
        <v>34</v>
      </c>
      <c r="H13" s="41">
        <v>24</v>
      </c>
      <c r="I13" s="44">
        <f t="shared" si="0"/>
        <v>3060</v>
      </c>
      <c r="J13" s="64">
        <f t="shared" si="0"/>
        <v>-24</v>
      </c>
      <c r="K13" s="67"/>
      <c r="L13" s="51">
        <v>5</v>
      </c>
      <c r="M13" s="51"/>
      <c r="N13" s="51">
        <v>10</v>
      </c>
      <c r="O13" s="51">
        <v>12</v>
      </c>
      <c r="P13" s="51">
        <v>19</v>
      </c>
      <c r="Q13" s="102">
        <v>12</v>
      </c>
      <c r="R13" s="107">
        <f t="shared" si="1"/>
        <v>34</v>
      </c>
      <c r="S13" s="104">
        <f t="shared" si="1"/>
        <v>24</v>
      </c>
      <c r="T13" s="67"/>
      <c r="U13" s="136">
        <f t="shared" si="2"/>
        <v>816</v>
      </c>
      <c r="V13" s="141">
        <f t="shared" si="3"/>
        <v>34</v>
      </c>
      <c r="W13" s="138">
        <f t="shared" si="4"/>
        <v>73416</v>
      </c>
      <c r="X13" s="139"/>
      <c r="Y13" s="3"/>
      <c r="AD13" s="3"/>
      <c r="AG13" s="3"/>
      <c r="AH13" s="3"/>
      <c r="AI13" s="3"/>
      <c r="AJ13" s="3"/>
      <c r="AK13" s="3"/>
      <c r="AL13" s="157"/>
      <c r="AM13" s="157"/>
      <c r="AN13" s="157"/>
      <c r="AO13" s="157"/>
      <c r="AP13" s="157"/>
      <c r="AQ13" s="157"/>
      <c r="AR13" s="157"/>
      <c r="AS13" s="157"/>
      <c r="AT13" s="157"/>
      <c r="AU13" s="157"/>
      <c r="AV13" s="157"/>
      <c r="AW13" s="157"/>
      <c r="AX13" s="157"/>
      <c r="AY13" s="157"/>
      <c r="AZ13" s="157"/>
      <c r="BA13" s="157"/>
      <c r="BB13" s="157"/>
      <c r="BC13" s="157"/>
      <c r="BD13" s="157"/>
      <c r="BE13" s="157"/>
      <c r="BF13" s="157"/>
      <c r="BG13" s="157"/>
      <c r="BH13" s="157"/>
    </row>
    <row r="14" spans="1:60" ht="19.5" thickBot="1">
      <c r="A14" s="1">
        <f t="shared" si="5"/>
        <v>7</v>
      </c>
      <c r="B14" s="7" t="s">
        <v>26</v>
      </c>
      <c r="C14" s="10">
        <v>3</v>
      </c>
      <c r="D14" s="11">
        <v>16</v>
      </c>
      <c r="E14" s="36"/>
      <c r="F14" s="36"/>
      <c r="G14" s="37"/>
      <c r="H14" s="38"/>
      <c r="I14" s="68">
        <f t="shared" si="0"/>
        <v>3</v>
      </c>
      <c r="J14" s="66">
        <f t="shared" si="0"/>
        <v>16</v>
      </c>
      <c r="K14" s="62"/>
      <c r="L14" s="36"/>
      <c r="M14" s="36"/>
      <c r="N14" s="36"/>
      <c r="O14" s="36"/>
      <c r="P14" s="36"/>
      <c r="Q14" s="99"/>
      <c r="R14" s="108">
        <f t="shared" si="1"/>
        <v>0</v>
      </c>
      <c r="S14" s="106">
        <f t="shared" si="1"/>
        <v>0</v>
      </c>
      <c r="T14" s="62"/>
      <c r="U14" s="8">
        <f t="shared" si="2"/>
        <v>0</v>
      </c>
      <c r="V14" s="33">
        <f t="shared" si="3"/>
        <v>0</v>
      </c>
      <c r="W14" s="134">
        <f t="shared" si="4"/>
        <v>88</v>
      </c>
      <c r="X14" s="61"/>
      <c r="AL14" s="157"/>
      <c r="AM14" s="157"/>
      <c r="AN14" s="157"/>
      <c r="AO14" s="157"/>
      <c r="AP14" s="157"/>
      <c r="AQ14" s="157"/>
      <c r="AR14" s="157"/>
      <c r="AS14" s="157"/>
      <c r="AT14" s="157"/>
      <c r="AU14" s="157"/>
      <c r="AV14" s="157"/>
      <c r="AW14" s="157"/>
      <c r="AX14" s="157"/>
      <c r="AY14" s="157"/>
      <c r="AZ14" s="157"/>
      <c r="BA14" s="157"/>
      <c r="BB14" s="157"/>
      <c r="BC14" s="157"/>
      <c r="BD14" s="157"/>
      <c r="BE14" s="157"/>
      <c r="BF14" s="157"/>
      <c r="BG14" s="157"/>
      <c r="BH14" s="157"/>
    </row>
    <row r="15" spans="1:60" ht="19.5" thickBot="1">
      <c r="A15" s="1">
        <f t="shared" si="5"/>
        <v>8</v>
      </c>
      <c r="B15" s="15" t="s">
        <v>27</v>
      </c>
      <c r="C15" s="10">
        <v>4</v>
      </c>
      <c r="D15" s="11"/>
      <c r="E15" s="36"/>
      <c r="F15" s="36"/>
      <c r="G15" s="37"/>
      <c r="H15" s="38"/>
      <c r="I15" s="38">
        <f t="shared" si="0"/>
        <v>4</v>
      </c>
      <c r="J15" s="63">
        <f t="shared" si="0"/>
        <v>0</v>
      </c>
      <c r="K15" s="62"/>
      <c r="L15" s="36"/>
      <c r="M15" s="36"/>
      <c r="N15" s="36"/>
      <c r="O15" s="36"/>
      <c r="P15" s="36"/>
      <c r="Q15" s="99"/>
      <c r="R15" s="100">
        <f t="shared" si="1"/>
        <v>0</v>
      </c>
      <c r="S15" s="101">
        <f t="shared" si="1"/>
        <v>0</v>
      </c>
      <c r="T15" s="62"/>
      <c r="U15" s="8">
        <f t="shared" si="2"/>
        <v>0</v>
      </c>
      <c r="V15" s="135">
        <f t="shared" si="3"/>
        <v>0</v>
      </c>
      <c r="W15" s="134">
        <f t="shared" si="4"/>
        <v>96</v>
      </c>
      <c r="X15" s="61"/>
      <c r="AL15" s="157"/>
      <c r="AM15" s="157"/>
      <c r="AN15" s="157"/>
      <c r="AO15" s="157"/>
      <c r="AP15" s="157"/>
      <c r="AQ15" s="157"/>
      <c r="AR15" s="157"/>
      <c r="AS15" s="157"/>
      <c r="AT15" s="157"/>
      <c r="AU15" s="157"/>
      <c r="AV15" s="157"/>
      <c r="AW15" s="157"/>
      <c r="AX15" s="157"/>
      <c r="AY15" s="157"/>
      <c r="AZ15" s="157"/>
      <c r="BA15" s="157"/>
      <c r="BB15" s="157"/>
      <c r="BC15" s="157"/>
      <c r="BD15" s="157"/>
      <c r="BE15" s="157"/>
      <c r="BF15" s="157"/>
      <c r="BG15" s="157"/>
      <c r="BH15" s="157"/>
    </row>
    <row r="16" spans="1:60" ht="19.5" thickBot="1">
      <c r="A16" s="1">
        <f t="shared" si="5"/>
        <v>9</v>
      </c>
      <c r="B16" s="15" t="s">
        <v>28</v>
      </c>
      <c r="C16" s="10">
        <v>1</v>
      </c>
      <c r="D16" s="11"/>
      <c r="E16" s="36"/>
      <c r="F16" s="36"/>
      <c r="G16" s="37"/>
      <c r="H16" s="38"/>
      <c r="I16" s="38">
        <f t="shared" si="0"/>
        <v>1</v>
      </c>
      <c r="J16" s="63">
        <f t="shared" si="0"/>
        <v>0</v>
      </c>
      <c r="K16" s="62"/>
      <c r="L16" s="36"/>
      <c r="M16" s="36"/>
      <c r="N16" s="36"/>
      <c r="O16" s="36"/>
      <c r="P16" s="36"/>
      <c r="Q16" s="99"/>
      <c r="R16" s="100">
        <f t="shared" si="1"/>
        <v>0</v>
      </c>
      <c r="S16" s="101">
        <f t="shared" si="1"/>
        <v>0</v>
      </c>
      <c r="T16" s="62"/>
      <c r="U16" s="8">
        <f t="shared" si="2"/>
        <v>0</v>
      </c>
      <c r="V16" s="135">
        <f t="shared" si="3"/>
        <v>0</v>
      </c>
      <c r="W16" s="134">
        <f t="shared" si="4"/>
        <v>24</v>
      </c>
      <c r="X16" s="61"/>
      <c r="AL16" s="157"/>
      <c r="AM16" s="157"/>
      <c r="AN16" s="157"/>
      <c r="AO16" s="157"/>
      <c r="AP16" s="157"/>
      <c r="AQ16" s="157"/>
      <c r="AR16" s="157"/>
      <c r="AS16" s="157"/>
      <c r="AT16" s="157"/>
      <c r="AU16" s="157"/>
      <c r="AV16" s="157"/>
      <c r="AW16" s="157"/>
      <c r="AX16" s="157"/>
      <c r="AY16" s="157"/>
      <c r="AZ16" s="157"/>
      <c r="BA16" s="157"/>
      <c r="BB16" s="157"/>
      <c r="BC16" s="157"/>
      <c r="BD16" s="157"/>
      <c r="BE16" s="157"/>
      <c r="BF16" s="157"/>
      <c r="BG16" s="157"/>
      <c r="BH16" s="157"/>
    </row>
    <row r="17" spans="1:60" ht="19.5" thickBot="1">
      <c r="A17" s="1">
        <f t="shared" si="5"/>
        <v>10</v>
      </c>
      <c r="B17" s="15" t="s">
        <v>29</v>
      </c>
      <c r="C17" s="10"/>
      <c r="D17" s="11"/>
      <c r="E17" s="36"/>
      <c r="F17" s="36"/>
      <c r="G17" s="37"/>
      <c r="H17" s="38"/>
      <c r="I17" s="38">
        <f t="shared" si="0"/>
        <v>0</v>
      </c>
      <c r="J17" s="63">
        <f t="shared" si="0"/>
        <v>0</v>
      </c>
      <c r="K17" s="62"/>
      <c r="L17" s="36"/>
      <c r="M17" s="36"/>
      <c r="N17" s="36"/>
      <c r="O17" s="36"/>
      <c r="P17" s="36"/>
      <c r="Q17" s="99"/>
      <c r="R17" s="100">
        <f t="shared" si="1"/>
        <v>0</v>
      </c>
      <c r="S17" s="101">
        <f t="shared" si="1"/>
        <v>0</v>
      </c>
      <c r="T17" s="62"/>
      <c r="U17" s="8">
        <f t="shared" si="2"/>
        <v>0</v>
      </c>
      <c r="V17" s="135">
        <f t="shared" si="3"/>
        <v>0</v>
      </c>
      <c r="W17" s="134">
        <f t="shared" si="4"/>
        <v>0</v>
      </c>
      <c r="X17" s="61"/>
      <c r="AL17" s="157"/>
      <c r="AM17" s="157"/>
      <c r="AN17" s="157"/>
      <c r="AO17" s="157"/>
      <c r="AP17" s="157"/>
      <c r="AQ17" s="157"/>
      <c r="AR17" s="157"/>
      <c r="AS17" s="157"/>
      <c r="AT17" s="157"/>
      <c r="AU17" s="157"/>
      <c r="AV17" s="157"/>
      <c r="AW17" s="157"/>
      <c r="AX17" s="157"/>
      <c r="AY17" s="157"/>
      <c r="AZ17" s="157"/>
      <c r="BA17" s="157"/>
      <c r="BB17" s="157"/>
      <c r="BC17" s="157"/>
      <c r="BD17" s="157"/>
      <c r="BE17" s="157"/>
      <c r="BF17" s="157"/>
      <c r="BG17" s="157"/>
      <c r="BH17" s="157"/>
    </row>
    <row r="18" spans="1:60" ht="19.5" thickBot="1">
      <c r="A18" s="1">
        <f t="shared" si="5"/>
        <v>11</v>
      </c>
      <c r="B18" s="15" t="s">
        <v>30</v>
      </c>
      <c r="C18" s="10">
        <v>3</v>
      </c>
      <c r="D18" s="11"/>
      <c r="E18" s="36"/>
      <c r="F18" s="36"/>
      <c r="G18" s="37"/>
      <c r="H18" s="38"/>
      <c r="I18" s="38">
        <f t="shared" si="0"/>
        <v>3</v>
      </c>
      <c r="J18" s="63">
        <f t="shared" si="0"/>
        <v>0</v>
      </c>
      <c r="K18" s="62"/>
      <c r="L18" s="36"/>
      <c r="M18" s="36"/>
      <c r="N18" s="36"/>
      <c r="O18" s="36"/>
      <c r="P18" s="36"/>
      <c r="Q18" s="99"/>
      <c r="R18" s="100">
        <f t="shared" si="1"/>
        <v>0</v>
      </c>
      <c r="S18" s="101">
        <f t="shared" si="1"/>
        <v>0</v>
      </c>
      <c r="T18" s="62"/>
      <c r="U18" s="8">
        <f t="shared" si="2"/>
        <v>0</v>
      </c>
      <c r="V18" s="135">
        <f t="shared" si="3"/>
        <v>0</v>
      </c>
      <c r="W18" s="134">
        <f t="shared" si="4"/>
        <v>72</v>
      </c>
      <c r="X18" s="61"/>
      <c r="AL18" s="157"/>
      <c r="AM18" s="157"/>
      <c r="AN18" s="157"/>
      <c r="AO18" s="157"/>
      <c r="AP18" s="157"/>
      <c r="AQ18" s="157"/>
      <c r="AR18" s="157"/>
      <c r="AS18" s="157"/>
      <c r="AT18" s="157"/>
      <c r="AU18" s="157"/>
      <c r="AV18" s="157"/>
      <c r="AW18" s="157"/>
      <c r="AX18" s="157"/>
      <c r="AY18" s="157"/>
      <c r="AZ18" s="157"/>
      <c r="BA18" s="157"/>
      <c r="BB18" s="157"/>
      <c r="BC18" s="157"/>
      <c r="BD18" s="157"/>
      <c r="BE18" s="157"/>
      <c r="BF18" s="157"/>
      <c r="BG18" s="157"/>
      <c r="BH18" s="157"/>
    </row>
    <row r="19" spans="1:60" ht="18.75" hidden="1" customHeight="1">
      <c r="A19" s="1">
        <f t="shared" si="5"/>
        <v>12</v>
      </c>
      <c r="B19" s="15" t="s">
        <v>31</v>
      </c>
      <c r="C19" s="10"/>
      <c r="D19" s="11"/>
      <c r="E19" s="36"/>
      <c r="F19" s="36"/>
      <c r="G19" s="37"/>
      <c r="H19" s="38"/>
      <c r="I19" s="38">
        <f t="shared" si="0"/>
        <v>0</v>
      </c>
      <c r="J19" s="63">
        <f t="shared" si="0"/>
        <v>0</v>
      </c>
      <c r="K19" s="62"/>
      <c r="L19" s="36"/>
      <c r="M19" s="36"/>
      <c r="N19" s="36"/>
      <c r="O19" s="36"/>
      <c r="P19" s="36"/>
      <c r="Q19" s="99"/>
      <c r="R19" s="100">
        <f t="shared" si="1"/>
        <v>0</v>
      </c>
      <c r="S19" s="101">
        <f t="shared" si="1"/>
        <v>0</v>
      </c>
      <c r="T19" s="62"/>
      <c r="U19" s="8">
        <f t="shared" si="2"/>
        <v>0</v>
      </c>
      <c r="V19" s="135">
        <f t="shared" si="3"/>
        <v>0</v>
      </c>
      <c r="W19" s="134">
        <f t="shared" si="4"/>
        <v>0</v>
      </c>
      <c r="X19" s="61"/>
      <c r="AL19" s="157"/>
      <c r="AM19" s="157"/>
      <c r="AN19" s="157"/>
      <c r="AO19" s="157"/>
      <c r="AP19" s="157"/>
      <c r="AQ19" s="157"/>
      <c r="AR19" s="157"/>
      <c r="AS19" s="157"/>
      <c r="AT19" s="157"/>
      <c r="AU19" s="157"/>
      <c r="AV19" s="157"/>
      <c r="AW19" s="157"/>
      <c r="AX19" s="157"/>
      <c r="AY19" s="157"/>
      <c r="AZ19" s="157"/>
      <c r="BA19" s="157"/>
      <c r="BB19" s="157"/>
      <c r="BC19" s="157"/>
      <c r="BD19" s="157"/>
      <c r="BE19" s="157"/>
      <c r="BF19" s="157"/>
      <c r="BG19" s="157"/>
      <c r="BH19" s="157"/>
    </row>
    <row r="20" spans="1:60" ht="19.5" thickBot="1">
      <c r="A20" s="1">
        <f t="shared" si="5"/>
        <v>13</v>
      </c>
      <c r="B20" s="15" t="s">
        <v>32</v>
      </c>
      <c r="C20" s="10">
        <v>4</v>
      </c>
      <c r="D20" s="11">
        <v>20</v>
      </c>
      <c r="E20" s="36"/>
      <c r="F20" s="36"/>
      <c r="G20" s="37"/>
      <c r="H20" s="38"/>
      <c r="I20" s="38">
        <f t="shared" si="0"/>
        <v>4</v>
      </c>
      <c r="J20" s="63">
        <f t="shared" si="0"/>
        <v>20</v>
      </c>
      <c r="K20" s="62"/>
      <c r="L20" s="36"/>
      <c r="M20" s="36"/>
      <c r="N20" s="36"/>
      <c r="O20" s="36"/>
      <c r="P20" s="36"/>
      <c r="Q20" s="99"/>
      <c r="R20" s="100">
        <f t="shared" si="1"/>
        <v>0</v>
      </c>
      <c r="S20" s="101">
        <f t="shared" si="1"/>
        <v>0</v>
      </c>
      <c r="T20" s="62"/>
      <c r="U20" s="8">
        <f t="shared" si="2"/>
        <v>0</v>
      </c>
      <c r="V20" s="135">
        <f t="shared" si="3"/>
        <v>0</v>
      </c>
      <c r="W20" s="134">
        <f t="shared" si="4"/>
        <v>116</v>
      </c>
      <c r="X20" s="61"/>
      <c r="AL20" s="157"/>
      <c r="AM20" s="157"/>
      <c r="AN20" s="157"/>
      <c r="AO20" s="157"/>
      <c r="AP20" s="157"/>
      <c r="AQ20" s="157"/>
      <c r="AR20" s="157"/>
      <c r="AS20" s="157"/>
      <c r="AT20" s="157"/>
      <c r="AU20" s="157"/>
      <c r="AV20" s="157"/>
      <c r="AW20" s="157"/>
      <c r="AX20" s="157"/>
      <c r="AY20" s="157"/>
      <c r="AZ20" s="157"/>
      <c r="BA20" s="157"/>
      <c r="BB20" s="157"/>
      <c r="BC20" s="157"/>
      <c r="BD20" s="157"/>
      <c r="BE20" s="157"/>
      <c r="BF20" s="157"/>
      <c r="BG20" s="157"/>
      <c r="BH20" s="157"/>
    </row>
    <row r="21" spans="1:60" ht="19.5" thickBot="1">
      <c r="A21" s="1">
        <f t="shared" si="5"/>
        <v>14</v>
      </c>
      <c r="B21" s="15" t="s">
        <v>33</v>
      </c>
      <c r="C21" s="10">
        <v>7</v>
      </c>
      <c r="D21" s="11"/>
      <c r="E21" s="36"/>
      <c r="F21" s="36"/>
      <c r="G21" s="37"/>
      <c r="H21" s="38"/>
      <c r="I21" s="38">
        <f t="shared" si="0"/>
        <v>7</v>
      </c>
      <c r="J21" s="63">
        <f t="shared" si="0"/>
        <v>0</v>
      </c>
      <c r="K21" s="62"/>
      <c r="L21" s="36"/>
      <c r="M21" s="36"/>
      <c r="N21" s="36"/>
      <c r="O21" s="36"/>
      <c r="P21" s="36"/>
      <c r="Q21" s="99"/>
      <c r="R21" s="100">
        <f t="shared" si="1"/>
        <v>0</v>
      </c>
      <c r="S21" s="101">
        <f t="shared" si="1"/>
        <v>0</v>
      </c>
      <c r="T21" s="62"/>
      <c r="U21" s="8">
        <f t="shared" si="2"/>
        <v>0</v>
      </c>
      <c r="V21" s="135">
        <f t="shared" si="3"/>
        <v>0</v>
      </c>
      <c r="W21" s="134">
        <f t="shared" si="4"/>
        <v>168</v>
      </c>
      <c r="X21" s="61"/>
      <c r="AL21" s="157"/>
      <c r="AM21" s="157"/>
      <c r="AN21" s="157"/>
      <c r="AO21" s="157"/>
      <c r="AP21" s="157"/>
      <c r="AQ21" s="157"/>
      <c r="AR21" s="157"/>
      <c r="AS21" s="157"/>
      <c r="AT21" s="157"/>
      <c r="AU21" s="157"/>
      <c r="AV21" s="157"/>
      <c r="AW21" s="157"/>
      <c r="AX21" s="157"/>
      <c r="AY21" s="157"/>
      <c r="AZ21" s="157"/>
      <c r="BA21" s="157"/>
      <c r="BB21" s="157"/>
      <c r="BC21" s="157"/>
      <c r="BD21" s="157"/>
      <c r="BE21" s="157"/>
      <c r="BF21" s="157"/>
      <c r="BG21" s="157"/>
      <c r="BH21" s="157"/>
    </row>
    <row r="22" spans="1:60" ht="19.5" thickBot="1">
      <c r="A22" s="1">
        <f t="shared" si="5"/>
        <v>15</v>
      </c>
      <c r="B22" s="15" t="s">
        <v>34</v>
      </c>
      <c r="C22" s="10">
        <v>4</v>
      </c>
      <c r="D22" s="11"/>
      <c r="E22" s="36"/>
      <c r="F22" s="36"/>
      <c r="G22" s="37"/>
      <c r="H22" s="38"/>
      <c r="I22" s="38">
        <f t="shared" si="0"/>
        <v>4</v>
      </c>
      <c r="J22" s="63">
        <f t="shared" si="0"/>
        <v>0</v>
      </c>
      <c r="K22" s="62"/>
      <c r="L22" s="36"/>
      <c r="M22" s="36"/>
      <c r="N22" s="36"/>
      <c r="O22" s="36"/>
      <c r="P22" s="36"/>
      <c r="Q22" s="99"/>
      <c r="R22" s="100">
        <f t="shared" si="1"/>
        <v>0</v>
      </c>
      <c r="S22" s="101">
        <f t="shared" si="1"/>
        <v>0</v>
      </c>
      <c r="T22" s="62"/>
      <c r="U22" s="8">
        <f t="shared" si="2"/>
        <v>0</v>
      </c>
      <c r="V22" s="135">
        <f t="shared" si="3"/>
        <v>0</v>
      </c>
      <c r="W22" s="134">
        <f t="shared" si="4"/>
        <v>96</v>
      </c>
      <c r="X22" s="61"/>
      <c r="AL22" s="157"/>
      <c r="AM22" s="157"/>
      <c r="AN22" s="157"/>
      <c r="AO22" s="157"/>
      <c r="AP22" s="157"/>
      <c r="AQ22" s="157"/>
      <c r="AR22" s="157"/>
      <c r="AS22" s="157"/>
      <c r="AT22" s="157"/>
      <c r="AU22" s="157"/>
      <c r="AV22" s="157"/>
      <c r="AW22" s="157"/>
      <c r="AX22" s="157"/>
      <c r="AY22" s="157"/>
      <c r="AZ22" s="157"/>
      <c r="BA22" s="157"/>
      <c r="BB22" s="157"/>
      <c r="BC22" s="157"/>
      <c r="BD22" s="157"/>
      <c r="BE22" s="157"/>
      <c r="BF22" s="157"/>
      <c r="BG22" s="157"/>
      <c r="BH22" s="157"/>
    </row>
    <row r="23" spans="1:60" s="2" customFormat="1" ht="19.5" thickBot="1">
      <c r="A23" s="1">
        <f t="shared" si="5"/>
        <v>16</v>
      </c>
      <c r="B23" s="15" t="s">
        <v>35</v>
      </c>
      <c r="C23" s="10">
        <v>1</v>
      </c>
      <c r="D23" s="11">
        <v>20</v>
      </c>
      <c r="E23" s="36"/>
      <c r="F23" s="36"/>
      <c r="G23" s="37"/>
      <c r="H23" s="38"/>
      <c r="I23" s="38">
        <f t="shared" si="0"/>
        <v>1</v>
      </c>
      <c r="J23" s="63">
        <f t="shared" si="0"/>
        <v>20</v>
      </c>
      <c r="K23" s="69"/>
      <c r="L23" s="36"/>
      <c r="M23" s="36"/>
      <c r="N23" s="36"/>
      <c r="O23" s="36"/>
      <c r="P23" s="36"/>
      <c r="Q23" s="99"/>
      <c r="R23" s="100">
        <f t="shared" si="1"/>
        <v>0</v>
      </c>
      <c r="S23" s="101">
        <f t="shared" si="1"/>
        <v>0</v>
      </c>
      <c r="T23" s="69"/>
      <c r="U23" s="8">
        <f t="shared" si="2"/>
        <v>0</v>
      </c>
      <c r="V23" s="135">
        <f t="shared" si="3"/>
        <v>0</v>
      </c>
      <c r="W23" s="134">
        <f t="shared" si="4"/>
        <v>44</v>
      </c>
      <c r="X23" s="61"/>
      <c r="Y23" s="3"/>
      <c r="AD23" s="3"/>
      <c r="AG23" s="3"/>
      <c r="AH23" s="3"/>
      <c r="AI23" s="3"/>
      <c r="AJ23" s="3"/>
      <c r="AK23" s="3"/>
      <c r="AL23" s="157"/>
      <c r="AM23" s="157"/>
      <c r="AN23" s="157"/>
      <c r="AO23" s="157"/>
      <c r="AP23" s="157"/>
      <c r="AQ23" s="157"/>
      <c r="AR23" s="157"/>
      <c r="AS23" s="157"/>
      <c r="AT23" s="157"/>
      <c r="AU23" s="157"/>
      <c r="AV23" s="157"/>
      <c r="AW23" s="157"/>
      <c r="AX23" s="157"/>
      <c r="AY23" s="157"/>
      <c r="AZ23" s="157"/>
      <c r="BA23" s="157"/>
      <c r="BB23" s="157"/>
      <c r="BC23" s="157"/>
      <c r="BD23" s="157"/>
      <c r="BE23" s="157"/>
      <c r="BF23" s="157"/>
      <c r="BG23" s="157"/>
      <c r="BH23" s="157"/>
    </row>
    <row r="24" spans="1:60" s="2" customFormat="1" ht="19.5" thickBot="1">
      <c r="A24" s="1">
        <f t="shared" si="5"/>
        <v>17</v>
      </c>
      <c r="B24" s="15" t="s">
        <v>36</v>
      </c>
      <c r="C24" s="10">
        <v>37</v>
      </c>
      <c r="D24" s="11">
        <v>19</v>
      </c>
      <c r="E24" s="36"/>
      <c r="F24" s="36"/>
      <c r="G24" s="37"/>
      <c r="H24" s="38"/>
      <c r="I24" s="38">
        <f t="shared" si="0"/>
        <v>37</v>
      </c>
      <c r="J24" s="63">
        <f t="shared" si="0"/>
        <v>19</v>
      </c>
      <c r="K24" s="69"/>
      <c r="L24" s="36"/>
      <c r="M24" s="36"/>
      <c r="N24" s="36"/>
      <c r="O24" s="36"/>
      <c r="P24" s="36"/>
      <c r="Q24" s="99"/>
      <c r="R24" s="100">
        <f t="shared" si="1"/>
        <v>0</v>
      </c>
      <c r="S24" s="101">
        <f t="shared" si="1"/>
        <v>0</v>
      </c>
      <c r="T24" s="69"/>
      <c r="U24" s="8">
        <f t="shared" si="2"/>
        <v>0</v>
      </c>
      <c r="V24" s="135">
        <f t="shared" si="3"/>
        <v>0</v>
      </c>
      <c r="W24" s="134">
        <f t="shared" si="4"/>
        <v>907</v>
      </c>
      <c r="X24" s="61"/>
      <c r="Y24" s="3"/>
      <c r="AD24" s="3"/>
      <c r="AG24" s="3"/>
      <c r="AH24" s="3"/>
      <c r="AI24" s="3"/>
      <c r="AJ24" s="3"/>
      <c r="AK24" s="3"/>
      <c r="AL24" s="157"/>
      <c r="AM24" s="157"/>
      <c r="AN24" s="157"/>
      <c r="AO24" s="157"/>
      <c r="AP24" s="157"/>
      <c r="AQ24" s="157"/>
      <c r="AR24" s="157"/>
      <c r="AS24" s="157"/>
      <c r="AT24" s="157"/>
      <c r="AU24" s="157"/>
      <c r="AV24" s="157"/>
      <c r="AW24" s="157"/>
      <c r="AX24" s="157"/>
      <c r="AY24" s="157"/>
      <c r="AZ24" s="157"/>
      <c r="BA24" s="157"/>
      <c r="BB24" s="157"/>
      <c r="BC24" s="157"/>
      <c r="BD24" s="157"/>
      <c r="BE24" s="157"/>
      <c r="BF24" s="157"/>
      <c r="BG24" s="157"/>
      <c r="BH24" s="157"/>
    </row>
    <row r="25" spans="1:60" ht="19.5" thickBot="1">
      <c r="A25" s="1">
        <f t="shared" si="5"/>
        <v>18</v>
      </c>
      <c r="B25" s="15" t="s">
        <v>37</v>
      </c>
      <c r="C25" s="10">
        <v>10</v>
      </c>
      <c r="D25" s="11"/>
      <c r="E25" s="36"/>
      <c r="F25" s="36"/>
      <c r="G25" s="37"/>
      <c r="H25" s="38"/>
      <c r="I25" s="38">
        <f t="shared" si="0"/>
        <v>10</v>
      </c>
      <c r="J25" s="63">
        <f t="shared" si="0"/>
        <v>0</v>
      </c>
      <c r="K25" s="62"/>
      <c r="L25" s="36"/>
      <c r="M25" s="36"/>
      <c r="N25" s="36"/>
      <c r="O25" s="36"/>
      <c r="P25" s="36"/>
      <c r="Q25" s="99"/>
      <c r="R25" s="100">
        <f t="shared" si="1"/>
        <v>0</v>
      </c>
      <c r="S25" s="101">
        <f t="shared" si="1"/>
        <v>0</v>
      </c>
      <c r="T25" s="62"/>
      <c r="U25" s="8">
        <f t="shared" si="2"/>
        <v>0</v>
      </c>
      <c r="V25" s="135">
        <f t="shared" si="3"/>
        <v>0</v>
      </c>
      <c r="W25" s="134">
        <f t="shared" si="4"/>
        <v>240</v>
      </c>
      <c r="X25" s="61"/>
      <c r="AL25" s="157"/>
      <c r="AM25" s="157"/>
      <c r="AN25" s="157"/>
      <c r="AO25" s="157"/>
      <c r="AP25" s="157"/>
      <c r="AQ25" s="157"/>
      <c r="AR25" s="157"/>
      <c r="AS25" s="157"/>
      <c r="AT25" s="157"/>
      <c r="AU25" s="157"/>
      <c r="AV25" s="157"/>
      <c r="AW25" s="157"/>
      <c r="AX25" s="157"/>
      <c r="AY25" s="157"/>
      <c r="AZ25" s="157"/>
      <c r="BA25" s="157"/>
      <c r="BB25" s="157"/>
      <c r="BC25" s="157"/>
      <c r="BD25" s="157"/>
      <c r="BE25" s="157"/>
      <c r="BF25" s="157"/>
      <c r="BG25" s="157"/>
      <c r="BH25" s="157"/>
    </row>
    <row r="26" spans="1:60" ht="19.5" thickBot="1">
      <c r="A26" s="1">
        <f t="shared" si="5"/>
        <v>19</v>
      </c>
      <c r="B26" s="15" t="s">
        <v>38</v>
      </c>
      <c r="C26" s="10">
        <v>96</v>
      </c>
      <c r="D26" s="11">
        <v>1</v>
      </c>
      <c r="E26" s="36"/>
      <c r="F26" s="36"/>
      <c r="G26" s="37">
        <v>5</v>
      </c>
      <c r="H26" s="38"/>
      <c r="I26" s="38">
        <f t="shared" si="0"/>
        <v>91</v>
      </c>
      <c r="J26" s="63">
        <f t="shared" si="0"/>
        <v>1</v>
      </c>
      <c r="K26" s="62"/>
      <c r="L26" s="36"/>
      <c r="M26" s="36"/>
      <c r="N26" s="36"/>
      <c r="O26" s="36"/>
      <c r="P26" s="36">
        <v>5</v>
      </c>
      <c r="Q26" s="99"/>
      <c r="R26" s="100">
        <f t="shared" si="1"/>
        <v>5</v>
      </c>
      <c r="S26" s="101">
        <f t="shared" si="1"/>
        <v>0</v>
      </c>
      <c r="T26" s="62"/>
      <c r="U26" s="8">
        <f t="shared" si="2"/>
        <v>120</v>
      </c>
      <c r="V26" s="135">
        <f t="shared" si="3"/>
        <v>5</v>
      </c>
      <c r="W26" s="134">
        <f t="shared" si="4"/>
        <v>2185</v>
      </c>
      <c r="X26" s="61"/>
      <c r="BE26" s="158" t="e">
        <f>#REF!-BE25</f>
        <v>#REF!</v>
      </c>
    </row>
    <row r="27" spans="1:60" s="2" customFormat="1" ht="19.5" thickBot="1">
      <c r="A27" s="1">
        <f t="shared" si="5"/>
        <v>20</v>
      </c>
      <c r="B27" s="15" t="s">
        <v>39</v>
      </c>
      <c r="C27" s="10"/>
      <c r="D27" s="11"/>
      <c r="E27" s="36"/>
      <c r="F27" s="36"/>
      <c r="G27" s="37"/>
      <c r="H27" s="38"/>
      <c r="I27" s="38">
        <f t="shared" si="0"/>
        <v>0</v>
      </c>
      <c r="J27" s="63">
        <f t="shared" si="0"/>
        <v>0</v>
      </c>
      <c r="K27" s="69"/>
      <c r="L27" s="36"/>
      <c r="M27" s="36"/>
      <c r="N27" s="36"/>
      <c r="O27" s="36"/>
      <c r="P27" s="36"/>
      <c r="Q27" s="99"/>
      <c r="R27" s="100">
        <f t="shared" si="1"/>
        <v>0</v>
      </c>
      <c r="S27" s="101">
        <f t="shared" si="1"/>
        <v>0</v>
      </c>
      <c r="T27" s="69"/>
      <c r="U27" s="8">
        <f t="shared" si="2"/>
        <v>0</v>
      </c>
      <c r="V27" s="135">
        <f t="shared" si="3"/>
        <v>0</v>
      </c>
      <c r="W27" s="134">
        <f t="shared" si="4"/>
        <v>0</v>
      </c>
      <c r="X27" s="61"/>
      <c r="Y27" s="3"/>
      <c r="AD27" s="3"/>
      <c r="AG27" s="3"/>
      <c r="AH27" s="3"/>
      <c r="AI27" s="3"/>
      <c r="AJ27" s="3"/>
      <c r="AK27" s="3"/>
    </row>
    <row r="28" spans="1:60" s="2" customFormat="1" ht="19.5" thickBot="1">
      <c r="A28" s="1">
        <f t="shared" si="5"/>
        <v>21</v>
      </c>
      <c r="B28" s="15" t="s">
        <v>40</v>
      </c>
      <c r="C28" s="10">
        <v>2</v>
      </c>
      <c r="D28" s="11"/>
      <c r="E28" s="36"/>
      <c r="F28" s="36"/>
      <c r="G28" s="37"/>
      <c r="H28" s="38"/>
      <c r="I28" s="38">
        <f t="shared" si="0"/>
        <v>2</v>
      </c>
      <c r="J28" s="63">
        <f t="shared" si="0"/>
        <v>0</v>
      </c>
      <c r="K28" s="69"/>
      <c r="L28" s="36"/>
      <c r="M28" s="36"/>
      <c r="N28" s="36"/>
      <c r="O28" s="36"/>
      <c r="P28" s="36"/>
      <c r="Q28" s="99"/>
      <c r="R28" s="100">
        <f t="shared" si="1"/>
        <v>0</v>
      </c>
      <c r="S28" s="101">
        <f t="shared" si="1"/>
        <v>0</v>
      </c>
      <c r="T28" s="69"/>
      <c r="U28" s="8">
        <f t="shared" si="2"/>
        <v>0</v>
      </c>
      <c r="V28" s="135">
        <f t="shared" si="3"/>
        <v>0</v>
      </c>
      <c r="W28" s="134">
        <f t="shared" si="4"/>
        <v>48</v>
      </c>
      <c r="X28" s="61"/>
      <c r="Y28" s="3"/>
      <c r="AD28" s="3"/>
      <c r="AG28" s="3"/>
      <c r="AH28" s="3"/>
      <c r="AI28" s="3"/>
      <c r="AJ28" s="3"/>
      <c r="AK28" s="3"/>
    </row>
    <row r="29" spans="1:60" s="2" customFormat="1" ht="19.5" thickBot="1">
      <c r="A29" s="1">
        <f t="shared" si="5"/>
        <v>22</v>
      </c>
      <c r="B29" s="15" t="s">
        <v>41</v>
      </c>
      <c r="C29" s="10">
        <v>12</v>
      </c>
      <c r="D29" s="11"/>
      <c r="E29" s="36"/>
      <c r="F29" s="36"/>
      <c r="G29" s="37">
        <v>11</v>
      </c>
      <c r="H29" s="38"/>
      <c r="I29" s="38">
        <f t="shared" si="0"/>
        <v>1</v>
      </c>
      <c r="J29" s="63">
        <f t="shared" si="0"/>
        <v>0</v>
      </c>
      <c r="K29" s="69"/>
      <c r="L29" s="36">
        <v>1</v>
      </c>
      <c r="M29" s="36"/>
      <c r="N29" s="36">
        <v>2</v>
      </c>
      <c r="O29" s="36"/>
      <c r="P29" s="36">
        <v>8</v>
      </c>
      <c r="Q29" s="99"/>
      <c r="R29" s="100">
        <f t="shared" si="1"/>
        <v>11</v>
      </c>
      <c r="S29" s="101">
        <f t="shared" si="1"/>
        <v>0</v>
      </c>
      <c r="T29" s="69"/>
      <c r="U29" s="8">
        <f t="shared" si="2"/>
        <v>264</v>
      </c>
      <c r="V29" s="135">
        <f t="shared" si="3"/>
        <v>11</v>
      </c>
      <c r="W29" s="134">
        <f t="shared" si="4"/>
        <v>24</v>
      </c>
      <c r="X29" s="61"/>
      <c r="Y29" s="3"/>
      <c r="AD29" s="3"/>
      <c r="AG29" s="3"/>
      <c r="AH29" s="3"/>
      <c r="AI29" s="3"/>
      <c r="AJ29" s="3"/>
      <c r="AK29" s="3"/>
    </row>
    <row r="30" spans="1:60" ht="19.5" thickBot="1">
      <c r="A30" s="1">
        <f t="shared" si="5"/>
        <v>23</v>
      </c>
      <c r="B30" s="15" t="s">
        <v>42</v>
      </c>
      <c r="C30" s="10"/>
      <c r="D30" s="11">
        <v>5</v>
      </c>
      <c r="E30" s="36"/>
      <c r="F30" s="36"/>
      <c r="G30" s="37"/>
      <c r="H30" s="38"/>
      <c r="I30" s="38">
        <f t="shared" si="0"/>
        <v>0</v>
      </c>
      <c r="J30" s="63">
        <f t="shared" si="0"/>
        <v>5</v>
      </c>
      <c r="K30" s="62"/>
      <c r="L30" s="36"/>
      <c r="M30" s="36"/>
      <c r="N30" s="36"/>
      <c r="O30" s="36"/>
      <c r="P30" s="36"/>
      <c r="Q30" s="99"/>
      <c r="R30" s="100">
        <f t="shared" si="1"/>
        <v>0</v>
      </c>
      <c r="S30" s="101">
        <f t="shared" si="1"/>
        <v>0</v>
      </c>
      <c r="T30" s="62"/>
      <c r="U30" s="8">
        <f t="shared" si="2"/>
        <v>0</v>
      </c>
      <c r="V30" s="135">
        <f t="shared" si="3"/>
        <v>0</v>
      </c>
      <c r="W30" s="134">
        <f t="shared" si="4"/>
        <v>5</v>
      </c>
      <c r="X30" s="61"/>
    </row>
    <row r="31" spans="1:60" ht="19.5" thickBot="1">
      <c r="A31" s="1">
        <f t="shared" si="5"/>
        <v>24</v>
      </c>
      <c r="B31" s="15" t="s">
        <v>43</v>
      </c>
      <c r="C31" s="10">
        <v>1</v>
      </c>
      <c r="D31" s="11"/>
      <c r="E31" s="36"/>
      <c r="F31" s="36"/>
      <c r="G31" s="37"/>
      <c r="H31" s="38"/>
      <c r="I31" s="38">
        <f t="shared" si="0"/>
        <v>1</v>
      </c>
      <c r="J31" s="63">
        <f t="shared" si="0"/>
        <v>0</v>
      </c>
      <c r="K31" s="62"/>
      <c r="L31" s="36"/>
      <c r="M31" s="36"/>
      <c r="N31" s="36"/>
      <c r="O31" s="36"/>
      <c r="P31" s="36"/>
      <c r="Q31" s="99"/>
      <c r="R31" s="100">
        <f t="shared" si="1"/>
        <v>0</v>
      </c>
      <c r="S31" s="101">
        <f t="shared" si="1"/>
        <v>0</v>
      </c>
      <c r="T31" s="62"/>
      <c r="U31" s="8">
        <f t="shared" si="2"/>
        <v>0</v>
      </c>
      <c r="V31" s="135">
        <f t="shared" si="3"/>
        <v>0</v>
      </c>
      <c r="W31" s="134">
        <f t="shared" si="4"/>
        <v>24</v>
      </c>
      <c r="X31" s="61"/>
    </row>
    <row r="32" spans="1:60" ht="19.5" thickBot="1">
      <c r="A32" s="1">
        <f t="shared" si="5"/>
        <v>25</v>
      </c>
      <c r="B32" s="15" t="s">
        <v>44</v>
      </c>
      <c r="C32" s="10"/>
      <c r="D32" s="11"/>
      <c r="E32" s="36"/>
      <c r="F32" s="36"/>
      <c r="G32" s="37"/>
      <c r="H32" s="38"/>
      <c r="I32" s="38">
        <f t="shared" si="0"/>
        <v>0</v>
      </c>
      <c r="J32" s="63">
        <f t="shared" si="0"/>
        <v>0</v>
      </c>
      <c r="K32" s="62"/>
      <c r="L32" s="36"/>
      <c r="M32" s="36"/>
      <c r="N32" s="36"/>
      <c r="O32" s="36"/>
      <c r="P32" s="36"/>
      <c r="Q32" s="99"/>
      <c r="R32" s="100">
        <f t="shared" si="1"/>
        <v>0</v>
      </c>
      <c r="S32" s="101">
        <f t="shared" si="1"/>
        <v>0</v>
      </c>
      <c r="T32" s="62"/>
      <c r="U32" s="8">
        <f t="shared" si="2"/>
        <v>0</v>
      </c>
      <c r="V32" s="135">
        <f t="shared" si="3"/>
        <v>0</v>
      </c>
      <c r="W32" s="134">
        <f t="shared" si="4"/>
        <v>0</v>
      </c>
      <c r="X32" s="61"/>
    </row>
    <row r="33" spans="1:26" ht="19.5" thickBot="1">
      <c r="A33" s="1">
        <f t="shared" si="5"/>
        <v>26</v>
      </c>
      <c r="B33" s="15" t="s">
        <v>45</v>
      </c>
      <c r="C33" s="10">
        <v>2</v>
      </c>
      <c r="D33" s="11"/>
      <c r="E33" s="36"/>
      <c r="F33" s="36"/>
      <c r="G33" s="37"/>
      <c r="H33" s="38"/>
      <c r="I33" s="38">
        <f t="shared" si="0"/>
        <v>2</v>
      </c>
      <c r="J33" s="63">
        <f t="shared" si="0"/>
        <v>0</v>
      </c>
      <c r="K33" s="62"/>
      <c r="L33" s="36"/>
      <c r="M33" s="36"/>
      <c r="N33" s="36"/>
      <c r="O33" s="36"/>
      <c r="P33" s="36"/>
      <c r="Q33" s="99"/>
      <c r="R33" s="100">
        <f t="shared" si="1"/>
        <v>0</v>
      </c>
      <c r="S33" s="101">
        <f t="shared" si="1"/>
        <v>0</v>
      </c>
      <c r="T33" s="62"/>
      <c r="U33" s="8">
        <f t="shared" si="2"/>
        <v>0</v>
      </c>
      <c r="V33" s="135">
        <f t="shared" si="3"/>
        <v>0</v>
      </c>
      <c r="W33" s="134">
        <f t="shared" si="4"/>
        <v>48</v>
      </c>
      <c r="X33" s="61"/>
    </row>
    <row r="34" spans="1:26" ht="19.5" thickBot="1">
      <c r="A34" s="1">
        <f t="shared" si="5"/>
        <v>27</v>
      </c>
      <c r="B34" s="15" t="s">
        <v>46</v>
      </c>
      <c r="C34" s="10">
        <v>4</v>
      </c>
      <c r="D34" s="11"/>
      <c r="E34" s="36"/>
      <c r="F34" s="36"/>
      <c r="G34" s="37"/>
      <c r="H34" s="38"/>
      <c r="I34" s="38">
        <f t="shared" si="0"/>
        <v>4</v>
      </c>
      <c r="J34" s="63">
        <f t="shared" si="0"/>
        <v>0</v>
      </c>
      <c r="K34" s="62"/>
      <c r="L34" s="36"/>
      <c r="M34" s="36"/>
      <c r="N34" s="36"/>
      <c r="O34" s="36"/>
      <c r="P34" s="36"/>
      <c r="Q34" s="99"/>
      <c r="R34" s="100">
        <f t="shared" si="1"/>
        <v>0</v>
      </c>
      <c r="S34" s="101">
        <f t="shared" si="1"/>
        <v>0</v>
      </c>
      <c r="T34" s="62"/>
      <c r="U34" s="8">
        <f t="shared" si="2"/>
        <v>0</v>
      </c>
      <c r="V34" s="135">
        <f t="shared" si="3"/>
        <v>0</v>
      </c>
      <c r="W34" s="134">
        <f t="shared" si="4"/>
        <v>96</v>
      </c>
      <c r="X34" s="61"/>
    </row>
    <row r="35" spans="1:26" ht="19.5" thickBot="1">
      <c r="A35" s="1">
        <f t="shared" si="5"/>
        <v>28</v>
      </c>
      <c r="B35" s="15" t="s">
        <v>47</v>
      </c>
      <c r="C35" s="10">
        <v>55</v>
      </c>
      <c r="D35" s="11">
        <v>14</v>
      </c>
      <c r="E35" s="36"/>
      <c r="F35" s="36"/>
      <c r="G35" s="37">
        <v>20</v>
      </c>
      <c r="H35" s="38"/>
      <c r="I35" s="38">
        <f t="shared" si="0"/>
        <v>35</v>
      </c>
      <c r="J35" s="63">
        <f t="shared" si="0"/>
        <v>14</v>
      </c>
      <c r="K35" s="62"/>
      <c r="L35" s="36">
        <v>20</v>
      </c>
      <c r="M35" s="36"/>
      <c r="N35" s="36"/>
      <c r="O35" s="36"/>
      <c r="P35" s="36"/>
      <c r="Q35" s="99"/>
      <c r="R35" s="100">
        <f t="shared" si="1"/>
        <v>20</v>
      </c>
      <c r="S35" s="101">
        <f t="shared" si="1"/>
        <v>0</v>
      </c>
      <c r="T35" s="62"/>
      <c r="U35" s="8">
        <f t="shared" si="2"/>
        <v>480</v>
      </c>
      <c r="V35" s="135">
        <f t="shared" si="3"/>
        <v>20</v>
      </c>
      <c r="W35" s="134">
        <f t="shared" si="4"/>
        <v>854</v>
      </c>
      <c r="X35" s="61"/>
    </row>
    <row r="36" spans="1:26" ht="18.75" hidden="1" customHeight="1">
      <c r="A36" s="1">
        <f t="shared" si="5"/>
        <v>29</v>
      </c>
      <c r="B36" s="15" t="s">
        <v>48</v>
      </c>
      <c r="C36" s="10"/>
      <c r="D36" s="11"/>
      <c r="E36" s="36"/>
      <c r="F36" s="36"/>
      <c r="G36" s="37"/>
      <c r="H36" s="38"/>
      <c r="I36" s="38">
        <f t="shared" si="0"/>
        <v>0</v>
      </c>
      <c r="J36" s="63">
        <f t="shared" si="0"/>
        <v>0</v>
      </c>
      <c r="K36" s="62"/>
      <c r="L36" s="36"/>
      <c r="M36" s="36"/>
      <c r="N36" s="36"/>
      <c r="O36" s="36"/>
      <c r="P36" s="36"/>
      <c r="Q36" s="99"/>
      <c r="R36" s="100">
        <f t="shared" si="1"/>
        <v>0</v>
      </c>
      <c r="S36" s="101">
        <f t="shared" si="1"/>
        <v>0</v>
      </c>
      <c r="T36" s="62"/>
      <c r="U36" s="8">
        <f t="shared" si="2"/>
        <v>0</v>
      </c>
      <c r="V36" s="135">
        <f t="shared" si="3"/>
        <v>0</v>
      </c>
      <c r="W36" s="134">
        <f t="shared" si="4"/>
        <v>0</v>
      </c>
      <c r="X36" s="61"/>
    </row>
    <row r="37" spans="1:26" ht="18.75" customHeight="1" thickBot="1">
      <c r="A37" s="1">
        <f t="shared" si="5"/>
        <v>30</v>
      </c>
      <c r="B37" s="15" t="s">
        <v>49</v>
      </c>
      <c r="C37" s="10">
        <v>1</v>
      </c>
      <c r="D37" s="11"/>
      <c r="E37" s="36"/>
      <c r="F37" s="36"/>
      <c r="G37" s="37"/>
      <c r="H37" s="38"/>
      <c r="I37" s="38">
        <f t="shared" si="0"/>
        <v>1</v>
      </c>
      <c r="J37" s="63">
        <f t="shared" si="0"/>
        <v>0</v>
      </c>
      <c r="K37" s="62"/>
      <c r="L37" s="36"/>
      <c r="M37" s="36"/>
      <c r="N37" s="36"/>
      <c r="O37" s="36"/>
      <c r="P37" s="36"/>
      <c r="Q37" s="99"/>
      <c r="R37" s="100">
        <f t="shared" si="1"/>
        <v>0</v>
      </c>
      <c r="S37" s="101">
        <f t="shared" si="1"/>
        <v>0</v>
      </c>
      <c r="T37" s="62"/>
      <c r="U37" s="8">
        <f t="shared" si="2"/>
        <v>0</v>
      </c>
      <c r="V37" s="135">
        <f t="shared" si="3"/>
        <v>0</v>
      </c>
      <c r="W37" s="134">
        <f t="shared" si="4"/>
        <v>24</v>
      </c>
      <c r="X37" s="61"/>
    </row>
    <row r="38" spans="1:26" ht="19.5" thickBot="1">
      <c r="A38" s="1">
        <f t="shared" si="5"/>
        <v>31</v>
      </c>
      <c r="B38" s="16" t="s">
        <v>50</v>
      </c>
      <c r="C38" s="13">
        <v>4773</v>
      </c>
      <c r="D38" s="14">
        <v>2</v>
      </c>
      <c r="E38" s="39"/>
      <c r="F38" s="39"/>
      <c r="G38" s="40">
        <v>16</v>
      </c>
      <c r="H38" s="41"/>
      <c r="I38" s="53">
        <f t="shared" si="0"/>
        <v>4757</v>
      </c>
      <c r="J38" s="70">
        <f t="shared" si="0"/>
        <v>2</v>
      </c>
      <c r="K38" s="65"/>
      <c r="L38" s="51">
        <v>3</v>
      </c>
      <c r="M38" s="51"/>
      <c r="N38" s="51">
        <v>12</v>
      </c>
      <c r="O38" s="51"/>
      <c r="P38" s="51">
        <v>1</v>
      </c>
      <c r="Q38" s="102"/>
      <c r="R38" s="107">
        <f t="shared" si="1"/>
        <v>16</v>
      </c>
      <c r="S38" s="104">
        <f t="shared" si="1"/>
        <v>0</v>
      </c>
      <c r="T38" s="65"/>
      <c r="U38" s="136">
        <f>L38*6+N38*6+P38*6</f>
        <v>96</v>
      </c>
      <c r="V38" s="141">
        <f>U38/6</f>
        <v>16</v>
      </c>
      <c r="W38" s="138">
        <f>I38*6+J38</f>
        <v>28544</v>
      </c>
      <c r="X38" s="139"/>
    </row>
    <row r="39" spans="1:26" ht="19.5" thickBot="1">
      <c r="A39" s="1">
        <f t="shared" si="5"/>
        <v>32</v>
      </c>
      <c r="B39" s="7" t="s">
        <v>51</v>
      </c>
      <c r="C39" s="10"/>
      <c r="D39" s="11"/>
      <c r="E39" s="36"/>
      <c r="F39" s="36"/>
      <c r="G39" s="37"/>
      <c r="H39" s="38"/>
      <c r="I39" s="37">
        <f t="shared" si="0"/>
        <v>0</v>
      </c>
      <c r="J39" s="63">
        <f t="shared" si="0"/>
        <v>0</v>
      </c>
      <c r="K39" s="62"/>
      <c r="L39" s="36"/>
      <c r="M39" s="36"/>
      <c r="N39" s="36"/>
      <c r="O39" s="36"/>
      <c r="P39" s="36"/>
      <c r="Q39" s="99"/>
      <c r="R39" s="108">
        <f t="shared" si="1"/>
        <v>0</v>
      </c>
      <c r="S39" s="106">
        <f t="shared" si="1"/>
        <v>0</v>
      </c>
      <c r="T39" s="62"/>
      <c r="U39" s="8">
        <f t="shared" ref="U39:U41" si="6">L39*24+N39*24+P39*24</f>
        <v>0</v>
      </c>
      <c r="V39" s="33">
        <f t="shared" ref="V39:V41" si="7">U39/24</f>
        <v>0</v>
      </c>
      <c r="W39" s="134">
        <f t="shared" ref="W39:W41" si="8">I39*24+J39</f>
        <v>0</v>
      </c>
      <c r="X39" s="61"/>
    </row>
    <row r="40" spans="1:26" ht="19.5" thickBot="1">
      <c r="A40" s="1">
        <f t="shared" si="5"/>
        <v>33</v>
      </c>
      <c r="B40" s="17" t="s">
        <v>52</v>
      </c>
      <c r="C40" s="18">
        <v>2</v>
      </c>
      <c r="D40" s="19"/>
      <c r="E40" s="42"/>
      <c r="F40" s="42"/>
      <c r="G40" s="43"/>
      <c r="H40" s="44"/>
      <c r="I40" s="38">
        <f t="shared" si="0"/>
        <v>2</v>
      </c>
      <c r="J40" s="63">
        <f t="shared" si="0"/>
        <v>0</v>
      </c>
      <c r="K40" s="62"/>
      <c r="L40" s="36"/>
      <c r="M40" s="36"/>
      <c r="N40" s="36"/>
      <c r="O40" s="36"/>
      <c r="P40" s="36"/>
      <c r="Q40" s="99"/>
      <c r="R40" s="100">
        <f t="shared" si="1"/>
        <v>0</v>
      </c>
      <c r="S40" s="101">
        <f t="shared" si="1"/>
        <v>0</v>
      </c>
      <c r="T40" s="62"/>
      <c r="U40" s="142">
        <f t="shared" si="6"/>
        <v>0</v>
      </c>
      <c r="V40" s="135">
        <f t="shared" si="7"/>
        <v>0</v>
      </c>
      <c r="W40" s="143">
        <f t="shared" si="8"/>
        <v>48</v>
      </c>
      <c r="X40" s="144"/>
    </row>
    <row r="41" spans="1:26" ht="19.5" thickBot="1">
      <c r="A41" s="1">
        <f t="shared" si="5"/>
        <v>34</v>
      </c>
      <c r="B41" s="20" t="s">
        <v>53</v>
      </c>
      <c r="C41" s="21">
        <v>103</v>
      </c>
      <c r="D41" s="22">
        <v>8</v>
      </c>
      <c r="E41" s="45"/>
      <c r="F41" s="45"/>
      <c r="G41" s="46"/>
      <c r="H41" s="47"/>
      <c r="I41" s="71">
        <f t="shared" si="0"/>
        <v>103</v>
      </c>
      <c r="J41" s="72">
        <f t="shared" si="0"/>
        <v>8</v>
      </c>
      <c r="K41" s="73"/>
      <c r="L41" s="74"/>
      <c r="M41" s="74"/>
      <c r="N41" s="74"/>
      <c r="O41" s="74"/>
      <c r="P41" s="74"/>
      <c r="Q41" s="109"/>
      <c r="R41" s="110">
        <f t="shared" si="1"/>
        <v>0</v>
      </c>
      <c r="S41" s="111">
        <f t="shared" si="1"/>
        <v>0</v>
      </c>
      <c r="T41" s="73"/>
      <c r="U41" s="145">
        <f t="shared" si="6"/>
        <v>0</v>
      </c>
      <c r="V41" s="146">
        <f t="shared" si="7"/>
        <v>0</v>
      </c>
      <c r="W41" s="146">
        <f t="shared" si="8"/>
        <v>2480</v>
      </c>
      <c r="X41" s="147"/>
    </row>
    <row r="42" spans="1:26" ht="19.5" thickBot="1">
      <c r="A42" s="1">
        <f t="shared" si="5"/>
        <v>35</v>
      </c>
      <c r="B42" s="23" t="s">
        <v>54</v>
      </c>
      <c r="C42" s="24">
        <v>411</v>
      </c>
      <c r="D42" s="25"/>
      <c r="E42" s="48"/>
      <c r="F42" s="48"/>
      <c r="G42" s="49">
        <v>33</v>
      </c>
      <c r="H42" s="50"/>
      <c r="I42" s="49">
        <f t="shared" si="0"/>
        <v>378</v>
      </c>
      <c r="J42" s="75">
        <f t="shared" si="0"/>
        <v>0</v>
      </c>
      <c r="K42" s="76"/>
      <c r="L42" s="48">
        <v>2</v>
      </c>
      <c r="M42" s="48"/>
      <c r="N42" s="48">
        <v>11</v>
      </c>
      <c r="O42" s="48"/>
      <c r="P42" s="48">
        <v>20</v>
      </c>
      <c r="Q42" s="112"/>
      <c r="R42" s="113">
        <f t="shared" si="1"/>
        <v>33</v>
      </c>
      <c r="S42" s="114">
        <f t="shared" si="1"/>
        <v>0</v>
      </c>
      <c r="T42" s="76"/>
      <c r="U42" s="148">
        <f>L42*12+N42*12+P42*12</f>
        <v>396</v>
      </c>
      <c r="V42" s="149">
        <f>U42/12</f>
        <v>33</v>
      </c>
      <c r="W42" s="150">
        <f>I42*12+J42</f>
        <v>4536</v>
      </c>
      <c r="X42" s="151"/>
    </row>
    <row r="43" spans="1:26" ht="18.75" hidden="1" customHeight="1">
      <c r="A43" s="1">
        <f t="shared" si="5"/>
        <v>36</v>
      </c>
      <c r="B43" s="7" t="s">
        <v>55</v>
      </c>
      <c r="C43" s="10"/>
      <c r="D43" s="11"/>
      <c r="E43" s="36"/>
      <c r="F43" s="36"/>
      <c r="G43" s="37"/>
      <c r="H43" s="38"/>
      <c r="I43" s="38">
        <f t="shared" si="0"/>
        <v>0</v>
      </c>
      <c r="J43" s="64">
        <f t="shared" si="0"/>
        <v>0</v>
      </c>
      <c r="K43" s="62"/>
      <c r="L43" s="36"/>
      <c r="M43" s="36"/>
      <c r="N43" s="36"/>
      <c r="O43" s="36"/>
      <c r="P43" s="36"/>
      <c r="Q43" s="99"/>
      <c r="R43" s="115">
        <f t="shared" si="1"/>
        <v>0</v>
      </c>
      <c r="S43" s="116">
        <f t="shared" si="1"/>
        <v>0</v>
      </c>
      <c r="T43" s="62"/>
      <c r="U43" s="8"/>
      <c r="V43" s="33"/>
      <c r="W43" s="134"/>
      <c r="X43" s="61"/>
    </row>
    <row r="44" spans="1:26" ht="19.5" thickBot="1">
      <c r="A44" s="1">
        <f t="shared" si="5"/>
        <v>37</v>
      </c>
      <c r="B44" s="12" t="s">
        <v>56</v>
      </c>
      <c r="C44" s="13">
        <v>26658</v>
      </c>
      <c r="D44" s="14">
        <v>2</v>
      </c>
      <c r="E44" s="39">
        <v>1836</v>
      </c>
      <c r="F44" s="39"/>
      <c r="G44" s="40">
        <v>1303</v>
      </c>
      <c r="H44" s="41"/>
      <c r="I44" s="38">
        <f>C44+E44-G44</f>
        <v>27191</v>
      </c>
      <c r="J44" s="77">
        <f t="shared" ref="J44:J59" si="9">D44-H44</f>
        <v>2</v>
      </c>
      <c r="K44" s="65"/>
      <c r="L44" s="51">
        <v>364</v>
      </c>
      <c r="M44" s="51"/>
      <c r="N44" s="51">
        <v>274</v>
      </c>
      <c r="O44" s="51"/>
      <c r="P44" s="51">
        <v>665</v>
      </c>
      <c r="Q44" s="102"/>
      <c r="R44" s="117">
        <f t="shared" si="1"/>
        <v>1303</v>
      </c>
      <c r="S44" s="118">
        <f t="shared" si="1"/>
        <v>0</v>
      </c>
      <c r="T44" s="65"/>
      <c r="U44" s="136">
        <f>L44*6+N44*6+P44*6</f>
        <v>7818</v>
      </c>
      <c r="V44" s="135">
        <f>U44/6</f>
        <v>1303</v>
      </c>
      <c r="W44" s="138">
        <f>I44*6+J44</f>
        <v>163148</v>
      </c>
      <c r="X44" s="139"/>
      <c r="Z44" s="155"/>
    </row>
    <row r="45" spans="1:26" ht="18.75" hidden="1" customHeight="1">
      <c r="A45" s="1">
        <f t="shared" si="5"/>
        <v>38</v>
      </c>
      <c r="B45" s="7" t="s">
        <v>57</v>
      </c>
      <c r="C45" s="10"/>
      <c r="D45" s="11"/>
      <c r="E45" s="36"/>
      <c r="F45" s="36"/>
      <c r="G45" s="37"/>
      <c r="H45" s="38"/>
      <c r="I45" s="44">
        <f t="shared" ref="I45:I59" si="10">C45-G45</f>
        <v>0</v>
      </c>
      <c r="J45" s="63">
        <f t="shared" si="9"/>
        <v>0</v>
      </c>
      <c r="K45" s="62"/>
      <c r="L45" s="36"/>
      <c r="M45" s="36"/>
      <c r="N45" s="36"/>
      <c r="O45" s="36"/>
      <c r="P45" s="36"/>
      <c r="Q45" s="99"/>
      <c r="R45" s="108">
        <f t="shared" si="1"/>
        <v>0</v>
      </c>
      <c r="S45" s="116">
        <f t="shared" si="1"/>
        <v>0</v>
      </c>
      <c r="T45" s="62"/>
      <c r="U45" s="8"/>
      <c r="V45" s="137"/>
      <c r="W45" s="134"/>
      <c r="X45" s="61"/>
    </row>
    <row r="46" spans="1:26" ht="19.5" thickBot="1">
      <c r="A46" s="1">
        <f t="shared" si="5"/>
        <v>39</v>
      </c>
      <c r="B46" s="15" t="s">
        <v>58</v>
      </c>
      <c r="C46" s="10">
        <v>7</v>
      </c>
      <c r="D46" s="11"/>
      <c r="E46" s="36"/>
      <c r="F46" s="36"/>
      <c r="G46" s="37"/>
      <c r="H46" s="38"/>
      <c r="I46" s="68">
        <f t="shared" si="10"/>
        <v>7</v>
      </c>
      <c r="J46" s="63">
        <f t="shared" si="9"/>
        <v>0</v>
      </c>
      <c r="K46" s="62"/>
      <c r="L46" s="36"/>
      <c r="M46" s="36"/>
      <c r="N46" s="36"/>
      <c r="O46" s="36"/>
      <c r="P46" s="36"/>
      <c r="Q46" s="99"/>
      <c r="R46" s="100">
        <f t="shared" si="1"/>
        <v>0</v>
      </c>
      <c r="S46" s="119">
        <f t="shared" si="1"/>
        <v>0</v>
      </c>
      <c r="T46" s="62"/>
      <c r="U46" s="8">
        <f t="shared" ref="U46:U51" si="11">L46*24+N46*24+P46*24</f>
        <v>0</v>
      </c>
      <c r="V46" s="140">
        <f t="shared" ref="V46:V51" si="12">U46/24</f>
        <v>0</v>
      </c>
      <c r="W46" s="134">
        <f t="shared" ref="W46:W51" si="13">I46*24+J46</f>
        <v>168</v>
      </c>
      <c r="X46" s="61"/>
    </row>
    <row r="47" spans="1:26" ht="19.5" thickBot="1">
      <c r="A47" s="1">
        <f t="shared" si="5"/>
        <v>40</v>
      </c>
      <c r="B47" s="15" t="s">
        <v>59</v>
      </c>
      <c r="C47" s="10">
        <v>1</v>
      </c>
      <c r="D47" s="11"/>
      <c r="E47" s="36"/>
      <c r="F47" s="36"/>
      <c r="G47" s="37"/>
      <c r="H47" s="38"/>
      <c r="I47" s="38">
        <f t="shared" si="10"/>
        <v>1</v>
      </c>
      <c r="J47" s="63">
        <f t="shared" si="9"/>
        <v>0</v>
      </c>
      <c r="K47" s="62"/>
      <c r="L47" s="36"/>
      <c r="M47" s="36"/>
      <c r="N47" s="36"/>
      <c r="O47" s="36"/>
      <c r="P47" s="36"/>
      <c r="Q47" s="99"/>
      <c r="R47" s="100">
        <f t="shared" si="1"/>
        <v>0</v>
      </c>
      <c r="S47" s="101">
        <f t="shared" si="1"/>
        <v>0</v>
      </c>
      <c r="T47" s="62"/>
      <c r="U47" s="8">
        <f t="shared" si="11"/>
        <v>0</v>
      </c>
      <c r="V47" s="135">
        <f t="shared" si="12"/>
        <v>0</v>
      </c>
      <c r="W47" s="134">
        <f t="shared" si="13"/>
        <v>24</v>
      </c>
      <c r="X47" s="61"/>
    </row>
    <row r="48" spans="1:26" ht="19.5" thickBot="1">
      <c r="A48" s="1">
        <f t="shared" si="5"/>
        <v>41</v>
      </c>
      <c r="B48" s="12" t="s">
        <v>48</v>
      </c>
      <c r="C48" s="26">
        <v>2820</v>
      </c>
      <c r="D48" s="27">
        <v>4</v>
      </c>
      <c r="E48" s="51"/>
      <c r="F48" s="51"/>
      <c r="G48" s="52"/>
      <c r="H48" s="53"/>
      <c r="I48" s="53">
        <f t="shared" si="10"/>
        <v>2820</v>
      </c>
      <c r="J48" s="70">
        <f t="shared" si="9"/>
        <v>4</v>
      </c>
      <c r="K48" s="65"/>
      <c r="L48" s="51"/>
      <c r="M48" s="51"/>
      <c r="N48" s="51"/>
      <c r="O48" s="51"/>
      <c r="P48" s="51"/>
      <c r="Q48" s="102"/>
      <c r="R48" s="107">
        <f t="shared" si="1"/>
        <v>0</v>
      </c>
      <c r="S48" s="120">
        <f t="shared" si="1"/>
        <v>0</v>
      </c>
      <c r="T48" s="65"/>
      <c r="U48" s="136">
        <f>L48*6+N48*6+P48*6</f>
        <v>0</v>
      </c>
      <c r="V48" s="141">
        <f>U48/6</f>
        <v>0</v>
      </c>
      <c r="W48" s="138">
        <f>I48*6+J48</f>
        <v>16924</v>
      </c>
      <c r="X48" s="139"/>
    </row>
    <row r="49" spans="1:24" ht="19.5" thickBot="1">
      <c r="A49" s="1">
        <f t="shared" si="5"/>
        <v>42</v>
      </c>
      <c r="B49" s="7" t="s">
        <v>60</v>
      </c>
      <c r="C49" s="10">
        <v>1</v>
      </c>
      <c r="D49" s="11"/>
      <c r="E49" s="36"/>
      <c r="F49" s="36"/>
      <c r="G49" s="37"/>
      <c r="H49" s="38"/>
      <c r="I49" s="38">
        <f t="shared" si="10"/>
        <v>1</v>
      </c>
      <c r="J49" s="63">
        <f t="shared" si="9"/>
        <v>0</v>
      </c>
      <c r="K49" s="62"/>
      <c r="L49" s="36"/>
      <c r="M49" s="36"/>
      <c r="N49" s="36"/>
      <c r="O49" s="36"/>
      <c r="P49" s="36"/>
      <c r="Q49" s="99"/>
      <c r="R49" s="108">
        <f t="shared" si="1"/>
        <v>0</v>
      </c>
      <c r="S49" s="106">
        <f t="shared" si="1"/>
        <v>0</v>
      </c>
      <c r="T49" s="62"/>
      <c r="U49" s="8">
        <f t="shared" si="11"/>
        <v>0</v>
      </c>
      <c r="V49" s="33">
        <f t="shared" si="12"/>
        <v>0</v>
      </c>
      <c r="W49" s="134">
        <f t="shared" si="13"/>
        <v>24</v>
      </c>
      <c r="X49" s="61"/>
    </row>
    <row r="50" spans="1:24" ht="19.5" thickBot="1">
      <c r="A50" s="1">
        <f t="shared" si="5"/>
        <v>43</v>
      </c>
      <c r="B50" s="15" t="s">
        <v>61</v>
      </c>
      <c r="C50" s="10">
        <v>2</v>
      </c>
      <c r="D50" s="11"/>
      <c r="E50" s="36"/>
      <c r="F50" s="36"/>
      <c r="G50" s="37"/>
      <c r="H50" s="38"/>
      <c r="I50" s="38">
        <f t="shared" si="10"/>
        <v>2</v>
      </c>
      <c r="J50" s="63">
        <f t="shared" si="9"/>
        <v>0</v>
      </c>
      <c r="K50" s="62"/>
      <c r="L50" s="36"/>
      <c r="M50" s="36"/>
      <c r="N50" s="36"/>
      <c r="O50" s="36"/>
      <c r="P50" s="36"/>
      <c r="Q50" s="99"/>
      <c r="R50" s="100">
        <f t="shared" si="1"/>
        <v>0</v>
      </c>
      <c r="S50" s="101">
        <f t="shared" si="1"/>
        <v>0</v>
      </c>
      <c r="T50" s="62"/>
      <c r="U50" s="8">
        <f t="shared" si="11"/>
        <v>0</v>
      </c>
      <c r="V50" s="135">
        <f t="shared" si="12"/>
        <v>0</v>
      </c>
      <c r="W50" s="134">
        <f t="shared" si="13"/>
        <v>48</v>
      </c>
      <c r="X50" s="61"/>
    </row>
    <row r="51" spans="1:24" ht="19.5" thickBot="1">
      <c r="A51" s="1">
        <f t="shared" si="5"/>
        <v>44</v>
      </c>
      <c r="B51" s="15" t="s">
        <v>62</v>
      </c>
      <c r="C51" s="10"/>
      <c r="D51" s="11"/>
      <c r="E51" s="36"/>
      <c r="F51" s="36"/>
      <c r="G51" s="37"/>
      <c r="H51" s="38"/>
      <c r="I51" s="38">
        <f t="shared" si="10"/>
        <v>0</v>
      </c>
      <c r="J51" s="63">
        <f t="shared" si="9"/>
        <v>0</v>
      </c>
      <c r="K51" s="62"/>
      <c r="L51" s="36"/>
      <c r="M51" s="36"/>
      <c r="N51" s="36"/>
      <c r="O51" s="36"/>
      <c r="P51" s="36"/>
      <c r="Q51" s="99"/>
      <c r="R51" s="100">
        <f t="shared" si="1"/>
        <v>0</v>
      </c>
      <c r="S51" s="101">
        <f t="shared" si="1"/>
        <v>0</v>
      </c>
      <c r="T51" s="62"/>
      <c r="U51" s="8">
        <f t="shared" si="11"/>
        <v>0</v>
      </c>
      <c r="V51" s="135">
        <f t="shared" si="12"/>
        <v>0</v>
      </c>
      <c r="W51" s="134">
        <f t="shared" si="13"/>
        <v>0</v>
      </c>
      <c r="X51" s="61"/>
    </row>
    <row r="52" spans="1:24" ht="19.5" thickBot="1">
      <c r="A52" s="1">
        <f t="shared" si="5"/>
        <v>45</v>
      </c>
      <c r="B52" s="12" t="s">
        <v>63</v>
      </c>
      <c r="C52" s="26">
        <v>34</v>
      </c>
      <c r="D52" s="27"/>
      <c r="E52" s="51"/>
      <c r="F52" s="51"/>
      <c r="G52" s="52"/>
      <c r="H52" s="53"/>
      <c r="I52" s="53">
        <f t="shared" si="10"/>
        <v>34</v>
      </c>
      <c r="J52" s="70">
        <f t="shared" si="9"/>
        <v>0</v>
      </c>
      <c r="K52" s="65"/>
      <c r="L52" s="51"/>
      <c r="M52" s="51"/>
      <c r="N52" s="51"/>
      <c r="O52" s="51"/>
      <c r="P52" s="51"/>
      <c r="Q52" s="102"/>
      <c r="R52" s="107">
        <f t="shared" si="1"/>
        <v>0</v>
      </c>
      <c r="S52" s="120">
        <f t="shared" si="1"/>
        <v>0</v>
      </c>
      <c r="T52" s="65"/>
      <c r="U52" s="136">
        <f>L52*6+N52*6+P52*6</f>
        <v>0</v>
      </c>
      <c r="V52" s="141">
        <f>U52/6</f>
        <v>0</v>
      </c>
      <c r="W52" s="138">
        <f>I52*6+J52</f>
        <v>204</v>
      </c>
      <c r="X52" s="139"/>
    </row>
    <row r="53" spans="1:24" ht="19.5" thickBot="1">
      <c r="A53" s="1">
        <f t="shared" si="5"/>
        <v>46</v>
      </c>
      <c r="B53" s="7" t="s">
        <v>64</v>
      </c>
      <c r="C53" s="10">
        <v>2</v>
      </c>
      <c r="D53" s="11"/>
      <c r="E53" s="36"/>
      <c r="F53" s="36"/>
      <c r="G53" s="37"/>
      <c r="H53" s="38"/>
      <c r="I53" s="38">
        <f t="shared" si="10"/>
        <v>2</v>
      </c>
      <c r="J53" s="63">
        <f t="shared" si="9"/>
        <v>0</v>
      </c>
      <c r="K53" s="62"/>
      <c r="L53" s="36"/>
      <c r="M53" s="36"/>
      <c r="N53" s="36"/>
      <c r="O53" s="36"/>
      <c r="P53" s="36"/>
      <c r="Q53" s="99"/>
      <c r="R53" s="108">
        <f t="shared" si="1"/>
        <v>0</v>
      </c>
      <c r="S53" s="106">
        <f t="shared" si="1"/>
        <v>0</v>
      </c>
      <c r="T53" s="62"/>
      <c r="U53" s="8">
        <f>L53*24+N53*24+P53*24</f>
        <v>0</v>
      </c>
      <c r="V53" s="33">
        <f>U53/24</f>
        <v>0</v>
      </c>
      <c r="W53" s="134">
        <f>I53*24+J53</f>
        <v>48</v>
      </c>
      <c r="X53" s="61"/>
    </row>
    <row r="54" spans="1:24" ht="19.5" thickBot="1">
      <c r="A54" s="1">
        <f t="shared" si="5"/>
        <v>47</v>
      </c>
      <c r="B54" s="15" t="s">
        <v>65</v>
      </c>
      <c r="C54" s="10">
        <v>11</v>
      </c>
      <c r="D54" s="11"/>
      <c r="E54" s="36"/>
      <c r="F54" s="36"/>
      <c r="G54" s="37"/>
      <c r="H54" s="38"/>
      <c r="I54" s="38">
        <f t="shared" si="10"/>
        <v>11</v>
      </c>
      <c r="J54" s="63">
        <f t="shared" si="9"/>
        <v>0</v>
      </c>
      <c r="K54" s="62"/>
      <c r="L54" s="36"/>
      <c r="M54" s="36"/>
      <c r="N54" s="36"/>
      <c r="O54" s="36"/>
      <c r="P54" s="36"/>
      <c r="Q54" s="99"/>
      <c r="R54" s="100">
        <f t="shared" si="1"/>
        <v>0</v>
      </c>
      <c r="S54" s="101">
        <f t="shared" si="1"/>
        <v>0</v>
      </c>
      <c r="T54" s="62"/>
      <c r="U54" s="8">
        <f>L54*24+N54*24+P54*24</f>
        <v>0</v>
      </c>
      <c r="V54" s="135">
        <f>U54/24</f>
        <v>0</v>
      </c>
      <c r="W54" s="134">
        <f>I54*24+J54</f>
        <v>264</v>
      </c>
      <c r="X54" s="61"/>
    </row>
    <row r="55" spans="1:24" ht="19.5" thickBot="1">
      <c r="A55" s="1">
        <f t="shared" si="5"/>
        <v>48</v>
      </c>
      <c r="B55" s="15"/>
      <c r="C55" s="10"/>
      <c r="D55" s="11"/>
      <c r="E55" s="36"/>
      <c r="F55" s="36"/>
      <c r="G55" s="37"/>
      <c r="H55" s="38"/>
      <c r="I55" s="38">
        <f t="shared" si="10"/>
        <v>0</v>
      </c>
      <c r="J55" s="63">
        <f t="shared" si="9"/>
        <v>0</v>
      </c>
      <c r="K55" s="62"/>
      <c r="L55" s="36"/>
      <c r="M55" s="36"/>
      <c r="N55" s="36"/>
      <c r="O55" s="36"/>
      <c r="P55" s="36"/>
      <c r="Q55" s="99"/>
      <c r="R55" s="100">
        <f t="shared" si="1"/>
        <v>0</v>
      </c>
      <c r="S55" s="101">
        <f t="shared" si="1"/>
        <v>0</v>
      </c>
      <c r="T55" s="62"/>
      <c r="U55" s="8"/>
      <c r="V55" s="135"/>
      <c r="W55" s="134"/>
      <c r="X55" s="61"/>
    </row>
    <row r="56" spans="1:24" ht="19.5" thickBot="1">
      <c r="A56" s="1">
        <f t="shared" si="5"/>
        <v>49</v>
      </c>
      <c r="B56" s="15"/>
      <c r="C56" s="10"/>
      <c r="D56" s="11"/>
      <c r="E56" s="36"/>
      <c r="F56" s="36"/>
      <c r="G56" s="37"/>
      <c r="H56" s="38"/>
      <c r="I56" s="38">
        <f t="shared" si="10"/>
        <v>0</v>
      </c>
      <c r="J56" s="63">
        <f t="shared" si="9"/>
        <v>0</v>
      </c>
      <c r="K56" s="62"/>
      <c r="L56" s="36"/>
      <c r="M56" s="36"/>
      <c r="N56" s="36"/>
      <c r="O56" s="36"/>
      <c r="P56" s="36"/>
      <c r="Q56" s="99"/>
      <c r="R56" s="100">
        <f t="shared" si="1"/>
        <v>0</v>
      </c>
      <c r="S56" s="101">
        <f t="shared" si="1"/>
        <v>0</v>
      </c>
      <c r="T56" s="62"/>
      <c r="U56" s="8"/>
      <c r="V56" s="135"/>
      <c r="W56" s="134"/>
      <c r="X56" s="61"/>
    </row>
    <row r="57" spans="1:24" ht="19.5" thickBot="1">
      <c r="A57" s="1">
        <f t="shared" si="5"/>
        <v>50</v>
      </c>
      <c r="B57" s="15"/>
      <c r="C57" s="10"/>
      <c r="D57" s="11"/>
      <c r="E57" s="36"/>
      <c r="F57" s="36"/>
      <c r="G57" s="37"/>
      <c r="H57" s="38"/>
      <c r="I57" s="38">
        <f t="shared" si="10"/>
        <v>0</v>
      </c>
      <c r="J57" s="63">
        <f t="shared" si="9"/>
        <v>0</v>
      </c>
      <c r="K57" s="62"/>
      <c r="L57" s="36"/>
      <c r="M57" s="36"/>
      <c r="N57" s="36"/>
      <c r="O57" s="36"/>
      <c r="P57" s="36"/>
      <c r="Q57" s="99"/>
      <c r="R57" s="100">
        <f t="shared" si="1"/>
        <v>0</v>
      </c>
      <c r="S57" s="101">
        <f t="shared" si="1"/>
        <v>0</v>
      </c>
      <c r="T57" s="62"/>
      <c r="U57" s="8"/>
      <c r="V57" s="135"/>
      <c r="W57" s="134"/>
      <c r="X57" s="61"/>
    </row>
    <row r="58" spans="1:24" ht="19.5" thickBot="1">
      <c r="A58" s="1">
        <f t="shared" si="5"/>
        <v>51</v>
      </c>
      <c r="B58" s="15"/>
      <c r="C58" s="10"/>
      <c r="D58" s="11"/>
      <c r="E58" s="36"/>
      <c r="F58" s="36"/>
      <c r="G58" s="37"/>
      <c r="H58" s="38"/>
      <c r="I58" s="38">
        <f t="shared" si="10"/>
        <v>0</v>
      </c>
      <c r="J58" s="63">
        <f t="shared" si="9"/>
        <v>0</v>
      </c>
      <c r="K58" s="62"/>
      <c r="L58" s="36"/>
      <c r="M58" s="36"/>
      <c r="N58" s="36"/>
      <c r="O58" s="36"/>
      <c r="P58" s="36"/>
      <c r="Q58" s="99"/>
      <c r="R58" s="100">
        <f t="shared" si="1"/>
        <v>0</v>
      </c>
      <c r="S58" s="101">
        <f t="shared" si="1"/>
        <v>0</v>
      </c>
      <c r="T58" s="62"/>
      <c r="U58" s="8"/>
      <c r="V58" s="135"/>
      <c r="W58" s="134"/>
      <c r="X58" s="61"/>
    </row>
    <row r="59" spans="1:24" ht="19.5" thickBot="1">
      <c r="A59" s="1">
        <f t="shared" si="5"/>
        <v>52</v>
      </c>
      <c r="B59" s="15"/>
      <c r="C59" s="10"/>
      <c r="D59" s="11"/>
      <c r="E59" s="36"/>
      <c r="F59" s="36"/>
      <c r="G59" s="37"/>
      <c r="H59" s="38"/>
      <c r="I59" s="38">
        <f t="shared" si="10"/>
        <v>0</v>
      </c>
      <c r="J59" s="63">
        <f t="shared" si="9"/>
        <v>0</v>
      </c>
      <c r="K59" s="62"/>
      <c r="L59" s="36"/>
      <c r="M59" s="36"/>
      <c r="N59" s="36"/>
      <c r="O59" s="36"/>
      <c r="P59" s="36"/>
      <c r="Q59" s="99"/>
      <c r="R59" s="100">
        <f t="shared" si="1"/>
        <v>0</v>
      </c>
      <c r="S59" s="101">
        <f t="shared" si="1"/>
        <v>0</v>
      </c>
      <c r="T59" s="62"/>
      <c r="U59" s="8"/>
      <c r="V59" s="135"/>
      <c r="W59" s="134"/>
      <c r="X59" s="61"/>
    </row>
    <row r="60" spans="1:24" s="2" customFormat="1" ht="19.5" thickBot="1">
      <c r="B60" s="28" t="s">
        <v>15</v>
      </c>
      <c r="C60" s="29">
        <f t="shared" ref="C60:J60" si="14">SUM(C8:C59)</f>
        <v>38284</v>
      </c>
      <c r="D60" s="30">
        <f t="shared" si="14"/>
        <v>120</v>
      </c>
      <c r="E60" s="54">
        <f t="shared" si="14"/>
        <v>1836</v>
      </c>
      <c r="F60" s="54"/>
      <c r="G60" s="55">
        <f t="shared" si="14"/>
        <v>1424</v>
      </c>
      <c r="H60" s="56">
        <f t="shared" si="14"/>
        <v>24</v>
      </c>
      <c r="I60" s="56">
        <f t="shared" si="14"/>
        <v>38696</v>
      </c>
      <c r="J60" s="78">
        <f t="shared" si="14"/>
        <v>96</v>
      </c>
      <c r="L60" s="79">
        <f t="shared" ref="L60:S60" si="15">SUM(L8:L59)</f>
        <v>397</v>
      </c>
      <c r="M60" s="79">
        <f t="shared" si="15"/>
        <v>0</v>
      </c>
      <c r="N60" s="79">
        <f t="shared" si="15"/>
        <v>309</v>
      </c>
      <c r="O60" s="79">
        <f t="shared" si="15"/>
        <v>12</v>
      </c>
      <c r="P60" s="79">
        <f t="shared" si="15"/>
        <v>718</v>
      </c>
      <c r="Q60" s="121">
        <f t="shared" si="15"/>
        <v>12</v>
      </c>
      <c r="R60" s="122">
        <f t="shared" si="15"/>
        <v>1424</v>
      </c>
      <c r="S60" s="123">
        <f t="shared" si="15"/>
        <v>24</v>
      </c>
      <c r="U60" s="29">
        <f t="shared" ref="U60:W60" si="16">SUM(U8:U59)</f>
        <v>10038</v>
      </c>
      <c r="V60" s="152">
        <f t="shared" si="16"/>
        <v>1424</v>
      </c>
      <c r="W60" s="179">
        <f t="shared" si="16"/>
        <v>297828</v>
      </c>
      <c r="X60" s="78"/>
    </row>
    <row r="61" spans="1:24" ht="19.5" thickBot="1">
      <c r="V61" s="154"/>
    </row>
    <row r="62" spans="1:24" ht="18.75" customHeight="1">
      <c r="G62" s="197" t="s">
        <v>66</v>
      </c>
      <c r="H62" s="57"/>
      <c r="I62" s="57"/>
      <c r="J62" s="80" t="s">
        <v>67</v>
      </c>
      <c r="L62" s="81"/>
      <c r="M62" s="87"/>
      <c r="N62" s="88"/>
      <c r="O62" s="88"/>
      <c r="P62" s="88"/>
      <c r="Q62" s="124"/>
      <c r="R62" s="124"/>
      <c r="S62" s="125"/>
    </row>
    <row r="63" spans="1:24">
      <c r="G63" s="198"/>
      <c r="H63" s="58"/>
      <c r="I63" s="58"/>
      <c r="J63" s="82" t="s">
        <v>68</v>
      </c>
      <c r="L63" s="83"/>
      <c r="M63" s="89"/>
      <c r="N63" s="90"/>
      <c r="O63" s="90"/>
      <c r="P63" s="90"/>
      <c r="Q63" s="126"/>
      <c r="R63" s="126"/>
      <c r="S63" s="127"/>
    </row>
    <row r="64" spans="1:24">
      <c r="G64" s="199"/>
      <c r="H64" s="59"/>
      <c r="I64" s="59"/>
      <c r="J64" s="82" t="s">
        <v>69</v>
      </c>
      <c r="L64" s="84"/>
      <c r="M64" s="91"/>
      <c r="N64" s="92"/>
      <c r="O64" s="92"/>
      <c r="P64" s="92"/>
      <c r="Q64" s="128"/>
      <c r="R64" s="128"/>
      <c r="S64" s="129"/>
    </row>
    <row r="65" spans="2:24">
      <c r="G65" s="200" t="s">
        <v>70</v>
      </c>
      <c r="H65" s="164"/>
      <c r="I65" s="164"/>
      <c r="J65" s="82" t="s">
        <v>67</v>
      </c>
      <c r="L65" s="84"/>
      <c r="M65" s="91"/>
      <c r="N65" s="92"/>
      <c r="O65" s="92"/>
      <c r="P65" s="92"/>
      <c r="Q65" s="128"/>
      <c r="R65" s="128"/>
      <c r="S65" s="129"/>
    </row>
    <row r="66" spans="2:24">
      <c r="G66" s="200"/>
      <c r="H66" s="164"/>
      <c r="I66" s="164"/>
      <c r="J66" s="82" t="s">
        <v>68</v>
      </c>
      <c r="L66" s="83"/>
      <c r="M66" s="89"/>
      <c r="N66" s="90"/>
      <c r="O66" s="90"/>
      <c r="P66" s="90"/>
      <c r="Q66" s="126"/>
      <c r="R66" s="126"/>
      <c r="S66" s="127"/>
    </row>
    <row r="67" spans="2:24" ht="19.5" thickBot="1">
      <c r="G67" s="201"/>
      <c r="H67" s="165"/>
      <c r="I67" s="165"/>
      <c r="J67" s="167" t="s">
        <v>69</v>
      </c>
      <c r="L67" s="168"/>
      <c r="M67" s="170"/>
      <c r="N67" s="171"/>
      <c r="O67" s="171"/>
      <c r="P67" s="171"/>
      <c r="Q67" s="174"/>
      <c r="R67" s="174"/>
      <c r="S67" s="175"/>
    </row>
    <row r="69" spans="2:24" ht="49.5" customHeight="1" thickBot="1">
      <c r="B69" s="159" t="s">
        <v>71</v>
      </c>
      <c r="C69" s="5" t="s">
        <v>4</v>
      </c>
      <c r="D69" s="6"/>
      <c r="E69" s="166" t="s">
        <v>72</v>
      </c>
      <c r="L69" s="169" t="s">
        <v>12</v>
      </c>
      <c r="M69" s="172"/>
      <c r="N69" s="173" t="s">
        <v>13</v>
      </c>
      <c r="O69" s="173"/>
      <c r="P69" s="173" t="s">
        <v>14</v>
      </c>
      <c r="Q69" s="176"/>
      <c r="R69" s="176"/>
      <c r="S69" s="177" t="s">
        <v>73</v>
      </c>
      <c r="X69" s="178" t="s">
        <v>74</v>
      </c>
    </row>
    <row r="70" spans="2:24">
      <c r="B70" s="160" t="s">
        <v>47</v>
      </c>
      <c r="C70" s="161"/>
      <c r="D70" s="161"/>
      <c r="E70" s="163"/>
      <c r="L70" s="161"/>
      <c r="M70" s="161"/>
      <c r="N70" s="161"/>
      <c r="O70" s="161"/>
      <c r="P70" s="161"/>
      <c r="Q70" s="161"/>
      <c r="R70" s="161"/>
      <c r="S70" s="161"/>
      <c r="X70" s="163"/>
    </row>
    <row r="71" spans="2:24">
      <c r="B71" s="162" t="s">
        <v>75</v>
      </c>
      <c r="C71" s="161"/>
      <c r="D71" s="161"/>
      <c r="E71" s="163"/>
      <c r="L71" s="163"/>
      <c r="M71" s="163"/>
      <c r="N71" s="163"/>
      <c r="O71" s="163"/>
      <c r="P71" s="163"/>
      <c r="Q71" s="163"/>
      <c r="R71" s="163"/>
      <c r="S71" s="163"/>
      <c r="X71" s="163"/>
    </row>
    <row r="72" spans="2:24">
      <c r="B72" s="162" t="s">
        <v>76</v>
      </c>
      <c r="C72" s="161"/>
      <c r="D72" s="161"/>
      <c r="E72" s="163"/>
      <c r="L72" s="163"/>
      <c r="M72" s="163"/>
      <c r="N72" s="163"/>
      <c r="O72" s="163"/>
      <c r="P72" s="163"/>
      <c r="Q72" s="163"/>
      <c r="R72" s="163"/>
      <c r="S72" s="163"/>
      <c r="X72" s="163"/>
    </row>
    <row r="73" spans="2:24" ht="11.25" customHeight="1"/>
    <row r="74" spans="2:24">
      <c r="B74" s="162" t="s">
        <v>77</v>
      </c>
      <c r="C74" s="163"/>
      <c r="D74" s="163"/>
      <c r="E74" s="163"/>
      <c r="L74" s="163"/>
      <c r="M74" s="163"/>
      <c r="N74" s="163"/>
      <c r="O74" s="163"/>
      <c r="P74" s="163"/>
      <c r="Q74" s="163"/>
      <c r="R74" s="163"/>
      <c r="S74" s="163"/>
      <c r="X74" s="163"/>
    </row>
    <row r="75" spans="2:24">
      <c r="B75" s="162" t="s">
        <v>75</v>
      </c>
      <c r="C75" s="163"/>
      <c r="D75" s="163"/>
      <c r="E75" s="163"/>
      <c r="L75" s="163"/>
      <c r="M75" s="163"/>
      <c r="N75" s="163"/>
      <c r="O75" s="163"/>
      <c r="P75" s="163"/>
      <c r="Q75" s="163"/>
      <c r="R75" s="163"/>
      <c r="S75" s="163"/>
      <c r="X75" s="163"/>
    </row>
    <row r="76" spans="2:24">
      <c r="B76" s="162" t="s">
        <v>76</v>
      </c>
      <c r="C76" s="163"/>
      <c r="D76" s="163"/>
      <c r="E76" s="163"/>
      <c r="L76" s="163"/>
      <c r="M76" s="163"/>
      <c r="N76" s="163"/>
      <c r="O76" s="163"/>
      <c r="P76" s="163"/>
      <c r="Q76" s="163"/>
      <c r="R76" s="163"/>
      <c r="S76" s="163"/>
      <c r="X76" s="163"/>
    </row>
    <row r="77" spans="2:24" ht="11.25" customHeight="1"/>
    <row r="78" spans="2:24">
      <c r="B78" s="162" t="s">
        <v>78</v>
      </c>
      <c r="C78" s="163"/>
      <c r="D78" s="163"/>
      <c r="E78" s="163"/>
      <c r="L78" s="163"/>
      <c r="M78" s="163"/>
      <c r="N78" s="163"/>
      <c r="O78" s="163"/>
      <c r="P78" s="163"/>
      <c r="Q78" s="163"/>
      <c r="R78" s="163"/>
      <c r="S78" s="163"/>
      <c r="X78" s="163"/>
    </row>
    <row r="79" spans="2:24">
      <c r="B79" s="162" t="s">
        <v>75</v>
      </c>
      <c r="C79" s="163"/>
      <c r="D79" s="163"/>
      <c r="E79" s="163"/>
      <c r="L79" s="163"/>
      <c r="M79" s="163"/>
      <c r="N79" s="163"/>
      <c r="O79" s="163"/>
      <c r="P79" s="163"/>
      <c r="Q79" s="163"/>
      <c r="R79" s="163"/>
      <c r="S79" s="163"/>
      <c r="X79" s="163"/>
    </row>
    <row r="80" spans="2:24">
      <c r="B80" s="162" t="s">
        <v>76</v>
      </c>
      <c r="C80" s="163"/>
      <c r="D80" s="163"/>
      <c r="E80" s="163"/>
      <c r="L80" s="163"/>
      <c r="M80" s="163"/>
      <c r="N80" s="163"/>
      <c r="O80" s="163"/>
      <c r="P80" s="163"/>
      <c r="Q80" s="163"/>
      <c r="R80" s="163"/>
      <c r="S80" s="163"/>
      <c r="X80" s="163"/>
    </row>
    <row r="81" spans="2:24" ht="11.25" customHeight="1"/>
    <row r="82" spans="2:24">
      <c r="B82" s="162" t="s">
        <v>79</v>
      </c>
      <c r="C82" s="163"/>
      <c r="D82" s="163"/>
      <c r="E82" s="163"/>
      <c r="L82" s="163"/>
      <c r="M82" s="163"/>
      <c r="N82" s="163"/>
      <c r="O82" s="163"/>
      <c r="P82" s="163"/>
      <c r="Q82" s="163"/>
      <c r="R82" s="163"/>
      <c r="S82" s="163"/>
      <c r="X82" s="163"/>
    </row>
    <row r="83" spans="2:24">
      <c r="B83" s="162" t="s">
        <v>75</v>
      </c>
      <c r="C83" s="163"/>
      <c r="D83" s="163"/>
      <c r="E83" s="163"/>
      <c r="L83" s="163"/>
      <c r="M83" s="163"/>
      <c r="N83" s="163"/>
      <c r="O83" s="163"/>
      <c r="P83" s="163"/>
      <c r="Q83" s="163"/>
      <c r="R83" s="163"/>
      <c r="S83" s="163"/>
      <c r="X83" s="163"/>
    </row>
    <row r="84" spans="2:24">
      <c r="B84" s="162" t="s">
        <v>76</v>
      </c>
      <c r="C84" s="161"/>
      <c r="D84" s="161"/>
      <c r="E84" s="163"/>
      <c r="L84" s="163"/>
      <c r="M84" s="163"/>
      <c r="N84" s="163"/>
      <c r="O84" s="163"/>
      <c r="P84" s="163"/>
      <c r="Q84" s="163"/>
      <c r="R84" s="163"/>
      <c r="S84" s="163"/>
      <c r="X84" s="163"/>
    </row>
    <row r="85" spans="2:24" ht="11.25" customHeight="1"/>
    <row r="86" spans="2:24">
      <c r="B86" s="162" t="s">
        <v>80</v>
      </c>
      <c r="C86" s="163"/>
      <c r="D86" s="163"/>
      <c r="E86" s="163"/>
      <c r="L86" s="163"/>
      <c r="M86" s="163"/>
      <c r="N86" s="163"/>
      <c r="O86" s="163"/>
      <c r="P86" s="163"/>
      <c r="Q86" s="163"/>
      <c r="R86" s="163"/>
      <c r="S86" s="163"/>
      <c r="X86" s="163"/>
    </row>
    <row r="87" spans="2:24">
      <c r="B87" s="162" t="s">
        <v>75</v>
      </c>
      <c r="C87" s="163"/>
      <c r="D87" s="163"/>
      <c r="E87" s="163"/>
      <c r="L87" s="163"/>
      <c r="M87" s="163"/>
      <c r="N87" s="163"/>
      <c r="O87" s="163"/>
      <c r="P87" s="163"/>
      <c r="Q87" s="163"/>
      <c r="R87" s="163"/>
      <c r="S87" s="163"/>
      <c r="X87" s="163"/>
    </row>
    <row r="88" spans="2:24">
      <c r="B88" s="162" t="s">
        <v>76</v>
      </c>
      <c r="C88" s="163"/>
      <c r="D88" s="163"/>
      <c r="E88" s="163"/>
      <c r="L88" s="163"/>
      <c r="M88" s="163"/>
      <c r="N88" s="163"/>
      <c r="O88" s="163"/>
      <c r="P88" s="163"/>
      <c r="Q88" s="163"/>
      <c r="R88" s="163"/>
      <c r="S88" s="163"/>
      <c r="X88" s="163"/>
    </row>
    <row r="90" spans="2:24">
      <c r="B90" s="162" t="s">
        <v>81</v>
      </c>
      <c r="C90" s="163"/>
      <c r="D90" s="163"/>
      <c r="E90" s="163"/>
      <c r="L90" s="163"/>
      <c r="M90" s="163"/>
      <c r="N90" s="163"/>
      <c r="O90" s="163"/>
      <c r="P90" s="163"/>
      <c r="Q90" s="163"/>
      <c r="R90" s="163"/>
      <c r="S90" s="163"/>
      <c r="X90" s="163"/>
    </row>
  </sheetData>
  <mergeCells count="12">
    <mergeCell ref="G62:G64"/>
    <mergeCell ref="G65:G67"/>
    <mergeCell ref="P1:X1"/>
    <mergeCell ref="B4:B5"/>
    <mergeCell ref="C4:C5"/>
    <mergeCell ref="D4:D5"/>
    <mergeCell ref="E4:F4"/>
    <mergeCell ref="G4:G5"/>
    <mergeCell ref="H4:H5"/>
    <mergeCell ref="I4:I5"/>
    <mergeCell ref="J4:J5"/>
    <mergeCell ref="L4:X4"/>
  </mergeCells>
  <printOptions horizontalCentered="1" verticalCentered="1"/>
  <pageMargins left="0.196850393700787" right="0.196850393700787" top="0.196850393700787" bottom="0.196850393700787" header="0.511811023622047" footer="0.511811023622047"/>
  <pageSetup paperSize="9" scale="51" orientation="portrait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ADA97-DFEF-408A-8BE8-729D1F67D5DF}">
  <sheetPr>
    <pageSetUpPr fitToPage="1"/>
  </sheetPr>
  <dimension ref="A1:BH90"/>
  <sheetViews>
    <sheetView zoomScaleNormal="100" zoomScaleSheetLayoutView="85" zoomScalePageLayoutView="80" workbookViewId="0">
      <selection activeCell="P1" sqref="P1:X1"/>
    </sheetView>
  </sheetViews>
  <sheetFormatPr defaultColWidth="9.140625" defaultRowHeight="18.75"/>
  <cols>
    <col min="1" max="1" width="5.42578125" style="3" customWidth="1"/>
    <col min="2" max="2" width="12.28515625" style="3" customWidth="1"/>
    <col min="3" max="3" width="12.7109375" style="3" customWidth="1"/>
    <col min="4" max="4" width="8" style="3" customWidth="1"/>
    <col min="5" max="5" width="12.140625" style="3" customWidth="1"/>
    <col min="6" max="6" width="9.85546875" style="3" customWidth="1"/>
    <col min="7" max="7" width="11" style="3" customWidth="1"/>
    <col min="8" max="8" width="8" style="3" customWidth="1"/>
    <col min="9" max="9" width="14.7109375" style="3" customWidth="1"/>
    <col min="10" max="10" width="8.28515625" style="3" customWidth="1"/>
    <col min="11" max="11" width="1.28515625" style="3" customWidth="1"/>
    <col min="12" max="12" width="11" style="3" customWidth="1"/>
    <col min="13" max="13" width="7.85546875" style="3" customWidth="1"/>
    <col min="14" max="14" width="11" style="3" customWidth="1"/>
    <col min="15" max="15" width="6.5703125" style="3" customWidth="1"/>
    <col min="16" max="16" width="11" style="3" customWidth="1"/>
    <col min="17" max="17" width="6.5703125" style="3" customWidth="1"/>
    <col min="18" max="18" width="9.5703125" style="3" customWidth="1"/>
    <col min="19" max="19" width="8.140625" style="3" customWidth="1"/>
    <col min="20" max="20" width="1.28515625" style="3" customWidth="1"/>
    <col min="21" max="21" width="12.7109375" style="3" customWidth="1"/>
    <col min="22" max="22" width="12.7109375" style="3" hidden="1" customWidth="1"/>
    <col min="23" max="23" width="14.5703125" style="3" customWidth="1"/>
    <col min="24" max="24" width="11.5703125" style="3" customWidth="1"/>
    <col min="25" max="25" width="2" style="3" customWidth="1"/>
    <col min="26" max="26" width="10.5703125" style="3" customWidth="1"/>
    <col min="27" max="55" width="7.28515625" style="3" customWidth="1"/>
    <col min="56" max="56" width="1.5703125" style="3" customWidth="1"/>
    <col min="57" max="57" width="9.42578125" style="3" customWidth="1"/>
    <col min="58" max="58" width="1.28515625" style="3" customWidth="1"/>
    <col min="59" max="59" width="12.7109375" style="3" customWidth="1"/>
    <col min="60" max="60" width="10.28515625" style="3" customWidth="1"/>
    <col min="61" max="16384" width="9.140625" style="3"/>
  </cols>
  <sheetData>
    <row r="1" spans="1:60" ht="19.5" thickBot="1">
      <c r="B1" s="2" t="s">
        <v>0</v>
      </c>
      <c r="N1" s="3" t="s">
        <v>1</v>
      </c>
      <c r="P1" s="183">
        <v>46166</v>
      </c>
      <c r="Q1" s="184"/>
      <c r="R1" s="184"/>
      <c r="S1" s="184"/>
      <c r="T1" s="184"/>
      <c r="U1" s="184"/>
      <c r="V1" s="184"/>
      <c r="W1" s="184"/>
      <c r="X1" s="185"/>
    </row>
    <row r="2" spans="1:60" ht="15" customHeight="1">
      <c r="B2" s="2" t="s">
        <v>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4" spans="1:60" ht="19.5" customHeight="1" thickBot="1">
      <c r="A4" s="4"/>
      <c r="B4" s="192" t="s">
        <v>3</v>
      </c>
      <c r="C4" s="193" t="s">
        <v>4</v>
      </c>
      <c r="D4" s="194" t="s">
        <v>5</v>
      </c>
      <c r="E4" s="186" t="s">
        <v>6</v>
      </c>
      <c r="F4" s="187"/>
      <c r="G4" s="195" t="s">
        <v>7</v>
      </c>
      <c r="H4" s="202" t="s">
        <v>5</v>
      </c>
      <c r="I4" s="204" t="s">
        <v>8</v>
      </c>
      <c r="J4" s="202" t="s">
        <v>5</v>
      </c>
      <c r="L4" s="188" t="s">
        <v>9</v>
      </c>
      <c r="M4" s="189"/>
      <c r="N4" s="189"/>
      <c r="O4" s="189"/>
      <c r="P4" s="189"/>
      <c r="Q4" s="189"/>
      <c r="R4" s="189"/>
      <c r="S4" s="189"/>
      <c r="T4" s="189"/>
      <c r="U4" s="189"/>
      <c r="V4" s="190"/>
      <c r="W4" s="189"/>
      <c r="X4" s="191"/>
    </row>
    <row r="5" spans="1:60" s="1" customFormat="1" ht="57" thickBot="1">
      <c r="A5" s="4"/>
      <c r="B5" s="192"/>
      <c r="C5" s="193"/>
      <c r="D5" s="194"/>
      <c r="E5" s="31" t="s">
        <v>10</v>
      </c>
      <c r="F5" s="32" t="s">
        <v>11</v>
      </c>
      <c r="G5" s="196"/>
      <c r="H5" s="203"/>
      <c r="I5" s="205"/>
      <c r="J5" s="203"/>
      <c r="L5" s="60" t="s">
        <v>12</v>
      </c>
      <c r="M5" s="85" t="s">
        <v>5</v>
      </c>
      <c r="N5" s="86" t="s">
        <v>13</v>
      </c>
      <c r="O5" s="85" t="s">
        <v>5</v>
      </c>
      <c r="P5" s="86" t="s">
        <v>14</v>
      </c>
      <c r="Q5" s="85" t="s">
        <v>5</v>
      </c>
      <c r="R5" s="93" t="s">
        <v>15</v>
      </c>
      <c r="S5" s="94" t="s">
        <v>5</v>
      </c>
      <c r="T5" s="95"/>
      <c r="U5" s="130" t="s">
        <v>16</v>
      </c>
      <c r="V5" s="131" t="s">
        <v>17</v>
      </c>
      <c r="W5" s="132" t="s">
        <v>18</v>
      </c>
      <c r="X5" s="133" t="s">
        <v>19</v>
      </c>
      <c r="AL5" s="156"/>
      <c r="AM5" s="156"/>
      <c r="AN5" s="156"/>
      <c r="AO5" s="156"/>
      <c r="AP5" s="156"/>
      <c r="AQ5" s="156"/>
      <c r="AR5" s="156"/>
      <c r="AS5" s="156"/>
      <c r="AT5" s="156"/>
      <c r="AU5" s="156"/>
      <c r="AV5" s="156"/>
      <c r="AW5" s="156"/>
      <c r="AX5" s="156"/>
      <c r="AY5" s="156"/>
      <c r="AZ5" s="156"/>
      <c r="BA5" s="156"/>
      <c r="BB5" s="156"/>
      <c r="BC5" s="156"/>
      <c r="BD5" s="156"/>
      <c r="BE5" s="156"/>
      <c r="BF5" s="156"/>
      <c r="BG5" s="156"/>
      <c r="BH5" s="156"/>
    </row>
    <row r="6" spans="1:60" s="1" customFormat="1" ht="19.5" thickBot="1">
      <c r="B6" s="7"/>
      <c r="C6" s="8"/>
      <c r="D6" s="9"/>
      <c r="E6" s="33"/>
      <c r="F6" s="33"/>
      <c r="G6" s="34"/>
      <c r="H6" s="35"/>
      <c r="I6" s="35"/>
      <c r="J6" s="61"/>
      <c r="K6" s="62"/>
      <c r="L6" s="33"/>
      <c r="M6" s="33"/>
      <c r="N6" s="33"/>
      <c r="O6" s="33"/>
      <c r="P6" s="33"/>
      <c r="Q6" s="96"/>
      <c r="R6" s="97"/>
      <c r="S6" s="98"/>
      <c r="T6" s="62"/>
      <c r="U6" s="8"/>
      <c r="V6" s="33"/>
      <c r="W6" s="134"/>
      <c r="X6" s="61"/>
      <c r="AL6" s="156"/>
      <c r="AM6" s="156"/>
      <c r="AN6" s="156"/>
      <c r="AO6" s="156"/>
      <c r="AP6" s="156"/>
      <c r="AQ6" s="156"/>
      <c r="AR6" s="156"/>
      <c r="AS6" s="156"/>
      <c r="AT6" s="156"/>
      <c r="AU6" s="156"/>
      <c r="AV6" s="156"/>
      <c r="AW6" s="156"/>
      <c r="AX6" s="156"/>
      <c r="AY6" s="156"/>
      <c r="AZ6" s="156"/>
      <c r="BA6" s="156"/>
      <c r="BB6" s="156"/>
      <c r="BC6" s="156"/>
      <c r="BD6" s="156"/>
      <c r="BE6" s="156"/>
      <c r="BF6" s="156"/>
      <c r="BG6" s="156"/>
      <c r="BH6" s="156"/>
    </row>
    <row r="7" spans="1:60" s="1" customFormat="1" ht="19.5" thickBot="1">
      <c r="B7" s="7"/>
      <c r="C7" s="8"/>
      <c r="D7" s="9"/>
      <c r="E7" s="33"/>
      <c r="F7" s="33"/>
      <c r="G7" s="34"/>
      <c r="H7" s="35"/>
      <c r="I7" s="35"/>
      <c r="J7" s="61"/>
      <c r="K7" s="62"/>
      <c r="L7" s="33"/>
      <c r="M7" s="33"/>
      <c r="N7" s="33"/>
      <c r="O7" s="33"/>
      <c r="P7" s="33"/>
      <c r="Q7" s="96"/>
      <c r="R7" s="97"/>
      <c r="S7" s="98"/>
      <c r="T7" s="62"/>
      <c r="U7" s="8"/>
      <c r="V7" s="135"/>
      <c r="W7" s="134"/>
      <c r="X7" s="61"/>
      <c r="AL7" s="156"/>
      <c r="AM7" s="156"/>
      <c r="AN7" s="156"/>
      <c r="AO7" s="156"/>
      <c r="AP7" s="156"/>
      <c r="AQ7" s="156"/>
      <c r="AR7" s="156"/>
      <c r="AS7" s="156"/>
      <c r="AT7" s="156"/>
      <c r="AU7" s="156"/>
      <c r="AV7" s="156"/>
      <c r="AW7" s="156"/>
      <c r="AX7" s="156"/>
      <c r="AY7" s="156"/>
      <c r="AZ7" s="156"/>
      <c r="BA7" s="156"/>
      <c r="BB7" s="156"/>
      <c r="BC7" s="156"/>
      <c r="BD7" s="156"/>
      <c r="BE7" s="156"/>
      <c r="BF7" s="156"/>
      <c r="BG7" s="156"/>
      <c r="BH7" s="156"/>
    </row>
    <row r="8" spans="1:60" ht="19.5" thickBot="1">
      <c r="A8" s="1">
        <v>1</v>
      </c>
      <c r="B8" s="7" t="s">
        <v>20</v>
      </c>
      <c r="C8" s="10"/>
      <c r="D8" s="11"/>
      <c r="E8" s="36"/>
      <c r="F8" s="36"/>
      <c r="G8" s="37"/>
      <c r="H8" s="38"/>
      <c r="I8" s="38">
        <f t="shared" ref="I8:J43" si="0">C8-G8</f>
        <v>0</v>
      </c>
      <c r="J8" s="63">
        <f t="shared" si="0"/>
        <v>0</v>
      </c>
      <c r="K8" s="62"/>
      <c r="L8" s="36"/>
      <c r="M8" s="36"/>
      <c r="N8" s="36"/>
      <c r="O8" s="36"/>
      <c r="P8" s="36"/>
      <c r="Q8" s="99"/>
      <c r="R8" s="100">
        <f t="shared" ref="R8:S59" si="1">L8+N8+P8</f>
        <v>0</v>
      </c>
      <c r="S8" s="101">
        <f t="shared" si="1"/>
        <v>0</v>
      </c>
      <c r="T8" s="62"/>
      <c r="U8" s="8">
        <f t="shared" ref="U8:U37" si="2">L8*24+N8*24+P8*24</f>
        <v>0</v>
      </c>
      <c r="V8" s="135">
        <f t="shared" ref="V8:V37" si="3">U8/24</f>
        <v>0</v>
      </c>
      <c r="W8" s="134">
        <f t="shared" ref="W8:W37" si="4">I8*24+J8</f>
        <v>0</v>
      </c>
      <c r="X8" s="61"/>
      <c r="AL8" s="157"/>
      <c r="AM8" s="157"/>
      <c r="AN8" s="157"/>
      <c r="AO8" s="157"/>
      <c r="AP8" s="157"/>
      <c r="AQ8" s="157"/>
      <c r="AR8" s="157"/>
      <c r="AS8" s="157"/>
      <c r="AT8" s="157"/>
      <c r="AU8" s="157"/>
      <c r="AV8" s="157"/>
      <c r="AW8" s="157"/>
      <c r="AX8" s="157"/>
      <c r="AY8" s="157"/>
      <c r="AZ8" s="157"/>
      <c r="BA8" s="157"/>
      <c r="BB8" s="157"/>
      <c r="BC8" s="157"/>
      <c r="BD8" s="157"/>
      <c r="BE8" s="157"/>
      <c r="BF8" s="157"/>
      <c r="BG8" s="157"/>
      <c r="BH8" s="157"/>
    </row>
    <row r="9" spans="1:60" ht="19.5" thickBot="1">
      <c r="A9" s="1">
        <f t="shared" ref="A9:A59" si="5">A8+1</f>
        <v>2</v>
      </c>
      <c r="B9" s="12" t="s">
        <v>21</v>
      </c>
      <c r="C9" s="13"/>
      <c r="D9" s="14"/>
      <c r="E9" s="39"/>
      <c r="F9" s="39"/>
      <c r="G9" s="40"/>
      <c r="H9" s="41"/>
      <c r="I9" s="40">
        <f t="shared" si="0"/>
        <v>0</v>
      </c>
      <c r="J9" s="64">
        <f t="shared" si="0"/>
        <v>0</v>
      </c>
      <c r="K9" s="65"/>
      <c r="L9" s="51"/>
      <c r="M9" s="51"/>
      <c r="N9" s="51"/>
      <c r="O9" s="51"/>
      <c r="P9" s="51"/>
      <c r="Q9" s="102"/>
      <c r="R9" s="103">
        <f t="shared" si="1"/>
        <v>0</v>
      </c>
      <c r="S9" s="104">
        <f t="shared" si="1"/>
        <v>0</v>
      </c>
      <c r="T9" s="65"/>
      <c r="U9" s="136">
        <f t="shared" si="2"/>
        <v>0</v>
      </c>
      <c r="V9" s="137">
        <f t="shared" si="3"/>
        <v>0</v>
      </c>
      <c r="W9" s="138">
        <f t="shared" si="4"/>
        <v>0</v>
      </c>
      <c r="X9" s="139"/>
      <c r="AL9" s="157"/>
      <c r="AM9" s="157"/>
      <c r="AN9" s="157"/>
      <c r="AO9" s="157"/>
      <c r="AP9" s="157"/>
      <c r="AQ9" s="157"/>
      <c r="AR9" s="157"/>
      <c r="AS9" s="157"/>
      <c r="AT9" s="157"/>
      <c r="AU9" s="157"/>
      <c r="AV9" s="157"/>
      <c r="AW9" s="157"/>
      <c r="AX9" s="157"/>
      <c r="AY9" s="157"/>
      <c r="AZ9" s="157"/>
      <c r="BA9" s="157"/>
      <c r="BB9" s="157"/>
      <c r="BC9" s="157"/>
      <c r="BD9" s="157"/>
      <c r="BE9" s="157"/>
      <c r="BF9" s="157"/>
      <c r="BG9" s="157"/>
      <c r="BH9" s="157"/>
    </row>
    <row r="10" spans="1:60" ht="19.5" thickBot="1">
      <c r="A10" s="1">
        <f t="shared" si="5"/>
        <v>3</v>
      </c>
      <c r="B10" s="7" t="s">
        <v>22</v>
      </c>
      <c r="C10" s="10"/>
      <c r="D10" s="11"/>
      <c r="E10" s="36"/>
      <c r="F10" s="36"/>
      <c r="G10" s="37"/>
      <c r="H10" s="38"/>
      <c r="I10" s="38">
        <f t="shared" si="0"/>
        <v>0</v>
      </c>
      <c r="J10" s="66">
        <f t="shared" si="0"/>
        <v>0</v>
      </c>
      <c r="K10" s="62"/>
      <c r="L10" s="36"/>
      <c r="M10" s="36"/>
      <c r="N10" s="36"/>
      <c r="O10" s="36"/>
      <c r="P10" s="36"/>
      <c r="Q10" s="99"/>
      <c r="R10" s="105">
        <f t="shared" si="1"/>
        <v>0</v>
      </c>
      <c r="S10" s="106">
        <f t="shared" si="1"/>
        <v>0</v>
      </c>
      <c r="T10" s="62"/>
      <c r="U10" s="8">
        <f t="shared" si="2"/>
        <v>0</v>
      </c>
      <c r="V10" s="140">
        <f t="shared" si="3"/>
        <v>0</v>
      </c>
      <c r="W10" s="134">
        <f t="shared" si="4"/>
        <v>0</v>
      </c>
      <c r="X10" s="61"/>
      <c r="AL10" s="157"/>
      <c r="AM10" s="157"/>
      <c r="AN10" s="157"/>
      <c r="AO10" s="157"/>
      <c r="AP10" s="157"/>
      <c r="AQ10" s="157"/>
      <c r="AR10" s="157"/>
      <c r="AS10" s="157"/>
      <c r="AT10" s="157"/>
      <c r="AU10" s="157"/>
      <c r="AV10" s="157"/>
      <c r="AW10" s="157"/>
      <c r="AX10" s="157"/>
      <c r="AY10" s="157"/>
      <c r="AZ10" s="157"/>
      <c r="BA10" s="157"/>
      <c r="BB10" s="157"/>
      <c r="BC10" s="157"/>
      <c r="BD10" s="157"/>
      <c r="BE10" s="157"/>
      <c r="BF10" s="157"/>
      <c r="BG10" s="157"/>
      <c r="BH10" s="157"/>
    </row>
    <row r="11" spans="1:60" ht="19.5" thickBot="1">
      <c r="A11" s="1">
        <f t="shared" si="5"/>
        <v>4</v>
      </c>
      <c r="B11" s="15" t="s">
        <v>23</v>
      </c>
      <c r="C11" s="10"/>
      <c r="D11" s="11"/>
      <c r="E11" s="36"/>
      <c r="F11" s="36"/>
      <c r="G11" s="37"/>
      <c r="H11" s="38"/>
      <c r="I11" s="38">
        <f t="shared" si="0"/>
        <v>0</v>
      </c>
      <c r="J11" s="63">
        <f t="shared" si="0"/>
        <v>0</v>
      </c>
      <c r="K11" s="62"/>
      <c r="L11" s="36"/>
      <c r="M11" s="36"/>
      <c r="N11" s="36"/>
      <c r="O11" s="36"/>
      <c r="P11" s="36"/>
      <c r="Q11" s="99"/>
      <c r="R11" s="100">
        <f t="shared" si="1"/>
        <v>0</v>
      </c>
      <c r="S11" s="101">
        <f t="shared" si="1"/>
        <v>0</v>
      </c>
      <c r="T11" s="62"/>
      <c r="U11" s="8">
        <f t="shared" si="2"/>
        <v>0</v>
      </c>
      <c r="V11" s="135">
        <f t="shared" si="3"/>
        <v>0</v>
      </c>
      <c r="W11" s="134">
        <f t="shared" si="4"/>
        <v>0</v>
      </c>
      <c r="X11" s="61"/>
      <c r="AL11" s="157"/>
      <c r="AM11" s="157"/>
      <c r="AN11" s="157"/>
      <c r="AO11" s="157"/>
      <c r="AP11" s="157"/>
      <c r="AQ11" s="157"/>
      <c r="AR11" s="157"/>
      <c r="AS11" s="157"/>
      <c r="AT11" s="157"/>
      <c r="AU11" s="157"/>
      <c r="AV11" s="157"/>
      <c r="AW11" s="157"/>
      <c r="AX11" s="157"/>
      <c r="AY11" s="157"/>
      <c r="AZ11" s="157"/>
      <c r="BA11" s="157"/>
      <c r="BB11" s="157"/>
      <c r="BC11" s="157"/>
      <c r="BD11" s="157"/>
      <c r="BE11" s="157"/>
      <c r="BF11" s="157"/>
      <c r="BG11" s="157"/>
      <c r="BH11" s="157"/>
    </row>
    <row r="12" spans="1:60" ht="19.5" thickBot="1">
      <c r="A12" s="1">
        <f t="shared" si="5"/>
        <v>5</v>
      </c>
      <c r="B12" s="15" t="s">
        <v>24</v>
      </c>
      <c r="C12" s="10"/>
      <c r="D12" s="11"/>
      <c r="E12" s="36"/>
      <c r="F12" s="36"/>
      <c r="G12" s="37"/>
      <c r="H12" s="38"/>
      <c r="I12" s="38">
        <f t="shared" si="0"/>
        <v>0</v>
      </c>
      <c r="J12" s="63">
        <f t="shared" si="0"/>
        <v>0</v>
      </c>
      <c r="K12" s="62"/>
      <c r="L12" s="36"/>
      <c r="M12" s="36"/>
      <c r="N12" s="36"/>
      <c r="O12" s="36"/>
      <c r="P12" s="36"/>
      <c r="Q12" s="99"/>
      <c r="R12" s="100">
        <f t="shared" si="1"/>
        <v>0</v>
      </c>
      <c r="S12" s="101">
        <f t="shared" si="1"/>
        <v>0</v>
      </c>
      <c r="T12" s="62"/>
      <c r="U12" s="8">
        <f t="shared" si="2"/>
        <v>0</v>
      </c>
      <c r="V12" s="135">
        <f t="shared" si="3"/>
        <v>0</v>
      </c>
      <c r="W12" s="134">
        <f t="shared" si="4"/>
        <v>0</v>
      </c>
      <c r="X12" s="61"/>
      <c r="AL12" s="157"/>
      <c r="AM12" s="157"/>
      <c r="AN12" s="157"/>
      <c r="AO12" s="157"/>
      <c r="AP12" s="157"/>
      <c r="AQ12" s="157"/>
      <c r="AR12" s="157"/>
      <c r="AS12" s="157"/>
      <c r="AT12" s="157"/>
      <c r="AU12" s="157"/>
      <c r="AV12" s="157"/>
      <c r="AW12" s="157"/>
      <c r="AX12" s="157"/>
      <c r="AY12" s="157"/>
      <c r="AZ12" s="157"/>
      <c r="BA12" s="157"/>
      <c r="BB12" s="157"/>
      <c r="BC12" s="157"/>
      <c r="BD12" s="157"/>
      <c r="BE12" s="157"/>
      <c r="BF12" s="157"/>
      <c r="BG12" s="157"/>
      <c r="BH12" s="157"/>
    </row>
    <row r="13" spans="1:60" s="2" customFormat="1" ht="19.5" thickBot="1">
      <c r="A13" s="1">
        <f t="shared" si="5"/>
        <v>6</v>
      </c>
      <c r="B13" s="12" t="s">
        <v>25</v>
      </c>
      <c r="C13" s="13"/>
      <c r="D13" s="14"/>
      <c r="E13" s="39"/>
      <c r="F13" s="39"/>
      <c r="G13" s="40"/>
      <c r="H13" s="41"/>
      <c r="I13" s="44">
        <f t="shared" si="0"/>
        <v>0</v>
      </c>
      <c r="J13" s="64">
        <f t="shared" si="0"/>
        <v>0</v>
      </c>
      <c r="K13" s="67"/>
      <c r="L13" s="51"/>
      <c r="M13" s="51"/>
      <c r="N13" s="51"/>
      <c r="O13" s="51"/>
      <c r="P13" s="51"/>
      <c r="Q13" s="102"/>
      <c r="R13" s="107">
        <f t="shared" si="1"/>
        <v>0</v>
      </c>
      <c r="S13" s="104">
        <f t="shared" si="1"/>
        <v>0</v>
      </c>
      <c r="T13" s="67"/>
      <c r="U13" s="136">
        <f t="shared" si="2"/>
        <v>0</v>
      </c>
      <c r="V13" s="141">
        <f t="shared" si="3"/>
        <v>0</v>
      </c>
      <c r="W13" s="138">
        <f t="shared" si="4"/>
        <v>0</v>
      </c>
      <c r="X13" s="139"/>
      <c r="Y13" s="3"/>
      <c r="AD13" s="3"/>
      <c r="AG13" s="3"/>
      <c r="AH13" s="3"/>
      <c r="AI13" s="3"/>
      <c r="AJ13" s="3"/>
      <c r="AK13" s="3"/>
      <c r="AL13" s="157"/>
      <c r="AM13" s="157"/>
      <c r="AN13" s="157"/>
      <c r="AO13" s="157"/>
      <c r="AP13" s="157"/>
      <c r="AQ13" s="157"/>
      <c r="AR13" s="157"/>
      <c r="AS13" s="157"/>
      <c r="AT13" s="157"/>
      <c r="AU13" s="157"/>
      <c r="AV13" s="157"/>
      <c r="AW13" s="157"/>
      <c r="AX13" s="157"/>
      <c r="AY13" s="157"/>
      <c r="AZ13" s="157"/>
      <c r="BA13" s="157"/>
      <c r="BB13" s="157"/>
      <c r="BC13" s="157"/>
      <c r="BD13" s="157"/>
      <c r="BE13" s="157"/>
      <c r="BF13" s="157"/>
      <c r="BG13" s="157"/>
      <c r="BH13" s="157"/>
    </row>
    <row r="14" spans="1:60" ht="19.5" thickBot="1">
      <c r="A14" s="1">
        <f t="shared" si="5"/>
        <v>7</v>
      </c>
      <c r="B14" s="7" t="s">
        <v>26</v>
      </c>
      <c r="C14" s="10"/>
      <c r="D14" s="11"/>
      <c r="E14" s="36"/>
      <c r="F14" s="36"/>
      <c r="G14" s="37"/>
      <c r="H14" s="38"/>
      <c r="I14" s="68">
        <f t="shared" si="0"/>
        <v>0</v>
      </c>
      <c r="J14" s="66">
        <f t="shared" si="0"/>
        <v>0</v>
      </c>
      <c r="K14" s="62"/>
      <c r="L14" s="36"/>
      <c r="M14" s="36"/>
      <c r="N14" s="36"/>
      <c r="O14" s="36"/>
      <c r="P14" s="36"/>
      <c r="Q14" s="99"/>
      <c r="R14" s="108">
        <f t="shared" si="1"/>
        <v>0</v>
      </c>
      <c r="S14" s="106">
        <f t="shared" si="1"/>
        <v>0</v>
      </c>
      <c r="T14" s="62"/>
      <c r="U14" s="8">
        <f t="shared" si="2"/>
        <v>0</v>
      </c>
      <c r="V14" s="33">
        <f t="shared" si="3"/>
        <v>0</v>
      </c>
      <c r="W14" s="134">
        <f t="shared" si="4"/>
        <v>0</v>
      </c>
      <c r="X14" s="61"/>
      <c r="AL14" s="157"/>
      <c r="AM14" s="157"/>
      <c r="AN14" s="157"/>
      <c r="AO14" s="157"/>
      <c r="AP14" s="157"/>
      <c r="AQ14" s="157"/>
      <c r="AR14" s="157"/>
      <c r="AS14" s="157"/>
      <c r="AT14" s="157"/>
      <c r="AU14" s="157"/>
      <c r="AV14" s="157"/>
      <c r="AW14" s="157"/>
      <c r="AX14" s="157"/>
      <c r="AY14" s="157"/>
      <c r="AZ14" s="157"/>
      <c r="BA14" s="157"/>
      <c r="BB14" s="157"/>
      <c r="BC14" s="157"/>
      <c r="BD14" s="157"/>
      <c r="BE14" s="157"/>
      <c r="BF14" s="157"/>
      <c r="BG14" s="157"/>
      <c r="BH14" s="157"/>
    </row>
    <row r="15" spans="1:60" ht="19.5" thickBot="1">
      <c r="A15" s="1">
        <f t="shared" si="5"/>
        <v>8</v>
      </c>
      <c r="B15" s="15" t="s">
        <v>27</v>
      </c>
      <c r="C15" s="10"/>
      <c r="D15" s="11"/>
      <c r="E15" s="36"/>
      <c r="F15" s="36"/>
      <c r="G15" s="37"/>
      <c r="H15" s="38"/>
      <c r="I15" s="38">
        <f t="shared" si="0"/>
        <v>0</v>
      </c>
      <c r="J15" s="63">
        <f t="shared" si="0"/>
        <v>0</v>
      </c>
      <c r="K15" s="62"/>
      <c r="L15" s="36"/>
      <c r="M15" s="36"/>
      <c r="N15" s="36"/>
      <c r="O15" s="36"/>
      <c r="P15" s="36"/>
      <c r="Q15" s="99"/>
      <c r="R15" s="100">
        <f t="shared" si="1"/>
        <v>0</v>
      </c>
      <c r="S15" s="101">
        <f t="shared" si="1"/>
        <v>0</v>
      </c>
      <c r="T15" s="62"/>
      <c r="U15" s="8">
        <f t="shared" si="2"/>
        <v>0</v>
      </c>
      <c r="V15" s="135">
        <f t="shared" si="3"/>
        <v>0</v>
      </c>
      <c r="W15" s="134">
        <f t="shared" si="4"/>
        <v>0</v>
      </c>
      <c r="X15" s="61"/>
      <c r="AL15" s="157"/>
      <c r="AM15" s="157"/>
      <c r="AN15" s="157"/>
      <c r="AO15" s="157"/>
      <c r="AP15" s="157"/>
      <c r="AQ15" s="157"/>
      <c r="AR15" s="157"/>
      <c r="AS15" s="157"/>
      <c r="AT15" s="157"/>
      <c r="AU15" s="157"/>
      <c r="AV15" s="157"/>
      <c r="AW15" s="157"/>
      <c r="AX15" s="157"/>
      <c r="AY15" s="157"/>
      <c r="AZ15" s="157"/>
      <c r="BA15" s="157"/>
      <c r="BB15" s="157"/>
      <c r="BC15" s="157"/>
      <c r="BD15" s="157"/>
      <c r="BE15" s="157"/>
      <c r="BF15" s="157"/>
      <c r="BG15" s="157"/>
      <c r="BH15" s="157"/>
    </row>
    <row r="16" spans="1:60" ht="19.5" thickBot="1">
      <c r="A16" s="1">
        <f t="shared" si="5"/>
        <v>9</v>
      </c>
      <c r="B16" s="15" t="s">
        <v>28</v>
      </c>
      <c r="C16" s="10"/>
      <c r="D16" s="11"/>
      <c r="E16" s="36"/>
      <c r="F16" s="36"/>
      <c r="G16" s="37"/>
      <c r="H16" s="38"/>
      <c r="I16" s="38">
        <f t="shared" si="0"/>
        <v>0</v>
      </c>
      <c r="J16" s="63">
        <f t="shared" si="0"/>
        <v>0</v>
      </c>
      <c r="K16" s="62"/>
      <c r="L16" s="36"/>
      <c r="M16" s="36"/>
      <c r="N16" s="36"/>
      <c r="O16" s="36"/>
      <c r="P16" s="36"/>
      <c r="Q16" s="99"/>
      <c r="R16" s="100">
        <f t="shared" si="1"/>
        <v>0</v>
      </c>
      <c r="S16" s="101">
        <f t="shared" si="1"/>
        <v>0</v>
      </c>
      <c r="T16" s="62"/>
      <c r="U16" s="8">
        <f t="shared" si="2"/>
        <v>0</v>
      </c>
      <c r="V16" s="135">
        <f t="shared" si="3"/>
        <v>0</v>
      </c>
      <c r="W16" s="134">
        <f t="shared" si="4"/>
        <v>0</v>
      </c>
      <c r="X16" s="61"/>
      <c r="AL16" s="157"/>
      <c r="AM16" s="157"/>
      <c r="AN16" s="157"/>
      <c r="AO16" s="157"/>
      <c r="AP16" s="157"/>
      <c r="AQ16" s="157"/>
      <c r="AR16" s="157"/>
      <c r="AS16" s="157"/>
      <c r="AT16" s="157"/>
      <c r="AU16" s="157"/>
      <c r="AV16" s="157"/>
      <c r="AW16" s="157"/>
      <c r="AX16" s="157"/>
      <c r="AY16" s="157"/>
      <c r="AZ16" s="157"/>
      <c r="BA16" s="157"/>
      <c r="BB16" s="157"/>
      <c r="BC16" s="157"/>
      <c r="BD16" s="157"/>
      <c r="BE16" s="157"/>
      <c r="BF16" s="157"/>
      <c r="BG16" s="157"/>
      <c r="BH16" s="157"/>
    </row>
    <row r="17" spans="1:60" ht="19.5" thickBot="1">
      <c r="A17" s="1">
        <f t="shared" si="5"/>
        <v>10</v>
      </c>
      <c r="B17" s="15" t="s">
        <v>29</v>
      </c>
      <c r="C17" s="10"/>
      <c r="D17" s="11"/>
      <c r="E17" s="36"/>
      <c r="F17" s="36"/>
      <c r="G17" s="37"/>
      <c r="H17" s="38"/>
      <c r="I17" s="38">
        <f t="shared" si="0"/>
        <v>0</v>
      </c>
      <c r="J17" s="63">
        <f t="shared" si="0"/>
        <v>0</v>
      </c>
      <c r="K17" s="62"/>
      <c r="L17" s="36"/>
      <c r="M17" s="36"/>
      <c r="N17" s="36"/>
      <c r="O17" s="36"/>
      <c r="P17" s="36"/>
      <c r="Q17" s="99"/>
      <c r="R17" s="100">
        <f t="shared" si="1"/>
        <v>0</v>
      </c>
      <c r="S17" s="101">
        <f t="shared" si="1"/>
        <v>0</v>
      </c>
      <c r="T17" s="62"/>
      <c r="U17" s="8">
        <f t="shared" si="2"/>
        <v>0</v>
      </c>
      <c r="V17" s="135">
        <f t="shared" si="3"/>
        <v>0</v>
      </c>
      <c r="W17" s="134">
        <f t="shared" si="4"/>
        <v>0</v>
      </c>
      <c r="X17" s="61"/>
      <c r="AL17" s="157"/>
      <c r="AM17" s="157"/>
      <c r="AN17" s="157"/>
      <c r="AO17" s="157"/>
      <c r="AP17" s="157"/>
      <c r="AQ17" s="157"/>
      <c r="AR17" s="157"/>
      <c r="AS17" s="157"/>
      <c r="AT17" s="157"/>
      <c r="AU17" s="157"/>
      <c r="AV17" s="157"/>
      <c r="AW17" s="157"/>
      <c r="AX17" s="157"/>
      <c r="AY17" s="157"/>
      <c r="AZ17" s="157"/>
      <c r="BA17" s="157"/>
      <c r="BB17" s="157"/>
      <c r="BC17" s="157"/>
      <c r="BD17" s="157"/>
      <c r="BE17" s="157"/>
      <c r="BF17" s="157"/>
      <c r="BG17" s="157"/>
      <c r="BH17" s="157"/>
    </row>
    <row r="18" spans="1:60" ht="19.5" thickBot="1">
      <c r="A18" s="1">
        <f t="shared" si="5"/>
        <v>11</v>
      </c>
      <c r="B18" s="15" t="s">
        <v>30</v>
      </c>
      <c r="C18" s="10"/>
      <c r="D18" s="11"/>
      <c r="E18" s="36"/>
      <c r="F18" s="36"/>
      <c r="G18" s="37"/>
      <c r="H18" s="38"/>
      <c r="I18" s="38">
        <f t="shared" si="0"/>
        <v>0</v>
      </c>
      <c r="J18" s="63">
        <f t="shared" si="0"/>
        <v>0</v>
      </c>
      <c r="K18" s="62"/>
      <c r="L18" s="36"/>
      <c r="M18" s="36"/>
      <c r="N18" s="36"/>
      <c r="O18" s="36"/>
      <c r="P18" s="36"/>
      <c r="Q18" s="99"/>
      <c r="R18" s="100">
        <f t="shared" si="1"/>
        <v>0</v>
      </c>
      <c r="S18" s="101">
        <f t="shared" si="1"/>
        <v>0</v>
      </c>
      <c r="T18" s="62"/>
      <c r="U18" s="8">
        <f t="shared" si="2"/>
        <v>0</v>
      </c>
      <c r="V18" s="135">
        <f t="shared" si="3"/>
        <v>0</v>
      </c>
      <c r="W18" s="134">
        <f t="shared" si="4"/>
        <v>0</v>
      </c>
      <c r="X18" s="61"/>
      <c r="AL18" s="157"/>
      <c r="AM18" s="157"/>
      <c r="AN18" s="157"/>
      <c r="AO18" s="157"/>
      <c r="AP18" s="157"/>
      <c r="AQ18" s="157"/>
      <c r="AR18" s="157"/>
      <c r="AS18" s="157"/>
      <c r="AT18" s="157"/>
      <c r="AU18" s="157"/>
      <c r="AV18" s="157"/>
      <c r="AW18" s="157"/>
      <c r="AX18" s="157"/>
      <c r="AY18" s="157"/>
      <c r="AZ18" s="157"/>
      <c r="BA18" s="157"/>
      <c r="BB18" s="157"/>
      <c r="BC18" s="157"/>
      <c r="BD18" s="157"/>
      <c r="BE18" s="157"/>
      <c r="BF18" s="157"/>
      <c r="BG18" s="157"/>
      <c r="BH18" s="157"/>
    </row>
    <row r="19" spans="1:60" ht="18.75" hidden="1" customHeight="1">
      <c r="A19" s="1">
        <f t="shared" si="5"/>
        <v>12</v>
      </c>
      <c r="B19" s="15" t="s">
        <v>31</v>
      </c>
      <c r="C19" s="10"/>
      <c r="D19" s="11"/>
      <c r="E19" s="36"/>
      <c r="F19" s="36"/>
      <c r="G19" s="37"/>
      <c r="H19" s="38"/>
      <c r="I19" s="38">
        <f t="shared" si="0"/>
        <v>0</v>
      </c>
      <c r="J19" s="63">
        <f t="shared" si="0"/>
        <v>0</v>
      </c>
      <c r="K19" s="62"/>
      <c r="L19" s="36"/>
      <c r="M19" s="36"/>
      <c r="N19" s="36"/>
      <c r="O19" s="36"/>
      <c r="P19" s="36"/>
      <c r="Q19" s="99"/>
      <c r="R19" s="100">
        <f t="shared" si="1"/>
        <v>0</v>
      </c>
      <c r="S19" s="101">
        <f t="shared" si="1"/>
        <v>0</v>
      </c>
      <c r="T19" s="62"/>
      <c r="U19" s="8">
        <f t="shared" si="2"/>
        <v>0</v>
      </c>
      <c r="V19" s="135">
        <f t="shared" si="3"/>
        <v>0</v>
      </c>
      <c r="W19" s="134">
        <f t="shared" si="4"/>
        <v>0</v>
      </c>
      <c r="X19" s="61"/>
      <c r="AL19" s="157"/>
      <c r="AM19" s="157"/>
      <c r="AN19" s="157"/>
      <c r="AO19" s="157"/>
      <c r="AP19" s="157"/>
      <c r="AQ19" s="157"/>
      <c r="AR19" s="157"/>
      <c r="AS19" s="157"/>
      <c r="AT19" s="157"/>
      <c r="AU19" s="157"/>
      <c r="AV19" s="157"/>
      <c r="AW19" s="157"/>
      <c r="AX19" s="157"/>
      <c r="AY19" s="157"/>
      <c r="AZ19" s="157"/>
      <c r="BA19" s="157"/>
      <c r="BB19" s="157"/>
      <c r="BC19" s="157"/>
      <c r="BD19" s="157"/>
      <c r="BE19" s="157"/>
      <c r="BF19" s="157"/>
      <c r="BG19" s="157"/>
      <c r="BH19" s="157"/>
    </row>
    <row r="20" spans="1:60" ht="19.5" thickBot="1">
      <c r="A20" s="1">
        <f t="shared" si="5"/>
        <v>13</v>
      </c>
      <c r="B20" s="15" t="s">
        <v>32</v>
      </c>
      <c r="C20" s="10"/>
      <c r="D20" s="11"/>
      <c r="E20" s="36"/>
      <c r="F20" s="36"/>
      <c r="G20" s="37"/>
      <c r="H20" s="38"/>
      <c r="I20" s="38">
        <f t="shared" si="0"/>
        <v>0</v>
      </c>
      <c r="J20" s="63">
        <f t="shared" si="0"/>
        <v>0</v>
      </c>
      <c r="K20" s="62"/>
      <c r="L20" s="36"/>
      <c r="M20" s="36"/>
      <c r="N20" s="36"/>
      <c r="O20" s="36"/>
      <c r="P20" s="36"/>
      <c r="Q20" s="99"/>
      <c r="R20" s="100">
        <f t="shared" si="1"/>
        <v>0</v>
      </c>
      <c r="S20" s="101">
        <f t="shared" si="1"/>
        <v>0</v>
      </c>
      <c r="T20" s="62"/>
      <c r="U20" s="8">
        <f t="shared" si="2"/>
        <v>0</v>
      </c>
      <c r="V20" s="135">
        <f t="shared" si="3"/>
        <v>0</v>
      </c>
      <c r="W20" s="134">
        <f t="shared" si="4"/>
        <v>0</v>
      </c>
      <c r="X20" s="61"/>
      <c r="AL20" s="157"/>
      <c r="AM20" s="157"/>
      <c r="AN20" s="157"/>
      <c r="AO20" s="157"/>
      <c r="AP20" s="157"/>
      <c r="AQ20" s="157"/>
      <c r="AR20" s="157"/>
      <c r="AS20" s="157"/>
      <c r="AT20" s="157"/>
      <c r="AU20" s="157"/>
      <c r="AV20" s="157"/>
      <c r="AW20" s="157"/>
      <c r="AX20" s="157"/>
      <c r="AY20" s="157"/>
      <c r="AZ20" s="157"/>
      <c r="BA20" s="157"/>
      <c r="BB20" s="157"/>
      <c r="BC20" s="157"/>
      <c r="BD20" s="157"/>
      <c r="BE20" s="157"/>
      <c r="BF20" s="157"/>
      <c r="BG20" s="157"/>
      <c r="BH20" s="157"/>
    </row>
    <row r="21" spans="1:60" ht="19.5" thickBot="1">
      <c r="A21" s="1">
        <f t="shared" si="5"/>
        <v>14</v>
      </c>
      <c r="B21" s="15" t="s">
        <v>33</v>
      </c>
      <c r="C21" s="10"/>
      <c r="D21" s="11"/>
      <c r="E21" s="36"/>
      <c r="F21" s="36"/>
      <c r="G21" s="37"/>
      <c r="H21" s="38"/>
      <c r="I21" s="38">
        <f t="shared" si="0"/>
        <v>0</v>
      </c>
      <c r="J21" s="63">
        <f t="shared" si="0"/>
        <v>0</v>
      </c>
      <c r="K21" s="62"/>
      <c r="L21" s="36"/>
      <c r="M21" s="36"/>
      <c r="N21" s="36"/>
      <c r="O21" s="36"/>
      <c r="P21" s="36"/>
      <c r="Q21" s="99"/>
      <c r="R21" s="100">
        <f t="shared" si="1"/>
        <v>0</v>
      </c>
      <c r="S21" s="101">
        <f t="shared" si="1"/>
        <v>0</v>
      </c>
      <c r="T21" s="62"/>
      <c r="U21" s="8">
        <f t="shared" si="2"/>
        <v>0</v>
      </c>
      <c r="V21" s="135">
        <f t="shared" si="3"/>
        <v>0</v>
      </c>
      <c r="W21" s="134">
        <f t="shared" si="4"/>
        <v>0</v>
      </c>
      <c r="X21" s="61"/>
      <c r="AL21" s="157"/>
      <c r="AM21" s="157"/>
      <c r="AN21" s="157"/>
      <c r="AO21" s="157"/>
      <c r="AP21" s="157"/>
      <c r="AQ21" s="157"/>
      <c r="AR21" s="157"/>
      <c r="AS21" s="157"/>
      <c r="AT21" s="157"/>
      <c r="AU21" s="157"/>
      <c r="AV21" s="157"/>
      <c r="AW21" s="157"/>
      <c r="AX21" s="157"/>
      <c r="AY21" s="157"/>
      <c r="AZ21" s="157"/>
      <c r="BA21" s="157"/>
      <c r="BB21" s="157"/>
      <c r="BC21" s="157"/>
      <c r="BD21" s="157"/>
      <c r="BE21" s="157"/>
      <c r="BF21" s="157"/>
      <c r="BG21" s="157"/>
      <c r="BH21" s="157"/>
    </row>
    <row r="22" spans="1:60" ht="19.5" thickBot="1">
      <c r="A22" s="1">
        <f t="shared" si="5"/>
        <v>15</v>
      </c>
      <c r="B22" s="15" t="s">
        <v>34</v>
      </c>
      <c r="C22" s="10"/>
      <c r="D22" s="11"/>
      <c r="E22" s="36"/>
      <c r="F22" s="36"/>
      <c r="G22" s="37"/>
      <c r="H22" s="38"/>
      <c r="I22" s="38">
        <f t="shared" si="0"/>
        <v>0</v>
      </c>
      <c r="J22" s="63">
        <f t="shared" si="0"/>
        <v>0</v>
      </c>
      <c r="K22" s="62"/>
      <c r="L22" s="36"/>
      <c r="M22" s="36"/>
      <c r="N22" s="36"/>
      <c r="O22" s="36"/>
      <c r="P22" s="36"/>
      <c r="Q22" s="99"/>
      <c r="R22" s="100">
        <f t="shared" si="1"/>
        <v>0</v>
      </c>
      <c r="S22" s="101">
        <f t="shared" si="1"/>
        <v>0</v>
      </c>
      <c r="T22" s="62"/>
      <c r="U22" s="8">
        <f t="shared" si="2"/>
        <v>0</v>
      </c>
      <c r="V22" s="135">
        <f t="shared" si="3"/>
        <v>0</v>
      </c>
      <c r="W22" s="134">
        <f t="shared" si="4"/>
        <v>0</v>
      </c>
      <c r="X22" s="61"/>
      <c r="AL22" s="157"/>
      <c r="AM22" s="157"/>
      <c r="AN22" s="157"/>
      <c r="AO22" s="157"/>
      <c r="AP22" s="157"/>
      <c r="AQ22" s="157"/>
      <c r="AR22" s="157"/>
      <c r="AS22" s="157"/>
      <c r="AT22" s="157"/>
      <c r="AU22" s="157"/>
      <c r="AV22" s="157"/>
      <c r="AW22" s="157"/>
      <c r="AX22" s="157"/>
      <c r="AY22" s="157"/>
      <c r="AZ22" s="157"/>
      <c r="BA22" s="157"/>
      <c r="BB22" s="157"/>
      <c r="BC22" s="157"/>
      <c r="BD22" s="157"/>
      <c r="BE22" s="157"/>
      <c r="BF22" s="157"/>
      <c r="BG22" s="157"/>
      <c r="BH22" s="157"/>
    </row>
    <row r="23" spans="1:60" s="2" customFormat="1" ht="19.5" thickBot="1">
      <c r="A23" s="1">
        <f t="shared" si="5"/>
        <v>16</v>
      </c>
      <c r="B23" s="15" t="s">
        <v>35</v>
      </c>
      <c r="C23" s="10"/>
      <c r="D23" s="11"/>
      <c r="E23" s="36"/>
      <c r="F23" s="36"/>
      <c r="G23" s="37"/>
      <c r="H23" s="38"/>
      <c r="I23" s="38">
        <f t="shared" si="0"/>
        <v>0</v>
      </c>
      <c r="J23" s="63">
        <f t="shared" si="0"/>
        <v>0</v>
      </c>
      <c r="K23" s="69"/>
      <c r="L23" s="36"/>
      <c r="M23" s="36"/>
      <c r="N23" s="36"/>
      <c r="O23" s="36"/>
      <c r="P23" s="36"/>
      <c r="Q23" s="99"/>
      <c r="R23" s="100">
        <f t="shared" si="1"/>
        <v>0</v>
      </c>
      <c r="S23" s="101">
        <f t="shared" si="1"/>
        <v>0</v>
      </c>
      <c r="T23" s="69"/>
      <c r="U23" s="8">
        <f t="shared" si="2"/>
        <v>0</v>
      </c>
      <c r="V23" s="135">
        <f t="shared" si="3"/>
        <v>0</v>
      </c>
      <c r="W23" s="134">
        <f t="shared" si="4"/>
        <v>0</v>
      </c>
      <c r="X23" s="61"/>
      <c r="Y23" s="3"/>
      <c r="AD23" s="3"/>
      <c r="AG23" s="3"/>
      <c r="AH23" s="3"/>
      <c r="AI23" s="3"/>
      <c r="AJ23" s="3"/>
      <c r="AK23" s="3"/>
      <c r="AL23" s="157"/>
      <c r="AM23" s="157"/>
      <c r="AN23" s="157"/>
      <c r="AO23" s="157"/>
      <c r="AP23" s="157"/>
      <c r="AQ23" s="157"/>
      <c r="AR23" s="157"/>
      <c r="AS23" s="157"/>
      <c r="AT23" s="157"/>
      <c r="AU23" s="157"/>
      <c r="AV23" s="157"/>
      <c r="AW23" s="157"/>
      <c r="AX23" s="157"/>
      <c r="AY23" s="157"/>
      <c r="AZ23" s="157"/>
      <c r="BA23" s="157"/>
      <c r="BB23" s="157"/>
      <c r="BC23" s="157"/>
      <c r="BD23" s="157"/>
      <c r="BE23" s="157"/>
      <c r="BF23" s="157"/>
      <c r="BG23" s="157"/>
      <c r="BH23" s="157"/>
    </row>
    <row r="24" spans="1:60" s="2" customFormat="1" ht="19.5" thickBot="1">
      <c r="A24" s="1">
        <f t="shared" si="5"/>
        <v>17</v>
      </c>
      <c r="B24" s="15" t="s">
        <v>36</v>
      </c>
      <c r="C24" s="10"/>
      <c r="D24" s="11"/>
      <c r="E24" s="36"/>
      <c r="F24" s="36"/>
      <c r="G24" s="37"/>
      <c r="H24" s="38"/>
      <c r="I24" s="38">
        <f t="shared" si="0"/>
        <v>0</v>
      </c>
      <c r="J24" s="63">
        <f t="shared" si="0"/>
        <v>0</v>
      </c>
      <c r="K24" s="69"/>
      <c r="L24" s="36"/>
      <c r="M24" s="36"/>
      <c r="N24" s="36"/>
      <c r="O24" s="36"/>
      <c r="P24" s="36"/>
      <c r="Q24" s="99"/>
      <c r="R24" s="100">
        <f t="shared" si="1"/>
        <v>0</v>
      </c>
      <c r="S24" s="101">
        <f t="shared" si="1"/>
        <v>0</v>
      </c>
      <c r="T24" s="69"/>
      <c r="U24" s="8">
        <f t="shared" si="2"/>
        <v>0</v>
      </c>
      <c r="V24" s="135">
        <f t="shared" si="3"/>
        <v>0</v>
      </c>
      <c r="W24" s="134">
        <f t="shared" si="4"/>
        <v>0</v>
      </c>
      <c r="X24" s="61"/>
      <c r="Y24" s="3"/>
      <c r="AD24" s="3"/>
      <c r="AG24" s="3"/>
      <c r="AH24" s="3"/>
      <c r="AI24" s="3"/>
      <c r="AJ24" s="3"/>
      <c r="AK24" s="3"/>
      <c r="AL24" s="157"/>
      <c r="AM24" s="157"/>
      <c r="AN24" s="157"/>
      <c r="AO24" s="157"/>
      <c r="AP24" s="157"/>
      <c r="AQ24" s="157"/>
      <c r="AR24" s="157"/>
      <c r="AS24" s="157"/>
      <c r="AT24" s="157"/>
      <c r="AU24" s="157"/>
      <c r="AV24" s="157"/>
      <c r="AW24" s="157"/>
      <c r="AX24" s="157"/>
      <c r="AY24" s="157"/>
      <c r="AZ24" s="157"/>
      <c r="BA24" s="157"/>
      <c r="BB24" s="157"/>
      <c r="BC24" s="157"/>
      <c r="BD24" s="157"/>
      <c r="BE24" s="157"/>
      <c r="BF24" s="157"/>
      <c r="BG24" s="157"/>
      <c r="BH24" s="157"/>
    </row>
    <row r="25" spans="1:60" ht="19.5" thickBot="1">
      <c r="A25" s="1">
        <f t="shared" si="5"/>
        <v>18</v>
      </c>
      <c r="B25" s="15" t="s">
        <v>37</v>
      </c>
      <c r="C25" s="10"/>
      <c r="D25" s="11"/>
      <c r="E25" s="36"/>
      <c r="F25" s="36"/>
      <c r="G25" s="37"/>
      <c r="H25" s="38"/>
      <c r="I25" s="38">
        <f t="shared" si="0"/>
        <v>0</v>
      </c>
      <c r="J25" s="63">
        <f t="shared" si="0"/>
        <v>0</v>
      </c>
      <c r="K25" s="62"/>
      <c r="L25" s="36"/>
      <c r="M25" s="36"/>
      <c r="N25" s="36"/>
      <c r="O25" s="36"/>
      <c r="P25" s="36"/>
      <c r="Q25" s="99"/>
      <c r="R25" s="100">
        <f t="shared" si="1"/>
        <v>0</v>
      </c>
      <c r="S25" s="101">
        <f t="shared" si="1"/>
        <v>0</v>
      </c>
      <c r="T25" s="62"/>
      <c r="U25" s="8">
        <f t="shared" si="2"/>
        <v>0</v>
      </c>
      <c r="V25" s="135">
        <f t="shared" si="3"/>
        <v>0</v>
      </c>
      <c r="W25" s="134">
        <f t="shared" si="4"/>
        <v>0</v>
      </c>
      <c r="X25" s="61"/>
      <c r="AL25" s="157"/>
      <c r="AM25" s="157"/>
      <c r="AN25" s="157"/>
      <c r="AO25" s="157"/>
      <c r="AP25" s="157"/>
      <c r="AQ25" s="157"/>
      <c r="AR25" s="157"/>
      <c r="AS25" s="157"/>
      <c r="AT25" s="157"/>
      <c r="AU25" s="157"/>
      <c r="AV25" s="157"/>
      <c r="AW25" s="157"/>
      <c r="AX25" s="157"/>
      <c r="AY25" s="157"/>
      <c r="AZ25" s="157"/>
      <c r="BA25" s="157"/>
      <c r="BB25" s="157"/>
      <c r="BC25" s="157"/>
      <c r="BD25" s="157"/>
      <c r="BE25" s="157"/>
      <c r="BF25" s="157"/>
      <c r="BG25" s="157"/>
      <c r="BH25" s="157"/>
    </row>
    <row r="26" spans="1:60" ht="19.5" thickBot="1">
      <c r="A26" s="1">
        <f t="shared" si="5"/>
        <v>19</v>
      </c>
      <c r="B26" s="15" t="s">
        <v>38</v>
      </c>
      <c r="C26" s="10"/>
      <c r="D26" s="11"/>
      <c r="E26" s="36"/>
      <c r="F26" s="36"/>
      <c r="G26" s="37"/>
      <c r="H26" s="38"/>
      <c r="I26" s="38">
        <f t="shared" si="0"/>
        <v>0</v>
      </c>
      <c r="J26" s="63">
        <f t="shared" si="0"/>
        <v>0</v>
      </c>
      <c r="K26" s="62"/>
      <c r="L26" s="36"/>
      <c r="M26" s="36"/>
      <c r="N26" s="36"/>
      <c r="O26" s="36"/>
      <c r="P26" s="36"/>
      <c r="Q26" s="99"/>
      <c r="R26" s="100">
        <f t="shared" si="1"/>
        <v>0</v>
      </c>
      <c r="S26" s="101">
        <f t="shared" si="1"/>
        <v>0</v>
      </c>
      <c r="T26" s="62"/>
      <c r="U26" s="8">
        <f t="shared" si="2"/>
        <v>0</v>
      </c>
      <c r="V26" s="135">
        <f t="shared" si="3"/>
        <v>0</v>
      </c>
      <c r="W26" s="134">
        <f t="shared" si="4"/>
        <v>0</v>
      </c>
      <c r="X26" s="61"/>
      <c r="BE26" s="158" t="e">
        <f>#REF!-BE25</f>
        <v>#REF!</v>
      </c>
    </row>
    <row r="27" spans="1:60" s="2" customFormat="1" ht="19.5" thickBot="1">
      <c r="A27" s="1">
        <f t="shared" si="5"/>
        <v>20</v>
      </c>
      <c r="B27" s="15" t="s">
        <v>39</v>
      </c>
      <c r="C27" s="10"/>
      <c r="D27" s="11"/>
      <c r="E27" s="36"/>
      <c r="F27" s="36"/>
      <c r="G27" s="37"/>
      <c r="H27" s="38"/>
      <c r="I27" s="38">
        <f t="shared" si="0"/>
        <v>0</v>
      </c>
      <c r="J27" s="63">
        <f t="shared" si="0"/>
        <v>0</v>
      </c>
      <c r="K27" s="69"/>
      <c r="L27" s="36"/>
      <c r="M27" s="36"/>
      <c r="N27" s="36"/>
      <c r="O27" s="36"/>
      <c r="P27" s="36"/>
      <c r="Q27" s="99"/>
      <c r="R27" s="100">
        <f t="shared" si="1"/>
        <v>0</v>
      </c>
      <c r="S27" s="101">
        <f t="shared" si="1"/>
        <v>0</v>
      </c>
      <c r="T27" s="69"/>
      <c r="U27" s="8">
        <f t="shared" si="2"/>
        <v>0</v>
      </c>
      <c r="V27" s="135">
        <f t="shared" si="3"/>
        <v>0</v>
      </c>
      <c r="W27" s="134">
        <f t="shared" si="4"/>
        <v>0</v>
      </c>
      <c r="X27" s="61"/>
      <c r="Y27" s="3"/>
      <c r="AD27" s="3"/>
      <c r="AG27" s="3"/>
      <c r="AH27" s="3"/>
      <c r="AI27" s="3"/>
      <c r="AJ27" s="3"/>
      <c r="AK27" s="3"/>
    </row>
    <row r="28" spans="1:60" s="2" customFormat="1" ht="19.5" thickBot="1">
      <c r="A28" s="1">
        <f t="shared" si="5"/>
        <v>21</v>
      </c>
      <c r="B28" s="15" t="s">
        <v>40</v>
      </c>
      <c r="C28" s="10"/>
      <c r="D28" s="11"/>
      <c r="E28" s="36"/>
      <c r="F28" s="36"/>
      <c r="G28" s="37"/>
      <c r="H28" s="38"/>
      <c r="I28" s="38">
        <f t="shared" si="0"/>
        <v>0</v>
      </c>
      <c r="J28" s="63">
        <f t="shared" si="0"/>
        <v>0</v>
      </c>
      <c r="K28" s="69"/>
      <c r="L28" s="36"/>
      <c r="M28" s="36"/>
      <c r="N28" s="36"/>
      <c r="O28" s="36"/>
      <c r="P28" s="36"/>
      <c r="Q28" s="99"/>
      <c r="R28" s="100">
        <f t="shared" si="1"/>
        <v>0</v>
      </c>
      <c r="S28" s="101">
        <f t="shared" si="1"/>
        <v>0</v>
      </c>
      <c r="T28" s="69"/>
      <c r="U28" s="8">
        <f t="shared" si="2"/>
        <v>0</v>
      </c>
      <c r="V28" s="135">
        <f t="shared" si="3"/>
        <v>0</v>
      </c>
      <c r="W28" s="134">
        <f t="shared" si="4"/>
        <v>0</v>
      </c>
      <c r="X28" s="61"/>
      <c r="Y28" s="3"/>
      <c r="AD28" s="3"/>
      <c r="AG28" s="3"/>
      <c r="AH28" s="3"/>
      <c r="AI28" s="3"/>
      <c r="AJ28" s="3"/>
      <c r="AK28" s="3"/>
    </row>
    <row r="29" spans="1:60" s="2" customFormat="1" ht="19.5" thickBot="1">
      <c r="A29" s="1">
        <f t="shared" si="5"/>
        <v>22</v>
      </c>
      <c r="B29" s="15" t="s">
        <v>41</v>
      </c>
      <c r="C29" s="10"/>
      <c r="D29" s="11"/>
      <c r="E29" s="36"/>
      <c r="F29" s="36"/>
      <c r="G29" s="37"/>
      <c r="H29" s="38"/>
      <c r="I29" s="38">
        <f t="shared" si="0"/>
        <v>0</v>
      </c>
      <c r="J29" s="63">
        <f t="shared" si="0"/>
        <v>0</v>
      </c>
      <c r="K29" s="69"/>
      <c r="L29" s="36"/>
      <c r="M29" s="36"/>
      <c r="N29" s="36"/>
      <c r="O29" s="36"/>
      <c r="P29" s="36"/>
      <c r="Q29" s="99"/>
      <c r="R29" s="100">
        <f t="shared" si="1"/>
        <v>0</v>
      </c>
      <c r="S29" s="101">
        <f t="shared" si="1"/>
        <v>0</v>
      </c>
      <c r="T29" s="69"/>
      <c r="U29" s="8">
        <f t="shared" si="2"/>
        <v>0</v>
      </c>
      <c r="V29" s="135">
        <f t="shared" si="3"/>
        <v>0</v>
      </c>
      <c r="W29" s="134">
        <f t="shared" si="4"/>
        <v>0</v>
      </c>
      <c r="X29" s="61"/>
      <c r="Y29" s="3"/>
      <c r="AD29" s="3"/>
      <c r="AG29" s="3"/>
      <c r="AH29" s="3"/>
      <c r="AI29" s="3"/>
      <c r="AJ29" s="3"/>
      <c r="AK29" s="3"/>
    </row>
    <row r="30" spans="1:60" ht="19.5" thickBot="1">
      <c r="A30" s="1">
        <f t="shared" si="5"/>
        <v>23</v>
      </c>
      <c r="B30" s="15" t="s">
        <v>42</v>
      </c>
      <c r="C30" s="10"/>
      <c r="D30" s="11"/>
      <c r="E30" s="36"/>
      <c r="F30" s="36"/>
      <c r="G30" s="37"/>
      <c r="H30" s="38"/>
      <c r="I30" s="38">
        <f t="shared" si="0"/>
        <v>0</v>
      </c>
      <c r="J30" s="63">
        <f t="shared" si="0"/>
        <v>0</v>
      </c>
      <c r="K30" s="62"/>
      <c r="L30" s="36"/>
      <c r="M30" s="36"/>
      <c r="N30" s="36"/>
      <c r="O30" s="36"/>
      <c r="P30" s="36"/>
      <c r="Q30" s="99"/>
      <c r="R30" s="100">
        <f t="shared" si="1"/>
        <v>0</v>
      </c>
      <c r="S30" s="101">
        <f t="shared" si="1"/>
        <v>0</v>
      </c>
      <c r="T30" s="62"/>
      <c r="U30" s="8">
        <f t="shared" si="2"/>
        <v>0</v>
      </c>
      <c r="V30" s="135">
        <f t="shared" si="3"/>
        <v>0</v>
      </c>
      <c r="W30" s="134">
        <f t="shared" si="4"/>
        <v>0</v>
      </c>
      <c r="X30" s="61"/>
    </row>
    <row r="31" spans="1:60" ht="19.5" thickBot="1">
      <c r="A31" s="1">
        <f t="shared" si="5"/>
        <v>24</v>
      </c>
      <c r="B31" s="15" t="s">
        <v>43</v>
      </c>
      <c r="C31" s="10"/>
      <c r="D31" s="11"/>
      <c r="E31" s="36"/>
      <c r="F31" s="36"/>
      <c r="G31" s="37"/>
      <c r="H31" s="38"/>
      <c r="I31" s="38">
        <f t="shared" si="0"/>
        <v>0</v>
      </c>
      <c r="J31" s="63">
        <f t="shared" si="0"/>
        <v>0</v>
      </c>
      <c r="K31" s="62"/>
      <c r="L31" s="36"/>
      <c r="M31" s="36"/>
      <c r="N31" s="36"/>
      <c r="O31" s="36"/>
      <c r="P31" s="36"/>
      <c r="Q31" s="99"/>
      <c r="R31" s="100">
        <f t="shared" si="1"/>
        <v>0</v>
      </c>
      <c r="S31" s="101">
        <f t="shared" si="1"/>
        <v>0</v>
      </c>
      <c r="T31" s="62"/>
      <c r="U31" s="8">
        <f t="shared" si="2"/>
        <v>0</v>
      </c>
      <c r="V31" s="135">
        <f t="shared" si="3"/>
        <v>0</v>
      </c>
      <c r="W31" s="134">
        <f t="shared" si="4"/>
        <v>0</v>
      </c>
      <c r="X31" s="61"/>
    </row>
    <row r="32" spans="1:60" ht="19.5" thickBot="1">
      <c r="A32" s="1">
        <f t="shared" si="5"/>
        <v>25</v>
      </c>
      <c r="B32" s="15" t="s">
        <v>44</v>
      </c>
      <c r="C32" s="10"/>
      <c r="D32" s="11"/>
      <c r="E32" s="36"/>
      <c r="F32" s="36"/>
      <c r="G32" s="37"/>
      <c r="H32" s="38"/>
      <c r="I32" s="38">
        <f t="shared" si="0"/>
        <v>0</v>
      </c>
      <c r="J32" s="63">
        <f t="shared" si="0"/>
        <v>0</v>
      </c>
      <c r="K32" s="62"/>
      <c r="L32" s="36"/>
      <c r="M32" s="36"/>
      <c r="N32" s="36"/>
      <c r="O32" s="36"/>
      <c r="P32" s="36"/>
      <c r="Q32" s="99"/>
      <c r="R32" s="100">
        <f t="shared" si="1"/>
        <v>0</v>
      </c>
      <c r="S32" s="101">
        <f t="shared" si="1"/>
        <v>0</v>
      </c>
      <c r="T32" s="62"/>
      <c r="U32" s="8">
        <f t="shared" si="2"/>
        <v>0</v>
      </c>
      <c r="V32" s="135">
        <f t="shared" si="3"/>
        <v>0</v>
      </c>
      <c r="W32" s="134">
        <f t="shared" si="4"/>
        <v>0</v>
      </c>
      <c r="X32" s="61"/>
    </row>
    <row r="33" spans="1:26" ht="19.5" thickBot="1">
      <c r="A33" s="1">
        <f t="shared" si="5"/>
        <v>26</v>
      </c>
      <c r="B33" s="15" t="s">
        <v>45</v>
      </c>
      <c r="C33" s="10"/>
      <c r="D33" s="11"/>
      <c r="E33" s="36"/>
      <c r="F33" s="36"/>
      <c r="G33" s="37"/>
      <c r="H33" s="38"/>
      <c r="I33" s="38">
        <f t="shared" si="0"/>
        <v>0</v>
      </c>
      <c r="J33" s="63">
        <f t="shared" si="0"/>
        <v>0</v>
      </c>
      <c r="K33" s="62"/>
      <c r="L33" s="36"/>
      <c r="M33" s="36"/>
      <c r="N33" s="36"/>
      <c r="O33" s="36"/>
      <c r="P33" s="36"/>
      <c r="Q33" s="99"/>
      <c r="R33" s="100">
        <f t="shared" si="1"/>
        <v>0</v>
      </c>
      <c r="S33" s="101">
        <f t="shared" si="1"/>
        <v>0</v>
      </c>
      <c r="T33" s="62"/>
      <c r="U33" s="8">
        <f t="shared" si="2"/>
        <v>0</v>
      </c>
      <c r="V33" s="135">
        <f t="shared" si="3"/>
        <v>0</v>
      </c>
      <c r="W33" s="134">
        <f t="shared" si="4"/>
        <v>0</v>
      </c>
      <c r="X33" s="61"/>
    </row>
    <row r="34" spans="1:26" ht="19.5" thickBot="1">
      <c r="A34" s="1">
        <f t="shared" si="5"/>
        <v>27</v>
      </c>
      <c r="B34" s="15" t="s">
        <v>46</v>
      </c>
      <c r="C34" s="10"/>
      <c r="D34" s="11"/>
      <c r="E34" s="36"/>
      <c r="F34" s="36"/>
      <c r="G34" s="37"/>
      <c r="H34" s="38"/>
      <c r="I34" s="38">
        <f t="shared" si="0"/>
        <v>0</v>
      </c>
      <c r="J34" s="63">
        <f t="shared" si="0"/>
        <v>0</v>
      </c>
      <c r="K34" s="62"/>
      <c r="L34" s="36"/>
      <c r="M34" s="36"/>
      <c r="N34" s="36"/>
      <c r="O34" s="36"/>
      <c r="P34" s="36"/>
      <c r="Q34" s="99"/>
      <c r="R34" s="100">
        <f t="shared" si="1"/>
        <v>0</v>
      </c>
      <c r="S34" s="101">
        <f t="shared" si="1"/>
        <v>0</v>
      </c>
      <c r="T34" s="62"/>
      <c r="U34" s="8">
        <f t="shared" si="2"/>
        <v>0</v>
      </c>
      <c r="V34" s="135">
        <f t="shared" si="3"/>
        <v>0</v>
      </c>
      <c r="W34" s="134">
        <f t="shared" si="4"/>
        <v>0</v>
      </c>
      <c r="X34" s="61"/>
    </row>
    <row r="35" spans="1:26" ht="19.5" thickBot="1">
      <c r="A35" s="1">
        <f t="shared" si="5"/>
        <v>28</v>
      </c>
      <c r="B35" s="15" t="s">
        <v>47</v>
      </c>
      <c r="C35" s="10"/>
      <c r="D35" s="11"/>
      <c r="E35" s="36"/>
      <c r="F35" s="36"/>
      <c r="G35" s="37"/>
      <c r="H35" s="38"/>
      <c r="I35" s="38">
        <f t="shared" si="0"/>
        <v>0</v>
      </c>
      <c r="J35" s="63">
        <f t="shared" si="0"/>
        <v>0</v>
      </c>
      <c r="K35" s="62"/>
      <c r="L35" s="36"/>
      <c r="M35" s="36"/>
      <c r="N35" s="36"/>
      <c r="O35" s="36"/>
      <c r="P35" s="36"/>
      <c r="Q35" s="99"/>
      <c r="R35" s="100">
        <f t="shared" si="1"/>
        <v>0</v>
      </c>
      <c r="S35" s="101">
        <f t="shared" si="1"/>
        <v>0</v>
      </c>
      <c r="T35" s="62"/>
      <c r="U35" s="8">
        <f t="shared" si="2"/>
        <v>0</v>
      </c>
      <c r="V35" s="135">
        <f t="shared" si="3"/>
        <v>0</v>
      </c>
      <c r="W35" s="134">
        <f t="shared" si="4"/>
        <v>0</v>
      </c>
      <c r="X35" s="61"/>
    </row>
    <row r="36" spans="1:26" ht="18.75" hidden="1" customHeight="1">
      <c r="A36" s="1">
        <f t="shared" si="5"/>
        <v>29</v>
      </c>
      <c r="B36" s="15" t="s">
        <v>48</v>
      </c>
      <c r="C36" s="10"/>
      <c r="D36" s="11"/>
      <c r="E36" s="36"/>
      <c r="F36" s="36"/>
      <c r="G36" s="37"/>
      <c r="H36" s="38"/>
      <c r="I36" s="38">
        <f t="shared" si="0"/>
        <v>0</v>
      </c>
      <c r="J36" s="63">
        <f t="shared" si="0"/>
        <v>0</v>
      </c>
      <c r="K36" s="62"/>
      <c r="L36" s="36"/>
      <c r="M36" s="36"/>
      <c r="N36" s="36"/>
      <c r="O36" s="36"/>
      <c r="P36" s="36"/>
      <c r="Q36" s="99"/>
      <c r="R36" s="100">
        <f t="shared" si="1"/>
        <v>0</v>
      </c>
      <c r="S36" s="101">
        <f t="shared" si="1"/>
        <v>0</v>
      </c>
      <c r="T36" s="62"/>
      <c r="U36" s="8">
        <f t="shared" si="2"/>
        <v>0</v>
      </c>
      <c r="V36" s="135">
        <f t="shared" si="3"/>
        <v>0</v>
      </c>
      <c r="W36" s="134">
        <f t="shared" si="4"/>
        <v>0</v>
      </c>
      <c r="X36" s="61"/>
    </row>
    <row r="37" spans="1:26" ht="18.75" customHeight="1" thickBot="1">
      <c r="A37" s="1">
        <f t="shared" si="5"/>
        <v>30</v>
      </c>
      <c r="B37" s="15" t="s">
        <v>49</v>
      </c>
      <c r="C37" s="10"/>
      <c r="D37" s="11"/>
      <c r="E37" s="36"/>
      <c r="F37" s="36"/>
      <c r="G37" s="37"/>
      <c r="H37" s="38"/>
      <c r="I37" s="38">
        <f t="shared" si="0"/>
        <v>0</v>
      </c>
      <c r="J37" s="63">
        <f t="shared" si="0"/>
        <v>0</v>
      </c>
      <c r="K37" s="62"/>
      <c r="L37" s="36"/>
      <c r="M37" s="36"/>
      <c r="N37" s="36"/>
      <c r="O37" s="36"/>
      <c r="P37" s="36"/>
      <c r="Q37" s="99"/>
      <c r="R37" s="100">
        <f t="shared" si="1"/>
        <v>0</v>
      </c>
      <c r="S37" s="101">
        <f t="shared" si="1"/>
        <v>0</v>
      </c>
      <c r="T37" s="62"/>
      <c r="U37" s="8">
        <f t="shared" si="2"/>
        <v>0</v>
      </c>
      <c r="V37" s="135">
        <f t="shared" si="3"/>
        <v>0</v>
      </c>
      <c r="W37" s="134">
        <f t="shared" si="4"/>
        <v>0</v>
      </c>
      <c r="X37" s="61"/>
    </row>
    <row r="38" spans="1:26" ht="19.5" thickBot="1">
      <c r="A38" s="1">
        <f t="shared" si="5"/>
        <v>31</v>
      </c>
      <c r="B38" s="16" t="s">
        <v>50</v>
      </c>
      <c r="C38" s="13"/>
      <c r="D38" s="14"/>
      <c r="E38" s="39"/>
      <c r="F38" s="39"/>
      <c r="G38" s="40"/>
      <c r="H38" s="41"/>
      <c r="I38" s="53">
        <f t="shared" si="0"/>
        <v>0</v>
      </c>
      <c r="J38" s="70">
        <f t="shared" si="0"/>
        <v>0</v>
      </c>
      <c r="K38" s="65"/>
      <c r="L38" s="51"/>
      <c r="M38" s="51"/>
      <c r="N38" s="51"/>
      <c r="O38" s="51"/>
      <c r="P38" s="51"/>
      <c r="Q38" s="102"/>
      <c r="R38" s="107">
        <f t="shared" si="1"/>
        <v>0</v>
      </c>
      <c r="S38" s="104">
        <f t="shared" si="1"/>
        <v>0</v>
      </c>
      <c r="T38" s="65"/>
      <c r="U38" s="136">
        <f>L38*6+N38*6+P38*6</f>
        <v>0</v>
      </c>
      <c r="V38" s="141">
        <f>U38/6</f>
        <v>0</v>
      </c>
      <c r="W38" s="138">
        <f>I38*6+J38</f>
        <v>0</v>
      </c>
      <c r="X38" s="139"/>
    </row>
    <row r="39" spans="1:26" ht="19.5" thickBot="1">
      <c r="A39" s="1">
        <f t="shared" si="5"/>
        <v>32</v>
      </c>
      <c r="B39" s="7" t="s">
        <v>51</v>
      </c>
      <c r="C39" s="10"/>
      <c r="D39" s="11"/>
      <c r="E39" s="36"/>
      <c r="F39" s="36"/>
      <c r="G39" s="37"/>
      <c r="H39" s="38"/>
      <c r="I39" s="37">
        <f t="shared" si="0"/>
        <v>0</v>
      </c>
      <c r="J39" s="63">
        <f t="shared" si="0"/>
        <v>0</v>
      </c>
      <c r="K39" s="62"/>
      <c r="L39" s="36"/>
      <c r="M39" s="36"/>
      <c r="N39" s="36"/>
      <c r="O39" s="36"/>
      <c r="P39" s="36"/>
      <c r="Q39" s="99"/>
      <c r="R39" s="108">
        <f t="shared" si="1"/>
        <v>0</v>
      </c>
      <c r="S39" s="106">
        <f t="shared" si="1"/>
        <v>0</v>
      </c>
      <c r="T39" s="62"/>
      <c r="U39" s="8">
        <f t="shared" ref="U39:U41" si="6">L39*24+N39*24+P39*24</f>
        <v>0</v>
      </c>
      <c r="V39" s="33">
        <f t="shared" ref="V39:V41" si="7">U39/24</f>
        <v>0</v>
      </c>
      <c r="W39" s="134">
        <f t="shared" ref="W39:W41" si="8">I39*24+J39</f>
        <v>0</v>
      </c>
      <c r="X39" s="61"/>
    </row>
    <row r="40" spans="1:26" ht="19.5" thickBot="1">
      <c r="A40" s="1">
        <f t="shared" si="5"/>
        <v>33</v>
      </c>
      <c r="B40" s="17" t="s">
        <v>52</v>
      </c>
      <c r="C40" s="18"/>
      <c r="D40" s="19"/>
      <c r="E40" s="42"/>
      <c r="F40" s="42"/>
      <c r="G40" s="43"/>
      <c r="H40" s="44"/>
      <c r="I40" s="38">
        <f t="shared" si="0"/>
        <v>0</v>
      </c>
      <c r="J40" s="63">
        <f t="shared" si="0"/>
        <v>0</v>
      </c>
      <c r="K40" s="62"/>
      <c r="L40" s="36"/>
      <c r="M40" s="36"/>
      <c r="N40" s="36"/>
      <c r="O40" s="36"/>
      <c r="P40" s="36"/>
      <c r="Q40" s="99"/>
      <c r="R40" s="100">
        <f t="shared" si="1"/>
        <v>0</v>
      </c>
      <c r="S40" s="101">
        <f t="shared" si="1"/>
        <v>0</v>
      </c>
      <c r="T40" s="62"/>
      <c r="U40" s="142">
        <f t="shared" si="6"/>
        <v>0</v>
      </c>
      <c r="V40" s="135">
        <f t="shared" si="7"/>
        <v>0</v>
      </c>
      <c r="W40" s="143">
        <f t="shared" si="8"/>
        <v>0</v>
      </c>
      <c r="X40" s="144"/>
    </row>
    <row r="41" spans="1:26" ht="19.5" thickBot="1">
      <c r="A41" s="1">
        <f t="shared" si="5"/>
        <v>34</v>
      </c>
      <c r="B41" s="20" t="s">
        <v>53</v>
      </c>
      <c r="C41" s="21"/>
      <c r="D41" s="22"/>
      <c r="E41" s="45"/>
      <c r="F41" s="45"/>
      <c r="G41" s="46"/>
      <c r="H41" s="47"/>
      <c r="I41" s="71">
        <f t="shared" si="0"/>
        <v>0</v>
      </c>
      <c r="J41" s="72">
        <f t="shared" si="0"/>
        <v>0</v>
      </c>
      <c r="K41" s="73"/>
      <c r="L41" s="74"/>
      <c r="M41" s="74"/>
      <c r="N41" s="74"/>
      <c r="O41" s="74"/>
      <c r="P41" s="74"/>
      <c r="Q41" s="109"/>
      <c r="R41" s="110">
        <f t="shared" si="1"/>
        <v>0</v>
      </c>
      <c r="S41" s="111">
        <f t="shared" si="1"/>
        <v>0</v>
      </c>
      <c r="T41" s="73"/>
      <c r="U41" s="145">
        <f t="shared" si="6"/>
        <v>0</v>
      </c>
      <c r="V41" s="146">
        <f t="shared" si="7"/>
        <v>0</v>
      </c>
      <c r="W41" s="146">
        <f t="shared" si="8"/>
        <v>0</v>
      </c>
      <c r="X41" s="147"/>
    </row>
    <row r="42" spans="1:26" ht="19.5" thickBot="1">
      <c r="A42" s="1">
        <f t="shared" si="5"/>
        <v>35</v>
      </c>
      <c r="B42" s="23" t="s">
        <v>54</v>
      </c>
      <c r="C42" s="24"/>
      <c r="D42" s="25"/>
      <c r="E42" s="48"/>
      <c r="F42" s="48"/>
      <c r="G42" s="49"/>
      <c r="H42" s="50"/>
      <c r="I42" s="49">
        <f t="shared" si="0"/>
        <v>0</v>
      </c>
      <c r="J42" s="75">
        <f t="shared" si="0"/>
        <v>0</v>
      </c>
      <c r="K42" s="76"/>
      <c r="L42" s="48"/>
      <c r="M42" s="48"/>
      <c r="N42" s="48"/>
      <c r="O42" s="48"/>
      <c r="P42" s="48"/>
      <c r="Q42" s="112"/>
      <c r="R42" s="113">
        <f t="shared" si="1"/>
        <v>0</v>
      </c>
      <c r="S42" s="114">
        <f t="shared" si="1"/>
        <v>0</v>
      </c>
      <c r="T42" s="76"/>
      <c r="U42" s="148">
        <f>L42*12+N42*12+P42*12</f>
        <v>0</v>
      </c>
      <c r="V42" s="149">
        <f>U42/12</f>
        <v>0</v>
      </c>
      <c r="W42" s="150">
        <f>I42*12+J42</f>
        <v>0</v>
      </c>
      <c r="X42" s="151"/>
    </row>
    <row r="43" spans="1:26" ht="18.75" hidden="1" customHeight="1">
      <c r="A43" s="1">
        <f t="shared" si="5"/>
        <v>36</v>
      </c>
      <c r="B43" s="7" t="s">
        <v>55</v>
      </c>
      <c r="C43" s="10"/>
      <c r="D43" s="11"/>
      <c r="E43" s="36"/>
      <c r="F43" s="36"/>
      <c r="G43" s="37"/>
      <c r="H43" s="38"/>
      <c r="I43" s="38">
        <f t="shared" si="0"/>
        <v>0</v>
      </c>
      <c r="J43" s="64">
        <f t="shared" si="0"/>
        <v>0</v>
      </c>
      <c r="K43" s="62"/>
      <c r="L43" s="36"/>
      <c r="M43" s="36"/>
      <c r="N43" s="36"/>
      <c r="O43" s="36"/>
      <c r="P43" s="36"/>
      <c r="Q43" s="99"/>
      <c r="R43" s="115">
        <f t="shared" si="1"/>
        <v>0</v>
      </c>
      <c r="S43" s="116">
        <f t="shared" si="1"/>
        <v>0</v>
      </c>
      <c r="T43" s="62"/>
      <c r="U43" s="8"/>
      <c r="V43" s="33"/>
      <c r="W43" s="134"/>
      <c r="X43" s="61"/>
    </row>
    <row r="44" spans="1:26" ht="19.5" thickBot="1">
      <c r="A44" s="1">
        <f t="shared" si="5"/>
        <v>37</v>
      </c>
      <c r="B44" s="12" t="s">
        <v>56</v>
      </c>
      <c r="C44" s="13"/>
      <c r="D44" s="14"/>
      <c r="E44" s="39"/>
      <c r="F44" s="39"/>
      <c r="G44" s="40"/>
      <c r="H44" s="41"/>
      <c r="I44" s="38">
        <f>C44+E44-G44</f>
        <v>0</v>
      </c>
      <c r="J44" s="77">
        <f t="shared" ref="J44:J59" si="9">D44-H44</f>
        <v>0</v>
      </c>
      <c r="K44" s="65"/>
      <c r="L44" s="51"/>
      <c r="M44" s="51"/>
      <c r="N44" s="51"/>
      <c r="O44" s="51"/>
      <c r="P44" s="51"/>
      <c r="Q44" s="102"/>
      <c r="R44" s="117">
        <f t="shared" si="1"/>
        <v>0</v>
      </c>
      <c r="S44" s="118">
        <f t="shared" si="1"/>
        <v>0</v>
      </c>
      <c r="T44" s="65"/>
      <c r="U44" s="136">
        <f>L44*6+N44*6+P44*6</f>
        <v>0</v>
      </c>
      <c r="V44" s="135">
        <f>U44/6</f>
        <v>0</v>
      </c>
      <c r="W44" s="138">
        <f>I44*6+J44</f>
        <v>0</v>
      </c>
      <c r="X44" s="139"/>
      <c r="Z44" s="155"/>
    </row>
    <row r="45" spans="1:26" ht="18.75" hidden="1" customHeight="1">
      <c r="A45" s="1">
        <f t="shared" si="5"/>
        <v>38</v>
      </c>
      <c r="B45" s="7" t="s">
        <v>57</v>
      </c>
      <c r="C45" s="10"/>
      <c r="D45" s="11"/>
      <c r="E45" s="36"/>
      <c r="F45" s="36"/>
      <c r="G45" s="37"/>
      <c r="H45" s="38"/>
      <c r="I45" s="44">
        <f t="shared" ref="I45:I59" si="10">C45-G45</f>
        <v>0</v>
      </c>
      <c r="J45" s="63">
        <f t="shared" si="9"/>
        <v>0</v>
      </c>
      <c r="K45" s="62"/>
      <c r="L45" s="36"/>
      <c r="M45" s="36"/>
      <c r="N45" s="36"/>
      <c r="O45" s="36"/>
      <c r="P45" s="36"/>
      <c r="Q45" s="99"/>
      <c r="R45" s="108">
        <f t="shared" si="1"/>
        <v>0</v>
      </c>
      <c r="S45" s="116">
        <f t="shared" si="1"/>
        <v>0</v>
      </c>
      <c r="T45" s="62"/>
      <c r="U45" s="8"/>
      <c r="V45" s="137"/>
      <c r="W45" s="134"/>
      <c r="X45" s="61"/>
    </row>
    <row r="46" spans="1:26" ht="19.5" thickBot="1">
      <c r="A46" s="1">
        <f t="shared" si="5"/>
        <v>39</v>
      </c>
      <c r="B46" s="15" t="s">
        <v>58</v>
      </c>
      <c r="C46" s="10"/>
      <c r="D46" s="11"/>
      <c r="E46" s="36"/>
      <c r="F46" s="36"/>
      <c r="G46" s="37"/>
      <c r="H46" s="38"/>
      <c r="I46" s="68">
        <f t="shared" si="10"/>
        <v>0</v>
      </c>
      <c r="J46" s="63">
        <f t="shared" si="9"/>
        <v>0</v>
      </c>
      <c r="K46" s="62"/>
      <c r="L46" s="36"/>
      <c r="M46" s="36"/>
      <c r="N46" s="36"/>
      <c r="O46" s="36"/>
      <c r="P46" s="36"/>
      <c r="Q46" s="99"/>
      <c r="R46" s="100">
        <f t="shared" si="1"/>
        <v>0</v>
      </c>
      <c r="S46" s="119">
        <f t="shared" si="1"/>
        <v>0</v>
      </c>
      <c r="T46" s="62"/>
      <c r="U46" s="8">
        <f t="shared" ref="U46:U51" si="11">L46*24+N46*24+P46*24</f>
        <v>0</v>
      </c>
      <c r="V46" s="140">
        <f t="shared" ref="V46:V51" si="12">U46/24</f>
        <v>0</v>
      </c>
      <c r="W46" s="134">
        <f t="shared" ref="W46:W51" si="13">I46*24+J46</f>
        <v>0</v>
      </c>
      <c r="X46" s="61"/>
    </row>
    <row r="47" spans="1:26" ht="19.5" thickBot="1">
      <c r="A47" s="1">
        <f t="shared" si="5"/>
        <v>40</v>
      </c>
      <c r="B47" s="15" t="s">
        <v>59</v>
      </c>
      <c r="C47" s="10"/>
      <c r="D47" s="11"/>
      <c r="E47" s="36"/>
      <c r="F47" s="36"/>
      <c r="G47" s="37"/>
      <c r="H47" s="38"/>
      <c r="I47" s="38">
        <f t="shared" si="10"/>
        <v>0</v>
      </c>
      <c r="J47" s="63">
        <f t="shared" si="9"/>
        <v>0</v>
      </c>
      <c r="K47" s="62"/>
      <c r="L47" s="36"/>
      <c r="M47" s="36"/>
      <c r="N47" s="36"/>
      <c r="O47" s="36"/>
      <c r="P47" s="36"/>
      <c r="Q47" s="99"/>
      <c r="R47" s="100">
        <f t="shared" si="1"/>
        <v>0</v>
      </c>
      <c r="S47" s="101">
        <f t="shared" si="1"/>
        <v>0</v>
      </c>
      <c r="T47" s="62"/>
      <c r="U47" s="8">
        <f t="shared" si="11"/>
        <v>0</v>
      </c>
      <c r="V47" s="135">
        <f t="shared" si="12"/>
        <v>0</v>
      </c>
      <c r="W47" s="134">
        <f t="shared" si="13"/>
        <v>0</v>
      </c>
      <c r="X47" s="61"/>
    </row>
    <row r="48" spans="1:26" ht="19.5" thickBot="1">
      <c r="A48" s="1">
        <f t="shared" si="5"/>
        <v>41</v>
      </c>
      <c r="B48" s="12" t="s">
        <v>48</v>
      </c>
      <c r="C48" s="26"/>
      <c r="D48" s="27"/>
      <c r="E48" s="51"/>
      <c r="F48" s="51"/>
      <c r="G48" s="52"/>
      <c r="H48" s="53"/>
      <c r="I48" s="53">
        <f t="shared" si="10"/>
        <v>0</v>
      </c>
      <c r="J48" s="70">
        <f t="shared" si="9"/>
        <v>0</v>
      </c>
      <c r="K48" s="65"/>
      <c r="L48" s="51"/>
      <c r="M48" s="51"/>
      <c r="N48" s="51"/>
      <c r="O48" s="51"/>
      <c r="P48" s="51"/>
      <c r="Q48" s="102"/>
      <c r="R48" s="107">
        <f t="shared" si="1"/>
        <v>0</v>
      </c>
      <c r="S48" s="120">
        <f t="shared" si="1"/>
        <v>0</v>
      </c>
      <c r="T48" s="65"/>
      <c r="U48" s="136">
        <f>L48*6+N48*6+P48*6</f>
        <v>0</v>
      </c>
      <c r="V48" s="141">
        <f>U48/6</f>
        <v>0</v>
      </c>
      <c r="W48" s="138">
        <f>I48*6+J48</f>
        <v>0</v>
      </c>
      <c r="X48" s="139"/>
    </row>
    <row r="49" spans="1:24" ht="19.5" thickBot="1">
      <c r="A49" s="1">
        <f t="shared" si="5"/>
        <v>42</v>
      </c>
      <c r="B49" s="7" t="s">
        <v>60</v>
      </c>
      <c r="C49" s="10"/>
      <c r="D49" s="11"/>
      <c r="E49" s="36"/>
      <c r="F49" s="36"/>
      <c r="G49" s="37"/>
      <c r="H49" s="38"/>
      <c r="I49" s="38">
        <f t="shared" si="10"/>
        <v>0</v>
      </c>
      <c r="J49" s="63">
        <f t="shared" si="9"/>
        <v>0</v>
      </c>
      <c r="K49" s="62"/>
      <c r="L49" s="36"/>
      <c r="M49" s="36"/>
      <c r="N49" s="36"/>
      <c r="O49" s="36"/>
      <c r="P49" s="36"/>
      <c r="Q49" s="99"/>
      <c r="R49" s="108">
        <f t="shared" si="1"/>
        <v>0</v>
      </c>
      <c r="S49" s="106">
        <f t="shared" si="1"/>
        <v>0</v>
      </c>
      <c r="T49" s="62"/>
      <c r="U49" s="8">
        <f t="shared" si="11"/>
        <v>0</v>
      </c>
      <c r="V49" s="33">
        <f t="shared" si="12"/>
        <v>0</v>
      </c>
      <c r="W49" s="134">
        <f t="shared" si="13"/>
        <v>0</v>
      </c>
      <c r="X49" s="61"/>
    </row>
    <row r="50" spans="1:24" ht="19.5" thickBot="1">
      <c r="A50" s="1">
        <f t="shared" si="5"/>
        <v>43</v>
      </c>
      <c r="B50" s="15" t="s">
        <v>61</v>
      </c>
      <c r="C50" s="10"/>
      <c r="D50" s="11"/>
      <c r="E50" s="36"/>
      <c r="F50" s="36"/>
      <c r="G50" s="37"/>
      <c r="H50" s="38"/>
      <c r="I50" s="38">
        <f t="shared" si="10"/>
        <v>0</v>
      </c>
      <c r="J50" s="63">
        <f t="shared" si="9"/>
        <v>0</v>
      </c>
      <c r="K50" s="62"/>
      <c r="L50" s="36"/>
      <c r="M50" s="36"/>
      <c r="N50" s="36"/>
      <c r="O50" s="36"/>
      <c r="P50" s="36"/>
      <c r="Q50" s="99"/>
      <c r="R50" s="100">
        <f t="shared" si="1"/>
        <v>0</v>
      </c>
      <c r="S50" s="101">
        <f t="shared" si="1"/>
        <v>0</v>
      </c>
      <c r="T50" s="62"/>
      <c r="U50" s="8">
        <f t="shared" si="11"/>
        <v>0</v>
      </c>
      <c r="V50" s="135">
        <f t="shared" si="12"/>
        <v>0</v>
      </c>
      <c r="W50" s="134">
        <f t="shared" si="13"/>
        <v>0</v>
      </c>
      <c r="X50" s="61"/>
    </row>
    <row r="51" spans="1:24" ht="19.5" thickBot="1">
      <c r="A51" s="1">
        <f t="shared" si="5"/>
        <v>44</v>
      </c>
      <c r="B51" s="15" t="s">
        <v>62</v>
      </c>
      <c r="C51" s="10"/>
      <c r="D51" s="11"/>
      <c r="E51" s="36"/>
      <c r="F51" s="36"/>
      <c r="G51" s="37"/>
      <c r="H51" s="38"/>
      <c r="I51" s="38">
        <f t="shared" si="10"/>
        <v>0</v>
      </c>
      <c r="J51" s="63">
        <f t="shared" si="9"/>
        <v>0</v>
      </c>
      <c r="K51" s="62"/>
      <c r="L51" s="36"/>
      <c r="M51" s="36"/>
      <c r="N51" s="36"/>
      <c r="O51" s="36"/>
      <c r="P51" s="36"/>
      <c r="Q51" s="99"/>
      <c r="R51" s="100">
        <f t="shared" si="1"/>
        <v>0</v>
      </c>
      <c r="S51" s="101">
        <f t="shared" si="1"/>
        <v>0</v>
      </c>
      <c r="T51" s="62"/>
      <c r="U51" s="8">
        <f t="shared" si="11"/>
        <v>0</v>
      </c>
      <c r="V51" s="135">
        <f t="shared" si="12"/>
        <v>0</v>
      </c>
      <c r="W51" s="134">
        <f t="shared" si="13"/>
        <v>0</v>
      </c>
      <c r="X51" s="61"/>
    </row>
    <row r="52" spans="1:24" ht="19.5" thickBot="1">
      <c r="A52" s="1">
        <f t="shared" si="5"/>
        <v>45</v>
      </c>
      <c r="B52" s="12" t="s">
        <v>63</v>
      </c>
      <c r="C52" s="26"/>
      <c r="D52" s="27"/>
      <c r="E52" s="51"/>
      <c r="F52" s="51"/>
      <c r="G52" s="52"/>
      <c r="H52" s="53"/>
      <c r="I52" s="53">
        <f t="shared" si="10"/>
        <v>0</v>
      </c>
      <c r="J52" s="70">
        <f t="shared" si="9"/>
        <v>0</v>
      </c>
      <c r="K52" s="65"/>
      <c r="L52" s="51"/>
      <c r="M52" s="51"/>
      <c r="N52" s="51"/>
      <c r="O52" s="51"/>
      <c r="P52" s="51"/>
      <c r="Q52" s="102"/>
      <c r="R52" s="107">
        <f t="shared" si="1"/>
        <v>0</v>
      </c>
      <c r="S52" s="120">
        <f t="shared" si="1"/>
        <v>0</v>
      </c>
      <c r="T52" s="65"/>
      <c r="U52" s="136">
        <f>L52*6+N52*6+P52*6</f>
        <v>0</v>
      </c>
      <c r="V52" s="141">
        <f>U52/6</f>
        <v>0</v>
      </c>
      <c r="W52" s="138">
        <f>I52*6+J52</f>
        <v>0</v>
      </c>
      <c r="X52" s="139"/>
    </row>
    <row r="53" spans="1:24" ht="19.5" thickBot="1">
      <c r="A53" s="1">
        <f t="shared" si="5"/>
        <v>46</v>
      </c>
      <c r="B53" s="7" t="s">
        <v>64</v>
      </c>
      <c r="C53" s="10"/>
      <c r="D53" s="11"/>
      <c r="E53" s="36"/>
      <c r="F53" s="36"/>
      <c r="G53" s="37"/>
      <c r="H53" s="38"/>
      <c r="I53" s="38">
        <f t="shared" si="10"/>
        <v>0</v>
      </c>
      <c r="J53" s="63">
        <f t="shared" si="9"/>
        <v>0</v>
      </c>
      <c r="K53" s="62"/>
      <c r="L53" s="36"/>
      <c r="M53" s="36"/>
      <c r="N53" s="36"/>
      <c r="O53" s="36"/>
      <c r="P53" s="36"/>
      <c r="Q53" s="99"/>
      <c r="R53" s="108">
        <f t="shared" si="1"/>
        <v>0</v>
      </c>
      <c r="S53" s="106">
        <f t="shared" si="1"/>
        <v>0</v>
      </c>
      <c r="T53" s="62"/>
      <c r="U53" s="8">
        <f>L53*24+N53*24+P53*24</f>
        <v>0</v>
      </c>
      <c r="V53" s="33">
        <f>U53/24</f>
        <v>0</v>
      </c>
      <c r="W53" s="134">
        <f>I53*24+J53</f>
        <v>0</v>
      </c>
      <c r="X53" s="61"/>
    </row>
    <row r="54" spans="1:24" ht="19.5" thickBot="1">
      <c r="A54" s="1">
        <f t="shared" si="5"/>
        <v>47</v>
      </c>
      <c r="B54" s="15" t="s">
        <v>65</v>
      </c>
      <c r="C54" s="10"/>
      <c r="D54" s="11"/>
      <c r="E54" s="36"/>
      <c r="F54" s="36"/>
      <c r="G54" s="37"/>
      <c r="H54" s="38"/>
      <c r="I54" s="38">
        <f t="shared" si="10"/>
        <v>0</v>
      </c>
      <c r="J54" s="63">
        <f t="shared" si="9"/>
        <v>0</v>
      </c>
      <c r="K54" s="62"/>
      <c r="L54" s="36"/>
      <c r="M54" s="36"/>
      <c r="N54" s="36"/>
      <c r="O54" s="36"/>
      <c r="P54" s="36"/>
      <c r="Q54" s="99"/>
      <c r="R54" s="100">
        <f t="shared" si="1"/>
        <v>0</v>
      </c>
      <c r="S54" s="101">
        <f t="shared" si="1"/>
        <v>0</v>
      </c>
      <c r="T54" s="62"/>
      <c r="U54" s="8">
        <f>L54*24+N54*24+P54*24</f>
        <v>0</v>
      </c>
      <c r="V54" s="135">
        <f>U54/24</f>
        <v>0</v>
      </c>
      <c r="W54" s="134">
        <f>I54*24+J54</f>
        <v>0</v>
      </c>
      <c r="X54" s="61"/>
    </row>
    <row r="55" spans="1:24" ht="19.5" thickBot="1">
      <c r="A55" s="1">
        <f t="shared" si="5"/>
        <v>48</v>
      </c>
      <c r="B55" s="15"/>
      <c r="C55" s="10"/>
      <c r="D55" s="11"/>
      <c r="E55" s="36"/>
      <c r="F55" s="36"/>
      <c r="G55" s="37"/>
      <c r="H55" s="38"/>
      <c r="I55" s="38">
        <f t="shared" si="10"/>
        <v>0</v>
      </c>
      <c r="J55" s="63">
        <f t="shared" si="9"/>
        <v>0</v>
      </c>
      <c r="K55" s="62"/>
      <c r="L55" s="36"/>
      <c r="M55" s="36"/>
      <c r="N55" s="36"/>
      <c r="O55" s="36"/>
      <c r="P55" s="36"/>
      <c r="Q55" s="99"/>
      <c r="R55" s="100">
        <f t="shared" si="1"/>
        <v>0</v>
      </c>
      <c r="S55" s="101">
        <f t="shared" si="1"/>
        <v>0</v>
      </c>
      <c r="T55" s="62"/>
      <c r="U55" s="8"/>
      <c r="V55" s="135"/>
      <c r="W55" s="134"/>
      <c r="X55" s="61"/>
    </row>
    <row r="56" spans="1:24" ht="19.5" thickBot="1">
      <c r="A56" s="1">
        <f t="shared" si="5"/>
        <v>49</v>
      </c>
      <c r="B56" s="15"/>
      <c r="C56" s="10"/>
      <c r="D56" s="11"/>
      <c r="E56" s="36"/>
      <c r="F56" s="36"/>
      <c r="G56" s="37"/>
      <c r="H56" s="38"/>
      <c r="I56" s="38">
        <f t="shared" si="10"/>
        <v>0</v>
      </c>
      <c r="J56" s="63">
        <f t="shared" si="9"/>
        <v>0</v>
      </c>
      <c r="K56" s="62"/>
      <c r="L56" s="36"/>
      <c r="M56" s="36"/>
      <c r="N56" s="36"/>
      <c r="O56" s="36"/>
      <c r="P56" s="36"/>
      <c r="Q56" s="99"/>
      <c r="R56" s="100">
        <f t="shared" si="1"/>
        <v>0</v>
      </c>
      <c r="S56" s="101">
        <f t="shared" si="1"/>
        <v>0</v>
      </c>
      <c r="T56" s="62"/>
      <c r="U56" s="8"/>
      <c r="V56" s="135"/>
      <c r="W56" s="134"/>
      <c r="X56" s="61"/>
    </row>
    <row r="57" spans="1:24" ht="19.5" thickBot="1">
      <c r="A57" s="1">
        <f t="shared" si="5"/>
        <v>50</v>
      </c>
      <c r="B57" s="15"/>
      <c r="C57" s="10"/>
      <c r="D57" s="11"/>
      <c r="E57" s="36"/>
      <c r="F57" s="36"/>
      <c r="G57" s="37"/>
      <c r="H57" s="38"/>
      <c r="I57" s="38">
        <f t="shared" si="10"/>
        <v>0</v>
      </c>
      <c r="J57" s="63">
        <f t="shared" si="9"/>
        <v>0</v>
      </c>
      <c r="K57" s="62"/>
      <c r="L57" s="36"/>
      <c r="M57" s="36"/>
      <c r="N57" s="36"/>
      <c r="O57" s="36"/>
      <c r="P57" s="36"/>
      <c r="Q57" s="99"/>
      <c r="R57" s="100">
        <f t="shared" si="1"/>
        <v>0</v>
      </c>
      <c r="S57" s="101">
        <f t="shared" si="1"/>
        <v>0</v>
      </c>
      <c r="T57" s="62"/>
      <c r="U57" s="8"/>
      <c r="V57" s="135"/>
      <c r="W57" s="134"/>
      <c r="X57" s="61"/>
    </row>
    <row r="58" spans="1:24" ht="19.5" thickBot="1">
      <c r="A58" s="1">
        <f t="shared" si="5"/>
        <v>51</v>
      </c>
      <c r="B58" s="15"/>
      <c r="C58" s="10"/>
      <c r="D58" s="11"/>
      <c r="E58" s="36"/>
      <c r="F58" s="36"/>
      <c r="G58" s="37"/>
      <c r="H58" s="38"/>
      <c r="I58" s="38">
        <f t="shared" si="10"/>
        <v>0</v>
      </c>
      <c r="J58" s="63">
        <f t="shared" si="9"/>
        <v>0</v>
      </c>
      <c r="K58" s="62"/>
      <c r="L58" s="36"/>
      <c r="M58" s="36"/>
      <c r="N58" s="36"/>
      <c r="O58" s="36"/>
      <c r="P58" s="36"/>
      <c r="Q58" s="99"/>
      <c r="R58" s="100">
        <f t="shared" si="1"/>
        <v>0</v>
      </c>
      <c r="S58" s="101">
        <f t="shared" si="1"/>
        <v>0</v>
      </c>
      <c r="T58" s="62"/>
      <c r="U58" s="8"/>
      <c r="V58" s="135"/>
      <c r="W58" s="134"/>
      <c r="X58" s="61"/>
    </row>
    <row r="59" spans="1:24" ht="19.5" thickBot="1">
      <c r="A59" s="1">
        <f t="shared" si="5"/>
        <v>52</v>
      </c>
      <c r="B59" s="15"/>
      <c r="C59" s="10"/>
      <c r="D59" s="11"/>
      <c r="E59" s="36"/>
      <c r="F59" s="36"/>
      <c r="G59" s="37"/>
      <c r="H59" s="38"/>
      <c r="I59" s="38">
        <f t="shared" si="10"/>
        <v>0</v>
      </c>
      <c r="J59" s="63">
        <f t="shared" si="9"/>
        <v>0</v>
      </c>
      <c r="K59" s="62"/>
      <c r="L59" s="36"/>
      <c r="M59" s="36"/>
      <c r="N59" s="36"/>
      <c r="O59" s="36"/>
      <c r="P59" s="36"/>
      <c r="Q59" s="99"/>
      <c r="R59" s="100">
        <f t="shared" si="1"/>
        <v>0</v>
      </c>
      <c r="S59" s="101">
        <f t="shared" si="1"/>
        <v>0</v>
      </c>
      <c r="T59" s="62"/>
      <c r="U59" s="8"/>
      <c r="V59" s="135"/>
      <c r="W59" s="134"/>
      <c r="X59" s="61"/>
    </row>
    <row r="60" spans="1:24" s="2" customFormat="1" ht="19.5" thickBot="1">
      <c r="B60" s="28" t="s">
        <v>15</v>
      </c>
      <c r="C60" s="29">
        <f t="shared" ref="C60:J60" si="14">SUM(C8:C59)</f>
        <v>0</v>
      </c>
      <c r="D60" s="30">
        <f t="shared" si="14"/>
        <v>0</v>
      </c>
      <c r="E60" s="54">
        <f t="shared" si="14"/>
        <v>0</v>
      </c>
      <c r="F60" s="54"/>
      <c r="G60" s="55">
        <f t="shared" si="14"/>
        <v>0</v>
      </c>
      <c r="H60" s="56">
        <f t="shared" si="14"/>
        <v>0</v>
      </c>
      <c r="I60" s="56">
        <f t="shared" si="14"/>
        <v>0</v>
      </c>
      <c r="J60" s="78">
        <f t="shared" si="14"/>
        <v>0</v>
      </c>
      <c r="L60" s="79">
        <f t="shared" ref="L60:S60" si="15">SUM(L8:L59)</f>
        <v>0</v>
      </c>
      <c r="M60" s="79">
        <f t="shared" si="15"/>
        <v>0</v>
      </c>
      <c r="N60" s="79">
        <f t="shared" si="15"/>
        <v>0</v>
      </c>
      <c r="O60" s="79">
        <f t="shared" si="15"/>
        <v>0</v>
      </c>
      <c r="P60" s="79">
        <f t="shared" si="15"/>
        <v>0</v>
      </c>
      <c r="Q60" s="121">
        <f t="shared" si="15"/>
        <v>0</v>
      </c>
      <c r="R60" s="122">
        <f t="shared" si="15"/>
        <v>0</v>
      </c>
      <c r="S60" s="123">
        <f t="shared" si="15"/>
        <v>0</v>
      </c>
      <c r="U60" s="29">
        <f t="shared" ref="U60:W60" si="16">SUM(U8:U59)</f>
        <v>0</v>
      </c>
      <c r="V60" s="152">
        <f t="shared" si="16"/>
        <v>0</v>
      </c>
      <c r="W60" s="153">
        <f t="shared" si="16"/>
        <v>0</v>
      </c>
      <c r="X60" s="78"/>
    </row>
    <row r="61" spans="1:24" ht="19.5" thickBot="1">
      <c r="V61" s="154"/>
    </row>
    <row r="62" spans="1:24" ht="18.75" customHeight="1">
      <c r="G62" s="197" t="s">
        <v>66</v>
      </c>
      <c r="H62" s="57"/>
      <c r="I62" s="57"/>
      <c r="J62" s="80" t="s">
        <v>67</v>
      </c>
      <c r="L62" s="81"/>
      <c r="M62" s="87"/>
      <c r="N62" s="88"/>
      <c r="O62" s="88"/>
      <c r="P62" s="88"/>
      <c r="Q62" s="124"/>
      <c r="R62" s="124"/>
      <c r="S62" s="125"/>
    </row>
    <row r="63" spans="1:24">
      <c r="G63" s="198"/>
      <c r="H63" s="58"/>
      <c r="I63" s="58"/>
      <c r="J63" s="82" t="s">
        <v>68</v>
      </c>
      <c r="L63" s="83"/>
      <c r="M63" s="89"/>
      <c r="N63" s="90"/>
      <c r="O63" s="90"/>
      <c r="P63" s="90"/>
      <c r="Q63" s="126"/>
      <c r="R63" s="126"/>
      <c r="S63" s="127"/>
    </row>
    <row r="64" spans="1:24">
      <c r="G64" s="199"/>
      <c r="H64" s="59"/>
      <c r="I64" s="59"/>
      <c r="J64" s="82" t="s">
        <v>69</v>
      </c>
      <c r="L64" s="84"/>
      <c r="M64" s="91"/>
      <c r="N64" s="92"/>
      <c r="O64" s="92"/>
      <c r="P64" s="92"/>
      <c r="Q64" s="128"/>
      <c r="R64" s="128"/>
      <c r="S64" s="129"/>
    </row>
    <row r="65" spans="2:24">
      <c r="G65" s="200" t="s">
        <v>70</v>
      </c>
      <c r="H65" s="164"/>
      <c r="I65" s="164"/>
      <c r="J65" s="82" t="s">
        <v>67</v>
      </c>
      <c r="L65" s="84"/>
      <c r="M65" s="91"/>
      <c r="N65" s="92"/>
      <c r="O65" s="92"/>
      <c r="P65" s="92"/>
      <c r="Q65" s="128"/>
      <c r="R65" s="128"/>
      <c r="S65" s="129"/>
    </row>
    <row r="66" spans="2:24">
      <c r="G66" s="200"/>
      <c r="H66" s="164"/>
      <c r="I66" s="164"/>
      <c r="J66" s="82" t="s">
        <v>68</v>
      </c>
      <c r="L66" s="83"/>
      <c r="M66" s="89"/>
      <c r="N66" s="90"/>
      <c r="O66" s="90"/>
      <c r="P66" s="90"/>
      <c r="Q66" s="126"/>
      <c r="R66" s="126"/>
      <c r="S66" s="127"/>
    </row>
    <row r="67" spans="2:24" ht="19.5" thickBot="1">
      <c r="G67" s="201"/>
      <c r="H67" s="165"/>
      <c r="I67" s="165"/>
      <c r="J67" s="167" t="s">
        <v>69</v>
      </c>
      <c r="L67" s="168"/>
      <c r="M67" s="170"/>
      <c r="N67" s="171"/>
      <c r="O67" s="171"/>
      <c r="P67" s="171"/>
      <c r="Q67" s="174"/>
      <c r="R67" s="174"/>
      <c r="S67" s="175"/>
    </row>
    <row r="69" spans="2:24" ht="49.5" customHeight="1" thickBot="1">
      <c r="B69" s="159" t="s">
        <v>71</v>
      </c>
      <c r="C69" s="5" t="s">
        <v>4</v>
      </c>
      <c r="D69" s="6"/>
      <c r="E69" s="166" t="s">
        <v>72</v>
      </c>
      <c r="L69" s="169" t="s">
        <v>12</v>
      </c>
      <c r="M69" s="172"/>
      <c r="N69" s="173" t="s">
        <v>13</v>
      </c>
      <c r="O69" s="173"/>
      <c r="P69" s="173" t="s">
        <v>14</v>
      </c>
      <c r="Q69" s="176"/>
      <c r="R69" s="176"/>
      <c r="S69" s="177" t="s">
        <v>73</v>
      </c>
      <c r="X69" s="178" t="s">
        <v>74</v>
      </c>
    </row>
    <row r="70" spans="2:24">
      <c r="B70" s="160" t="s">
        <v>47</v>
      </c>
      <c r="C70" s="161"/>
      <c r="D70" s="161"/>
      <c r="E70" s="163"/>
      <c r="L70" s="161"/>
      <c r="M70" s="161"/>
      <c r="N70" s="161"/>
      <c r="O70" s="161"/>
      <c r="P70" s="161"/>
      <c r="Q70" s="161"/>
      <c r="R70" s="161"/>
      <c r="S70" s="161"/>
      <c r="X70" s="163"/>
    </row>
    <row r="71" spans="2:24">
      <c r="B71" s="162" t="s">
        <v>75</v>
      </c>
      <c r="C71" s="161"/>
      <c r="D71" s="161"/>
      <c r="E71" s="163"/>
      <c r="L71" s="163"/>
      <c r="M71" s="163"/>
      <c r="N71" s="163"/>
      <c r="O71" s="163"/>
      <c r="P71" s="163"/>
      <c r="Q71" s="163"/>
      <c r="R71" s="163"/>
      <c r="S71" s="163"/>
      <c r="X71" s="163"/>
    </row>
    <row r="72" spans="2:24">
      <c r="B72" s="162" t="s">
        <v>76</v>
      </c>
      <c r="C72" s="161"/>
      <c r="D72" s="161"/>
      <c r="E72" s="163"/>
      <c r="L72" s="163"/>
      <c r="M72" s="163"/>
      <c r="N72" s="163"/>
      <c r="O72" s="163"/>
      <c r="P72" s="163"/>
      <c r="Q72" s="163"/>
      <c r="R72" s="163"/>
      <c r="S72" s="163"/>
      <c r="X72" s="163"/>
    </row>
    <row r="73" spans="2:24" ht="11.25" customHeight="1"/>
    <row r="74" spans="2:24">
      <c r="B74" s="162" t="s">
        <v>77</v>
      </c>
      <c r="C74" s="163"/>
      <c r="D74" s="163"/>
      <c r="E74" s="163"/>
      <c r="L74" s="163"/>
      <c r="M74" s="163"/>
      <c r="N74" s="163"/>
      <c r="O74" s="163"/>
      <c r="P74" s="163"/>
      <c r="Q74" s="163"/>
      <c r="R74" s="163"/>
      <c r="S74" s="163"/>
      <c r="X74" s="163"/>
    </row>
    <row r="75" spans="2:24">
      <c r="B75" s="162" t="s">
        <v>75</v>
      </c>
      <c r="C75" s="163"/>
      <c r="D75" s="163"/>
      <c r="E75" s="163"/>
      <c r="L75" s="163"/>
      <c r="M75" s="163"/>
      <c r="N75" s="163"/>
      <c r="O75" s="163"/>
      <c r="P75" s="163"/>
      <c r="Q75" s="163"/>
      <c r="R75" s="163"/>
      <c r="S75" s="163"/>
      <c r="X75" s="163"/>
    </row>
    <row r="76" spans="2:24">
      <c r="B76" s="162" t="s">
        <v>76</v>
      </c>
      <c r="C76" s="163"/>
      <c r="D76" s="163"/>
      <c r="E76" s="163"/>
      <c r="L76" s="163"/>
      <c r="M76" s="163"/>
      <c r="N76" s="163"/>
      <c r="O76" s="163"/>
      <c r="P76" s="163"/>
      <c r="Q76" s="163"/>
      <c r="R76" s="163"/>
      <c r="S76" s="163"/>
      <c r="X76" s="163"/>
    </row>
    <row r="77" spans="2:24" ht="11.25" customHeight="1"/>
    <row r="78" spans="2:24">
      <c r="B78" s="162" t="s">
        <v>78</v>
      </c>
      <c r="C78" s="163"/>
      <c r="D78" s="163"/>
      <c r="E78" s="163"/>
      <c r="L78" s="163"/>
      <c r="M78" s="163"/>
      <c r="N78" s="163"/>
      <c r="O78" s="163"/>
      <c r="P78" s="163"/>
      <c r="Q78" s="163"/>
      <c r="R78" s="163"/>
      <c r="S78" s="163"/>
      <c r="X78" s="163"/>
    </row>
    <row r="79" spans="2:24">
      <c r="B79" s="162" t="s">
        <v>75</v>
      </c>
      <c r="C79" s="163"/>
      <c r="D79" s="163"/>
      <c r="E79" s="163"/>
      <c r="L79" s="163"/>
      <c r="M79" s="163"/>
      <c r="N79" s="163"/>
      <c r="O79" s="163"/>
      <c r="P79" s="163"/>
      <c r="Q79" s="163"/>
      <c r="R79" s="163"/>
      <c r="S79" s="163"/>
      <c r="X79" s="163"/>
    </row>
    <row r="80" spans="2:24">
      <c r="B80" s="162" t="s">
        <v>76</v>
      </c>
      <c r="C80" s="163"/>
      <c r="D80" s="163"/>
      <c r="E80" s="163"/>
      <c r="L80" s="163"/>
      <c r="M80" s="163"/>
      <c r="N80" s="163"/>
      <c r="O80" s="163"/>
      <c r="P80" s="163"/>
      <c r="Q80" s="163"/>
      <c r="R80" s="163"/>
      <c r="S80" s="163"/>
      <c r="X80" s="163"/>
    </row>
    <row r="81" spans="2:24" ht="11.25" customHeight="1"/>
    <row r="82" spans="2:24">
      <c r="B82" s="162" t="s">
        <v>79</v>
      </c>
      <c r="C82" s="163"/>
      <c r="D82" s="163"/>
      <c r="E82" s="163"/>
      <c r="L82" s="163"/>
      <c r="M82" s="163"/>
      <c r="N82" s="163"/>
      <c r="O82" s="163"/>
      <c r="P82" s="163"/>
      <c r="Q82" s="163"/>
      <c r="R82" s="163"/>
      <c r="S82" s="163"/>
      <c r="X82" s="163"/>
    </row>
    <row r="83" spans="2:24">
      <c r="B83" s="162" t="s">
        <v>75</v>
      </c>
      <c r="C83" s="163"/>
      <c r="D83" s="163"/>
      <c r="E83" s="163"/>
      <c r="L83" s="163"/>
      <c r="M83" s="163"/>
      <c r="N83" s="163"/>
      <c r="O83" s="163"/>
      <c r="P83" s="163"/>
      <c r="Q83" s="163"/>
      <c r="R83" s="163"/>
      <c r="S83" s="163"/>
      <c r="X83" s="163"/>
    </row>
    <row r="84" spans="2:24">
      <c r="B84" s="162" t="s">
        <v>76</v>
      </c>
      <c r="C84" s="161"/>
      <c r="D84" s="161"/>
      <c r="E84" s="163"/>
      <c r="L84" s="163"/>
      <c r="M84" s="163"/>
      <c r="N84" s="163"/>
      <c r="O84" s="163"/>
      <c r="P84" s="163"/>
      <c r="Q84" s="163"/>
      <c r="R84" s="163"/>
      <c r="S84" s="163"/>
      <c r="X84" s="163"/>
    </row>
    <row r="85" spans="2:24" ht="11.25" customHeight="1"/>
    <row r="86" spans="2:24">
      <c r="B86" s="162" t="s">
        <v>80</v>
      </c>
      <c r="C86" s="163"/>
      <c r="D86" s="163"/>
      <c r="E86" s="163"/>
      <c r="L86" s="163"/>
      <c r="M86" s="163"/>
      <c r="N86" s="163"/>
      <c r="O86" s="163"/>
      <c r="P86" s="163"/>
      <c r="Q86" s="163"/>
      <c r="R86" s="163"/>
      <c r="S86" s="163"/>
      <c r="X86" s="163"/>
    </row>
    <row r="87" spans="2:24">
      <c r="B87" s="162" t="s">
        <v>75</v>
      </c>
      <c r="C87" s="163"/>
      <c r="D87" s="163"/>
      <c r="E87" s="163"/>
      <c r="L87" s="163"/>
      <c r="M87" s="163"/>
      <c r="N87" s="163"/>
      <c r="O87" s="163"/>
      <c r="P87" s="163"/>
      <c r="Q87" s="163"/>
      <c r="R87" s="163"/>
      <c r="S87" s="163"/>
      <c r="X87" s="163"/>
    </row>
    <row r="88" spans="2:24">
      <c r="B88" s="162" t="s">
        <v>76</v>
      </c>
      <c r="C88" s="163"/>
      <c r="D88" s="163"/>
      <c r="E88" s="163"/>
      <c r="L88" s="163"/>
      <c r="M88" s="163"/>
      <c r="N88" s="163"/>
      <c r="O88" s="163"/>
      <c r="P88" s="163"/>
      <c r="Q88" s="163"/>
      <c r="R88" s="163"/>
      <c r="S88" s="163"/>
      <c r="X88" s="163"/>
    </row>
    <row r="90" spans="2:24">
      <c r="B90" s="162" t="s">
        <v>81</v>
      </c>
      <c r="C90" s="163"/>
      <c r="D90" s="163"/>
      <c r="E90" s="163"/>
      <c r="L90" s="163"/>
      <c r="M90" s="163"/>
      <c r="N90" s="163"/>
      <c r="O90" s="163"/>
      <c r="P90" s="163"/>
      <c r="Q90" s="163"/>
      <c r="R90" s="163"/>
      <c r="S90" s="163"/>
      <c r="X90" s="163"/>
    </row>
  </sheetData>
  <mergeCells count="12">
    <mergeCell ref="G62:G64"/>
    <mergeCell ref="G65:G67"/>
    <mergeCell ref="P1:X1"/>
    <mergeCell ref="B4:B5"/>
    <mergeCell ref="C4:C5"/>
    <mergeCell ref="D4:D5"/>
    <mergeCell ref="E4:F4"/>
    <mergeCell ref="G4:G5"/>
    <mergeCell ref="H4:H5"/>
    <mergeCell ref="I4:I5"/>
    <mergeCell ref="J4:J5"/>
    <mergeCell ref="L4:X4"/>
  </mergeCells>
  <printOptions horizontalCentered="1" verticalCentered="1"/>
  <pageMargins left="0.196850393700787" right="0.196850393700787" top="0.196850393700787" bottom="0.196850393700787" header="0.511811023622047" footer="0.511811023622047"/>
  <pageSetup paperSize="9" scale="51" orientation="portrait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6D7D8-A876-4E16-B141-057B5630F864}">
  <sheetPr>
    <pageSetUpPr fitToPage="1"/>
  </sheetPr>
  <dimension ref="A1:BH90"/>
  <sheetViews>
    <sheetView zoomScaleNormal="100" zoomScaleSheetLayoutView="85" zoomScalePageLayoutView="80" workbookViewId="0">
      <selection activeCell="P1" sqref="P1:X1"/>
    </sheetView>
  </sheetViews>
  <sheetFormatPr defaultColWidth="9.140625" defaultRowHeight="18.75"/>
  <cols>
    <col min="1" max="1" width="5.42578125" style="3" customWidth="1"/>
    <col min="2" max="2" width="12.28515625" style="3" customWidth="1"/>
    <col min="3" max="3" width="12.7109375" style="3" customWidth="1"/>
    <col min="4" max="4" width="8.5703125" style="3" bestFit="1" customWidth="1"/>
    <col min="5" max="5" width="12.140625" style="3" customWidth="1"/>
    <col min="6" max="6" width="9.85546875" style="3" customWidth="1"/>
    <col min="7" max="7" width="11" style="3" customWidth="1"/>
    <col min="8" max="8" width="8" style="3" customWidth="1"/>
    <col min="9" max="9" width="14.7109375" style="3" customWidth="1"/>
    <col min="10" max="10" width="8.28515625" style="3" customWidth="1"/>
    <col min="11" max="11" width="1.28515625" style="3" customWidth="1"/>
    <col min="12" max="12" width="11" style="3" customWidth="1"/>
    <col min="13" max="13" width="7.85546875" style="3" customWidth="1"/>
    <col min="14" max="14" width="11" style="3" customWidth="1"/>
    <col min="15" max="15" width="6.5703125" style="3" customWidth="1"/>
    <col min="16" max="16" width="11" style="3" customWidth="1"/>
    <col min="17" max="17" width="6.5703125" style="3" customWidth="1"/>
    <col min="18" max="18" width="9.5703125" style="3" customWidth="1"/>
    <col min="19" max="19" width="8.140625" style="3" customWidth="1"/>
    <col min="20" max="20" width="1.28515625" style="3" customWidth="1"/>
    <col min="21" max="21" width="12.7109375" style="3" customWidth="1"/>
    <col min="22" max="22" width="12.7109375" style="3" hidden="1" customWidth="1"/>
    <col min="23" max="23" width="14.5703125" style="3" customWidth="1"/>
    <col min="24" max="24" width="11.5703125" style="3" customWidth="1"/>
    <col min="25" max="25" width="2" style="3" customWidth="1"/>
    <col min="26" max="26" width="10.5703125" style="3" customWidth="1"/>
    <col min="27" max="55" width="7.28515625" style="3" customWidth="1"/>
    <col min="56" max="56" width="1.5703125" style="3" customWidth="1"/>
    <col min="57" max="57" width="9.42578125" style="3" customWidth="1"/>
    <col min="58" max="58" width="1.28515625" style="3" customWidth="1"/>
    <col min="59" max="59" width="12.7109375" style="3" customWidth="1"/>
    <col min="60" max="60" width="10.28515625" style="3" customWidth="1"/>
    <col min="61" max="16384" width="9.140625" style="3"/>
  </cols>
  <sheetData>
    <row r="1" spans="1:60" ht="19.5" thickBot="1">
      <c r="B1" s="2" t="s">
        <v>0</v>
      </c>
      <c r="N1" s="3" t="s">
        <v>1</v>
      </c>
      <c r="P1" s="183">
        <v>46165</v>
      </c>
      <c r="Q1" s="184"/>
      <c r="R1" s="184"/>
      <c r="S1" s="184"/>
      <c r="T1" s="184"/>
      <c r="U1" s="184"/>
      <c r="V1" s="184"/>
      <c r="W1" s="184"/>
      <c r="X1" s="185"/>
    </row>
    <row r="2" spans="1:60" ht="15" customHeight="1">
      <c r="B2" s="2" t="s">
        <v>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4" spans="1:60" ht="19.5" customHeight="1" thickBot="1">
      <c r="A4" s="4"/>
      <c r="B4" s="192" t="s">
        <v>3</v>
      </c>
      <c r="C4" s="193" t="s">
        <v>4</v>
      </c>
      <c r="D4" s="194" t="s">
        <v>5</v>
      </c>
      <c r="E4" s="186" t="s">
        <v>6</v>
      </c>
      <c r="F4" s="187"/>
      <c r="G4" s="195" t="s">
        <v>7</v>
      </c>
      <c r="H4" s="202" t="s">
        <v>5</v>
      </c>
      <c r="I4" s="204" t="s">
        <v>8</v>
      </c>
      <c r="J4" s="202" t="s">
        <v>5</v>
      </c>
      <c r="L4" s="188" t="s">
        <v>9</v>
      </c>
      <c r="M4" s="189"/>
      <c r="N4" s="189"/>
      <c r="O4" s="189"/>
      <c r="P4" s="189"/>
      <c r="Q4" s="189"/>
      <c r="R4" s="189"/>
      <c r="S4" s="189"/>
      <c r="T4" s="189"/>
      <c r="U4" s="189"/>
      <c r="V4" s="190"/>
      <c r="W4" s="189"/>
      <c r="X4" s="191"/>
    </row>
    <row r="5" spans="1:60" s="1" customFormat="1" ht="57" thickBot="1">
      <c r="A5" s="4"/>
      <c r="B5" s="192"/>
      <c r="C5" s="193"/>
      <c r="D5" s="194"/>
      <c r="E5" s="31" t="s">
        <v>10</v>
      </c>
      <c r="F5" s="32" t="s">
        <v>11</v>
      </c>
      <c r="G5" s="196"/>
      <c r="H5" s="203"/>
      <c r="I5" s="205"/>
      <c r="J5" s="203"/>
      <c r="L5" s="60" t="s">
        <v>12</v>
      </c>
      <c r="M5" s="85" t="s">
        <v>5</v>
      </c>
      <c r="N5" s="86" t="s">
        <v>13</v>
      </c>
      <c r="O5" s="85" t="s">
        <v>5</v>
      </c>
      <c r="P5" s="86" t="s">
        <v>14</v>
      </c>
      <c r="Q5" s="85" t="s">
        <v>5</v>
      </c>
      <c r="R5" s="93" t="s">
        <v>15</v>
      </c>
      <c r="S5" s="94" t="s">
        <v>5</v>
      </c>
      <c r="T5" s="95"/>
      <c r="U5" s="130" t="s">
        <v>16</v>
      </c>
      <c r="V5" s="131" t="s">
        <v>17</v>
      </c>
      <c r="W5" s="132" t="s">
        <v>18</v>
      </c>
      <c r="X5" s="133" t="s">
        <v>19</v>
      </c>
      <c r="AL5" s="156"/>
      <c r="AM5" s="156"/>
      <c r="AN5" s="156"/>
      <c r="AO5" s="156"/>
      <c r="AP5" s="156"/>
      <c r="AQ5" s="156"/>
      <c r="AR5" s="156"/>
      <c r="AS5" s="156"/>
      <c r="AT5" s="156"/>
      <c r="AU5" s="156"/>
      <c r="AV5" s="156"/>
      <c r="AW5" s="156"/>
      <c r="AX5" s="156"/>
      <c r="AY5" s="156"/>
      <c r="AZ5" s="156"/>
      <c r="BA5" s="156"/>
      <c r="BB5" s="156"/>
      <c r="BC5" s="156"/>
      <c r="BD5" s="156"/>
      <c r="BE5" s="156"/>
      <c r="BF5" s="156"/>
      <c r="BG5" s="156"/>
      <c r="BH5" s="156"/>
    </row>
    <row r="6" spans="1:60" s="1" customFormat="1" ht="19.5" thickBot="1">
      <c r="B6" s="7"/>
      <c r="C6" s="8"/>
      <c r="D6" s="9"/>
      <c r="E6" s="33"/>
      <c r="F6" s="33"/>
      <c r="G6" s="34"/>
      <c r="H6" s="35"/>
      <c r="I6" s="35"/>
      <c r="J6" s="61"/>
      <c r="K6" s="62"/>
      <c r="L6" s="33"/>
      <c r="M6" s="33"/>
      <c r="N6" s="33"/>
      <c r="O6" s="33"/>
      <c r="P6" s="33"/>
      <c r="Q6" s="96"/>
      <c r="R6" s="97"/>
      <c r="S6" s="98"/>
      <c r="T6" s="62"/>
      <c r="U6" s="8"/>
      <c r="V6" s="33"/>
      <c r="W6" s="134"/>
      <c r="X6" s="61"/>
      <c r="AL6" s="156"/>
      <c r="AM6" s="156"/>
      <c r="AN6" s="156"/>
      <c r="AO6" s="156"/>
      <c r="AP6" s="156"/>
      <c r="AQ6" s="156"/>
      <c r="AR6" s="156"/>
      <c r="AS6" s="156"/>
      <c r="AT6" s="156"/>
      <c r="AU6" s="156"/>
      <c r="AV6" s="156"/>
      <c r="AW6" s="156"/>
      <c r="AX6" s="156"/>
      <c r="AY6" s="156"/>
      <c r="AZ6" s="156"/>
      <c r="BA6" s="156"/>
      <c r="BB6" s="156"/>
      <c r="BC6" s="156"/>
      <c r="BD6" s="156"/>
      <c r="BE6" s="156"/>
      <c r="BF6" s="156"/>
      <c r="BG6" s="156"/>
      <c r="BH6" s="156"/>
    </row>
    <row r="7" spans="1:60" s="1" customFormat="1" ht="19.5" thickBot="1">
      <c r="B7" s="7"/>
      <c r="C7" s="8"/>
      <c r="D7" s="9"/>
      <c r="E7" s="33"/>
      <c r="F7" s="33"/>
      <c r="G7" s="34"/>
      <c r="H7" s="35"/>
      <c r="I7" s="35"/>
      <c r="J7" s="61"/>
      <c r="K7" s="62"/>
      <c r="L7" s="33"/>
      <c r="M7" s="33"/>
      <c r="N7" s="33"/>
      <c r="O7" s="33"/>
      <c r="P7" s="33"/>
      <c r="Q7" s="96"/>
      <c r="R7" s="97"/>
      <c r="S7" s="98"/>
      <c r="T7" s="62"/>
      <c r="U7" s="8"/>
      <c r="V7" s="135"/>
      <c r="W7" s="134"/>
      <c r="X7" s="61"/>
      <c r="AL7" s="156"/>
      <c r="AM7" s="156"/>
      <c r="AN7" s="156"/>
      <c r="AO7" s="156"/>
      <c r="AP7" s="156"/>
      <c r="AQ7" s="156"/>
      <c r="AR7" s="156"/>
      <c r="AS7" s="156"/>
      <c r="AT7" s="156"/>
      <c r="AU7" s="156"/>
      <c r="AV7" s="156"/>
      <c r="AW7" s="156"/>
      <c r="AX7" s="156"/>
      <c r="AY7" s="156"/>
      <c r="AZ7" s="156"/>
      <c r="BA7" s="156"/>
      <c r="BB7" s="156"/>
      <c r="BC7" s="156"/>
      <c r="BD7" s="156"/>
      <c r="BE7" s="156"/>
      <c r="BF7" s="156"/>
      <c r="BG7" s="156"/>
      <c r="BH7" s="156"/>
    </row>
    <row r="8" spans="1:60" ht="19.5" thickBot="1">
      <c r="A8" s="1">
        <v>1</v>
      </c>
      <c r="B8" s="7" t="s">
        <v>20</v>
      </c>
      <c r="C8" s="10">
        <v>6</v>
      </c>
      <c r="D8" s="11">
        <v>7</v>
      </c>
      <c r="E8" s="36"/>
      <c r="F8" s="36"/>
      <c r="G8" s="37"/>
      <c r="H8" s="38"/>
      <c r="I8" s="38">
        <f t="shared" ref="I8:J43" si="0">C8-G8</f>
        <v>6</v>
      </c>
      <c r="J8" s="63">
        <f t="shared" si="0"/>
        <v>7</v>
      </c>
      <c r="K8" s="62"/>
      <c r="L8" s="36"/>
      <c r="M8" s="36"/>
      <c r="N8" s="36"/>
      <c r="O8" s="36"/>
      <c r="P8" s="36"/>
      <c r="Q8" s="99"/>
      <c r="R8" s="100">
        <f t="shared" ref="R8:S59" si="1">L8+N8+P8</f>
        <v>0</v>
      </c>
      <c r="S8" s="101">
        <f t="shared" si="1"/>
        <v>0</v>
      </c>
      <c r="T8" s="62"/>
      <c r="U8" s="8">
        <f t="shared" ref="U8:U37" si="2">L8*24+N8*24+P8*24</f>
        <v>0</v>
      </c>
      <c r="V8" s="135">
        <f t="shared" ref="V8:V37" si="3">U8/24</f>
        <v>0</v>
      </c>
      <c r="W8" s="134">
        <f t="shared" ref="W8:W37" si="4">I8*24+J8</f>
        <v>151</v>
      </c>
      <c r="X8" s="61"/>
      <c r="AL8" s="157"/>
      <c r="AM8" s="157"/>
      <c r="AN8" s="157"/>
      <c r="AO8" s="157"/>
      <c r="AP8" s="157"/>
      <c r="AQ8" s="157"/>
      <c r="AR8" s="157"/>
      <c r="AS8" s="157"/>
      <c r="AT8" s="157"/>
      <c r="AU8" s="157"/>
      <c r="AV8" s="157"/>
      <c r="AW8" s="157"/>
      <c r="AX8" s="157"/>
      <c r="AY8" s="157"/>
      <c r="AZ8" s="157"/>
      <c r="BA8" s="157"/>
      <c r="BB8" s="157"/>
      <c r="BC8" s="157"/>
      <c r="BD8" s="157"/>
      <c r="BE8" s="157"/>
      <c r="BF8" s="157"/>
      <c r="BG8" s="157"/>
      <c r="BH8" s="157"/>
    </row>
    <row r="9" spans="1:60" ht="19.5" thickBot="1">
      <c r="A9" s="1">
        <f t="shared" ref="A9:A59" si="5">A8+1</f>
        <v>2</v>
      </c>
      <c r="B9" s="12" t="s">
        <v>21</v>
      </c>
      <c r="C9" s="13">
        <v>73</v>
      </c>
      <c r="D9" s="14"/>
      <c r="E9" s="39"/>
      <c r="F9" s="39"/>
      <c r="G9" s="40"/>
      <c r="H9" s="41"/>
      <c r="I9" s="40">
        <f t="shared" si="0"/>
        <v>73</v>
      </c>
      <c r="J9" s="64">
        <f t="shared" si="0"/>
        <v>0</v>
      </c>
      <c r="K9" s="65"/>
      <c r="L9" s="51"/>
      <c r="M9" s="51"/>
      <c r="N9" s="51"/>
      <c r="O9" s="51"/>
      <c r="P9" s="51"/>
      <c r="Q9" s="102"/>
      <c r="R9" s="103">
        <f t="shared" si="1"/>
        <v>0</v>
      </c>
      <c r="S9" s="104">
        <f t="shared" si="1"/>
        <v>0</v>
      </c>
      <c r="T9" s="65"/>
      <c r="U9" s="136">
        <f t="shared" si="2"/>
        <v>0</v>
      </c>
      <c r="V9" s="137">
        <f t="shared" si="3"/>
        <v>0</v>
      </c>
      <c r="W9" s="138">
        <f t="shared" si="4"/>
        <v>1752</v>
      </c>
      <c r="X9" s="139"/>
      <c r="AL9" s="157"/>
      <c r="AM9" s="157"/>
      <c r="AN9" s="157"/>
      <c r="AO9" s="157"/>
      <c r="AP9" s="157"/>
      <c r="AQ9" s="157"/>
      <c r="AR9" s="157"/>
      <c r="AS9" s="157"/>
      <c r="AT9" s="157"/>
      <c r="AU9" s="157"/>
      <c r="AV9" s="157"/>
      <c r="AW9" s="157"/>
      <c r="AX9" s="157"/>
      <c r="AY9" s="157"/>
      <c r="AZ9" s="157"/>
      <c r="BA9" s="157"/>
      <c r="BB9" s="157"/>
      <c r="BC9" s="157"/>
      <c r="BD9" s="157"/>
      <c r="BE9" s="157"/>
      <c r="BF9" s="157"/>
      <c r="BG9" s="157"/>
      <c r="BH9" s="157"/>
    </row>
    <row r="10" spans="1:60" ht="19.5" thickBot="1">
      <c r="A10" s="1">
        <f t="shared" si="5"/>
        <v>3</v>
      </c>
      <c r="B10" s="7" t="s">
        <v>22</v>
      </c>
      <c r="C10" s="10">
        <v>19</v>
      </c>
      <c r="D10" s="11"/>
      <c r="E10" s="36"/>
      <c r="F10" s="36"/>
      <c r="G10" s="37">
        <v>1</v>
      </c>
      <c r="H10" s="38"/>
      <c r="I10" s="38">
        <f t="shared" si="0"/>
        <v>18</v>
      </c>
      <c r="J10" s="66">
        <f t="shared" si="0"/>
        <v>0</v>
      </c>
      <c r="K10" s="62"/>
      <c r="L10" s="36"/>
      <c r="M10" s="36"/>
      <c r="N10" s="36">
        <v>1</v>
      </c>
      <c r="O10" s="36"/>
      <c r="P10" s="36"/>
      <c r="Q10" s="99"/>
      <c r="R10" s="105">
        <f t="shared" si="1"/>
        <v>1</v>
      </c>
      <c r="S10" s="106">
        <f t="shared" si="1"/>
        <v>0</v>
      </c>
      <c r="T10" s="62"/>
      <c r="U10" s="8">
        <f t="shared" si="2"/>
        <v>24</v>
      </c>
      <c r="V10" s="140">
        <f t="shared" si="3"/>
        <v>1</v>
      </c>
      <c r="W10" s="134">
        <f t="shared" si="4"/>
        <v>432</v>
      </c>
      <c r="X10" s="61"/>
      <c r="AL10" s="157"/>
      <c r="AM10" s="157"/>
      <c r="AN10" s="157"/>
      <c r="AO10" s="157"/>
      <c r="AP10" s="157"/>
      <c r="AQ10" s="157"/>
      <c r="AR10" s="157"/>
      <c r="AS10" s="157"/>
      <c r="AT10" s="157"/>
      <c r="AU10" s="157"/>
      <c r="AV10" s="157"/>
      <c r="AW10" s="157"/>
      <c r="AX10" s="157"/>
      <c r="AY10" s="157"/>
      <c r="AZ10" s="157"/>
      <c r="BA10" s="157"/>
      <c r="BB10" s="157"/>
      <c r="BC10" s="157"/>
      <c r="BD10" s="157"/>
      <c r="BE10" s="157"/>
      <c r="BF10" s="157"/>
      <c r="BG10" s="157"/>
      <c r="BH10" s="157"/>
    </row>
    <row r="11" spans="1:60" ht="19.5" thickBot="1">
      <c r="A11" s="1">
        <f t="shared" si="5"/>
        <v>4</v>
      </c>
      <c r="B11" s="15" t="s">
        <v>23</v>
      </c>
      <c r="C11" s="10">
        <v>18</v>
      </c>
      <c r="D11" s="11"/>
      <c r="E11" s="36"/>
      <c r="F11" s="36"/>
      <c r="G11" s="37"/>
      <c r="H11" s="38"/>
      <c r="I11" s="38">
        <f t="shared" si="0"/>
        <v>18</v>
      </c>
      <c r="J11" s="63">
        <f t="shared" si="0"/>
        <v>0</v>
      </c>
      <c r="K11" s="62"/>
      <c r="L11" s="36"/>
      <c r="M11" s="36"/>
      <c r="N11" s="36"/>
      <c r="O11" s="36"/>
      <c r="P11" s="36"/>
      <c r="Q11" s="99"/>
      <c r="R11" s="100">
        <f t="shared" si="1"/>
        <v>0</v>
      </c>
      <c r="S11" s="101">
        <f t="shared" si="1"/>
        <v>0</v>
      </c>
      <c r="T11" s="62"/>
      <c r="U11" s="8">
        <f t="shared" si="2"/>
        <v>0</v>
      </c>
      <c r="V11" s="135">
        <f t="shared" si="3"/>
        <v>0</v>
      </c>
      <c r="W11" s="134">
        <f t="shared" si="4"/>
        <v>432</v>
      </c>
      <c r="X11" s="61"/>
      <c r="AL11" s="157"/>
      <c r="AM11" s="157"/>
      <c r="AN11" s="157"/>
      <c r="AO11" s="157"/>
      <c r="AP11" s="157"/>
      <c r="AQ11" s="157"/>
      <c r="AR11" s="157"/>
      <c r="AS11" s="157"/>
      <c r="AT11" s="157"/>
      <c r="AU11" s="157"/>
      <c r="AV11" s="157"/>
      <c r="AW11" s="157"/>
      <c r="AX11" s="157"/>
      <c r="AY11" s="157"/>
      <c r="AZ11" s="157"/>
      <c r="BA11" s="157"/>
      <c r="BB11" s="157"/>
      <c r="BC11" s="157"/>
      <c r="BD11" s="157"/>
      <c r="BE11" s="157"/>
      <c r="BF11" s="157"/>
      <c r="BG11" s="157"/>
      <c r="BH11" s="157"/>
    </row>
    <row r="12" spans="1:60" ht="19.5" thickBot="1">
      <c r="A12" s="1">
        <f t="shared" si="5"/>
        <v>5</v>
      </c>
      <c r="B12" s="15" t="s">
        <v>24</v>
      </c>
      <c r="C12" s="10"/>
      <c r="D12" s="11">
        <v>2</v>
      </c>
      <c r="E12" s="36"/>
      <c r="F12" s="36"/>
      <c r="G12" s="37"/>
      <c r="H12" s="38"/>
      <c r="I12" s="38">
        <f t="shared" si="0"/>
        <v>0</v>
      </c>
      <c r="J12" s="63">
        <f t="shared" si="0"/>
        <v>2</v>
      </c>
      <c r="K12" s="62"/>
      <c r="L12" s="36"/>
      <c r="M12" s="36"/>
      <c r="N12" s="36"/>
      <c r="O12" s="36"/>
      <c r="P12" s="36"/>
      <c r="Q12" s="99"/>
      <c r="R12" s="100">
        <f t="shared" si="1"/>
        <v>0</v>
      </c>
      <c r="S12" s="101">
        <f t="shared" si="1"/>
        <v>0</v>
      </c>
      <c r="T12" s="62"/>
      <c r="U12" s="8">
        <f t="shared" si="2"/>
        <v>0</v>
      </c>
      <c r="V12" s="135">
        <f t="shared" si="3"/>
        <v>0</v>
      </c>
      <c r="W12" s="134">
        <f t="shared" si="4"/>
        <v>2</v>
      </c>
      <c r="X12" s="61"/>
      <c r="AL12" s="157"/>
      <c r="AM12" s="157"/>
      <c r="AN12" s="157"/>
      <c r="AO12" s="157"/>
      <c r="AP12" s="157"/>
      <c r="AQ12" s="157"/>
      <c r="AR12" s="157"/>
      <c r="AS12" s="157"/>
      <c r="AT12" s="157"/>
      <c r="AU12" s="157"/>
      <c r="AV12" s="157"/>
      <c r="AW12" s="157"/>
      <c r="AX12" s="157"/>
      <c r="AY12" s="157"/>
      <c r="AZ12" s="157"/>
      <c r="BA12" s="157"/>
      <c r="BB12" s="157"/>
      <c r="BC12" s="157"/>
      <c r="BD12" s="157"/>
      <c r="BE12" s="157"/>
      <c r="BF12" s="157"/>
      <c r="BG12" s="157"/>
      <c r="BH12" s="157"/>
    </row>
    <row r="13" spans="1:60" s="2" customFormat="1" ht="19.5" thickBot="1">
      <c r="A13" s="1">
        <f t="shared" si="5"/>
        <v>6</v>
      </c>
      <c r="B13" s="12" t="s">
        <v>25</v>
      </c>
      <c r="C13" s="13">
        <v>3059</v>
      </c>
      <c r="D13" s="14"/>
      <c r="E13" s="39"/>
      <c r="F13" s="39"/>
      <c r="G13" s="40">
        <v>28</v>
      </c>
      <c r="H13" s="41">
        <v>12</v>
      </c>
      <c r="I13" s="44">
        <f t="shared" si="0"/>
        <v>3031</v>
      </c>
      <c r="J13" s="64">
        <f t="shared" si="0"/>
        <v>-12</v>
      </c>
      <c r="K13" s="67"/>
      <c r="L13" s="51">
        <v>2</v>
      </c>
      <c r="M13" s="51"/>
      <c r="N13" s="51">
        <v>11</v>
      </c>
      <c r="O13" s="51"/>
      <c r="P13" s="51">
        <v>15</v>
      </c>
      <c r="Q13" s="102">
        <v>12</v>
      </c>
      <c r="R13" s="107">
        <f t="shared" si="1"/>
        <v>28</v>
      </c>
      <c r="S13" s="104">
        <f t="shared" si="1"/>
        <v>12</v>
      </c>
      <c r="T13" s="67"/>
      <c r="U13" s="136">
        <f t="shared" si="2"/>
        <v>672</v>
      </c>
      <c r="V13" s="141">
        <f t="shared" si="3"/>
        <v>28</v>
      </c>
      <c r="W13" s="138">
        <f t="shared" si="4"/>
        <v>72732</v>
      </c>
      <c r="X13" s="139"/>
      <c r="Y13" s="3"/>
      <c r="AD13" s="3"/>
      <c r="AG13" s="3"/>
      <c r="AH13" s="3"/>
      <c r="AI13" s="3"/>
      <c r="AJ13" s="3"/>
      <c r="AK13" s="3"/>
      <c r="AL13" s="157"/>
      <c r="AM13" s="157"/>
      <c r="AN13" s="157"/>
      <c r="AO13" s="157"/>
      <c r="AP13" s="157"/>
      <c r="AQ13" s="157"/>
      <c r="AR13" s="157"/>
      <c r="AS13" s="157"/>
      <c r="AT13" s="157"/>
      <c r="AU13" s="157"/>
      <c r="AV13" s="157"/>
      <c r="AW13" s="157"/>
      <c r="AX13" s="157"/>
      <c r="AY13" s="157"/>
      <c r="AZ13" s="157"/>
      <c r="BA13" s="157"/>
      <c r="BB13" s="157"/>
      <c r="BC13" s="157"/>
      <c r="BD13" s="157"/>
      <c r="BE13" s="157"/>
      <c r="BF13" s="157"/>
      <c r="BG13" s="157"/>
      <c r="BH13" s="157"/>
    </row>
    <row r="14" spans="1:60" ht="19.5" thickBot="1">
      <c r="A14" s="1">
        <f t="shared" si="5"/>
        <v>7</v>
      </c>
      <c r="B14" s="7" t="s">
        <v>26</v>
      </c>
      <c r="C14" s="10">
        <v>3</v>
      </c>
      <c r="D14" s="11">
        <v>16</v>
      </c>
      <c r="E14" s="36"/>
      <c r="F14" s="36"/>
      <c r="G14" s="37"/>
      <c r="H14" s="38"/>
      <c r="I14" s="68">
        <f t="shared" si="0"/>
        <v>3</v>
      </c>
      <c r="J14" s="66">
        <f t="shared" si="0"/>
        <v>16</v>
      </c>
      <c r="K14" s="62"/>
      <c r="L14" s="36"/>
      <c r="M14" s="36"/>
      <c r="N14" s="36"/>
      <c r="O14" s="36"/>
      <c r="P14" s="36"/>
      <c r="Q14" s="99"/>
      <c r="R14" s="108">
        <f t="shared" si="1"/>
        <v>0</v>
      </c>
      <c r="S14" s="106">
        <f t="shared" si="1"/>
        <v>0</v>
      </c>
      <c r="T14" s="62"/>
      <c r="U14" s="8">
        <f t="shared" si="2"/>
        <v>0</v>
      </c>
      <c r="V14" s="33">
        <f t="shared" si="3"/>
        <v>0</v>
      </c>
      <c r="W14" s="134">
        <f t="shared" si="4"/>
        <v>88</v>
      </c>
      <c r="X14" s="61"/>
      <c r="AL14" s="157"/>
      <c r="AM14" s="157"/>
      <c r="AN14" s="157"/>
      <c r="AO14" s="157"/>
      <c r="AP14" s="157"/>
      <c r="AQ14" s="157"/>
      <c r="AR14" s="157"/>
      <c r="AS14" s="157"/>
      <c r="AT14" s="157"/>
      <c r="AU14" s="157"/>
      <c r="AV14" s="157"/>
      <c r="AW14" s="157"/>
      <c r="AX14" s="157"/>
      <c r="AY14" s="157"/>
      <c r="AZ14" s="157"/>
      <c r="BA14" s="157"/>
      <c r="BB14" s="157"/>
      <c r="BC14" s="157"/>
      <c r="BD14" s="157"/>
      <c r="BE14" s="157"/>
      <c r="BF14" s="157"/>
      <c r="BG14" s="157"/>
      <c r="BH14" s="157"/>
    </row>
    <row r="15" spans="1:60" ht="19.5" thickBot="1">
      <c r="A15" s="1">
        <f t="shared" si="5"/>
        <v>8</v>
      </c>
      <c r="B15" s="15" t="s">
        <v>27</v>
      </c>
      <c r="C15" s="10">
        <v>4</v>
      </c>
      <c r="D15" s="11"/>
      <c r="E15" s="36"/>
      <c r="F15" s="36"/>
      <c r="G15" s="37"/>
      <c r="H15" s="38"/>
      <c r="I15" s="38">
        <f t="shared" si="0"/>
        <v>4</v>
      </c>
      <c r="J15" s="63">
        <f t="shared" si="0"/>
        <v>0</v>
      </c>
      <c r="K15" s="62"/>
      <c r="L15" s="36"/>
      <c r="M15" s="36"/>
      <c r="N15" s="36"/>
      <c r="O15" s="36"/>
      <c r="P15" s="36"/>
      <c r="Q15" s="99"/>
      <c r="R15" s="100">
        <f t="shared" si="1"/>
        <v>0</v>
      </c>
      <c r="S15" s="101">
        <f t="shared" si="1"/>
        <v>0</v>
      </c>
      <c r="T15" s="62"/>
      <c r="U15" s="8">
        <f t="shared" si="2"/>
        <v>0</v>
      </c>
      <c r="V15" s="135">
        <f t="shared" si="3"/>
        <v>0</v>
      </c>
      <c r="W15" s="134">
        <f t="shared" si="4"/>
        <v>96</v>
      </c>
      <c r="X15" s="61"/>
      <c r="AL15" s="157"/>
      <c r="AM15" s="157"/>
      <c r="AN15" s="157"/>
      <c r="AO15" s="157"/>
      <c r="AP15" s="157"/>
      <c r="AQ15" s="157"/>
      <c r="AR15" s="157"/>
      <c r="AS15" s="157"/>
      <c r="AT15" s="157"/>
      <c r="AU15" s="157"/>
      <c r="AV15" s="157"/>
      <c r="AW15" s="157"/>
      <c r="AX15" s="157"/>
      <c r="AY15" s="157"/>
      <c r="AZ15" s="157"/>
      <c r="BA15" s="157"/>
      <c r="BB15" s="157"/>
      <c r="BC15" s="157"/>
      <c r="BD15" s="157"/>
      <c r="BE15" s="157"/>
      <c r="BF15" s="157"/>
      <c r="BG15" s="157"/>
      <c r="BH15" s="157"/>
    </row>
    <row r="16" spans="1:60" ht="19.5" thickBot="1">
      <c r="A16" s="1">
        <f t="shared" si="5"/>
        <v>9</v>
      </c>
      <c r="B16" s="15" t="s">
        <v>28</v>
      </c>
      <c r="C16" s="10">
        <v>1</v>
      </c>
      <c r="D16" s="11"/>
      <c r="E16" s="36"/>
      <c r="F16" s="36"/>
      <c r="G16" s="37"/>
      <c r="H16" s="38"/>
      <c r="I16" s="38">
        <f t="shared" si="0"/>
        <v>1</v>
      </c>
      <c r="J16" s="63">
        <f t="shared" si="0"/>
        <v>0</v>
      </c>
      <c r="K16" s="62"/>
      <c r="L16" s="36"/>
      <c r="M16" s="36"/>
      <c r="N16" s="36"/>
      <c r="O16" s="36"/>
      <c r="P16" s="36"/>
      <c r="Q16" s="99"/>
      <c r="R16" s="100">
        <f t="shared" si="1"/>
        <v>0</v>
      </c>
      <c r="S16" s="101">
        <f t="shared" si="1"/>
        <v>0</v>
      </c>
      <c r="T16" s="62"/>
      <c r="U16" s="8">
        <f t="shared" si="2"/>
        <v>0</v>
      </c>
      <c r="V16" s="135">
        <f t="shared" si="3"/>
        <v>0</v>
      </c>
      <c r="W16" s="134">
        <f t="shared" si="4"/>
        <v>24</v>
      </c>
      <c r="X16" s="61"/>
      <c r="AL16" s="157"/>
      <c r="AM16" s="157"/>
      <c r="AN16" s="157"/>
      <c r="AO16" s="157"/>
      <c r="AP16" s="157"/>
      <c r="AQ16" s="157"/>
      <c r="AR16" s="157"/>
      <c r="AS16" s="157"/>
      <c r="AT16" s="157"/>
      <c r="AU16" s="157"/>
      <c r="AV16" s="157"/>
      <c r="AW16" s="157"/>
      <c r="AX16" s="157"/>
      <c r="AY16" s="157"/>
      <c r="AZ16" s="157"/>
      <c r="BA16" s="157"/>
      <c r="BB16" s="157"/>
      <c r="BC16" s="157"/>
      <c r="BD16" s="157"/>
      <c r="BE16" s="157"/>
      <c r="BF16" s="157"/>
      <c r="BG16" s="157"/>
      <c r="BH16" s="157"/>
    </row>
    <row r="17" spans="1:60" ht="19.5" thickBot="1">
      <c r="A17" s="1">
        <f t="shared" si="5"/>
        <v>10</v>
      </c>
      <c r="B17" s="15" t="s">
        <v>29</v>
      </c>
      <c r="C17" s="10"/>
      <c r="D17" s="11"/>
      <c r="E17" s="36"/>
      <c r="F17" s="36"/>
      <c r="G17" s="37"/>
      <c r="H17" s="38"/>
      <c r="I17" s="38">
        <f t="shared" si="0"/>
        <v>0</v>
      </c>
      <c r="J17" s="63">
        <f t="shared" si="0"/>
        <v>0</v>
      </c>
      <c r="K17" s="62"/>
      <c r="L17" s="36"/>
      <c r="M17" s="36"/>
      <c r="N17" s="36"/>
      <c r="O17" s="36"/>
      <c r="P17" s="36"/>
      <c r="Q17" s="99"/>
      <c r="R17" s="100">
        <f t="shared" si="1"/>
        <v>0</v>
      </c>
      <c r="S17" s="101">
        <f t="shared" si="1"/>
        <v>0</v>
      </c>
      <c r="T17" s="62"/>
      <c r="U17" s="8">
        <f t="shared" si="2"/>
        <v>0</v>
      </c>
      <c r="V17" s="135">
        <f t="shared" si="3"/>
        <v>0</v>
      </c>
      <c r="W17" s="134">
        <f t="shared" si="4"/>
        <v>0</v>
      </c>
      <c r="X17" s="61"/>
      <c r="AL17" s="157"/>
      <c r="AM17" s="157"/>
      <c r="AN17" s="157"/>
      <c r="AO17" s="157"/>
      <c r="AP17" s="157"/>
      <c r="AQ17" s="157"/>
      <c r="AR17" s="157"/>
      <c r="AS17" s="157"/>
      <c r="AT17" s="157"/>
      <c r="AU17" s="157"/>
      <c r="AV17" s="157"/>
      <c r="AW17" s="157"/>
      <c r="AX17" s="157"/>
      <c r="AY17" s="157"/>
      <c r="AZ17" s="157"/>
      <c r="BA17" s="157"/>
      <c r="BB17" s="157"/>
      <c r="BC17" s="157"/>
      <c r="BD17" s="157"/>
      <c r="BE17" s="157"/>
      <c r="BF17" s="157"/>
      <c r="BG17" s="157"/>
      <c r="BH17" s="157"/>
    </row>
    <row r="18" spans="1:60" ht="19.5" thickBot="1">
      <c r="A18" s="1">
        <f t="shared" si="5"/>
        <v>11</v>
      </c>
      <c r="B18" s="15" t="s">
        <v>30</v>
      </c>
      <c r="C18" s="10">
        <v>3</v>
      </c>
      <c r="D18" s="11"/>
      <c r="E18" s="36"/>
      <c r="F18" s="36"/>
      <c r="G18" s="37"/>
      <c r="H18" s="38"/>
      <c r="I18" s="38">
        <f t="shared" si="0"/>
        <v>3</v>
      </c>
      <c r="J18" s="63">
        <f t="shared" si="0"/>
        <v>0</v>
      </c>
      <c r="K18" s="62"/>
      <c r="L18" s="36"/>
      <c r="M18" s="36"/>
      <c r="N18" s="36"/>
      <c r="O18" s="36"/>
      <c r="P18" s="36"/>
      <c r="Q18" s="99"/>
      <c r="R18" s="100">
        <f t="shared" si="1"/>
        <v>0</v>
      </c>
      <c r="S18" s="101">
        <f t="shared" si="1"/>
        <v>0</v>
      </c>
      <c r="T18" s="62"/>
      <c r="U18" s="8">
        <f t="shared" si="2"/>
        <v>0</v>
      </c>
      <c r="V18" s="135">
        <f t="shared" si="3"/>
        <v>0</v>
      </c>
      <c r="W18" s="134">
        <f t="shared" si="4"/>
        <v>72</v>
      </c>
      <c r="X18" s="61"/>
      <c r="AL18" s="157"/>
      <c r="AM18" s="157"/>
      <c r="AN18" s="157"/>
      <c r="AO18" s="157"/>
      <c r="AP18" s="157"/>
      <c r="AQ18" s="157"/>
      <c r="AR18" s="157"/>
      <c r="AS18" s="157"/>
      <c r="AT18" s="157"/>
      <c r="AU18" s="157"/>
      <c r="AV18" s="157"/>
      <c r="AW18" s="157"/>
      <c r="AX18" s="157"/>
      <c r="AY18" s="157"/>
      <c r="AZ18" s="157"/>
      <c r="BA18" s="157"/>
      <c r="BB18" s="157"/>
      <c r="BC18" s="157"/>
      <c r="BD18" s="157"/>
      <c r="BE18" s="157"/>
      <c r="BF18" s="157"/>
      <c r="BG18" s="157"/>
      <c r="BH18" s="157"/>
    </row>
    <row r="19" spans="1:60" ht="18.75" hidden="1" customHeight="1">
      <c r="A19" s="1">
        <f t="shared" si="5"/>
        <v>12</v>
      </c>
      <c r="B19" s="15" t="s">
        <v>31</v>
      </c>
      <c r="C19" s="10"/>
      <c r="D19" s="11"/>
      <c r="E19" s="36"/>
      <c r="F19" s="36"/>
      <c r="G19" s="37"/>
      <c r="H19" s="38"/>
      <c r="I19" s="38">
        <f t="shared" si="0"/>
        <v>0</v>
      </c>
      <c r="J19" s="63">
        <f t="shared" si="0"/>
        <v>0</v>
      </c>
      <c r="K19" s="62"/>
      <c r="L19" s="36"/>
      <c r="M19" s="36"/>
      <c r="N19" s="36"/>
      <c r="O19" s="36"/>
      <c r="P19" s="36"/>
      <c r="Q19" s="99"/>
      <c r="R19" s="100">
        <f t="shared" si="1"/>
        <v>0</v>
      </c>
      <c r="S19" s="101">
        <f t="shared" si="1"/>
        <v>0</v>
      </c>
      <c r="T19" s="62"/>
      <c r="U19" s="8">
        <f t="shared" si="2"/>
        <v>0</v>
      </c>
      <c r="V19" s="135">
        <f t="shared" si="3"/>
        <v>0</v>
      </c>
      <c r="W19" s="134">
        <f t="shared" si="4"/>
        <v>0</v>
      </c>
      <c r="X19" s="61"/>
      <c r="AL19" s="157"/>
      <c r="AM19" s="157"/>
      <c r="AN19" s="157"/>
      <c r="AO19" s="157"/>
      <c r="AP19" s="157"/>
      <c r="AQ19" s="157"/>
      <c r="AR19" s="157"/>
      <c r="AS19" s="157"/>
      <c r="AT19" s="157"/>
      <c r="AU19" s="157"/>
      <c r="AV19" s="157"/>
      <c r="AW19" s="157"/>
      <c r="AX19" s="157"/>
      <c r="AY19" s="157"/>
      <c r="AZ19" s="157"/>
      <c r="BA19" s="157"/>
      <c r="BB19" s="157"/>
      <c r="BC19" s="157"/>
      <c r="BD19" s="157"/>
      <c r="BE19" s="157"/>
      <c r="BF19" s="157"/>
      <c r="BG19" s="157"/>
      <c r="BH19" s="157"/>
    </row>
    <row r="20" spans="1:60" ht="19.5" thickBot="1">
      <c r="A20" s="1">
        <f t="shared" si="5"/>
        <v>13</v>
      </c>
      <c r="B20" s="15" t="s">
        <v>32</v>
      </c>
      <c r="C20" s="10">
        <v>4</v>
      </c>
      <c r="D20" s="11">
        <v>20</v>
      </c>
      <c r="E20" s="36"/>
      <c r="F20" s="36"/>
      <c r="G20" s="37"/>
      <c r="H20" s="38"/>
      <c r="I20" s="38">
        <f t="shared" si="0"/>
        <v>4</v>
      </c>
      <c r="J20" s="63">
        <f t="shared" si="0"/>
        <v>20</v>
      </c>
      <c r="K20" s="62"/>
      <c r="L20" s="36"/>
      <c r="M20" s="36"/>
      <c r="N20" s="36"/>
      <c r="O20" s="36"/>
      <c r="P20" s="36"/>
      <c r="Q20" s="99"/>
      <c r="R20" s="100">
        <f t="shared" si="1"/>
        <v>0</v>
      </c>
      <c r="S20" s="101">
        <f t="shared" si="1"/>
        <v>0</v>
      </c>
      <c r="T20" s="62"/>
      <c r="U20" s="8">
        <f t="shared" si="2"/>
        <v>0</v>
      </c>
      <c r="V20" s="135">
        <f t="shared" si="3"/>
        <v>0</v>
      </c>
      <c r="W20" s="134">
        <f t="shared" si="4"/>
        <v>116</v>
      </c>
      <c r="X20" s="61"/>
      <c r="AL20" s="157"/>
      <c r="AM20" s="157"/>
      <c r="AN20" s="157"/>
      <c r="AO20" s="157"/>
      <c r="AP20" s="157"/>
      <c r="AQ20" s="157"/>
      <c r="AR20" s="157"/>
      <c r="AS20" s="157"/>
      <c r="AT20" s="157"/>
      <c r="AU20" s="157"/>
      <c r="AV20" s="157"/>
      <c r="AW20" s="157"/>
      <c r="AX20" s="157"/>
      <c r="AY20" s="157"/>
      <c r="AZ20" s="157"/>
      <c r="BA20" s="157"/>
      <c r="BB20" s="157"/>
      <c r="BC20" s="157"/>
      <c r="BD20" s="157"/>
      <c r="BE20" s="157"/>
      <c r="BF20" s="157"/>
      <c r="BG20" s="157"/>
      <c r="BH20" s="157"/>
    </row>
    <row r="21" spans="1:60" ht="19.5" thickBot="1">
      <c r="A21" s="1">
        <f t="shared" si="5"/>
        <v>14</v>
      </c>
      <c r="B21" s="15" t="s">
        <v>33</v>
      </c>
      <c r="C21" s="10">
        <v>7</v>
      </c>
      <c r="D21" s="11"/>
      <c r="E21" s="36"/>
      <c r="F21" s="36"/>
      <c r="G21" s="37"/>
      <c r="H21" s="38"/>
      <c r="I21" s="38">
        <f t="shared" si="0"/>
        <v>7</v>
      </c>
      <c r="J21" s="63">
        <f t="shared" si="0"/>
        <v>0</v>
      </c>
      <c r="K21" s="62"/>
      <c r="L21" s="36"/>
      <c r="M21" s="36"/>
      <c r="N21" s="36"/>
      <c r="O21" s="36"/>
      <c r="P21" s="36"/>
      <c r="Q21" s="99"/>
      <c r="R21" s="100">
        <f t="shared" si="1"/>
        <v>0</v>
      </c>
      <c r="S21" s="101">
        <f t="shared" si="1"/>
        <v>0</v>
      </c>
      <c r="T21" s="62"/>
      <c r="U21" s="8">
        <f t="shared" si="2"/>
        <v>0</v>
      </c>
      <c r="V21" s="135">
        <f t="shared" si="3"/>
        <v>0</v>
      </c>
      <c r="W21" s="134">
        <f t="shared" si="4"/>
        <v>168</v>
      </c>
      <c r="X21" s="61"/>
      <c r="AL21" s="157"/>
      <c r="AM21" s="157"/>
      <c r="AN21" s="157"/>
      <c r="AO21" s="157"/>
      <c r="AP21" s="157"/>
      <c r="AQ21" s="157"/>
      <c r="AR21" s="157"/>
      <c r="AS21" s="157"/>
      <c r="AT21" s="157"/>
      <c r="AU21" s="157"/>
      <c r="AV21" s="157"/>
      <c r="AW21" s="157"/>
      <c r="AX21" s="157"/>
      <c r="AY21" s="157"/>
      <c r="AZ21" s="157"/>
      <c r="BA21" s="157"/>
      <c r="BB21" s="157"/>
      <c r="BC21" s="157"/>
      <c r="BD21" s="157"/>
      <c r="BE21" s="157"/>
      <c r="BF21" s="157"/>
      <c r="BG21" s="157"/>
      <c r="BH21" s="157"/>
    </row>
    <row r="22" spans="1:60" ht="19.5" thickBot="1">
      <c r="A22" s="1">
        <f t="shared" si="5"/>
        <v>15</v>
      </c>
      <c r="B22" s="15" t="s">
        <v>34</v>
      </c>
      <c r="C22" s="10">
        <v>4</v>
      </c>
      <c r="D22" s="11"/>
      <c r="E22" s="36"/>
      <c r="F22" s="36"/>
      <c r="G22" s="37"/>
      <c r="H22" s="38"/>
      <c r="I22" s="38">
        <f t="shared" si="0"/>
        <v>4</v>
      </c>
      <c r="J22" s="63">
        <f t="shared" si="0"/>
        <v>0</v>
      </c>
      <c r="K22" s="62"/>
      <c r="L22" s="36"/>
      <c r="M22" s="36"/>
      <c r="N22" s="36"/>
      <c r="O22" s="36"/>
      <c r="P22" s="36"/>
      <c r="Q22" s="99"/>
      <c r="R22" s="100">
        <f t="shared" si="1"/>
        <v>0</v>
      </c>
      <c r="S22" s="101">
        <f t="shared" si="1"/>
        <v>0</v>
      </c>
      <c r="T22" s="62"/>
      <c r="U22" s="8">
        <f t="shared" si="2"/>
        <v>0</v>
      </c>
      <c r="V22" s="135">
        <f t="shared" si="3"/>
        <v>0</v>
      </c>
      <c r="W22" s="134">
        <f t="shared" si="4"/>
        <v>96</v>
      </c>
      <c r="X22" s="61"/>
      <c r="AL22" s="157"/>
      <c r="AM22" s="157"/>
      <c r="AN22" s="157"/>
      <c r="AO22" s="157"/>
      <c r="AP22" s="157"/>
      <c r="AQ22" s="157"/>
      <c r="AR22" s="157"/>
      <c r="AS22" s="157"/>
      <c r="AT22" s="157"/>
      <c r="AU22" s="157"/>
      <c r="AV22" s="157"/>
      <c r="AW22" s="157"/>
      <c r="AX22" s="157"/>
      <c r="AY22" s="157"/>
      <c r="AZ22" s="157"/>
      <c r="BA22" s="157"/>
      <c r="BB22" s="157"/>
      <c r="BC22" s="157"/>
      <c r="BD22" s="157"/>
      <c r="BE22" s="157"/>
      <c r="BF22" s="157"/>
      <c r="BG22" s="157"/>
      <c r="BH22" s="157"/>
    </row>
    <row r="23" spans="1:60" s="2" customFormat="1" ht="19.5" thickBot="1">
      <c r="A23" s="1">
        <f t="shared" si="5"/>
        <v>16</v>
      </c>
      <c r="B23" s="15" t="s">
        <v>35</v>
      </c>
      <c r="C23" s="10">
        <v>1</v>
      </c>
      <c r="D23" s="11">
        <v>20</v>
      </c>
      <c r="E23" s="36"/>
      <c r="F23" s="36"/>
      <c r="G23" s="37"/>
      <c r="H23" s="38"/>
      <c r="I23" s="38">
        <f t="shared" si="0"/>
        <v>1</v>
      </c>
      <c r="J23" s="63">
        <f t="shared" si="0"/>
        <v>20</v>
      </c>
      <c r="K23" s="69"/>
      <c r="L23" s="36"/>
      <c r="M23" s="36"/>
      <c r="N23" s="36"/>
      <c r="O23" s="36"/>
      <c r="P23" s="36"/>
      <c r="Q23" s="99"/>
      <c r="R23" s="100">
        <f t="shared" si="1"/>
        <v>0</v>
      </c>
      <c r="S23" s="101">
        <f t="shared" si="1"/>
        <v>0</v>
      </c>
      <c r="T23" s="69"/>
      <c r="U23" s="8">
        <f t="shared" si="2"/>
        <v>0</v>
      </c>
      <c r="V23" s="135">
        <f t="shared" si="3"/>
        <v>0</v>
      </c>
      <c r="W23" s="134">
        <f t="shared" si="4"/>
        <v>44</v>
      </c>
      <c r="X23" s="61"/>
      <c r="Y23" s="3"/>
      <c r="AD23" s="3"/>
      <c r="AG23" s="3"/>
      <c r="AH23" s="3"/>
      <c r="AI23" s="3"/>
      <c r="AJ23" s="3"/>
      <c r="AK23" s="3"/>
      <c r="AL23" s="157"/>
      <c r="AM23" s="157"/>
      <c r="AN23" s="157"/>
      <c r="AO23" s="157"/>
      <c r="AP23" s="157"/>
      <c r="AQ23" s="157"/>
      <c r="AR23" s="157"/>
      <c r="AS23" s="157"/>
      <c r="AT23" s="157"/>
      <c r="AU23" s="157"/>
      <c r="AV23" s="157"/>
      <c r="AW23" s="157"/>
      <c r="AX23" s="157"/>
      <c r="AY23" s="157"/>
      <c r="AZ23" s="157"/>
      <c r="BA23" s="157"/>
      <c r="BB23" s="157"/>
      <c r="BC23" s="157"/>
      <c r="BD23" s="157"/>
      <c r="BE23" s="157"/>
      <c r="BF23" s="157"/>
      <c r="BG23" s="157"/>
      <c r="BH23" s="157"/>
    </row>
    <row r="24" spans="1:60" s="2" customFormat="1" ht="19.5" thickBot="1">
      <c r="A24" s="1">
        <f t="shared" si="5"/>
        <v>17</v>
      </c>
      <c r="B24" s="15" t="s">
        <v>36</v>
      </c>
      <c r="C24" s="10">
        <v>37</v>
      </c>
      <c r="D24" s="11">
        <v>19</v>
      </c>
      <c r="E24" s="36"/>
      <c r="F24" s="36"/>
      <c r="G24" s="37"/>
      <c r="H24" s="38"/>
      <c r="I24" s="38">
        <f t="shared" si="0"/>
        <v>37</v>
      </c>
      <c r="J24" s="63">
        <f t="shared" si="0"/>
        <v>19</v>
      </c>
      <c r="K24" s="69"/>
      <c r="L24" s="36"/>
      <c r="M24" s="36"/>
      <c r="N24" s="36"/>
      <c r="O24" s="36"/>
      <c r="P24" s="36"/>
      <c r="Q24" s="99"/>
      <c r="R24" s="100">
        <f t="shared" si="1"/>
        <v>0</v>
      </c>
      <c r="S24" s="101">
        <f t="shared" si="1"/>
        <v>0</v>
      </c>
      <c r="T24" s="69"/>
      <c r="U24" s="8">
        <f t="shared" si="2"/>
        <v>0</v>
      </c>
      <c r="V24" s="135">
        <f t="shared" si="3"/>
        <v>0</v>
      </c>
      <c r="W24" s="134">
        <f t="shared" si="4"/>
        <v>907</v>
      </c>
      <c r="X24" s="61"/>
      <c r="Y24" s="3"/>
      <c r="AD24" s="3"/>
      <c r="AG24" s="3"/>
      <c r="AH24" s="3"/>
      <c r="AI24" s="3"/>
      <c r="AJ24" s="3"/>
      <c r="AK24" s="3"/>
      <c r="AL24" s="157"/>
      <c r="AM24" s="157"/>
      <c r="AN24" s="157"/>
      <c r="AO24" s="157"/>
      <c r="AP24" s="157"/>
      <c r="AQ24" s="157"/>
      <c r="AR24" s="157"/>
      <c r="AS24" s="157"/>
      <c r="AT24" s="157"/>
      <c r="AU24" s="157"/>
      <c r="AV24" s="157"/>
      <c r="AW24" s="157"/>
      <c r="AX24" s="157"/>
      <c r="AY24" s="157"/>
      <c r="AZ24" s="157"/>
      <c r="BA24" s="157"/>
      <c r="BB24" s="157"/>
      <c r="BC24" s="157"/>
      <c r="BD24" s="157"/>
      <c r="BE24" s="157"/>
      <c r="BF24" s="157"/>
      <c r="BG24" s="157"/>
      <c r="BH24" s="157"/>
    </row>
    <row r="25" spans="1:60" ht="19.5" thickBot="1">
      <c r="A25" s="1">
        <f t="shared" si="5"/>
        <v>18</v>
      </c>
      <c r="B25" s="15" t="s">
        <v>37</v>
      </c>
      <c r="C25" s="10">
        <v>10</v>
      </c>
      <c r="D25" s="11"/>
      <c r="E25" s="36"/>
      <c r="F25" s="36"/>
      <c r="G25" s="37"/>
      <c r="H25" s="38"/>
      <c r="I25" s="38">
        <f t="shared" si="0"/>
        <v>10</v>
      </c>
      <c r="J25" s="63">
        <f t="shared" si="0"/>
        <v>0</v>
      </c>
      <c r="K25" s="62"/>
      <c r="L25" s="36"/>
      <c r="M25" s="36"/>
      <c r="N25" s="36"/>
      <c r="O25" s="36"/>
      <c r="P25" s="36"/>
      <c r="Q25" s="99"/>
      <c r="R25" s="100">
        <f t="shared" si="1"/>
        <v>0</v>
      </c>
      <c r="S25" s="101">
        <f t="shared" si="1"/>
        <v>0</v>
      </c>
      <c r="T25" s="62"/>
      <c r="U25" s="8">
        <f t="shared" si="2"/>
        <v>0</v>
      </c>
      <c r="V25" s="135">
        <f t="shared" si="3"/>
        <v>0</v>
      </c>
      <c r="W25" s="134">
        <f t="shared" si="4"/>
        <v>240</v>
      </c>
      <c r="X25" s="61"/>
      <c r="AL25" s="157"/>
      <c r="AM25" s="157"/>
      <c r="AN25" s="157"/>
      <c r="AO25" s="157"/>
      <c r="AP25" s="157"/>
      <c r="AQ25" s="157"/>
      <c r="AR25" s="157"/>
      <c r="AS25" s="157"/>
      <c r="AT25" s="157"/>
      <c r="AU25" s="157"/>
      <c r="AV25" s="157"/>
      <c r="AW25" s="157"/>
      <c r="AX25" s="157"/>
      <c r="AY25" s="157"/>
      <c r="AZ25" s="157"/>
      <c r="BA25" s="157"/>
      <c r="BB25" s="157"/>
      <c r="BC25" s="157"/>
      <c r="BD25" s="157"/>
      <c r="BE25" s="157"/>
      <c r="BF25" s="157"/>
      <c r="BG25" s="157"/>
      <c r="BH25" s="157"/>
    </row>
    <row r="26" spans="1:60" ht="19.5" thickBot="1">
      <c r="A26" s="1">
        <f t="shared" si="5"/>
        <v>19</v>
      </c>
      <c r="B26" s="15" t="s">
        <v>38</v>
      </c>
      <c r="C26" s="10">
        <v>91</v>
      </c>
      <c r="D26" s="11">
        <v>1</v>
      </c>
      <c r="E26" s="36"/>
      <c r="F26" s="36"/>
      <c r="G26" s="37"/>
      <c r="H26" s="38"/>
      <c r="I26" s="38">
        <f t="shared" si="0"/>
        <v>91</v>
      </c>
      <c r="J26" s="63">
        <f t="shared" si="0"/>
        <v>1</v>
      </c>
      <c r="K26" s="62"/>
      <c r="L26" s="36"/>
      <c r="M26" s="36"/>
      <c r="N26" s="36"/>
      <c r="O26" s="36"/>
      <c r="P26" s="36"/>
      <c r="Q26" s="99"/>
      <c r="R26" s="100">
        <f t="shared" si="1"/>
        <v>0</v>
      </c>
      <c r="S26" s="101">
        <f t="shared" si="1"/>
        <v>0</v>
      </c>
      <c r="T26" s="62"/>
      <c r="U26" s="8">
        <f t="shared" si="2"/>
        <v>0</v>
      </c>
      <c r="V26" s="135">
        <f t="shared" si="3"/>
        <v>0</v>
      </c>
      <c r="W26" s="134">
        <f t="shared" si="4"/>
        <v>2185</v>
      </c>
      <c r="X26" s="61"/>
      <c r="BE26" s="158" t="e">
        <f>#REF!-BE25</f>
        <v>#REF!</v>
      </c>
    </row>
    <row r="27" spans="1:60" s="2" customFormat="1" ht="19.5" thickBot="1">
      <c r="A27" s="1">
        <f t="shared" si="5"/>
        <v>20</v>
      </c>
      <c r="B27" s="15" t="s">
        <v>39</v>
      </c>
      <c r="C27" s="10"/>
      <c r="D27" s="11"/>
      <c r="E27" s="36"/>
      <c r="F27" s="36"/>
      <c r="G27" s="37"/>
      <c r="H27" s="38"/>
      <c r="I27" s="38">
        <f t="shared" si="0"/>
        <v>0</v>
      </c>
      <c r="J27" s="63">
        <f t="shared" si="0"/>
        <v>0</v>
      </c>
      <c r="K27" s="69"/>
      <c r="L27" s="36"/>
      <c r="M27" s="36"/>
      <c r="N27" s="36"/>
      <c r="O27" s="36"/>
      <c r="P27" s="36"/>
      <c r="Q27" s="99"/>
      <c r="R27" s="100">
        <f t="shared" si="1"/>
        <v>0</v>
      </c>
      <c r="S27" s="101">
        <f t="shared" si="1"/>
        <v>0</v>
      </c>
      <c r="T27" s="69"/>
      <c r="U27" s="8">
        <f t="shared" si="2"/>
        <v>0</v>
      </c>
      <c r="V27" s="135">
        <f t="shared" si="3"/>
        <v>0</v>
      </c>
      <c r="W27" s="134">
        <f t="shared" si="4"/>
        <v>0</v>
      </c>
      <c r="X27" s="61"/>
      <c r="Y27" s="3"/>
      <c r="AD27" s="3"/>
      <c r="AG27" s="3"/>
      <c r="AH27" s="3"/>
      <c r="AI27" s="3"/>
      <c r="AJ27" s="3"/>
      <c r="AK27" s="3"/>
    </row>
    <row r="28" spans="1:60" s="2" customFormat="1" ht="19.5" thickBot="1">
      <c r="A28" s="1">
        <f t="shared" si="5"/>
        <v>21</v>
      </c>
      <c r="B28" s="15" t="s">
        <v>40</v>
      </c>
      <c r="C28" s="10">
        <v>2</v>
      </c>
      <c r="D28" s="11"/>
      <c r="E28" s="36"/>
      <c r="F28" s="36"/>
      <c r="G28" s="37"/>
      <c r="H28" s="38"/>
      <c r="I28" s="38">
        <f t="shared" si="0"/>
        <v>2</v>
      </c>
      <c r="J28" s="63">
        <f t="shared" si="0"/>
        <v>0</v>
      </c>
      <c r="K28" s="69"/>
      <c r="L28" s="36"/>
      <c r="M28" s="36"/>
      <c r="N28" s="36"/>
      <c r="O28" s="36"/>
      <c r="P28" s="36"/>
      <c r="Q28" s="99"/>
      <c r="R28" s="100">
        <f t="shared" si="1"/>
        <v>0</v>
      </c>
      <c r="S28" s="101">
        <f t="shared" si="1"/>
        <v>0</v>
      </c>
      <c r="T28" s="69"/>
      <c r="U28" s="8">
        <f t="shared" si="2"/>
        <v>0</v>
      </c>
      <c r="V28" s="135">
        <f t="shared" si="3"/>
        <v>0</v>
      </c>
      <c r="W28" s="134">
        <f t="shared" si="4"/>
        <v>48</v>
      </c>
      <c r="X28" s="61"/>
      <c r="Y28" s="3"/>
      <c r="AD28" s="3"/>
      <c r="AG28" s="3"/>
      <c r="AH28" s="3"/>
      <c r="AI28" s="3"/>
      <c r="AJ28" s="3"/>
      <c r="AK28" s="3"/>
    </row>
    <row r="29" spans="1:60" s="2" customFormat="1" ht="19.5" thickBot="1">
      <c r="A29" s="1">
        <f t="shared" si="5"/>
        <v>22</v>
      </c>
      <c r="B29" s="15" t="s">
        <v>41</v>
      </c>
      <c r="C29" s="10">
        <v>1</v>
      </c>
      <c r="D29" s="11"/>
      <c r="E29" s="36"/>
      <c r="F29" s="36"/>
      <c r="G29" s="37"/>
      <c r="H29" s="38"/>
      <c r="I29" s="38">
        <f t="shared" si="0"/>
        <v>1</v>
      </c>
      <c r="J29" s="63">
        <f t="shared" si="0"/>
        <v>0</v>
      </c>
      <c r="K29" s="69"/>
      <c r="L29" s="36"/>
      <c r="M29" s="36"/>
      <c r="N29" s="36"/>
      <c r="O29" s="36"/>
      <c r="P29" s="36"/>
      <c r="Q29" s="99"/>
      <c r="R29" s="100">
        <f t="shared" si="1"/>
        <v>0</v>
      </c>
      <c r="S29" s="101">
        <f t="shared" si="1"/>
        <v>0</v>
      </c>
      <c r="T29" s="69"/>
      <c r="U29" s="8">
        <f t="shared" si="2"/>
        <v>0</v>
      </c>
      <c r="V29" s="135">
        <f t="shared" si="3"/>
        <v>0</v>
      </c>
      <c r="W29" s="134">
        <f t="shared" si="4"/>
        <v>24</v>
      </c>
      <c r="X29" s="61"/>
      <c r="Y29" s="3"/>
      <c r="AD29" s="3"/>
      <c r="AG29" s="3"/>
      <c r="AH29" s="3"/>
      <c r="AI29" s="3"/>
      <c r="AJ29" s="3"/>
      <c r="AK29" s="3"/>
    </row>
    <row r="30" spans="1:60" ht="19.5" thickBot="1">
      <c r="A30" s="1">
        <f t="shared" si="5"/>
        <v>23</v>
      </c>
      <c r="B30" s="15" t="s">
        <v>42</v>
      </c>
      <c r="C30" s="10"/>
      <c r="D30" s="11">
        <v>5</v>
      </c>
      <c r="E30" s="36"/>
      <c r="F30" s="36"/>
      <c r="G30" s="37"/>
      <c r="H30" s="38"/>
      <c r="I30" s="38">
        <f t="shared" si="0"/>
        <v>0</v>
      </c>
      <c r="J30" s="63">
        <f t="shared" si="0"/>
        <v>5</v>
      </c>
      <c r="K30" s="62"/>
      <c r="L30" s="36"/>
      <c r="M30" s="36"/>
      <c r="N30" s="36"/>
      <c r="O30" s="36"/>
      <c r="P30" s="36"/>
      <c r="Q30" s="99"/>
      <c r="R30" s="100">
        <f t="shared" si="1"/>
        <v>0</v>
      </c>
      <c r="S30" s="101">
        <f t="shared" si="1"/>
        <v>0</v>
      </c>
      <c r="T30" s="62"/>
      <c r="U30" s="8">
        <f t="shared" si="2"/>
        <v>0</v>
      </c>
      <c r="V30" s="135">
        <f t="shared" si="3"/>
        <v>0</v>
      </c>
      <c r="W30" s="134">
        <f t="shared" si="4"/>
        <v>5</v>
      </c>
      <c r="X30" s="61"/>
    </row>
    <row r="31" spans="1:60" ht="19.5" thickBot="1">
      <c r="A31" s="1">
        <f t="shared" si="5"/>
        <v>24</v>
      </c>
      <c r="B31" s="15" t="s">
        <v>43</v>
      </c>
      <c r="C31" s="10">
        <v>1</v>
      </c>
      <c r="D31" s="11"/>
      <c r="E31" s="36"/>
      <c r="F31" s="36"/>
      <c r="G31" s="37"/>
      <c r="H31" s="38"/>
      <c r="I31" s="38">
        <f t="shared" si="0"/>
        <v>1</v>
      </c>
      <c r="J31" s="63">
        <f t="shared" si="0"/>
        <v>0</v>
      </c>
      <c r="K31" s="62"/>
      <c r="L31" s="36"/>
      <c r="M31" s="36"/>
      <c r="N31" s="36"/>
      <c r="O31" s="36"/>
      <c r="P31" s="36"/>
      <c r="Q31" s="99"/>
      <c r="R31" s="100">
        <f t="shared" si="1"/>
        <v>0</v>
      </c>
      <c r="S31" s="101">
        <f t="shared" si="1"/>
        <v>0</v>
      </c>
      <c r="T31" s="62"/>
      <c r="U31" s="8">
        <f t="shared" si="2"/>
        <v>0</v>
      </c>
      <c r="V31" s="135">
        <f t="shared" si="3"/>
        <v>0</v>
      </c>
      <c r="W31" s="134">
        <f t="shared" si="4"/>
        <v>24</v>
      </c>
      <c r="X31" s="61"/>
    </row>
    <row r="32" spans="1:60" ht="19.5" thickBot="1">
      <c r="A32" s="1">
        <f t="shared" si="5"/>
        <v>25</v>
      </c>
      <c r="B32" s="15" t="s">
        <v>44</v>
      </c>
      <c r="C32" s="10"/>
      <c r="D32" s="11"/>
      <c r="E32" s="36"/>
      <c r="F32" s="36"/>
      <c r="G32" s="37"/>
      <c r="H32" s="38"/>
      <c r="I32" s="38">
        <f t="shared" si="0"/>
        <v>0</v>
      </c>
      <c r="J32" s="63">
        <f t="shared" si="0"/>
        <v>0</v>
      </c>
      <c r="K32" s="62"/>
      <c r="L32" s="36"/>
      <c r="M32" s="36"/>
      <c r="N32" s="36"/>
      <c r="O32" s="36"/>
      <c r="P32" s="36"/>
      <c r="Q32" s="99"/>
      <c r="R32" s="100">
        <f t="shared" si="1"/>
        <v>0</v>
      </c>
      <c r="S32" s="101">
        <f t="shared" si="1"/>
        <v>0</v>
      </c>
      <c r="T32" s="62"/>
      <c r="U32" s="8">
        <f t="shared" si="2"/>
        <v>0</v>
      </c>
      <c r="V32" s="135">
        <f t="shared" si="3"/>
        <v>0</v>
      </c>
      <c r="W32" s="134">
        <f t="shared" si="4"/>
        <v>0</v>
      </c>
      <c r="X32" s="61"/>
    </row>
    <row r="33" spans="1:26" ht="19.5" thickBot="1">
      <c r="A33" s="1">
        <f t="shared" si="5"/>
        <v>26</v>
      </c>
      <c r="B33" s="15" t="s">
        <v>45</v>
      </c>
      <c r="C33" s="10">
        <v>2</v>
      </c>
      <c r="D33" s="11"/>
      <c r="E33" s="36"/>
      <c r="F33" s="36"/>
      <c r="G33" s="37"/>
      <c r="H33" s="38"/>
      <c r="I33" s="38">
        <f t="shared" si="0"/>
        <v>2</v>
      </c>
      <c r="J33" s="63">
        <f t="shared" si="0"/>
        <v>0</v>
      </c>
      <c r="K33" s="62"/>
      <c r="L33" s="36"/>
      <c r="M33" s="36"/>
      <c r="N33" s="36"/>
      <c r="O33" s="36"/>
      <c r="P33" s="36"/>
      <c r="Q33" s="99"/>
      <c r="R33" s="100">
        <f t="shared" si="1"/>
        <v>0</v>
      </c>
      <c r="S33" s="101">
        <f t="shared" si="1"/>
        <v>0</v>
      </c>
      <c r="T33" s="62"/>
      <c r="U33" s="8">
        <f t="shared" si="2"/>
        <v>0</v>
      </c>
      <c r="V33" s="135">
        <f t="shared" si="3"/>
        <v>0</v>
      </c>
      <c r="W33" s="134">
        <f t="shared" si="4"/>
        <v>48</v>
      </c>
      <c r="X33" s="61"/>
    </row>
    <row r="34" spans="1:26" ht="19.5" thickBot="1">
      <c r="A34" s="1">
        <f t="shared" si="5"/>
        <v>27</v>
      </c>
      <c r="B34" s="15" t="s">
        <v>46</v>
      </c>
      <c r="C34" s="10">
        <v>4</v>
      </c>
      <c r="D34" s="11"/>
      <c r="E34" s="36"/>
      <c r="F34" s="36"/>
      <c r="G34" s="37"/>
      <c r="H34" s="38"/>
      <c r="I34" s="38">
        <f t="shared" si="0"/>
        <v>4</v>
      </c>
      <c r="J34" s="63">
        <f t="shared" si="0"/>
        <v>0</v>
      </c>
      <c r="K34" s="62"/>
      <c r="L34" s="36"/>
      <c r="M34" s="36"/>
      <c r="N34" s="36"/>
      <c r="O34" s="36"/>
      <c r="P34" s="36"/>
      <c r="Q34" s="99"/>
      <c r="R34" s="100">
        <f t="shared" si="1"/>
        <v>0</v>
      </c>
      <c r="S34" s="101">
        <f t="shared" si="1"/>
        <v>0</v>
      </c>
      <c r="T34" s="62"/>
      <c r="U34" s="8">
        <f t="shared" si="2"/>
        <v>0</v>
      </c>
      <c r="V34" s="135">
        <f t="shared" si="3"/>
        <v>0</v>
      </c>
      <c r="W34" s="134">
        <f t="shared" si="4"/>
        <v>96</v>
      </c>
      <c r="X34" s="61"/>
    </row>
    <row r="35" spans="1:26" ht="19.5" thickBot="1">
      <c r="A35" s="1">
        <f t="shared" si="5"/>
        <v>28</v>
      </c>
      <c r="B35" s="15" t="s">
        <v>47</v>
      </c>
      <c r="C35" s="10">
        <v>35</v>
      </c>
      <c r="D35" s="11">
        <v>14</v>
      </c>
      <c r="E35" s="36"/>
      <c r="F35" s="36"/>
      <c r="G35" s="37"/>
      <c r="H35" s="38"/>
      <c r="I35" s="38">
        <f t="shared" si="0"/>
        <v>35</v>
      </c>
      <c r="J35" s="63">
        <f t="shared" si="0"/>
        <v>14</v>
      </c>
      <c r="K35" s="62"/>
      <c r="L35" s="36"/>
      <c r="M35" s="36"/>
      <c r="N35" s="36"/>
      <c r="O35" s="36"/>
      <c r="P35" s="36"/>
      <c r="Q35" s="99"/>
      <c r="R35" s="100">
        <f t="shared" si="1"/>
        <v>0</v>
      </c>
      <c r="S35" s="101">
        <f t="shared" si="1"/>
        <v>0</v>
      </c>
      <c r="T35" s="62"/>
      <c r="U35" s="8">
        <f t="shared" si="2"/>
        <v>0</v>
      </c>
      <c r="V35" s="135">
        <f t="shared" si="3"/>
        <v>0</v>
      </c>
      <c r="W35" s="134">
        <f t="shared" si="4"/>
        <v>854</v>
      </c>
      <c r="X35" s="61"/>
    </row>
    <row r="36" spans="1:26" ht="18.75" hidden="1" customHeight="1">
      <c r="A36" s="1">
        <f t="shared" si="5"/>
        <v>29</v>
      </c>
      <c r="B36" s="15" t="s">
        <v>48</v>
      </c>
      <c r="C36" s="10"/>
      <c r="D36" s="11"/>
      <c r="E36" s="36"/>
      <c r="F36" s="36"/>
      <c r="G36" s="37"/>
      <c r="H36" s="38"/>
      <c r="I36" s="38">
        <f t="shared" si="0"/>
        <v>0</v>
      </c>
      <c r="J36" s="63">
        <f t="shared" si="0"/>
        <v>0</v>
      </c>
      <c r="K36" s="62"/>
      <c r="L36" s="36"/>
      <c r="M36" s="36"/>
      <c r="N36" s="36"/>
      <c r="O36" s="36"/>
      <c r="P36" s="36"/>
      <c r="Q36" s="99"/>
      <c r="R36" s="100">
        <f t="shared" si="1"/>
        <v>0</v>
      </c>
      <c r="S36" s="101">
        <f t="shared" si="1"/>
        <v>0</v>
      </c>
      <c r="T36" s="62"/>
      <c r="U36" s="8">
        <f t="shared" si="2"/>
        <v>0</v>
      </c>
      <c r="V36" s="135">
        <f t="shared" si="3"/>
        <v>0</v>
      </c>
      <c r="W36" s="134">
        <f t="shared" si="4"/>
        <v>0</v>
      </c>
      <c r="X36" s="61"/>
    </row>
    <row r="37" spans="1:26" ht="18.75" customHeight="1" thickBot="1">
      <c r="A37" s="1">
        <f t="shared" si="5"/>
        <v>30</v>
      </c>
      <c r="B37" s="15" t="s">
        <v>49</v>
      </c>
      <c r="C37" s="10">
        <v>1</v>
      </c>
      <c r="D37" s="11"/>
      <c r="E37" s="36"/>
      <c r="F37" s="36"/>
      <c r="G37" s="37"/>
      <c r="H37" s="38"/>
      <c r="I37" s="38">
        <f t="shared" si="0"/>
        <v>1</v>
      </c>
      <c r="J37" s="63">
        <f t="shared" si="0"/>
        <v>0</v>
      </c>
      <c r="K37" s="62"/>
      <c r="L37" s="36"/>
      <c r="M37" s="36"/>
      <c r="N37" s="36"/>
      <c r="O37" s="36"/>
      <c r="P37" s="36"/>
      <c r="Q37" s="99"/>
      <c r="R37" s="100">
        <f t="shared" si="1"/>
        <v>0</v>
      </c>
      <c r="S37" s="101">
        <f t="shared" si="1"/>
        <v>0</v>
      </c>
      <c r="T37" s="62"/>
      <c r="U37" s="8">
        <f t="shared" si="2"/>
        <v>0</v>
      </c>
      <c r="V37" s="135">
        <f t="shared" si="3"/>
        <v>0</v>
      </c>
      <c r="W37" s="134">
        <f t="shared" si="4"/>
        <v>24</v>
      </c>
      <c r="X37" s="61"/>
    </row>
    <row r="38" spans="1:26" ht="19.5" thickBot="1">
      <c r="A38" s="1">
        <f t="shared" si="5"/>
        <v>31</v>
      </c>
      <c r="B38" s="16" t="s">
        <v>50</v>
      </c>
      <c r="C38" s="13">
        <v>4757</v>
      </c>
      <c r="D38" s="14">
        <v>2</v>
      </c>
      <c r="E38" s="39"/>
      <c r="F38" s="39"/>
      <c r="G38" s="40">
        <v>256</v>
      </c>
      <c r="H38" s="41"/>
      <c r="I38" s="53">
        <f t="shared" si="0"/>
        <v>4501</v>
      </c>
      <c r="J38" s="70">
        <f t="shared" si="0"/>
        <v>2</v>
      </c>
      <c r="K38" s="65"/>
      <c r="L38" s="51">
        <v>22</v>
      </c>
      <c r="M38" s="51"/>
      <c r="N38" s="51">
        <v>134</v>
      </c>
      <c r="O38" s="51"/>
      <c r="P38" s="51">
        <v>100</v>
      </c>
      <c r="Q38" s="102"/>
      <c r="R38" s="107">
        <f t="shared" si="1"/>
        <v>256</v>
      </c>
      <c r="S38" s="104">
        <f t="shared" si="1"/>
        <v>0</v>
      </c>
      <c r="T38" s="65"/>
      <c r="U38" s="136">
        <f>L38*6+N38*6+P38*6</f>
        <v>1536</v>
      </c>
      <c r="V38" s="141">
        <f>U38/6</f>
        <v>256</v>
      </c>
      <c r="W38" s="138">
        <f>I38*6+J38</f>
        <v>27008</v>
      </c>
      <c r="X38" s="139"/>
    </row>
    <row r="39" spans="1:26" ht="19.5" thickBot="1">
      <c r="A39" s="1">
        <f t="shared" si="5"/>
        <v>32</v>
      </c>
      <c r="B39" s="7" t="s">
        <v>51</v>
      </c>
      <c r="C39" s="10"/>
      <c r="D39" s="11"/>
      <c r="E39" s="36"/>
      <c r="F39" s="36"/>
      <c r="G39" s="37"/>
      <c r="H39" s="38"/>
      <c r="I39" s="37">
        <f t="shared" si="0"/>
        <v>0</v>
      </c>
      <c r="J39" s="63">
        <f t="shared" si="0"/>
        <v>0</v>
      </c>
      <c r="K39" s="62"/>
      <c r="L39" s="36"/>
      <c r="M39" s="36"/>
      <c r="N39" s="36"/>
      <c r="O39" s="36"/>
      <c r="P39" s="36"/>
      <c r="Q39" s="99"/>
      <c r="R39" s="108">
        <f t="shared" si="1"/>
        <v>0</v>
      </c>
      <c r="S39" s="106">
        <f t="shared" si="1"/>
        <v>0</v>
      </c>
      <c r="T39" s="62"/>
      <c r="U39" s="8">
        <f t="shared" ref="U39:U41" si="6">L39*24+N39*24+P39*24</f>
        <v>0</v>
      </c>
      <c r="V39" s="33">
        <f t="shared" ref="V39:V41" si="7">U39/24</f>
        <v>0</v>
      </c>
      <c r="W39" s="134">
        <f t="shared" ref="W39:W41" si="8">I39*24+J39</f>
        <v>0</v>
      </c>
      <c r="X39" s="61"/>
    </row>
    <row r="40" spans="1:26" ht="19.5" thickBot="1">
      <c r="A40" s="1">
        <f t="shared" si="5"/>
        <v>33</v>
      </c>
      <c r="B40" s="17" t="s">
        <v>52</v>
      </c>
      <c r="C40" s="18">
        <v>2</v>
      </c>
      <c r="D40" s="19"/>
      <c r="E40" s="42"/>
      <c r="F40" s="42"/>
      <c r="G40" s="43"/>
      <c r="H40" s="44"/>
      <c r="I40" s="38">
        <f t="shared" si="0"/>
        <v>2</v>
      </c>
      <c r="J40" s="63">
        <f t="shared" si="0"/>
        <v>0</v>
      </c>
      <c r="K40" s="62"/>
      <c r="L40" s="36"/>
      <c r="M40" s="36"/>
      <c r="N40" s="36"/>
      <c r="O40" s="36"/>
      <c r="P40" s="36"/>
      <c r="Q40" s="99"/>
      <c r="R40" s="100">
        <f t="shared" si="1"/>
        <v>0</v>
      </c>
      <c r="S40" s="101">
        <f t="shared" si="1"/>
        <v>0</v>
      </c>
      <c r="T40" s="62"/>
      <c r="U40" s="142">
        <f t="shared" si="6"/>
        <v>0</v>
      </c>
      <c r="V40" s="135">
        <f t="shared" si="7"/>
        <v>0</v>
      </c>
      <c r="W40" s="143">
        <f t="shared" si="8"/>
        <v>48</v>
      </c>
      <c r="X40" s="144"/>
    </row>
    <row r="41" spans="1:26" ht="19.5" thickBot="1">
      <c r="A41" s="1">
        <f t="shared" si="5"/>
        <v>34</v>
      </c>
      <c r="B41" s="20" t="s">
        <v>53</v>
      </c>
      <c r="C41" s="21">
        <v>103</v>
      </c>
      <c r="D41" s="22">
        <v>8</v>
      </c>
      <c r="E41" s="45"/>
      <c r="F41" s="45"/>
      <c r="G41" s="46"/>
      <c r="H41" s="47"/>
      <c r="I41" s="71">
        <f t="shared" si="0"/>
        <v>103</v>
      </c>
      <c r="J41" s="72">
        <f t="shared" si="0"/>
        <v>8</v>
      </c>
      <c r="K41" s="73"/>
      <c r="L41" s="74"/>
      <c r="M41" s="74"/>
      <c r="N41" s="74"/>
      <c r="O41" s="74"/>
      <c r="P41" s="74"/>
      <c r="Q41" s="109"/>
      <c r="R41" s="110">
        <f t="shared" si="1"/>
        <v>0</v>
      </c>
      <c r="S41" s="111">
        <f t="shared" si="1"/>
        <v>0</v>
      </c>
      <c r="T41" s="73"/>
      <c r="U41" s="145">
        <f t="shared" si="6"/>
        <v>0</v>
      </c>
      <c r="V41" s="146">
        <f t="shared" si="7"/>
        <v>0</v>
      </c>
      <c r="W41" s="146">
        <f t="shared" si="8"/>
        <v>2480</v>
      </c>
      <c r="X41" s="147"/>
    </row>
    <row r="42" spans="1:26" ht="19.5" thickBot="1">
      <c r="A42" s="1">
        <f t="shared" si="5"/>
        <v>35</v>
      </c>
      <c r="B42" s="23" t="s">
        <v>54</v>
      </c>
      <c r="C42" s="24">
        <v>378</v>
      </c>
      <c r="D42" s="25"/>
      <c r="E42" s="48"/>
      <c r="F42" s="48"/>
      <c r="G42" s="49">
        <v>24</v>
      </c>
      <c r="H42" s="50"/>
      <c r="I42" s="49">
        <f t="shared" si="0"/>
        <v>354</v>
      </c>
      <c r="J42" s="75">
        <f t="shared" si="0"/>
        <v>0</v>
      </c>
      <c r="K42" s="76"/>
      <c r="L42" s="48">
        <v>10</v>
      </c>
      <c r="M42" s="48"/>
      <c r="N42" s="48"/>
      <c r="O42" s="48"/>
      <c r="P42" s="48">
        <v>14</v>
      </c>
      <c r="Q42" s="112"/>
      <c r="R42" s="113">
        <f t="shared" si="1"/>
        <v>24</v>
      </c>
      <c r="S42" s="114">
        <f t="shared" si="1"/>
        <v>0</v>
      </c>
      <c r="T42" s="76"/>
      <c r="U42" s="148">
        <f>L42*12+N42*12+P42*12</f>
        <v>288</v>
      </c>
      <c r="V42" s="149">
        <f>U42/12</f>
        <v>24</v>
      </c>
      <c r="W42" s="150">
        <f>I42*12+J42</f>
        <v>4248</v>
      </c>
      <c r="X42" s="151"/>
    </row>
    <row r="43" spans="1:26" ht="18.75" hidden="1" customHeight="1">
      <c r="A43" s="1">
        <f t="shared" si="5"/>
        <v>36</v>
      </c>
      <c r="B43" s="7" t="s">
        <v>55</v>
      </c>
      <c r="C43" s="10"/>
      <c r="D43" s="11"/>
      <c r="E43" s="36"/>
      <c r="F43" s="36"/>
      <c r="G43" s="37"/>
      <c r="H43" s="38"/>
      <c r="I43" s="38">
        <f t="shared" si="0"/>
        <v>0</v>
      </c>
      <c r="J43" s="64">
        <f t="shared" si="0"/>
        <v>0</v>
      </c>
      <c r="K43" s="62"/>
      <c r="L43" s="36"/>
      <c r="M43" s="36"/>
      <c r="N43" s="36"/>
      <c r="O43" s="36"/>
      <c r="P43" s="36"/>
      <c r="Q43" s="99"/>
      <c r="R43" s="115">
        <f t="shared" si="1"/>
        <v>0</v>
      </c>
      <c r="S43" s="116">
        <f t="shared" si="1"/>
        <v>0</v>
      </c>
      <c r="T43" s="62"/>
      <c r="U43" s="8"/>
      <c r="V43" s="33"/>
      <c r="W43" s="134"/>
      <c r="X43" s="61"/>
    </row>
    <row r="44" spans="1:26" ht="19.5" thickBot="1">
      <c r="A44" s="1">
        <f t="shared" si="5"/>
        <v>37</v>
      </c>
      <c r="B44" s="12" t="s">
        <v>56</v>
      </c>
      <c r="C44" s="13">
        <v>27191</v>
      </c>
      <c r="D44" s="14">
        <v>1</v>
      </c>
      <c r="E44" s="39">
        <v>1836</v>
      </c>
      <c r="F44" s="39"/>
      <c r="G44" s="40">
        <v>763</v>
      </c>
      <c r="H44" s="41"/>
      <c r="I44" s="38">
        <f>C44+E44-G44</f>
        <v>28264</v>
      </c>
      <c r="J44" s="77">
        <f t="shared" ref="J44:J59" si="9">D44-H44</f>
        <v>1</v>
      </c>
      <c r="K44" s="65"/>
      <c r="L44" s="51">
        <v>84</v>
      </c>
      <c r="M44" s="51"/>
      <c r="N44" s="51">
        <v>231</v>
      </c>
      <c r="O44" s="51"/>
      <c r="P44" s="51">
        <v>448</v>
      </c>
      <c r="Q44" s="102"/>
      <c r="R44" s="117">
        <f t="shared" si="1"/>
        <v>763</v>
      </c>
      <c r="S44" s="118">
        <f t="shared" si="1"/>
        <v>0</v>
      </c>
      <c r="T44" s="65"/>
      <c r="U44" s="136">
        <f>L44*6+N44*6+P44*6</f>
        <v>4578</v>
      </c>
      <c r="V44" s="135">
        <f>U44/6</f>
        <v>763</v>
      </c>
      <c r="W44" s="138">
        <f>I44*6+J44</f>
        <v>169585</v>
      </c>
      <c r="X44" s="139"/>
      <c r="Z44" s="155"/>
    </row>
    <row r="45" spans="1:26" ht="18.75" hidden="1" customHeight="1">
      <c r="A45" s="1">
        <f t="shared" si="5"/>
        <v>38</v>
      </c>
      <c r="B45" s="7" t="s">
        <v>57</v>
      </c>
      <c r="C45" s="10"/>
      <c r="D45" s="11"/>
      <c r="E45" s="36"/>
      <c r="F45" s="36"/>
      <c r="G45" s="37"/>
      <c r="H45" s="38"/>
      <c r="I45" s="44">
        <f t="shared" ref="I45:I59" si="10">C45-G45</f>
        <v>0</v>
      </c>
      <c r="J45" s="63">
        <f t="shared" si="9"/>
        <v>0</v>
      </c>
      <c r="K45" s="62"/>
      <c r="L45" s="36"/>
      <c r="M45" s="36"/>
      <c r="N45" s="36"/>
      <c r="O45" s="36"/>
      <c r="P45" s="36"/>
      <c r="Q45" s="99"/>
      <c r="R45" s="108">
        <f t="shared" si="1"/>
        <v>0</v>
      </c>
      <c r="S45" s="116">
        <f t="shared" si="1"/>
        <v>0</v>
      </c>
      <c r="T45" s="62"/>
      <c r="U45" s="8"/>
      <c r="V45" s="137"/>
      <c r="W45" s="134"/>
      <c r="X45" s="61"/>
    </row>
    <row r="46" spans="1:26" ht="19.5" thickBot="1">
      <c r="A46" s="1">
        <f t="shared" si="5"/>
        <v>39</v>
      </c>
      <c r="B46" s="15" t="s">
        <v>58</v>
      </c>
      <c r="C46" s="10">
        <v>7</v>
      </c>
      <c r="D46" s="11"/>
      <c r="E46" s="36"/>
      <c r="F46" s="36"/>
      <c r="G46" s="37"/>
      <c r="H46" s="38"/>
      <c r="I46" s="68">
        <f t="shared" si="10"/>
        <v>7</v>
      </c>
      <c r="J46" s="63">
        <f t="shared" si="9"/>
        <v>0</v>
      </c>
      <c r="K46" s="62"/>
      <c r="L46" s="36"/>
      <c r="M46" s="36"/>
      <c r="N46" s="36"/>
      <c r="O46" s="36"/>
      <c r="P46" s="36"/>
      <c r="Q46" s="99"/>
      <c r="R46" s="100">
        <f t="shared" si="1"/>
        <v>0</v>
      </c>
      <c r="S46" s="119">
        <f t="shared" si="1"/>
        <v>0</v>
      </c>
      <c r="T46" s="62"/>
      <c r="U46" s="8">
        <f t="shared" ref="U46:U51" si="11">L46*24+N46*24+P46*24</f>
        <v>0</v>
      </c>
      <c r="V46" s="140">
        <f t="shared" ref="V46:V51" si="12">U46/24</f>
        <v>0</v>
      </c>
      <c r="W46" s="134">
        <f t="shared" ref="W46:W51" si="13">I46*24+J46</f>
        <v>168</v>
      </c>
      <c r="X46" s="61"/>
    </row>
    <row r="47" spans="1:26" ht="19.5" thickBot="1">
      <c r="A47" s="1">
        <f t="shared" si="5"/>
        <v>40</v>
      </c>
      <c r="B47" s="15" t="s">
        <v>59</v>
      </c>
      <c r="C47" s="10">
        <v>1</v>
      </c>
      <c r="D47" s="11"/>
      <c r="E47" s="36"/>
      <c r="F47" s="36"/>
      <c r="G47" s="37"/>
      <c r="H47" s="38"/>
      <c r="I47" s="38">
        <f t="shared" si="10"/>
        <v>1</v>
      </c>
      <c r="J47" s="63">
        <f t="shared" si="9"/>
        <v>0</v>
      </c>
      <c r="K47" s="62"/>
      <c r="L47" s="36"/>
      <c r="M47" s="36"/>
      <c r="N47" s="36"/>
      <c r="O47" s="36"/>
      <c r="P47" s="36"/>
      <c r="Q47" s="99"/>
      <c r="R47" s="100">
        <f t="shared" si="1"/>
        <v>0</v>
      </c>
      <c r="S47" s="101">
        <f t="shared" si="1"/>
        <v>0</v>
      </c>
      <c r="T47" s="62"/>
      <c r="U47" s="8">
        <f t="shared" si="11"/>
        <v>0</v>
      </c>
      <c r="V47" s="135">
        <f t="shared" si="12"/>
        <v>0</v>
      </c>
      <c r="W47" s="134">
        <f t="shared" si="13"/>
        <v>24</v>
      </c>
      <c r="X47" s="61"/>
    </row>
    <row r="48" spans="1:26" ht="19.5" thickBot="1">
      <c r="A48" s="1">
        <f t="shared" si="5"/>
        <v>41</v>
      </c>
      <c r="B48" s="12" t="s">
        <v>48</v>
      </c>
      <c r="C48" s="26">
        <v>2820</v>
      </c>
      <c r="D48" s="27">
        <v>4</v>
      </c>
      <c r="E48" s="51"/>
      <c r="F48" s="51"/>
      <c r="G48" s="52"/>
      <c r="H48" s="53"/>
      <c r="I48" s="53">
        <f t="shared" si="10"/>
        <v>2820</v>
      </c>
      <c r="J48" s="70">
        <f t="shared" si="9"/>
        <v>4</v>
      </c>
      <c r="K48" s="65"/>
      <c r="L48" s="51"/>
      <c r="M48" s="51"/>
      <c r="N48" s="51"/>
      <c r="O48" s="51"/>
      <c r="P48" s="51"/>
      <c r="Q48" s="102"/>
      <c r="R48" s="107">
        <f t="shared" si="1"/>
        <v>0</v>
      </c>
      <c r="S48" s="120">
        <f t="shared" si="1"/>
        <v>0</v>
      </c>
      <c r="T48" s="65"/>
      <c r="U48" s="136">
        <f>L48*6+N48*6+P48*6</f>
        <v>0</v>
      </c>
      <c r="V48" s="141">
        <f>U48/6</f>
        <v>0</v>
      </c>
      <c r="W48" s="138">
        <f>I48*6+J48</f>
        <v>16924</v>
      </c>
      <c r="X48" s="139"/>
    </row>
    <row r="49" spans="1:24" ht="19.5" thickBot="1">
      <c r="A49" s="1">
        <f t="shared" si="5"/>
        <v>42</v>
      </c>
      <c r="B49" s="7" t="s">
        <v>60</v>
      </c>
      <c r="C49" s="10">
        <v>1</v>
      </c>
      <c r="D49" s="11"/>
      <c r="E49" s="36"/>
      <c r="F49" s="36"/>
      <c r="G49" s="37"/>
      <c r="H49" s="38"/>
      <c r="I49" s="38">
        <f t="shared" si="10"/>
        <v>1</v>
      </c>
      <c r="J49" s="63">
        <f t="shared" si="9"/>
        <v>0</v>
      </c>
      <c r="K49" s="62"/>
      <c r="L49" s="36"/>
      <c r="M49" s="36"/>
      <c r="N49" s="36"/>
      <c r="O49" s="36"/>
      <c r="P49" s="36"/>
      <c r="Q49" s="99"/>
      <c r="R49" s="108">
        <f t="shared" si="1"/>
        <v>0</v>
      </c>
      <c r="S49" s="106">
        <f t="shared" si="1"/>
        <v>0</v>
      </c>
      <c r="T49" s="62"/>
      <c r="U49" s="8">
        <f t="shared" si="11"/>
        <v>0</v>
      </c>
      <c r="V49" s="33">
        <f t="shared" si="12"/>
        <v>0</v>
      </c>
      <c r="W49" s="134">
        <f t="shared" si="13"/>
        <v>24</v>
      </c>
      <c r="X49" s="61"/>
    </row>
    <row r="50" spans="1:24" ht="19.5" thickBot="1">
      <c r="A50" s="1">
        <f t="shared" si="5"/>
        <v>43</v>
      </c>
      <c r="B50" s="15" t="s">
        <v>61</v>
      </c>
      <c r="C50" s="10">
        <v>2</v>
      </c>
      <c r="D50" s="11"/>
      <c r="E50" s="36"/>
      <c r="F50" s="36"/>
      <c r="G50" s="37"/>
      <c r="H50" s="38"/>
      <c r="I50" s="38">
        <f t="shared" si="10"/>
        <v>2</v>
      </c>
      <c r="J50" s="63">
        <f t="shared" si="9"/>
        <v>0</v>
      </c>
      <c r="K50" s="62"/>
      <c r="L50" s="36"/>
      <c r="M50" s="36"/>
      <c r="N50" s="36"/>
      <c r="O50" s="36"/>
      <c r="P50" s="36"/>
      <c r="Q50" s="99"/>
      <c r="R50" s="100">
        <f t="shared" si="1"/>
        <v>0</v>
      </c>
      <c r="S50" s="101">
        <f t="shared" si="1"/>
        <v>0</v>
      </c>
      <c r="T50" s="62"/>
      <c r="U50" s="8">
        <f t="shared" si="11"/>
        <v>0</v>
      </c>
      <c r="V50" s="135">
        <f t="shared" si="12"/>
        <v>0</v>
      </c>
      <c r="W50" s="134">
        <f t="shared" si="13"/>
        <v>48</v>
      </c>
      <c r="X50" s="61"/>
    </row>
    <row r="51" spans="1:24" ht="19.5" thickBot="1">
      <c r="A51" s="1">
        <f t="shared" si="5"/>
        <v>44</v>
      </c>
      <c r="B51" s="15" t="s">
        <v>62</v>
      </c>
      <c r="C51" s="10"/>
      <c r="D51" s="11"/>
      <c r="E51" s="36"/>
      <c r="F51" s="36"/>
      <c r="G51" s="37"/>
      <c r="H51" s="38"/>
      <c r="I51" s="38">
        <f t="shared" si="10"/>
        <v>0</v>
      </c>
      <c r="J51" s="63">
        <f t="shared" si="9"/>
        <v>0</v>
      </c>
      <c r="K51" s="62"/>
      <c r="L51" s="36"/>
      <c r="M51" s="36"/>
      <c r="N51" s="36"/>
      <c r="O51" s="36"/>
      <c r="P51" s="36"/>
      <c r="Q51" s="99"/>
      <c r="R51" s="100">
        <f t="shared" si="1"/>
        <v>0</v>
      </c>
      <c r="S51" s="101">
        <f t="shared" si="1"/>
        <v>0</v>
      </c>
      <c r="T51" s="62"/>
      <c r="U51" s="8">
        <f t="shared" si="11"/>
        <v>0</v>
      </c>
      <c r="V51" s="135">
        <f t="shared" si="12"/>
        <v>0</v>
      </c>
      <c r="W51" s="134">
        <f t="shared" si="13"/>
        <v>0</v>
      </c>
      <c r="X51" s="61"/>
    </row>
    <row r="52" spans="1:24" ht="19.5" thickBot="1">
      <c r="A52" s="1">
        <f t="shared" si="5"/>
        <v>45</v>
      </c>
      <c r="B52" s="12" t="s">
        <v>63</v>
      </c>
      <c r="C52" s="26">
        <v>34</v>
      </c>
      <c r="D52" s="27"/>
      <c r="E52" s="51"/>
      <c r="F52" s="51"/>
      <c r="G52" s="52"/>
      <c r="H52" s="53"/>
      <c r="I52" s="53">
        <f t="shared" si="10"/>
        <v>34</v>
      </c>
      <c r="J52" s="70">
        <f t="shared" si="9"/>
        <v>0</v>
      </c>
      <c r="K52" s="65"/>
      <c r="L52" s="51"/>
      <c r="M52" s="51"/>
      <c r="N52" s="51"/>
      <c r="O52" s="51"/>
      <c r="P52" s="51"/>
      <c r="Q52" s="102"/>
      <c r="R52" s="107">
        <f t="shared" si="1"/>
        <v>0</v>
      </c>
      <c r="S52" s="120">
        <f t="shared" si="1"/>
        <v>0</v>
      </c>
      <c r="T52" s="65"/>
      <c r="U52" s="136">
        <f>L52*6+N52*6+P52*6</f>
        <v>0</v>
      </c>
      <c r="V52" s="141">
        <f>U52/6</f>
        <v>0</v>
      </c>
      <c r="W52" s="138">
        <f>I52*6+J52</f>
        <v>204</v>
      </c>
      <c r="X52" s="139"/>
    </row>
    <row r="53" spans="1:24" ht="19.5" thickBot="1">
      <c r="A53" s="1">
        <f t="shared" si="5"/>
        <v>46</v>
      </c>
      <c r="B53" s="7" t="s">
        <v>64</v>
      </c>
      <c r="C53" s="10">
        <v>2</v>
      </c>
      <c r="D53" s="11"/>
      <c r="E53" s="36"/>
      <c r="F53" s="36"/>
      <c r="G53" s="37"/>
      <c r="H53" s="38"/>
      <c r="I53" s="38">
        <f t="shared" si="10"/>
        <v>2</v>
      </c>
      <c r="J53" s="63">
        <f t="shared" si="9"/>
        <v>0</v>
      </c>
      <c r="K53" s="62"/>
      <c r="L53" s="36"/>
      <c r="M53" s="36"/>
      <c r="N53" s="36"/>
      <c r="O53" s="36"/>
      <c r="P53" s="36"/>
      <c r="Q53" s="99"/>
      <c r="R53" s="108">
        <f t="shared" si="1"/>
        <v>0</v>
      </c>
      <c r="S53" s="106">
        <f t="shared" si="1"/>
        <v>0</v>
      </c>
      <c r="T53" s="62"/>
      <c r="U53" s="8">
        <f>L53*24+N53*24+P53*24</f>
        <v>0</v>
      </c>
      <c r="V53" s="33">
        <f>U53/24</f>
        <v>0</v>
      </c>
      <c r="W53" s="134">
        <f>I53*24+J53</f>
        <v>48</v>
      </c>
      <c r="X53" s="61"/>
    </row>
    <row r="54" spans="1:24" ht="19.5" thickBot="1">
      <c r="A54" s="1">
        <f t="shared" si="5"/>
        <v>47</v>
      </c>
      <c r="B54" s="15" t="s">
        <v>65</v>
      </c>
      <c r="C54" s="10">
        <v>11</v>
      </c>
      <c r="D54" s="11"/>
      <c r="E54" s="36"/>
      <c r="F54" s="36"/>
      <c r="G54" s="37"/>
      <c r="H54" s="38"/>
      <c r="I54" s="38">
        <f t="shared" si="10"/>
        <v>11</v>
      </c>
      <c r="J54" s="63">
        <f t="shared" si="9"/>
        <v>0</v>
      </c>
      <c r="K54" s="62"/>
      <c r="L54" s="36"/>
      <c r="M54" s="36"/>
      <c r="N54" s="36"/>
      <c r="O54" s="36"/>
      <c r="P54" s="36"/>
      <c r="Q54" s="99"/>
      <c r="R54" s="100">
        <f t="shared" si="1"/>
        <v>0</v>
      </c>
      <c r="S54" s="101">
        <f t="shared" si="1"/>
        <v>0</v>
      </c>
      <c r="T54" s="62"/>
      <c r="U54" s="8">
        <f>L54*24+N54*24+P54*24</f>
        <v>0</v>
      </c>
      <c r="V54" s="135">
        <f>U54/24</f>
        <v>0</v>
      </c>
      <c r="W54" s="134">
        <f>I54*24+J54</f>
        <v>264</v>
      </c>
      <c r="X54" s="61"/>
    </row>
    <row r="55" spans="1:24" ht="19.5" thickBot="1">
      <c r="A55" s="1">
        <f t="shared" si="5"/>
        <v>48</v>
      </c>
      <c r="B55" s="15"/>
      <c r="C55" s="10"/>
      <c r="D55" s="11"/>
      <c r="E55" s="36"/>
      <c r="F55" s="36"/>
      <c r="G55" s="37"/>
      <c r="H55" s="38"/>
      <c r="I55" s="38">
        <f t="shared" si="10"/>
        <v>0</v>
      </c>
      <c r="J55" s="63">
        <f t="shared" si="9"/>
        <v>0</v>
      </c>
      <c r="K55" s="62"/>
      <c r="L55" s="36"/>
      <c r="M55" s="36"/>
      <c r="N55" s="36"/>
      <c r="O55" s="36"/>
      <c r="P55" s="36"/>
      <c r="Q55" s="99"/>
      <c r="R55" s="100">
        <f t="shared" si="1"/>
        <v>0</v>
      </c>
      <c r="S55" s="101">
        <f t="shared" si="1"/>
        <v>0</v>
      </c>
      <c r="T55" s="62"/>
      <c r="U55" s="8"/>
      <c r="V55" s="135"/>
      <c r="W55" s="134"/>
      <c r="X55" s="61"/>
    </row>
    <row r="56" spans="1:24" ht="19.5" thickBot="1">
      <c r="A56" s="1">
        <f t="shared" si="5"/>
        <v>49</v>
      </c>
      <c r="B56" s="15"/>
      <c r="C56" s="10"/>
      <c r="D56" s="11"/>
      <c r="E56" s="36"/>
      <c r="F56" s="36"/>
      <c r="G56" s="37"/>
      <c r="H56" s="38"/>
      <c r="I56" s="38">
        <f t="shared" si="10"/>
        <v>0</v>
      </c>
      <c r="J56" s="63">
        <f t="shared" si="9"/>
        <v>0</v>
      </c>
      <c r="K56" s="62"/>
      <c r="L56" s="36"/>
      <c r="M56" s="36"/>
      <c r="N56" s="36"/>
      <c r="O56" s="36"/>
      <c r="P56" s="36"/>
      <c r="Q56" s="99"/>
      <c r="R56" s="100">
        <f t="shared" si="1"/>
        <v>0</v>
      </c>
      <c r="S56" s="101">
        <f t="shared" si="1"/>
        <v>0</v>
      </c>
      <c r="T56" s="62"/>
      <c r="U56" s="8"/>
      <c r="V56" s="135"/>
      <c r="W56" s="134"/>
      <c r="X56" s="61"/>
    </row>
    <row r="57" spans="1:24" ht="19.5" thickBot="1">
      <c r="A57" s="1">
        <f t="shared" si="5"/>
        <v>50</v>
      </c>
      <c r="B57" s="15"/>
      <c r="C57" s="10"/>
      <c r="D57" s="11"/>
      <c r="E57" s="36"/>
      <c r="F57" s="36"/>
      <c r="G57" s="37"/>
      <c r="H57" s="38"/>
      <c r="I57" s="38">
        <f t="shared" si="10"/>
        <v>0</v>
      </c>
      <c r="J57" s="63">
        <f t="shared" si="9"/>
        <v>0</v>
      </c>
      <c r="K57" s="62"/>
      <c r="L57" s="36"/>
      <c r="M57" s="36"/>
      <c r="N57" s="36"/>
      <c r="O57" s="36"/>
      <c r="P57" s="36"/>
      <c r="Q57" s="99"/>
      <c r="R57" s="100">
        <f t="shared" si="1"/>
        <v>0</v>
      </c>
      <c r="S57" s="101">
        <f t="shared" si="1"/>
        <v>0</v>
      </c>
      <c r="T57" s="62"/>
      <c r="U57" s="8"/>
      <c r="V57" s="135"/>
      <c r="W57" s="134"/>
      <c r="X57" s="61"/>
    </row>
    <row r="58" spans="1:24" ht="19.5" thickBot="1">
      <c r="A58" s="1">
        <f t="shared" si="5"/>
        <v>51</v>
      </c>
      <c r="B58" s="15"/>
      <c r="C58" s="10"/>
      <c r="D58" s="11"/>
      <c r="E58" s="36"/>
      <c r="F58" s="36"/>
      <c r="G58" s="37"/>
      <c r="H58" s="38"/>
      <c r="I58" s="38">
        <f t="shared" si="10"/>
        <v>0</v>
      </c>
      <c r="J58" s="63">
        <f t="shared" si="9"/>
        <v>0</v>
      </c>
      <c r="K58" s="62"/>
      <c r="L58" s="36"/>
      <c r="M58" s="36"/>
      <c r="N58" s="36"/>
      <c r="O58" s="36"/>
      <c r="P58" s="36"/>
      <c r="Q58" s="99"/>
      <c r="R58" s="100">
        <f t="shared" si="1"/>
        <v>0</v>
      </c>
      <c r="S58" s="101">
        <f t="shared" si="1"/>
        <v>0</v>
      </c>
      <c r="T58" s="62"/>
      <c r="U58" s="8"/>
      <c r="V58" s="135"/>
      <c r="W58" s="134"/>
      <c r="X58" s="61"/>
    </row>
    <row r="59" spans="1:24" ht="19.5" thickBot="1">
      <c r="A59" s="1">
        <f t="shared" si="5"/>
        <v>52</v>
      </c>
      <c r="B59" s="15"/>
      <c r="C59" s="10"/>
      <c r="D59" s="11"/>
      <c r="E59" s="36"/>
      <c r="F59" s="36"/>
      <c r="G59" s="37"/>
      <c r="H59" s="38"/>
      <c r="I59" s="38">
        <f t="shared" si="10"/>
        <v>0</v>
      </c>
      <c r="J59" s="63">
        <f t="shared" si="9"/>
        <v>0</v>
      </c>
      <c r="K59" s="62"/>
      <c r="L59" s="36"/>
      <c r="M59" s="36"/>
      <c r="N59" s="36"/>
      <c r="O59" s="36"/>
      <c r="P59" s="36"/>
      <c r="Q59" s="99"/>
      <c r="R59" s="100">
        <f t="shared" si="1"/>
        <v>0</v>
      </c>
      <c r="S59" s="101">
        <f t="shared" si="1"/>
        <v>0</v>
      </c>
      <c r="T59" s="62"/>
      <c r="U59" s="8"/>
      <c r="V59" s="135"/>
      <c r="W59" s="134"/>
      <c r="X59" s="61"/>
    </row>
    <row r="60" spans="1:24" s="2" customFormat="1" ht="19.5" thickBot="1">
      <c r="B60" s="28" t="s">
        <v>15</v>
      </c>
      <c r="C60" s="29">
        <f t="shared" ref="C60:J60" si="14">SUM(C8:C59)</f>
        <v>38695</v>
      </c>
      <c r="D60" s="30">
        <f t="shared" si="14"/>
        <v>119</v>
      </c>
      <c r="E60" s="54">
        <f t="shared" si="14"/>
        <v>1836</v>
      </c>
      <c r="F60" s="54"/>
      <c r="G60" s="55">
        <f t="shared" si="14"/>
        <v>1072</v>
      </c>
      <c r="H60" s="56">
        <f t="shared" si="14"/>
        <v>12</v>
      </c>
      <c r="I60" s="56">
        <f t="shared" si="14"/>
        <v>39459</v>
      </c>
      <c r="J60" s="78">
        <f t="shared" si="14"/>
        <v>107</v>
      </c>
      <c r="L60" s="79">
        <f t="shared" ref="L60:S60" si="15">SUM(L8:L59)</f>
        <v>118</v>
      </c>
      <c r="M60" s="79">
        <f t="shared" si="15"/>
        <v>0</v>
      </c>
      <c r="N60" s="79">
        <f t="shared" si="15"/>
        <v>377</v>
      </c>
      <c r="O60" s="79">
        <f t="shared" si="15"/>
        <v>0</v>
      </c>
      <c r="P60" s="79">
        <f t="shared" si="15"/>
        <v>577</v>
      </c>
      <c r="Q60" s="121">
        <f t="shared" si="15"/>
        <v>12</v>
      </c>
      <c r="R60" s="122">
        <f t="shared" si="15"/>
        <v>1072</v>
      </c>
      <c r="S60" s="123">
        <f t="shared" si="15"/>
        <v>12</v>
      </c>
      <c r="U60" s="29">
        <f t="shared" ref="U60:W60" si="16">SUM(U8:U59)</f>
        <v>7098</v>
      </c>
      <c r="V60" s="152">
        <f t="shared" si="16"/>
        <v>1072</v>
      </c>
      <c r="W60" s="179">
        <f t="shared" si="16"/>
        <v>301733</v>
      </c>
      <c r="X60" s="78"/>
    </row>
    <row r="61" spans="1:24" ht="19.5" thickBot="1">
      <c r="V61" s="154"/>
    </row>
    <row r="62" spans="1:24" ht="18.75" customHeight="1">
      <c r="G62" s="197" t="s">
        <v>66</v>
      </c>
      <c r="H62" s="57"/>
      <c r="I62" s="57"/>
      <c r="J62" s="80" t="s">
        <v>67</v>
      </c>
      <c r="L62" s="81"/>
      <c r="M62" s="87"/>
      <c r="N62" s="88"/>
      <c r="O62" s="88"/>
      <c r="P62" s="88"/>
      <c r="Q62" s="124"/>
      <c r="R62" s="124"/>
      <c r="S62" s="125"/>
    </row>
    <row r="63" spans="1:24">
      <c r="G63" s="198"/>
      <c r="H63" s="58"/>
      <c r="I63" s="58"/>
      <c r="J63" s="82" t="s">
        <v>68</v>
      </c>
      <c r="L63" s="83"/>
      <c r="M63" s="89"/>
      <c r="N63" s="90"/>
      <c r="O63" s="90"/>
      <c r="P63" s="90"/>
      <c r="Q63" s="126"/>
      <c r="R63" s="126"/>
      <c r="S63" s="127"/>
    </row>
    <row r="64" spans="1:24">
      <c r="G64" s="199"/>
      <c r="H64" s="59"/>
      <c r="I64" s="59"/>
      <c r="J64" s="82" t="s">
        <v>69</v>
      </c>
      <c r="L64" s="84"/>
      <c r="M64" s="91"/>
      <c r="N64" s="92"/>
      <c r="O64" s="92"/>
      <c r="P64" s="92"/>
      <c r="Q64" s="128"/>
      <c r="R64" s="128"/>
      <c r="S64" s="129"/>
    </row>
    <row r="65" spans="2:24">
      <c r="G65" s="200" t="s">
        <v>70</v>
      </c>
      <c r="H65" s="164"/>
      <c r="I65" s="164"/>
      <c r="J65" s="82" t="s">
        <v>67</v>
      </c>
      <c r="L65" s="84"/>
      <c r="M65" s="91"/>
      <c r="N65" s="92"/>
      <c r="O65" s="92"/>
      <c r="P65" s="92"/>
      <c r="Q65" s="128"/>
      <c r="R65" s="128"/>
      <c r="S65" s="129"/>
    </row>
    <row r="66" spans="2:24">
      <c r="G66" s="200"/>
      <c r="H66" s="164"/>
      <c r="I66" s="164"/>
      <c r="J66" s="82" t="s">
        <v>68</v>
      </c>
      <c r="L66" s="83"/>
      <c r="M66" s="89"/>
      <c r="N66" s="90"/>
      <c r="O66" s="90"/>
      <c r="P66" s="90"/>
      <c r="Q66" s="126"/>
      <c r="R66" s="126"/>
      <c r="S66" s="127"/>
    </row>
    <row r="67" spans="2:24" ht="19.5" thickBot="1">
      <c r="G67" s="201"/>
      <c r="H67" s="165"/>
      <c r="I67" s="165"/>
      <c r="J67" s="167" t="s">
        <v>69</v>
      </c>
      <c r="L67" s="168"/>
      <c r="M67" s="170"/>
      <c r="N67" s="171"/>
      <c r="O67" s="171"/>
      <c r="P67" s="171"/>
      <c r="Q67" s="174"/>
      <c r="R67" s="174"/>
      <c r="S67" s="175"/>
    </row>
    <row r="69" spans="2:24" ht="49.5" customHeight="1" thickBot="1">
      <c r="B69" s="159" t="s">
        <v>71</v>
      </c>
      <c r="C69" s="5" t="s">
        <v>4</v>
      </c>
      <c r="D69" s="6"/>
      <c r="E69" s="166" t="s">
        <v>72</v>
      </c>
      <c r="L69" s="169" t="s">
        <v>12</v>
      </c>
      <c r="M69" s="172"/>
      <c r="N69" s="173" t="s">
        <v>13</v>
      </c>
      <c r="O69" s="173"/>
      <c r="P69" s="173" t="s">
        <v>14</v>
      </c>
      <c r="Q69" s="176"/>
      <c r="R69" s="176"/>
      <c r="S69" s="177" t="s">
        <v>73</v>
      </c>
      <c r="X69" s="178" t="s">
        <v>74</v>
      </c>
    </row>
    <row r="70" spans="2:24">
      <c r="B70" s="160" t="s">
        <v>47</v>
      </c>
      <c r="C70" s="161"/>
      <c r="D70" s="161"/>
      <c r="E70" s="163"/>
      <c r="L70" s="161"/>
      <c r="M70" s="161"/>
      <c r="N70" s="161"/>
      <c r="O70" s="161"/>
      <c r="P70" s="161"/>
      <c r="Q70" s="161"/>
      <c r="R70" s="161"/>
      <c r="S70" s="161"/>
      <c r="X70" s="163"/>
    </row>
    <row r="71" spans="2:24">
      <c r="B71" s="162" t="s">
        <v>75</v>
      </c>
      <c r="C71" s="161"/>
      <c r="D71" s="161"/>
      <c r="E71" s="163"/>
      <c r="L71" s="163"/>
      <c r="M71" s="163"/>
      <c r="N71" s="163"/>
      <c r="O71" s="163"/>
      <c r="P71" s="163"/>
      <c r="Q71" s="163"/>
      <c r="R71" s="163"/>
      <c r="S71" s="163"/>
      <c r="X71" s="163"/>
    </row>
    <row r="72" spans="2:24">
      <c r="B72" s="162" t="s">
        <v>76</v>
      </c>
      <c r="C72" s="161"/>
      <c r="D72" s="161"/>
      <c r="E72" s="163"/>
      <c r="L72" s="163"/>
      <c r="M72" s="163"/>
      <c r="N72" s="163"/>
      <c r="O72" s="163"/>
      <c r="P72" s="163"/>
      <c r="Q72" s="163"/>
      <c r="R72" s="163"/>
      <c r="S72" s="163"/>
      <c r="X72" s="163"/>
    </row>
    <row r="73" spans="2:24" ht="11.25" customHeight="1"/>
    <row r="74" spans="2:24">
      <c r="B74" s="162" t="s">
        <v>77</v>
      </c>
      <c r="C74" s="163"/>
      <c r="D74" s="163"/>
      <c r="E74" s="163"/>
      <c r="L74" s="163"/>
      <c r="M74" s="163"/>
      <c r="N74" s="163"/>
      <c r="O74" s="163"/>
      <c r="P74" s="163"/>
      <c r="Q74" s="163"/>
      <c r="R74" s="163"/>
      <c r="S74" s="163"/>
      <c r="X74" s="163"/>
    </row>
    <row r="75" spans="2:24">
      <c r="B75" s="162" t="s">
        <v>75</v>
      </c>
      <c r="C75" s="163"/>
      <c r="D75" s="163"/>
      <c r="E75" s="163"/>
      <c r="L75" s="163"/>
      <c r="M75" s="163"/>
      <c r="N75" s="163"/>
      <c r="O75" s="163"/>
      <c r="P75" s="163"/>
      <c r="Q75" s="163"/>
      <c r="R75" s="163"/>
      <c r="S75" s="163"/>
      <c r="X75" s="163"/>
    </row>
    <row r="76" spans="2:24">
      <c r="B76" s="162" t="s">
        <v>76</v>
      </c>
      <c r="C76" s="163"/>
      <c r="D76" s="163"/>
      <c r="E76" s="163"/>
      <c r="L76" s="163"/>
      <c r="M76" s="163"/>
      <c r="N76" s="163"/>
      <c r="O76" s="163"/>
      <c r="P76" s="163"/>
      <c r="Q76" s="163"/>
      <c r="R76" s="163"/>
      <c r="S76" s="163"/>
      <c r="X76" s="163"/>
    </row>
    <row r="77" spans="2:24" ht="11.25" customHeight="1"/>
    <row r="78" spans="2:24">
      <c r="B78" s="162" t="s">
        <v>78</v>
      </c>
      <c r="C78" s="163"/>
      <c r="D78" s="163"/>
      <c r="E78" s="163"/>
      <c r="L78" s="163"/>
      <c r="M78" s="163"/>
      <c r="N78" s="163"/>
      <c r="O78" s="163"/>
      <c r="P78" s="163"/>
      <c r="Q78" s="163"/>
      <c r="R78" s="163"/>
      <c r="S78" s="163"/>
      <c r="X78" s="163"/>
    </row>
    <row r="79" spans="2:24">
      <c r="B79" s="162" t="s">
        <v>75</v>
      </c>
      <c r="C79" s="163"/>
      <c r="D79" s="163"/>
      <c r="E79" s="163"/>
      <c r="L79" s="163"/>
      <c r="M79" s="163"/>
      <c r="N79" s="163"/>
      <c r="O79" s="163"/>
      <c r="P79" s="163"/>
      <c r="Q79" s="163"/>
      <c r="R79" s="163"/>
      <c r="S79" s="163"/>
      <c r="X79" s="163"/>
    </row>
    <row r="80" spans="2:24">
      <c r="B80" s="162" t="s">
        <v>76</v>
      </c>
      <c r="C80" s="163"/>
      <c r="D80" s="163"/>
      <c r="E80" s="163"/>
      <c r="L80" s="163"/>
      <c r="M80" s="163"/>
      <c r="N80" s="163"/>
      <c r="O80" s="163"/>
      <c r="P80" s="163"/>
      <c r="Q80" s="163"/>
      <c r="R80" s="163"/>
      <c r="S80" s="163"/>
      <c r="X80" s="163"/>
    </row>
    <row r="81" spans="2:24" ht="11.25" customHeight="1"/>
    <row r="82" spans="2:24">
      <c r="B82" s="162" t="s">
        <v>79</v>
      </c>
      <c r="C82" s="163"/>
      <c r="D82" s="163"/>
      <c r="E82" s="163"/>
      <c r="L82" s="163"/>
      <c r="M82" s="163"/>
      <c r="N82" s="163"/>
      <c r="O82" s="163"/>
      <c r="P82" s="163"/>
      <c r="Q82" s="163"/>
      <c r="R82" s="163"/>
      <c r="S82" s="163"/>
      <c r="X82" s="163"/>
    </row>
    <row r="83" spans="2:24">
      <c r="B83" s="162" t="s">
        <v>75</v>
      </c>
      <c r="C83" s="163"/>
      <c r="D83" s="163"/>
      <c r="E83" s="163"/>
      <c r="L83" s="163"/>
      <c r="M83" s="163"/>
      <c r="N83" s="163"/>
      <c r="O83" s="163"/>
      <c r="P83" s="163"/>
      <c r="Q83" s="163"/>
      <c r="R83" s="163"/>
      <c r="S83" s="163"/>
      <c r="X83" s="163"/>
    </row>
    <row r="84" spans="2:24">
      <c r="B84" s="162" t="s">
        <v>76</v>
      </c>
      <c r="C84" s="161"/>
      <c r="D84" s="161"/>
      <c r="E84" s="163"/>
      <c r="L84" s="163"/>
      <c r="M84" s="163"/>
      <c r="N84" s="163"/>
      <c r="O84" s="163"/>
      <c r="P84" s="163"/>
      <c r="Q84" s="163"/>
      <c r="R84" s="163"/>
      <c r="S84" s="163"/>
      <c r="X84" s="163"/>
    </row>
    <row r="85" spans="2:24" ht="11.25" customHeight="1"/>
    <row r="86" spans="2:24">
      <c r="B86" s="162" t="s">
        <v>80</v>
      </c>
      <c r="C86" s="163"/>
      <c r="D86" s="163"/>
      <c r="E86" s="163"/>
      <c r="L86" s="163"/>
      <c r="M86" s="163"/>
      <c r="N86" s="163"/>
      <c r="O86" s="163"/>
      <c r="P86" s="163"/>
      <c r="Q86" s="163"/>
      <c r="R86" s="163"/>
      <c r="S86" s="163"/>
      <c r="X86" s="163"/>
    </row>
    <row r="87" spans="2:24">
      <c r="B87" s="162" t="s">
        <v>75</v>
      </c>
      <c r="C87" s="163"/>
      <c r="D87" s="163"/>
      <c r="E87" s="163"/>
      <c r="L87" s="163"/>
      <c r="M87" s="163"/>
      <c r="N87" s="163"/>
      <c r="O87" s="163"/>
      <c r="P87" s="163"/>
      <c r="Q87" s="163"/>
      <c r="R87" s="163"/>
      <c r="S87" s="163"/>
      <c r="X87" s="163"/>
    </row>
    <row r="88" spans="2:24">
      <c r="B88" s="162" t="s">
        <v>76</v>
      </c>
      <c r="C88" s="163"/>
      <c r="D88" s="163"/>
      <c r="E88" s="163"/>
      <c r="L88" s="163"/>
      <c r="M88" s="163"/>
      <c r="N88" s="163"/>
      <c r="O88" s="163"/>
      <c r="P88" s="163"/>
      <c r="Q88" s="163"/>
      <c r="R88" s="163"/>
      <c r="S88" s="163"/>
      <c r="X88" s="163"/>
    </row>
    <row r="90" spans="2:24">
      <c r="B90" s="162" t="s">
        <v>81</v>
      </c>
      <c r="C90" s="163"/>
      <c r="D90" s="163"/>
      <c r="E90" s="163"/>
      <c r="L90" s="163"/>
      <c r="M90" s="163"/>
      <c r="N90" s="163"/>
      <c r="O90" s="163"/>
      <c r="P90" s="163"/>
      <c r="Q90" s="163"/>
      <c r="R90" s="163"/>
      <c r="S90" s="163"/>
      <c r="X90" s="163"/>
    </row>
  </sheetData>
  <mergeCells count="12">
    <mergeCell ref="G62:G64"/>
    <mergeCell ref="G65:G67"/>
    <mergeCell ref="P1:X1"/>
    <mergeCell ref="B4:B5"/>
    <mergeCell ref="C4:C5"/>
    <mergeCell ref="D4:D5"/>
    <mergeCell ref="E4:F4"/>
    <mergeCell ref="G4:G5"/>
    <mergeCell ref="H4:H5"/>
    <mergeCell ref="I4:I5"/>
    <mergeCell ref="J4:J5"/>
    <mergeCell ref="L4:X4"/>
  </mergeCells>
  <printOptions horizontalCentered="1" verticalCentered="1"/>
  <pageMargins left="0.196850393700787" right="0.196850393700787" top="0.196850393700787" bottom="0.196850393700787" header="0.511811023622047" footer="0.511811023622047"/>
  <pageSetup paperSize="9" scale="51" orientation="portrait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F7D99-FB6D-4A7C-8E68-92FB48D0B4E7}">
  <sheetPr>
    <pageSetUpPr fitToPage="1"/>
  </sheetPr>
  <dimension ref="A1:BH90"/>
  <sheetViews>
    <sheetView zoomScaleNormal="100" zoomScaleSheetLayoutView="85" zoomScalePageLayoutView="80" workbookViewId="0">
      <selection activeCell="P2" sqref="P2"/>
    </sheetView>
  </sheetViews>
  <sheetFormatPr defaultColWidth="9.140625" defaultRowHeight="18.75"/>
  <cols>
    <col min="1" max="1" width="5.42578125" style="3" customWidth="1"/>
    <col min="2" max="2" width="12.28515625" style="3" customWidth="1"/>
    <col min="3" max="3" width="12.7109375" style="3" customWidth="1"/>
    <col min="4" max="4" width="8.5703125" style="3" bestFit="1" customWidth="1"/>
    <col min="5" max="5" width="12.140625" style="3" customWidth="1"/>
    <col min="6" max="6" width="9.85546875" style="3" customWidth="1"/>
    <col min="7" max="7" width="11" style="3" customWidth="1"/>
    <col min="8" max="8" width="8" style="3" customWidth="1"/>
    <col min="9" max="9" width="14.7109375" style="3" customWidth="1"/>
    <col min="10" max="10" width="8.28515625" style="3" customWidth="1"/>
    <col min="11" max="11" width="1.28515625" style="3" customWidth="1"/>
    <col min="12" max="12" width="11" style="3" customWidth="1"/>
    <col min="13" max="13" width="7.85546875" style="3" customWidth="1"/>
    <col min="14" max="14" width="11" style="3" customWidth="1"/>
    <col min="15" max="15" width="6.5703125" style="3" customWidth="1"/>
    <col min="16" max="16" width="11" style="3" customWidth="1"/>
    <col min="17" max="17" width="6.5703125" style="3" customWidth="1"/>
    <col min="18" max="18" width="9.5703125" style="3" customWidth="1"/>
    <col min="19" max="19" width="8.140625" style="3" customWidth="1"/>
    <col min="20" max="20" width="1.28515625" style="3" customWidth="1"/>
    <col min="21" max="21" width="12.7109375" style="3" customWidth="1"/>
    <col min="22" max="22" width="12.7109375" style="3" hidden="1" customWidth="1"/>
    <col min="23" max="23" width="14.5703125" style="3" customWidth="1"/>
    <col min="24" max="24" width="11.5703125" style="3" customWidth="1"/>
    <col min="25" max="25" width="2" style="3" customWidth="1"/>
    <col min="26" max="26" width="10.5703125" style="3" customWidth="1"/>
    <col min="27" max="55" width="7.28515625" style="3" customWidth="1"/>
    <col min="56" max="56" width="1.5703125" style="3" customWidth="1"/>
    <col min="57" max="57" width="9.42578125" style="3" customWidth="1"/>
    <col min="58" max="58" width="1.28515625" style="3" customWidth="1"/>
    <col min="59" max="59" width="12.7109375" style="3" customWidth="1"/>
    <col min="60" max="60" width="10.28515625" style="3" customWidth="1"/>
    <col min="61" max="16384" width="9.140625" style="3"/>
  </cols>
  <sheetData>
    <row r="1" spans="1:60" ht="19.5" thickBot="1">
      <c r="B1" s="2" t="s">
        <v>0</v>
      </c>
      <c r="N1" s="3" t="s">
        <v>1</v>
      </c>
      <c r="P1" s="183">
        <v>46168</v>
      </c>
      <c r="Q1" s="184"/>
      <c r="R1" s="184"/>
      <c r="S1" s="184"/>
      <c r="T1" s="184"/>
      <c r="U1" s="184"/>
      <c r="V1" s="184"/>
      <c r="W1" s="184"/>
      <c r="X1" s="185"/>
    </row>
    <row r="2" spans="1:60" ht="15" customHeight="1">
      <c r="B2" s="2" t="s">
        <v>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4" spans="1:60" ht="19.5" customHeight="1" thickBot="1">
      <c r="A4" s="4"/>
      <c r="B4" s="192" t="s">
        <v>3</v>
      </c>
      <c r="C4" s="193" t="s">
        <v>4</v>
      </c>
      <c r="D4" s="194" t="s">
        <v>5</v>
      </c>
      <c r="E4" s="186" t="s">
        <v>6</v>
      </c>
      <c r="F4" s="187"/>
      <c r="G4" s="195" t="s">
        <v>7</v>
      </c>
      <c r="H4" s="202" t="s">
        <v>5</v>
      </c>
      <c r="I4" s="204" t="s">
        <v>8</v>
      </c>
      <c r="J4" s="202" t="s">
        <v>5</v>
      </c>
      <c r="L4" s="188" t="s">
        <v>9</v>
      </c>
      <c r="M4" s="189"/>
      <c r="N4" s="189"/>
      <c r="O4" s="189"/>
      <c r="P4" s="189"/>
      <c r="Q4" s="189"/>
      <c r="R4" s="189"/>
      <c r="S4" s="189"/>
      <c r="T4" s="189"/>
      <c r="U4" s="189"/>
      <c r="V4" s="190"/>
      <c r="W4" s="189"/>
      <c r="X4" s="191"/>
    </row>
    <row r="5" spans="1:60" s="1" customFormat="1" ht="57" thickBot="1">
      <c r="A5" s="4"/>
      <c r="B5" s="192"/>
      <c r="C5" s="193"/>
      <c r="D5" s="194"/>
      <c r="E5" s="31" t="s">
        <v>10</v>
      </c>
      <c r="F5" s="32" t="s">
        <v>11</v>
      </c>
      <c r="G5" s="196"/>
      <c r="H5" s="203"/>
      <c r="I5" s="205"/>
      <c r="J5" s="203"/>
      <c r="L5" s="60" t="s">
        <v>12</v>
      </c>
      <c r="M5" s="85" t="s">
        <v>5</v>
      </c>
      <c r="N5" s="86" t="s">
        <v>13</v>
      </c>
      <c r="O5" s="85" t="s">
        <v>5</v>
      </c>
      <c r="P5" s="86" t="s">
        <v>14</v>
      </c>
      <c r="Q5" s="85" t="s">
        <v>5</v>
      </c>
      <c r="R5" s="93" t="s">
        <v>15</v>
      </c>
      <c r="S5" s="94" t="s">
        <v>5</v>
      </c>
      <c r="T5" s="95"/>
      <c r="U5" s="130" t="s">
        <v>16</v>
      </c>
      <c r="V5" s="131" t="s">
        <v>17</v>
      </c>
      <c r="W5" s="132" t="s">
        <v>18</v>
      </c>
      <c r="X5" s="133" t="s">
        <v>19</v>
      </c>
      <c r="AL5" s="156"/>
      <c r="AM5" s="156"/>
      <c r="AN5" s="156"/>
      <c r="AO5" s="156"/>
      <c r="AP5" s="156"/>
      <c r="AQ5" s="156"/>
      <c r="AR5" s="156"/>
      <c r="AS5" s="156"/>
      <c r="AT5" s="156"/>
      <c r="AU5" s="156"/>
      <c r="AV5" s="156"/>
      <c r="AW5" s="156"/>
      <c r="AX5" s="156"/>
      <c r="AY5" s="156"/>
      <c r="AZ5" s="156"/>
      <c r="BA5" s="156"/>
      <c r="BB5" s="156"/>
      <c r="BC5" s="156"/>
      <c r="BD5" s="156"/>
      <c r="BE5" s="156"/>
      <c r="BF5" s="156"/>
      <c r="BG5" s="156"/>
      <c r="BH5" s="156"/>
    </row>
    <row r="6" spans="1:60" s="1" customFormat="1" ht="19.5" thickBot="1">
      <c r="B6" s="7"/>
      <c r="C6" s="8"/>
      <c r="D6" s="9"/>
      <c r="E6" s="33"/>
      <c r="F6" s="33"/>
      <c r="G6" s="34"/>
      <c r="H6" s="35"/>
      <c r="I6" s="35"/>
      <c r="J6" s="61"/>
      <c r="K6" s="62"/>
      <c r="L6" s="33"/>
      <c r="M6" s="33"/>
      <c r="N6" s="33"/>
      <c r="O6" s="33"/>
      <c r="P6" s="33"/>
      <c r="Q6" s="96"/>
      <c r="R6" s="97"/>
      <c r="S6" s="98"/>
      <c r="T6" s="62"/>
      <c r="U6" s="8"/>
      <c r="V6" s="33"/>
      <c r="W6" s="134"/>
      <c r="X6" s="61"/>
      <c r="AL6" s="156"/>
      <c r="AM6" s="156"/>
      <c r="AN6" s="156"/>
      <c r="AO6" s="156"/>
      <c r="AP6" s="156"/>
      <c r="AQ6" s="156"/>
      <c r="AR6" s="156"/>
      <c r="AS6" s="156"/>
      <c r="AT6" s="156"/>
      <c r="AU6" s="156"/>
      <c r="AV6" s="156"/>
      <c r="AW6" s="156"/>
      <c r="AX6" s="156"/>
      <c r="AY6" s="156"/>
      <c r="AZ6" s="156"/>
      <c r="BA6" s="156"/>
      <c r="BB6" s="156"/>
      <c r="BC6" s="156"/>
      <c r="BD6" s="156"/>
      <c r="BE6" s="156"/>
      <c r="BF6" s="156"/>
      <c r="BG6" s="156"/>
      <c r="BH6" s="156"/>
    </row>
    <row r="7" spans="1:60" s="1" customFormat="1" ht="19.5" thickBot="1">
      <c r="B7" s="7"/>
      <c r="C7" s="8"/>
      <c r="D7" s="9"/>
      <c r="E7" s="33"/>
      <c r="F7" s="33"/>
      <c r="G7" s="34"/>
      <c r="H7" s="35"/>
      <c r="I7" s="35"/>
      <c r="J7" s="61"/>
      <c r="K7" s="62"/>
      <c r="L7" s="33"/>
      <c r="M7" s="33"/>
      <c r="N7" s="33"/>
      <c r="O7" s="33"/>
      <c r="P7" s="33"/>
      <c r="Q7" s="96"/>
      <c r="R7" s="97"/>
      <c r="S7" s="98"/>
      <c r="T7" s="62"/>
      <c r="U7" s="8"/>
      <c r="V7" s="135"/>
      <c r="W7" s="134"/>
      <c r="X7" s="61"/>
      <c r="AL7" s="156"/>
      <c r="AM7" s="156"/>
      <c r="AN7" s="156"/>
      <c r="AO7" s="156"/>
      <c r="AP7" s="156"/>
      <c r="AQ7" s="156"/>
      <c r="AR7" s="156"/>
      <c r="AS7" s="156"/>
      <c r="AT7" s="156"/>
      <c r="AU7" s="156"/>
      <c r="AV7" s="156"/>
      <c r="AW7" s="156"/>
      <c r="AX7" s="156"/>
      <c r="AY7" s="156"/>
      <c r="AZ7" s="156"/>
      <c r="BA7" s="156"/>
      <c r="BB7" s="156"/>
      <c r="BC7" s="156"/>
      <c r="BD7" s="156"/>
      <c r="BE7" s="156"/>
      <c r="BF7" s="156"/>
      <c r="BG7" s="156"/>
      <c r="BH7" s="156"/>
    </row>
    <row r="8" spans="1:60" ht="19.5" thickBot="1">
      <c r="A8" s="1">
        <v>1</v>
      </c>
      <c r="B8" s="7" t="s">
        <v>20</v>
      </c>
      <c r="C8" s="10">
        <v>6</v>
      </c>
      <c r="D8" s="11">
        <v>7</v>
      </c>
      <c r="E8" s="36"/>
      <c r="F8" s="36"/>
      <c r="G8" s="37"/>
      <c r="H8" s="38"/>
      <c r="I8" s="38">
        <f t="shared" ref="I8:J43" si="0">C8-G8</f>
        <v>6</v>
      </c>
      <c r="J8" s="63">
        <f t="shared" si="0"/>
        <v>7</v>
      </c>
      <c r="K8" s="62"/>
      <c r="L8" s="36"/>
      <c r="M8" s="36"/>
      <c r="N8" s="36"/>
      <c r="O8" s="36"/>
      <c r="P8" s="36"/>
      <c r="Q8" s="99"/>
      <c r="R8" s="100">
        <f t="shared" ref="R8:S59" si="1">L8+N8+P8</f>
        <v>0</v>
      </c>
      <c r="S8" s="101">
        <f t="shared" si="1"/>
        <v>0</v>
      </c>
      <c r="T8" s="62"/>
      <c r="U8" s="8">
        <f t="shared" ref="U8:U37" si="2">L8*24+N8*24+P8*24</f>
        <v>0</v>
      </c>
      <c r="V8" s="135">
        <f t="shared" ref="V8:V37" si="3">U8/24</f>
        <v>0</v>
      </c>
      <c r="W8" s="134">
        <f t="shared" ref="W8:W37" si="4">I8*24+J8</f>
        <v>151</v>
      </c>
      <c r="X8" s="61"/>
      <c r="AL8" s="157"/>
      <c r="AM8" s="157"/>
      <c r="AN8" s="157"/>
      <c r="AO8" s="157"/>
      <c r="AP8" s="157"/>
      <c r="AQ8" s="157"/>
      <c r="AR8" s="157"/>
      <c r="AS8" s="157"/>
      <c r="AT8" s="157"/>
      <c r="AU8" s="157"/>
      <c r="AV8" s="157"/>
      <c r="AW8" s="157"/>
      <c r="AX8" s="157"/>
      <c r="AY8" s="157"/>
      <c r="AZ8" s="157"/>
      <c r="BA8" s="157"/>
      <c r="BB8" s="157"/>
      <c r="BC8" s="157"/>
      <c r="BD8" s="157"/>
      <c r="BE8" s="157"/>
      <c r="BF8" s="157"/>
      <c r="BG8" s="157"/>
      <c r="BH8" s="157"/>
    </row>
    <row r="9" spans="1:60" ht="19.5" thickBot="1">
      <c r="A9" s="1">
        <f t="shared" ref="A9:A59" si="5">A8+1</f>
        <v>2</v>
      </c>
      <c r="B9" s="12" t="s">
        <v>21</v>
      </c>
      <c r="C9" s="13">
        <v>73</v>
      </c>
      <c r="D9" s="14"/>
      <c r="E9" s="39"/>
      <c r="F9" s="39"/>
      <c r="G9" s="40"/>
      <c r="H9" s="41"/>
      <c r="I9" s="40">
        <f t="shared" si="0"/>
        <v>73</v>
      </c>
      <c r="J9" s="64">
        <f t="shared" si="0"/>
        <v>0</v>
      </c>
      <c r="K9" s="65"/>
      <c r="L9" s="51"/>
      <c r="M9" s="51"/>
      <c r="N9" s="51"/>
      <c r="O9" s="51"/>
      <c r="P9" s="51"/>
      <c r="Q9" s="102"/>
      <c r="R9" s="103">
        <f t="shared" si="1"/>
        <v>0</v>
      </c>
      <c r="S9" s="104">
        <f t="shared" si="1"/>
        <v>0</v>
      </c>
      <c r="T9" s="65"/>
      <c r="U9" s="136">
        <f t="shared" si="2"/>
        <v>0</v>
      </c>
      <c r="V9" s="137">
        <f t="shared" si="3"/>
        <v>0</v>
      </c>
      <c r="W9" s="138">
        <f t="shared" si="4"/>
        <v>1752</v>
      </c>
      <c r="X9" s="139"/>
      <c r="AL9" s="157"/>
      <c r="AM9" s="157"/>
      <c r="AN9" s="157"/>
      <c r="AO9" s="157"/>
      <c r="AP9" s="157"/>
      <c r="AQ9" s="157"/>
      <c r="AR9" s="157"/>
      <c r="AS9" s="157"/>
      <c r="AT9" s="157"/>
      <c r="AU9" s="157"/>
      <c r="AV9" s="157"/>
      <c r="AW9" s="157"/>
      <c r="AX9" s="157"/>
      <c r="AY9" s="157"/>
      <c r="AZ9" s="157"/>
      <c r="BA9" s="157"/>
      <c r="BB9" s="157"/>
      <c r="BC9" s="157"/>
      <c r="BD9" s="157"/>
      <c r="BE9" s="157"/>
      <c r="BF9" s="157"/>
      <c r="BG9" s="157"/>
      <c r="BH9" s="157"/>
    </row>
    <row r="10" spans="1:60" ht="19.5" thickBot="1">
      <c r="A10" s="1">
        <f t="shared" si="5"/>
        <v>3</v>
      </c>
      <c r="B10" s="7" t="s">
        <v>22</v>
      </c>
      <c r="C10" s="10">
        <v>18</v>
      </c>
      <c r="D10" s="11"/>
      <c r="E10" s="36"/>
      <c r="F10" s="36"/>
      <c r="G10" s="37">
        <v>4</v>
      </c>
      <c r="H10" s="38"/>
      <c r="I10" s="38">
        <f t="shared" si="0"/>
        <v>14</v>
      </c>
      <c r="J10" s="66">
        <f t="shared" si="0"/>
        <v>0</v>
      </c>
      <c r="K10" s="62"/>
      <c r="L10" s="36">
        <v>1</v>
      </c>
      <c r="M10" s="36"/>
      <c r="N10" s="36">
        <v>1</v>
      </c>
      <c r="O10" s="36"/>
      <c r="P10" s="36">
        <v>2</v>
      </c>
      <c r="Q10" s="99"/>
      <c r="R10" s="105">
        <f t="shared" si="1"/>
        <v>4</v>
      </c>
      <c r="S10" s="106">
        <f t="shared" si="1"/>
        <v>0</v>
      </c>
      <c r="T10" s="62"/>
      <c r="U10" s="8">
        <f t="shared" si="2"/>
        <v>96</v>
      </c>
      <c r="V10" s="140">
        <f t="shared" si="3"/>
        <v>4</v>
      </c>
      <c r="W10" s="134">
        <f t="shared" si="4"/>
        <v>336</v>
      </c>
      <c r="X10" s="61"/>
      <c r="AL10" s="157"/>
      <c r="AM10" s="157"/>
      <c r="AN10" s="157"/>
      <c r="AO10" s="157"/>
      <c r="AP10" s="157"/>
      <c r="AQ10" s="157"/>
      <c r="AR10" s="157"/>
      <c r="AS10" s="157"/>
      <c r="AT10" s="157"/>
      <c r="AU10" s="157"/>
      <c r="AV10" s="157"/>
      <c r="AW10" s="157"/>
      <c r="AX10" s="157"/>
      <c r="AY10" s="157"/>
      <c r="AZ10" s="157"/>
      <c r="BA10" s="157"/>
      <c r="BB10" s="157"/>
      <c r="BC10" s="157"/>
      <c r="BD10" s="157"/>
      <c r="BE10" s="157"/>
      <c r="BF10" s="157"/>
      <c r="BG10" s="157"/>
      <c r="BH10" s="157"/>
    </row>
    <row r="11" spans="1:60" ht="19.5" thickBot="1">
      <c r="A11" s="1">
        <f t="shared" si="5"/>
        <v>4</v>
      </c>
      <c r="B11" s="15" t="s">
        <v>23</v>
      </c>
      <c r="C11" s="10">
        <v>18</v>
      </c>
      <c r="D11" s="11"/>
      <c r="E11" s="36"/>
      <c r="F11" s="36"/>
      <c r="G11" s="37">
        <v>4</v>
      </c>
      <c r="H11" s="38"/>
      <c r="I11" s="38">
        <f t="shared" si="0"/>
        <v>14</v>
      </c>
      <c r="J11" s="63">
        <f t="shared" si="0"/>
        <v>0</v>
      </c>
      <c r="K11" s="62"/>
      <c r="L11" s="36">
        <v>1</v>
      </c>
      <c r="M11" s="36"/>
      <c r="N11" s="36">
        <v>1</v>
      </c>
      <c r="O11" s="36"/>
      <c r="P11" s="36">
        <v>2</v>
      </c>
      <c r="Q11" s="99"/>
      <c r="R11" s="100">
        <f t="shared" si="1"/>
        <v>4</v>
      </c>
      <c r="S11" s="101">
        <f t="shared" si="1"/>
        <v>0</v>
      </c>
      <c r="T11" s="62"/>
      <c r="U11" s="8">
        <f t="shared" si="2"/>
        <v>96</v>
      </c>
      <c r="V11" s="135">
        <f t="shared" si="3"/>
        <v>4</v>
      </c>
      <c r="W11" s="134">
        <f t="shared" si="4"/>
        <v>336</v>
      </c>
      <c r="X11" s="61"/>
      <c r="AL11" s="157"/>
      <c r="AM11" s="157"/>
      <c r="AN11" s="157"/>
      <c r="AO11" s="157"/>
      <c r="AP11" s="157"/>
      <c r="AQ11" s="157"/>
      <c r="AR11" s="157"/>
      <c r="AS11" s="157"/>
      <c r="AT11" s="157"/>
      <c r="AU11" s="157"/>
      <c r="AV11" s="157"/>
      <c r="AW11" s="157"/>
      <c r="AX11" s="157"/>
      <c r="AY11" s="157"/>
      <c r="AZ11" s="157"/>
      <c r="BA11" s="157"/>
      <c r="BB11" s="157"/>
      <c r="BC11" s="157"/>
      <c r="BD11" s="157"/>
      <c r="BE11" s="157"/>
      <c r="BF11" s="157"/>
      <c r="BG11" s="157"/>
      <c r="BH11" s="157"/>
    </row>
    <row r="12" spans="1:60" ht="19.5" thickBot="1">
      <c r="A12" s="1">
        <f t="shared" si="5"/>
        <v>5</v>
      </c>
      <c r="B12" s="15" t="s">
        <v>24</v>
      </c>
      <c r="C12" s="10"/>
      <c r="D12" s="11">
        <v>2</v>
      </c>
      <c r="E12" s="36"/>
      <c r="F12" s="36"/>
      <c r="G12" s="37"/>
      <c r="H12" s="38"/>
      <c r="I12" s="38">
        <f t="shared" si="0"/>
        <v>0</v>
      </c>
      <c r="J12" s="63">
        <f t="shared" si="0"/>
        <v>2</v>
      </c>
      <c r="K12" s="62"/>
      <c r="L12" s="36"/>
      <c r="M12" s="36"/>
      <c r="N12" s="36"/>
      <c r="O12" s="36"/>
      <c r="P12" s="36"/>
      <c r="Q12" s="99"/>
      <c r="R12" s="100">
        <f t="shared" si="1"/>
        <v>0</v>
      </c>
      <c r="S12" s="101">
        <f t="shared" si="1"/>
        <v>0</v>
      </c>
      <c r="T12" s="62"/>
      <c r="U12" s="8">
        <f t="shared" si="2"/>
        <v>0</v>
      </c>
      <c r="V12" s="135">
        <f t="shared" si="3"/>
        <v>0</v>
      </c>
      <c r="W12" s="134">
        <f t="shared" si="4"/>
        <v>2</v>
      </c>
      <c r="X12" s="61"/>
      <c r="AL12" s="157"/>
      <c r="AM12" s="157"/>
      <c r="AN12" s="157"/>
      <c r="AO12" s="157"/>
      <c r="AP12" s="157"/>
      <c r="AQ12" s="157"/>
      <c r="AR12" s="157"/>
      <c r="AS12" s="157"/>
      <c r="AT12" s="157"/>
      <c r="AU12" s="157"/>
      <c r="AV12" s="157"/>
      <c r="AW12" s="157"/>
      <c r="AX12" s="157"/>
      <c r="AY12" s="157"/>
      <c r="AZ12" s="157"/>
      <c r="BA12" s="157"/>
      <c r="BB12" s="157"/>
      <c r="BC12" s="157"/>
      <c r="BD12" s="157"/>
      <c r="BE12" s="157"/>
      <c r="BF12" s="157"/>
      <c r="BG12" s="157"/>
      <c r="BH12" s="157"/>
    </row>
    <row r="13" spans="1:60" s="2" customFormat="1" ht="19.5" thickBot="1">
      <c r="A13" s="1">
        <f t="shared" si="5"/>
        <v>6</v>
      </c>
      <c r="B13" s="12" t="s">
        <v>25</v>
      </c>
      <c r="C13" s="13">
        <v>3030</v>
      </c>
      <c r="D13" s="14">
        <v>12</v>
      </c>
      <c r="E13" s="39"/>
      <c r="F13" s="39"/>
      <c r="G13" s="40">
        <v>29</v>
      </c>
      <c r="H13" s="41">
        <v>12</v>
      </c>
      <c r="I13" s="44">
        <f t="shared" si="0"/>
        <v>3001</v>
      </c>
      <c r="J13" s="64">
        <f t="shared" si="0"/>
        <v>0</v>
      </c>
      <c r="K13" s="67"/>
      <c r="L13" s="51">
        <v>5</v>
      </c>
      <c r="M13" s="51"/>
      <c r="N13" s="51">
        <v>10</v>
      </c>
      <c r="O13" s="51">
        <v>14</v>
      </c>
      <c r="P13" s="51">
        <v>12</v>
      </c>
      <c r="Q13" s="102"/>
      <c r="R13" s="107">
        <f t="shared" si="1"/>
        <v>27</v>
      </c>
      <c r="S13" s="104">
        <f t="shared" si="1"/>
        <v>14</v>
      </c>
      <c r="T13" s="67"/>
      <c r="U13" s="136">
        <f t="shared" si="2"/>
        <v>648</v>
      </c>
      <c r="V13" s="141">
        <f t="shared" si="3"/>
        <v>27</v>
      </c>
      <c r="W13" s="138">
        <f t="shared" si="4"/>
        <v>72024</v>
      </c>
      <c r="X13" s="139"/>
      <c r="Y13" s="3"/>
      <c r="AD13" s="3"/>
      <c r="AG13" s="3"/>
      <c r="AH13" s="3"/>
      <c r="AI13" s="3"/>
      <c r="AJ13" s="3"/>
      <c r="AK13" s="3"/>
      <c r="AL13" s="157"/>
      <c r="AM13" s="157"/>
      <c r="AN13" s="157"/>
      <c r="AO13" s="157"/>
      <c r="AP13" s="157"/>
      <c r="AQ13" s="157"/>
      <c r="AR13" s="157"/>
      <c r="AS13" s="157"/>
      <c r="AT13" s="157"/>
      <c r="AU13" s="157"/>
      <c r="AV13" s="157"/>
      <c r="AW13" s="157"/>
      <c r="AX13" s="157"/>
      <c r="AY13" s="157"/>
      <c r="AZ13" s="157"/>
      <c r="BA13" s="157"/>
      <c r="BB13" s="157"/>
      <c r="BC13" s="157"/>
      <c r="BD13" s="157"/>
      <c r="BE13" s="157"/>
      <c r="BF13" s="157"/>
      <c r="BG13" s="157"/>
      <c r="BH13" s="157"/>
    </row>
    <row r="14" spans="1:60" ht="19.5" thickBot="1">
      <c r="A14" s="1">
        <f t="shared" si="5"/>
        <v>7</v>
      </c>
      <c r="B14" s="7" t="s">
        <v>26</v>
      </c>
      <c r="C14" s="10">
        <v>3</v>
      </c>
      <c r="D14" s="11">
        <v>16</v>
      </c>
      <c r="E14" s="36"/>
      <c r="F14" s="36"/>
      <c r="G14" s="37"/>
      <c r="H14" s="38"/>
      <c r="I14" s="68">
        <f t="shared" si="0"/>
        <v>3</v>
      </c>
      <c r="J14" s="66">
        <f t="shared" si="0"/>
        <v>16</v>
      </c>
      <c r="K14" s="62"/>
      <c r="L14" s="36"/>
      <c r="M14" s="36"/>
      <c r="N14" s="36"/>
      <c r="O14" s="36"/>
      <c r="P14" s="36"/>
      <c r="Q14" s="99"/>
      <c r="R14" s="108">
        <f t="shared" si="1"/>
        <v>0</v>
      </c>
      <c r="S14" s="106">
        <f t="shared" si="1"/>
        <v>0</v>
      </c>
      <c r="T14" s="62"/>
      <c r="U14" s="8">
        <f t="shared" si="2"/>
        <v>0</v>
      </c>
      <c r="V14" s="33">
        <f t="shared" si="3"/>
        <v>0</v>
      </c>
      <c r="W14" s="134">
        <f t="shared" si="4"/>
        <v>88</v>
      </c>
      <c r="X14" s="61"/>
      <c r="AL14" s="157"/>
      <c r="AM14" s="157"/>
      <c r="AN14" s="157"/>
      <c r="AO14" s="157"/>
      <c r="AP14" s="157"/>
      <c r="AQ14" s="157"/>
      <c r="AR14" s="157"/>
      <c r="AS14" s="157"/>
      <c r="AT14" s="157"/>
      <c r="AU14" s="157"/>
      <c r="AV14" s="157"/>
      <c r="AW14" s="157"/>
      <c r="AX14" s="157"/>
      <c r="AY14" s="157"/>
      <c r="AZ14" s="157"/>
      <c r="BA14" s="157"/>
      <c r="BB14" s="157"/>
      <c r="BC14" s="157"/>
      <c r="BD14" s="157"/>
      <c r="BE14" s="157"/>
      <c r="BF14" s="157"/>
      <c r="BG14" s="157"/>
      <c r="BH14" s="157"/>
    </row>
    <row r="15" spans="1:60" ht="19.5" thickBot="1">
      <c r="A15" s="1">
        <f t="shared" si="5"/>
        <v>8</v>
      </c>
      <c r="B15" s="15" t="s">
        <v>27</v>
      </c>
      <c r="C15" s="10">
        <v>4</v>
      </c>
      <c r="D15" s="11"/>
      <c r="E15" s="36"/>
      <c r="F15" s="36"/>
      <c r="G15" s="37"/>
      <c r="H15" s="38"/>
      <c r="I15" s="38">
        <f t="shared" si="0"/>
        <v>4</v>
      </c>
      <c r="J15" s="63">
        <f t="shared" si="0"/>
        <v>0</v>
      </c>
      <c r="K15" s="62"/>
      <c r="L15" s="36"/>
      <c r="M15" s="36"/>
      <c r="N15" s="36"/>
      <c r="O15" s="36"/>
      <c r="P15" s="36"/>
      <c r="Q15" s="99"/>
      <c r="R15" s="100">
        <f t="shared" si="1"/>
        <v>0</v>
      </c>
      <c r="S15" s="101">
        <f t="shared" si="1"/>
        <v>0</v>
      </c>
      <c r="T15" s="62"/>
      <c r="U15" s="8">
        <f t="shared" si="2"/>
        <v>0</v>
      </c>
      <c r="V15" s="135">
        <f t="shared" si="3"/>
        <v>0</v>
      </c>
      <c r="W15" s="134">
        <f t="shared" si="4"/>
        <v>96</v>
      </c>
      <c r="X15" s="61"/>
      <c r="AL15" s="157"/>
      <c r="AM15" s="157"/>
      <c r="AN15" s="157"/>
      <c r="AO15" s="157"/>
      <c r="AP15" s="157"/>
      <c r="AQ15" s="157"/>
      <c r="AR15" s="157"/>
      <c r="AS15" s="157"/>
      <c r="AT15" s="157"/>
      <c r="AU15" s="157"/>
      <c r="AV15" s="157"/>
      <c r="AW15" s="157"/>
      <c r="AX15" s="157"/>
      <c r="AY15" s="157"/>
      <c r="AZ15" s="157"/>
      <c r="BA15" s="157"/>
      <c r="BB15" s="157"/>
      <c r="BC15" s="157"/>
      <c r="BD15" s="157"/>
      <c r="BE15" s="157"/>
      <c r="BF15" s="157"/>
      <c r="BG15" s="157"/>
      <c r="BH15" s="157"/>
    </row>
    <row r="16" spans="1:60" ht="19.5" thickBot="1">
      <c r="A16" s="1">
        <f t="shared" si="5"/>
        <v>9</v>
      </c>
      <c r="B16" s="15" t="s">
        <v>28</v>
      </c>
      <c r="C16" s="10">
        <v>1</v>
      </c>
      <c r="D16" s="11"/>
      <c r="E16" s="36"/>
      <c r="F16" s="36"/>
      <c r="G16" s="37"/>
      <c r="H16" s="38"/>
      <c r="I16" s="38">
        <f t="shared" si="0"/>
        <v>1</v>
      </c>
      <c r="J16" s="63">
        <f t="shared" si="0"/>
        <v>0</v>
      </c>
      <c r="K16" s="62"/>
      <c r="L16" s="36"/>
      <c r="M16" s="36"/>
      <c r="N16" s="36"/>
      <c r="O16" s="36"/>
      <c r="P16" s="36"/>
      <c r="Q16" s="99"/>
      <c r="R16" s="100">
        <f t="shared" si="1"/>
        <v>0</v>
      </c>
      <c r="S16" s="101">
        <f t="shared" si="1"/>
        <v>0</v>
      </c>
      <c r="T16" s="62"/>
      <c r="U16" s="8">
        <f t="shared" si="2"/>
        <v>0</v>
      </c>
      <c r="V16" s="135">
        <f t="shared" si="3"/>
        <v>0</v>
      </c>
      <c r="W16" s="134">
        <f t="shared" si="4"/>
        <v>24</v>
      </c>
      <c r="X16" s="61"/>
      <c r="AL16" s="157"/>
      <c r="AM16" s="157"/>
      <c r="AN16" s="157"/>
      <c r="AO16" s="157"/>
      <c r="AP16" s="157"/>
      <c r="AQ16" s="157"/>
      <c r="AR16" s="157"/>
      <c r="AS16" s="157"/>
      <c r="AT16" s="157"/>
      <c r="AU16" s="157"/>
      <c r="AV16" s="157"/>
      <c r="AW16" s="157"/>
      <c r="AX16" s="157"/>
      <c r="AY16" s="157"/>
      <c r="AZ16" s="157"/>
      <c r="BA16" s="157"/>
      <c r="BB16" s="157"/>
      <c r="BC16" s="157"/>
      <c r="BD16" s="157"/>
      <c r="BE16" s="157"/>
      <c r="BF16" s="157"/>
      <c r="BG16" s="157"/>
      <c r="BH16" s="157"/>
    </row>
    <row r="17" spans="1:60" ht="19.5" thickBot="1">
      <c r="A17" s="1">
        <f t="shared" si="5"/>
        <v>10</v>
      </c>
      <c r="B17" s="15" t="s">
        <v>29</v>
      </c>
      <c r="C17" s="10"/>
      <c r="D17" s="11"/>
      <c r="E17" s="36"/>
      <c r="F17" s="36"/>
      <c r="G17" s="37"/>
      <c r="H17" s="38"/>
      <c r="I17" s="38">
        <f t="shared" si="0"/>
        <v>0</v>
      </c>
      <c r="J17" s="63">
        <f t="shared" si="0"/>
        <v>0</v>
      </c>
      <c r="K17" s="62"/>
      <c r="L17" s="36"/>
      <c r="M17" s="36"/>
      <c r="N17" s="36"/>
      <c r="O17" s="36"/>
      <c r="P17" s="36"/>
      <c r="Q17" s="99"/>
      <c r="R17" s="100">
        <f t="shared" si="1"/>
        <v>0</v>
      </c>
      <c r="S17" s="101">
        <f t="shared" si="1"/>
        <v>0</v>
      </c>
      <c r="T17" s="62"/>
      <c r="U17" s="8">
        <f t="shared" si="2"/>
        <v>0</v>
      </c>
      <c r="V17" s="135">
        <f t="shared" si="3"/>
        <v>0</v>
      </c>
      <c r="W17" s="134">
        <f t="shared" si="4"/>
        <v>0</v>
      </c>
      <c r="X17" s="61"/>
      <c r="AL17" s="157"/>
      <c r="AM17" s="157"/>
      <c r="AN17" s="157"/>
      <c r="AO17" s="157"/>
      <c r="AP17" s="157"/>
      <c r="AQ17" s="157"/>
      <c r="AR17" s="157"/>
      <c r="AS17" s="157"/>
      <c r="AT17" s="157"/>
      <c r="AU17" s="157"/>
      <c r="AV17" s="157"/>
      <c r="AW17" s="157"/>
      <c r="AX17" s="157"/>
      <c r="AY17" s="157"/>
      <c r="AZ17" s="157"/>
      <c r="BA17" s="157"/>
      <c r="BB17" s="157"/>
      <c r="BC17" s="157"/>
      <c r="BD17" s="157"/>
      <c r="BE17" s="157"/>
      <c r="BF17" s="157"/>
      <c r="BG17" s="157"/>
      <c r="BH17" s="157"/>
    </row>
    <row r="18" spans="1:60" ht="19.5" thickBot="1">
      <c r="A18" s="1">
        <f t="shared" si="5"/>
        <v>11</v>
      </c>
      <c r="B18" s="15" t="s">
        <v>30</v>
      </c>
      <c r="C18" s="10">
        <v>3</v>
      </c>
      <c r="D18" s="11"/>
      <c r="E18" s="36"/>
      <c r="F18" s="36"/>
      <c r="G18" s="37"/>
      <c r="H18" s="38"/>
      <c r="I18" s="38">
        <f t="shared" si="0"/>
        <v>3</v>
      </c>
      <c r="J18" s="63">
        <f t="shared" si="0"/>
        <v>0</v>
      </c>
      <c r="K18" s="62"/>
      <c r="L18" s="36"/>
      <c r="M18" s="36"/>
      <c r="N18" s="36"/>
      <c r="O18" s="36"/>
      <c r="P18" s="36"/>
      <c r="Q18" s="99"/>
      <c r="R18" s="100">
        <f t="shared" si="1"/>
        <v>0</v>
      </c>
      <c r="S18" s="101">
        <f t="shared" si="1"/>
        <v>0</v>
      </c>
      <c r="T18" s="62"/>
      <c r="U18" s="8">
        <f t="shared" si="2"/>
        <v>0</v>
      </c>
      <c r="V18" s="135">
        <f t="shared" si="3"/>
        <v>0</v>
      </c>
      <c r="W18" s="134">
        <f t="shared" si="4"/>
        <v>72</v>
      </c>
      <c r="X18" s="61"/>
      <c r="AL18" s="157"/>
      <c r="AM18" s="157"/>
      <c r="AN18" s="157"/>
      <c r="AO18" s="157"/>
      <c r="AP18" s="157"/>
      <c r="AQ18" s="157"/>
      <c r="AR18" s="157"/>
      <c r="AS18" s="157"/>
      <c r="AT18" s="157"/>
      <c r="AU18" s="157"/>
      <c r="AV18" s="157"/>
      <c r="AW18" s="157"/>
      <c r="AX18" s="157"/>
      <c r="AY18" s="157"/>
      <c r="AZ18" s="157"/>
      <c r="BA18" s="157"/>
      <c r="BB18" s="157"/>
      <c r="BC18" s="157"/>
      <c r="BD18" s="157"/>
      <c r="BE18" s="157"/>
      <c r="BF18" s="157"/>
      <c r="BG18" s="157"/>
      <c r="BH18" s="157"/>
    </row>
    <row r="19" spans="1:60" ht="18.75" hidden="1" customHeight="1">
      <c r="A19" s="1">
        <f t="shared" si="5"/>
        <v>12</v>
      </c>
      <c r="B19" s="15" t="s">
        <v>31</v>
      </c>
      <c r="C19" s="10"/>
      <c r="D19" s="11"/>
      <c r="E19" s="36"/>
      <c r="F19" s="36"/>
      <c r="G19" s="37"/>
      <c r="H19" s="38"/>
      <c r="I19" s="38">
        <f t="shared" si="0"/>
        <v>0</v>
      </c>
      <c r="J19" s="63">
        <f t="shared" si="0"/>
        <v>0</v>
      </c>
      <c r="K19" s="62"/>
      <c r="L19" s="36"/>
      <c r="M19" s="36"/>
      <c r="N19" s="36"/>
      <c r="O19" s="36"/>
      <c r="P19" s="36"/>
      <c r="Q19" s="99"/>
      <c r="R19" s="100">
        <f t="shared" si="1"/>
        <v>0</v>
      </c>
      <c r="S19" s="101">
        <f t="shared" si="1"/>
        <v>0</v>
      </c>
      <c r="T19" s="62"/>
      <c r="U19" s="8">
        <f t="shared" si="2"/>
        <v>0</v>
      </c>
      <c r="V19" s="135">
        <f t="shared" si="3"/>
        <v>0</v>
      </c>
      <c r="W19" s="134">
        <f t="shared" si="4"/>
        <v>0</v>
      </c>
      <c r="X19" s="61"/>
      <c r="AL19" s="157"/>
      <c r="AM19" s="157"/>
      <c r="AN19" s="157"/>
      <c r="AO19" s="157"/>
      <c r="AP19" s="157"/>
      <c r="AQ19" s="157"/>
      <c r="AR19" s="157"/>
      <c r="AS19" s="157"/>
      <c r="AT19" s="157"/>
      <c r="AU19" s="157"/>
      <c r="AV19" s="157"/>
      <c r="AW19" s="157"/>
      <c r="AX19" s="157"/>
      <c r="AY19" s="157"/>
      <c r="AZ19" s="157"/>
      <c r="BA19" s="157"/>
      <c r="BB19" s="157"/>
      <c r="BC19" s="157"/>
      <c r="BD19" s="157"/>
      <c r="BE19" s="157"/>
      <c r="BF19" s="157"/>
      <c r="BG19" s="157"/>
      <c r="BH19" s="157"/>
    </row>
    <row r="20" spans="1:60" ht="19.5" thickBot="1">
      <c r="A20" s="1">
        <f t="shared" si="5"/>
        <v>13</v>
      </c>
      <c r="B20" s="15" t="s">
        <v>32</v>
      </c>
      <c r="C20" s="10">
        <v>4</v>
      </c>
      <c r="D20" s="11">
        <v>20</v>
      </c>
      <c r="E20" s="36"/>
      <c r="F20" s="36"/>
      <c r="G20" s="37"/>
      <c r="H20" s="38"/>
      <c r="I20" s="38">
        <f t="shared" si="0"/>
        <v>4</v>
      </c>
      <c r="J20" s="63">
        <f t="shared" si="0"/>
        <v>20</v>
      </c>
      <c r="K20" s="62"/>
      <c r="L20" s="36"/>
      <c r="M20" s="36"/>
      <c r="N20" s="36"/>
      <c r="O20" s="36"/>
      <c r="P20" s="36"/>
      <c r="Q20" s="99"/>
      <c r="R20" s="100">
        <f t="shared" si="1"/>
        <v>0</v>
      </c>
      <c r="S20" s="101">
        <f t="shared" si="1"/>
        <v>0</v>
      </c>
      <c r="T20" s="62"/>
      <c r="U20" s="8">
        <f t="shared" si="2"/>
        <v>0</v>
      </c>
      <c r="V20" s="135">
        <f t="shared" si="3"/>
        <v>0</v>
      </c>
      <c r="W20" s="134">
        <f t="shared" si="4"/>
        <v>116</v>
      </c>
      <c r="X20" s="61"/>
      <c r="AL20" s="157"/>
      <c r="AM20" s="157"/>
      <c r="AN20" s="157"/>
      <c r="AO20" s="157"/>
      <c r="AP20" s="157"/>
      <c r="AQ20" s="157"/>
      <c r="AR20" s="157"/>
      <c r="AS20" s="157"/>
      <c r="AT20" s="157"/>
      <c r="AU20" s="157"/>
      <c r="AV20" s="157"/>
      <c r="AW20" s="157"/>
      <c r="AX20" s="157"/>
      <c r="AY20" s="157"/>
      <c r="AZ20" s="157"/>
      <c r="BA20" s="157"/>
      <c r="BB20" s="157"/>
      <c r="BC20" s="157"/>
      <c r="BD20" s="157"/>
      <c r="BE20" s="157"/>
      <c r="BF20" s="157"/>
      <c r="BG20" s="157"/>
      <c r="BH20" s="157"/>
    </row>
    <row r="21" spans="1:60" ht="19.5" thickBot="1">
      <c r="A21" s="1">
        <f t="shared" si="5"/>
        <v>14</v>
      </c>
      <c r="B21" s="15" t="s">
        <v>33</v>
      </c>
      <c r="C21" s="10">
        <v>7</v>
      </c>
      <c r="D21" s="11"/>
      <c r="E21" s="36"/>
      <c r="F21" s="36"/>
      <c r="G21" s="37"/>
      <c r="H21" s="38"/>
      <c r="I21" s="38">
        <f t="shared" si="0"/>
        <v>7</v>
      </c>
      <c r="J21" s="63">
        <f t="shared" si="0"/>
        <v>0</v>
      </c>
      <c r="K21" s="62"/>
      <c r="L21" s="36"/>
      <c r="M21" s="36"/>
      <c r="N21" s="36"/>
      <c r="O21" s="36"/>
      <c r="P21" s="36"/>
      <c r="Q21" s="99"/>
      <c r="R21" s="100">
        <f t="shared" si="1"/>
        <v>0</v>
      </c>
      <c r="S21" s="101">
        <f t="shared" si="1"/>
        <v>0</v>
      </c>
      <c r="T21" s="62"/>
      <c r="U21" s="8">
        <f t="shared" si="2"/>
        <v>0</v>
      </c>
      <c r="V21" s="135">
        <f t="shared" si="3"/>
        <v>0</v>
      </c>
      <c r="W21" s="134">
        <f t="shared" si="4"/>
        <v>168</v>
      </c>
      <c r="X21" s="61"/>
      <c r="AL21" s="157"/>
      <c r="AM21" s="157"/>
      <c r="AN21" s="157"/>
      <c r="AO21" s="157"/>
      <c r="AP21" s="157"/>
      <c r="AQ21" s="157"/>
      <c r="AR21" s="157"/>
      <c r="AS21" s="157"/>
      <c r="AT21" s="157"/>
      <c r="AU21" s="157"/>
      <c r="AV21" s="157"/>
      <c r="AW21" s="157"/>
      <c r="AX21" s="157"/>
      <c r="AY21" s="157"/>
      <c r="AZ21" s="157"/>
      <c r="BA21" s="157"/>
      <c r="BB21" s="157"/>
      <c r="BC21" s="157"/>
      <c r="BD21" s="157"/>
      <c r="BE21" s="157"/>
      <c r="BF21" s="157"/>
      <c r="BG21" s="157"/>
      <c r="BH21" s="157"/>
    </row>
    <row r="22" spans="1:60" ht="19.5" thickBot="1">
      <c r="A22" s="1">
        <f t="shared" si="5"/>
        <v>15</v>
      </c>
      <c r="B22" s="15" t="s">
        <v>34</v>
      </c>
      <c r="C22" s="10">
        <v>4</v>
      </c>
      <c r="D22" s="11"/>
      <c r="E22" s="36"/>
      <c r="F22" s="36"/>
      <c r="G22" s="37"/>
      <c r="H22" s="38"/>
      <c r="I22" s="38">
        <f t="shared" si="0"/>
        <v>4</v>
      </c>
      <c r="J22" s="63">
        <f t="shared" si="0"/>
        <v>0</v>
      </c>
      <c r="K22" s="62"/>
      <c r="L22" s="36"/>
      <c r="M22" s="36"/>
      <c r="N22" s="36"/>
      <c r="O22" s="36"/>
      <c r="P22" s="36"/>
      <c r="Q22" s="99"/>
      <c r="R22" s="100">
        <f t="shared" si="1"/>
        <v>0</v>
      </c>
      <c r="S22" s="101">
        <f t="shared" si="1"/>
        <v>0</v>
      </c>
      <c r="T22" s="62"/>
      <c r="U22" s="8">
        <f t="shared" si="2"/>
        <v>0</v>
      </c>
      <c r="V22" s="135">
        <f t="shared" si="3"/>
        <v>0</v>
      </c>
      <c r="W22" s="134">
        <f t="shared" si="4"/>
        <v>96</v>
      </c>
      <c r="X22" s="61"/>
      <c r="AL22" s="157"/>
      <c r="AM22" s="157"/>
      <c r="AN22" s="157"/>
      <c r="AO22" s="157"/>
      <c r="AP22" s="157"/>
      <c r="AQ22" s="157"/>
      <c r="AR22" s="157"/>
      <c r="AS22" s="157"/>
      <c r="AT22" s="157"/>
      <c r="AU22" s="157"/>
      <c r="AV22" s="157"/>
      <c r="AW22" s="157"/>
      <c r="AX22" s="157"/>
      <c r="AY22" s="157"/>
      <c r="AZ22" s="157"/>
      <c r="BA22" s="157"/>
      <c r="BB22" s="157"/>
      <c r="BC22" s="157"/>
      <c r="BD22" s="157"/>
      <c r="BE22" s="157"/>
      <c r="BF22" s="157"/>
      <c r="BG22" s="157"/>
      <c r="BH22" s="157"/>
    </row>
    <row r="23" spans="1:60" s="2" customFormat="1" ht="19.5" thickBot="1">
      <c r="A23" s="1">
        <f t="shared" si="5"/>
        <v>16</v>
      </c>
      <c r="B23" s="15" t="s">
        <v>35</v>
      </c>
      <c r="C23" s="10">
        <v>1</v>
      </c>
      <c r="D23" s="11">
        <v>20</v>
      </c>
      <c r="E23" s="36"/>
      <c r="F23" s="36"/>
      <c r="G23" s="37"/>
      <c r="H23" s="38"/>
      <c r="I23" s="38">
        <f t="shared" si="0"/>
        <v>1</v>
      </c>
      <c r="J23" s="63">
        <f t="shared" si="0"/>
        <v>20</v>
      </c>
      <c r="K23" s="69"/>
      <c r="L23" s="36"/>
      <c r="M23" s="36"/>
      <c r="N23" s="36"/>
      <c r="O23" s="36"/>
      <c r="P23" s="36"/>
      <c r="Q23" s="99"/>
      <c r="R23" s="100">
        <f t="shared" si="1"/>
        <v>0</v>
      </c>
      <c r="S23" s="101">
        <f t="shared" si="1"/>
        <v>0</v>
      </c>
      <c r="T23" s="69"/>
      <c r="U23" s="8">
        <f t="shared" si="2"/>
        <v>0</v>
      </c>
      <c r="V23" s="135">
        <f t="shared" si="3"/>
        <v>0</v>
      </c>
      <c r="W23" s="134">
        <f t="shared" si="4"/>
        <v>44</v>
      </c>
      <c r="X23" s="61"/>
      <c r="Y23" s="3"/>
      <c r="AD23" s="3"/>
      <c r="AG23" s="3"/>
      <c r="AH23" s="3"/>
      <c r="AI23" s="3"/>
      <c r="AJ23" s="3"/>
      <c r="AK23" s="3"/>
      <c r="AL23" s="157"/>
      <c r="AM23" s="157"/>
      <c r="AN23" s="157"/>
      <c r="AO23" s="157"/>
      <c r="AP23" s="157"/>
      <c r="AQ23" s="157"/>
      <c r="AR23" s="157"/>
      <c r="AS23" s="157"/>
      <c r="AT23" s="157"/>
      <c r="AU23" s="157"/>
      <c r="AV23" s="157"/>
      <c r="AW23" s="157"/>
      <c r="AX23" s="157"/>
      <c r="AY23" s="157"/>
      <c r="AZ23" s="157"/>
      <c r="BA23" s="157"/>
      <c r="BB23" s="157"/>
      <c r="BC23" s="157"/>
      <c r="BD23" s="157"/>
      <c r="BE23" s="157"/>
      <c r="BF23" s="157"/>
      <c r="BG23" s="157"/>
      <c r="BH23" s="157"/>
    </row>
    <row r="24" spans="1:60" s="2" customFormat="1" ht="19.5" thickBot="1">
      <c r="A24" s="1">
        <f t="shared" si="5"/>
        <v>17</v>
      </c>
      <c r="B24" s="15" t="s">
        <v>36</v>
      </c>
      <c r="C24" s="10">
        <v>37</v>
      </c>
      <c r="D24" s="11">
        <v>19</v>
      </c>
      <c r="E24" s="36"/>
      <c r="F24" s="36"/>
      <c r="G24" s="37"/>
      <c r="H24" s="38"/>
      <c r="I24" s="38">
        <f t="shared" si="0"/>
        <v>37</v>
      </c>
      <c r="J24" s="63">
        <f t="shared" si="0"/>
        <v>19</v>
      </c>
      <c r="K24" s="69"/>
      <c r="L24" s="36"/>
      <c r="M24" s="36"/>
      <c r="N24" s="36"/>
      <c r="O24" s="36"/>
      <c r="P24" s="36"/>
      <c r="Q24" s="99"/>
      <c r="R24" s="100">
        <f t="shared" si="1"/>
        <v>0</v>
      </c>
      <c r="S24" s="101">
        <f t="shared" si="1"/>
        <v>0</v>
      </c>
      <c r="T24" s="69"/>
      <c r="U24" s="8">
        <f t="shared" si="2"/>
        <v>0</v>
      </c>
      <c r="V24" s="135">
        <f t="shared" si="3"/>
        <v>0</v>
      </c>
      <c r="W24" s="134">
        <f t="shared" si="4"/>
        <v>907</v>
      </c>
      <c r="X24" s="61"/>
      <c r="Y24" s="3"/>
      <c r="AD24" s="3"/>
      <c r="AG24" s="3"/>
      <c r="AH24" s="3"/>
      <c r="AI24" s="3"/>
      <c r="AJ24" s="3"/>
      <c r="AK24" s="3"/>
      <c r="AL24" s="157"/>
      <c r="AM24" s="157"/>
      <c r="AN24" s="157"/>
      <c r="AO24" s="157"/>
      <c r="AP24" s="157"/>
      <c r="AQ24" s="157"/>
      <c r="AR24" s="157"/>
      <c r="AS24" s="157"/>
      <c r="AT24" s="157"/>
      <c r="AU24" s="157"/>
      <c r="AV24" s="157"/>
      <c r="AW24" s="157"/>
      <c r="AX24" s="157"/>
      <c r="AY24" s="157"/>
      <c r="AZ24" s="157"/>
      <c r="BA24" s="157"/>
      <c r="BB24" s="157"/>
      <c r="BC24" s="157"/>
      <c r="BD24" s="157"/>
      <c r="BE24" s="157"/>
      <c r="BF24" s="157"/>
      <c r="BG24" s="157"/>
      <c r="BH24" s="157"/>
    </row>
    <row r="25" spans="1:60" ht="19.5" thickBot="1">
      <c r="A25" s="1">
        <f t="shared" si="5"/>
        <v>18</v>
      </c>
      <c r="B25" s="15" t="s">
        <v>37</v>
      </c>
      <c r="C25" s="10">
        <v>10</v>
      </c>
      <c r="D25" s="11"/>
      <c r="E25" s="36"/>
      <c r="F25" s="36"/>
      <c r="G25" s="37"/>
      <c r="H25" s="38"/>
      <c r="I25" s="38">
        <f t="shared" si="0"/>
        <v>10</v>
      </c>
      <c r="J25" s="63">
        <f t="shared" si="0"/>
        <v>0</v>
      </c>
      <c r="K25" s="62"/>
      <c r="L25" s="36"/>
      <c r="M25" s="36"/>
      <c r="N25" s="36"/>
      <c r="O25" s="36"/>
      <c r="P25" s="36"/>
      <c r="Q25" s="99"/>
      <c r="R25" s="100">
        <f t="shared" si="1"/>
        <v>0</v>
      </c>
      <c r="S25" s="101">
        <f t="shared" si="1"/>
        <v>0</v>
      </c>
      <c r="T25" s="62"/>
      <c r="U25" s="8">
        <f t="shared" si="2"/>
        <v>0</v>
      </c>
      <c r="V25" s="135">
        <f t="shared" si="3"/>
        <v>0</v>
      </c>
      <c r="W25" s="134">
        <f t="shared" si="4"/>
        <v>240</v>
      </c>
      <c r="X25" s="61"/>
      <c r="AL25" s="157"/>
      <c r="AM25" s="157"/>
      <c r="AN25" s="157"/>
      <c r="AO25" s="157"/>
      <c r="AP25" s="157"/>
      <c r="AQ25" s="157"/>
      <c r="AR25" s="157"/>
      <c r="AS25" s="157"/>
      <c r="AT25" s="157"/>
      <c r="AU25" s="157"/>
      <c r="AV25" s="157"/>
      <c r="AW25" s="157"/>
      <c r="AX25" s="157"/>
      <c r="AY25" s="157"/>
      <c r="AZ25" s="157"/>
      <c r="BA25" s="157"/>
      <c r="BB25" s="157"/>
      <c r="BC25" s="157"/>
      <c r="BD25" s="157"/>
      <c r="BE25" s="157"/>
      <c r="BF25" s="157"/>
      <c r="BG25" s="157"/>
      <c r="BH25" s="157"/>
    </row>
    <row r="26" spans="1:60" ht="19.5" thickBot="1">
      <c r="A26" s="1">
        <f t="shared" si="5"/>
        <v>19</v>
      </c>
      <c r="B26" s="15" t="s">
        <v>38</v>
      </c>
      <c r="C26" s="10">
        <v>91</v>
      </c>
      <c r="D26" s="11">
        <v>1</v>
      </c>
      <c r="E26" s="36"/>
      <c r="F26" s="36"/>
      <c r="G26" s="37"/>
      <c r="H26" s="38"/>
      <c r="I26" s="38">
        <f t="shared" si="0"/>
        <v>91</v>
      </c>
      <c r="J26" s="63">
        <f t="shared" si="0"/>
        <v>1</v>
      </c>
      <c r="K26" s="62"/>
      <c r="L26" s="36"/>
      <c r="M26" s="36"/>
      <c r="N26" s="36"/>
      <c r="O26" s="36"/>
      <c r="P26" s="36"/>
      <c r="Q26" s="99"/>
      <c r="R26" s="100">
        <f t="shared" si="1"/>
        <v>0</v>
      </c>
      <c r="S26" s="101">
        <f t="shared" si="1"/>
        <v>0</v>
      </c>
      <c r="T26" s="62"/>
      <c r="U26" s="8">
        <f t="shared" si="2"/>
        <v>0</v>
      </c>
      <c r="V26" s="135">
        <f t="shared" si="3"/>
        <v>0</v>
      </c>
      <c r="W26" s="134">
        <f t="shared" si="4"/>
        <v>2185</v>
      </c>
      <c r="X26" s="61"/>
      <c r="BE26" s="158" t="e">
        <f>#REF!-BE25</f>
        <v>#REF!</v>
      </c>
    </row>
    <row r="27" spans="1:60" s="2" customFormat="1" ht="19.5" thickBot="1">
      <c r="A27" s="1">
        <f t="shared" si="5"/>
        <v>20</v>
      </c>
      <c r="B27" s="15" t="s">
        <v>39</v>
      </c>
      <c r="C27" s="10"/>
      <c r="D27" s="11"/>
      <c r="E27" s="36"/>
      <c r="F27" s="36"/>
      <c r="G27" s="37"/>
      <c r="H27" s="38"/>
      <c r="I27" s="38">
        <f t="shared" si="0"/>
        <v>0</v>
      </c>
      <c r="J27" s="63">
        <f t="shared" si="0"/>
        <v>0</v>
      </c>
      <c r="K27" s="69"/>
      <c r="L27" s="36"/>
      <c r="M27" s="36"/>
      <c r="N27" s="36"/>
      <c r="O27" s="36"/>
      <c r="P27" s="36"/>
      <c r="Q27" s="99"/>
      <c r="R27" s="100">
        <f t="shared" si="1"/>
        <v>0</v>
      </c>
      <c r="S27" s="101">
        <f t="shared" si="1"/>
        <v>0</v>
      </c>
      <c r="T27" s="69"/>
      <c r="U27" s="8">
        <f t="shared" si="2"/>
        <v>0</v>
      </c>
      <c r="V27" s="135">
        <f t="shared" si="3"/>
        <v>0</v>
      </c>
      <c r="W27" s="134">
        <f t="shared" si="4"/>
        <v>0</v>
      </c>
      <c r="X27" s="61"/>
      <c r="Y27" s="3"/>
      <c r="AD27" s="3"/>
      <c r="AG27" s="3"/>
      <c r="AH27" s="3"/>
      <c r="AI27" s="3"/>
      <c r="AJ27" s="3"/>
      <c r="AK27" s="3"/>
    </row>
    <row r="28" spans="1:60" s="2" customFormat="1" ht="19.5" thickBot="1">
      <c r="A28" s="1">
        <f t="shared" si="5"/>
        <v>21</v>
      </c>
      <c r="B28" s="15" t="s">
        <v>40</v>
      </c>
      <c r="C28" s="10">
        <v>2</v>
      </c>
      <c r="D28" s="11"/>
      <c r="E28" s="36"/>
      <c r="F28" s="36"/>
      <c r="G28" s="37"/>
      <c r="H28" s="38"/>
      <c r="I28" s="38">
        <f t="shared" si="0"/>
        <v>2</v>
      </c>
      <c r="J28" s="63">
        <f t="shared" si="0"/>
        <v>0</v>
      </c>
      <c r="K28" s="69"/>
      <c r="L28" s="36"/>
      <c r="M28" s="36"/>
      <c r="N28" s="36"/>
      <c r="O28" s="36"/>
      <c r="P28" s="36"/>
      <c r="Q28" s="99"/>
      <c r="R28" s="100">
        <f t="shared" si="1"/>
        <v>0</v>
      </c>
      <c r="S28" s="101">
        <f t="shared" si="1"/>
        <v>0</v>
      </c>
      <c r="T28" s="69"/>
      <c r="U28" s="8">
        <f t="shared" si="2"/>
        <v>0</v>
      </c>
      <c r="V28" s="135">
        <f t="shared" si="3"/>
        <v>0</v>
      </c>
      <c r="W28" s="134">
        <f t="shared" si="4"/>
        <v>48</v>
      </c>
      <c r="X28" s="61"/>
      <c r="Y28" s="3"/>
      <c r="AD28" s="3"/>
      <c r="AG28" s="3"/>
      <c r="AH28" s="3"/>
      <c r="AI28" s="3"/>
      <c r="AJ28" s="3"/>
      <c r="AK28" s="3"/>
    </row>
    <row r="29" spans="1:60" s="2" customFormat="1" ht="19.5" thickBot="1">
      <c r="A29" s="1">
        <f t="shared" si="5"/>
        <v>22</v>
      </c>
      <c r="B29" s="15" t="s">
        <v>41</v>
      </c>
      <c r="C29" s="10">
        <v>1</v>
      </c>
      <c r="D29" s="11"/>
      <c r="E29" s="36"/>
      <c r="F29" s="36"/>
      <c r="G29" s="37"/>
      <c r="H29" s="38"/>
      <c r="I29" s="38">
        <f t="shared" si="0"/>
        <v>1</v>
      </c>
      <c r="J29" s="63">
        <f t="shared" si="0"/>
        <v>0</v>
      </c>
      <c r="K29" s="69"/>
      <c r="L29" s="36"/>
      <c r="M29" s="36"/>
      <c r="N29" s="36"/>
      <c r="O29" s="36"/>
      <c r="P29" s="36"/>
      <c r="Q29" s="99"/>
      <c r="R29" s="100">
        <f t="shared" si="1"/>
        <v>0</v>
      </c>
      <c r="S29" s="101">
        <f t="shared" si="1"/>
        <v>0</v>
      </c>
      <c r="T29" s="69"/>
      <c r="U29" s="8">
        <f t="shared" si="2"/>
        <v>0</v>
      </c>
      <c r="V29" s="135">
        <f t="shared" si="3"/>
        <v>0</v>
      </c>
      <c r="W29" s="134">
        <f t="shared" si="4"/>
        <v>24</v>
      </c>
      <c r="X29" s="61"/>
      <c r="Y29" s="3"/>
      <c r="AD29" s="3"/>
      <c r="AG29" s="3"/>
      <c r="AH29" s="3"/>
      <c r="AI29" s="3"/>
      <c r="AJ29" s="3"/>
      <c r="AK29" s="3"/>
    </row>
    <row r="30" spans="1:60" ht="19.5" thickBot="1">
      <c r="A30" s="1">
        <f t="shared" si="5"/>
        <v>23</v>
      </c>
      <c r="B30" s="15" t="s">
        <v>42</v>
      </c>
      <c r="C30" s="10"/>
      <c r="D30" s="11">
        <v>5</v>
      </c>
      <c r="E30" s="36"/>
      <c r="F30" s="36"/>
      <c r="G30" s="37"/>
      <c r="H30" s="38"/>
      <c r="I30" s="38">
        <f t="shared" si="0"/>
        <v>0</v>
      </c>
      <c r="J30" s="63">
        <f t="shared" si="0"/>
        <v>5</v>
      </c>
      <c r="K30" s="62"/>
      <c r="L30" s="36"/>
      <c r="M30" s="36"/>
      <c r="N30" s="36"/>
      <c r="O30" s="36"/>
      <c r="P30" s="36"/>
      <c r="Q30" s="99"/>
      <c r="R30" s="100">
        <f t="shared" si="1"/>
        <v>0</v>
      </c>
      <c r="S30" s="101">
        <f t="shared" si="1"/>
        <v>0</v>
      </c>
      <c r="T30" s="62"/>
      <c r="U30" s="8">
        <f t="shared" si="2"/>
        <v>0</v>
      </c>
      <c r="V30" s="135">
        <f t="shared" si="3"/>
        <v>0</v>
      </c>
      <c r="W30" s="134">
        <f t="shared" si="4"/>
        <v>5</v>
      </c>
      <c r="X30" s="61"/>
    </row>
    <row r="31" spans="1:60" ht="19.5" thickBot="1">
      <c r="A31" s="1">
        <f t="shared" si="5"/>
        <v>24</v>
      </c>
      <c r="B31" s="15" t="s">
        <v>43</v>
      </c>
      <c r="C31" s="10">
        <v>1</v>
      </c>
      <c r="D31" s="11"/>
      <c r="E31" s="36"/>
      <c r="F31" s="36"/>
      <c r="G31" s="37"/>
      <c r="H31" s="38"/>
      <c r="I31" s="38">
        <f t="shared" si="0"/>
        <v>1</v>
      </c>
      <c r="J31" s="63">
        <f t="shared" si="0"/>
        <v>0</v>
      </c>
      <c r="K31" s="62"/>
      <c r="L31" s="36"/>
      <c r="M31" s="36"/>
      <c r="N31" s="36"/>
      <c r="O31" s="36"/>
      <c r="P31" s="36"/>
      <c r="Q31" s="99"/>
      <c r="R31" s="100">
        <f t="shared" si="1"/>
        <v>0</v>
      </c>
      <c r="S31" s="101">
        <f t="shared" si="1"/>
        <v>0</v>
      </c>
      <c r="T31" s="62"/>
      <c r="U31" s="8">
        <f t="shared" si="2"/>
        <v>0</v>
      </c>
      <c r="V31" s="135">
        <f t="shared" si="3"/>
        <v>0</v>
      </c>
      <c r="W31" s="134">
        <f t="shared" si="4"/>
        <v>24</v>
      </c>
      <c r="X31" s="61"/>
    </row>
    <row r="32" spans="1:60" ht="19.5" thickBot="1">
      <c r="A32" s="1">
        <f t="shared" si="5"/>
        <v>25</v>
      </c>
      <c r="B32" s="15" t="s">
        <v>44</v>
      </c>
      <c r="C32" s="10"/>
      <c r="D32" s="11"/>
      <c r="E32" s="36"/>
      <c r="F32" s="36"/>
      <c r="G32" s="37"/>
      <c r="H32" s="38"/>
      <c r="I32" s="38">
        <f t="shared" si="0"/>
        <v>0</v>
      </c>
      <c r="J32" s="63">
        <f t="shared" si="0"/>
        <v>0</v>
      </c>
      <c r="K32" s="62"/>
      <c r="L32" s="36"/>
      <c r="M32" s="36"/>
      <c r="N32" s="36"/>
      <c r="O32" s="36"/>
      <c r="P32" s="36"/>
      <c r="Q32" s="99"/>
      <c r="R32" s="100">
        <f t="shared" si="1"/>
        <v>0</v>
      </c>
      <c r="S32" s="101">
        <f t="shared" si="1"/>
        <v>0</v>
      </c>
      <c r="T32" s="62"/>
      <c r="U32" s="8">
        <f t="shared" si="2"/>
        <v>0</v>
      </c>
      <c r="V32" s="135">
        <f t="shared" si="3"/>
        <v>0</v>
      </c>
      <c r="W32" s="134">
        <f t="shared" si="4"/>
        <v>0</v>
      </c>
      <c r="X32" s="61"/>
    </row>
    <row r="33" spans="1:26" ht="19.5" thickBot="1">
      <c r="A33" s="1">
        <f t="shared" si="5"/>
        <v>26</v>
      </c>
      <c r="B33" s="15" t="s">
        <v>45</v>
      </c>
      <c r="C33" s="10">
        <v>2</v>
      </c>
      <c r="D33" s="11"/>
      <c r="E33" s="36"/>
      <c r="F33" s="36"/>
      <c r="G33" s="37"/>
      <c r="H33" s="38"/>
      <c r="I33" s="38">
        <f t="shared" si="0"/>
        <v>2</v>
      </c>
      <c r="J33" s="63">
        <f t="shared" si="0"/>
        <v>0</v>
      </c>
      <c r="K33" s="62"/>
      <c r="L33" s="36"/>
      <c r="M33" s="36"/>
      <c r="N33" s="36"/>
      <c r="O33" s="36"/>
      <c r="P33" s="36"/>
      <c r="Q33" s="99"/>
      <c r="R33" s="100">
        <f t="shared" si="1"/>
        <v>0</v>
      </c>
      <c r="S33" s="101">
        <f t="shared" si="1"/>
        <v>0</v>
      </c>
      <c r="T33" s="62"/>
      <c r="U33" s="8">
        <f t="shared" si="2"/>
        <v>0</v>
      </c>
      <c r="V33" s="135">
        <f t="shared" si="3"/>
        <v>0</v>
      </c>
      <c r="W33" s="134">
        <f t="shared" si="4"/>
        <v>48</v>
      </c>
      <c r="X33" s="61"/>
    </row>
    <row r="34" spans="1:26" ht="19.5" thickBot="1">
      <c r="A34" s="1">
        <f t="shared" si="5"/>
        <v>27</v>
      </c>
      <c r="B34" s="15" t="s">
        <v>46</v>
      </c>
      <c r="C34" s="10">
        <v>4</v>
      </c>
      <c r="D34" s="11"/>
      <c r="E34" s="36"/>
      <c r="F34" s="36"/>
      <c r="G34" s="37"/>
      <c r="H34" s="38"/>
      <c r="I34" s="38">
        <f t="shared" si="0"/>
        <v>4</v>
      </c>
      <c r="J34" s="63">
        <f t="shared" si="0"/>
        <v>0</v>
      </c>
      <c r="K34" s="62"/>
      <c r="L34" s="36"/>
      <c r="M34" s="36"/>
      <c r="N34" s="36"/>
      <c r="O34" s="36"/>
      <c r="P34" s="36"/>
      <c r="Q34" s="99"/>
      <c r="R34" s="100">
        <f t="shared" si="1"/>
        <v>0</v>
      </c>
      <c r="S34" s="101">
        <f t="shared" si="1"/>
        <v>0</v>
      </c>
      <c r="T34" s="62"/>
      <c r="U34" s="8">
        <f t="shared" si="2"/>
        <v>0</v>
      </c>
      <c r="V34" s="135">
        <f t="shared" si="3"/>
        <v>0</v>
      </c>
      <c r="W34" s="134">
        <f t="shared" si="4"/>
        <v>96</v>
      </c>
      <c r="X34" s="61"/>
    </row>
    <row r="35" spans="1:26" ht="19.5" thickBot="1">
      <c r="A35" s="1">
        <f t="shared" si="5"/>
        <v>28</v>
      </c>
      <c r="B35" s="15" t="s">
        <v>47</v>
      </c>
      <c r="C35" s="10">
        <v>35</v>
      </c>
      <c r="D35" s="11">
        <v>14</v>
      </c>
      <c r="E35" s="36"/>
      <c r="F35" s="36"/>
      <c r="G35" s="37"/>
      <c r="H35" s="38"/>
      <c r="I35" s="38">
        <f t="shared" si="0"/>
        <v>35</v>
      </c>
      <c r="J35" s="63">
        <f t="shared" si="0"/>
        <v>14</v>
      </c>
      <c r="K35" s="62"/>
      <c r="L35" s="36"/>
      <c r="M35" s="36"/>
      <c r="N35" s="36"/>
      <c r="O35" s="36"/>
      <c r="P35" s="36"/>
      <c r="Q35" s="99"/>
      <c r="R35" s="100">
        <f t="shared" si="1"/>
        <v>0</v>
      </c>
      <c r="S35" s="101">
        <f t="shared" si="1"/>
        <v>0</v>
      </c>
      <c r="T35" s="62"/>
      <c r="U35" s="8">
        <f t="shared" si="2"/>
        <v>0</v>
      </c>
      <c r="V35" s="135">
        <f t="shared" si="3"/>
        <v>0</v>
      </c>
      <c r="W35" s="134">
        <f t="shared" si="4"/>
        <v>854</v>
      </c>
      <c r="X35" s="61"/>
    </row>
    <row r="36" spans="1:26" ht="18.75" hidden="1" customHeight="1">
      <c r="A36" s="1">
        <f t="shared" si="5"/>
        <v>29</v>
      </c>
      <c r="B36" s="15" t="s">
        <v>48</v>
      </c>
      <c r="C36" s="10"/>
      <c r="D36" s="11"/>
      <c r="E36" s="36"/>
      <c r="F36" s="36"/>
      <c r="G36" s="37"/>
      <c r="H36" s="38"/>
      <c r="I36" s="38">
        <f t="shared" si="0"/>
        <v>0</v>
      </c>
      <c r="J36" s="63">
        <f t="shared" si="0"/>
        <v>0</v>
      </c>
      <c r="K36" s="62"/>
      <c r="L36" s="36"/>
      <c r="M36" s="36"/>
      <c r="N36" s="36"/>
      <c r="O36" s="36"/>
      <c r="P36" s="36"/>
      <c r="Q36" s="99"/>
      <c r="R36" s="100">
        <f t="shared" si="1"/>
        <v>0</v>
      </c>
      <c r="S36" s="101">
        <f t="shared" si="1"/>
        <v>0</v>
      </c>
      <c r="T36" s="62"/>
      <c r="U36" s="8">
        <f t="shared" si="2"/>
        <v>0</v>
      </c>
      <c r="V36" s="135">
        <f t="shared" si="3"/>
        <v>0</v>
      </c>
      <c r="W36" s="134">
        <f t="shared" si="4"/>
        <v>0</v>
      </c>
      <c r="X36" s="61"/>
    </row>
    <row r="37" spans="1:26" ht="18.75" customHeight="1" thickBot="1">
      <c r="A37" s="1">
        <f t="shared" si="5"/>
        <v>30</v>
      </c>
      <c r="B37" s="15" t="s">
        <v>49</v>
      </c>
      <c r="C37" s="10">
        <v>1</v>
      </c>
      <c r="D37" s="11"/>
      <c r="E37" s="36"/>
      <c r="F37" s="36"/>
      <c r="G37" s="37"/>
      <c r="H37" s="38"/>
      <c r="I37" s="38">
        <f t="shared" si="0"/>
        <v>1</v>
      </c>
      <c r="J37" s="63">
        <f t="shared" si="0"/>
        <v>0</v>
      </c>
      <c r="K37" s="62"/>
      <c r="L37" s="36"/>
      <c r="M37" s="36"/>
      <c r="N37" s="36"/>
      <c r="O37" s="36"/>
      <c r="P37" s="36"/>
      <c r="Q37" s="99"/>
      <c r="R37" s="100">
        <f t="shared" si="1"/>
        <v>0</v>
      </c>
      <c r="S37" s="101">
        <f t="shared" si="1"/>
        <v>0</v>
      </c>
      <c r="T37" s="62"/>
      <c r="U37" s="8">
        <f t="shared" si="2"/>
        <v>0</v>
      </c>
      <c r="V37" s="135">
        <f t="shared" si="3"/>
        <v>0</v>
      </c>
      <c r="W37" s="134">
        <f t="shared" si="4"/>
        <v>24</v>
      </c>
      <c r="X37" s="61"/>
    </row>
    <row r="38" spans="1:26" ht="19.5" thickBot="1">
      <c r="A38" s="1">
        <f t="shared" si="5"/>
        <v>31</v>
      </c>
      <c r="B38" s="16" t="s">
        <v>50</v>
      </c>
      <c r="C38" s="13">
        <v>4501</v>
      </c>
      <c r="D38" s="14">
        <v>2</v>
      </c>
      <c r="E38" s="39"/>
      <c r="F38" s="39"/>
      <c r="G38" s="40">
        <v>65</v>
      </c>
      <c r="H38" s="41"/>
      <c r="I38" s="53">
        <f t="shared" si="0"/>
        <v>4436</v>
      </c>
      <c r="J38" s="70">
        <f t="shared" si="0"/>
        <v>2</v>
      </c>
      <c r="K38" s="65"/>
      <c r="L38" s="51">
        <v>27</v>
      </c>
      <c r="M38" s="51"/>
      <c r="N38" s="51">
        <v>20</v>
      </c>
      <c r="O38" s="51"/>
      <c r="P38" s="51">
        <v>18</v>
      </c>
      <c r="Q38" s="102"/>
      <c r="R38" s="107">
        <f t="shared" si="1"/>
        <v>65</v>
      </c>
      <c r="S38" s="104">
        <f t="shared" si="1"/>
        <v>0</v>
      </c>
      <c r="T38" s="65"/>
      <c r="U38" s="136">
        <f>L38*6+N38*6+P38*6</f>
        <v>390</v>
      </c>
      <c r="V38" s="141">
        <f>U38/6</f>
        <v>65</v>
      </c>
      <c r="W38" s="138">
        <f>I38*6+J38</f>
        <v>26618</v>
      </c>
      <c r="X38" s="139"/>
    </row>
    <row r="39" spans="1:26" ht="19.5" thickBot="1">
      <c r="A39" s="1">
        <f t="shared" si="5"/>
        <v>32</v>
      </c>
      <c r="B39" s="7" t="s">
        <v>51</v>
      </c>
      <c r="C39" s="10"/>
      <c r="D39" s="11"/>
      <c r="E39" s="36"/>
      <c r="F39" s="36"/>
      <c r="G39" s="37"/>
      <c r="H39" s="38"/>
      <c r="I39" s="37">
        <f t="shared" si="0"/>
        <v>0</v>
      </c>
      <c r="J39" s="63">
        <f t="shared" si="0"/>
        <v>0</v>
      </c>
      <c r="K39" s="62"/>
      <c r="L39" s="36"/>
      <c r="M39" s="36"/>
      <c r="N39" s="36"/>
      <c r="O39" s="36"/>
      <c r="P39" s="36"/>
      <c r="Q39" s="99"/>
      <c r="R39" s="108">
        <f t="shared" si="1"/>
        <v>0</v>
      </c>
      <c r="S39" s="106">
        <f t="shared" si="1"/>
        <v>0</v>
      </c>
      <c r="T39" s="62"/>
      <c r="U39" s="8">
        <f t="shared" ref="U39:U41" si="6">L39*24+N39*24+P39*24</f>
        <v>0</v>
      </c>
      <c r="V39" s="33">
        <f t="shared" ref="V39:V41" si="7">U39/24</f>
        <v>0</v>
      </c>
      <c r="W39" s="134">
        <f t="shared" ref="W39:W41" si="8">I39*24+J39</f>
        <v>0</v>
      </c>
      <c r="X39" s="61"/>
    </row>
    <row r="40" spans="1:26" ht="19.5" thickBot="1">
      <c r="A40" s="1">
        <f t="shared" si="5"/>
        <v>33</v>
      </c>
      <c r="B40" s="17" t="s">
        <v>52</v>
      </c>
      <c r="C40" s="18">
        <v>2</v>
      </c>
      <c r="D40" s="19"/>
      <c r="E40" s="42"/>
      <c r="F40" s="42"/>
      <c r="G40" s="43"/>
      <c r="H40" s="44"/>
      <c r="I40" s="38">
        <f t="shared" si="0"/>
        <v>2</v>
      </c>
      <c r="J40" s="63">
        <f t="shared" si="0"/>
        <v>0</v>
      </c>
      <c r="K40" s="62"/>
      <c r="L40" s="36"/>
      <c r="M40" s="36"/>
      <c r="N40" s="36"/>
      <c r="O40" s="36"/>
      <c r="P40" s="36"/>
      <c r="Q40" s="99"/>
      <c r="R40" s="100">
        <f t="shared" si="1"/>
        <v>0</v>
      </c>
      <c r="S40" s="101">
        <f t="shared" si="1"/>
        <v>0</v>
      </c>
      <c r="T40" s="62"/>
      <c r="U40" s="142">
        <f t="shared" si="6"/>
        <v>0</v>
      </c>
      <c r="V40" s="135">
        <f t="shared" si="7"/>
        <v>0</v>
      </c>
      <c r="W40" s="143">
        <f t="shared" si="8"/>
        <v>48</v>
      </c>
      <c r="X40" s="144"/>
    </row>
    <row r="41" spans="1:26" ht="19.5" thickBot="1">
      <c r="A41" s="1">
        <f t="shared" si="5"/>
        <v>34</v>
      </c>
      <c r="B41" s="20" t="s">
        <v>53</v>
      </c>
      <c r="C41" s="21">
        <v>103</v>
      </c>
      <c r="D41" s="22">
        <v>8</v>
      </c>
      <c r="E41" s="45"/>
      <c r="F41" s="45"/>
      <c r="G41" s="46"/>
      <c r="H41" s="47"/>
      <c r="I41" s="71">
        <f t="shared" si="0"/>
        <v>103</v>
      </c>
      <c r="J41" s="72">
        <f t="shared" si="0"/>
        <v>8</v>
      </c>
      <c r="K41" s="73"/>
      <c r="L41" s="74"/>
      <c r="M41" s="74"/>
      <c r="N41" s="74"/>
      <c r="O41" s="74"/>
      <c r="P41" s="74"/>
      <c r="Q41" s="109"/>
      <c r="R41" s="110">
        <f t="shared" si="1"/>
        <v>0</v>
      </c>
      <c r="S41" s="111">
        <f t="shared" si="1"/>
        <v>0</v>
      </c>
      <c r="T41" s="73"/>
      <c r="U41" s="145">
        <f t="shared" si="6"/>
        <v>0</v>
      </c>
      <c r="V41" s="146">
        <f t="shared" si="7"/>
        <v>0</v>
      </c>
      <c r="W41" s="146">
        <f t="shared" si="8"/>
        <v>2480</v>
      </c>
      <c r="X41" s="147"/>
    </row>
    <row r="42" spans="1:26" ht="19.5" thickBot="1">
      <c r="A42" s="1">
        <f t="shared" si="5"/>
        <v>35</v>
      </c>
      <c r="B42" s="23" t="s">
        <v>54</v>
      </c>
      <c r="C42" s="24">
        <v>354</v>
      </c>
      <c r="D42" s="25"/>
      <c r="E42" s="48"/>
      <c r="F42" s="48"/>
      <c r="G42" s="49">
        <v>29</v>
      </c>
      <c r="H42" s="50"/>
      <c r="I42" s="49">
        <f t="shared" si="0"/>
        <v>325</v>
      </c>
      <c r="J42" s="75">
        <f t="shared" si="0"/>
        <v>0</v>
      </c>
      <c r="K42" s="76"/>
      <c r="L42" s="48">
        <v>5</v>
      </c>
      <c r="M42" s="48"/>
      <c r="N42" s="48">
        <v>8</v>
      </c>
      <c r="O42" s="48"/>
      <c r="P42" s="48">
        <v>16</v>
      </c>
      <c r="Q42" s="112"/>
      <c r="R42" s="113">
        <f t="shared" si="1"/>
        <v>29</v>
      </c>
      <c r="S42" s="114">
        <f t="shared" si="1"/>
        <v>0</v>
      </c>
      <c r="T42" s="76"/>
      <c r="U42" s="148">
        <f>L42*12+N42*12+P42*12</f>
        <v>348</v>
      </c>
      <c r="V42" s="149">
        <f>U42/12</f>
        <v>29</v>
      </c>
      <c r="W42" s="150">
        <f>I42*12+J42</f>
        <v>3900</v>
      </c>
      <c r="X42" s="151"/>
    </row>
    <row r="43" spans="1:26" ht="18.75" hidden="1" customHeight="1">
      <c r="A43" s="1">
        <f t="shared" si="5"/>
        <v>36</v>
      </c>
      <c r="B43" s="7" t="s">
        <v>55</v>
      </c>
      <c r="C43" s="10"/>
      <c r="D43" s="11"/>
      <c r="E43" s="36"/>
      <c r="F43" s="36"/>
      <c r="G43" s="37"/>
      <c r="H43" s="38"/>
      <c r="I43" s="38">
        <f t="shared" si="0"/>
        <v>0</v>
      </c>
      <c r="J43" s="64">
        <f t="shared" si="0"/>
        <v>0</v>
      </c>
      <c r="K43" s="62"/>
      <c r="L43" s="36"/>
      <c r="M43" s="36"/>
      <c r="N43" s="36"/>
      <c r="O43" s="36"/>
      <c r="P43" s="36"/>
      <c r="Q43" s="99"/>
      <c r="R43" s="115">
        <f t="shared" si="1"/>
        <v>0</v>
      </c>
      <c r="S43" s="116">
        <f t="shared" si="1"/>
        <v>0</v>
      </c>
      <c r="T43" s="62"/>
      <c r="U43" s="8"/>
      <c r="V43" s="33"/>
      <c r="W43" s="134"/>
      <c r="X43" s="61"/>
    </row>
    <row r="44" spans="1:26" ht="19.5" thickBot="1">
      <c r="A44" s="1">
        <f t="shared" si="5"/>
        <v>37</v>
      </c>
      <c r="B44" s="12" t="s">
        <v>56</v>
      </c>
      <c r="C44" s="13">
        <v>28264</v>
      </c>
      <c r="D44" s="14">
        <v>1</v>
      </c>
      <c r="E44" s="39">
        <v>1836</v>
      </c>
      <c r="F44" s="39"/>
      <c r="G44" s="40">
        <v>1032</v>
      </c>
      <c r="H44" s="41"/>
      <c r="I44" s="38">
        <f>C44+E44-G44</f>
        <v>29068</v>
      </c>
      <c r="J44" s="77">
        <f t="shared" ref="J44:J59" si="9">D44-H44</f>
        <v>1</v>
      </c>
      <c r="K44" s="65"/>
      <c r="L44" s="51">
        <v>250</v>
      </c>
      <c r="M44" s="51"/>
      <c r="N44" s="51">
        <v>278</v>
      </c>
      <c r="O44" s="51"/>
      <c r="P44" s="51">
        <v>504</v>
      </c>
      <c r="Q44" s="102"/>
      <c r="R44" s="117">
        <f t="shared" si="1"/>
        <v>1032</v>
      </c>
      <c r="S44" s="118">
        <f t="shared" si="1"/>
        <v>0</v>
      </c>
      <c r="T44" s="65"/>
      <c r="U44" s="136">
        <f>L44*6+N44*6+P44*6</f>
        <v>6192</v>
      </c>
      <c r="V44" s="135">
        <f>U44/6</f>
        <v>1032</v>
      </c>
      <c r="W44" s="138">
        <f>I44*6+J44</f>
        <v>174409</v>
      </c>
      <c r="X44" s="139"/>
      <c r="Z44" s="155"/>
    </row>
    <row r="45" spans="1:26" ht="18.75" hidden="1" customHeight="1">
      <c r="A45" s="1">
        <f t="shared" si="5"/>
        <v>38</v>
      </c>
      <c r="B45" s="7" t="s">
        <v>57</v>
      </c>
      <c r="C45" s="10"/>
      <c r="D45" s="11"/>
      <c r="E45" s="36"/>
      <c r="F45" s="36"/>
      <c r="G45" s="37"/>
      <c r="H45" s="38"/>
      <c r="I45" s="44">
        <f t="shared" ref="I45:I59" si="10">C45-G45</f>
        <v>0</v>
      </c>
      <c r="J45" s="63">
        <f t="shared" si="9"/>
        <v>0</v>
      </c>
      <c r="K45" s="62"/>
      <c r="L45" s="36"/>
      <c r="M45" s="36"/>
      <c r="N45" s="36"/>
      <c r="O45" s="36"/>
      <c r="P45" s="36"/>
      <c r="Q45" s="99"/>
      <c r="R45" s="108">
        <f t="shared" si="1"/>
        <v>0</v>
      </c>
      <c r="S45" s="116">
        <f t="shared" si="1"/>
        <v>0</v>
      </c>
      <c r="T45" s="62"/>
      <c r="U45" s="8"/>
      <c r="V45" s="137"/>
      <c r="W45" s="134"/>
      <c r="X45" s="61"/>
    </row>
    <row r="46" spans="1:26" ht="19.5" thickBot="1">
      <c r="A46" s="1">
        <f t="shared" si="5"/>
        <v>39</v>
      </c>
      <c r="B46" s="15" t="s">
        <v>58</v>
      </c>
      <c r="C46" s="10">
        <v>7</v>
      </c>
      <c r="D46" s="11"/>
      <c r="E46" s="36"/>
      <c r="F46" s="36"/>
      <c r="G46" s="37"/>
      <c r="H46" s="38"/>
      <c r="I46" s="68">
        <f t="shared" si="10"/>
        <v>7</v>
      </c>
      <c r="J46" s="63">
        <f t="shared" si="9"/>
        <v>0</v>
      </c>
      <c r="K46" s="62"/>
      <c r="L46" s="36"/>
      <c r="M46" s="36"/>
      <c r="N46" s="36"/>
      <c r="O46" s="36"/>
      <c r="P46" s="36"/>
      <c r="Q46" s="99"/>
      <c r="R46" s="100">
        <f t="shared" si="1"/>
        <v>0</v>
      </c>
      <c r="S46" s="119">
        <f t="shared" si="1"/>
        <v>0</v>
      </c>
      <c r="T46" s="62"/>
      <c r="U46" s="8">
        <f t="shared" ref="U46:U51" si="11">L46*24+N46*24+P46*24</f>
        <v>0</v>
      </c>
      <c r="V46" s="140">
        <f t="shared" ref="V46:V51" si="12">U46/24</f>
        <v>0</v>
      </c>
      <c r="W46" s="134">
        <f t="shared" ref="W46:W51" si="13">I46*24+J46</f>
        <v>168</v>
      </c>
      <c r="X46" s="61"/>
    </row>
    <row r="47" spans="1:26" ht="19.5" thickBot="1">
      <c r="A47" s="1">
        <f t="shared" si="5"/>
        <v>40</v>
      </c>
      <c r="B47" s="15" t="s">
        <v>59</v>
      </c>
      <c r="C47" s="10">
        <v>1</v>
      </c>
      <c r="D47" s="11"/>
      <c r="E47" s="36"/>
      <c r="F47" s="36"/>
      <c r="G47" s="37"/>
      <c r="H47" s="38"/>
      <c r="I47" s="38">
        <f t="shared" si="10"/>
        <v>1</v>
      </c>
      <c r="J47" s="63">
        <f t="shared" si="9"/>
        <v>0</v>
      </c>
      <c r="K47" s="62"/>
      <c r="L47" s="36"/>
      <c r="M47" s="36"/>
      <c r="N47" s="36"/>
      <c r="O47" s="36"/>
      <c r="P47" s="36"/>
      <c r="Q47" s="99"/>
      <c r="R47" s="100">
        <f t="shared" si="1"/>
        <v>0</v>
      </c>
      <c r="S47" s="101">
        <f t="shared" si="1"/>
        <v>0</v>
      </c>
      <c r="T47" s="62"/>
      <c r="U47" s="8">
        <f t="shared" si="11"/>
        <v>0</v>
      </c>
      <c r="V47" s="135">
        <f t="shared" si="12"/>
        <v>0</v>
      </c>
      <c r="W47" s="134">
        <f t="shared" si="13"/>
        <v>24</v>
      </c>
      <c r="X47" s="61"/>
    </row>
    <row r="48" spans="1:26" ht="19.5" thickBot="1">
      <c r="A48" s="1">
        <f t="shared" si="5"/>
        <v>41</v>
      </c>
      <c r="B48" s="12" t="s">
        <v>48</v>
      </c>
      <c r="C48" s="26">
        <v>2820</v>
      </c>
      <c r="D48" s="27">
        <v>4</v>
      </c>
      <c r="E48" s="51"/>
      <c r="F48" s="51"/>
      <c r="G48" s="52"/>
      <c r="H48" s="53"/>
      <c r="I48" s="53">
        <f t="shared" si="10"/>
        <v>2820</v>
      </c>
      <c r="J48" s="70">
        <f t="shared" si="9"/>
        <v>4</v>
      </c>
      <c r="K48" s="65"/>
      <c r="L48" s="51"/>
      <c r="M48" s="51"/>
      <c r="N48" s="51"/>
      <c r="O48" s="51"/>
      <c r="P48" s="51"/>
      <c r="Q48" s="102"/>
      <c r="R48" s="107">
        <f t="shared" si="1"/>
        <v>0</v>
      </c>
      <c r="S48" s="120">
        <f t="shared" si="1"/>
        <v>0</v>
      </c>
      <c r="T48" s="65"/>
      <c r="U48" s="136">
        <f>L48*6+N48*6+P48*6</f>
        <v>0</v>
      </c>
      <c r="V48" s="141">
        <f>U48/6</f>
        <v>0</v>
      </c>
      <c r="W48" s="138">
        <f>I48*6+J48</f>
        <v>16924</v>
      </c>
      <c r="X48" s="139"/>
    </row>
    <row r="49" spans="1:24" ht="19.5" thickBot="1">
      <c r="A49" s="1">
        <f t="shared" si="5"/>
        <v>42</v>
      </c>
      <c r="B49" s="7" t="s">
        <v>60</v>
      </c>
      <c r="C49" s="10">
        <v>1</v>
      </c>
      <c r="D49" s="11"/>
      <c r="E49" s="36"/>
      <c r="F49" s="36"/>
      <c r="G49" s="37"/>
      <c r="H49" s="38"/>
      <c r="I49" s="38">
        <f t="shared" si="10"/>
        <v>1</v>
      </c>
      <c r="J49" s="63">
        <f t="shared" si="9"/>
        <v>0</v>
      </c>
      <c r="K49" s="62"/>
      <c r="L49" s="36"/>
      <c r="M49" s="36"/>
      <c r="N49" s="36"/>
      <c r="O49" s="36"/>
      <c r="P49" s="36"/>
      <c r="Q49" s="99"/>
      <c r="R49" s="108">
        <f t="shared" si="1"/>
        <v>0</v>
      </c>
      <c r="S49" s="106">
        <f t="shared" si="1"/>
        <v>0</v>
      </c>
      <c r="T49" s="62"/>
      <c r="U49" s="8">
        <f t="shared" si="11"/>
        <v>0</v>
      </c>
      <c r="V49" s="33">
        <f t="shared" si="12"/>
        <v>0</v>
      </c>
      <c r="W49" s="134">
        <f t="shared" si="13"/>
        <v>24</v>
      </c>
      <c r="X49" s="61"/>
    </row>
    <row r="50" spans="1:24" ht="19.5" thickBot="1">
      <c r="A50" s="1">
        <f t="shared" si="5"/>
        <v>43</v>
      </c>
      <c r="B50" s="15" t="s">
        <v>61</v>
      </c>
      <c r="C50" s="10">
        <v>2</v>
      </c>
      <c r="D50" s="11"/>
      <c r="E50" s="36"/>
      <c r="F50" s="36"/>
      <c r="G50" s="37"/>
      <c r="H50" s="38"/>
      <c r="I50" s="38">
        <f t="shared" si="10"/>
        <v>2</v>
      </c>
      <c r="J50" s="63">
        <f t="shared" si="9"/>
        <v>0</v>
      </c>
      <c r="K50" s="62"/>
      <c r="L50" s="36"/>
      <c r="M50" s="36"/>
      <c r="N50" s="36"/>
      <c r="O50" s="36"/>
      <c r="P50" s="36"/>
      <c r="Q50" s="99"/>
      <c r="R50" s="100">
        <f t="shared" si="1"/>
        <v>0</v>
      </c>
      <c r="S50" s="101">
        <f t="shared" si="1"/>
        <v>0</v>
      </c>
      <c r="T50" s="62"/>
      <c r="U50" s="8">
        <f t="shared" si="11"/>
        <v>0</v>
      </c>
      <c r="V50" s="135">
        <f t="shared" si="12"/>
        <v>0</v>
      </c>
      <c r="W50" s="134">
        <f t="shared" si="13"/>
        <v>48</v>
      </c>
      <c r="X50" s="61"/>
    </row>
    <row r="51" spans="1:24" ht="19.5" thickBot="1">
      <c r="A51" s="1">
        <f t="shared" si="5"/>
        <v>44</v>
      </c>
      <c r="B51" s="15" t="s">
        <v>62</v>
      </c>
      <c r="C51" s="10"/>
      <c r="D51" s="11"/>
      <c r="E51" s="36"/>
      <c r="F51" s="36"/>
      <c r="G51" s="37"/>
      <c r="H51" s="38"/>
      <c r="I51" s="38">
        <f t="shared" si="10"/>
        <v>0</v>
      </c>
      <c r="J51" s="63">
        <f t="shared" si="9"/>
        <v>0</v>
      </c>
      <c r="K51" s="62"/>
      <c r="L51" s="36"/>
      <c r="M51" s="36"/>
      <c r="N51" s="36"/>
      <c r="O51" s="36"/>
      <c r="P51" s="36"/>
      <c r="Q51" s="99"/>
      <c r="R51" s="100">
        <f t="shared" si="1"/>
        <v>0</v>
      </c>
      <c r="S51" s="101">
        <f t="shared" si="1"/>
        <v>0</v>
      </c>
      <c r="T51" s="62"/>
      <c r="U51" s="8">
        <f t="shared" si="11"/>
        <v>0</v>
      </c>
      <c r="V51" s="135">
        <f t="shared" si="12"/>
        <v>0</v>
      </c>
      <c r="W51" s="134">
        <f t="shared" si="13"/>
        <v>0</v>
      </c>
      <c r="X51" s="61"/>
    </row>
    <row r="52" spans="1:24" ht="19.5" thickBot="1">
      <c r="A52" s="1">
        <f t="shared" si="5"/>
        <v>45</v>
      </c>
      <c r="B52" s="12" t="s">
        <v>63</v>
      </c>
      <c r="C52" s="26">
        <v>34</v>
      </c>
      <c r="D52" s="27"/>
      <c r="E52" s="51"/>
      <c r="F52" s="51"/>
      <c r="G52" s="52"/>
      <c r="H52" s="53"/>
      <c r="I52" s="53">
        <f t="shared" si="10"/>
        <v>34</v>
      </c>
      <c r="J52" s="70">
        <f t="shared" si="9"/>
        <v>0</v>
      </c>
      <c r="K52" s="65"/>
      <c r="L52" s="51"/>
      <c r="M52" s="51"/>
      <c r="N52" s="51"/>
      <c r="O52" s="51"/>
      <c r="P52" s="51"/>
      <c r="Q52" s="102"/>
      <c r="R52" s="107">
        <f t="shared" si="1"/>
        <v>0</v>
      </c>
      <c r="S52" s="120">
        <f t="shared" si="1"/>
        <v>0</v>
      </c>
      <c r="T52" s="65"/>
      <c r="U52" s="136">
        <f>L52*6+N52*6+P52*6</f>
        <v>0</v>
      </c>
      <c r="V52" s="141">
        <f>U52/6</f>
        <v>0</v>
      </c>
      <c r="W52" s="138">
        <f>I52*6+J52</f>
        <v>204</v>
      </c>
      <c r="X52" s="139"/>
    </row>
    <row r="53" spans="1:24" ht="19.5" thickBot="1">
      <c r="A53" s="1">
        <f t="shared" si="5"/>
        <v>46</v>
      </c>
      <c r="B53" s="7" t="s">
        <v>64</v>
      </c>
      <c r="C53" s="10">
        <v>2</v>
      </c>
      <c r="D53" s="11"/>
      <c r="E53" s="36"/>
      <c r="F53" s="36"/>
      <c r="G53" s="37"/>
      <c r="H53" s="38"/>
      <c r="I53" s="38">
        <f t="shared" si="10"/>
        <v>2</v>
      </c>
      <c r="J53" s="63">
        <f t="shared" si="9"/>
        <v>0</v>
      </c>
      <c r="K53" s="62"/>
      <c r="L53" s="36"/>
      <c r="M53" s="36"/>
      <c r="N53" s="36"/>
      <c r="O53" s="36"/>
      <c r="P53" s="36"/>
      <c r="Q53" s="99"/>
      <c r="R53" s="108">
        <f t="shared" si="1"/>
        <v>0</v>
      </c>
      <c r="S53" s="106">
        <f t="shared" si="1"/>
        <v>0</v>
      </c>
      <c r="T53" s="62"/>
      <c r="U53" s="8">
        <f>L53*24+N53*24+P53*24</f>
        <v>0</v>
      </c>
      <c r="V53" s="33">
        <f>U53/24</f>
        <v>0</v>
      </c>
      <c r="W53" s="134">
        <f>I53*24+J53</f>
        <v>48</v>
      </c>
      <c r="X53" s="61"/>
    </row>
    <row r="54" spans="1:24" ht="19.5" thickBot="1">
      <c r="A54" s="1">
        <f t="shared" si="5"/>
        <v>47</v>
      </c>
      <c r="B54" s="15" t="s">
        <v>65</v>
      </c>
      <c r="C54" s="10">
        <v>11</v>
      </c>
      <c r="D54" s="11"/>
      <c r="E54" s="36"/>
      <c r="F54" s="36"/>
      <c r="G54" s="37"/>
      <c r="H54" s="38"/>
      <c r="I54" s="38">
        <f t="shared" si="10"/>
        <v>11</v>
      </c>
      <c r="J54" s="63">
        <f t="shared" si="9"/>
        <v>0</v>
      </c>
      <c r="K54" s="62"/>
      <c r="L54" s="36"/>
      <c r="M54" s="36"/>
      <c r="N54" s="36"/>
      <c r="O54" s="36"/>
      <c r="P54" s="36"/>
      <c r="Q54" s="99"/>
      <c r="R54" s="100">
        <f t="shared" si="1"/>
        <v>0</v>
      </c>
      <c r="S54" s="101">
        <f t="shared" si="1"/>
        <v>0</v>
      </c>
      <c r="T54" s="62"/>
      <c r="U54" s="8">
        <f>L54*24+N54*24+P54*24</f>
        <v>0</v>
      </c>
      <c r="V54" s="135">
        <f>U54/24</f>
        <v>0</v>
      </c>
      <c r="W54" s="134">
        <f>I54*24+J54</f>
        <v>264</v>
      </c>
      <c r="X54" s="61"/>
    </row>
    <row r="55" spans="1:24" ht="19.5" thickBot="1">
      <c r="A55" s="1">
        <f t="shared" si="5"/>
        <v>48</v>
      </c>
      <c r="B55" s="15"/>
      <c r="C55" s="10"/>
      <c r="D55" s="11"/>
      <c r="E55" s="36"/>
      <c r="F55" s="36"/>
      <c r="G55" s="37"/>
      <c r="H55" s="38"/>
      <c r="I55" s="38">
        <f t="shared" si="10"/>
        <v>0</v>
      </c>
      <c r="J55" s="63">
        <f t="shared" si="9"/>
        <v>0</v>
      </c>
      <c r="K55" s="62"/>
      <c r="L55" s="36"/>
      <c r="M55" s="36"/>
      <c r="N55" s="36"/>
      <c r="O55" s="36"/>
      <c r="P55" s="36"/>
      <c r="Q55" s="99"/>
      <c r="R55" s="100">
        <f t="shared" si="1"/>
        <v>0</v>
      </c>
      <c r="S55" s="101">
        <f t="shared" si="1"/>
        <v>0</v>
      </c>
      <c r="T55" s="62"/>
      <c r="U55" s="8"/>
      <c r="V55" s="135"/>
      <c r="W55" s="134"/>
      <c r="X55" s="61"/>
    </row>
    <row r="56" spans="1:24" ht="19.5" thickBot="1">
      <c r="A56" s="1">
        <f t="shared" si="5"/>
        <v>49</v>
      </c>
      <c r="B56" s="15"/>
      <c r="C56" s="10"/>
      <c r="D56" s="11"/>
      <c r="E56" s="36"/>
      <c r="F56" s="36"/>
      <c r="G56" s="37"/>
      <c r="H56" s="38"/>
      <c r="I56" s="38">
        <f t="shared" si="10"/>
        <v>0</v>
      </c>
      <c r="J56" s="63">
        <f t="shared" si="9"/>
        <v>0</v>
      </c>
      <c r="K56" s="62"/>
      <c r="L56" s="36"/>
      <c r="M56" s="36"/>
      <c r="N56" s="36"/>
      <c r="O56" s="36"/>
      <c r="P56" s="36"/>
      <c r="Q56" s="99"/>
      <c r="R56" s="100">
        <f t="shared" si="1"/>
        <v>0</v>
      </c>
      <c r="S56" s="101">
        <f t="shared" si="1"/>
        <v>0</v>
      </c>
      <c r="T56" s="62"/>
      <c r="U56" s="8"/>
      <c r="V56" s="135"/>
      <c r="W56" s="134"/>
      <c r="X56" s="61"/>
    </row>
    <row r="57" spans="1:24" ht="19.5" thickBot="1">
      <c r="A57" s="1">
        <f t="shared" si="5"/>
        <v>50</v>
      </c>
      <c r="B57" s="15"/>
      <c r="C57" s="10"/>
      <c r="D57" s="11"/>
      <c r="E57" s="36"/>
      <c r="F57" s="36"/>
      <c r="G57" s="37"/>
      <c r="H57" s="38"/>
      <c r="I57" s="38">
        <f t="shared" si="10"/>
        <v>0</v>
      </c>
      <c r="J57" s="63">
        <f t="shared" si="9"/>
        <v>0</v>
      </c>
      <c r="K57" s="62"/>
      <c r="L57" s="36"/>
      <c r="M57" s="36"/>
      <c r="N57" s="36"/>
      <c r="O57" s="36"/>
      <c r="P57" s="36"/>
      <c r="Q57" s="99"/>
      <c r="R57" s="100">
        <f t="shared" si="1"/>
        <v>0</v>
      </c>
      <c r="S57" s="101">
        <f t="shared" si="1"/>
        <v>0</v>
      </c>
      <c r="T57" s="62"/>
      <c r="U57" s="8"/>
      <c r="V57" s="135"/>
      <c r="W57" s="134"/>
      <c r="X57" s="61"/>
    </row>
    <row r="58" spans="1:24" ht="19.5" thickBot="1">
      <c r="A58" s="1">
        <f t="shared" si="5"/>
        <v>51</v>
      </c>
      <c r="B58" s="15"/>
      <c r="C58" s="10"/>
      <c r="D58" s="11"/>
      <c r="E58" s="36"/>
      <c r="F58" s="36"/>
      <c r="G58" s="37"/>
      <c r="H58" s="38"/>
      <c r="I58" s="38">
        <f t="shared" si="10"/>
        <v>0</v>
      </c>
      <c r="J58" s="63">
        <f t="shared" si="9"/>
        <v>0</v>
      </c>
      <c r="K58" s="62"/>
      <c r="L58" s="36"/>
      <c r="M58" s="36"/>
      <c r="N58" s="36"/>
      <c r="O58" s="36"/>
      <c r="P58" s="36"/>
      <c r="Q58" s="99"/>
      <c r="R58" s="100">
        <f t="shared" si="1"/>
        <v>0</v>
      </c>
      <c r="S58" s="101">
        <f t="shared" si="1"/>
        <v>0</v>
      </c>
      <c r="T58" s="62"/>
      <c r="U58" s="8"/>
      <c r="V58" s="135"/>
      <c r="W58" s="134"/>
      <c r="X58" s="61"/>
    </row>
    <row r="59" spans="1:24" ht="19.5" thickBot="1">
      <c r="A59" s="1">
        <f t="shared" si="5"/>
        <v>52</v>
      </c>
      <c r="B59" s="15"/>
      <c r="C59" s="10"/>
      <c r="D59" s="11"/>
      <c r="E59" s="36"/>
      <c r="F59" s="36"/>
      <c r="G59" s="37"/>
      <c r="H59" s="38"/>
      <c r="I59" s="38">
        <f t="shared" si="10"/>
        <v>0</v>
      </c>
      <c r="J59" s="63">
        <f t="shared" si="9"/>
        <v>0</v>
      </c>
      <c r="K59" s="62"/>
      <c r="L59" s="36"/>
      <c r="M59" s="36"/>
      <c r="N59" s="36"/>
      <c r="O59" s="36"/>
      <c r="P59" s="36"/>
      <c r="Q59" s="99"/>
      <c r="R59" s="100">
        <f t="shared" si="1"/>
        <v>0</v>
      </c>
      <c r="S59" s="101">
        <f t="shared" si="1"/>
        <v>0</v>
      </c>
      <c r="T59" s="62"/>
      <c r="U59" s="8"/>
      <c r="V59" s="135"/>
      <c r="W59" s="134"/>
      <c r="X59" s="61"/>
    </row>
    <row r="60" spans="1:24" s="2" customFormat="1" ht="19.5" thickBot="1">
      <c r="B60" s="28" t="s">
        <v>15</v>
      </c>
      <c r="C60" s="29">
        <f t="shared" ref="C60:J60" si="14">SUM(C8:C59)</f>
        <v>39458</v>
      </c>
      <c r="D60" s="30">
        <f t="shared" si="14"/>
        <v>131</v>
      </c>
      <c r="E60" s="54">
        <f t="shared" si="14"/>
        <v>1836</v>
      </c>
      <c r="F60" s="54"/>
      <c r="G60" s="55">
        <f t="shared" si="14"/>
        <v>1163</v>
      </c>
      <c r="H60" s="56">
        <f t="shared" si="14"/>
        <v>12</v>
      </c>
      <c r="I60" s="56">
        <f t="shared" si="14"/>
        <v>40131</v>
      </c>
      <c r="J60" s="78">
        <f t="shared" si="14"/>
        <v>119</v>
      </c>
      <c r="L60" s="79">
        <f t="shared" ref="L60:S60" si="15">SUM(L8:L59)</f>
        <v>289</v>
      </c>
      <c r="M60" s="79">
        <f t="shared" si="15"/>
        <v>0</v>
      </c>
      <c r="N60" s="79">
        <f t="shared" si="15"/>
        <v>318</v>
      </c>
      <c r="O60" s="79">
        <f t="shared" si="15"/>
        <v>14</v>
      </c>
      <c r="P60" s="79">
        <f t="shared" si="15"/>
        <v>554</v>
      </c>
      <c r="Q60" s="121">
        <f t="shared" si="15"/>
        <v>0</v>
      </c>
      <c r="R60" s="122">
        <f t="shared" si="15"/>
        <v>1161</v>
      </c>
      <c r="S60" s="123">
        <f t="shared" si="15"/>
        <v>14</v>
      </c>
      <c r="U60" s="29">
        <f t="shared" ref="U60:W60" si="16">SUM(U8:U59)</f>
        <v>7770</v>
      </c>
      <c r="V60" s="152">
        <f t="shared" si="16"/>
        <v>1161</v>
      </c>
      <c r="W60" s="179">
        <f t="shared" si="16"/>
        <v>304919</v>
      </c>
      <c r="X60" s="78"/>
    </row>
    <row r="61" spans="1:24" ht="19.5" thickBot="1">
      <c r="V61" s="154"/>
    </row>
    <row r="62" spans="1:24" ht="18.75" customHeight="1">
      <c r="G62" s="197" t="s">
        <v>66</v>
      </c>
      <c r="H62" s="57"/>
      <c r="I62" s="57"/>
      <c r="J62" s="80" t="s">
        <v>67</v>
      </c>
      <c r="L62" s="81"/>
      <c r="M62" s="87"/>
      <c r="N62" s="88"/>
      <c r="O62" s="88"/>
      <c r="P62" s="88"/>
      <c r="Q62" s="124"/>
      <c r="R62" s="124"/>
      <c r="S62" s="125"/>
    </row>
    <row r="63" spans="1:24">
      <c r="G63" s="198"/>
      <c r="H63" s="58"/>
      <c r="I63" s="58"/>
      <c r="J63" s="82" t="s">
        <v>68</v>
      </c>
      <c r="L63" s="83"/>
      <c r="M63" s="89"/>
      <c r="N63" s="90"/>
      <c r="O63" s="90"/>
      <c r="P63" s="90"/>
      <c r="Q63" s="126"/>
      <c r="R63" s="126"/>
      <c r="S63" s="127"/>
    </row>
    <row r="64" spans="1:24">
      <c r="G64" s="199"/>
      <c r="H64" s="59"/>
      <c r="I64" s="59"/>
      <c r="J64" s="82" t="s">
        <v>69</v>
      </c>
      <c r="L64" s="84"/>
      <c r="M64" s="91"/>
      <c r="N64" s="92"/>
      <c r="O64" s="92"/>
      <c r="P64" s="92"/>
      <c r="Q64" s="128"/>
      <c r="R64" s="128"/>
      <c r="S64" s="129"/>
    </row>
    <row r="65" spans="2:24">
      <c r="G65" s="200" t="s">
        <v>70</v>
      </c>
      <c r="H65" s="164"/>
      <c r="I65" s="164"/>
      <c r="J65" s="82" t="s">
        <v>67</v>
      </c>
      <c r="L65" s="84"/>
      <c r="M65" s="91"/>
      <c r="N65" s="92"/>
      <c r="O65" s="92"/>
      <c r="P65" s="92"/>
      <c r="Q65" s="128"/>
      <c r="R65" s="128"/>
      <c r="S65" s="129"/>
    </row>
    <row r="66" spans="2:24">
      <c r="G66" s="200"/>
      <c r="H66" s="164"/>
      <c r="I66" s="164"/>
      <c r="J66" s="82" t="s">
        <v>68</v>
      </c>
      <c r="L66" s="83"/>
      <c r="M66" s="89"/>
      <c r="N66" s="90"/>
      <c r="O66" s="90"/>
      <c r="P66" s="90"/>
      <c r="Q66" s="126"/>
      <c r="R66" s="126"/>
      <c r="S66" s="127"/>
    </row>
    <row r="67" spans="2:24" ht="19.5" thickBot="1">
      <c r="G67" s="201"/>
      <c r="H67" s="165"/>
      <c r="I67" s="165"/>
      <c r="J67" s="167" t="s">
        <v>69</v>
      </c>
      <c r="L67" s="168"/>
      <c r="M67" s="170"/>
      <c r="N67" s="171"/>
      <c r="O67" s="171"/>
      <c r="P67" s="171"/>
      <c r="Q67" s="174"/>
      <c r="R67" s="174"/>
      <c r="S67" s="175"/>
    </row>
    <row r="69" spans="2:24" ht="49.5" customHeight="1" thickBot="1">
      <c r="B69" s="159" t="s">
        <v>71</v>
      </c>
      <c r="C69" s="5" t="s">
        <v>4</v>
      </c>
      <c r="D69" s="6"/>
      <c r="E69" s="166" t="s">
        <v>72</v>
      </c>
      <c r="L69" s="169" t="s">
        <v>12</v>
      </c>
      <c r="M69" s="172"/>
      <c r="N69" s="173" t="s">
        <v>13</v>
      </c>
      <c r="O69" s="173"/>
      <c r="P69" s="173" t="s">
        <v>14</v>
      </c>
      <c r="Q69" s="176"/>
      <c r="R69" s="176"/>
      <c r="S69" s="177" t="s">
        <v>73</v>
      </c>
      <c r="X69" s="178" t="s">
        <v>74</v>
      </c>
    </row>
    <row r="70" spans="2:24">
      <c r="B70" s="160" t="s">
        <v>47</v>
      </c>
      <c r="C70" s="161"/>
      <c r="D70" s="161"/>
      <c r="E70" s="163"/>
      <c r="L70" s="161"/>
      <c r="M70" s="161"/>
      <c r="N70" s="161"/>
      <c r="O70" s="161"/>
      <c r="P70" s="161"/>
      <c r="Q70" s="161"/>
      <c r="R70" s="161"/>
      <c r="S70" s="161"/>
      <c r="X70" s="163"/>
    </row>
    <row r="71" spans="2:24">
      <c r="B71" s="162" t="s">
        <v>75</v>
      </c>
      <c r="C71" s="161"/>
      <c r="D71" s="161"/>
      <c r="E71" s="163"/>
      <c r="L71" s="163"/>
      <c r="M71" s="163"/>
      <c r="N71" s="163"/>
      <c r="O71" s="163"/>
      <c r="P71" s="163"/>
      <c r="Q71" s="163"/>
      <c r="R71" s="163"/>
      <c r="S71" s="163"/>
      <c r="X71" s="163"/>
    </row>
    <row r="72" spans="2:24">
      <c r="B72" s="162" t="s">
        <v>76</v>
      </c>
      <c r="C72" s="161"/>
      <c r="D72" s="161"/>
      <c r="E72" s="163"/>
      <c r="L72" s="163"/>
      <c r="M72" s="163"/>
      <c r="N72" s="163"/>
      <c r="O72" s="163"/>
      <c r="P72" s="163"/>
      <c r="Q72" s="163"/>
      <c r="R72" s="163"/>
      <c r="S72" s="163"/>
      <c r="X72" s="163"/>
    </row>
    <row r="73" spans="2:24" ht="11.25" customHeight="1"/>
    <row r="74" spans="2:24">
      <c r="B74" s="162" t="s">
        <v>77</v>
      </c>
      <c r="C74" s="163"/>
      <c r="D74" s="163"/>
      <c r="E74" s="163"/>
      <c r="L74" s="163"/>
      <c r="M74" s="163"/>
      <c r="N74" s="163"/>
      <c r="O74" s="163"/>
      <c r="P74" s="163"/>
      <c r="Q74" s="163"/>
      <c r="R74" s="163"/>
      <c r="S74" s="163"/>
      <c r="X74" s="163"/>
    </row>
    <row r="75" spans="2:24">
      <c r="B75" s="162" t="s">
        <v>75</v>
      </c>
      <c r="C75" s="163"/>
      <c r="D75" s="163"/>
      <c r="E75" s="163"/>
      <c r="L75" s="163"/>
      <c r="M75" s="163"/>
      <c r="N75" s="163"/>
      <c r="O75" s="163"/>
      <c r="P75" s="163"/>
      <c r="Q75" s="163"/>
      <c r="R75" s="163"/>
      <c r="S75" s="163"/>
      <c r="X75" s="163"/>
    </row>
    <row r="76" spans="2:24">
      <c r="B76" s="162" t="s">
        <v>76</v>
      </c>
      <c r="C76" s="163"/>
      <c r="D76" s="163"/>
      <c r="E76" s="163"/>
      <c r="L76" s="163"/>
      <c r="M76" s="163"/>
      <c r="N76" s="163"/>
      <c r="O76" s="163"/>
      <c r="P76" s="163"/>
      <c r="Q76" s="163"/>
      <c r="R76" s="163"/>
      <c r="S76" s="163"/>
      <c r="X76" s="163"/>
    </row>
    <row r="77" spans="2:24" ht="11.25" customHeight="1"/>
    <row r="78" spans="2:24">
      <c r="B78" s="162" t="s">
        <v>78</v>
      </c>
      <c r="C78" s="163"/>
      <c r="D78" s="163"/>
      <c r="E78" s="163"/>
      <c r="L78" s="163"/>
      <c r="M78" s="163"/>
      <c r="N78" s="163"/>
      <c r="O78" s="163"/>
      <c r="P78" s="163"/>
      <c r="Q78" s="163"/>
      <c r="R78" s="163"/>
      <c r="S78" s="163"/>
      <c r="X78" s="163"/>
    </row>
    <row r="79" spans="2:24">
      <c r="B79" s="162" t="s">
        <v>75</v>
      </c>
      <c r="C79" s="163"/>
      <c r="D79" s="163"/>
      <c r="E79" s="163"/>
      <c r="L79" s="163"/>
      <c r="M79" s="163"/>
      <c r="N79" s="163"/>
      <c r="O79" s="163"/>
      <c r="P79" s="163"/>
      <c r="Q79" s="163"/>
      <c r="R79" s="163"/>
      <c r="S79" s="163"/>
      <c r="X79" s="163"/>
    </row>
    <row r="80" spans="2:24">
      <c r="B80" s="162" t="s">
        <v>76</v>
      </c>
      <c r="C80" s="163"/>
      <c r="D80" s="163"/>
      <c r="E80" s="163"/>
      <c r="L80" s="163"/>
      <c r="M80" s="163"/>
      <c r="N80" s="163"/>
      <c r="O80" s="163"/>
      <c r="P80" s="163"/>
      <c r="Q80" s="163"/>
      <c r="R80" s="163"/>
      <c r="S80" s="163"/>
      <c r="X80" s="163"/>
    </row>
    <row r="81" spans="2:24" ht="11.25" customHeight="1"/>
    <row r="82" spans="2:24">
      <c r="B82" s="162" t="s">
        <v>79</v>
      </c>
      <c r="C82" s="163"/>
      <c r="D82" s="163"/>
      <c r="E82" s="163"/>
      <c r="L82" s="163"/>
      <c r="M82" s="163"/>
      <c r="N82" s="163"/>
      <c r="O82" s="163"/>
      <c r="P82" s="163"/>
      <c r="Q82" s="163"/>
      <c r="R82" s="163"/>
      <c r="S82" s="163"/>
      <c r="X82" s="163"/>
    </row>
    <row r="83" spans="2:24">
      <c r="B83" s="162" t="s">
        <v>75</v>
      </c>
      <c r="C83" s="163"/>
      <c r="D83" s="163"/>
      <c r="E83" s="163"/>
      <c r="L83" s="163"/>
      <c r="M83" s="163"/>
      <c r="N83" s="163"/>
      <c r="O83" s="163"/>
      <c r="P83" s="163"/>
      <c r="Q83" s="163"/>
      <c r="R83" s="163"/>
      <c r="S83" s="163"/>
      <c r="X83" s="163"/>
    </row>
    <row r="84" spans="2:24">
      <c r="B84" s="162" t="s">
        <v>76</v>
      </c>
      <c r="C84" s="161"/>
      <c r="D84" s="161"/>
      <c r="E84" s="163"/>
      <c r="L84" s="163"/>
      <c r="M84" s="163"/>
      <c r="N84" s="163"/>
      <c r="O84" s="163"/>
      <c r="P84" s="163"/>
      <c r="Q84" s="163"/>
      <c r="R84" s="163"/>
      <c r="S84" s="163"/>
      <c r="X84" s="163"/>
    </row>
    <row r="85" spans="2:24" ht="11.25" customHeight="1"/>
    <row r="86" spans="2:24">
      <c r="B86" s="162" t="s">
        <v>80</v>
      </c>
      <c r="C86" s="163"/>
      <c r="D86" s="163"/>
      <c r="E86" s="163"/>
      <c r="L86" s="163"/>
      <c r="M86" s="163"/>
      <c r="N86" s="163"/>
      <c r="O86" s="163"/>
      <c r="P86" s="163"/>
      <c r="Q86" s="163"/>
      <c r="R86" s="163"/>
      <c r="S86" s="163"/>
      <c r="X86" s="163"/>
    </row>
    <row r="87" spans="2:24">
      <c r="B87" s="162" t="s">
        <v>75</v>
      </c>
      <c r="C87" s="163"/>
      <c r="D87" s="163"/>
      <c r="E87" s="163"/>
      <c r="L87" s="163"/>
      <c r="M87" s="163"/>
      <c r="N87" s="163"/>
      <c r="O87" s="163"/>
      <c r="P87" s="163"/>
      <c r="Q87" s="163"/>
      <c r="R87" s="163"/>
      <c r="S87" s="163"/>
      <c r="X87" s="163"/>
    </row>
    <row r="88" spans="2:24">
      <c r="B88" s="162" t="s">
        <v>76</v>
      </c>
      <c r="C88" s="163"/>
      <c r="D88" s="163"/>
      <c r="E88" s="163"/>
      <c r="L88" s="163"/>
      <c r="M88" s="163"/>
      <c r="N88" s="163"/>
      <c r="O88" s="163"/>
      <c r="P88" s="163"/>
      <c r="Q88" s="163"/>
      <c r="R88" s="163"/>
      <c r="S88" s="163"/>
      <c r="X88" s="163"/>
    </row>
    <row r="90" spans="2:24">
      <c r="B90" s="162" t="s">
        <v>81</v>
      </c>
      <c r="C90" s="163"/>
      <c r="D90" s="163"/>
      <c r="E90" s="163"/>
      <c r="L90" s="163"/>
      <c r="M90" s="163"/>
      <c r="N90" s="163"/>
      <c r="O90" s="163"/>
      <c r="P90" s="163"/>
      <c r="Q90" s="163"/>
      <c r="R90" s="163"/>
      <c r="S90" s="163"/>
      <c r="X90" s="163"/>
    </row>
  </sheetData>
  <mergeCells count="12">
    <mergeCell ref="G62:G64"/>
    <mergeCell ref="G65:G67"/>
    <mergeCell ref="P1:X1"/>
    <mergeCell ref="B4:B5"/>
    <mergeCell ref="C4:C5"/>
    <mergeCell ref="D4:D5"/>
    <mergeCell ref="E4:F4"/>
    <mergeCell ref="G4:G5"/>
    <mergeCell ref="H4:H5"/>
    <mergeCell ref="I4:I5"/>
    <mergeCell ref="J4:J5"/>
    <mergeCell ref="L4:X4"/>
  </mergeCells>
  <printOptions horizontalCentered="1" verticalCentered="1"/>
  <pageMargins left="0.196850393700787" right="0.196850393700787" top="0.196850393700787" bottom="0.196850393700787" header="0.511811023622047" footer="0.511811023622047"/>
  <pageSetup paperSize="9" scale="51" orientation="portrait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9B650-D963-4760-8255-1C3CD5AEB379}">
  <sheetPr>
    <pageSetUpPr fitToPage="1"/>
  </sheetPr>
  <dimension ref="A1:BH90"/>
  <sheetViews>
    <sheetView zoomScaleNormal="100" zoomScaleSheetLayoutView="85" zoomScalePageLayoutView="80" workbookViewId="0">
      <selection activeCell="P1" sqref="P1:X1"/>
    </sheetView>
  </sheetViews>
  <sheetFormatPr defaultColWidth="9.140625" defaultRowHeight="18.75"/>
  <cols>
    <col min="1" max="1" width="5.42578125" style="3" customWidth="1"/>
    <col min="2" max="2" width="12.28515625" style="3" customWidth="1"/>
    <col min="3" max="3" width="12.7109375" style="3" customWidth="1"/>
    <col min="4" max="4" width="8.5703125" style="3" bestFit="1" customWidth="1"/>
    <col min="5" max="5" width="12.140625" style="3" customWidth="1"/>
    <col min="6" max="6" width="9.85546875" style="3" customWidth="1"/>
    <col min="7" max="7" width="11" style="3" customWidth="1"/>
    <col min="8" max="8" width="8" style="3" customWidth="1"/>
    <col min="9" max="9" width="14.7109375" style="3" customWidth="1"/>
    <col min="10" max="10" width="8.28515625" style="3" customWidth="1"/>
    <col min="11" max="11" width="1.28515625" style="3" customWidth="1"/>
    <col min="12" max="12" width="11" style="3" customWidth="1"/>
    <col min="13" max="13" width="7.85546875" style="3" customWidth="1"/>
    <col min="14" max="14" width="11" style="3" customWidth="1"/>
    <col min="15" max="15" width="6.5703125" style="3" customWidth="1"/>
    <col min="16" max="16" width="11" style="3" customWidth="1"/>
    <col min="17" max="17" width="6.5703125" style="3" customWidth="1"/>
    <col min="18" max="18" width="9.5703125" style="3" customWidth="1"/>
    <col min="19" max="19" width="8.140625" style="3" customWidth="1"/>
    <col min="20" max="20" width="1.28515625" style="3" customWidth="1"/>
    <col min="21" max="21" width="12.7109375" style="3" customWidth="1"/>
    <col min="22" max="22" width="12.7109375" style="3" hidden="1" customWidth="1"/>
    <col min="23" max="23" width="14.5703125" style="3" customWidth="1"/>
    <col min="24" max="24" width="11.5703125" style="3" customWidth="1"/>
    <col min="25" max="25" width="2" style="3" customWidth="1"/>
    <col min="26" max="26" width="10.5703125" style="3" customWidth="1"/>
    <col min="27" max="55" width="7.28515625" style="3" customWidth="1"/>
    <col min="56" max="56" width="1.5703125" style="3" customWidth="1"/>
    <col min="57" max="57" width="9.42578125" style="3" customWidth="1"/>
    <col min="58" max="58" width="1.28515625" style="3" customWidth="1"/>
    <col min="59" max="59" width="12.7109375" style="3" customWidth="1"/>
    <col min="60" max="60" width="10.28515625" style="3" customWidth="1"/>
    <col min="61" max="16384" width="9.140625" style="3"/>
  </cols>
  <sheetData>
    <row r="1" spans="1:60" ht="19.5" thickBot="1">
      <c r="B1" s="2" t="s">
        <v>0</v>
      </c>
      <c r="N1" s="3" t="s">
        <v>1</v>
      </c>
      <c r="P1" s="183">
        <v>46169</v>
      </c>
      <c r="Q1" s="184"/>
      <c r="R1" s="184"/>
      <c r="S1" s="184"/>
      <c r="T1" s="184"/>
      <c r="U1" s="184"/>
      <c r="V1" s="184"/>
      <c r="W1" s="184"/>
      <c r="X1" s="185"/>
    </row>
    <row r="2" spans="1:60" ht="15" customHeight="1">
      <c r="B2" s="2" t="s">
        <v>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4" spans="1:60" ht="19.5" customHeight="1" thickBot="1">
      <c r="A4" s="4"/>
      <c r="B4" s="192" t="s">
        <v>3</v>
      </c>
      <c r="C4" s="193" t="s">
        <v>4</v>
      </c>
      <c r="D4" s="194" t="s">
        <v>5</v>
      </c>
      <c r="E4" s="186" t="s">
        <v>6</v>
      </c>
      <c r="F4" s="187"/>
      <c r="G4" s="195" t="s">
        <v>7</v>
      </c>
      <c r="H4" s="202" t="s">
        <v>5</v>
      </c>
      <c r="I4" s="204" t="s">
        <v>8</v>
      </c>
      <c r="J4" s="202" t="s">
        <v>5</v>
      </c>
      <c r="L4" s="188" t="s">
        <v>9</v>
      </c>
      <c r="M4" s="189"/>
      <c r="N4" s="189"/>
      <c r="O4" s="189"/>
      <c r="P4" s="189"/>
      <c r="Q4" s="189"/>
      <c r="R4" s="189"/>
      <c r="S4" s="189"/>
      <c r="T4" s="189"/>
      <c r="U4" s="189"/>
      <c r="V4" s="190"/>
      <c r="W4" s="189"/>
      <c r="X4" s="191"/>
    </row>
    <row r="5" spans="1:60" s="1" customFormat="1" ht="57" thickBot="1">
      <c r="A5" s="4"/>
      <c r="B5" s="192"/>
      <c r="C5" s="193"/>
      <c r="D5" s="194"/>
      <c r="E5" s="31" t="s">
        <v>10</v>
      </c>
      <c r="F5" s="32" t="s">
        <v>11</v>
      </c>
      <c r="G5" s="196"/>
      <c r="H5" s="203"/>
      <c r="I5" s="205"/>
      <c r="J5" s="203"/>
      <c r="L5" s="60" t="s">
        <v>12</v>
      </c>
      <c r="M5" s="85" t="s">
        <v>5</v>
      </c>
      <c r="N5" s="86" t="s">
        <v>13</v>
      </c>
      <c r="O5" s="85" t="s">
        <v>5</v>
      </c>
      <c r="P5" s="86" t="s">
        <v>14</v>
      </c>
      <c r="Q5" s="85" t="s">
        <v>5</v>
      </c>
      <c r="R5" s="93" t="s">
        <v>15</v>
      </c>
      <c r="S5" s="94" t="s">
        <v>5</v>
      </c>
      <c r="T5" s="95"/>
      <c r="U5" s="130" t="s">
        <v>16</v>
      </c>
      <c r="V5" s="131" t="s">
        <v>17</v>
      </c>
      <c r="W5" s="132" t="s">
        <v>18</v>
      </c>
      <c r="X5" s="133" t="s">
        <v>19</v>
      </c>
      <c r="AL5" s="156"/>
      <c r="AM5" s="156"/>
      <c r="AN5" s="156"/>
      <c r="AO5" s="156"/>
      <c r="AP5" s="156"/>
      <c r="AQ5" s="156"/>
      <c r="AR5" s="156"/>
      <c r="AS5" s="156"/>
      <c r="AT5" s="156"/>
      <c r="AU5" s="156"/>
      <c r="AV5" s="156"/>
      <c r="AW5" s="156"/>
      <c r="AX5" s="156"/>
      <c r="AY5" s="156"/>
      <c r="AZ5" s="156"/>
      <c r="BA5" s="156"/>
      <c r="BB5" s="156"/>
      <c r="BC5" s="156"/>
      <c r="BD5" s="156"/>
      <c r="BE5" s="156"/>
      <c r="BF5" s="156"/>
      <c r="BG5" s="156"/>
      <c r="BH5" s="156"/>
    </row>
    <row r="6" spans="1:60" s="1" customFormat="1" ht="19.5" thickBot="1">
      <c r="B6" s="7"/>
      <c r="C6" s="8"/>
      <c r="D6" s="9"/>
      <c r="E6" s="33"/>
      <c r="F6" s="33"/>
      <c r="G6" s="34"/>
      <c r="H6" s="35"/>
      <c r="I6" s="35"/>
      <c r="J6" s="61"/>
      <c r="K6" s="62"/>
      <c r="L6" s="33"/>
      <c r="M6" s="33"/>
      <c r="N6" s="33"/>
      <c r="O6" s="33"/>
      <c r="P6" s="33"/>
      <c r="Q6" s="96"/>
      <c r="R6" s="97"/>
      <c r="S6" s="98"/>
      <c r="T6" s="62"/>
      <c r="U6" s="8"/>
      <c r="V6" s="33"/>
      <c r="W6" s="134"/>
      <c r="X6" s="61"/>
      <c r="AL6" s="156"/>
      <c r="AM6" s="156"/>
      <c r="AN6" s="156"/>
      <c r="AO6" s="156"/>
      <c r="AP6" s="156"/>
      <c r="AQ6" s="156"/>
      <c r="AR6" s="156"/>
      <c r="AS6" s="156"/>
      <c r="AT6" s="156"/>
      <c r="AU6" s="156"/>
      <c r="AV6" s="156"/>
      <c r="AW6" s="156"/>
      <c r="AX6" s="156"/>
      <c r="AY6" s="156"/>
      <c r="AZ6" s="156"/>
      <c r="BA6" s="156"/>
      <c r="BB6" s="156"/>
      <c r="BC6" s="156"/>
      <c r="BD6" s="156"/>
      <c r="BE6" s="156"/>
      <c r="BF6" s="156"/>
      <c r="BG6" s="156"/>
      <c r="BH6" s="156"/>
    </row>
    <row r="7" spans="1:60" s="1" customFormat="1" ht="19.5" thickBot="1">
      <c r="B7" s="7"/>
      <c r="C7" s="8"/>
      <c r="D7" s="9"/>
      <c r="E7" s="33"/>
      <c r="F7" s="33"/>
      <c r="G7" s="34"/>
      <c r="H7" s="35"/>
      <c r="I7" s="35"/>
      <c r="J7" s="61"/>
      <c r="K7" s="62"/>
      <c r="L7" s="33"/>
      <c r="M7" s="33"/>
      <c r="N7" s="33"/>
      <c r="O7" s="33"/>
      <c r="P7" s="33"/>
      <c r="Q7" s="96"/>
      <c r="R7" s="97"/>
      <c r="S7" s="98"/>
      <c r="T7" s="62"/>
      <c r="U7" s="8"/>
      <c r="V7" s="135"/>
      <c r="W7" s="134"/>
      <c r="X7" s="61"/>
      <c r="AL7" s="156"/>
      <c r="AM7" s="156"/>
      <c r="AN7" s="156"/>
      <c r="AO7" s="156"/>
      <c r="AP7" s="156"/>
      <c r="AQ7" s="156"/>
      <c r="AR7" s="156"/>
      <c r="AS7" s="156"/>
      <c r="AT7" s="156"/>
      <c r="AU7" s="156"/>
      <c r="AV7" s="156"/>
      <c r="AW7" s="156"/>
      <c r="AX7" s="156"/>
      <c r="AY7" s="156"/>
      <c r="AZ7" s="156"/>
      <c r="BA7" s="156"/>
      <c r="BB7" s="156"/>
      <c r="BC7" s="156"/>
      <c r="BD7" s="156"/>
      <c r="BE7" s="156"/>
      <c r="BF7" s="156"/>
      <c r="BG7" s="156"/>
      <c r="BH7" s="156"/>
    </row>
    <row r="8" spans="1:60" ht="19.5" thickBot="1">
      <c r="A8" s="1">
        <v>1</v>
      </c>
      <c r="B8" s="7" t="s">
        <v>20</v>
      </c>
      <c r="C8" s="10">
        <v>6</v>
      </c>
      <c r="D8" s="11">
        <v>7</v>
      </c>
      <c r="E8" s="36"/>
      <c r="F8" s="36"/>
      <c r="G8" s="37"/>
      <c r="H8" s="38"/>
      <c r="I8" s="38">
        <f t="shared" ref="I8:J43" si="0">C8-G8</f>
        <v>6</v>
      </c>
      <c r="J8" s="63">
        <f t="shared" si="0"/>
        <v>7</v>
      </c>
      <c r="K8" s="62"/>
      <c r="L8" s="36"/>
      <c r="M8" s="36"/>
      <c r="N8" s="36"/>
      <c r="O8" s="36"/>
      <c r="P8" s="36"/>
      <c r="Q8" s="99"/>
      <c r="R8" s="100">
        <f t="shared" ref="R8:S59" si="1">L8+N8+P8</f>
        <v>0</v>
      </c>
      <c r="S8" s="101">
        <f t="shared" si="1"/>
        <v>0</v>
      </c>
      <c r="T8" s="62"/>
      <c r="U8" s="8">
        <f t="shared" ref="U8:U37" si="2">L8*24+N8*24+P8*24</f>
        <v>0</v>
      </c>
      <c r="V8" s="135">
        <f t="shared" ref="V8:V37" si="3">U8/24</f>
        <v>0</v>
      </c>
      <c r="W8" s="134">
        <f t="shared" ref="W8:W37" si="4">I8*24+J8</f>
        <v>151</v>
      </c>
      <c r="X8" s="61"/>
      <c r="AL8" s="157"/>
      <c r="AM8" s="157"/>
      <c r="AN8" s="157"/>
      <c r="AO8" s="157"/>
      <c r="AP8" s="157"/>
      <c r="AQ8" s="157"/>
      <c r="AR8" s="157"/>
      <c r="AS8" s="157"/>
      <c r="AT8" s="157"/>
      <c r="AU8" s="157"/>
      <c r="AV8" s="157"/>
      <c r="AW8" s="157"/>
      <c r="AX8" s="157"/>
      <c r="AY8" s="157"/>
      <c r="AZ8" s="157"/>
      <c r="BA8" s="157"/>
      <c r="BB8" s="157"/>
      <c r="BC8" s="157"/>
      <c r="BD8" s="157"/>
      <c r="BE8" s="157"/>
      <c r="BF8" s="157"/>
      <c r="BG8" s="157"/>
      <c r="BH8" s="157"/>
    </row>
    <row r="9" spans="1:60" ht="19.5" thickBot="1">
      <c r="A9" s="1">
        <f t="shared" ref="A9:A59" si="5">A8+1</f>
        <v>2</v>
      </c>
      <c r="B9" s="12" t="s">
        <v>21</v>
      </c>
      <c r="C9" s="13">
        <v>73</v>
      </c>
      <c r="D9" s="14"/>
      <c r="E9" s="39"/>
      <c r="F9" s="39"/>
      <c r="G9" s="40"/>
      <c r="H9" s="41"/>
      <c r="I9" s="40">
        <f t="shared" si="0"/>
        <v>73</v>
      </c>
      <c r="J9" s="64">
        <f t="shared" si="0"/>
        <v>0</v>
      </c>
      <c r="K9" s="65"/>
      <c r="L9" s="51"/>
      <c r="M9" s="51"/>
      <c r="N9" s="51"/>
      <c r="O9" s="51"/>
      <c r="P9" s="51"/>
      <c r="Q9" s="102"/>
      <c r="R9" s="103">
        <f t="shared" si="1"/>
        <v>0</v>
      </c>
      <c r="S9" s="104">
        <f t="shared" si="1"/>
        <v>0</v>
      </c>
      <c r="T9" s="65"/>
      <c r="U9" s="136">
        <f t="shared" si="2"/>
        <v>0</v>
      </c>
      <c r="V9" s="137">
        <f t="shared" si="3"/>
        <v>0</v>
      </c>
      <c r="W9" s="138">
        <f t="shared" si="4"/>
        <v>1752</v>
      </c>
      <c r="X9" s="139"/>
      <c r="AL9" s="157"/>
      <c r="AM9" s="157"/>
      <c r="AN9" s="157"/>
      <c r="AO9" s="157"/>
      <c r="AP9" s="157"/>
      <c r="AQ9" s="157"/>
      <c r="AR9" s="157"/>
      <c r="AS9" s="157"/>
      <c r="AT9" s="157"/>
      <c r="AU9" s="157"/>
      <c r="AV9" s="157"/>
      <c r="AW9" s="157"/>
      <c r="AX9" s="157"/>
      <c r="AY9" s="157"/>
      <c r="AZ9" s="157"/>
      <c r="BA9" s="157"/>
      <c r="BB9" s="157"/>
      <c r="BC9" s="157"/>
      <c r="BD9" s="157"/>
      <c r="BE9" s="157"/>
      <c r="BF9" s="157"/>
      <c r="BG9" s="157"/>
      <c r="BH9" s="157"/>
    </row>
    <row r="10" spans="1:60" ht="19.5" thickBot="1">
      <c r="A10" s="1">
        <f t="shared" si="5"/>
        <v>3</v>
      </c>
      <c r="B10" s="7" t="s">
        <v>22</v>
      </c>
      <c r="C10" s="10">
        <v>14</v>
      </c>
      <c r="D10" s="11"/>
      <c r="E10" s="36"/>
      <c r="F10" s="36"/>
      <c r="G10" s="37"/>
      <c r="H10" s="38"/>
      <c r="I10" s="38">
        <f t="shared" si="0"/>
        <v>14</v>
      </c>
      <c r="J10" s="66">
        <f t="shared" si="0"/>
        <v>0</v>
      </c>
      <c r="K10" s="62"/>
      <c r="L10" s="36"/>
      <c r="M10" s="36"/>
      <c r="N10" s="36"/>
      <c r="O10" s="36"/>
      <c r="P10" s="36"/>
      <c r="Q10" s="99"/>
      <c r="R10" s="105">
        <f t="shared" si="1"/>
        <v>0</v>
      </c>
      <c r="S10" s="106">
        <f t="shared" si="1"/>
        <v>0</v>
      </c>
      <c r="T10" s="62"/>
      <c r="U10" s="8">
        <f t="shared" si="2"/>
        <v>0</v>
      </c>
      <c r="V10" s="140">
        <f t="shared" si="3"/>
        <v>0</v>
      </c>
      <c r="W10" s="134">
        <f t="shared" si="4"/>
        <v>336</v>
      </c>
      <c r="X10" s="61"/>
      <c r="AL10" s="157"/>
      <c r="AM10" s="157"/>
      <c r="AN10" s="157"/>
      <c r="AO10" s="157"/>
      <c r="AP10" s="157"/>
      <c r="AQ10" s="157"/>
      <c r="AR10" s="157"/>
      <c r="AS10" s="157"/>
      <c r="AT10" s="157"/>
      <c r="AU10" s="157"/>
      <c r="AV10" s="157"/>
      <c r="AW10" s="157"/>
      <c r="AX10" s="157"/>
      <c r="AY10" s="157"/>
      <c r="AZ10" s="157"/>
      <c r="BA10" s="157"/>
      <c r="BB10" s="157"/>
      <c r="BC10" s="157"/>
      <c r="BD10" s="157"/>
      <c r="BE10" s="157"/>
      <c r="BF10" s="157"/>
      <c r="BG10" s="157"/>
      <c r="BH10" s="157"/>
    </row>
    <row r="11" spans="1:60" ht="19.5" thickBot="1">
      <c r="A11" s="1">
        <f t="shared" si="5"/>
        <v>4</v>
      </c>
      <c r="B11" s="15" t="s">
        <v>23</v>
      </c>
      <c r="C11" s="10">
        <v>14</v>
      </c>
      <c r="D11" s="11"/>
      <c r="E11" s="36"/>
      <c r="F11" s="36"/>
      <c r="G11" s="37">
        <v>2</v>
      </c>
      <c r="H11" s="38"/>
      <c r="I11" s="38">
        <f t="shared" si="0"/>
        <v>12</v>
      </c>
      <c r="J11" s="63">
        <f t="shared" si="0"/>
        <v>0</v>
      </c>
      <c r="K11" s="62"/>
      <c r="L11" s="36"/>
      <c r="M11" s="36"/>
      <c r="N11" s="36">
        <v>1</v>
      </c>
      <c r="O11" s="36"/>
      <c r="P11" s="36">
        <v>1</v>
      </c>
      <c r="Q11" s="99"/>
      <c r="R11" s="100">
        <f t="shared" si="1"/>
        <v>2</v>
      </c>
      <c r="S11" s="101">
        <f t="shared" si="1"/>
        <v>0</v>
      </c>
      <c r="T11" s="62"/>
      <c r="U11" s="8">
        <f t="shared" si="2"/>
        <v>48</v>
      </c>
      <c r="V11" s="135">
        <f t="shared" si="3"/>
        <v>2</v>
      </c>
      <c r="W11" s="134">
        <f t="shared" si="4"/>
        <v>288</v>
      </c>
      <c r="X11" s="61"/>
      <c r="AL11" s="157"/>
      <c r="AM11" s="157"/>
      <c r="AN11" s="157"/>
      <c r="AO11" s="157"/>
      <c r="AP11" s="157"/>
      <c r="AQ11" s="157"/>
      <c r="AR11" s="157"/>
      <c r="AS11" s="157"/>
      <c r="AT11" s="157"/>
      <c r="AU11" s="157"/>
      <c r="AV11" s="157"/>
      <c r="AW11" s="157"/>
      <c r="AX11" s="157"/>
      <c r="AY11" s="157"/>
      <c r="AZ11" s="157"/>
      <c r="BA11" s="157"/>
      <c r="BB11" s="157"/>
      <c r="BC11" s="157"/>
      <c r="BD11" s="157"/>
      <c r="BE11" s="157"/>
      <c r="BF11" s="157"/>
      <c r="BG11" s="157"/>
      <c r="BH11" s="157"/>
    </row>
    <row r="12" spans="1:60" ht="19.5" thickBot="1">
      <c r="A12" s="1">
        <f t="shared" si="5"/>
        <v>5</v>
      </c>
      <c r="B12" s="15" t="s">
        <v>24</v>
      </c>
      <c r="C12" s="10"/>
      <c r="D12" s="11">
        <v>2</v>
      </c>
      <c r="E12" s="36"/>
      <c r="F12" s="36"/>
      <c r="G12" s="37"/>
      <c r="H12" s="38"/>
      <c r="I12" s="38">
        <f t="shared" si="0"/>
        <v>0</v>
      </c>
      <c r="J12" s="63">
        <f t="shared" si="0"/>
        <v>2</v>
      </c>
      <c r="K12" s="62"/>
      <c r="L12" s="36"/>
      <c r="M12" s="36"/>
      <c r="N12" s="36"/>
      <c r="O12" s="36"/>
      <c r="P12" s="36"/>
      <c r="Q12" s="99"/>
      <c r="R12" s="100">
        <f t="shared" si="1"/>
        <v>0</v>
      </c>
      <c r="S12" s="101">
        <f t="shared" si="1"/>
        <v>0</v>
      </c>
      <c r="T12" s="62"/>
      <c r="U12" s="8">
        <f t="shared" si="2"/>
        <v>0</v>
      </c>
      <c r="V12" s="135">
        <f t="shared" si="3"/>
        <v>0</v>
      </c>
      <c r="W12" s="134">
        <f t="shared" si="4"/>
        <v>2</v>
      </c>
      <c r="X12" s="61"/>
      <c r="AL12" s="157"/>
      <c r="AM12" s="157"/>
      <c r="AN12" s="157"/>
      <c r="AO12" s="157"/>
      <c r="AP12" s="157"/>
      <c r="AQ12" s="157"/>
      <c r="AR12" s="157"/>
      <c r="AS12" s="157"/>
      <c r="AT12" s="157"/>
      <c r="AU12" s="157"/>
      <c r="AV12" s="157"/>
      <c r="AW12" s="157"/>
      <c r="AX12" s="157"/>
      <c r="AY12" s="157"/>
      <c r="AZ12" s="157"/>
      <c r="BA12" s="157"/>
      <c r="BB12" s="157"/>
      <c r="BC12" s="157"/>
      <c r="BD12" s="157"/>
      <c r="BE12" s="157"/>
      <c r="BF12" s="157"/>
      <c r="BG12" s="157"/>
      <c r="BH12" s="157"/>
    </row>
    <row r="13" spans="1:60" s="2" customFormat="1" ht="19.5" thickBot="1">
      <c r="A13" s="1">
        <f t="shared" si="5"/>
        <v>6</v>
      </c>
      <c r="B13" s="12" t="s">
        <v>25</v>
      </c>
      <c r="C13" s="13">
        <v>3001</v>
      </c>
      <c r="D13" s="14"/>
      <c r="E13" s="39"/>
      <c r="F13" s="39"/>
      <c r="G13" s="40">
        <v>19</v>
      </c>
      <c r="H13" s="41">
        <v>12</v>
      </c>
      <c r="I13" s="44">
        <f t="shared" si="0"/>
        <v>2982</v>
      </c>
      <c r="J13" s="64">
        <f t="shared" si="0"/>
        <v>-12</v>
      </c>
      <c r="K13" s="67"/>
      <c r="L13" s="51">
        <v>9</v>
      </c>
      <c r="M13" s="51">
        <v>12</v>
      </c>
      <c r="N13" s="51">
        <v>3</v>
      </c>
      <c r="O13" s="51"/>
      <c r="P13" s="51">
        <v>7</v>
      </c>
      <c r="Q13" s="102"/>
      <c r="R13" s="107">
        <f t="shared" si="1"/>
        <v>19</v>
      </c>
      <c r="S13" s="104">
        <f t="shared" si="1"/>
        <v>12</v>
      </c>
      <c r="T13" s="67"/>
      <c r="U13" s="136">
        <f t="shared" si="2"/>
        <v>456</v>
      </c>
      <c r="V13" s="141">
        <f t="shared" si="3"/>
        <v>19</v>
      </c>
      <c r="W13" s="138">
        <f t="shared" si="4"/>
        <v>71556</v>
      </c>
      <c r="X13" s="139"/>
      <c r="Y13" s="3"/>
      <c r="AD13" s="3"/>
      <c r="AG13" s="3"/>
      <c r="AH13" s="3"/>
      <c r="AI13" s="3"/>
      <c r="AJ13" s="3"/>
      <c r="AK13" s="3"/>
      <c r="AL13" s="157"/>
      <c r="AM13" s="157"/>
      <c r="AN13" s="157"/>
      <c r="AO13" s="157"/>
      <c r="AP13" s="157"/>
      <c r="AQ13" s="157"/>
      <c r="AR13" s="157"/>
      <c r="AS13" s="157"/>
      <c r="AT13" s="157"/>
      <c r="AU13" s="157"/>
      <c r="AV13" s="157"/>
      <c r="AW13" s="157"/>
      <c r="AX13" s="157"/>
      <c r="AY13" s="157"/>
      <c r="AZ13" s="157"/>
      <c r="BA13" s="157"/>
      <c r="BB13" s="157"/>
      <c r="BC13" s="157"/>
      <c r="BD13" s="157"/>
      <c r="BE13" s="157"/>
      <c r="BF13" s="157"/>
      <c r="BG13" s="157"/>
      <c r="BH13" s="157"/>
    </row>
    <row r="14" spans="1:60" ht="19.5" thickBot="1">
      <c r="A14" s="1">
        <f t="shared" si="5"/>
        <v>7</v>
      </c>
      <c r="B14" s="7" t="s">
        <v>26</v>
      </c>
      <c r="C14" s="10">
        <v>3</v>
      </c>
      <c r="D14" s="11">
        <v>16</v>
      </c>
      <c r="E14" s="36"/>
      <c r="F14" s="36"/>
      <c r="G14" s="37"/>
      <c r="H14" s="38"/>
      <c r="I14" s="68">
        <f t="shared" si="0"/>
        <v>3</v>
      </c>
      <c r="J14" s="66">
        <f t="shared" si="0"/>
        <v>16</v>
      </c>
      <c r="K14" s="62"/>
      <c r="L14" s="36"/>
      <c r="M14" s="36"/>
      <c r="N14" s="36"/>
      <c r="O14" s="36"/>
      <c r="P14" s="36"/>
      <c r="Q14" s="99"/>
      <c r="R14" s="108">
        <f t="shared" si="1"/>
        <v>0</v>
      </c>
      <c r="S14" s="106">
        <f t="shared" si="1"/>
        <v>0</v>
      </c>
      <c r="T14" s="62"/>
      <c r="U14" s="8">
        <f t="shared" si="2"/>
        <v>0</v>
      </c>
      <c r="V14" s="33">
        <f t="shared" si="3"/>
        <v>0</v>
      </c>
      <c r="W14" s="134">
        <f t="shared" si="4"/>
        <v>88</v>
      </c>
      <c r="X14" s="61"/>
      <c r="AL14" s="157"/>
      <c r="AM14" s="157"/>
      <c r="AN14" s="157"/>
      <c r="AO14" s="157"/>
      <c r="AP14" s="157"/>
      <c r="AQ14" s="157"/>
      <c r="AR14" s="157"/>
      <c r="AS14" s="157"/>
      <c r="AT14" s="157"/>
      <c r="AU14" s="157"/>
      <c r="AV14" s="157"/>
      <c r="AW14" s="157"/>
      <c r="AX14" s="157"/>
      <c r="AY14" s="157"/>
      <c r="AZ14" s="157"/>
      <c r="BA14" s="157"/>
      <c r="BB14" s="157"/>
      <c r="BC14" s="157"/>
      <c r="BD14" s="157"/>
      <c r="BE14" s="157"/>
      <c r="BF14" s="157"/>
      <c r="BG14" s="157"/>
      <c r="BH14" s="157"/>
    </row>
    <row r="15" spans="1:60" ht="19.5" thickBot="1">
      <c r="A15" s="1">
        <f t="shared" si="5"/>
        <v>8</v>
      </c>
      <c r="B15" s="15" t="s">
        <v>27</v>
      </c>
      <c r="C15" s="10">
        <v>4</v>
      </c>
      <c r="D15" s="11"/>
      <c r="E15" s="36"/>
      <c r="F15" s="36"/>
      <c r="G15" s="37"/>
      <c r="H15" s="38"/>
      <c r="I15" s="38">
        <f t="shared" si="0"/>
        <v>4</v>
      </c>
      <c r="J15" s="63">
        <f t="shared" si="0"/>
        <v>0</v>
      </c>
      <c r="K15" s="62"/>
      <c r="L15" s="36"/>
      <c r="M15" s="36"/>
      <c r="N15" s="36"/>
      <c r="O15" s="36"/>
      <c r="P15" s="36"/>
      <c r="Q15" s="99"/>
      <c r="R15" s="100">
        <f t="shared" si="1"/>
        <v>0</v>
      </c>
      <c r="S15" s="101">
        <f t="shared" si="1"/>
        <v>0</v>
      </c>
      <c r="T15" s="62"/>
      <c r="U15" s="8">
        <f t="shared" si="2"/>
        <v>0</v>
      </c>
      <c r="V15" s="135">
        <f t="shared" si="3"/>
        <v>0</v>
      </c>
      <c r="W15" s="134">
        <f t="shared" si="4"/>
        <v>96</v>
      </c>
      <c r="X15" s="61"/>
      <c r="AL15" s="157"/>
      <c r="AM15" s="157"/>
      <c r="AN15" s="157"/>
      <c r="AO15" s="157"/>
      <c r="AP15" s="157"/>
      <c r="AQ15" s="157"/>
      <c r="AR15" s="157"/>
      <c r="AS15" s="157"/>
      <c r="AT15" s="157"/>
      <c r="AU15" s="157"/>
      <c r="AV15" s="157"/>
      <c r="AW15" s="157"/>
      <c r="AX15" s="157"/>
      <c r="AY15" s="157"/>
      <c r="AZ15" s="157"/>
      <c r="BA15" s="157"/>
      <c r="BB15" s="157"/>
      <c r="BC15" s="157"/>
      <c r="BD15" s="157"/>
      <c r="BE15" s="157"/>
      <c r="BF15" s="157"/>
      <c r="BG15" s="157"/>
      <c r="BH15" s="157"/>
    </row>
    <row r="16" spans="1:60" ht="19.5" thickBot="1">
      <c r="A16" s="1">
        <f t="shared" si="5"/>
        <v>9</v>
      </c>
      <c r="B16" s="15" t="s">
        <v>28</v>
      </c>
      <c r="C16" s="10">
        <v>1</v>
      </c>
      <c r="D16" s="11"/>
      <c r="E16" s="36"/>
      <c r="F16" s="36"/>
      <c r="G16" s="37"/>
      <c r="H16" s="38"/>
      <c r="I16" s="38">
        <f t="shared" si="0"/>
        <v>1</v>
      </c>
      <c r="J16" s="63">
        <f t="shared" si="0"/>
        <v>0</v>
      </c>
      <c r="K16" s="62"/>
      <c r="L16" s="36"/>
      <c r="M16" s="36"/>
      <c r="N16" s="36"/>
      <c r="O16" s="36"/>
      <c r="P16" s="36"/>
      <c r="Q16" s="99"/>
      <c r="R16" s="100">
        <f t="shared" si="1"/>
        <v>0</v>
      </c>
      <c r="S16" s="101">
        <f t="shared" si="1"/>
        <v>0</v>
      </c>
      <c r="T16" s="62"/>
      <c r="U16" s="8">
        <f t="shared" si="2"/>
        <v>0</v>
      </c>
      <c r="V16" s="135">
        <f t="shared" si="3"/>
        <v>0</v>
      </c>
      <c r="W16" s="134">
        <f t="shared" si="4"/>
        <v>24</v>
      </c>
      <c r="X16" s="61"/>
      <c r="AL16" s="157"/>
      <c r="AM16" s="157"/>
      <c r="AN16" s="157"/>
      <c r="AO16" s="157"/>
      <c r="AP16" s="157"/>
      <c r="AQ16" s="157"/>
      <c r="AR16" s="157"/>
      <c r="AS16" s="157"/>
      <c r="AT16" s="157"/>
      <c r="AU16" s="157"/>
      <c r="AV16" s="157"/>
      <c r="AW16" s="157"/>
      <c r="AX16" s="157"/>
      <c r="AY16" s="157"/>
      <c r="AZ16" s="157"/>
      <c r="BA16" s="157"/>
      <c r="BB16" s="157"/>
      <c r="BC16" s="157"/>
      <c r="BD16" s="157"/>
      <c r="BE16" s="157"/>
      <c r="BF16" s="157"/>
      <c r="BG16" s="157"/>
      <c r="BH16" s="157"/>
    </row>
    <row r="17" spans="1:60" ht="19.5" thickBot="1">
      <c r="A17" s="1">
        <f t="shared" si="5"/>
        <v>10</v>
      </c>
      <c r="B17" s="15" t="s">
        <v>29</v>
      </c>
      <c r="C17" s="10"/>
      <c r="D17" s="11"/>
      <c r="E17" s="36"/>
      <c r="F17" s="36"/>
      <c r="G17" s="37"/>
      <c r="H17" s="38"/>
      <c r="I17" s="38">
        <f t="shared" si="0"/>
        <v>0</v>
      </c>
      <c r="J17" s="63">
        <f t="shared" si="0"/>
        <v>0</v>
      </c>
      <c r="K17" s="62"/>
      <c r="L17" s="36"/>
      <c r="M17" s="36"/>
      <c r="N17" s="36"/>
      <c r="O17" s="36"/>
      <c r="P17" s="36"/>
      <c r="Q17" s="99"/>
      <c r="R17" s="100">
        <f t="shared" si="1"/>
        <v>0</v>
      </c>
      <c r="S17" s="101">
        <f t="shared" si="1"/>
        <v>0</v>
      </c>
      <c r="T17" s="62"/>
      <c r="U17" s="8">
        <f t="shared" si="2"/>
        <v>0</v>
      </c>
      <c r="V17" s="135">
        <f t="shared" si="3"/>
        <v>0</v>
      </c>
      <c r="W17" s="134">
        <f t="shared" si="4"/>
        <v>0</v>
      </c>
      <c r="X17" s="61"/>
      <c r="AL17" s="157"/>
      <c r="AM17" s="157"/>
      <c r="AN17" s="157"/>
      <c r="AO17" s="157"/>
      <c r="AP17" s="157"/>
      <c r="AQ17" s="157"/>
      <c r="AR17" s="157"/>
      <c r="AS17" s="157"/>
      <c r="AT17" s="157"/>
      <c r="AU17" s="157"/>
      <c r="AV17" s="157"/>
      <c r="AW17" s="157"/>
      <c r="AX17" s="157"/>
      <c r="AY17" s="157"/>
      <c r="AZ17" s="157"/>
      <c r="BA17" s="157"/>
      <c r="BB17" s="157"/>
      <c r="BC17" s="157"/>
      <c r="BD17" s="157"/>
      <c r="BE17" s="157"/>
      <c r="BF17" s="157"/>
      <c r="BG17" s="157"/>
      <c r="BH17" s="157"/>
    </row>
    <row r="18" spans="1:60" ht="19.5" thickBot="1">
      <c r="A18" s="1">
        <f t="shared" si="5"/>
        <v>11</v>
      </c>
      <c r="B18" s="15" t="s">
        <v>30</v>
      </c>
      <c r="C18" s="10">
        <v>3</v>
      </c>
      <c r="D18" s="11"/>
      <c r="E18" s="36"/>
      <c r="F18" s="36"/>
      <c r="G18" s="37"/>
      <c r="H18" s="38"/>
      <c r="I18" s="38">
        <f t="shared" si="0"/>
        <v>3</v>
      </c>
      <c r="J18" s="63">
        <f t="shared" si="0"/>
        <v>0</v>
      </c>
      <c r="K18" s="62"/>
      <c r="L18" s="36"/>
      <c r="M18" s="36"/>
      <c r="N18" s="36"/>
      <c r="O18" s="36"/>
      <c r="P18" s="36"/>
      <c r="Q18" s="99"/>
      <c r="R18" s="100">
        <f t="shared" si="1"/>
        <v>0</v>
      </c>
      <c r="S18" s="101">
        <f t="shared" si="1"/>
        <v>0</v>
      </c>
      <c r="T18" s="62"/>
      <c r="U18" s="8">
        <f t="shared" si="2"/>
        <v>0</v>
      </c>
      <c r="V18" s="135">
        <f t="shared" si="3"/>
        <v>0</v>
      </c>
      <c r="W18" s="134">
        <f t="shared" si="4"/>
        <v>72</v>
      </c>
      <c r="X18" s="61"/>
      <c r="AL18" s="157"/>
      <c r="AM18" s="157"/>
      <c r="AN18" s="157"/>
      <c r="AO18" s="157"/>
      <c r="AP18" s="157"/>
      <c r="AQ18" s="157"/>
      <c r="AR18" s="157"/>
      <c r="AS18" s="157"/>
      <c r="AT18" s="157"/>
      <c r="AU18" s="157"/>
      <c r="AV18" s="157"/>
      <c r="AW18" s="157"/>
      <c r="AX18" s="157"/>
      <c r="AY18" s="157"/>
      <c r="AZ18" s="157"/>
      <c r="BA18" s="157"/>
      <c r="BB18" s="157"/>
      <c r="BC18" s="157"/>
      <c r="BD18" s="157"/>
      <c r="BE18" s="157"/>
      <c r="BF18" s="157"/>
      <c r="BG18" s="157"/>
      <c r="BH18" s="157"/>
    </row>
    <row r="19" spans="1:60" ht="18.75" hidden="1" customHeight="1">
      <c r="A19" s="1">
        <f t="shared" si="5"/>
        <v>12</v>
      </c>
      <c r="B19" s="15" t="s">
        <v>31</v>
      </c>
      <c r="C19" s="10"/>
      <c r="D19" s="11"/>
      <c r="E19" s="36"/>
      <c r="F19" s="36"/>
      <c r="G19" s="37"/>
      <c r="H19" s="38"/>
      <c r="I19" s="38">
        <f t="shared" si="0"/>
        <v>0</v>
      </c>
      <c r="J19" s="63">
        <f t="shared" si="0"/>
        <v>0</v>
      </c>
      <c r="K19" s="62"/>
      <c r="L19" s="36"/>
      <c r="M19" s="36"/>
      <c r="N19" s="36"/>
      <c r="O19" s="36"/>
      <c r="P19" s="36"/>
      <c r="Q19" s="99"/>
      <c r="R19" s="100">
        <f t="shared" si="1"/>
        <v>0</v>
      </c>
      <c r="S19" s="101">
        <f t="shared" si="1"/>
        <v>0</v>
      </c>
      <c r="T19" s="62"/>
      <c r="U19" s="8">
        <f t="shared" si="2"/>
        <v>0</v>
      </c>
      <c r="V19" s="135">
        <f t="shared" si="3"/>
        <v>0</v>
      </c>
      <c r="W19" s="134">
        <f t="shared" si="4"/>
        <v>0</v>
      </c>
      <c r="X19" s="61"/>
      <c r="AL19" s="157"/>
      <c r="AM19" s="157"/>
      <c r="AN19" s="157"/>
      <c r="AO19" s="157"/>
      <c r="AP19" s="157"/>
      <c r="AQ19" s="157"/>
      <c r="AR19" s="157"/>
      <c r="AS19" s="157"/>
      <c r="AT19" s="157"/>
      <c r="AU19" s="157"/>
      <c r="AV19" s="157"/>
      <c r="AW19" s="157"/>
      <c r="AX19" s="157"/>
      <c r="AY19" s="157"/>
      <c r="AZ19" s="157"/>
      <c r="BA19" s="157"/>
      <c r="BB19" s="157"/>
      <c r="BC19" s="157"/>
      <c r="BD19" s="157"/>
      <c r="BE19" s="157"/>
      <c r="BF19" s="157"/>
      <c r="BG19" s="157"/>
      <c r="BH19" s="157"/>
    </row>
    <row r="20" spans="1:60" ht="19.5" thickBot="1">
      <c r="A20" s="1">
        <f t="shared" si="5"/>
        <v>13</v>
      </c>
      <c r="B20" s="15" t="s">
        <v>32</v>
      </c>
      <c r="C20" s="10">
        <v>4</v>
      </c>
      <c r="D20" s="11">
        <v>20</v>
      </c>
      <c r="E20" s="36"/>
      <c r="F20" s="36"/>
      <c r="G20" s="37"/>
      <c r="H20" s="38"/>
      <c r="I20" s="38">
        <f t="shared" si="0"/>
        <v>4</v>
      </c>
      <c r="J20" s="63">
        <f t="shared" si="0"/>
        <v>20</v>
      </c>
      <c r="K20" s="62"/>
      <c r="L20" s="36"/>
      <c r="M20" s="36"/>
      <c r="N20" s="36"/>
      <c r="O20" s="36"/>
      <c r="P20" s="36"/>
      <c r="Q20" s="99"/>
      <c r="R20" s="100">
        <f t="shared" si="1"/>
        <v>0</v>
      </c>
      <c r="S20" s="101">
        <f t="shared" si="1"/>
        <v>0</v>
      </c>
      <c r="T20" s="62"/>
      <c r="U20" s="8">
        <f t="shared" si="2"/>
        <v>0</v>
      </c>
      <c r="V20" s="135">
        <f t="shared" si="3"/>
        <v>0</v>
      </c>
      <c r="W20" s="134">
        <f t="shared" si="4"/>
        <v>116</v>
      </c>
      <c r="X20" s="61"/>
      <c r="AL20" s="157"/>
      <c r="AM20" s="157"/>
      <c r="AN20" s="157"/>
      <c r="AO20" s="157"/>
      <c r="AP20" s="157"/>
      <c r="AQ20" s="157"/>
      <c r="AR20" s="157"/>
      <c r="AS20" s="157"/>
      <c r="AT20" s="157"/>
      <c r="AU20" s="157"/>
      <c r="AV20" s="157"/>
      <c r="AW20" s="157"/>
      <c r="AX20" s="157"/>
      <c r="AY20" s="157"/>
      <c r="AZ20" s="157"/>
      <c r="BA20" s="157"/>
      <c r="BB20" s="157"/>
      <c r="BC20" s="157"/>
      <c r="BD20" s="157"/>
      <c r="BE20" s="157"/>
      <c r="BF20" s="157"/>
      <c r="BG20" s="157"/>
      <c r="BH20" s="157"/>
    </row>
    <row r="21" spans="1:60" ht="19.5" thickBot="1">
      <c r="A21" s="1">
        <f t="shared" si="5"/>
        <v>14</v>
      </c>
      <c r="B21" s="15" t="s">
        <v>33</v>
      </c>
      <c r="C21" s="10">
        <v>7</v>
      </c>
      <c r="D21" s="11"/>
      <c r="E21" s="36"/>
      <c r="F21" s="36"/>
      <c r="G21" s="37"/>
      <c r="H21" s="38"/>
      <c r="I21" s="38">
        <f t="shared" si="0"/>
        <v>7</v>
      </c>
      <c r="J21" s="63">
        <f t="shared" si="0"/>
        <v>0</v>
      </c>
      <c r="K21" s="62"/>
      <c r="L21" s="36"/>
      <c r="M21" s="36"/>
      <c r="N21" s="36"/>
      <c r="O21" s="36"/>
      <c r="P21" s="36"/>
      <c r="Q21" s="99"/>
      <c r="R21" s="100">
        <f t="shared" si="1"/>
        <v>0</v>
      </c>
      <c r="S21" s="101">
        <f t="shared" si="1"/>
        <v>0</v>
      </c>
      <c r="T21" s="62"/>
      <c r="U21" s="8">
        <f t="shared" si="2"/>
        <v>0</v>
      </c>
      <c r="V21" s="135">
        <f t="shared" si="3"/>
        <v>0</v>
      </c>
      <c r="W21" s="134">
        <f t="shared" si="4"/>
        <v>168</v>
      </c>
      <c r="X21" s="61"/>
      <c r="AL21" s="157"/>
      <c r="AM21" s="157"/>
      <c r="AN21" s="157"/>
      <c r="AO21" s="157"/>
      <c r="AP21" s="157"/>
      <c r="AQ21" s="157"/>
      <c r="AR21" s="157"/>
      <c r="AS21" s="157"/>
      <c r="AT21" s="157"/>
      <c r="AU21" s="157"/>
      <c r="AV21" s="157"/>
      <c r="AW21" s="157"/>
      <c r="AX21" s="157"/>
      <c r="AY21" s="157"/>
      <c r="AZ21" s="157"/>
      <c r="BA21" s="157"/>
      <c r="BB21" s="157"/>
      <c r="BC21" s="157"/>
      <c r="BD21" s="157"/>
      <c r="BE21" s="157"/>
      <c r="BF21" s="157"/>
      <c r="BG21" s="157"/>
      <c r="BH21" s="157"/>
    </row>
    <row r="22" spans="1:60" ht="19.5" thickBot="1">
      <c r="A22" s="1">
        <f t="shared" si="5"/>
        <v>15</v>
      </c>
      <c r="B22" s="15" t="s">
        <v>34</v>
      </c>
      <c r="C22" s="10">
        <v>4</v>
      </c>
      <c r="D22" s="11"/>
      <c r="E22" s="36"/>
      <c r="F22" s="36"/>
      <c r="G22" s="37"/>
      <c r="H22" s="38"/>
      <c r="I22" s="38">
        <f t="shared" si="0"/>
        <v>4</v>
      </c>
      <c r="J22" s="63">
        <f t="shared" si="0"/>
        <v>0</v>
      </c>
      <c r="K22" s="62"/>
      <c r="L22" s="36"/>
      <c r="M22" s="36"/>
      <c r="N22" s="36"/>
      <c r="O22" s="36"/>
      <c r="P22" s="36"/>
      <c r="Q22" s="99"/>
      <c r="R22" s="100">
        <f t="shared" si="1"/>
        <v>0</v>
      </c>
      <c r="S22" s="101">
        <f t="shared" si="1"/>
        <v>0</v>
      </c>
      <c r="T22" s="62"/>
      <c r="U22" s="8">
        <f t="shared" si="2"/>
        <v>0</v>
      </c>
      <c r="V22" s="135">
        <f t="shared" si="3"/>
        <v>0</v>
      </c>
      <c r="W22" s="134">
        <f t="shared" si="4"/>
        <v>96</v>
      </c>
      <c r="X22" s="61"/>
      <c r="AL22" s="157"/>
      <c r="AM22" s="157"/>
      <c r="AN22" s="157"/>
      <c r="AO22" s="157"/>
      <c r="AP22" s="157"/>
      <c r="AQ22" s="157"/>
      <c r="AR22" s="157"/>
      <c r="AS22" s="157"/>
      <c r="AT22" s="157"/>
      <c r="AU22" s="157"/>
      <c r="AV22" s="157"/>
      <c r="AW22" s="157"/>
      <c r="AX22" s="157"/>
      <c r="AY22" s="157"/>
      <c r="AZ22" s="157"/>
      <c r="BA22" s="157"/>
      <c r="BB22" s="157"/>
      <c r="BC22" s="157"/>
      <c r="BD22" s="157"/>
      <c r="BE22" s="157"/>
      <c r="BF22" s="157"/>
      <c r="BG22" s="157"/>
      <c r="BH22" s="157"/>
    </row>
    <row r="23" spans="1:60" s="2" customFormat="1" ht="19.5" thickBot="1">
      <c r="A23" s="1">
        <f t="shared" si="5"/>
        <v>16</v>
      </c>
      <c r="B23" s="15" t="s">
        <v>35</v>
      </c>
      <c r="C23" s="10">
        <v>1</v>
      </c>
      <c r="D23" s="11">
        <v>20</v>
      </c>
      <c r="E23" s="36"/>
      <c r="F23" s="36"/>
      <c r="G23" s="37"/>
      <c r="H23" s="38"/>
      <c r="I23" s="38">
        <f t="shared" si="0"/>
        <v>1</v>
      </c>
      <c r="J23" s="63">
        <f t="shared" si="0"/>
        <v>20</v>
      </c>
      <c r="K23" s="69"/>
      <c r="L23" s="36"/>
      <c r="M23" s="36"/>
      <c r="N23" s="36"/>
      <c r="O23" s="36"/>
      <c r="P23" s="36"/>
      <c r="Q23" s="99"/>
      <c r="R23" s="100">
        <f t="shared" si="1"/>
        <v>0</v>
      </c>
      <c r="S23" s="101">
        <f t="shared" si="1"/>
        <v>0</v>
      </c>
      <c r="T23" s="69"/>
      <c r="U23" s="8">
        <f t="shared" si="2"/>
        <v>0</v>
      </c>
      <c r="V23" s="135">
        <f t="shared" si="3"/>
        <v>0</v>
      </c>
      <c r="W23" s="134">
        <f t="shared" si="4"/>
        <v>44</v>
      </c>
      <c r="X23" s="61"/>
      <c r="Y23" s="3"/>
      <c r="AD23" s="3"/>
      <c r="AG23" s="3"/>
      <c r="AH23" s="3"/>
      <c r="AI23" s="3"/>
      <c r="AJ23" s="3"/>
      <c r="AK23" s="3"/>
      <c r="AL23" s="157"/>
      <c r="AM23" s="157"/>
      <c r="AN23" s="157"/>
      <c r="AO23" s="157"/>
      <c r="AP23" s="157"/>
      <c r="AQ23" s="157"/>
      <c r="AR23" s="157"/>
      <c r="AS23" s="157"/>
      <c r="AT23" s="157"/>
      <c r="AU23" s="157"/>
      <c r="AV23" s="157"/>
      <c r="AW23" s="157"/>
      <c r="AX23" s="157"/>
      <c r="AY23" s="157"/>
      <c r="AZ23" s="157"/>
      <c r="BA23" s="157"/>
      <c r="BB23" s="157"/>
      <c r="BC23" s="157"/>
      <c r="BD23" s="157"/>
      <c r="BE23" s="157"/>
      <c r="BF23" s="157"/>
      <c r="BG23" s="157"/>
      <c r="BH23" s="157"/>
    </row>
    <row r="24" spans="1:60" s="2" customFormat="1" ht="19.5" thickBot="1">
      <c r="A24" s="1">
        <f t="shared" si="5"/>
        <v>17</v>
      </c>
      <c r="B24" s="15" t="s">
        <v>36</v>
      </c>
      <c r="C24" s="10">
        <v>37</v>
      </c>
      <c r="D24" s="11">
        <v>19</v>
      </c>
      <c r="E24" s="36"/>
      <c r="F24" s="36"/>
      <c r="G24" s="37"/>
      <c r="H24" s="38"/>
      <c r="I24" s="38">
        <f t="shared" si="0"/>
        <v>37</v>
      </c>
      <c r="J24" s="63">
        <f t="shared" si="0"/>
        <v>19</v>
      </c>
      <c r="K24" s="69"/>
      <c r="L24" s="36"/>
      <c r="M24" s="36"/>
      <c r="N24" s="36"/>
      <c r="O24" s="36"/>
      <c r="P24" s="36"/>
      <c r="Q24" s="99"/>
      <c r="R24" s="100">
        <f t="shared" si="1"/>
        <v>0</v>
      </c>
      <c r="S24" s="101">
        <f t="shared" si="1"/>
        <v>0</v>
      </c>
      <c r="T24" s="69"/>
      <c r="U24" s="8">
        <f t="shared" si="2"/>
        <v>0</v>
      </c>
      <c r="V24" s="135">
        <f t="shared" si="3"/>
        <v>0</v>
      </c>
      <c r="W24" s="134">
        <f t="shared" si="4"/>
        <v>907</v>
      </c>
      <c r="X24" s="61"/>
      <c r="Y24" s="3"/>
      <c r="AD24" s="3"/>
      <c r="AG24" s="3"/>
      <c r="AH24" s="3"/>
      <c r="AI24" s="3"/>
      <c r="AJ24" s="3"/>
      <c r="AK24" s="3"/>
      <c r="AL24" s="157"/>
      <c r="AM24" s="157"/>
      <c r="AN24" s="157"/>
      <c r="AO24" s="157"/>
      <c r="AP24" s="157"/>
      <c r="AQ24" s="157"/>
      <c r="AR24" s="157"/>
      <c r="AS24" s="157"/>
      <c r="AT24" s="157"/>
      <c r="AU24" s="157"/>
      <c r="AV24" s="157"/>
      <c r="AW24" s="157"/>
      <c r="AX24" s="157"/>
      <c r="AY24" s="157"/>
      <c r="AZ24" s="157"/>
      <c r="BA24" s="157"/>
      <c r="BB24" s="157"/>
      <c r="BC24" s="157"/>
      <c r="BD24" s="157"/>
      <c r="BE24" s="157"/>
      <c r="BF24" s="157"/>
      <c r="BG24" s="157"/>
      <c r="BH24" s="157"/>
    </row>
    <row r="25" spans="1:60" ht="19.5" thickBot="1">
      <c r="A25" s="1">
        <f t="shared" si="5"/>
        <v>18</v>
      </c>
      <c r="B25" s="15" t="s">
        <v>37</v>
      </c>
      <c r="C25" s="10">
        <v>10</v>
      </c>
      <c r="D25" s="11"/>
      <c r="E25" s="36"/>
      <c r="F25" s="36"/>
      <c r="G25" s="37"/>
      <c r="H25" s="38"/>
      <c r="I25" s="38">
        <f t="shared" si="0"/>
        <v>10</v>
      </c>
      <c r="J25" s="63">
        <f t="shared" si="0"/>
        <v>0</v>
      </c>
      <c r="K25" s="62"/>
      <c r="L25" s="36"/>
      <c r="M25" s="36"/>
      <c r="N25" s="36"/>
      <c r="O25" s="36"/>
      <c r="P25" s="36"/>
      <c r="Q25" s="99"/>
      <c r="R25" s="100">
        <f t="shared" si="1"/>
        <v>0</v>
      </c>
      <c r="S25" s="101">
        <f t="shared" si="1"/>
        <v>0</v>
      </c>
      <c r="T25" s="62"/>
      <c r="U25" s="8">
        <f t="shared" si="2"/>
        <v>0</v>
      </c>
      <c r="V25" s="135">
        <f t="shared" si="3"/>
        <v>0</v>
      </c>
      <c r="W25" s="134">
        <f t="shared" si="4"/>
        <v>240</v>
      </c>
      <c r="X25" s="61"/>
      <c r="AL25" s="157"/>
      <c r="AM25" s="157"/>
      <c r="AN25" s="157"/>
      <c r="AO25" s="157"/>
      <c r="AP25" s="157"/>
      <c r="AQ25" s="157"/>
      <c r="AR25" s="157"/>
      <c r="AS25" s="157"/>
      <c r="AT25" s="157"/>
      <c r="AU25" s="157"/>
      <c r="AV25" s="157"/>
      <c r="AW25" s="157"/>
      <c r="AX25" s="157"/>
      <c r="AY25" s="157"/>
      <c r="AZ25" s="157"/>
      <c r="BA25" s="157"/>
      <c r="BB25" s="157"/>
      <c r="BC25" s="157"/>
      <c r="BD25" s="157"/>
      <c r="BE25" s="157"/>
      <c r="BF25" s="157"/>
      <c r="BG25" s="157"/>
      <c r="BH25" s="157"/>
    </row>
    <row r="26" spans="1:60" ht="19.5" thickBot="1">
      <c r="A26" s="1">
        <f t="shared" si="5"/>
        <v>19</v>
      </c>
      <c r="B26" s="15" t="s">
        <v>38</v>
      </c>
      <c r="C26" s="10">
        <v>91</v>
      </c>
      <c r="D26" s="11">
        <v>1</v>
      </c>
      <c r="E26" s="36"/>
      <c r="F26" s="36"/>
      <c r="G26" s="37">
        <v>1</v>
      </c>
      <c r="H26" s="38"/>
      <c r="I26" s="38">
        <f t="shared" si="0"/>
        <v>90</v>
      </c>
      <c r="J26" s="63">
        <f t="shared" si="0"/>
        <v>1</v>
      </c>
      <c r="K26" s="62"/>
      <c r="L26" s="36"/>
      <c r="M26" s="36"/>
      <c r="N26" s="36"/>
      <c r="O26" s="36"/>
      <c r="P26" s="36">
        <v>1</v>
      </c>
      <c r="Q26" s="99"/>
      <c r="R26" s="100">
        <f t="shared" si="1"/>
        <v>1</v>
      </c>
      <c r="S26" s="101">
        <f t="shared" si="1"/>
        <v>0</v>
      </c>
      <c r="T26" s="62"/>
      <c r="U26" s="8">
        <f t="shared" si="2"/>
        <v>24</v>
      </c>
      <c r="V26" s="135">
        <f t="shared" si="3"/>
        <v>1</v>
      </c>
      <c r="W26" s="134">
        <f t="shared" si="4"/>
        <v>2161</v>
      </c>
      <c r="X26" s="61"/>
      <c r="BE26" s="158" t="e">
        <f>#REF!-BE25</f>
        <v>#REF!</v>
      </c>
    </row>
    <row r="27" spans="1:60" s="2" customFormat="1" ht="19.5" thickBot="1">
      <c r="A27" s="1">
        <f t="shared" si="5"/>
        <v>20</v>
      </c>
      <c r="B27" s="15" t="s">
        <v>39</v>
      </c>
      <c r="C27" s="10"/>
      <c r="D27" s="11"/>
      <c r="E27" s="36"/>
      <c r="F27" s="36"/>
      <c r="G27" s="37"/>
      <c r="H27" s="38"/>
      <c r="I27" s="38">
        <f t="shared" si="0"/>
        <v>0</v>
      </c>
      <c r="J27" s="63">
        <f t="shared" si="0"/>
        <v>0</v>
      </c>
      <c r="K27" s="69"/>
      <c r="L27" s="36"/>
      <c r="M27" s="36"/>
      <c r="N27" s="36"/>
      <c r="O27" s="36"/>
      <c r="P27" s="36"/>
      <c r="Q27" s="99"/>
      <c r="R27" s="100">
        <f t="shared" si="1"/>
        <v>0</v>
      </c>
      <c r="S27" s="101">
        <f t="shared" si="1"/>
        <v>0</v>
      </c>
      <c r="T27" s="69"/>
      <c r="U27" s="8">
        <f t="shared" si="2"/>
        <v>0</v>
      </c>
      <c r="V27" s="135">
        <f t="shared" si="3"/>
        <v>0</v>
      </c>
      <c r="W27" s="134">
        <f t="shared" si="4"/>
        <v>0</v>
      </c>
      <c r="X27" s="61"/>
      <c r="Y27" s="3"/>
      <c r="AD27" s="3"/>
      <c r="AG27" s="3"/>
      <c r="AH27" s="3"/>
      <c r="AI27" s="3"/>
      <c r="AJ27" s="3"/>
      <c r="AK27" s="3"/>
    </row>
    <row r="28" spans="1:60" s="2" customFormat="1" ht="19.5" thickBot="1">
      <c r="A28" s="1">
        <f t="shared" si="5"/>
        <v>21</v>
      </c>
      <c r="B28" s="15" t="s">
        <v>40</v>
      </c>
      <c r="C28" s="10">
        <v>2</v>
      </c>
      <c r="D28" s="11"/>
      <c r="E28" s="36"/>
      <c r="F28" s="36"/>
      <c r="G28" s="37"/>
      <c r="H28" s="38"/>
      <c r="I28" s="38">
        <f t="shared" si="0"/>
        <v>2</v>
      </c>
      <c r="J28" s="63">
        <f t="shared" si="0"/>
        <v>0</v>
      </c>
      <c r="K28" s="69"/>
      <c r="L28" s="36"/>
      <c r="M28" s="36"/>
      <c r="N28" s="36"/>
      <c r="O28" s="36"/>
      <c r="P28" s="36"/>
      <c r="Q28" s="99"/>
      <c r="R28" s="100">
        <f t="shared" si="1"/>
        <v>0</v>
      </c>
      <c r="S28" s="101">
        <f t="shared" si="1"/>
        <v>0</v>
      </c>
      <c r="T28" s="69"/>
      <c r="U28" s="8">
        <f t="shared" si="2"/>
        <v>0</v>
      </c>
      <c r="V28" s="135">
        <f t="shared" si="3"/>
        <v>0</v>
      </c>
      <c r="W28" s="134">
        <f t="shared" si="4"/>
        <v>48</v>
      </c>
      <c r="X28" s="61"/>
      <c r="Y28" s="3"/>
      <c r="AD28" s="3"/>
      <c r="AG28" s="3"/>
      <c r="AH28" s="3"/>
      <c r="AI28" s="3"/>
      <c r="AJ28" s="3"/>
      <c r="AK28" s="3"/>
    </row>
    <row r="29" spans="1:60" s="2" customFormat="1" ht="19.5" thickBot="1">
      <c r="A29" s="1">
        <f t="shared" si="5"/>
        <v>22</v>
      </c>
      <c r="B29" s="15" t="s">
        <v>41</v>
      </c>
      <c r="C29" s="10">
        <v>1</v>
      </c>
      <c r="D29" s="11"/>
      <c r="E29" s="36">
        <v>63</v>
      </c>
      <c r="F29" s="36"/>
      <c r="G29" s="37"/>
      <c r="H29" s="38"/>
      <c r="I29" s="38">
        <f>C29+E29-G29</f>
        <v>64</v>
      </c>
      <c r="J29" s="63">
        <f t="shared" si="0"/>
        <v>0</v>
      </c>
      <c r="K29" s="69"/>
      <c r="L29" s="36"/>
      <c r="M29" s="36"/>
      <c r="N29" s="36"/>
      <c r="O29" s="36"/>
      <c r="P29" s="36"/>
      <c r="Q29" s="99"/>
      <c r="R29" s="100">
        <f t="shared" si="1"/>
        <v>0</v>
      </c>
      <c r="S29" s="101">
        <f t="shared" si="1"/>
        <v>0</v>
      </c>
      <c r="T29" s="69"/>
      <c r="U29" s="8">
        <f t="shared" si="2"/>
        <v>0</v>
      </c>
      <c r="V29" s="135">
        <f t="shared" si="3"/>
        <v>0</v>
      </c>
      <c r="W29" s="134">
        <f t="shared" si="4"/>
        <v>1536</v>
      </c>
      <c r="X29" s="61"/>
      <c r="Y29" s="3"/>
      <c r="AD29" s="3"/>
      <c r="AG29" s="3"/>
      <c r="AH29" s="3"/>
      <c r="AI29" s="3"/>
      <c r="AJ29" s="3"/>
      <c r="AK29" s="3"/>
    </row>
    <row r="30" spans="1:60" ht="19.5" thickBot="1">
      <c r="A30" s="1">
        <f t="shared" si="5"/>
        <v>23</v>
      </c>
      <c r="B30" s="15" t="s">
        <v>42</v>
      </c>
      <c r="C30" s="10"/>
      <c r="D30" s="11">
        <v>5</v>
      </c>
      <c r="E30" s="36">
        <v>64</v>
      </c>
      <c r="F30" s="36"/>
      <c r="G30" s="37"/>
      <c r="H30" s="38"/>
      <c r="I30" s="38">
        <f>C30+E30-G30</f>
        <v>64</v>
      </c>
      <c r="J30" s="63">
        <f t="shared" si="0"/>
        <v>5</v>
      </c>
      <c r="K30" s="62"/>
      <c r="L30" s="36"/>
      <c r="M30" s="36"/>
      <c r="N30" s="36"/>
      <c r="O30" s="36"/>
      <c r="P30" s="36"/>
      <c r="Q30" s="99"/>
      <c r="R30" s="100">
        <f t="shared" si="1"/>
        <v>0</v>
      </c>
      <c r="S30" s="101">
        <f t="shared" si="1"/>
        <v>0</v>
      </c>
      <c r="T30" s="62"/>
      <c r="U30" s="8">
        <f t="shared" si="2"/>
        <v>0</v>
      </c>
      <c r="V30" s="135">
        <f t="shared" si="3"/>
        <v>0</v>
      </c>
      <c r="W30" s="134">
        <f t="shared" si="4"/>
        <v>1541</v>
      </c>
      <c r="X30" s="61"/>
    </row>
    <row r="31" spans="1:60" ht="19.5" thickBot="1">
      <c r="A31" s="1">
        <f t="shared" si="5"/>
        <v>24</v>
      </c>
      <c r="B31" s="15" t="s">
        <v>43</v>
      </c>
      <c r="C31" s="10">
        <v>1</v>
      </c>
      <c r="D31" s="11"/>
      <c r="E31" s="36"/>
      <c r="F31" s="36"/>
      <c r="G31" s="37"/>
      <c r="H31" s="38"/>
      <c r="I31" s="38">
        <f t="shared" si="0"/>
        <v>1</v>
      </c>
      <c r="J31" s="63">
        <f t="shared" si="0"/>
        <v>0</v>
      </c>
      <c r="K31" s="62"/>
      <c r="L31" s="36"/>
      <c r="M31" s="36"/>
      <c r="N31" s="36"/>
      <c r="O31" s="36"/>
      <c r="P31" s="36"/>
      <c r="Q31" s="99"/>
      <c r="R31" s="100">
        <f t="shared" si="1"/>
        <v>0</v>
      </c>
      <c r="S31" s="101">
        <f t="shared" si="1"/>
        <v>0</v>
      </c>
      <c r="T31" s="62"/>
      <c r="U31" s="8">
        <f t="shared" si="2"/>
        <v>0</v>
      </c>
      <c r="V31" s="135">
        <f t="shared" si="3"/>
        <v>0</v>
      </c>
      <c r="W31" s="134">
        <f t="shared" si="4"/>
        <v>24</v>
      </c>
      <c r="X31" s="61"/>
    </row>
    <row r="32" spans="1:60" ht="19.5" thickBot="1">
      <c r="A32" s="1">
        <f t="shared" si="5"/>
        <v>25</v>
      </c>
      <c r="B32" s="15" t="s">
        <v>44</v>
      </c>
      <c r="C32" s="10"/>
      <c r="D32" s="11"/>
      <c r="E32" s="36"/>
      <c r="F32" s="36"/>
      <c r="G32" s="37"/>
      <c r="H32" s="38"/>
      <c r="I32" s="38">
        <f t="shared" si="0"/>
        <v>0</v>
      </c>
      <c r="J32" s="63">
        <f t="shared" si="0"/>
        <v>0</v>
      </c>
      <c r="K32" s="62"/>
      <c r="L32" s="36"/>
      <c r="M32" s="36"/>
      <c r="N32" s="36"/>
      <c r="O32" s="36"/>
      <c r="P32" s="36"/>
      <c r="Q32" s="99"/>
      <c r="R32" s="100">
        <f t="shared" si="1"/>
        <v>0</v>
      </c>
      <c r="S32" s="101">
        <f t="shared" si="1"/>
        <v>0</v>
      </c>
      <c r="T32" s="62"/>
      <c r="U32" s="8">
        <f t="shared" si="2"/>
        <v>0</v>
      </c>
      <c r="V32" s="135">
        <f t="shared" si="3"/>
        <v>0</v>
      </c>
      <c r="W32" s="134">
        <f t="shared" si="4"/>
        <v>0</v>
      </c>
      <c r="X32" s="61"/>
    </row>
    <row r="33" spans="1:26" ht="19.5" thickBot="1">
      <c r="A33" s="1">
        <f t="shared" si="5"/>
        <v>26</v>
      </c>
      <c r="B33" s="15" t="s">
        <v>45</v>
      </c>
      <c r="C33" s="10">
        <v>2</v>
      </c>
      <c r="D33" s="11"/>
      <c r="E33" s="36"/>
      <c r="F33" s="36"/>
      <c r="G33" s="37"/>
      <c r="H33" s="38"/>
      <c r="I33" s="38">
        <f t="shared" si="0"/>
        <v>2</v>
      </c>
      <c r="J33" s="63">
        <f t="shared" si="0"/>
        <v>0</v>
      </c>
      <c r="K33" s="62"/>
      <c r="L33" s="36"/>
      <c r="M33" s="36"/>
      <c r="N33" s="36"/>
      <c r="O33" s="36"/>
      <c r="P33" s="36"/>
      <c r="Q33" s="99"/>
      <c r="R33" s="100">
        <f t="shared" si="1"/>
        <v>0</v>
      </c>
      <c r="S33" s="101">
        <f t="shared" si="1"/>
        <v>0</v>
      </c>
      <c r="T33" s="62"/>
      <c r="U33" s="8">
        <f t="shared" si="2"/>
        <v>0</v>
      </c>
      <c r="V33" s="135">
        <f t="shared" si="3"/>
        <v>0</v>
      </c>
      <c r="W33" s="134">
        <f t="shared" si="4"/>
        <v>48</v>
      </c>
      <c r="X33" s="61"/>
    </row>
    <row r="34" spans="1:26" ht="19.5" thickBot="1">
      <c r="A34" s="1">
        <f t="shared" si="5"/>
        <v>27</v>
      </c>
      <c r="B34" s="15" t="s">
        <v>46</v>
      </c>
      <c r="C34" s="10">
        <v>4</v>
      </c>
      <c r="D34" s="11"/>
      <c r="E34" s="36"/>
      <c r="F34" s="36"/>
      <c r="G34" s="37">
        <v>1</v>
      </c>
      <c r="H34" s="38"/>
      <c r="I34" s="38">
        <f t="shared" si="0"/>
        <v>3</v>
      </c>
      <c r="J34" s="63">
        <f t="shared" si="0"/>
        <v>0</v>
      </c>
      <c r="K34" s="62"/>
      <c r="L34" s="36"/>
      <c r="M34" s="36"/>
      <c r="N34" s="36">
        <v>1</v>
      </c>
      <c r="O34" s="36"/>
      <c r="P34" s="36"/>
      <c r="Q34" s="99"/>
      <c r="R34" s="100">
        <f t="shared" si="1"/>
        <v>1</v>
      </c>
      <c r="S34" s="101">
        <f t="shared" si="1"/>
        <v>0</v>
      </c>
      <c r="T34" s="62"/>
      <c r="U34" s="8">
        <f t="shared" si="2"/>
        <v>24</v>
      </c>
      <c r="V34" s="135">
        <f t="shared" si="3"/>
        <v>1</v>
      </c>
      <c r="W34" s="134">
        <f t="shared" si="4"/>
        <v>72</v>
      </c>
      <c r="X34" s="61"/>
    </row>
    <row r="35" spans="1:26" ht="19.5" thickBot="1">
      <c r="A35" s="1">
        <f t="shared" si="5"/>
        <v>28</v>
      </c>
      <c r="B35" s="15" t="s">
        <v>47</v>
      </c>
      <c r="C35" s="10">
        <v>35</v>
      </c>
      <c r="D35" s="11">
        <v>14</v>
      </c>
      <c r="E35" s="36">
        <v>72</v>
      </c>
      <c r="F35" s="36"/>
      <c r="G35" s="37"/>
      <c r="H35" s="38"/>
      <c r="I35" s="38">
        <f>C35+E35-G35</f>
        <v>107</v>
      </c>
      <c r="J35" s="63">
        <f t="shared" si="0"/>
        <v>14</v>
      </c>
      <c r="K35" s="62"/>
      <c r="L35" s="36"/>
      <c r="M35" s="36"/>
      <c r="N35" s="36"/>
      <c r="O35" s="36"/>
      <c r="P35" s="36"/>
      <c r="Q35" s="99"/>
      <c r="R35" s="100">
        <f t="shared" si="1"/>
        <v>0</v>
      </c>
      <c r="S35" s="101">
        <f t="shared" si="1"/>
        <v>0</v>
      </c>
      <c r="T35" s="62"/>
      <c r="U35" s="8">
        <f t="shared" si="2"/>
        <v>0</v>
      </c>
      <c r="V35" s="135">
        <f t="shared" si="3"/>
        <v>0</v>
      </c>
      <c r="W35" s="134">
        <f t="shared" si="4"/>
        <v>2582</v>
      </c>
      <c r="X35" s="61"/>
    </row>
    <row r="36" spans="1:26" ht="18.75" hidden="1" customHeight="1">
      <c r="A36" s="1">
        <f t="shared" si="5"/>
        <v>29</v>
      </c>
      <c r="B36" s="15" t="s">
        <v>48</v>
      </c>
      <c r="C36" s="10"/>
      <c r="D36" s="11"/>
      <c r="E36" s="36"/>
      <c r="F36" s="36"/>
      <c r="G36" s="37"/>
      <c r="H36" s="38"/>
      <c r="I36" s="38">
        <f t="shared" si="0"/>
        <v>0</v>
      </c>
      <c r="J36" s="63">
        <f t="shared" si="0"/>
        <v>0</v>
      </c>
      <c r="K36" s="62"/>
      <c r="L36" s="36"/>
      <c r="M36" s="36"/>
      <c r="N36" s="36"/>
      <c r="O36" s="36"/>
      <c r="P36" s="36"/>
      <c r="Q36" s="99"/>
      <c r="R36" s="100">
        <f t="shared" si="1"/>
        <v>0</v>
      </c>
      <c r="S36" s="101">
        <f t="shared" si="1"/>
        <v>0</v>
      </c>
      <c r="T36" s="62"/>
      <c r="U36" s="8">
        <f t="shared" si="2"/>
        <v>0</v>
      </c>
      <c r="V36" s="135">
        <f t="shared" si="3"/>
        <v>0</v>
      </c>
      <c r="W36" s="134">
        <f t="shared" si="4"/>
        <v>0</v>
      </c>
      <c r="X36" s="61"/>
    </row>
    <row r="37" spans="1:26" ht="18.75" customHeight="1" thickBot="1">
      <c r="A37" s="1">
        <f t="shared" si="5"/>
        <v>30</v>
      </c>
      <c r="B37" s="15" t="s">
        <v>49</v>
      </c>
      <c r="C37" s="10">
        <v>1</v>
      </c>
      <c r="D37" s="11"/>
      <c r="E37" s="36"/>
      <c r="F37" s="36"/>
      <c r="G37" s="37"/>
      <c r="H37" s="38"/>
      <c r="I37" s="38">
        <f t="shared" si="0"/>
        <v>1</v>
      </c>
      <c r="J37" s="63">
        <f t="shared" si="0"/>
        <v>0</v>
      </c>
      <c r="K37" s="62"/>
      <c r="L37" s="36"/>
      <c r="M37" s="36"/>
      <c r="N37" s="36"/>
      <c r="O37" s="36"/>
      <c r="P37" s="36"/>
      <c r="Q37" s="99"/>
      <c r="R37" s="100">
        <f t="shared" si="1"/>
        <v>0</v>
      </c>
      <c r="S37" s="101">
        <f t="shared" si="1"/>
        <v>0</v>
      </c>
      <c r="T37" s="62"/>
      <c r="U37" s="8">
        <f t="shared" si="2"/>
        <v>0</v>
      </c>
      <c r="V37" s="135">
        <f t="shared" si="3"/>
        <v>0</v>
      </c>
      <c r="W37" s="134">
        <f t="shared" si="4"/>
        <v>24</v>
      </c>
      <c r="X37" s="61"/>
    </row>
    <row r="38" spans="1:26" ht="19.5" thickBot="1">
      <c r="A38" s="1">
        <f t="shared" si="5"/>
        <v>31</v>
      </c>
      <c r="B38" s="16" t="s">
        <v>50</v>
      </c>
      <c r="C38" s="13">
        <v>4436</v>
      </c>
      <c r="D38" s="14">
        <v>2</v>
      </c>
      <c r="E38" s="39"/>
      <c r="F38" s="39"/>
      <c r="G38" s="40">
        <v>67</v>
      </c>
      <c r="H38" s="41"/>
      <c r="I38" s="53">
        <f t="shared" si="0"/>
        <v>4369</v>
      </c>
      <c r="J38" s="70">
        <f t="shared" si="0"/>
        <v>2</v>
      </c>
      <c r="K38" s="65"/>
      <c r="L38" s="51">
        <v>25</v>
      </c>
      <c r="M38" s="51"/>
      <c r="N38" s="51">
        <v>20</v>
      </c>
      <c r="O38" s="51"/>
      <c r="P38" s="51">
        <v>22</v>
      </c>
      <c r="Q38" s="102"/>
      <c r="R38" s="107">
        <f t="shared" si="1"/>
        <v>67</v>
      </c>
      <c r="S38" s="104">
        <f t="shared" si="1"/>
        <v>0</v>
      </c>
      <c r="T38" s="65"/>
      <c r="U38" s="136">
        <f>L38*6+N38*6+P38*6</f>
        <v>402</v>
      </c>
      <c r="V38" s="141">
        <f>U38/6</f>
        <v>67</v>
      </c>
      <c r="W38" s="138">
        <f>I38*6+J38</f>
        <v>26216</v>
      </c>
      <c r="X38" s="139"/>
    </row>
    <row r="39" spans="1:26" ht="19.5" thickBot="1">
      <c r="A39" s="1">
        <f t="shared" si="5"/>
        <v>32</v>
      </c>
      <c r="B39" s="7" t="s">
        <v>51</v>
      </c>
      <c r="C39" s="10"/>
      <c r="D39" s="11"/>
      <c r="E39" s="36"/>
      <c r="F39" s="36"/>
      <c r="G39" s="37"/>
      <c r="H39" s="38"/>
      <c r="I39" s="37">
        <f t="shared" si="0"/>
        <v>0</v>
      </c>
      <c r="J39" s="63">
        <f t="shared" si="0"/>
        <v>0</v>
      </c>
      <c r="K39" s="62"/>
      <c r="L39" s="36"/>
      <c r="M39" s="36"/>
      <c r="N39" s="36"/>
      <c r="O39" s="36"/>
      <c r="P39" s="36"/>
      <c r="Q39" s="99"/>
      <c r="R39" s="108">
        <f t="shared" si="1"/>
        <v>0</v>
      </c>
      <c r="S39" s="106">
        <f t="shared" si="1"/>
        <v>0</v>
      </c>
      <c r="T39" s="62"/>
      <c r="U39" s="8">
        <f t="shared" ref="U39:U41" si="6">L39*24+N39*24+P39*24</f>
        <v>0</v>
      </c>
      <c r="V39" s="33">
        <f t="shared" ref="V39:V41" si="7">U39/24</f>
        <v>0</v>
      </c>
      <c r="W39" s="134">
        <f t="shared" ref="W39:W41" si="8">I39*24+J39</f>
        <v>0</v>
      </c>
      <c r="X39" s="61"/>
    </row>
    <row r="40" spans="1:26" ht="19.5" thickBot="1">
      <c r="A40" s="1">
        <f t="shared" si="5"/>
        <v>33</v>
      </c>
      <c r="B40" s="17" t="s">
        <v>52</v>
      </c>
      <c r="C40" s="18">
        <v>2</v>
      </c>
      <c r="D40" s="19"/>
      <c r="E40" s="42"/>
      <c r="F40" s="42"/>
      <c r="G40" s="43"/>
      <c r="H40" s="44"/>
      <c r="I40" s="38">
        <f t="shared" si="0"/>
        <v>2</v>
      </c>
      <c r="J40" s="63">
        <f t="shared" si="0"/>
        <v>0</v>
      </c>
      <c r="K40" s="62"/>
      <c r="L40" s="36"/>
      <c r="M40" s="36"/>
      <c r="N40" s="36"/>
      <c r="O40" s="36"/>
      <c r="P40" s="36"/>
      <c r="Q40" s="99"/>
      <c r="R40" s="100">
        <f t="shared" si="1"/>
        <v>0</v>
      </c>
      <c r="S40" s="101">
        <f t="shared" si="1"/>
        <v>0</v>
      </c>
      <c r="T40" s="62"/>
      <c r="U40" s="142">
        <f t="shared" si="6"/>
        <v>0</v>
      </c>
      <c r="V40" s="135">
        <f t="shared" si="7"/>
        <v>0</v>
      </c>
      <c r="W40" s="143">
        <f t="shared" si="8"/>
        <v>48</v>
      </c>
      <c r="X40" s="144"/>
    </row>
    <row r="41" spans="1:26" ht="19.5" thickBot="1">
      <c r="A41" s="1">
        <f t="shared" si="5"/>
        <v>34</v>
      </c>
      <c r="B41" s="20" t="s">
        <v>53</v>
      </c>
      <c r="C41" s="21">
        <v>103</v>
      </c>
      <c r="D41" s="22">
        <v>8</v>
      </c>
      <c r="E41" s="45"/>
      <c r="F41" s="45"/>
      <c r="G41" s="46">
        <v>1</v>
      </c>
      <c r="H41" s="47"/>
      <c r="I41" s="71">
        <f t="shared" si="0"/>
        <v>102</v>
      </c>
      <c r="J41" s="72">
        <f t="shared" si="0"/>
        <v>8</v>
      </c>
      <c r="K41" s="73"/>
      <c r="L41" s="74"/>
      <c r="M41" s="74"/>
      <c r="N41" s="74"/>
      <c r="O41" s="74"/>
      <c r="P41" s="74">
        <v>1</v>
      </c>
      <c r="Q41" s="109"/>
      <c r="R41" s="110">
        <f t="shared" si="1"/>
        <v>1</v>
      </c>
      <c r="S41" s="111">
        <f t="shared" si="1"/>
        <v>0</v>
      </c>
      <c r="T41" s="73"/>
      <c r="U41" s="145">
        <f t="shared" si="6"/>
        <v>24</v>
      </c>
      <c r="V41" s="146">
        <f t="shared" si="7"/>
        <v>1</v>
      </c>
      <c r="W41" s="146">
        <f t="shared" si="8"/>
        <v>2456</v>
      </c>
      <c r="X41" s="147"/>
    </row>
    <row r="42" spans="1:26" ht="19.5" thickBot="1">
      <c r="A42" s="1">
        <f t="shared" si="5"/>
        <v>35</v>
      </c>
      <c r="B42" s="23" t="s">
        <v>54</v>
      </c>
      <c r="C42" s="24">
        <v>325</v>
      </c>
      <c r="D42" s="25"/>
      <c r="E42" s="48"/>
      <c r="F42" s="48"/>
      <c r="G42" s="49">
        <v>14</v>
      </c>
      <c r="H42" s="50"/>
      <c r="I42" s="49">
        <f t="shared" si="0"/>
        <v>311</v>
      </c>
      <c r="J42" s="75">
        <f t="shared" si="0"/>
        <v>0</v>
      </c>
      <c r="K42" s="76"/>
      <c r="L42" s="48"/>
      <c r="M42" s="48"/>
      <c r="N42" s="48">
        <v>8</v>
      </c>
      <c r="O42" s="48"/>
      <c r="P42" s="48">
        <v>6</v>
      </c>
      <c r="Q42" s="112"/>
      <c r="R42" s="113">
        <f t="shared" si="1"/>
        <v>14</v>
      </c>
      <c r="S42" s="114">
        <f t="shared" si="1"/>
        <v>0</v>
      </c>
      <c r="T42" s="76"/>
      <c r="U42" s="148">
        <f>L42*12+N42*12+P42*12</f>
        <v>168</v>
      </c>
      <c r="V42" s="149">
        <f>U42/12</f>
        <v>14</v>
      </c>
      <c r="W42" s="150">
        <f>I42*12+J42</f>
        <v>3732</v>
      </c>
      <c r="X42" s="151"/>
    </row>
    <row r="43" spans="1:26" ht="18.75" hidden="1" customHeight="1">
      <c r="A43" s="1">
        <f t="shared" si="5"/>
        <v>36</v>
      </c>
      <c r="B43" s="7" t="s">
        <v>55</v>
      </c>
      <c r="C43" s="10"/>
      <c r="D43" s="11"/>
      <c r="E43" s="36"/>
      <c r="F43" s="36"/>
      <c r="G43" s="37"/>
      <c r="H43" s="38"/>
      <c r="I43" s="38">
        <f t="shared" si="0"/>
        <v>0</v>
      </c>
      <c r="J43" s="64">
        <f t="shared" si="0"/>
        <v>0</v>
      </c>
      <c r="K43" s="62"/>
      <c r="L43" s="36"/>
      <c r="M43" s="36"/>
      <c r="N43" s="36"/>
      <c r="O43" s="36"/>
      <c r="P43" s="36"/>
      <c r="Q43" s="99"/>
      <c r="R43" s="115">
        <f t="shared" si="1"/>
        <v>0</v>
      </c>
      <c r="S43" s="116">
        <f t="shared" si="1"/>
        <v>0</v>
      </c>
      <c r="T43" s="62"/>
      <c r="U43" s="8"/>
      <c r="V43" s="33"/>
      <c r="W43" s="134"/>
      <c r="X43" s="61"/>
    </row>
    <row r="44" spans="1:26" ht="19.5" thickBot="1">
      <c r="A44" s="1">
        <f t="shared" si="5"/>
        <v>37</v>
      </c>
      <c r="B44" s="12" t="s">
        <v>56</v>
      </c>
      <c r="C44" s="13">
        <v>29068</v>
      </c>
      <c r="D44" s="14">
        <v>1</v>
      </c>
      <c r="E44" s="39">
        <v>1512</v>
      </c>
      <c r="F44" s="39"/>
      <c r="G44" s="40">
        <v>771</v>
      </c>
      <c r="H44" s="41"/>
      <c r="I44" s="38">
        <f>C44+E44-G44</f>
        <v>29809</v>
      </c>
      <c r="J44" s="77">
        <f t="shared" ref="J44:J59" si="9">D44-H44</f>
        <v>1</v>
      </c>
      <c r="K44" s="65"/>
      <c r="L44" s="51">
        <v>324</v>
      </c>
      <c r="M44" s="51"/>
      <c r="N44" s="51">
        <v>149</v>
      </c>
      <c r="O44" s="51"/>
      <c r="P44" s="51">
        <v>298</v>
      </c>
      <c r="Q44" s="102"/>
      <c r="R44" s="117">
        <f t="shared" si="1"/>
        <v>771</v>
      </c>
      <c r="S44" s="118">
        <f t="shared" si="1"/>
        <v>0</v>
      </c>
      <c r="T44" s="65"/>
      <c r="U44" s="136">
        <f>L44*6+N44*6+P44*6</f>
        <v>4626</v>
      </c>
      <c r="V44" s="135">
        <f>U44/6</f>
        <v>771</v>
      </c>
      <c r="W44" s="138">
        <f>I44*6+J44</f>
        <v>178855</v>
      </c>
      <c r="X44" s="139"/>
      <c r="Z44" s="155"/>
    </row>
    <row r="45" spans="1:26" ht="18.75" hidden="1" customHeight="1">
      <c r="A45" s="1">
        <f t="shared" si="5"/>
        <v>38</v>
      </c>
      <c r="B45" s="7" t="s">
        <v>57</v>
      </c>
      <c r="C45" s="10"/>
      <c r="D45" s="11"/>
      <c r="E45" s="36"/>
      <c r="F45" s="36"/>
      <c r="G45" s="37"/>
      <c r="H45" s="38"/>
      <c r="I45" s="44">
        <f t="shared" ref="I45:I59" si="10">C45-G45</f>
        <v>0</v>
      </c>
      <c r="J45" s="63">
        <f t="shared" si="9"/>
        <v>0</v>
      </c>
      <c r="K45" s="62"/>
      <c r="L45" s="36"/>
      <c r="M45" s="36"/>
      <c r="N45" s="36"/>
      <c r="O45" s="36"/>
      <c r="P45" s="36"/>
      <c r="Q45" s="99"/>
      <c r="R45" s="108">
        <f t="shared" si="1"/>
        <v>0</v>
      </c>
      <c r="S45" s="116">
        <f t="shared" si="1"/>
        <v>0</v>
      </c>
      <c r="T45" s="62"/>
      <c r="U45" s="8"/>
      <c r="V45" s="137"/>
      <c r="W45" s="134"/>
      <c r="X45" s="61"/>
    </row>
    <row r="46" spans="1:26" ht="19.5" thickBot="1">
      <c r="A46" s="1">
        <f t="shared" si="5"/>
        <v>39</v>
      </c>
      <c r="B46" s="15" t="s">
        <v>58</v>
      </c>
      <c r="C46" s="10">
        <v>7</v>
      </c>
      <c r="D46" s="11"/>
      <c r="E46" s="36"/>
      <c r="F46" s="36"/>
      <c r="G46" s="37"/>
      <c r="H46" s="38"/>
      <c r="I46" s="68">
        <f t="shared" si="10"/>
        <v>7</v>
      </c>
      <c r="J46" s="63">
        <f t="shared" si="9"/>
        <v>0</v>
      </c>
      <c r="K46" s="62"/>
      <c r="L46" s="36"/>
      <c r="M46" s="36"/>
      <c r="N46" s="36"/>
      <c r="O46" s="36"/>
      <c r="P46" s="36"/>
      <c r="Q46" s="99"/>
      <c r="R46" s="100">
        <f t="shared" si="1"/>
        <v>0</v>
      </c>
      <c r="S46" s="119">
        <f t="shared" si="1"/>
        <v>0</v>
      </c>
      <c r="T46" s="62"/>
      <c r="U46" s="8">
        <f t="shared" ref="U46:U51" si="11">L46*24+N46*24+P46*24</f>
        <v>0</v>
      </c>
      <c r="V46" s="140">
        <f t="shared" ref="V46:V51" si="12">U46/24</f>
        <v>0</v>
      </c>
      <c r="W46" s="134">
        <f t="shared" ref="W46:W51" si="13">I46*24+J46</f>
        <v>168</v>
      </c>
      <c r="X46" s="61"/>
    </row>
    <row r="47" spans="1:26" ht="19.5" thickBot="1">
      <c r="A47" s="1">
        <f t="shared" si="5"/>
        <v>40</v>
      </c>
      <c r="B47" s="15" t="s">
        <v>59</v>
      </c>
      <c r="C47" s="10">
        <v>1</v>
      </c>
      <c r="D47" s="11"/>
      <c r="E47" s="36"/>
      <c r="F47" s="36"/>
      <c r="G47" s="37"/>
      <c r="H47" s="38"/>
      <c r="I47" s="38">
        <f t="shared" si="10"/>
        <v>1</v>
      </c>
      <c r="J47" s="63">
        <f t="shared" si="9"/>
        <v>0</v>
      </c>
      <c r="K47" s="62"/>
      <c r="L47" s="36"/>
      <c r="M47" s="36"/>
      <c r="N47" s="36"/>
      <c r="O47" s="36"/>
      <c r="P47" s="36"/>
      <c r="Q47" s="99"/>
      <c r="R47" s="100">
        <f t="shared" si="1"/>
        <v>0</v>
      </c>
      <c r="S47" s="101">
        <f t="shared" si="1"/>
        <v>0</v>
      </c>
      <c r="T47" s="62"/>
      <c r="U47" s="8">
        <f t="shared" si="11"/>
        <v>0</v>
      </c>
      <c r="V47" s="135">
        <f t="shared" si="12"/>
        <v>0</v>
      </c>
      <c r="W47" s="134">
        <f t="shared" si="13"/>
        <v>24</v>
      </c>
      <c r="X47" s="61"/>
    </row>
    <row r="48" spans="1:26" ht="19.5" thickBot="1">
      <c r="A48" s="1">
        <f t="shared" si="5"/>
        <v>41</v>
      </c>
      <c r="B48" s="12" t="s">
        <v>48</v>
      </c>
      <c r="C48" s="26">
        <v>2820</v>
      </c>
      <c r="D48" s="27">
        <v>4</v>
      </c>
      <c r="E48" s="51"/>
      <c r="F48" s="51"/>
      <c r="G48" s="52"/>
      <c r="H48" s="53">
        <v>3</v>
      </c>
      <c r="I48" s="53">
        <f t="shared" si="10"/>
        <v>2820</v>
      </c>
      <c r="J48" s="70">
        <f t="shared" si="9"/>
        <v>1</v>
      </c>
      <c r="K48" s="65"/>
      <c r="L48" s="51"/>
      <c r="M48" s="51"/>
      <c r="N48" s="51"/>
      <c r="O48" s="51"/>
      <c r="P48" s="51"/>
      <c r="Q48" s="102">
        <v>3</v>
      </c>
      <c r="R48" s="107">
        <f t="shared" si="1"/>
        <v>0</v>
      </c>
      <c r="S48" s="120">
        <f t="shared" si="1"/>
        <v>3</v>
      </c>
      <c r="T48" s="65"/>
      <c r="U48" s="136">
        <f>L48*6+N48*6+P48*6</f>
        <v>0</v>
      </c>
      <c r="V48" s="141">
        <f>U48/6</f>
        <v>0</v>
      </c>
      <c r="W48" s="138">
        <f>I48*6+J48</f>
        <v>16921</v>
      </c>
      <c r="X48" s="139"/>
    </row>
    <row r="49" spans="1:24" ht="19.5" thickBot="1">
      <c r="A49" s="1">
        <f t="shared" si="5"/>
        <v>42</v>
      </c>
      <c r="B49" s="7" t="s">
        <v>60</v>
      </c>
      <c r="C49" s="10">
        <v>1</v>
      </c>
      <c r="D49" s="11"/>
      <c r="E49" s="36"/>
      <c r="F49" s="36"/>
      <c r="G49" s="37"/>
      <c r="H49" s="38"/>
      <c r="I49" s="38">
        <f t="shared" si="10"/>
        <v>1</v>
      </c>
      <c r="J49" s="63">
        <f t="shared" si="9"/>
        <v>0</v>
      </c>
      <c r="K49" s="62"/>
      <c r="L49" s="36"/>
      <c r="M49" s="36"/>
      <c r="N49" s="36"/>
      <c r="O49" s="36"/>
      <c r="P49" s="36"/>
      <c r="Q49" s="99"/>
      <c r="R49" s="108">
        <f t="shared" si="1"/>
        <v>0</v>
      </c>
      <c r="S49" s="106">
        <f t="shared" si="1"/>
        <v>0</v>
      </c>
      <c r="T49" s="62"/>
      <c r="U49" s="8">
        <f t="shared" si="11"/>
        <v>0</v>
      </c>
      <c r="V49" s="33">
        <f t="shared" si="12"/>
        <v>0</v>
      </c>
      <c r="W49" s="134">
        <f t="shared" si="13"/>
        <v>24</v>
      </c>
      <c r="X49" s="61"/>
    </row>
    <row r="50" spans="1:24" ht="19.5" thickBot="1">
      <c r="A50" s="1">
        <f t="shared" si="5"/>
        <v>43</v>
      </c>
      <c r="B50" s="15" t="s">
        <v>61</v>
      </c>
      <c r="C50" s="10">
        <v>2</v>
      </c>
      <c r="D50" s="11"/>
      <c r="E50" s="36"/>
      <c r="F50" s="36"/>
      <c r="G50" s="37"/>
      <c r="H50" s="38"/>
      <c r="I50" s="38">
        <f t="shared" si="10"/>
        <v>2</v>
      </c>
      <c r="J50" s="63">
        <f t="shared" si="9"/>
        <v>0</v>
      </c>
      <c r="K50" s="62"/>
      <c r="L50" s="36"/>
      <c r="M50" s="36"/>
      <c r="N50" s="36"/>
      <c r="O50" s="36"/>
      <c r="P50" s="36"/>
      <c r="Q50" s="99"/>
      <c r="R50" s="100">
        <f t="shared" si="1"/>
        <v>0</v>
      </c>
      <c r="S50" s="101">
        <f t="shared" si="1"/>
        <v>0</v>
      </c>
      <c r="T50" s="62"/>
      <c r="U50" s="8">
        <f t="shared" si="11"/>
        <v>0</v>
      </c>
      <c r="V50" s="135">
        <f t="shared" si="12"/>
        <v>0</v>
      </c>
      <c r="W50" s="134">
        <f t="shared" si="13"/>
        <v>48</v>
      </c>
      <c r="X50" s="61"/>
    </row>
    <row r="51" spans="1:24" ht="19.5" thickBot="1">
      <c r="A51" s="1">
        <f t="shared" si="5"/>
        <v>44</v>
      </c>
      <c r="B51" s="15" t="s">
        <v>62</v>
      </c>
      <c r="C51" s="10"/>
      <c r="D51" s="11"/>
      <c r="E51" s="36"/>
      <c r="F51" s="36"/>
      <c r="G51" s="37"/>
      <c r="H51" s="38"/>
      <c r="I51" s="38">
        <f t="shared" si="10"/>
        <v>0</v>
      </c>
      <c r="J51" s="63">
        <f t="shared" si="9"/>
        <v>0</v>
      </c>
      <c r="K51" s="62"/>
      <c r="L51" s="36"/>
      <c r="M51" s="36"/>
      <c r="N51" s="36"/>
      <c r="O51" s="36"/>
      <c r="P51" s="36"/>
      <c r="Q51" s="99"/>
      <c r="R51" s="100">
        <f t="shared" si="1"/>
        <v>0</v>
      </c>
      <c r="S51" s="101">
        <f t="shared" si="1"/>
        <v>0</v>
      </c>
      <c r="T51" s="62"/>
      <c r="U51" s="8">
        <f t="shared" si="11"/>
        <v>0</v>
      </c>
      <c r="V51" s="135">
        <f t="shared" si="12"/>
        <v>0</v>
      </c>
      <c r="W51" s="134">
        <f t="shared" si="13"/>
        <v>0</v>
      </c>
      <c r="X51" s="61"/>
    </row>
    <row r="52" spans="1:24" ht="19.5" thickBot="1">
      <c r="A52" s="1">
        <f t="shared" si="5"/>
        <v>45</v>
      </c>
      <c r="B52" s="12" t="s">
        <v>63</v>
      </c>
      <c r="C52" s="26">
        <v>34</v>
      </c>
      <c r="D52" s="27"/>
      <c r="E52" s="51"/>
      <c r="F52" s="51"/>
      <c r="G52" s="52"/>
      <c r="H52" s="53"/>
      <c r="I52" s="53">
        <f t="shared" si="10"/>
        <v>34</v>
      </c>
      <c r="J52" s="70">
        <f t="shared" si="9"/>
        <v>0</v>
      </c>
      <c r="K52" s="65"/>
      <c r="L52" s="51"/>
      <c r="M52" s="51"/>
      <c r="N52" s="51"/>
      <c r="O52" s="51"/>
      <c r="P52" s="51"/>
      <c r="Q52" s="102"/>
      <c r="R52" s="107">
        <f t="shared" si="1"/>
        <v>0</v>
      </c>
      <c r="S52" s="120">
        <f t="shared" si="1"/>
        <v>0</v>
      </c>
      <c r="T52" s="65"/>
      <c r="U52" s="136">
        <f>L52*6+N52*6+P52*6</f>
        <v>0</v>
      </c>
      <c r="V52" s="141">
        <f>U52/6</f>
        <v>0</v>
      </c>
      <c r="W52" s="138">
        <f>I52*6+J52</f>
        <v>204</v>
      </c>
      <c r="X52" s="139"/>
    </row>
    <row r="53" spans="1:24" ht="19.5" thickBot="1">
      <c r="A53" s="1">
        <f t="shared" si="5"/>
        <v>46</v>
      </c>
      <c r="B53" s="7" t="s">
        <v>64</v>
      </c>
      <c r="C53" s="10">
        <v>2</v>
      </c>
      <c r="D53" s="11"/>
      <c r="E53" s="36"/>
      <c r="F53" s="36"/>
      <c r="G53" s="37"/>
      <c r="H53" s="38"/>
      <c r="I53" s="38">
        <f t="shared" si="10"/>
        <v>2</v>
      </c>
      <c r="J53" s="63">
        <f t="shared" si="9"/>
        <v>0</v>
      </c>
      <c r="K53" s="62"/>
      <c r="L53" s="36"/>
      <c r="M53" s="36"/>
      <c r="N53" s="36"/>
      <c r="O53" s="36"/>
      <c r="P53" s="36"/>
      <c r="Q53" s="99"/>
      <c r="R53" s="108">
        <f t="shared" si="1"/>
        <v>0</v>
      </c>
      <c r="S53" s="106">
        <f t="shared" si="1"/>
        <v>0</v>
      </c>
      <c r="T53" s="62"/>
      <c r="U53" s="8">
        <f>L53*24+N53*24+P53*24</f>
        <v>0</v>
      </c>
      <c r="V53" s="33">
        <f>U53/24</f>
        <v>0</v>
      </c>
      <c r="W53" s="134">
        <f>I53*24+J53</f>
        <v>48</v>
      </c>
      <c r="X53" s="61"/>
    </row>
    <row r="54" spans="1:24" ht="19.5" thickBot="1">
      <c r="A54" s="1">
        <f t="shared" si="5"/>
        <v>47</v>
      </c>
      <c r="B54" s="15" t="s">
        <v>65</v>
      </c>
      <c r="C54" s="10">
        <v>11</v>
      </c>
      <c r="D54" s="11"/>
      <c r="E54" s="36"/>
      <c r="F54" s="36"/>
      <c r="G54" s="37"/>
      <c r="H54" s="38"/>
      <c r="I54" s="38">
        <f t="shared" si="10"/>
        <v>11</v>
      </c>
      <c r="J54" s="63">
        <f t="shared" si="9"/>
        <v>0</v>
      </c>
      <c r="K54" s="62"/>
      <c r="L54" s="36"/>
      <c r="M54" s="36"/>
      <c r="N54" s="36"/>
      <c r="O54" s="36"/>
      <c r="P54" s="36"/>
      <c r="Q54" s="99"/>
      <c r="R54" s="100">
        <f t="shared" si="1"/>
        <v>0</v>
      </c>
      <c r="S54" s="101">
        <f t="shared" si="1"/>
        <v>0</v>
      </c>
      <c r="T54" s="62"/>
      <c r="U54" s="8">
        <f>L54*24+N54*24+P54*24</f>
        <v>0</v>
      </c>
      <c r="V54" s="135">
        <f>U54/24</f>
        <v>0</v>
      </c>
      <c r="W54" s="134">
        <f>I54*24+J54</f>
        <v>264</v>
      </c>
      <c r="X54" s="61"/>
    </row>
    <row r="55" spans="1:24" ht="19.5" thickBot="1">
      <c r="A55" s="1">
        <f t="shared" si="5"/>
        <v>48</v>
      </c>
      <c r="B55" s="15"/>
      <c r="C55" s="10"/>
      <c r="D55" s="11"/>
      <c r="E55" s="36"/>
      <c r="F55" s="36"/>
      <c r="G55" s="37"/>
      <c r="H55" s="38"/>
      <c r="I55" s="38">
        <f t="shared" si="10"/>
        <v>0</v>
      </c>
      <c r="J55" s="63">
        <f t="shared" si="9"/>
        <v>0</v>
      </c>
      <c r="K55" s="62"/>
      <c r="L55" s="36"/>
      <c r="M55" s="36"/>
      <c r="N55" s="36"/>
      <c r="O55" s="36"/>
      <c r="P55" s="36"/>
      <c r="Q55" s="99"/>
      <c r="R55" s="100">
        <f t="shared" si="1"/>
        <v>0</v>
      </c>
      <c r="S55" s="101">
        <f t="shared" si="1"/>
        <v>0</v>
      </c>
      <c r="T55" s="62"/>
      <c r="U55" s="8"/>
      <c r="V55" s="135"/>
      <c r="W55" s="134"/>
      <c r="X55" s="61"/>
    </row>
    <row r="56" spans="1:24" ht="19.5" thickBot="1">
      <c r="A56" s="1">
        <f t="shared" si="5"/>
        <v>49</v>
      </c>
      <c r="B56" s="15"/>
      <c r="C56" s="10"/>
      <c r="D56" s="11"/>
      <c r="E56" s="36"/>
      <c r="F56" s="36"/>
      <c r="G56" s="37"/>
      <c r="H56" s="38"/>
      <c r="I56" s="38">
        <f t="shared" si="10"/>
        <v>0</v>
      </c>
      <c r="J56" s="63">
        <f t="shared" si="9"/>
        <v>0</v>
      </c>
      <c r="K56" s="62"/>
      <c r="L56" s="36"/>
      <c r="M56" s="36"/>
      <c r="N56" s="36"/>
      <c r="O56" s="36"/>
      <c r="P56" s="36"/>
      <c r="Q56" s="99"/>
      <c r="R56" s="100">
        <f t="shared" si="1"/>
        <v>0</v>
      </c>
      <c r="S56" s="101">
        <f t="shared" si="1"/>
        <v>0</v>
      </c>
      <c r="T56" s="62"/>
      <c r="U56" s="8"/>
      <c r="V56" s="135"/>
      <c r="W56" s="134"/>
      <c r="X56" s="61"/>
    </row>
    <row r="57" spans="1:24" ht="19.5" thickBot="1">
      <c r="A57" s="1">
        <f t="shared" si="5"/>
        <v>50</v>
      </c>
      <c r="B57" s="15"/>
      <c r="C57" s="10"/>
      <c r="D57" s="11"/>
      <c r="E57" s="36"/>
      <c r="F57" s="36"/>
      <c r="G57" s="37"/>
      <c r="H57" s="38"/>
      <c r="I57" s="38">
        <f t="shared" si="10"/>
        <v>0</v>
      </c>
      <c r="J57" s="63">
        <f t="shared" si="9"/>
        <v>0</v>
      </c>
      <c r="K57" s="62"/>
      <c r="L57" s="36"/>
      <c r="M57" s="36"/>
      <c r="N57" s="36"/>
      <c r="O57" s="36"/>
      <c r="P57" s="36"/>
      <c r="Q57" s="99"/>
      <c r="R57" s="100">
        <f t="shared" si="1"/>
        <v>0</v>
      </c>
      <c r="S57" s="101">
        <f t="shared" si="1"/>
        <v>0</v>
      </c>
      <c r="T57" s="62"/>
      <c r="U57" s="8"/>
      <c r="V57" s="135"/>
      <c r="W57" s="134"/>
      <c r="X57" s="61"/>
    </row>
    <row r="58" spans="1:24" ht="19.5" thickBot="1">
      <c r="A58" s="1">
        <f t="shared" si="5"/>
        <v>51</v>
      </c>
      <c r="B58" s="15"/>
      <c r="C58" s="10"/>
      <c r="D58" s="11"/>
      <c r="E58" s="36"/>
      <c r="F58" s="36"/>
      <c r="G58" s="37"/>
      <c r="H58" s="38"/>
      <c r="I58" s="38">
        <f t="shared" si="10"/>
        <v>0</v>
      </c>
      <c r="J58" s="63">
        <f t="shared" si="9"/>
        <v>0</v>
      </c>
      <c r="K58" s="62"/>
      <c r="L58" s="36"/>
      <c r="M58" s="36"/>
      <c r="N58" s="36"/>
      <c r="O58" s="36"/>
      <c r="P58" s="36"/>
      <c r="Q58" s="99"/>
      <c r="R58" s="100">
        <f t="shared" si="1"/>
        <v>0</v>
      </c>
      <c r="S58" s="101">
        <f t="shared" si="1"/>
        <v>0</v>
      </c>
      <c r="T58" s="62"/>
      <c r="U58" s="8"/>
      <c r="V58" s="135"/>
      <c r="W58" s="134"/>
      <c r="X58" s="61"/>
    </row>
    <row r="59" spans="1:24" ht="19.5" thickBot="1">
      <c r="A59" s="1">
        <f t="shared" si="5"/>
        <v>52</v>
      </c>
      <c r="B59" s="15"/>
      <c r="C59" s="10"/>
      <c r="D59" s="11"/>
      <c r="E59" s="36"/>
      <c r="F59" s="36"/>
      <c r="G59" s="37"/>
      <c r="H59" s="38"/>
      <c r="I59" s="38">
        <f t="shared" si="10"/>
        <v>0</v>
      </c>
      <c r="J59" s="63">
        <f t="shared" si="9"/>
        <v>0</v>
      </c>
      <c r="K59" s="62"/>
      <c r="L59" s="36"/>
      <c r="M59" s="36"/>
      <c r="N59" s="36"/>
      <c r="O59" s="36"/>
      <c r="P59" s="36"/>
      <c r="Q59" s="99"/>
      <c r="R59" s="100">
        <f t="shared" si="1"/>
        <v>0</v>
      </c>
      <c r="S59" s="101">
        <f t="shared" si="1"/>
        <v>0</v>
      </c>
      <c r="T59" s="62"/>
      <c r="U59" s="8"/>
      <c r="V59" s="135"/>
      <c r="W59" s="134"/>
      <c r="X59" s="61"/>
    </row>
    <row r="60" spans="1:24" s="2" customFormat="1" ht="19.5" thickBot="1">
      <c r="B60" s="28" t="s">
        <v>15</v>
      </c>
      <c r="C60" s="29">
        <f t="shared" ref="C60:J60" si="14">SUM(C8:C59)</f>
        <v>40131</v>
      </c>
      <c r="D60" s="30">
        <f t="shared" si="14"/>
        <v>119</v>
      </c>
      <c r="E60" s="54">
        <f t="shared" si="14"/>
        <v>1711</v>
      </c>
      <c r="F60" s="54"/>
      <c r="G60" s="55">
        <f t="shared" si="14"/>
        <v>876</v>
      </c>
      <c r="H60" s="56">
        <f t="shared" si="14"/>
        <v>15</v>
      </c>
      <c r="I60" s="56">
        <f t="shared" si="14"/>
        <v>40966</v>
      </c>
      <c r="J60" s="78">
        <f t="shared" si="14"/>
        <v>104</v>
      </c>
      <c r="L60" s="79">
        <f t="shared" ref="L60:S60" si="15">SUM(L8:L59)</f>
        <v>358</v>
      </c>
      <c r="M60" s="79">
        <f t="shared" si="15"/>
        <v>12</v>
      </c>
      <c r="N60" s="79">
        <f t="shared" si="15"/>
        <v>182</v>
      </c>
      <c r="O60" s="79">
        <f t="shared" si="15"/>
        <v>0</v>
      </c>
      <c r="P60" s="79">
        <f t="shared" si="15"/>
        <v>336</v>
      </c>
      <c r="Q60" s="121">
        <f t="shared" si="15"/>
        <v>3</v>
      </c>
      <c r="R60" s="122">
        <f t="shared" si="15"/>
        <v>876</v>
      </c>
      <c r="S60" s="123">
        <f t="shared" si="15"/>
        <v>15</v>
      </c>
      <c r="U60" s="29">
        <f t="shared" ref="U60:W60" si="16">SUM(U8:U59)</f>
        <v>5772</v>
      </c>
      <c r="V60" s="152">
        <f t="shared" si="16"/>
        <v>876</v>
      </c>
      <c r="W60" s="179">
        <f t="shared" si="16"/>
        <v>312980</v>
      </c>
      <c r="X60" s="78"/>
    </row>
    <row r="61" spans="1:24" ht="19.5" thickBot="1">
      <c r="V61" s="154"/>
    </row>
    <row r="62" spans="1:24" ht="18.75" customHeight="1">
      <c r="G62" s="197" t="s">
        <v>66</v>
      </c>
      <c r="H62" s="57"/>
      <c r="I62" s="57"/>
      <c r="J62" s="80" t="s">
        <v>67</v>
      </c>
      <c r="L62" s="81"/>
      <c r="M62" s="87"/>
      <c r="N62" s="88"/>
      <c r="O62" s="88"/>
      <c r="P62" s="88"/>
      <c r="Q62" s="124"/>
      <c r="R62" s="124"/>
      <c r="S62" s="125"/>
    </row>
    <row r="63" spans="1:24">
      <c r="G63" s="198"/>
      <c r="H63" s="58"/>
      <c r="I63" s="58"/>
      <c r="J63" s="82" t="s">
        <v>68</v>
      </c>
      <c r="L63" s="83"/>
      <c r="M63" s="89"/>
      <c r="N63" s="90"/>
      <c r="O63" s="90"/>
      <c r="P63" s="90"/>
      <c r="Q63" s="126"/>
      <c r="R63" s="126"/>
      <c r="S63" s="127"/>
    </row>
    <row r="64" spans="1:24">
      <c r="G64" s="199"/>
      <c r="H64" s="59"/>
      <c r="I64" s="59"/>
      <c r="J64" s="82" t="s">
        <v>69</v>
      </c>
      <c r="L64" s="84"/>
      <c r="M64" s="91"/>
      <c r="N64" s="92"/>
      <c r="O64" s="92"/>
      <c r="P64" s="92"/>
      <c r="Q64" s="128"/>
      <c r="R64" s="128"/>
      <c r="S64" s="129"/>
    </row>
    <row r="65" spans="2:24">
      <c r="G65" s="200" t="s">
        <v>70</v>
      </c>
      <c r="H65" s="164"/>
      <c r="I65" s="164"/>
      <c r="J65" s="82" t="s">
        <v>67</v>
      </c>
      <c r="L65" s="84"/>
      <c r="M65" s="91"/>
      <c r="N65" s="92"/>
      <c r="O65" s="92"/>
      <c r="P65" s="92"/>
      <c r="Q65" s="128"/>
      <c r="R65" s="128"/>
      <c r="S65" s="129"/>
    </row>
    <row r="66" spans="2:24">
      <c r="G66" s="200"/>
      <c r="H66" s="164"/>
      <c r="I66" s="164"/>
      <c r="J66" s="82" t="s">
        <v>68</v>
      </c>
      <c r="L66" s="83"/>
      <c r="M66" s="89"/>
      <c r="N66" s="90"/>
      <c r="O66" s="90"/>
      <c r="P66" s="90"/>
      <c r="Q66" s="126"/>
      <c r="R66" s="126"/>
      <c r="S66" s="127"/>
    </row>
    <row r="67" spans="2:24" ht="19.5" thickBot="1">
      <c r="G67" s="201"/>
      <c r="H67" s="165"/>
      <c r="I67" s="165"/>
      <c r="J67" s="167" t="s">
        <v>69</v>
      </c>
      <c r="L67" s="168"/>
      <c r="M67" s="170"/>
      <c r="N67" s="171"/>
      <c r="O67" s="171"/>
      <c r="P67" s="171"/>
      <c r="Q67" s="174"/>
      <c r="R67" s="174"/>
      <c r="S67" s="175"/>
    </row>
    <row r="69" spans="2:24" ht="49.5" customHeight="1" thickBot="1">
      <c r="B69" s="159" t="s">
        <v>71</v>
      </c>
      <c r="C69" s="5" t="s">
        <v>4</v>
      </c>
      <c r="D69" s="6"/>
      <c r="E69" s="166" t="s">
        <v>72</v>
      </c>
      <c r="L69" s="169" t="s">
        <v>12</v>
      </c>
      <c r="M69" s="172"/>
      <c r="N69" s="173" t="s">
        <v>13</v>
      </c>
      <c r="O69" s="173"/>
      <c r="P69" s="173" t="s">
        <v>14</v>
      </c>
      <c r="Q69" s="176"/>
      <c r="R69" s="176"/>
      <c r="S69" s="177" t="s">
        <v>73</v>
      </c>
      <c r="X69" s="178" t="s">
        <v>74</v>
      </c>
    </row>
    <row r="70" spans="2:24">
      <c r="B70" s="160" t="s">
        <v>47</v>
      </c>
      <c r="C70" s="161"/>
      <c r="D70" s="161"/>
      <c r="E70" s="163"/>
      <c r="L70" s="161"/>
      <c r="M70" s="161"/>
      <c r="N70" s="161"/>
      <c r="O70" s="161"/>
      <c r="P70" s="161"/>
      <c r="Q70" s="161"/>
      <c r="R70" s="161"/>
      <c r="S70" s="161"/>
      <c r="X70" s="163"/>
    </row>
    <row r="71" spans="2:24">
      <c r="B71" s="162" t="s">
        <v>75</v>
      </c>
      <c r="C71" s="161"/>
      <c r="D71" s="161"/>
      <c r="E71" s="163"/>
      <c r="L71" s="163"/>
      <c r="M71" s="163"/>
      <c r="N71" s="163"/>
      <c r="O71" s="163"/>
      <c r="P71" s="163"/>
      <c r="Q71" s="163"/>
      <c r="R71" s="163"/>
      <c r="S71" s="163"/>
      <c r="X71" s="163"/>
    </row>
    <row r="72" spans="2:24">
      <c r="B72" s="162" t="s">
        <v>76</v>
      </c>
      <c r="C72" s="161"/>
      <c r="D72" s="161"/>
      <c r="E72" s="163"/>
      <c r="L72" s="163"/>
      <c r="M72" s="163"/>
      <c r="N72" s="163"/>
      <c r="O72" s="163"/>
      <c r="P72" s="163"/>
      <c r="Q72" s="163"/>
      <c r="R72" s="163"/>
      <c r="S72" s="163"/>
      <c r="X72" s="163"/>
    </row>
    <row r="73" spans="2:24" ht="11.25" customHeight="1"/>
    <row r="74" spans="2:24">
      <c r="B74" s="162" t="s">
        <v>77</v>
      </c>
      <c r="C74" s="163"/>
      <c r="D74" s="163"/>
      <c r="E74" s="163"/>
      <c r="L74" s="163"/>
      <c r="M74" s="163"/>
      <c r="N74" s="163"/>
      <c r="O74" s="163"/>
      <c r="P74" s="163"/>
      <c r="Q74" s="163"/>
      <c r="R74" s="163"/>
      <c r="S74" s="163"/>
      <c r="X74" s="163"/>
    </row>
    <row r="75" spans="2:24">
      <c r="B75" s="162" t="s">
        <v>75</v>
      </c>
      <c r="C75" s="163"/>
      <c r="D75" s="163"/>
      <c r="E75" s="163"/>
      <c r="L75" s="163"/>
      <c r="M75" s="163"/>
      <c r="N75" s="163"/>
      <c r="O75" s="163"/>
      <c r="P75" s="163"/>
      <c r="Q75" s="163"/>
      <c r="R75" s="163"/>
      <c r="S75" s="163"/>
      <c r="X75" s="163"/>
    </row>
    <row r="76" spans="2:24">
      <c r="B76" s="162" t="s">
        <v>76</v>
      </c>
      <c r="C76" s="163"/>
      <c r="D76" s="163"/>
      <c r="E76" s="163"/>
      <c r="L76" s="163"/>
      <c r="M76" s="163"/>
      <c r="N76" s="163"/>
      <c r="O76" s="163"/>
      <c r="P76" s="163"/>
      <c r="Q76" s="163"/>
      <c r="R76" s="163"/>
      <c r="S76" s="163"/>
      <c r="X76" s="163"/>
    </row>
    <row r="77" spans="2:24" ht="11.25" customHeight="1"/>
    <row r="78" spans="2:24">
      <c r="B78" s="162" t="s">
        <v>78</v>
      </c>
      <c r="C78" s="163"/>
      <c r="D78" s="163"/>
      <c r="E78" s="163"/>
      <c r="L78" s="163"/>
      <c r="M78" s="163"/>
      <c r="N78" s="163"/>
      <c r="O78" s="163"/>
      <c r="P78" s="163"/>
      <c r="Q78" s="163"/>
      <c r="R78" s="163"/>
      <c r="S78" s="163"/>
      <c r="X78" s="163"/>
    </row>
    <row r="79" spans="2:24">
      <c r="B79" s="162" t="s">
        <v>75</v>
      </c>
      <c r="C79" s="163"/>
      <c r="D79" s="163"/>
      <c r="E79" s="163"/>
      <c r="L79" s="163"/>
      <c r="M79" s="163"/>
      <c r="N79" s="163"/>
      <c r="O79" s="163"/>
      <c r="P79" s="163"/>
      <c r="Q79" s="163"/>
      <c r="R79" s="163"/>
      <c r="S79" s="163"/>
      <c r="X79" s="163"/>
    </row>
    <row r="80" spans="2:24">
      <c r="B80" s="162" t="s">
        <v>76</v>
      </c>
      <c r="C80" s="163"/>
      <c r="D80" s="163"/>
      <c r="E80" s="163"/>
      <c r="L80" s="163"/>
      <c r="M80" s="163"/>
      <c r="N80" s="163"/>
      <c r="O80" s="163"/>
      <c r="P80" s="163"/>
      <c r="Q80" s="163"/>
      <c r="R80" s="163"/>
      <c r="S80" s="163"/>
      <c r="X80" s="163"/>
    </row>
    <row r="81" spans="2:24" ht="11.25" customHeight="1"/>
    <row r="82" spans="2:24">
      <c r="B82" s="162" t="s">
        <v>79</v>
      </c>
      <c r="C82" s="163"/>
      <c r="D82" s="163"/>
      <c r="E82" s="163"/>
      <c r="L82" s="163"/>
      <c r="M82" s="163"/>
      <c r="N82" s="163"/>
      <c r="O82" s="163"/>
      <c r="P82" s="163"/>
      <c r="Q82" s="163"/>
      <c r="R82" s="163"/>
      <c r="S82" s="163"/>
      <c r="X82" s="163"/>
    </row>
    <row r="83" spans="2:24">
      <c r="B83" s="162" t="s">
        <v>75</v>
      </c>
      <c r="C83" s="163"/>
      <c r="D83" s="163"/>
      <c r="E83" s="163"/>
      <c r="L83" s="163"/>
      <c r="M83" s="163"/>
      <c r="N83" s="163"/>
      <c r="O83" s="163"/>
      <c r="P83" s="163"/>
      <c r="Q83" s="163"/>
      <c r="R83" s="163"/>
      <c r="S83" s="163"/>
      <c r="X83" s="163"/>
    </row>
    <row r="84" spans="2:24">
      <c r="B84" s="162" t="s">
        <v>76</v>
      </c>
      <c r="C84" s="161"/>
      <c r="D84" s="161"/>
      <c r="E84" s="163"/>
      <c r="L84" s="163"/>
      <c r="M84" s="163"/>
      <c r="N84" s="163"/>
      <c r="O84" s="163"/>
      <c r="P84" s="163"/>
      <c r="Q84" s="163"/>
      <c r="R84" s="163"/>
      <c r="S84" s="163"/>
      <c r="X84" s="163"/>
    </row>
    <row r="85" spans="2:24" ht="11.25" customHeight="1"/>
    <row r="86" spans="2:24">
      <c r="B86" s="162" t="s">
        <v>80</v>
      </c>
      <c r="C86" s="163"/>
      <c r="D86" s="163"/>
      <c r="E86" s="163"/>
      <c r="L86" s="163"/>
      <c r="M86" s="163"/>
      <c r="N86" s="163"/>
      <c r="O86" s="163"/>
      <c r="P86" s="163"/>
      <c r="Q86" s="163"/>
      <c r="R86" s="163"/>
      <c r="S86" s="163"/>
      <c r="X86" s="163"/>
    </row>
    <row r="87" spans="2:24">
      <c r="B87" s="162" t="s">
        <v>75</v>
      </c>
      <c r="C87" s="163"/>
      <c r="D87" s="163"/>
      <c r="E87" s="163"/>
      <c r="L87" s="163"/>
      <c r="M87" s="163"/>
      <c r="N87" s="163"/>
      <c r="O87" s="163"/>
      <c r="P87" s="163"/>
      <c r="Q87" s="163"/>
      <c r="R87" s="163"/>
      <c r="S87" s="163"/>
      <c r="X87" s="163"/>
    </row>
    <row r="88" spans="2:24">
      <c r="B88" s="162" t="s">
        <v>76</v>
      </c>
      <c r="C88" s="163"/>
      <c r="D88" s="163"/>
      <c r="E88" s="163"/>
      <c r="L88" s="163"/>
      <c r="M88" s="163"/>
      <c r="N88" s="163"/>
      <c r="O88" s="163"/>
      <c r="P88" s="163"/>
      <c r="Q88" s="163"/>
      <c r="R88" s="163"/>
      <c r="S88" s="163"/>
      <c r="X88" s="163"/>
    </row>
    <row r="90" spans="2:24">
      <c r="B90" s="162" t="s">
        <v>81</v>
      </c>
      <c r="C90" s="163"/>
      <c r="D90" s="163"/>
      <c r="E90" s="163"/>
      <c r="L90" s="163"/>
      <c r="M90" s="163"/>
      <c r="N90" s="163"/>
      <c r="O90" s="163"/>
      <c r="P90" s="163"/>
      <c r="Q90" s="163"/>
      <c r="R90" s="163"/>
      <c r="S90" s="163"/>
      <c r="X90" s="163"/>
    </row>
  </sheetData>
  <mergeCells count="12">
    <mergeCell ref="G62:G64"/>
    <mergeCell ref="G65:G67"/>
    <mergeCell ref="P1:X1"/>
    <mergeCell ref="B4:B5"/>
    <mergeCell ref="C4:C5"/>
    <mergeCell ref="D4:D5"/>
    <mergeCell ref="E4:F4"/>
    <mergeCell ref="G4:G5"/>
    <mergeCell ref="H4:H5"/>
    <mergeCell ref="I4:I5"/>
    <mergeCell ref="J4:J5"/>
    <mergeCell ref="L4:X4"/>
  </mergeCells>
  <printOptions horizontalCentered="1" verticalCentered="1"/>
  <pageMargins left="0.196850393700787" right="0.196850393700787" top="0.196850393700787" bottom="0.196850393700787" header="0.511811023622047" footer="0.511811023622047"/>
  <pageSetup paperSize="9" scale="51" orientation="portrait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759AA-F27A-4C36-9F2F-798CA1E3CFE6}">
  <sheetPr>
    <pageSetUpPr fitToPage="1"/>
  </sheetPr>
  <dimension ref="A1:BH90"/>
  <sheetViews>
    <sheetView zoomScaleNormal="100" zoomScaleSheetLayoutView="85" zoomScalePageLayoutView="80" workbookViewId="0">
      <selection activeCell="W60" sqref="W60"/>
    </sheetView>
  </sheetViews>
  <sheetFormatPr defaultColWidth="9.140625" defaultRowHeight="18.75"/>
  <cols>
    <col min="1" max="1" width="5.42578125" style="3" customWidth="1"/>
    <col min="2" max="2" width="12.28515625" style="3" customWidth="1"/>
    <col min="3" max="3" width="12.7109375" style="3" customWidth="1"/>
    <col min="4" max="4" width="8.5703125" style="3" bestFit="1" customWidth="1"/>
    <col min="5" max="5" width="12.140625" style="3" customWidth="1"/>
    <col min="6" max="6" width="9.85546875" style="3" customWidth="1"/>
    <col min="7" max="7" width="11" style="3" customWidth="1"/>
    <col min="8" max="8" width="8" style="3" customWidth="1"/>
    <col min="9" max="9" width="14.7109375" style="3" customWidth="1"/>
    <col min="10" max="10" width="8.28515625" style="3" customWidth="1"/>
    <col min="11" max="11" width="1.28515625" style="3" customWidth="1"/>
    <col min="12" max="12" width="11" style="3" customWidth="1"/>
    <col min="13" max="13" width="7.85546875" style="3" customWidth="1"/>
    <col min="14" max="14" width="11" style="3" customWidth="1"/>
    <col min="15" max="15" width="6.5703125" style="3" customWidth="1"/>
    <col min="16" max="16" width="11" style="3" customWidth="1"/>
    <col min="17" max="17" width="6.5703125" style="3" customWidth="1"/>
    <col min="18" max="18" width="9.5703125" style="3" customWidth="1"/>
    <col min="19" max="19" width="8.140625" style="3" customWidth="1"/>
    <col min="20" max="20" width="1.28515625" style="3" customWidth="1"/>
    <col min="21" max="21" width="12.7109375" style="3" customWidth="1"/>
    <col min="22" max="22" width="12.7109375" style="3" hidden="1" customWidth="1"/>
    <col min="23" max="23" width="14.5703125" style="3" customWidth="1"/>
    <col min="24" max="24" width="11.5703125" style="3" customWidth="1"/>
    <col min="25" max="25" width="2" style="3" customWidth="1"/>
    <col min="26" max="26" width="10.5703125" style="3" customWidth="1"/>
    <col min="27" max="55" width="7.28515625" style="3" customWidth="1"/>
    <col min="56" max="56" width="1.5703125" style="3" customWidth="1"/>
    <col min="57" max="57" width="9.42578125" style="3" customWidth="1"/>
    <col min="58" max="58" width="1.28515625" style="3" customWidth="1"/>
    <col min="59" max="59" width="12.7109375" style="3" customWidth="1"/>
    <col min="60" max="60" width="10.28515625" style="3" customWidth="1"/>
    <col min="61" max="16384" width="9.140625" style="3"/>
  </cols>
  <sheetData>
    <row r="1" spans="1:60" ht="19.5" thickBot="1">
      <c r="B1" s="2" t="s">
        <v>0</v>
      </c>
      <c r="N1" s="3" t="s">
        <v>1</v>
      </c>
      <c r="P1" s="183">
        <v>46170</v>
      </c>
      <c r="Q1" s="184"/>
      <c r="R1" s="184"/>
      <c r="S1" s="184"/>
      <c r="T1" s="184"/>
      <c r="U1" s="184"/>
      <c r="V1" s="184"/>
      <c r="W1" s="184"/>
      <c r="X1" s="185"/>
    </row>
    <row r="2" spans="1:60" ht="15" customHeight="1">
      <c r="B2" s="2" t="s">
        <v>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4" spans="1:60" ht="19.5" customHeight="1" thickBot="1">
      <c r="A4" s="4"/>
      <c r="B4" s="192" t="s">
        <v>3</v>
      </c>
      <c r="C4" s="193" t="s">
        <v>4</v>
      </c>
      <c r="D4" s="194" t="s">
        <v>5</v>
      </c>
      <c r="E4" s="186" t="s">
        <v>6</v>
      </c>
      <c r="F4" s="187"/>
      <c r="G4" s="195" t="s">
        <v>7</v>
      </c>
      <c r="H4" s="202" t="s">
        <v>5</v>
      </c>
      <c r="I4" s="204" t="s">
        <v>8</v>
      </c>
      <c r="J4" s="202" t="s">
        <v>5</v>
      </c>
      <c r="L4" s="188" t="s">
        <v>9</v>
      </c>
      <c r="M4" s="189"/>
      <c r="N4" s="189"/>
      <c r="O4" s="189"/>
      <c r="P4" s="189"/>
      <c r="Q4" s="189"/>
      <c r="R4" s="189"/>
      <c r="S4" s="189"/>
      <c r="T4" s="189"/>
      <c r="U4" s="189"/>
      <c r="V4" s="190"/>
      <c r="W4" s="189"/>
      <c r="X4" s="191"/>
    </row>
    <row r="5" spans="1:60" s="1" customFormat="1" ht="57" thickBot="1">
      <c r="A5" s="4"/>
      <c r="B5" s="192"/>
      <c r="C5" s="193"/>
      <c r="D5" s="194"/>
      <c r="E5" s="31" t="s">
        <v>10</v>
      </c>
      <c r="F5" s="32" t="s">
        <v>11</v>
      </c>
      <c r="G5" s="196"/>
      <c r="H5" s="203"/>
      <c r="I5" s="205"/>
      <c r="J5" s="203"/>
      <c r="L5" s="60" t="s">
        <v>12</v>
      </c>
      <c r="M5" s="85" t="s">
        <v>5</v>
      </c>
      <c r="N5" s="86" t="s">
        <v>13</v>
      </c>
      <c r="O5" s="85" t="s">
        <v>5</v>
      </c>
      <c r="P5" s="86" t="s">
        <v>14</v>
      </c>
      <c r="Q5" s="85" t="s">
        <v>5</v>
      </c>
      <c r="R5" s="93" t="s">
        <v>15</v>
      </c>
      <c r="S5" s="94" t="s">
        <v>5</v>
      </c>
      <c r="T5" s="95"/>
      <c r="U5" s="130" t="s">
        <v>16</v>
      </c>
      <c r="V5" s="131" t="s">
        <v>17</v>
      </c>
      <c r="W5" s="132" t="s">
        <v>18</v>
      </c>
      <c r="X5" s="133" t="s">
        <v>19</v>
      </c>
      <c r="AL5" s="156"/>
      <c r="AM5" s="156"/>
      <c r="AN5" s="156"/>
      <c r="AO5" s="156"/>
      <c r="AP5" s="156"/>
      <c r="AQ5" s="156"/>
      <c r="AR5" s="156"/>
      <c r="AS5" s="156"/>
      <c r="AT5" s="156"/>
      <c r="AU5" s="156"/>
      <c r="AV5" s="156"/>
      <c r="AW5" s="156"/>
      <c r="AX5" s="156"/>
      <c r="AY5" s="156"/>
      <c r="AZ5" s="156"/>
      <c r="BA5" s="156"/>
      <c r="BB5" s="156"/>
      <c r="BC5" s="156"/>
      <c r="BD5" s="156"/>
      <c r="BE5" s="156"/>
      <c r="BF5" s="156"/>
      <c r="BG5" s="156"/>
      <c r="BH5" s="156"/>
    </row>
    <row r="6" spans="1:60" s="1" customFormat="1" ht="19.5" thickBot="1">
      <c r="B6" s="7"/>
      <c r="C6" s="8"/>
      <c r="D6" s="9"/>
      <c r="E6" s="33"/>
      <c r="F6" s="33"/>
      <c r="G6" s="34"/>
      <c r="H6" s="35"/>
      <c r="I6" s="35"/>
      <c r="J6" s="61"/>
      <c r="K6" s="62"/>
      <c r="L6" s="33"/>
      <c r="M6" s="33"/>
      <c r="N6" s="33"/>
      <c r="O6" s="33"/>
      <c r="P6" s="33"/>
      <c r="Q6" s="96"/>
      <c r="R6" s="97"/>
      <c r="S6" s="98"/>
      <c r="T6" s="62"/>
      <c r="U6" s="8"/>
      <c r="V6" s="33"/>
      <c r="W6" s="134"/>
      <c r="X6" s="61"/>
      <c r="AL6" s="156"/>
      <c r="AM6" s="156"/>
      <c r="AN6" s="156"/>
      <c r="AO6" s="156"/>
      <c r="AP6" s="156"/>
      <c r="AQ6" s="156"/>
      <c r="AR6" s="156"/>
      <c r="AS6" s="156"/>
      <c r="AT6" s="156"/>
      <c r="AU6" s="156"/>
      <c r="AV6" s="156"/>
      <c r="AW6" s="156"/>
      <c r="AX6" s="156"/>
      <c r="AY6" s="156"/>
      <c r="AZ6" s="156"/>
      <c r="BA6" s="156"/>
      <c r="BB6" s="156"/>
      <c r="BC6" s="156"/>
      <c r="BD6" s="156"/>
      <c r="BE6" s="156"/>
      <c r="BF6" s="156"/>
      <c r="BG6" s="156"/>
      <c r="BH6" s="156"/>
    </row>
    <row r="7" spans="1:60" s="1" customFormat="1" ht="19.5" thickBot="1">
      <c r="B7" s="7"/>
      <c r="C7" s="8"/>
      <c r="D7" s="9"/>
      <c r="E7" s="33"/>
      <c r="F7" s="33"/>
      <c r="G7" s="34"/>
      <c r="H7" s="35"/>
      <c r="I7" s="35"/>
      <c r="J7" s="61"/>
      <c r="K7" s="62"/>
      <c r="L7" s="33"/>
      <c r="M7" s="33"/>
      <c r="N7" s="33"/>
      <c r="O7" s="33"/>
      <c r="P7" s="33"/>
      <c r="Q7" s="96"/>
      <c r="R7" s="97"/>
      <c r="S7" s="98"/>
      <c r="T7" s="62"/>
      <c r="U7" s="8"/>
      <c r="V7" s="135"/>
      <c r="W7" s="134"/>
      <c r="X7" s="61"/>
      <c r="AL7" s="156"/>
      <c r="AM7" s="156"/>
      <c r="AN7" s="156"/>
      <c r="AO7" s="156"/>
      <c r="AP7" s="156"/>
      <c r="AQ7" s="156"/>
      <c r="AR7" s="156"/>
      <c r="AS7" s="156"/>
      <c r="AT7" s="156"/>
      <c r="AU7" s="156"/>
      <c r="AV7" s="156"/>
      <c r="AW7" s="156"/>
      <c r="AX7" s="156"/>
      <c r="AY7" s="156"/>
      <c r="AZ7" s="156"/>
      <c r="BA7" s="156"/>
      <c r="BB7" s="156"/>
      <c r="BC7" s="156"/>
      <c r="BD7" s="156"/>
      <c r="BE7" s="156"/>
      <c r="BF7" s="156"/>
      <c r="BG7" s="156"/>
      <c r="BH7" s="156"/>
    </row>
    <row r="8" spans="1:60" ht="19.5" thickBot="1">
      <c r="A8" s="1">
        <v>1</v>
      </c>
      <c r="B8" s="7" t="s">
        <v>20</v>
      </c>
      <c r="C8" s="10">
        <v>6</v>
      </c>
      <c r="D8" s="11">
        <v>7</v>
      </c>
      <c r="E8" s="36"/>
      <c r="F8" s="36"/>
      <c r="G8" s="37">
        <v>1</v>
      </c>
      <c r="H8" s="38"/>
      <c r="I8" s="38">
        <f t="shared" ref="I8:J43" si="0">C8-G8</f>
        <v>5</v>
      </c>
      <c r="J8" s="63">
        <f t="shared" si="0"/>
        <v>7</v>
      </c>
      <c r="K8" s="62"/>
      <c r="L8" s="36"/>
      <c r="M8" s="36"/>
      <c r="N8" s="36"/>
      <c r="O8" s="36"/>
      <c r="P8" s="36">
        <v>1</v>
      </c>
      <c r="Q8" s="99"/>
      <c r="R8" s="100">
        <f t="shared" ref="R8:S59" si="1">L8+N8+P8</f>
        <v>1</v>
      </c>
      <c r="S8" s="101">
        <f t="shared" si="1"/>
        <v>0</v>
      </c>
      <c r="T8" s="62"/>
      <c r="U8" s="8">
        <f t="shared" ref="U8:U37" si="2">L8*24+N8*24+P8*24</f>
        <v>24</v>
      </c>
      <c r="V8" s="135">
        <f t="shared" ref="V8:V37" si="3">U8/24</f>
        <v>1</v>
      </c>
      <c r="W8" s="134">
        <f t="shared" ref="W8:W37" si="4">I8*24+J8</f>
        <v>127</v>
      </c>
      <c r="X8" s="61"/>
      <c r="AL8" s="157"/>
      <c r="AM8" s="157"/>
      <c r="AN8" s="157"/>
      <c r="AO8" s="157"/>
      <c r="AP8" s="157"/>
      <c r="AQ8" s="157"/>
      <c r="AR8" s="157"/>
      <c r="AS8" s="157"/>
      <c r="AT8" s="157"/>
      <c r="AU8" s="157"/>
      <c r="AV8" s="157"/>
      <c r="AW8" s="157"/>
      <c r="AX8" s="157"/>
      <c r="AY8" s="157"/>
      <c r="AZ8" s="157"/>
      <c r="BA8" s="157"/>
      <c r="BB8" s="157"/>
      <c r="BC8" s="157"/>
      <c r="BD8" s="157"/>
      <c r="BE8" s="157"/>
      <c r="BF8" s="157"/>
      <c r="BG8" s="157"/>
      <c r="BH8" s="157"/>
    </row>
    <row r="9" spans="1:60" ht="19.5" thickBot="1">
      <c r="A9" s="1">
        <f t="shared" ref="A9:A59" si="5">A8+1</f>
        <v>2</v>
      </c>
      <c r="B9" s="12" t="s">
        <v>21</v>
      </c>
      <c r="C9" s="13">
        <v>73</v>
      </c>
      <c r="D9" s="14"/>
      <c r="E9" s="39"/>
      <c r="F9" s="39"/>
      <c r="G9" s="40"/>
      <c r="H9" s="41"/>
      <c r="I9" s="40">
        <f t="shared" si="0"/>
        <v>73</v>
      </c>
      <c r="J9" s="64">
        <f t="shared" si="0"/>
        <v>0</v>
      </c>
      <c r="K9" s="65"/>
      <c r="L9" s="51"/>
      <c r="M9" s="51"/>
      <c r="N9" s="51"/>
      <c r="O9" s="51"/>
      <c r="P9" s="51"/>
      <c r="Q9" s="102"/>
      <c r="R9" s="103">
        <f t="shared" si="1"/>
        <v>0</v>
      </c>
      <c r="S9" s="104">
        <f t="shared" si="1"/>
        <v>0</v>
      </c>
      <c r="T9" s="65"/>
      <c r="U9" s="136">
        <f t="shared" si="2"/>
        <v>0</v>
      </c>
      <c r="V9" s="137">
        <f t="shared" si="3"/>
        <v>0</v>
      </c>
      <c r="W9" s="138">
        <f t="shared" si="4"/>
        <v>1752</v>
      </c>
      <c r="X9" s="139"/>
      <c r="AL9" s="157"/>
      <c r="AM9" s="157"/>
      <c r="AN9" s="157"/>
      <c r="AO9" s="157"/>
      <c r="AP9" s="157"/>
      <c r="AQ9" s="157"/>
      <c r="AR9" s="157"/>
      <c r="AS9" s="157"/>
      <c r="AT9" s="157"/>
      <c r="AU9" s="157"/>
      <c r="AV9" s="157"/>
      <c r="AW9" s="157"/>
      <c r="AX9" s="157"/>
      <c r="AY9" s="157"/>
      <c r="AZ9" s="157"/>
      <c r="BA9" s="157"/>
      <c r="BB9" s="157"/>
      <c r="BC9" s="157"/>
      <c r="BD9" s="157"/>
      <c r="BE9" s="157"/>
      <c r="BF9" s="157"/>
      <c r="BG9" s="157"/>
      <c r="BH9" s="157"/>
    </row>
    <row r="10" spans="1:60" ht="19.5" thickBot="1">
      <c r="A10" s="1">
        <f t="shared" si="5"/>
        <v>3</v>
      </c>
      <c r="B10" s="7" t="s">
        <v>22</v>
      </c>
      <c r="C10" s="10">
        <v>14</v>
      </c>
      <c r="D10" s="11"/>
      <c r="E10" s="36"/>
      <c r="F10" s="36"/>
      <c r="G10" s="37">
        <v>2</v>
      </c>
      <c r="H10" s="38"/>
      <c r="I10" s="38">
        <f t="shared" si="0"/>
        <v>12</v>
      </c>
      <c r="J10" s="66">
        <f t="shared" si="0"/>
        <v>0</v>
      </c>
      <c r="K10" s="62"/>
      <c r="L10" s="36"/>
      <c r="M10" s="36"/>
      <c r="N10" s="36"/>
      <c r="O10" s="36"/>
      <c r="P10" s="36">
        <v>2</v>
      </c>
      <c r="Q10" s="99"/>
      <c r="R10" s="105">
        <f t="shared" si="1"/>
        <v>2</v>
      </c>
      <c r="S10" s="106">
        <f t="shared" si="1"/>
        <v>0</v>
      </c>
      <c r="T10" s="62"/>
      <c r="U10" s="8">
        <f t="shared" si="2"/>
        <v>48</v>
      </c>
      <c r="V10" s="140">
        <f t="shared" si="3"/>
        <v>2</v>
      </c>
      <c r="W10" s="134">
        <f t="shared" si="4"/>
        <v>288</v>
      </c>
      <c r="X10" s="61"/>
      <c r="AL10" s="157"/>
      <c r="AM10" s="157"/>
      <c r="AN10" s="157"/>
      <c r="AO10" s="157"/>
      <c r="AP10" s="157"/>
      <c r="AQ10" s="157"/>
      <c r="AR10" s="157"/>
      <c r="AS10" s="157"/>
      <c r="AT10" s="157"/>
      <c r="AU10" s="157"/>
      <c r="AV10" s="157"/>
      <c r="AW10" s="157"/>
      <c r="AX10" s="157"/>
      <c r="AY10" s="157"/>
      <c r="AZ10" s="157"/>
      <c r="BA10" s="157"/>
      <c r="BB10" s="157"/>
      <c r="BC10" s="157"/>
      <c r="BD10" s="157"/>
      <c r="BE10" s="157"/>
      <c r="BF10" s="157"/>
      <c r="BG10" s="157"/>
      <c r="BH10" s="157"/>
    </row>
    <row r="11" spans="1:60" ht="19.5" thickBot="1">
      <c r="A11" s="1">
        <f t="shared" si="5"/>
        <v>4</v>
      </c>
      <c r="B11" s="15" t="s">
        <v>23</v>
      </c>
      <c r="C11" s="10">
        <v>12</v>
      </c>
      <c r="D11" s="11"/>
      <c r="E11" s="36"/>
      <c r="F11" s="36"/>
      <c r="G11" s="37">
        <v>2</v>
      </c>
      <c r="H11" s="38"/>
      <c r="I11" s="38">
        <f t="shared" si="0"/>
        <v>10</v>
      </c>
      <c r="J11" s="63">
        <f t="shared" si="0"/>
        <v>0</v>
      </c>
      <c r="K11" s="62"/>
      <c r="L11" s="36"/>
      <c r="M11" s="36"/>
      <c r="N11" s="36"/>
      <c r="O11" s="36"/>
      <c r="P11" s="36"/>
      <c r="Q11" s="99"/>
      <c r="R11" s="100">
        <f t="shared" si="1"/>
        <v>0</v>
      </c>
      <c r="S11" s="101">
        <f t="shared" si="1"/>
        <v>0</v>
      </c>
      <c r="T11" s="62"/>
      <c r="U11" s="8">
        <f t="shared" si="2"/>
        <v>0</v>
      </c>
      <c r="V11" s="135">
        <f t="shared" si="3"/>
        <v>0</v>
      </c>
      <c r="W11" s="134">
        <f t="shared" si="4"/>
        <v>240</v>
      </c>
      <c r="X11" s="61"/>
      <c r="AL11" s="157"/>
      <c r="AM11" s="157"/>
      <c r="AN11" s="157"/>
      <c r="AO11" s="157"/>
      <c r="AP11" s="157"/>
      <c r="AQ11" s="157"/>
      <c r="AR11" s="157"/>
      <c r="AS11" s="157"/>
      <c r="AT11" s="157"/>
      <c r="AU11" s="157"/>
      <c r="AV11" s="157"/>
      <c r="AW11" s="157"/>
      <c r="AX11" s="157"/>
      <c r="AY11" s="157"/>
      <c r="AZ11" s="157"/>
      <c r="BA11" s="157"/>
      <c r="BB11" s="157"/>
      <c r="BC11" s="157"/>
      <c r="BD11" s="157"/>
      <c r="BE11" s="157"/>
      <c r="BF11" s="157"/>
      <c r="BG11" s="157"/>
      <c r="BH11" s="157"/>
    </row>
    <row r="12" spans="1:60" ht="19.5" thickBot="1">
      <c r="A12" s="1">
        <f t="shared" si="5"/>
        <v>5</v>
      </c>
      <c r="B12" s="15" t="s">
        <v>24</v>
      </c>
      <c r="C12" s="10"/>
      <c r="D12" s="11">
        <v>2</v>
      </c>
      <c r="E12" s="36"/>
      <c r="F12" s="36"/>
      <c r="G12" s="37"/>
      <c r="H12" s="38"/>
      <c r="I12" s="38">
        <f t="shared" si="0"/>
        <v>0</v>
      </c>
      <c r="J12" s="63">
        <f t="shared" si="0"/>
        <v>2</v>
      </c>
      <c r="K12" s="62"/>
      <c r="L12" s="36"/>
      <c r="M12" s="36"/>
      <c r="N12" s="36"/>
      <c r="O12" s="36"/>
      <c r="P12" s="36"/>
      <c r="Q12" s="99"/>
      <c r="R12" s="100">
        <f t="shared" si="1"/>
        <v>0</v>
      </c>
      <c r="S12" s="101">
        <f t="shared" si="1"/>
        <v>0</v>
      </c>
      <c r="T12" s="62"/>
      <c r="U12" s="8">
        <f t="shared" si="2"/>
        <v>0</v>
      </c>
      <c r="V12" s="135">
        <f t="shared" si="3"/>
        <v>0</v>
      </c>
      <c r="W12" s="134">
        <f t="shared" si="4"/>
        <v>2</v>
      </c>
      <c r="X12" s="61"/>
      <c r="AL12" s="157"/>
      <c r="AM12" s="157"/>
      <c r="AN12" s="157"/>
      <c r="AO12" s="157"/>
      <c r="AP12" s="157"/>
      <c r="AQ12" s="157"/>
      <c r="AR12" s="157"/>
      <c r="AS12" s="157"/>
      <c r="AT12" s="157"/>
      <c r="AU12" s="157"/>
      <c r="AV12" s="157"/>
      <c r="AW12" s="157"/>
      <c r="AX12" s="157"/>
      <c r="AY12" s="157"/>
      <c r="AZ12" s="157"/>
      <c r="BA12" s="157"/>
      <c r="BB12" s="157"/>
      <c r="BC12" s="157"/>
      <c r="BD12" s="157"/>
      <c r="BE12" s="157"/>
      <c r="BF12" s="157"/>
      <c r="BG12" s="157"/>
      <c r="BH12" s="157"/>
    </row>
    <row r="13" spans="1:60" s="2" customFormat="1" ht="19.5" thickBot="1">
      <c r="A13" s="1">
        <f t="shared" si="5"/>
        <v>6</v>
      </c>
      <c r="B13" s="12" t="s">
        <v>25</v>
      </c>
      <c r="C13" s="13">
        <v>2981</v>
      </c>
      <c r="D13" s="14">
        <v>12</v>
      </c>
      <c r="E13" s="39"/>
      <c r="F13" s="39"/>
      <c r="G13" s="40">
        <v>26</v>
      </c>
      <c r="H13" s="41">
        <v>24</v>
      </c>
      <c r="I13" s="44">
        <f t="shared" si="0"/>
        <v>2955</v>
      </c>
      <c r="J13" s="64">
        <f t="shared" si="0"/>
        <v>-12</v>
      </c>
      <c r="K13" s="67"/>
      <c r="L13" s="51">
        <v>4</v>
      </c>
      <c r="M13" s="51"/>
      <c r="N13" s="51">
        <v>13</v>
      </c>
      <c r="O13" s="51">
        <v>12</v>
      </c>
      <c r="P13" s="51">
        <v>9</v>
      </c>
      <c r="Q13" s="102">
        <v>12</v>
      </c>
      <c r="R13" s="107">
        <f t="shared" si="1"/>
        <v>26</v>
      </c>
      <c r="S13" s="104">
        <f t="shared" si="1"/>
        <v>24</v>
      </c>
      <c r="T13" s="67"/>
      <c r="U13" s="136">
        <f t="shared" si="2"/>
        <v>624</v>
      </c>
      <c r="V13" s="141">
        <f t="shared" si="3"/>
        <v>26</v>
      </c>
      <c r="W13" s="138">
        <f t="shared" si="4"/>
        <v>70908</v>
      </c>
      <c r="X13" s="139"/>
      <c r="Y13" s="3"/>
      <c r="AD13" s="3"/>
      <c r="AG13" s="3"/>
      <c r="AH13" s="3"/>
      <c r="AI13" s="3"/>
      <c r="AJ13" s="3"/>
      <c r="AK13" s="3"/>
      <c r="AL13" s="157"/>
      <c r="AM13" s="157"/>
      <c r="AN13" s="157"/>
      <c r="AO13" s="157"/>
      <c r="AP13" s="157"/>
      <c r="AQ13" s="157"/>
      <c r="AR13" s="157"/>
      <c r="AS13" s="157"/>
      <c r="AT13" s="157"/>
      <c r="AU13" s="157"/>
      <c r="AV13" s="157"/>
      <c r="AW13" s="157"/>
      <c r="AX13" s="157"/>
      <c r="AY13" s="157"/>
      <c r="AZ13" s="157"/>
      <c r="BA13" s="157"/>
      <c r="BB13" s="157"/>
      <c r="BC13" s="157"/>
      <c r="BD13" s="157"/>
      <c r="BE13" s="157"/>
      <c r="BF13" s="157"/>
      <c r="BG13" s="157"/>
      <c r="BH13" s="157"/>
    </row>
    <row r="14" spans="1:60" ht="19.5" thickBot="1">
      <c r="A14" s="1">
        <f t="shared" si="5"/>
        <v>7</v>
      </c>
      <c r="B14" s="7" t="s">
        <v>26</v>
      </c>
      <c r="C14" s="10">
        <v>3</v>
      </c>
      <c r="D14" s="11">
        <v>16</v>
      </c>
      <c r="E14" s="36"/>
      <c r="F14" s="36"/>
      <c r="G14" s="37"/>
      <c r="H14" s="38"/>
      <c r="I14" s="68">
        <f t="shared" si="0"/>
        <v>3</v>
      </c>
      <c r="J14" s="66">
        <f t="shared" si="0"/>
        <v>16</v>
      </c>
      <c r="K14" s="62"/>
      <c r="L14" s="36"/>
      <c r="M14" s="36"/>
      <c r="N14" s="36"/>
      <c r="O14" s="36"/>
      <c r="P14" s="36"/>
      <c r="Q14" s="99"/>
      <c r="R14" s="108">
        <f t="shared" si="1"/>
        <v>0</v>
      </c>
      <c r="S14" s="106">
        <f t="shared" si="1"/>
        <v>0</v>
      </c>
      <c r="T14" s="62"/>
      <c r="U14" s="8">
        <f t="shared" si="2"/>
        <v>0</v>
      </c>
      <c r="V14" s="33">
        <f t="shared" si="3"/>
        <v>0</v>
      </c>
      <c r="W14" s="134">
        <f t="shared" si="4"/>
        <v>88</v>
      </c>
      <c r="X14" s="61"/>
      <c r="AL14" s="157"/>
      <c r="AM14" s="157"/>
      <c r="AN14" s="157"/>
      <c r="AO14" s="157"/>
      <c r="AP14" s="157"/>
      <c r="AQ14" s="157"/>
      <c r="AR14" s="157"/>
      <c r="AS14" s="157"/>
      <c r="AT14" s="157"/>
      <c r="AU14" s="157"/>
      <c r="AV14" s="157"/>
      <c r="AW14" s="157"/>
      <c r="AX14" s="157"/>
      <c r="AY14" s="157"/>
      <c r="AZ14" s="157"/>
      <c r="BA14" s="157"/>
      <c r="BB14" s="157"/>
      <c r="BC14" s="157"/>
      <c r="BD14" s="157"/>
      <c r="BE14" s="157"/>
      <c r="BF14" s="157"/>
      <c r="BG14" s="157"/>
      <c r="BH14" s="157"/>
    </row>
    <row r="15" spans="1:60" ht="19.5" thickBot="1">
      <c r="A15" s="1">
        <f t="shared" si="5"/>
        <v>8</v>
      </c>
      <c r="B15" s="15" t="s">
        <v>27</v>
      </c>
      <c r="C15" s="10">
        <v>4</v>
      </c>
      <c r="D15" s="11"/>
      <c r="E15" s="36"/>
      <c r="F15" s="36"/>
      <c r="G15" s="37"/>
      <c r="H15" s="38"/>
      <c r="I15" s="38">
        <f t="shared" si="0"/>
        <v>4</v>
      </c>
      <c r="J15" s="63">
        <f t="shared" si="0"/>
        <v>0</v>
      </c>
      <c r="K15" s="62"/>
      <c r="L15" s="36"/>
      <c r="M15" s="36"/>
      <c r="N15" s="36"/>
      <c r="O15" s="36"/>
      <c r="P15" s="36"/>
      <c r="Q15" s="99"/>
      <c r="R15" s="100">
        <f t="shared" si="1"/>
        <v>0</v>
      </c>
      <c r="S15" s="101">
        <f t="shared" si="1"/>
        <v>0</v>
      </c>
      <c r="T15" s="62"/>
      <c r="U15" s="8">
        <f t="shared" si="2"/>
        <v>0</v>
      </c>
      <c r="V15" s="135">
        <f t="shared" si="3"/>
        <v>0</v>
      </c>
      <c r="W15" s="134">
        <f t="shared" si="4"/>
        <v>96</v>
      </c>
      <c r="X15" s="61"/>
      <c r="AL15" s="157"/>
      <c r="AM15" s="157"/>
      <c r="AN15" s="157"/>
      <c r="AO15" s="157"/>
      <c r="AP15" s="157"/>
      <c r="AQ15" s="157"/>
      <c r="AR15" s="157"/>
      <c r="AS15" s="157"/>
      <c r="AT15" s="157"/>
      <c r="AU15" s="157"/>
      <c r="AV15" s="157"/>
      <c r="AW15" s="157"/>
      <c r="AX15" s="157"/>
      <c r="AY15" s="157"/>
      <c r="AZ15" s="157"/>
      <c r="BA15" s="157"/>
      <c r="BB15" s="157"/>
      <c r="BC15" s="157"/>
      <c r="BD15" s="157"/>
      <c r="BE15" s="157"/>
      <c r="BF15" s="157"/>
      <c r="BG15" s="157"/>
      <c r="BH15" s="157"/>
    </row>
    <row r="16" spans="1:60" ht="19.5" thickBot="1">
      <c r="A16" s="1">
        <f t="shared" si="5"/>
        <v>9</v>
      </c>
      <c r="B16" s="15" t="s">
        <v>28</v>
      </c>
      <c r="C16" s="10">
        <v>1</v>
      </c>
      <c r="D16" s="11"/>
      <c r="E16" s="36"/>
      <c r="F16" s="36"/>
      <c r="G16" s="37"/>
      <c r="H16" s="38"/>
      <c r="I16" s="38">
        <f t="shared" si="0"/>
        <v>1</v>
      </c>
      <c r="J16" s="63">
        <f t="shared" si="0"/>
        <v>0</v>
      </c>
      <c r="K16" s="62"/>
      <c r="L16" s="36"/>
      <c r="M16" s="36"/>
      <c r="N16" s="36"/>
      <c r="O16" s="36"/>
      <c r="P16" s="36"/>
      <c r="Q16" s="99"/>
      <c r="R16" s="100">
        <f t="shared" si="1"/>
        <v>0</v>
      </c>
      <c r="S16" s="101">
        <f t="shared" si="1"/>
        <v>0</v>
      </c>
      <c r="T16" s="62"/>
      <c r="U16" s="8">
        <f t="shared" si="2"/>
        <v>0</v>
      </c>
      <c r="V16" s="135">
        <f t="shared" si="3"/>
        <v>0</v>
      </c>
      <c r="W16" s="134">
        <f t="shared" si="4"/>
        <v>24</v>
      </c>
      <c r="X16" s="61"/>
      <c r="AL16" s="157"/>
      <c r="AM16" s="157"/>
      <c r="AN16" s="157"/>
      <c r="AO16" s="157"/>
      <c r="AP16" s="157"/>
      <c r="AQ16" s="157"/>
      <c r="AR16" s="157"/>
      <c r="AS16" s="157"/>
      <c r="AT16" s="157"/>
      <c r="AU16" s="157"/>
      <c r="AV16" s="157"/>
      <c r="AW16" s="157"/>
      <c r="AX16" s="157"/>
      <c r="AY16" s="157"/>
      <c r="AZ16" s="157"/>
      <c r="BA16" s="157"/>
      <c r="BB16" s="157"/>
      <c r="BC16" s="157"/>
      <c r="BD16" s="157"/>
      <c r="BE16" s="157"/>
      <c r="BF16" s="157"/>
      <c r="BG16" s="157"/>
      <c r="BH16" s="157"/>
    </row>
    <row r="17" spans="1:60" ht="19.5" thickBot="1">
      <c r="A17" s="1">
        <f t="shared" si="5"/>
        <v>10</v>
      </c>
      <c r="B17" s="15" t="s">
        <v>29</v>
      </c>
      <c r="C17" s="10"/>
      <c r="D17" s="11"/>
      <c r="E17" s="36"/>
      <c r="F17" s="36"/>
      <c r="G17" s="37"/>
      <c r="H17" s="38"/>
      <c r="I17" s="38">
        <f t="shared" si="0"/>
        <v>0</v>
      </c>
      <c r="J17" s="63">
        <f t="shared" si="0"/>
        <v>0</v>
      </c>
      <c r="K17" s="62"/>
      <c r="L17" s="36"/>
      <c r="M17" s="36"/>
      <c r="N17" s="36"/>
      <c r="O17" s="36"/>
      <c r="P17" s="36"/>
      <c r="Q17" s="99"/>
      <c r="R17" s="100">
        <f t="shared" si="1"/>
        <v>0</v>
      </c>
      <c r="S17" s="101">
        <f t="shared" si="1"/>
        <v>0</v>
      </c>
      <c r="T17" s="62"/>
      <c r="U17" s="8">
        <f t="shared" si="2"/>
        <v>0</v>
      </c>
      <c r="V17" s="135">
        <f t="shared" si="3"/>
        <v>0</v>
      </c>
      <c r="W17" s="134">
        <f t="shared" si="4"/>
        <v>0</v>
      </c>
      <c r="X17" s="61"/>
      <c r="AL17" s="157"/>
      <c r="AM17" s="157"/>
      <c r="AN17" s="157"/>
      <c r="AO17" s="157"/>
      <c r="AP17" s="157"/>
      <c r="AQ17" s="157"/>
      <c r="AR17" s="157"/>
      <c r="AS17" s="157"/>
      <c r="AT17" s="157"/>
      <c r="AU17" s="157"/>
      <c r="AV17" s="157"/>
      <c r="AW17" s="157"/>
      <c r="AX17" s="157"/>
      <c r="AY17" s="157"/>
      <c r="AZ17" s="157"/>
      <c r="BA17" s="157"/>
      <c r="BB17" s="157"/>
      <c r="BC17" s="157"/>
      <c r="BD17" s="157"/>
      <c r="BE17" s="157"/>
      <c r="BF17" s="157"/>
      <c r="BG17" s="157"/>
      <c r="BH17" s="157"/>
    </row>
    <row r="18" spans="1:60" ht="19.5" thickBot="1">
      <c r="A18" s="1">
        <f t="shared" si="5"/>
        <v>11</v>
      </c>
      <c r="B18" s="15" t="s">
        <v>30</v>
      </c>
      <c r="C18" s="10">
        <v>3</v>
      </c>
      <c r="D18" s="11"/>
      <c r="E18" s="36"/>
      <c r="F18" s="36"/>
      <c r="G18" s="37"/>
      <c r="H18" s="38"/>
      <c r="I18" s="38">
        <f t="shared" si="0"/>
        <v>3</v>
      </c>
      <c r="J18" s="63">
        <f t="shared" si="0"/>
        <v>0</v>
      </c>
      <c r="K18" s="62"/>
      <c r="L18" s="36"/>
      <c r="M18" s="36"/>
      <c r="N18" s="36"/>
      <c r="O18" s="36"/>
      <c r="P18" s="36"/>
      <c r="Q18" s="99"/>
      <c r="R18" s="100">
        <f t="shared" si="1"/>
        <v>0</v>
      </c>
      <c r="S18" s="101">
        <f t="shared" si="1"/>
        <v>0</v>
      </c>
      <c r="T18" s="62"/>
      <c r="U18" s="8">
        <f t="shared" si="2"/>
        <v>0</v>
      </c>
      <c r="V18" s="135">
        <f t="shared" si="3"/>
        <v>0</v>
      </c>
      <c r="W18" s="134">
        <f t="shared" si="4"/>
        <v>72</v>
      </c>
      <c r="X18" s="61"/>
      <c r="AL18" s="157"/>
      <c r="AM18" s="157"/>
      <c r="AN18" s="157"/>
      <c r="AO18" s="157"/>
      <c r="AP18" s="157"/>
      <c r="AQ18" s="157"/>
      <c r="AR18" s="157"/>
      <c r="AS18" s="157"/>
      <c r="AT18" s="157"/>
      <c r="AU18" s="157"/>
      <c r="AV18" s="157"/>
      <c r="AW18" s="157"/>
      <c r="AX18" s="157"/>
      <c r="AY18" s="157"/>
      <c r="AZ18" s="157"/>
      <c r="BA18" s="157"/>
      <c r="BB18" s="157"/>
      <c r="BC18" s="157"/>
      <c r="BD18" s="157"/>
      <c r="BE18" s="157"/>
      <c r="BF18" s="157"/>
      <c r="BG18" s="157"/>
      <c r="BH18" s="157"/>
    </row>
    <row r="19" spans="1:60" ht="18.75" hidden="1" customHeight="1">
      <c r="A19" s="1">
        <f t="shared" si="5"/>
        <v>12</v>
      </c>
      <c r="B19" s="15" t="s">
        <v>31</v>
      </c>
      <c r="C19" s="10"/>
      <c r="D19" s="11"/>
      <c r="E19" s="36"/>
      <c r="F19" s="36"/>
      <c r="G19" s="37"/>
      <c r="H19" s="38"/>
      <c r="I19" s="38">
        <f t="shared" si="0"/>
        <v>0</v>
      </c>
      <c r="J19" s="63">
        <f t="shared" si="0"/>
        <v>0</v>
      </c>
      <c r="K19" s="62"/>
      <c r="L19" s="36"/>
      <c r="M19" s="36"/>
      <c r="N19" s="36"/>
      <c r="O19" s="36"/>
      <c r="P19" s="36"/>
      <c r="Q19" s="99"/>
      <c r="R19" s="100">
        <f t="shared" si="1"/>
        <v>0</v>
      </c>
      <c r="S19" s="101">
        <f t="shared" si="1"/>
        <v>0</v>
      </c>
      <c r="T19" s="62"/>
      <c r="U19" s="8">
        <f t="shared" si="2"/>
        <v>0</v>
      </c>
      <c r="V19" s="135">
        <f t="shared" si="3"/>
        <v>0</v>
      </c>
      <c r="W19" s="134">
        <f t="shared" si="4"/>
        <v>0</v>
      </c>
      <c r="X19" s="61"/>
      <c r="AL19" s="157"/>
      <c r="AM19" s="157"/>
      <c r="AN19" s="157"/>
      <c r="AO19" s="157"/>
      <c r="AP19" s="157"/>
      <c r="AQ19" s="157"/>
      <c r="AR19" s="157"/>
      <c r="AS19" s="157"/>
      <c r="AT19" s="157"/>
      <c r="AU19" s="157"/>
      <c r="AV19" s="157"/>
      <c r="AW19" s="157"/>
      <c r="AX19" s="157"/>
      <c r="AY19" s="157"/>
      <c r="AZ19" s="157"/>
      <c r="BA19" s="157"/>
      <c r="BB19" s="157"/>
      <c r="BC19" s="157"/>
      <c r="BD19" s="157"/>
      <c r="BE19" s="157"/>
      <c r="BF19" s="157"/>
      <c r="BG19" s="157"/>
      <c r="BH19" s="157"/>
    </row>
    <row r="20" spans="1:60" ht="19.5" thickBot="1">
      <c r="A20" s="1">
        <f t="shared" si="5"/>
        <v>13</v>
      </c>
      <c r="B20" s="15" t="s">
        <v>32</v>
      </c>
      <c r="C20" s="10">
        <v>4</v>
      </c>
      <c r="D20" s="11">
        <v>20</v>
      </c>
      <c r="E20" s="36"/>
      <c r="F20" s="36"/>
      <c r="G20" s="37"/>
      <c r="H20" s="38"/>
      <c r="I20" s="38">
        <f t="shared" si="0"/>
        <v>4</v>
      </c>
      <c r="J20" s="63">
        <f t="shared" si="0"/>
        <v>20</v>
      </c>
      <c r="K20" s="62"/>
      <c r="L20" s="36"/>
      <c r="M20" s="36"/>
      <c r="N20" s="36"/>
      <c r="O20" s="36"/>
      <c r="P20" s="36"/>
      <c r="Q20" s="99"/>
      <c r="R20" s="100">
        <f t="shared" si="1"/>
        <v>0</v>
      </c>
      <c r="S20" s="101">
        <f t="shared" si="1"/>
        <v>0</v>
      </c>
      <c r="T20" s="62"/>
      <c r="U20" s="8">
        <f t="shared" si="2"/>
        <v>0</v>
      </c>
      <c r="V20" s="135">
        <f t="shared" si="3"/>
        <v>0</v>
      </c>
      <c r="W20" s="134">
        <f t="shared" si="4"/>
        <v>116</v>
      </c>
      <c r="X20" s="61"/>
      <c r="AL20" s="157"/>
      <c r="AM20" s="157"/>
      <c r="AN20" s="157"/>
      <c r="AO20" s="157"/>
      <c r="AP20" s="157"/>
      <c r="AQ20" s="157"/>
      <c r="AR20" s="157"/>
      <c r="AS20" s="157"/>
      <c r="AT20" s="157"/>
      <c r="AU20" s="157"/>
      <c r="AV20" s="157"/>
      <c r="AW20" s="157"/>
      <c r="AX20" s="157"/>
      <c r="AY20" s="157"/>
      <c r="AZ20" s="157"/>
      <c r="BA20" s="157"/>
      <c r="BB20" s="157"/>
      <c r="BC20" s="157"/>
      <c r="BD20" s="157"/>
      <c r="BE20" s="157"/>
      <c r="BF20" s="157"/>
      <c r="BG20" s="157"/>
      <c r="BH20" s="157"/>
    </row>
    <row r="21" spans="1:60" ht="19.5" thickBot="1">
      <c r="A21" s="1">
        <f t="shared" si="5"/>
        <v>14</v>
      </c>
      <c r="B21" s="15" t="s">
        <v>33</v>
      </c>
      <c r="C21" s="10">
        <v>7</v>
      </c>
      <c r="D21" s="11"/>
      <c r="E21" s="36"/>
      <c r="F21" s="36"/>
      <c r="G21" s="37"/>
      <c r="H21" s="38"/>
      <c r="I21" s="38">
        <f t="shared" si="0"/>
        <v>7</v>
      </c>
      <c r="J21" s="63">
        <f t="shared" si="0"/>
        <v>0</v>
      </c>
      <c r="K21" s="62"/>
      <c r="L21" s="36"/>
      <c r="M21" s="36"/>
      <c r="N21" s="36"/>
      <c r="O21" s="36"/>
      <c r="P21" s="36"/>
      <c r="Q21" s="99"/>
      <c r="R21" s="100">
        <f t="shared" si="1"/>
        <v>0</v>
      </c>
      <c r="S21" s="101">
        <f t="shared" si="1"/>
        <v>0</v>
      </c>
      <c r="T21" s="62"/>
      <c r="U21" s="8">
        <f t="shared" si="2"/>
        <v>0</v>
      </c>
      <c r="V21" s="135">
        <f t="shared" si="3"/>
        <v>0</v>
      </c>
      <c r="W21" s="134">
        <f t="shared" si="4"/>
        <v>168</v>
      </c>
      <c r="X21" s="61"/>
      <c r="AL21" s="157"/>
      <c r="AM21" s="157"/>
      <c r="AN21" s="157"/>
      <c r="AO21" s="157"/>
      <c r="AP21" s="157"/>
      <c r="AQ21" s="157"/>
      <c r="AR21" s="157"/>
      <c r="AS21" s="157"/>
      <c r="AT21" s="157"/>
      <c r="AU21" s="157"/>
      <c r="AV21" s="157"/>
      <c r="AW21" s="157"/>
      <c r="AX21" s="157"/>
      <c r="AY21" s="157"/>
      <c r="AZ21" s="157"/>
      <c r="BA21" s="157"/>
      <c r="BB21" s="157"/>
      <c r="BC21" s="157"/>
      <c r="BD21" s="157"/>
      <c r="BE21" s="157"/>
      <c r="BF21" s="157"/>
      <c r="BG21" s="157"/>
      <c r="BH21" s="157"/>
    </row>
    <row r="22" spans="1:60" ht="19.5" thickBot="1">
      <c r="A22" s="1">
        <f t="shared" si="5"/>
        <v>15</v>
      </c>
      <c r="B22" s="15" t="s">
        <v>34</v>
      </c>
      <c r="C22" s="10">
        <v>4</v>
      </c>
      <c r="D22" s="11"/>
      <c r="E22" s="36"/>
      <c r="F22" s="36"/>
      <c r="G22" s="37"/>
      <c r="H22" s="38"/>
      <c r="I22" s="38">
        <f t="shared" si="0"/>
        <v>4</v>
      </c>
      <c r="J22" s="63">
        <f t="shared" si="0"/>
        <v>0</v>
      </c>
      <c r="K22" s="62"/>
      <c r="L22" s="36"/>
      <c r="M22" s="36"/>
      <c r="N22" s="36"/>
      <c r="O22" s="36"/>
      <c r="P22" s="36"/>
      <c r="Q22" s="99"/>
      <c r="R22" s="100">
        <f t="shared" si="1"/>
        <v>0</v>
      </c>
      <c r="S22" s="101">
        <f t="shared" si="1"/>
        <v>0</v>
      </c>
      <c r="T22" s="62"/>
      <c r="U22" s="8">
        <f t="shared" si="2"/>
        <v>0</v>
      </c>
      <c r="V22" s="135">
        <f t="shared" si="3"/>
        <v>0</v>
      </c>
      <c r="W22" s="134">
        <f t="shared" si="4"/>
        <v>96</v>
      </c>
      <c r="X22" s="61"/>
      <c r="AL22" s="157"/>
      <c r="AM22" s="157"/>
      <c r="AN22" s="157"/>
      <c r="AO22" s="157"/>
      <c r="AP22" s="157"/>
      <c r="AQ22" s="157"/>
      <c r="AR22" s="157"/>
      <c r="AS22" s="157"/>
      <c r="AT22" s="157"/>
      <c r="AU22" s="157"/>
      <c r="AV22" s="157"/>
      <c r="AW22" s="157"/>
      <c r="AX22" s="157"/>
      <c r="AY22" s="157"/>
      <c r="AZ22" s="157"/>
      <c r="BA22" s="157"/>
      <c r="BB22" s="157"/>
      <c r="BC22" s="157"/>
      <c r="BD22" s="157"/>
      <c r="BE22" s="157"/>
      <c r="BF22" s="157"/>
      <c r="BG22" s="157"/>
      <c r="BH22" s="157"/>
    </row>
    <row r="23" spans="1:60" s="2" customFormat="1" ht="19.5" thickBot="1">
      <c r="A23" s="1">
        <f t="shared" si="5"/>
        <v>16</v>
      </c>
      <c r="B23" s="15" t="s">
        <v>35</v>
      </c>
      <c r="C23" s="10">
        <v>1</v>
      </c>
      <c r="D23" s="11">
        <v>20</v>
      </c>
      <c r="E23" s="36"/>
      <c r="F23" s="36"/>
      <c r="G23" s="37"/>
      <c r="H23" s="38"/>
      <c r="I23" s="38">
        <f t="shared" si="0"/>
        <v>1</v>
      </c>
      <c r="J23" s="63">
        <f t="shared" si="0"/>
        <v>20</v>
      </c>
      <c r="K23" s="69"/>
      <c r="L23" s="36"/>
      <c r="M23" s="36"/>
      <c r="N23" s="36"/>
      <c r="O23" s="36"/>
      <c r="P23" s="36"/>
      <c r="Q23" s="99"/>
      <c r="R23" s="100">
        <f t="shared" si="1"/>
        <v>0</v>
      </c>
      <c r="S23" s="101">
        <f t="shared" si="1"/>
        <v>0</v>
      </c>
      <c r="T23" s="69"/>
      <c r="U23" s="8">
        <f t="shared" si="2"/>
        <v>0</v>
      </c>
      <c r="V23" s="135">
        <f t="shared" si="3"/>
        <v>0</v>
      </c>
      <c r="W23" s="134">
        <f t="shared" si="4"/>
        <v>44</v>
      </c>
      <c r="X23" s="61"/>
      <c r="Y23" s="3"/>
      <c r="AD23" s="3"/>
      <c r="AG23" s="3"/>
      <c r="AH23" s="3"/>
      <c r="AI23" s="3"/>
      <c r="AJ23" s="3"/>
      <c r="AK23" s="3"/>
      <c r="AL23" s="157"/>
      <c r="AM23" s="157"/>
      <c r="AN23" s="157"/>
      <c r="AO23" s="157"/>
      <c r="AP23" s="157"/>
      <c r="AQ23" s="157"/>
      <c r="AR23" s="157"/>
      <c r="AS23" s="157"/>
      <c r="AT23" s="157"/>
      <c r="AU23" s="157"/>
      <c r="AV23" s="157"/>
      <c r="AW23" s="157"/>
      <c r="AX23" s="157"/>
      <c r="AY23" s="157"/>
      <c r="AZ23" s="157"/>
      <c r="BA23" s="157"/>
      <c r="BB23" s="157"/>
      <c r="BC23" s="157"/>
      <c r="BD23" s="157"/>
      <c r="BE23" s="157"/>
      <c r="BF23" s="157"/>
      <c r="BG23" s="157"/>
      <c r="BH23" s="157"/>
    </row>
    <row r="24" spans="1:60" s="2" customFormat="1" ht="19.5" thickBot="1">
      <c r="A24" s="1">
        <f t="shared" si="5"/>
        <v>17</v>
      </c>
      <c r="B24" s="15" t="s">
        <v>36</v>
      </c>
      <c r="C24" s="10">
        <v>37</v>
      </c>
      <c r="D24" s="11">
        <v>19</v>
      </c>
      <c r="E24" s="36"/>
      <c r="F24" s="36"/>
      <c r="G24" s="37"/>
      <c r="H24" s="38"/>
      <c r="I24" s="38">
        <f t="shared" si="0"/>
        <v>37</v>
      </c>
      <c r="J24" s="63">
        <f t="shared" si="0"/>
        <v>19</v>
      </c>
      <c r="K24" s="69"/>
      <c r="L24" s="36"/>
      <c r="M24" s="36"/>
      <c r="N24" s="36"/>
      <c r="O24" s="36"/>
      <c r="P24" s="36"/>
      <c r="Q24" s="99"/>
      <c r="R24" s="100">
        <f t="shared" si="1"/>
        <v>0</v>
      </c>
      <c r="S24" s="101">
        <f t="shared" si="1"/>
        <v>0</v>
      </c>
      <c r="T24" s="69"/>
      <c r="U24" s="8">
        <f t="shared" si="2"/>
        <v>0</v>
      </c>
      <c r="V24" s="135">
        <f t="shared" si="3"/>
        <v>0</v>
      </c>
      <c r="W24" s="134">
        <f t="shared" si="4"/>
        <v>907</v>
      </c>
      <c r="X24" s="61"/>
      <c r="Y24" s="3"/>
      <c r="AD24" s="3"/>
      <c r="AG24" s="3"/>
      <c r="AH24" s="3"/>
      <c r="AI24" s="3"/>
      <c r="AJ24" s="3"/>
      <c r="AK24" s="3"/>
      <c r="AL24" s="157"/>
      <c r="AM24" s="157"/>
      <c r="AN24" s="157"/>
      <c r="AO24" s="157"/>
      <c r="AP24" s="157"/>
      <c r="AQ24" s="157"/>
      <c r="AR24" s="157"/>
      <c r="AS24" s="157"/>
      <c r="AT24" s="157"/>
      <c r="AU24" s="157"/>
      <c r="AV24" s="157"/>
      <c r="AW24" s="157"/>
      <c r="AX24" s="157"/>
      <c r="AY24" s="157"/>
      <c r="AZ24" s="157"/>
      <c r="BA24" s="157"/>
      <c r="BB24" s="157"/>
      <c r="BC24" s="157"/>
      <c r="BD24" s="157"/>
      <c r="BE24" s="157"/>
      <c r="BF24" s="157"/>
      <c r="BG24" s="157"/>
      <c r="BH24" s="157"/>
    </row>
    <row r="25" spans="1:60" ht="19.5" thickBot="1">
      <c r="A25" s="1">
        <f t="shared" si="5"/>
        <v>18</v>
      </c>
      <c r="B25" s="15" t="s">
        <v>37</v>
      </c>
      <c r="C25" s="10">
        <v>10</v>
      </c>
      <c r="D25" s="11"/>
      <c r="E25" s="36"/>
      <c r="F25" s="36"/>
      <c r="G25" s="37"/>
      <c r="H25" s="38"/>
      <c r="I25" s="38">
        <f t="shared" si="0"/>
        <v>10</v>
      </c>
      <c r="J25" s="63">
        <f t="shared" si="0"/>
        <v>0</v>
      </c>
      <c r="K25" s="62"/>
      <c r="L25" s="36"/>
      <c r="M25" s="36"/>
      <c r="N25" s="36"/>
      <c r="O25" s="36"/>
      <c r="P25" s="36"/>
      <c r="Q25" s="99"/>
      <c r="R25" s="100">
        <f t="shared" si="1"/>
        <v>0</v>
      </c>
      <c r="S25" s="101">
        <f t="shared" si="1"/>
        <v>0</v>
      </c>
      <c r="T25" s="62"/>
      <c r="U25" s="8">
        <f t="shared" si="2"/>
        <v>0</v>
      </c>
      <c r="V25" s="135">
        <f t="shared" si="3"/>
        <v>0</v>
      </c>
      <c r="W25" s="134">
        <f t="shared" si="4"/>
        <v>240</v>
      </c>
      <c r="X25" s="61"/>
      <c r="AL25" s="157"/>
      <c r="AM25" s="157"/>
      <c r="AN25" s="157"/>
      <c r="AO25" s="157"/>
      <c r="AP25" s="157"/>
      <c r="AQ25" s="157"/>
      <c r="AR25" s="157"/>
      <c r="AS25" s="157"/>
      <c r="AT25" s="157"/>
      <c r="AU25" s="157"/>
      <c r="AV25" s="157"/>
      <c r="AW25" s="157"/>
      <c r="AX25" s="157"/>
      <c r="AY25" s="157"/>
      <c r="AZ25" s="157"/>
      <c r="BA25" s="157"/>
      <c r="BB25" s="157"/>
      <c r="BC25" s="157"/>
      <c r="BD25" s="157"/>
      <c r="BE25" s="157"/>
      <c r="BF25" s="157"/>
      <c r="BG25" s="157"/>
      <c r="BH25" s="157"/>
    </row>
    <row r="26" spans="1:60" ht="19.5" thickBot="1">
      <c r="A26" s="1">
        <f t="shared" si="5"/>
        <v>19</v>
      </c>
      <c r="B26" s="15" t="s">
        <v>38</v>
      </c>
      <c r="C26" s="10">
        <v>90</v>
      </c>
      <c r="D26" s="11">
        <v>1</v>
      </c>
      <c r="E26" s="36"/>
      <c r="F26" s="36"/>
      <c r="G26" s="37">
        <v>1</v>
      </c>
      <c r="H26" s="38"/>
      <c r="I26" s="38">
        <f t="shared" si="0"/>
        <v>89</v>
      </c>
      <c r="J26" s="63">
        <f t="shared" si="0"/>
        <v>1</v>
      </c>
      <c r="K26" s="62"/>
      <c r="L26" s="36"/>
      <c r="M26" s="36"/>
      <c r="N26" s="36"/>
      <c r="O26" s="36"/>
      <c r="P26" s="36">
        <v>1</v>
      </c>
      <c r="Q26" s="99"/>
      <c r="R26" s="100">
        <f t="shared" si="1"/>
        <v>1</v>
      </c>
      <c r="S26" s="101">
        <f t="shared" si="1"/>
        <v>0</v>
      </c>
      <c r="T26" s="62"/>
      <c r="U26" s="8">
        <f t="shared" si="2"/>
        <v>24</v>
      </c>
      <c r="V26" s="135">
        <f t="shared" si="3"/>
        <v>1</v>
      </c>
      <c r="W26" s="134">
        <f t="shared" si="4"/>
        <v>2137</v>
      </c>
      <c r="X26" s="61"/>
      <c r="BE26" s="158" t="e">
        <f>#REF!-BE25</f>
        <v>#REF!</v>
      </c>
    </row>
    <row r="27" spans="1:60" s="2" customFormat="1" ht="19.5" thickBot="1">
      <c r="A27" s="1">
        <f t="shared" si="5"/>
        <v>20</v>
      </c>
      <c r="B27" s="15" t="s">
        <v>39</v>
      </c>
      <c r="C27" s="10"/>
      <c r="D27" s="11"/>
      <c r="E27" s="36"/>
      <c r="F27" s="36"/>
      <c r="G27" s="37"/>
      <c r="H27" s="38"/>
      <c r="I27" s="38">
        <f t="shared" si="0"/>
        <v>0</v>
      </c>
      <c r="J27" s="63">
        <f t="shared" si="0"/>
        <v>0</v>
      </c>
      <c r="K27" s="69"/>
      <c r="L27" s="36"/>
      <c r="M27" s="36"/>
      <c r="N27" s="36"/>
      <c r="O27" s="36"/>
      <c r="P27" s="36"/>
      <c r="Q27" s="99"/>
      <c r="R27" s="100">
        <f t="shared" si="1"/>
        <v>0</v>
      </c>
      <c r="S27" s="101">
        <f t="shared" si="1"/>
        <v>0</v>
      </c>
      <c r="T27" s="69"/>
      <c r="U27" s="8">
        <f t="shared" si="2"/>
        <v>0</v>
      </c>
      <c r="V27" s="135">
        <f t="shared" si="3"/>
        <v>0</v>
      </c>
      <c r="W27" s="134">
        <f t="shared" si="4"/>
        <v>0</v>
      </c>
      <c r="X27" s="61"/>
      <c r="Y27" s="3"/>
      <c r="AD27" s="3"/>
      <c r="AG27" s="3"/>
      <c r="AH27" s="3"/>
      <c r="AI27" s="3"/>
      <c r="AJ27" s="3"/>
      <c r="AK27" s="3"/>
    </row>
    <row r="28" spans="1:60" s="2" customFormat="1" ht="19.5" thickBot="1">
      <c r="A28" s="1">
        <f t="shared" si="5"/>
        <v>21</v>
      </c>
      <c r="B28" s="15" t="s">
        <v>40</v>
      </c>
      <c r="C28" s="10">
        <v>2</v>
      </c>
      <c r="D28" s="11"/>
      <c r="E28" s="36"/>
      <c r="F28" s="36"/>
      <c r="G28" s="37"/>
      <c r="H28" s="38"/>
      <c r="I28" s="38">
        <f t="shared" si="0"/>
        <v>2</v>
      </c>
      <c r="J28" s="63">
        <f t="shared" si="0"/>
        <v>0</v>
      </c>
      <c r="K28" s="69"/>
      <c r="L28" s="36"/>
      <c r="M28" s="36"/>
      <c r="N28" s="36"/>
      <c r="O28" s="36"/>
      <c r="P28" s="36"/>
      <c r="Q28" s="99"/>
      <c r="R28" s="100">
        <f t="shared" si="1"/>
        <v>0</v>
      </c>
      <c r="S28" s="101">
        <f t="shared" si="1"/>
        <v>0</v>
      </c>
      <c r="T28" s="69"/>
      <c r="U28" s="8">
        <f t="shared" si="2"/>
        <v>0</v>
      </c>
      <c r="V28" s="135">
        <f t="shared" si="3"/>
        <v>0</v>
      </c>
      <c r="W28" s="134">
        <f t="shared" si="4"/>
        <v>48</v>
      </c>
      <c r="X28" s="61"/>
      <c r="Y28" s="3"/>
      <c r="AD28" s="3"/>
      <c r="AG28" s="3"/>
      <c r="AH28" s="3"/>
      <c r="AI28" s="3"/>
      <c r="AJ28" s="3"/>
      <c r="AK28" s="3"/>
    </row>
    <row r="29" spans="1:60" s="2" customFormat="1" ht="19.5" thickBot="1">
      <c r="A29" s="1">
        <f t="shared" si="5"/>
        <v>22</v>
      </c>
      <c r="B29" s="15" t="s">
        <v>41</v>
      </c>
      <c r="C29" s="10">
        <v>64</v>
      </c>
      <c r="D29" s="11"/>
      <c r="E29" s="36"/>
      <c r="F29" s="36"/>
      <c r="G29" s="37">
        <v>1</v>
      </c>
      <c r="H29" s="38"/>
      <c r="I29" s="38">
        <f t="shared" si="0"/>
        <v>63</v>
      </c>
      <c r="J29" s="63">
        <f t="shared" si="0"/>
        <v>0</v>
      </c>
      <c r="K29" s="69"/>
      <c r="L29" s="36">
        <v>1</v>
      </c>
      <c r="M29" s="36"/>
      <c r="N29" s="36"/>
      <c r="O29" s="36"/>
      <c r="P29" s="36"/>
      <c r="Q29" s="99"/>
      <c r="R29" s="100">
        <f t="shared" si="1"/>
        <v>1</v>
      </c>
      <c r="S29" s="101">
        <f t="shared" si="1"/>
        <v>0</v>
      </c>
      <c r="T29" s="69"/>
      <c r="U29" s="8">
        <f t="shared" si="2"/>
        <v>24</v>
      </c>
      <c r="V29" s="135">
        <f t="shared" si="3"/>
        <v>1</v>
      </c>
      <c r="W29" s="134">
        <f t="shared" si="4"/>
        <v>1512</v>
      </c>
      <c r="X29" s="61"/>
      <c r="Y29" s="3"/>
      <c r="AD29" s="3"/>
      <c r="AG29" s="3"/>
      <c r="AH29" s="3"/>
      <c r="AI29" s="3"/>
      <c r="AJ29" s="3"/>
      <c r="AK29" s="3"/>
    </row>
    <row r="30" spans="1:60" ht="19.5" thickBot="1">
      <c r="A30" s="1">
        <f t="shared" si="5"/>
        <v>23</v>
      </c>
      <c r="B30" s="15" t="s">
        <v>42</v>
      </c>
      <c r="C30" s="10">
        <v>64</v>
      </c>
      <c r="D30" s="11">
        <v>5</v>
      </c>
      <c r="E30" s="36"/>
      <c r="F30" s="36"/>
      <c r="G30" s="37">
        <v>1</v>
      </c>
      <c r="H30" s="38"/>
      <c r="I30" s="38">
        <f t="shared" si="0"/>
        <v>63</v>
      </c>
      <c r="J30" s="63">
        <f t="shared" si="0"/>
        <v>5</v>
      </c>
      <c r="K30" s="62"/>
      <c r="L30" s="36">
        <v>1</v>
      </c>
      <c r="M30" s="36"/>
      <c r="N30" s="36"/>
      <c r="O30" s="36"/>
      <c r="P30" s="36"/>
      <c r="Q30" s="99"/>
      <c r="R30" s="100">
        <f t="shared" si="1"/>
        <v>1</v>
      </c>
      <c r="S30" s="101">
        <f t="shared" si="1"/>
        <v>0</v>
      </c>
      <c r="T30" s="62"/>
      <c r="U30" s="8">
        <f t="shared" si="2"/>
        <v>24</v>
      </c>
      <c r="V30" s="135">
        <f t="shared" si="3"/>
        <v>1</v>
      </c>
      <c r="W30" s="134">
        <f t="shared" si="4"/>
        <v>1517</v>
      </c>
      <c r="X30" s="61"/>
    </row>
    <row r="31" spans="1:60" ht="19.5" thickBot="1">
      <c r="A31" s="1">
        <f t="shared" si="5"/>
        <v>24</v>
      </c>
      <c r="B31" s="15" t="s">
        <v>43</v>
      </c>
      <c r="C31" s="10">
        <v>1</v>
      </c>
      <c r="D31" s="11"/>
      <c r="E31" s="36"/>
      <c r="F31" s="36"/>
      <c r="G31" s="37">
        <v>1</v>
      </c>
      <c r="H31" s="38"/>
      <c r="I31" s="38">
        <f t="shared" si="0"/>
        <v>0</v>
      </c>
      <c r="J31" s="63">
        <f t="shared" si="0"/>
        <v>0</v>
      </c>
      <c r="K31" s="62"/>
      <c r="L31" s="36">
        <v>1</v>
      </c>
      <c r="M31" s="36"/>
      <c r="N31" s="36"/>
      <c r="O31" s="36"/>
      <c r="P31" s="36"/>
      <c r="Q31" s="99"/>
      <c r="R31" s="100">
        <f t="shared" si="1"/>
        <v>1</v>
      </c>
      <c r="S31" s="101">
        <f t="shared" si="1"/>
        <v>0</v>
      </c>
      <c r="T31" s="62"/>
      <c r="U31" s="8">
        <f t="shared" si="2"/>
        <v>24</v>
      </c>
      <c r="V31" s="135">
        <f t="shared" si="3"/>
        <v>1</v>
      </c>
      <c r="W31" s="134">
        <f t="shared" si="4"/>
        <v>0</v>
      </c>
      <c r="X31" s="61"/>
    </row>
    <row r="32" spans="1:60" ht="19.5" thickBot="1">
      <c r="A32" s="1">
        <f t="shared" si="5"/>
        <v>25</v>
      </c>
      <c r="B32" s="15" t="s">
        <v>44</v>
      </c>
      <c r="C32" s="10"/>
      <c r="D32" s="11"/>
      <c r="E32" s="36"/>
      <c r="F32" s="36"/>
      <c r="G32" s="37"/>
      <c r="H32" s="38"/>
      <c r="I32" s="38">
        <f t="shared" si="0"/>
        <v>0</v>
      </c>
      <c r="J32" s="63">
        <f t="shared" si="0"/>
        <v>0</v>
      </c>
      <c r="K32" s="62"/>
      <c r="L32" s="36"/>
      <c r="M32" s="36"/>
      <c r="N32" s="36"/>
      <c r="O32" s="36"/>
      <c r="P32" s="36"/>
      <c r="Q32" s="99"/>
      <c r="R32" s="100">
        <f t="shared" si="1"/>
        <v>0</v>
      </c>
      <c r="S32" s="101">
        <f t="shared" si="1"/>
        <v>0</v>
      </c>
      <c r="T32" s="62"/>
      <c r="U32" s="8">
        <f t="shared" si="2"/>
        <v>0</v>
      </c>
      <c r="V32" s="135">
        <f t="shared" si="3"/>
        <v>0</v>
      </c>
      <c r="W32" s="134">
        <f t="shared" si="4"/>
        <v>0</v>
      </c>
      <c r="X32" s="61"/>
    </row>
    <row r="33" spans="1:26" ht="19.5" thickBot="1">
      <c r="A33" s="1">
        <f t="shared" si="5"/>
        <v>26</v>
      </c>
      <c r="B33" s="15" t="s">
        <v>45</v>
      </c>
      <c r="C33" s="10">
        <v>2</v>
      </c>
      <c r="D33" s="11"/>
      <c r="E33" s="36"/>
      <c r="F33" s="36"/>
      <c r="G33" s="37"/>
      <c r="H33" s="38"/>
      <c r="I33" s="38">
        <f t="shared" si="0"/>
        <v>2</v>
      </c>
      <c r="J33" s="63">
        <f t="shared" si="0"/>
        <v>0</v>
      </c>
      <c r="K33" s="62"/>
      <c r="L33" s="36"/>
      <c r="M33" s="36"/>
      <c r="N33" s="36"/>
      <c r="O33" s="36"/>
      <c r="P33" s="36"/>
      <c r="Q33" s="99"/>
      <c r="R33" s="100">
        <f t="shared" si="1"/>
        <v>0</v>
      </c>
      <c r="S33" s="101">
        <f t="shared" si="1"/>
        <v>0</v>
      </c>
      <c r="T33" s="62"/>
      <c r="U33" s="8">
        <f t="shared" si="2"/>
        <v>0</v>
      </c>
      <c r="V33" s="135">
        <f t="shared" si="3"/>
        <v>0</v>
      </c>
      <c r="W33" s="134">
        <f t="shared" si="4"/>
        <v>48</v>
      </c>
      <c r="X33" s="61"/>
    </row>
    <row r="34" spans="1:26" ht="19.5" thickBot="1">
      <c r="A34" s="1">
        <f t="shared" si="5"/>
        <v>27</v>
      </c>
      <c r="B34" s="15" t="s">
        <v>46</v>
      </c>
      <c r="C34" s="10">
        <v>3</v>
      </c>
      <c r="D34" s="11"/>
      <c r="E34" s="36"/>
      <c r="F34" s="36"/>
      <c r="G34" s="37"/>
      <c r="H34" s="38"/>
      <c r="I34" s="38">
        <f t="shared" si="0"/>
        <v>3</v>
      </c>
      <c r="J34" s="63">
        <f t="shared" si="0"/>
        <v>0</v>
      </c>
      <c r="K34" s="62"/>
      <c r="L34" s="36"/>
      <c r="M34" s="36"/>
      <c r="N34" s="36"/>
      <c r="O34" s="36"/>
      <c r="P34" s="36"/>
      <c r="Q34" s="99"/>
      <c r="R34" s="100">
        <f t="shared" si="1"/>
        <v>0</v>
      </c>
      <c r="S34" s="101">
        <f t="shared" si="1"/>
        <v>0</v>
      </c>
      <c r="T34" s="62"/>
      <c r="U34" s="8">
        <f t="shared" si="2"/>
        <v>0</v>
      </c>
      <c r="V34" s="135">
        <f t="shared" si="3"/>
        <v>0</v>
      </c>
      <c r="W34" s="134">
        <f t="shared" si="4"/>
        <v>72</v>
      </c>
      <c r="X34" s="61"/>
    </row>
    <row r="35" spans="1:26" ht="19.5" thickBot="1">
      <c r="A35" s="1">
        <f t="shared" si="5"/>
        <v>28</v>
      </c>
      <c r="B35" s="15" t="s">
        <v>47</v>
      </c>
      <c r="C35" s="10">
        <v>107</v>
      </c>
      <c r="D35" s="11">
        <v>14</v>
      </c>
      <c r="E35" s="36"/>
      <c r="F35" s="36"/>
      <c r="G35" s="37">
        <v>2</v>
      </c>
      <c r="H35" s="38"/>
      <c r="I35" s="38">
        <f t="shared" si="0"/>
        <v>105</v>
      </c>
      <c r="J35" s="63">
        <f t="shared" si="0"/>
        <v>14</v>
      </c>
      <c r="K35" s="62"/>
      <c r="L35" s="36"/>
      <c r="M35" s="36"/>
      <c r="N35" s="36"/>
      <c r="O35" s="36"/>
      <c r="P35" s="36">
        <v>2</v>
      </c>
      <c r="Q35" s="99"/>
      <c r="R35" s="100">
        <f t="shared" si="1"/>
        <v>2</v>
      </c>
      <c r="S35" s="101">
        <f t="shared" si="1"/>
        <v>0</v>
      </c>
      <c r="T35" s="62"/>
      <c r="U35" s="8">
        <f t="shared" si="2"/>
        <v>48</v>
      </c>
      <c r="V35" s="135">
        <f t="shared" si="3"/>
        <v>2</v>
      </c>
      <c r="W35" s="134">
        <f t="shared" si="4"/>
        <v>2534</v>
      </c>
      <c r="X35" s="61"/>
    </row>
    <row r="36" spans="1:26" ht="18.75" hidden="1" customHeight="1">
      <c r="A36" s="1">
        <f t="shared" si="5"/>
        <v>29</v>
      </c>
      <c r="B36" s="15" t="s">
        <v>48</v>
      </c>
      <c r="C36" s="10"/>
      <c r="D36" s="11"/>
      <c r="E36" s="36"/>
      <c r="F36" s="36"/>
      <c r="G36" s="37"/>
      <c r="H36" s="38"/>
      <c r="I36" s="38">
        <f t="shared" si="0"/>
        <v>0</v>
      </c>
      <c r="J36" s="63">
        <f t="shared" si="0"/>
        <v>0</v>
      </c>
      <c r="K36" s="62"/>
      <c r="L36" s="36"/>
      <c r="M36" s="36"/>
      <c r="N36" s="36"/>
      <c r="O36" s="36"/>
      <c r="P36" s="36"/>
      <c r="Q36" s="99"/>
      <c r="R36" s="100">
        <f t="shared" si="1"/>
        <v>0</v>
      </c>
      <c r="S36" s="101">
        <f t="shared" si="1"/>
        <v>0</v>
      </c>
      <c r="T36" s="62"/>
      <c r="U36" s="8">
        <f t="shared" si="2"/>
        <v>0</v>
      </c>
      <c r="V36" s="135">
        <f t="shared" si="3"/>
        <v>0</v>
      </c>
      <c r="W36" s="134">
        <f t="shared" si="4"/>
        <v>0</v>
      </c>
      <c r="X36" s="61"/>
    </row>
    <row r="37" spans="1:26" ht="18.75" customHeight="1" thickBot="1">
      <c r="A37" s="1">
        <f t="shared" si="5"/>
        <v>30</v>
      </c>
      <c r="B37" s="15" t="s">
        <v>49</v>
      </c>
      <c r="C37" s="10">
        <v>1</v>
      </c>
      <c r="D37" s="11"/>
      <c r="E37" s="36"/>
      <c r="F37" s="36"/>
      <c r="G37" s="37"/>
      <c r="H37" s="38"/>
      <c r="I37" s="38">
        <f t="shared" si="0"/>
        <v>1</v>
      </c>
      <c r="J37" s="63">
        <f t="shared" si="0"/>
        <v>0</v>
      </c>
      <c r="K37" s="62"/>
      <c r="L37" s="36"/>
      <c r="M37" s="36"/>
      <c r="N37" s="36"/>
      <c r="O37" s="36"/>
      <c r="P37" s="36"/>
      <c r="Q37" s="99"/>
      <c r="R37" s="100">
        <f t="shared" si="1"/>
        <v>0</v>
      </c>
      <c r="S37" s="101">
        <f t="shared" si="1"/>
        <v>0</v>
      </c>
      <c r="T37" s="62"/>
      <c r="U37" s="8">
        <f t="shared" si="2"/>
        <v>0</v>
      </c>
      <c r="V37" s="135">
        <f t="shared" si="3"/>
        <v>0</v>
      </c>
      <c r="W37" s="134">
        <f t="shared" si="4"/>
        <v>24</v>
      </c>
      <c r="X37" s="61"/>
    </row>
    <row r="38" spans="1:26" ht="19.5" thickBot="1">
      <c r="A38" s="1">
        <f t="shared" si="5"/>
        <v>31</v>
      </c>
      <c r="B38" s="16" t="s">
        <v>50</v>
      </c>
      <c r="C38" s="13">
        <v>4369</v>
      </c>
      <c r="D38" s="14">
        <v>2</v>
      </c>
      <c r="E38" s="39"/>
      <c r="F38" s="39"/>
      <c r="G38" s="40">
        <v>65</v>
      </c>
      <c r="H38" s="41"/>
      <c r="I38" s="53">
        <f t="shared" si="0"/>
        <v>4304</v>
      </c>
      <c r="J38" s="70">
        <f t="shared" si="0"/>
        <v>2</v>
      </c>
      <c r="K38" s="65"/>
      <c r="L38" s="51">
        <v>15</v>
      </c>
      <c r="M38" s="51"/>
      <c r="N38" s="51">
        <v>24</v>
      </c>
      <c r="O38" s="51"/>
      <c r="P38" s="51">
        <v>26</v>
      </c>
      <c r="Q38" s="102"/>
      <c r="R38" s="107">
        <f t="shared" si="1"/>
        <v>65</v>
      </c>
      <c r="S38" s="104">
        <f t="shared" si="1"/>
        <v>0</v>
      </c>
      <c r="T38" s="65"/>
      <c r="U38" s="136">
        <f>L38*6+N38*6+P38*6</f>
        <v>390</v>
      </c>
      <c r="V38" s="141">
        <f>U38/6</f>
        <v>65</v>
      </c>
      <c r="W38" s="138">
        <f>I38*6+J38</f>
        <v>25826</v>
      </c>
      <c r="X38" s="139"/>
    </row>
    <row r="39" spans="1:26" ht="19.5" thickBot="1">
      <c r="A39" s="1">
        <f t="shared" si="5"/>
        <v>32</v>
      </c>
      <c r="B39" s="7" t="s">
        <v>51</v>
      </c>
      <c r="C39" s="10"/>
      <c r="D39" s="11"/>
      <c r="E39" s="36"/>
      <c r="F39" s="36"/>
      <c r="G39" s="37"/>
      <c r="H39" s="38"/>
      <c r="I39" s="37">
        <f t="shared" si="0"/>
        <v>0</v>
      </c>
      <c r="J39" s="63">
        <f t="shared" si="0"/>
        <v>0</v>
      </c>
      <c r="K39" s="62"/>
      <c r="L39" s="36"/>
      <c r="M39" s="36"/>
      <c r="N39" s="36"/>
      <c r="O39" s="36"/>
      <c r="P39" s="36"/>
      <c r="Q39" s="99"/>
      <c r="R39" s="108">
        <f t="shared" si="1"/>
        <v>0</v>
      </c>
      <c r="S39" s="106">
        <f t="shared" si="1"/>
        <v>0</v>
      </c>
      <c r="T39" s="62"/>
      <c r="U39" s="8">
        <f t="shared" ref="U39:U41" si="6">L39*24+N39*24+P39*24</f>
        <v>0</v>
      </c>
      <c r="V39" s="33">
        <f t="shared" ref="V39:V41" si="7">U39/24</f>
        <v>0</v>
      </c>
      <c r="W39" s="134">
        <f t="shared" ref="W39:W41" si="8">I39*24+J39</f>
        <v>0</v>
      </c>
      <c r="X39" s="61"/>
    </row>
    <row r="40" spans="1:26" ht="19.5" thickBot="1">
      <c r="A40" s="1">
        <f t="shared" si="5"/>
        <v>33</v>
      </c>
      <c r="B40" s="17" t="s">
        <v>52</v>
      </c>
      <c r="C40" s="18">
        <v>2</v>
      </c>
      <c r="D40" s="19"/>
      <c r="E40" s="42"/>
      <c r="F40" s="42"/>
      <c r="G40" s="43">
        <v>1</v>
      </c>
      <c r="H40" s="44"/>
      <c r="I40" s="38">
        <f t="shared" si="0"/>
        <v>1</v>
      </c>
      <c r="J40" s="63">
        <f t="shared" si="0"/>
        <v>0</v>
      </c>
      <c r="K40" s="62"/>
      <c r="L40" s="36"/>
      <c r="M40" s="36"/>
      <c r="N40" s="36">
        <v>1</v>
      </c>
      <c r="O40" s="36"/>
      <c r="P40" s="36"/>
      <c r="Q40" s="99"/>
      <c r="R40" s="100">
        <f t="shared" si="1"/>
        <v>1</v>
      </c>
      <c r="S40" s="101">
        <f t="shared" si="1"/>
        <v>0</v>
      </c>
      <c r="T40" s="62"/>
      <c r="U40" s="142">
        <f t="shared" si="6"/>
        <v>24</v>
      </c>
      <c r="V40" s="135">
        <f t="shared" si="7"/>
        <v>1</v>
      </c>
      <c r="W40" s="143">
        <f t="shared" si="8"/>
        <v>24</v>
      </c>
      <c r="X40" s="144"/>
    </row>
    <row r="41" spans="1:26" ht="19.5" thickBot="1">
      <c r="A41" s="1">
        <f t="shared" si="5"/>
        <v>34</v>
      </c>
      <c r="B41" s="20" t="s">
        <v>53</v>
      </c>
      <c r="C41" s="21">
        <v>102</v>
      </c>
      <c r="D41" s="22">
        <v>8</v>
      </c>
      <c r="E41" s="45"/>
      <c r="F41" s="45"/>
      <c r="G41" s="46">
        <v>70</v>
      </c>
      <c r="H41" s="47"/>
      <c r="I41" s="71">
        <f t="shared" si="0"/>
        <v>32</v>
      </c>
      <c r="J41" s="72">
        <f t="shared" si="0"/>
        <v>8</v>
      </c>
      <c r="K41" s="73"/>
      <c r="L41" s="74">
        <v>68</v>
      </c>
      <c r="M41" s="74"/>
      <c r="N41" s="74">
        <v>1</v>
      </c>
      <c r="O41" s="74"/>
      <c r="P41" s="74">
        <v>1</v>
      </c>
      <c r="Q41" s="109"/>
      <c r="R41" s="110">
        <f t="shared" si="1"/>
        <v>70</v>
      </c>
      <c r="S41" s="111">
        <f t="shared" si="1"/>
        <v>0</v>
      </c>
      <c r="T41" s="73"/>
      <c r="U41" s="145">
        <f t="shared" si="6"/>
        <v>1680</v>
      </c>
      <c r="V41" s="146">
        <f t="shared" si="7"/>
        <v>70</v>
      </c>
      <c r="W41" s="146">
        <f t="shared" si="8"/>
        <v>776</v>
      </c>
      <c r="X41" s="147"/>
    </row>
    <row r="42" spans="1:26" ht="19.5" thickBot="1">
      <c r="A42" s="1">
        <f t="shared" si="5"/>
        <v>35</v>
      </c>
      <c r="B42" s="23" t="s">
        <v>54</v>
      </c>
      <c r="C42" s="24">
        <v>311</v>
      </c>
      <c r="D42" s="25"/>
      <c r="E42" s="48"/>
      <c r="F42" s="48"/>
      <c r="G42" s="49">
        <v>11</v>
      </c>
      <c r="H42" s="50"/>
      <c r="I42" s="49">
        <f t="shared" si="0"/>
        <v>300</v>
      </c>
      <c r="J42" s="75">
        <f t="shared" si="0"/>
        <v>0</v>
      </c>
      <c r="K42" s="76"/>
      <c r="L42" s="48">
        <v>5</v>
      </c>
      <c r="M42" s="48"/>
      <c r="N42" s="48"/>
      <c r="O42" s="48"/>
      <c r="P42" s="48">
        <v>6</v>
      </c>
      <c r="Q42" s="112"/>
      <c r="R42" s="113">
        <f t="shared" si="1"/>
        <v>11</v>
      </c>
      <c r="S42" s="114">
        <f t="shared" si="1"/>
        <v>0</v>
      </c>
      <c r="T42" s="76"/>
      <c r="U42" s="148">
        <f>L42*12+N42*12+P42*12</f>
        <v>132</v>
      </c>
      <c r="V42" s="149">
        <f>U42/12</f>
        <v>11</v>
      </c>
      <c r="W42" s="150">
        <f>I42*12+J42</f>
        <v>3600</v>
      </c>
      <c r="X42" s="151"/>
    </row>
    <row r="43" spans="1:26" ht="18.75" hidden="1" customHeight="1">
      <c r="A43" s="1">
        <f t="shared" si="5"/>
        <v>36</v>
      </c>
      <c r="B43" s="7" t="s">
        <v>55</v>
      </c>
      <c r="C43" s="10"/>
      <c r="D43" s="11"/>
      <c r="E43" s="36"/>
      <c r="F43" s="36"/>
      <c r="G43" s="37"/>
      <c r="H43" s="38"/>
      <c r="I43" s="38">
        <f t="shared" si="0"/>
        <v>0</v>
      </c>
      <c r="J43" s="64">
        <f t="shared" si="0"/>
        <v>0</v>
      </c>
      <c r="K43" s="62"/>
      <c r="L43" s="36"/>
      <c r="M43" s="36"/>
      <c r="N43" s="36"/>
      <c r="O43" s="36"/>
      <c r="P43" s="36"/>
      <c r="Q43" s="99"/>
      <c r="R43" s="115">
        <f t="shared" si="1"/>
        <v>0</v>
      </c>
      <c r="S43" s="116">
        <f t="shared" si="1"/>
        <v>0</v>
      </c>
      <c r="T43" s="62"/>
      <c r="U43" s="8"/>
      <c r="V43" s="33"/>
      <c r="W43" s="134"/>
      <c r="X43" s="61"/>
    </row>
    <row r="44" spans="1:26" ht="19.5" thickBot="1">
      <c r="A44" s="1">
        <f t="shared" si="5"/>
        <v>37</v>
      </c>
      <c r="B44" s="12" t="s">
        <v>56</v>
      </c>
      <c r="C44" s="13">
        <v>29809</v>
      </c>
      <c r="D44" s="14"/>
      <c r="E44" s="39">
        <v>1836</v>
      </c>
      <c r="F44" s="39"/>
      <c r="G44" s="40">
        <v>880</v>
      </c>
      <c r="H44" s="41"/>
      <c r="I44" s="38">
        <f>C44+E44-G44</f>
        <v>30765</v>
      </c>
      <c r="J44" s="77">
        <f t="shared" ref="J44:J59" si="9">D44-H44</f>
        <v>0</v>
      </c>
      <c r="K44" s="65"/>
      <c r="L44" s="51">
        <v>291</v>
      </c>
      <c r="M44" s="51"/>
      <c r="N44" s="51">
        <v>325</v>
      </c>
      <c r="O44" s="51"/>
      <c r="P44" s="51">
        <v>264</v>
      </c>
      <c r="Q44" s="102"/>
      <c r="R44" s="117">
        <f t="shared" si="1"/>
        <v>880</v>
      </c>
      <c r="S44" s="118">
        <f t="shared" si="1"/>
        <v>0</v>
      </c>
      <c r="T44" s="65"/>
      <c r="U44" s="136">
        <f>L44*6+N44*6+P44*6</f>
        <v>5280</v>
      </c>
      <c r="V44" s="135">
        <f>U44/6</f>
        <v>880</v>
      </c>
      <c r="W44" s="138">
        <f>I44*6+J44</f>
        <v>184590</v>
      </c>
      <c r="X44" s="139"/>
      <c r="Z44" s="155"/>
    </row>
    <row r="45" spans="1:26" ht="18.75" hidden="1" customHeight="1">
      <c r="A45" s="1">
        <f t="shared" si="5"/>
        <v>38</v>
      </c>
      <c r="B45" s="7" t="s">
        <v>57</v>
      </c>
      <c r="C45" s="10"/>
      <c r="D45" s="11"/>
      <c r="E45" s="36"/>
      <c r="F45" s="36"/>
      <c r="G45" s="37"/>
      <c r="H45" s="38"/>
      <c r="I45" s="44">
        <f t="shared" ref="I45:I59" si="10">C45-G45</f>
        <v>0</v>
      </c>
      <c r="J45" s="63">
        <f t="shared" si="9"/>
        <v>0</v>
      </c>
      <c r="K45" s="62"/>
      <c r="L45" s="36"/>
      <c r="M45" s="36"/>
      <c r="N45" s="36"/>
      <c r="O45" s="36"/>
      <c r="P45" s="36"/>
      <c r="Q45" s="99"/>
      <c r="R45" s="108">
        <f t="shared" si="1"/>
        <v>0</v>
      </c>
      <c r="S45" s="116">
        <f t="shared" si="1"/>
        <v>0</v>
      </c>
      <c r="T45" s="62"/>
      <c r="U45" s="8"/>
      <c r="V45" s="137"/>
      <c r="W45" s="134"/>
      <c r="X45" s="61"/>
    </row>
    <row r="46" spans="1:26" ht="19.5" thickBot="1">
      <c r="A46" s="1">
        <f t="shared" si="5"/>
        <v>39</v>
      </c>
      <c r="B46" s="15" t="s">
        <v>58</v>
      </c>
      <c r="C46" s="10">
        <v>7</v>
      </c>
      <c r="D46" s="11"/>
      <c r="E46" s="36"/>
      <c r="F46" s="36"/>
      <c r="G46" s="37"/>
      <c r="H46" s="38"/>
      <c r="I46" s="68">
        <f t="shared" si="10"/>
        <v>7</v>
      </c>
      <c r="J46" s="63">
        <f t="shared" si="9"/>
        <v>0</v>
      </c>
      <c r="K46" s="62"/>
      <c r="L46" s="36"/>
      <c r="M46" s="36"/>
      <c r="N46" s="36"/>
      <c r="O46" s="36"/>
      <c r="P46" s="36"/>
      <c r="Q46" s="99"/>
      <c r="R46" s="100">
        <f t="shared" si="1"/>
        <v>0</v>
      </c>
      <c r="S46" s="119">
        <f t="shared" si="1"/>
        <v>0</v>
      </c>
      <c r="T46" s="62"/>
      <c r="U46" s="8">
        <f t="shared" ref="U46:U51" si="11">L46*24+N46*24+P46*24</f>
        <v>0</v>
      </c>
      <c r="V46" s="140">
        <f t="shared" ref="V46:V51" si="12">U46/24</f>
        <v>0</v>
      </c>
      <c r="W46" s="134">
        <f t="shared" ref="W46:W51" si="13">I46*24+J46</f>
        <v>168</v>
      </c>
      <c r="X46" s="61"/>
    </row>
    <row r="47" spans="1:26" ht="19.5" thickBot="1">
      <c r="A47" s="1">
        <f t="shared" si="5"/>
        <v>40</v>
      </c>
      <c r="B47" s="15" t="s">
        <v>59</v>
      </c>
      <c r="C47" s="10">
        <v>1</v>
      </c>
      <c r="D47" s="11"/>
      <c r="E47" s="36"/>
      <c r="F47" s="36"/>
      <c r="G47" s="37"/>
      <c r="H47" s="38"/>
      <c r="I47" s="38">
        <f t="shared" si="10"/>
        <v>1</v>
      </c>
      <c r="J47" s="63">
        <f t="shared" si="9"/>
        <v>0</v>
      </c>
      <c r="K47" s="62"/>
      <c r="L47" s="36"/>
      <c r="M47" s="36"/>
      <c r="N47" s="36"/>
      <c r="O47" s="36"/>
      <c r="P47" s="36"/>
      <c r="Q47" s="99"/>
      <c r="R47" s="100">
        <f t="shared" si="1"/>
        <v>0</v>
      </c>
      <c r="S47" s="101">
        <f t="shared" si="1"/>
        <v>0</v>
      </c>
      <c r="T47" s="62"/>
      <c r="U47" s="8">
        <f t="shared" si="11"/>
        <v>0</v>
      </c>
      <c r="V47" s="135">
        <f t="shared" si="12"/>
        <v>0</v>
      </c>
      <c r="W47" s="134">
        <f t="shared" si="13"/>
        <v>24</v>
      </c>
      <c r="X47" s="61"/>
    </row>
    <row r="48" spans="1:26" ht="19.5" thickBot="1">
      <c r="A48" s="1">
        <f t="shared" si="5"/>
        <v>41</v>
      </c>
      <c r="B48" s="12" t="s">
        <v>48</v>
      </c>
      <c r="C48" s="26">
        <v>2820</v>
      </c>
      <c r="D48" s="27">
        <v>1</v>
      </c>
      <c r="E48" s="51"/>
      <c r="F48" s="51"/>
      <c r="G48" s="52"/>
      <c r="H48" s="53"/>
      <c r="I48" s="53">
        <f t="shared" si="10"/>
        <v>2820</v>
      </c>
      <c r="J48" s="70">
        <f t="shared" si="9"/>
        <v>1</v>
      </c>
      <c r="K48" s="65"/>
      <c r="L48" s="51"/>
      <c r="M48" s="51"/>
      <c r="N48" s="51"/>
      <c r="O48" s="51"/>
      <c r="P48" s="51"/>
      <c r="Q48" s="102"/>
      <c r="R48" s="107">
        <f t="shared" si="1"/>
        <v>0</v>
      </c>
      <c r="S48" s="120">
        <f t="shared" si="1"/>
        <v>0</v>
      </c>
      <c r="T48" s="65"/>
      <c r="U48" s="136">
        <f>L48*6+N48*6+P48*6</f>
        <v>0</v>
      </c>
      <c r="V48" s="141">
        <f>U48/6</f>
        <v>0</v>
      </c>
      <c r="W48" s="138">
        <f>I48*6+J48</f>
        <v>16921</v>
      </c>
      <c r="X48" s="139"/>
    </row>
    <row r="49" spans="1:24" ht="19.5" thickBot="1">
      <c r="A49" s="1">
        <f t="shared" si="5"/>
        <v>42</v>
      </c>
      <c r="B49" s="7" t="s">
        <v>60</v>
      </c>
      <c r="C49" s="10">
        <v>1</v>
      </c>
      <c r="D49" s="11"/>
      <c r="E49" s="36"/>
      <c r="F49" s="36"/>
      <c r="G49" s="37"/>
      <c r="H49" s="38"/>
      <c r="I49" s="38">
        <f t="shared" si="10"/>
        <v>1</v>
      </c>
      <c r="J49" s="63">
        <f t="shared" si="9"/>
        <v>0</v>
      </c>
      <c r="K49" s="62"/>
      <c r="L49" s="36"/>
      <c r="M49" s="36"/>
      <c r="N49" s="36"/>
      <c r="O49" s="36"/>
      <c r="P49" s="36"/>
      <c r="Q49" s="99"/>
      <c r="R49" s="108">
        <f t="shared" si="1"/>
        <v>0</v>
      </c>
      <c r="S49" s="106">
        <f t="shared" si="1"/>
        <v>0</v>
      </c>
      <c r="T49" s="62"/>
      <c r="U49" s="8">
        <f t="shared" si="11"/>
        <v>0</v>
      </c>
      <c r="V49" s="33">
        <f t="shared" si="12"/>
        <v>0</v>
      </c>
      <c r="W49" s="134">
        <f t="shared" si="13"/>
        <v>24</v>
      </c>
      <c r="X49" s="61"/>
    </row>
    <row r="50" spans="1:24" ht="19.5" thickBot="1">
      <c r="A50" s="1">
        <f t="shared" si="5"/>
        <v>43</v>
      </c>
      <c r="B50" s="15" t="s">
        <v>61</v>
      </c>
      <c r="C50" s="10">
        <v>2</v>
      </c>
      <c r="D50" s="11"/>
      <c r="E50" s="36"/>
      <c r="F50" s="36"/>
      <c r="G50" s="37"/>
      <c r="H50" s="38"/>
      <c r="I50" s="38">
        <f t="shared" si="10"/>
        <v>2</v>
      </c>
      <c r="J50" s="63">
        <f t="shared" si="9"/>
        <v>0</v>
      </c>
      <c r="K50" s="62"/>
      <c r="L50" s="36"/>
      <c r="M50" s="36"/>
      <c r="N50" s="36"/>
      <c r="O50" s="36"/>
      <c r="P50" s="36"/>
      <c r="Q50" s="99"/>
      <c r="R50" s="100">
        <f t="shared" si="1"/>
        <v>0</v>
      </c>
      <c r="S50" s="101">
        <f t="shared" si="1"/>
        <v>0</v>
      </c>
      <c r="T50" s="62"/>
      <c r="U50" s="8">
        <f t="shared" si="11"/>
        <v>0</v>
      </c>
      <c r="V50" s="135">
        <f t="shared" si="12"/>
        <v>0</v>
      </c>
      <c r="W50" s="134">
        <f t="shared" si="13"/>
        <v>48</v>
      </c>
      <c r="X50" s="61"/>
    </row>
    <row r="51" spans="1:24" ht="19.5" thickBot="1">
      <c r="A51" s="1">
        <f t="shared" si="5"/>
        <v>44</v>
      </c>
      <c r="B51" s="15" t="s">
        <v>62</v>
      </c>
      <c r="C51" s="10"/>
      <c r="D51" s="11"/>
      <c r="E51" s="36"/>
      <c r="F51" s="36"/>
      <c r="G51" s="37"/>
      <c r="H51" s="38"/>
      <c r="I51" s="38">
        <f t="shared" si="10"/>
        <v>0</v>
      </c>
      <c r="J51" s="63">
        <f t="shared" si="9"/>
        <v>0</v>
      </c>
      <c r="K51" s="62"/>
      <c r="L51" s="36"/>
      <c r="M51" s="36"/>
      <c r="N51" s="36"/>
      <c r="O51" s="36"/>
      <c r="P51" s="36"/>
      <c r="Q51" s="99"/>
      <c r="R51" s="100">
        <f t="shared" si="1"/>
        <v>0</v>
      </c>
      <c r="S51" s="101">
        <f t="shared" si="1"/>
        <v>0</v>
      </c>
      <c r="T51" s="62"/>
      <c r="U51" s="8">
        <f t="shared" si="11"/>
        <v>0</v>
      </c>
      <c r="V51" s="135">
        <f t="shared" si="12"/>
        <v>0</v>
      </c>
      <c r="W51" s="134">
        <f t="shared" si="13"/>
        <v>0</v>
      </c>
      <c r="X51" s="61"/>
    </row>
    <row r="52" spans="1:24" ht="19.5" thickBot="1">
      <c r="A52" s="1">
        <f t="shared" si="5"/>
        <v>45</v>
      </c>
      <c r="B52" s="12" t="s">
        <v>63</v>
      </c>
      <c r="C52" s="26">
        <v>34</v>
      </c>
      <c r="D52" s="27"/>
      <c r="E52" s="51"/>
      <c r="F52" s="51"/>
      <c r="G52" s="52"/>
      <c r="H52" s="53"/>
      <c r="I52" s="53">
        <f t="shared" si="10"/>
        <v>34</v>
      </c>
      <c r="J52" s="70">
        <f t="shared" si="9"/>
        <v>0</v>
      </c>
      <c r="K52" s="65"/>
      <c r="L52" s="51"/>
      <c r="M52" s="51"/>
      <c r="N52" s="51"/>
      <c r="O52" s="51"/>
      <c r="P52" s="51"/>
      <c r="Q52" s="102"/>
      <c r="R52" s="107">
        <f t="shared" si="1"/>
        <v>0</v>
      </c>
      <c r="S52" s="120">
        <f t="shared" si="1"/>
        <v>0</v>
      </c>
      <c r="T52" s="65"/>
      <c r="U52" s="136">
        <f>L52*6+N52*6+P52*6</f>
        <v>0</v>
      </c>
      <c r="V52" s="141">
        <f>U52/6</f>
        <v>0</v>
      </c>
      <c r="W52" s="138">
        <f>I52*6+J52</f>
        <v>204</v>
      </c>
      <c r="X52" s="139"/>
    </row>
    <row r="53" spans="1:24" ht="19.5" thickBot="1">
      <c r="A53" s="1">
        <f t="shared" si="5"/>
        <v>46</v>
      </c>
      <c r="B53" s="7" t="s">
        <v>64</v>
      </c>
      <c r="C53" s="10">
        <v>2</v>
      </c>
      <c r="D53" s="11"/>
      <c r="E53" s="36"/>
      <c r="F53" s="36"/>
      <c r="G53" s="37"/>
      <c r="H53" s="38"/>
      <c r="I53" s="38">
        <f t="shared" si="10"/>
        <v>2</v>
      </c>
      <c r="J53" s="63">
        <f t="shared" si="9"/>
        <v>0</v>
      </c>
      <c r="K53" s="62"/>
      <c r="L53" s="36"/>
      <c r="M53" s="36"/>
      <c r="N53" s="36"/>
      <c r="O53" s="36"/>
      <c r="P53" s="36"/>
      <c r="Q53" s="99"/>
      <c r="R53" s="108">
        <f t="shared" si="1"/>
        <v>0</v>
      </c>
      <c r="S53" s="106">
        <f t="shared" si="1"/>
        <v>0</v>
      </c>
      <c r="T53" s="62"/>
      <c r="U53" s="8">
        <f>L53*24+N53*24+P53*24</f>
        <v>0</v>
      </c>
      <c r="V53" s="33">
        <f>U53/24</f>
        <v>0</v>
      </c>
      <c r="W53" s="134">
        <f>I53*24+J53</f>
        <v>48</v>
      </c>
      <c r="X53" s="61"/>
    </row>
    <row r="54" spans="1:24" ht="19.5" thickBot="1">
      <c r="A54" s="1">
        <f t="shared" si="5"/>
        <v>47</v>
      </c>
      <c r="B54" s="15" t="s">
        <v>65</v>
      </c>
      <c r="C54" s="10">
        <v>11</v>
      </c>
      <c r="D54" s="11"/>
      <c r="E54" s="36"/>
      <c r="F54" s="36"/>
      <c r="G54" s="37"/>
      <c r="H54" s="38"/>
      <c r="I54" s="38">
        <f t="shared" si="10"/>
        <v>11</v>
      </c>
      <c r="J54" s="63">
        <f t="shared" si="9"/>
        <v>0</v>
      </c>
      <c r="K54" s="62"/>
      <c r="L54" s="36"/>
      <c r="M54" s="36"/>
      <c r="N54" s="36"/>
      <c r="O54" s="36"/>
      <c r="P54" s="36"/>
      <c r="Q54" s="99"/>
      <c r="R54" s="100">
        <f t="shared" si="1"/>
        <v>0</v>
      </c>
      <c r="S54" s="101">
        <f t="shared" si="1"/>
        <v>0</v>
      </c>
      <c r="T54" s="62"/>
      <c r="U54" s="8">
        <f>L54*24+N54*24+P54*24</f>
        <v>0</v>
      </c>
      <c r="V54" s="135">
        <f>U54/24</f>
        <v>0</v>
      </c>
      <c r="W54" s="134">
        <f>I54*24+J54</f>
        <v>264</v>
      </c>
      <c r="X54" s="61"/>
    </row>
    <row r="55" spans="1:24" ht="19.5" thickBot="1">
      <c r="A55" s="1">
        <f t="shared" si="5"/>
        <v>48</v>
      </c>
      <c r="B55" s="15"/>
      <c r="C55" s="10"/>
      <c r="D55" s="11"/>
      <c r="E55" s="36"/>
      <c r="F55" s="36"/>
      <c r="G55" s="37"/>
      <c r="H55" s="38"/>
      <c r="I55" s="38">
        <f t="shared" si="10"/>
        <v>0</v>
      </c>
      <c r="J55" s="63">
        <f t="shared" si="9"/>
        <v>0</v>
      </c>
      <c r="K55" s="62"/>
      <c r="L55" s="36"/>
      <c r="M55" s="36"/>
      <c r="N55" s="36"/>
      <c r="O55" s="36"/>
      <c r="P55" s="36"/>
      <c r="Q55" s="99"/>
      <c r="R55" s="100">
        <f t="shared" si="1"/>
        <v>0</v>
      </c>
      <c r="S55" s="101">
        <f t="shared" si="1"/>
        <v>0</v>
      </c>
      <c r="T55" s="62"/>
      <c r="U55" s="8"/>
      <c r="V55" s="135"/>
      <c r="W55" s="134"/>
      <c r="X55" s="61"/>
    </row>
    <row r="56" spans="1:24" ht="19.5" thickBot="1">
      <c r="A56" s="1">
        <f t="shared" si="5"/>
        <v>49</v>
      </c>
      <c r="B56" s="15"/>
      <c r="C56" s="10"/>
      <c r="D56" s="11"/>
      <c r="E56" s="36"/>
      <c r="F56" s="36"/>
      <c r="G56" s="37"/>
      <c r="H56" s="38"/>
      <c r="I56" s="38">
        <f t="shared" si="10"/>
        <v>0</v>
      </c>
      <c r="J56" s="63">
        <f t="shared" si="9"/>
        <v>0</v>
      </c>
      <c r="K56" s="62"/>
      <c r="L56" s="36"/>
      <c r="M56" s="36"/>
      <c r="N56" s="36"/>
      <c r="O56" s="36"/>
      <c r="P56" s="36"/>
      <c r="Q56" s="99"/>
      <c r="R56" s="100">
        <f t="shared" si="1"/>
        <v>0</v>
      </c>
      <c r="S56" s="101">
        <f t="shared" si="1"/>
        <v>0</v>
      </c>
      <c r="T56" s="62"/>
      <c r="U56" s="8"/>
      <c r="V56" s="135"/>
      <c r="W56" s="134"/>
      <c r="X56" s="61"/>
    </row>
    <row r="57" spans="1:24" ht="19.5" thickBot="1">
      <c r="A57" s="1">
        <f t="shared" si="5"/>
        <v>50</v>
      </c>
      <c r="B57" s="15"/>
      <c r="C57" s="10"/>
      <c r="D57" s="11"/>
      <c r="E57" s="36"/>
      <c r="F57" s="36"/>
      <c r="G57" s="37"/>
      <c r="H57" s="38"/>
      <c r="I57" s="38">
        <f t="shared" si="10"/>
        <v>0</v>
      </c>
      <c r="J57" s="63">
        <f t="shared" si="9"/>
        <v>0</v>
      </c>
      <c r="K57" s="62"/>
      <c r="L57" s="36"/>
      <c r="M57" s="36"/>
      <c r="N57" s="36"/>
      <c r="O57" s="36"/>
      <c r="P57" s="36"/>
      <c r="Q57" s="99"/>
      <c r="R57" s="100">
        <f t="shared" si="1"/>
        <v>0</v>
      </c>
      <c r="S57" s="101">
        <f t="shared" si="1"/>
        <v>0</v>
      </c>
      <c r="T57" s="62"/>
      <c r="U57" s="8"/>
      <c r="V57" s="135"/>
      <c r="W57" s="134"/>
      <c r="X57" s="61"/>
    </row>
    <row r="58" spans="1:24" ht="19.5" thickBot="1">
      <c r="A58" s="1">
        <f t="shared" si="5"/>
        <v>51</v>
      </c>
      <c r="B58" s="15"/>
      <c r="C58" s="10"/>
      <c r="D58" s="11"/>
      <c r="E58" s="36"/>
      <c r="F58" s="36"/>
      <c r="G58" s="37"/>
      <c r="H58" s="38"/>
      <c r="I58" s="38">
        <f t="shared" si="10"/>
        <v>0</v>
      </c>
      <c r="J58" s="63">
        <f t="shared" si="9"/>
        <v>0</v>
      </c>
      <c r="K58" s="62"/>
      <c r="L58" s="36"/>
      <c r="M58" s="36"/>
      <c r="N58" s="36"/>
      <c r="O58" s="36"/>
      <c r="P58" s="36"/>
      <c r="Q58" s="99"/>
      <c r="R58" s="100">
        <f t="shared" si="1"/>
        <v>0</v>
      </c>
      <c r="S58" s="101">
        <f t="shared" si="1"/>
        <v>0</v>
      </c>
      <c r="T58" s="62"/>
      <c r="U58" s="8"/>
      <c r="V58" s="135"/>
      <c r="W58" s="134"/>
      <c r="X58" s="61"/>
    </row>
    <row r="59" spans="1:24" ht="19.5" thickBot="1">
      <c r="A59" s="1">
        <f t="shared" si="5"/>
        <v>52</v>
      </c>
      <c r="B59" s="15"/>
      <c r="C59" s="10"/>
      <c r="D59" s="11"/>
      <c r="E59" s="36"/>
      <c r="F59" s="36"/>
      <c r="G59" s="37"/>
      <c r="H59" s="38"/>
      <c r="I59" s="38">
        <f t="shared" si="10"/>
        <v>0</v>
      </c>
      <c r="J59" s="63">
        <f t="shared" si="9"/>
        <v>0</v>
      </c>
      <c r="K59" s="62"/>
      <c r="L59" s="36"/>
      <c r="M59" s="36"/>
      <c r="N59" s="36"/>
      <c r="O59" s="36"/>
      <c r="P59" s="36"/>
      <c r="Q59" s="99"/>
      <c r="R59" s="100">
        <f t="shared" si="1"/>
        <v>0</v>
      </c>
      <c r="S59" s="101">
        <f t="shared" si="1"/>
        <v>0</v>
      </c>
      <c r="T59" s="62"/>
      <c r="U59" s="8"/>
      <c r="V59" s="135"/>
      <c r="W59" s="134"/>
      <c r="X59" s="61"/>
    </row>
    <row r="60" spans="1:24" s="2" customFormat="1" ht="19.5" thickBot="1">
      <c r="B60" s="28" t="s">
        <v>15</v>
      </c>
      <c r="C60" s="29">
        <f t="shared" ref="C60:J60" si="14">SUM(C8:C59)</f>
        <v>40965</v>
      </c>
      <c r="D60" s="30">
        <f t="shared" si="14"/>
        <v>127</v>
      </c>
      <c r="E60" s="54">
        <f t="shared" si="14"/>
        <v>1836</v>
      </c>
      <c r="F60" s="54"/>
      <c r="G60" s="55">
        <f t="shared" si="14"/>
        <v>1064</v>
      </c>
      <c r="H60" s="56">
        <f t="shared" si="14"/>
        <v>24</v>
      </c>
      <c r="I60" s="56">
        <f t="shared" si="14"/>
        <v>41737</v>
      </c>
      <c r="J60" s="78">
        <f t="shared" si="14"/>
        <v>103</v>
      </c>
      <c r="L60" s="79">
        <f t="shared" ref="L60:S60" si="15">SUM(L8:L59)</f>
        <v>386</v>
      </c>
      <c r="M60" s="79">
        <f t="shared" si="15"/>
        <v>0</v>
      </c>
      <c r="N60" s="79">
        <f t="shared" si="15"/>
        <v>364</v>
      </c>
      <c r="O60" s="79">
        <f t="shared" si="15"/>
        <v>12</v>
      </c>
      <c r="P60" s="79">
        <f t="shared" si="15"/>
        <v>312</v>
      </c>
      <c r="Q60" s="121">
        <f t="shared" si="15"/>
        <v>12</v>
      </c>
      <c r="R60" s="122">
        <f t="shared" si="15"/>
        <v>1062</v>
      </c>
      <c r="S60" s="123">
        <f t="shared" si="15"/>
        <v>24</v>
      </c>
      <c r="U60" s="29">
        <f t="shared" ref="U60:W60" si="16">SUM(U8:U59)</f>
        <v>8346</v>
      </c>
      <c r="V60" s="152">
        <f t="shared" si="16"/>
        <v>1062</v>
      </c>
      <c r="W60" s="179">
        <f t="shared" si="16"/>
        <v>315577</v>
      </c>
      <c r="X60" s="78"/>
    </row>
    <row r="61" spans="1:24" ht="19.5" thickBot="1">
      <c r="V61" s="154"/>
    </row>
    <row r="62" spans="1:24" ht="18.75" customHeight="1">
      <c r="G62" s="197" t="s">
        <v>66</v>
      </c>
      <c r="H62" s="57"/>
      <c r="I62" s="57"/>
      <c r="J62" s="80" t="s">
        <v>67</v>
      </c>
      <c r="L62" s="81"/>
      <c r="M62" s="87"/>
      <c r="N62" s="88"/>
      <c r="O62" s="88"/>
      <c r="P62" s="88"/>
      <c r="Q62" s="124"/>
      <c r="R62" s="124"/>
      <c r="S62" s="125"/>
    </row>
    <row r="63" spans="1:24">
      <c r="G63" s="198"/>
      <c r="H63" s="58"/>
      <c r="I63" s="58"/>
      <c r="J63" s="82" t="s">
        <v>68</v>
      </c>
      <c r="L63" s="83"/>
      <c r="M63" s="89"/>
      <c r="N63" s="90"/>
      <c r="O63" s="90"/>
      <c r="P63" s="90"/>
      <c r="Q63" s="126"/>
      <c r="R63" s="126"/>
      <c r="S63" s="127"/>
    </row>
    <row r="64" spans="1:24">
      <c r="G64" s="199"/>
      <c r="H64" s="59"/>
      <c r="I64" s="59"/>
      <c r="J64" s="82" t="s">
        <v>69</v>
      </c>
      <c r="L64" s="84"/>
      <c r="M64" s="91"/>
      <c r="N64" s="92"/>
      <c r="O64" s="92"/>
      <c r="P64" s="92"/>
      <c r="Q64" s="128"/>
      <c r="R64" s="128"/>
      <c r="S64" s="129"/>
    </row>
    <row r="65" spans="2:24">
      <c r="G65" s="200" t="s">
        <v>70</v>
      </c>
      <c r="H65" s="164"/>
      <c r="I65" s="164"/>
      <c r="J65" s="82" t="s">
        <v>67</v>
      </c>
      <c r="L65" s="84"/>
      <c r="M65" s="91"/>
      <c r="N65" s="92"/>
      <c r="O65" s="92"/>
      <c r="P65" s="92"/>
      <c r="Q65" s="128"/>
      <c r="R65" s="128"/>
      <c r="S65" s="129"/>
    </row>
    <row r="66" spans="2:24">
      <c r="G66" s="200"/>
      <c r="H66" s="164"/>
      <c r="I66" s="164"/>
      <c r="J66" s="82" t="s">
        <v>68</v>
      </c>
      <c r="L66" s="83"/>
      <c r="M66" s="89"/>
      <c r="N66" s="90"/>
      <c r="O66" s="90"/>
      <c r="P66" s="90"/>
      <c r="Q66" s="126"/>
      <c r="R66" s="126"/>
      <c r="S66" s="127"/>
    </row>
    <row r="67" spans="2:24" ht="19.5" thickBot="1">
      <c r="G67" s="201"/>
      <c r="H67" s="165"/>
      <c r="I67" s="165"/>
      <c r="J67" s="167" t="s">
        <v>69</v>
      </c>
      <c r="L67" s="168"/>
      <c r="M67" s="170"/>
      <c r="N67" s="171"/>
      <c r="O67" s="171"/>
      <c r="P67" s="171"/>
      <c r="Q67" s="174"/>
      <c r="R67" s="174"/>
      <c r="S67" s="175"/>
    </row>
    <row r="69" spans="2:24" ht="49.5" customHeight="1" thickBot="1">
      <c r="B69" s="159" t="s">
        <v>71</v>
      </c>
      <c r="C69" s="5" t="s">
        <v>4</v>
      </c>
      <c r="D69" s="6"/>
      <c r="E69" s="166" t="s">
        <v>72</v>
      </c>
      <c r="L69" s="169" t="s">
        <v>12</v>
      </c>
      <c r="M69" s="172"/>
      <c r="N69" s="173" t="s">
        <v>13</v>
      </c>
      <c r="O69" s="173"/>
      <c r="P69" s="173" t="s">
        <v>14</v>
      </c>
      <c r="Q69" s="176"/>
      <c r="R69" s="176"/>
      <c r="S69" s="177" t="s">
        <v>73</v>
      </c>
      <c r="X69" s="178" t="s">
        <v>74</v>
      </c>
    </row>
    <row r="70" spans="2:24">
      <c r="B70" s="160" t="s">
        <v>47</v>
      </c>
      <c r="C70" s="161"/>
      <c r="D70" s="161"/>
      <c r="E70" s="163"/>
      <c r="L70" s="161"/>
      <c r="M70" s="161"/>
      <c r="N70" s="161"/>
      <c r="O70" s="161"/>
      <c r="P70" s="161"/>
      <c r="Q70" s="161"/>
      <c r="R70" s="161"/>
      <c r="S70" s="161"/>
      <c r="X70" s="163"/>
    </row>
    <row r="71" spans="2:24">
      <c r="B71" s="162" t="s">
        <v>75</v>
      </c>
      <c r="C71" s="161"/>
      <c r="D71" s="161"/>
      <c r="E71" s="163"/>
      <c r="L71" s="163"/>
      <c r="M71" s="163"/>
      <c r="N71" s="163"/>
      <c r="O71" s="163"/>
      <c r="P71" s="163"/>
      <c r="Q71" s="163"/>
      <c r="R71" s="163"/>
      <c r="S71" s="163"/>
      <c r="X71" s="163"/>
    </row>
    <row r="72" spans="2:24">
      <c r="B72" s="162" t="s">
        <v>76</v>
      </c>
      <c r="C72" s="161"/>
      <c r="D72" s="161"/>
      <c r="E72" s="163"/>
      <c r="L72" s="163"/>
      <c r="M72" s="163"/>
      <c r="N72" s="163"/>
      <c r="O72" s="163"/>
      <c r="P72" s="163"/>
      <c r="Q72" s="163"/>
      <c r="R72" s="163"/>
      <c r="S72" s="163"/>
      <c r="X72" s="163"/>
    </row>
    <row r="73" spans="2:24" ht="11.25" customHeight="1"/>
    <row r="74" spans="2:24">
      <c r="B74" s="162" t="s">
        <v>77</v>
      </c>
      <c r="C74" s="163"/>
      <c r="D74" s="163"/>
      <c r="E74" s="163"/>
      <c r="L74" s="163"/>
      <c r="M74" s="163"/>
      <c r="N74" s="163"/>
      <c r="O74" s="163"/>
      <c r="P74" s="163"/>
      <c r="Q74" s="163"/>
      <c r="R74" s="163"/>
      <c r="S74" s="163"/>
      <c r="X74" s="163"/>
    </row>
    <row r="75" spans="2:24">
      <c r="B75" s="162" t="s">
        <v>75</v>
      </c>
      <c r="C75" s="163"/>
      <c r="D75" s="163"/>
      <c r="E75" s="163"/>
      <c r="L75" s="163"/>
      <c r="M75" s="163"/>
      <c r="N75" s="163"/>
      <c r="O75" s="163"/>
      <c r="P75" s="163"/>
      <c r="Q75" s="163"/>
      <c r="R75" s="163"/>
      <c r="S75" s="163"/>
      <c r="X75" s="163"/>
    </row>
    <row r="76" spans="2:24">
      <c r="B76" s="162" t="s">
        <v>76</v>
      </c>
      <c r="C76" s="163"/>
      <c r="D76" s="163"/>
      <c r="E76" s="163"/>
      <c r="L76" s="163"/>
      <c r="M76" s="163"/>
      <c r="N76" s="163"/>
      <c r="O76" s="163"/>
      <c r="P76" s="163"/>
      <c r="Q76" s="163"/>
      <c r="R76" s="163"/>
      <c r="S76" s="163"/>
      <c r="X76" s="163"/>
    </row>
    <row r="77" spans="2:24" ht="11.25" customHeight="1"/>
    <row r="78" spans="2:24">
      <c r="B78" s="162" t="s">
        <v>78</v>
      </c>
      <c r="C78" s="163"/>
      <c r="D78" s="163"/>
      <c r="E78" s="163"/>
      <c r="L78" s="163"/>
      <c r="M78" s="163"/>
      <c r="N78" s="163"/>
      <c r="O78" s="163"/>
      <c r="P78" s="163"/>
      <c r="Q78" s="163"/>
      <c r="R78" s="163"/>
      <c r="S78" s="163"/>
      <c r="X78" s="163"/>
    </row>
    <row r="79" spans="2:24">
      <c r="B79" s="162" t="s">
        <v>75</v>
      </c>
      <c r="C79" s="163"/>
      <c r="D79" s="163"/>
      <c r="E79" s="163"/>
      <c r="L79" s="163"/>
      <c r="M79" s="163"/>
      <c r="N79" s="163"/>
      <c r="O79" s="163"/>
      <c r="P79" s="163"/>
      <c r="Q79" s="163"/>
      <c r="R79" s="163"/>
      <c r="S79" s="163"/>
      <c r="X79" s="163"/>
    </row>
    <row r="80" spans="2:24">
      <c r="B80" s="162" t="s">
        <v>76</v>
      </c>
      <c r="C80" s="163"/>
      <c r="D80" s="163"/>
      <c r="E80" s="163"/>
      <c r="L80" s="163"/>
      <c r="M80" s="163"/>
      <c r="N80" s="163"/>
      <c r="O80" s="163"/>
      <c r="P80" s="163"/>
      <c r="Q80" s="163"/>
      <c r="R80" s="163"/>
      <c r="S80" s="163"/>
      <c r="X80" s="163"/>
    </row>
    <row r="81" spans="2:24" ht="11.25" customHeight="1"/>
    <row r="82" spans="2:24">
      <c r="B82" s="162" t="s">
        <v>79</v>
      </c>
      <c r="C82" s="163"/>
      <c r="D82" s="163"/>
      <c r="E82" s="163"/>
      <c r="L82" s="163"/>
      <c r="M82" s="163"/>
      <c r="N82" s="163"/>
      <c r="O82" s="163"/>
      <c r="P82" s="163"/>
      <c r="Q82" s="163"/>
      <c r="R82" s="163"/>
      <c r="S82" s="163"/>
      <c r="X82" s="163"/>
    </row>
    <row r="83" spans="2:24">
      <c r="B83" s="162" t="s">
        <v>75</v>
      </c>
      <c r="C83" s="163"/>
      <c r="D83" s="163"/>
      <c r="E83" s="163"/>
      <c r="L83" s="163"/>
      <c r="M83" s="163"/>
      <c r="N83" s="163"/>
      <c r="O83" s="163"/>
      <c r="P83" s="163"/>
      <c r="Q83" s="163"/>
      <c r="R83" s="163"/>
      <c r="S83" s="163"/>
      <c r="X83" s="163"/>
    </row>
    <row r="84" spans="2:24">
      <c r="B84" s="162" t="s">
        <v>76</v>
      </c>
      <c r="C84" s="161"/>
      <c r="D84" s="161"/>
      <c r="E84" s="163"/>
      <c r="L84" s="163"/>
      <c r="M84" s="163"/>
      <c r="N84" s="163"/>
      <c r="O84" s="163"/>
      <c r="P84" s="163"/>
      <c r="Q84" s="163"/>
      <c r="R84" s="163"/>
      <c r="S84" s="163"/>
      <c r="X84" s="163"/>
    </row>
    <row r="85" spans="2:24" ht="11.25" customHeight="1"/>
    <row r="86" spans="2:24">
      <c r="B86" s="162" t="s">
        <v>80</v>
      </c>
      <c r="C86" s="163"/>
      <c r="D86" s="163"/>
      <c r="E86" s="163"/>
      <c r="L86" s="163"/>
      <c r="M86" s="163"/>
      <c r="N86" s="163"/>
      <c r="O86" s="163"/>
      <c r="P86" s="163"/>
      <c r="Q86" s="163"/>
      <c r="R86" s="163"/>
      <c r="S86" s="163"/>
      <c r="X86" s="163"/>
    </row>
    <row r="87" spans="2:24">
      <c r="B87" s="162" t="s">
        <v>75</v>
      </c>
      <c r="C87" s="163"/>
      <c r="D87" s="163"/>
      <c r="E87" s="163"/>
      <c r="L87" s="163"/>
      <c r="M87" s="163"/>
      <c r="N87" s="163"/>
      <c r="O87" s="163"/>
      <c r="P87" s="163"/>
      <c r="Q87" s="163"/>
      <c r="R87" s="163"/>
      <c r="S87" s="163"/>
      <c r="X87" s="163"/>
    </row>
    <row r="88" spans="2:24">
      <c r="B88" s="162" t="s">
        <v>76</v>
      </c>
      <c r="C88" s="163"/>
      <c r="D88" s="163"/>
      <c r="E88" s="163"/>
      <c r="L88" s="163"/>
      <c r="M88" s="163"/>
      <c r="N88" s="163"/>
      <c r="O88" s="163"/>
      <c r="P88" s="163"/>
      <c r="Q88" s="163"/>
      <c r="R88" s="163"/>
      <c r="S88" s="163"/>
      <c r="X88" s="163"/>
    </row>
    <row r="90" spans="2:24">
      <c r="B90" s="162" t="s">
        <v>81</v>
      </c>
      <c r="C90" s="163"/>
      <c r="D90" s="163"/>
      <c r="E90" s="163"/>
      <c r="L90" s="163"/>
      <c r="M90" s="163"/>
      <c r="N90" s="163"/>
      <c r="O90" s="163"/>
      <c r="P90" s="163"/>
      <c r="Q90" s="163"/>
      <c r="R90" s="163"/>
      <c r="S90" s="163"/>
      <c r="X90" s="163"/>
    </row>
  </sheetData>
  <mergeCells count="12">
    <mergeCell ref="G62:G64"/>
    <mergeCell ref="G65:G67"/>
    <mergeCell ref="P1:X1"/>
    <mergeCell ref="B4:B5"/>
    <mergeCell ref="C4:C5"/>
    <mergeCell ref="D4:D5"/>
    <mergeCell ref="E4:F4"/>
    <mergeCell ref="G4:G5"/>
    <mergeCell ref="H4:H5"/>
    <mergeCell ref="I4:I5"/>
    <mergeCell ref="J4:J5"/>
    <mergeCell ref="L4:X4"/>
  </mergeCells>
  <printOptions horizontalCentered="1" verticalCentered="1"/>
  <pageMargins left="0.196850393700787" right="0.196850393700787" top="0.196850393700787" bottom="0.196850393700787" header="0.511811023622047" footer="0.511811023622047"/>
  <pageSetup paperSize="9" scale="51" orientation="portrait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6E995-BCC8-4C8E-BE39-C0B03857CCBB}">
  <sheetPr>
    <pageSetUpPr fitToPage="1"/>
  </sheetPr>
  <dimension ref="A1:BH90"/>
  <sheetViews>
    <sheetView topLeftCell="A17" zoomScaleNormal="100" zoomScaleSheetLayoutView="85" zoomScalePageLayoutView="80" workbookViewId="0">
      <selection activeCell="P1" sqref="P1:X1"/>
    </sheetView>
  </sheetViews>
  <sheetFormatPr defaultColWidth="9.140625" defaultRowHeight="18.75"/>
  <cols>
    <col min="1" max="1" width="5.42578125" style="3" customWidth="1"/>
    <col min="2" max="2" width="12.28515625" style="3" customWidth="1"/>
    <col min="3" max="3" width="12.7109375" style="3" customWidth="1"/>
    <col min="4" max="4" width="8" style="3" customWidth="1"/>
    <col min="5" max="5" width="12.140625" style="3" customWidth="1"/>
    <col min="6" max="6" width="9.85546875" style="3" customWidth="1"/>
    <col min="7" max="7" width="11" style="3" customWidth="1"/>
    <col min="8" max="8" width="8" style="3" customWidth="1"/>
    <col min="9" max="9" width="14.7109375" style="3" customWidth="1"/>
    <col min="10" max="10" width="8.28515625" style="3" customWidth="1"/>
    <col min="11" max="11" width="1.28515625" style="3" customWidth="1"/>
    <col min="12" max="12" width="11" style="3" customWidth="1"/>
    <col min="13" max="13" width="7.85546875" style="3" customWidth="1"/>
    <col min="14" max="14" width="11" style="3" customWidth="1"/>
    <col min="15" max="15" width="6.5703125" style="3" customWidth="1"/>
    <col min="16" max="16" width="11" style="3" customWidth="1"/>
    <col min="17" max="17" width="6.5703125" style="3" customWidth="1"/>
    <col min="18" max="18" width="9.5703125" style="3" customWidth="1"/>
    <col min="19" max="19" width="8.140625" style="3" customWidth="1"/>
    <col min="20" max="20" width="1.28515625" style="3" customWidth="1"/>
    <col min="21" max="21" width="12.7109375" style="3" customWidth="1"/>
    <col min="22" max="22" width="12.7109375" style="3" hidden="1" customWidth="1"/>
    <col min="23" max="23" width="14.5703125" style="3" customWidth="1"/>
    <col min="24" max="24" width="11.5703125" style="3" customWidth="1"/>
    <col min="25" max="25" width="2" style="3" customWidth="1"/>
    <col min="26" max="26" width="10.5703125" style="3" customWidth="1"/>
    <col min="27" max="55" width="7.28515625" style="3" customWidth="1"/>
    <col min="56" max="56" width="1.5703125" style="3" customWidth="1"/>
    <col min="57" max="57" width="9.42578125" style="3" customWidth="1"/>
    <col min="58" max="58" width="1.28515625" style="3" customWidth="1"/>
    <col min="59" max="59" width="12.7109375" style="3" customWidth="1"/>
    <col min="60" max="60" width="10.28515625" style="3" customWidth="1"/>
    <col min="61" max="16384" width="9.140625" style="3"/>
  </cols>
  <sheetData>
    <row r="1" spans="1:60" ht="19.5" thickBot="1">
      <c r="B1" s="2" t="s">
        <v>0</v>
      </c>
      <c r="N1" s="3" t="s">
        <v>1</v>
      </c>
      <c r="P1" s="183">
        <v>46171</v>
      </c>
      <c r="Q1" s="184"/>
      <c r="R1" s="184"/>
      <c r="S1" s="184"/>
      <c r="T1" s="184"/>
      <c r="U1" s="184"/>
      <c r="V1" s="184"/>
      <c r="W1" s="184"/>
      <c r="X1" s="185"/>
    </row>
    <row r="2" spans="1:60" ht="15" customHeight="1">
      <c r="B2" s="2" t="s">
        <v>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4" spans="1:60" ht="19.5" customHeight="1" thickBot="1">
      <c r="A4" s="4"/>
      <c r="B4" s="192" t="s">
        <v>3</v>
      </c>
      <c r="C4" s="193" t="s">
        <v>4</v>
      </c>
      <c r="D4" s="194" t="s">
        <v>5</v>
      </c>
      <c r="E4" s="186" t="s">
        <v>6</v>
      </c>
      <c r="F4" s="187"/>
      <c r="G4" s="195" t="s">
        <v>7</v>
      </c>
      <c r="H4" s="202" t="s">
        <v>5</v>
      </c>
      <c r="I4" s="204" t="s">
        <v>8</v>
      </c>
      <c r="J4" s="202" t="s">
        <v>5</v>
      </c>
      <c r="L4" s="188" t="s">
        <v>9</v>
      </c>
      <c r="M4" s="189"/>
      <c r="N4" s="189"/>
      <c r="O4" s="189"/>
      <c r="P4" s="189"/>
      <c r="Q4" s="189"/>
      <c r="R4" s="189"/>
      <c r="S4" s="189"/>
      <c r="T4" s="189"/>
      <c r="U4" s="189"/>
      <c r="V4" s="190"/>
      <c r="W4" s="189"/>
      <c r="X4" s="191"/>
    </row>
    <row r="5" spans="1:60" s="1" customFormat="1" ht="57" thickBot="1">
      <c r="A5" s="4"/>
      <c r="B5" s="192"/>
      <c r="C5" s="193"/>
      <c r="D5" s="194"/>
      <c r="E5" s="31" t="s">
        <v>10</v>
      </c>
      <c r="F5" s="32" t="s">
        <v>11</v>
      </c>
      <c r="G5" s="196"/>
      <c r="H5" s="203"/>
      <c r="I5" s="205"/>
      <c r="J5" s="203"/>
      <c r="L5" s="60" t="s">
        <v>12</v>
      </c>
      <c r="M5" s="85" t="s">
        <v>5</v>
      </c>
      <c r="N5" s="86" t="s">
        <v>13</v>
      </c>
      <c r="O5" s="85" t="s">
        <v>5</v>
      </c>
      <c r="P5" s="86" t="s">
        <v>14</v>
      </c>
      <c r="Q5" s="85" t="s">
        <v>5</v>
      </c>
      <c r="R5" s="93" t="s">
        <v>15</v>
      </c>
      <c r="S5" s="94" t="s">
        <v>5</v>
      </c>
      <c r="T5" s="95"/>
      <c r="U5" s="130" t="s">
        <v>16</v>
      </c>
      <c r="V5" s="131" t="s">
        <v>17</v>
      </c>
      <c r="W5" s="132" t="s">
        <v>18</v>
      </c>
      <c r="X5" s="133" t="s">
        <v>19</v>
      </c>
      <c r="AL5" s="156"/>
      <c r="AM5" s="156"/>
      <c r="AN5" s="156"/>
      <c r="AO5" s="156"/>
      <c r="AP5" s="156"/>
      <c r="AQ5" s="156"/>
      <c r="AR5" s="156"/>
      <c r="AS5" s="156"/>
      <c r="AT5" s="156"/>
      <c r="AU5" s="156"/>
      <c r="AV5" s="156"/>
      <c r="AW5" s="156"/>
      <c r="AX5" s="156"/>
      <c r="AY5" s="156"/>
      <c r="AZ5" s="156"/>
      <c r="BA5" s="156"/>
      <c r="BB5" s="156"/>
      <c r="BC5" s="156"/>
      <c r="BD5" s="156"/>
      <c r="BE5" s="156"/>
      <c r="BF5" s="156"/>
      <c r="BG5" s="156"/>
      <c r="BH5" s="156"/>
    </row>
    <row r="6" spans="1:60" s="1" customFormat="1" ht="19.5" thickBot="1">
      <c r="B6" s="7"/>
      <c r="C6" s="8"/>
      <c r="D6" s="9"/>
      <c r="E6" s="33"/>
      <c r="F6" s="33"/>
      <c r="G6" s="34"/>
      <c r="H6" s="35"/>
      <c r="I6" s="35"/>
      <c r="J6" s="61"/>
      <c r="K6" s="62"/>
      <c r="L6" s="33"/>
      <c r="M6" s="33"/>
      <c r="N6" s="33"/>
      <c r="O6" s="33"/>
      <c r="P6" s="33"/>
      <c r="Q6" s="96"/>
      <c r="R6" s="97"/>
      <c r="S6" s="98"/>
      <c r="T6" s="62"/>
      <c r="U6" s="8"/>
      <c r="V6" s="33"/>
      <c r="W6" s="134"/>
      <c r="X6" s="61"/>
      <c r="AL6" s="156"/>
      <c r="AM6" s="156"/>
      <c r="AN6" s="156"/>
      <c r="AO6" s="156"/>
      <c r="AP6" s="156"/>
      <c r="AQ6" s="156"/>
      <c r="AR6" s="156"/>
      <c r="AS6" s="156"/>
      <c r="AT6" s="156"/>
      <c r="AU6" s="156"/>
      <c r="AV6" s="156"/>
      <c r="AW6" s="156"/>
      <c r="AX6" s="156"/>
      <c r="AY6" s="156"/>
      <c r="AZ6" s="156"/>
      <c r="BA6" s="156"/>
      <c r="BB6" s="156"/>
      <c r="BC6" s="156"/>
      <c r="BD6" s="156"/>
      <c r="BE6" s="156"/>
      <c r="BF6" s="156"/>
      <c r="BG6" s="156"/>
      <c r="BH6" s="156"/>
    </row>
    <row r="7" spans="1:60" s="1" customFormat="1" ht="19.5" thickBot="1">
      <c r="B7" s="7"/>
      <c r="C7" s="8"/>
      <c r="D7" s="9"/>
      <c r="E7" s="33"/>
      <c r="F7" s="33"/>
      <c r="G7" s="34"/>
      <c r="H7" s="35"/>
      <c r="I7" s="35"/>
      <c r="J7" s="61"/>
      <c r="K7" s="62"/>
      <c r="L7" s="33"/>
      <c r="M7" s="33"/>
      <c r="N7" s="33"/>
      <c r="O7" s="33"/>
      <c r="P7" s="33"/>
      <c r="Q7" s="96"/>
      <c r="R7" s="97"/>
      <c r="S7" s="98"/>
      <c r="T7" s="62"/>
      <c r="U7" s="8"/>
      <c r="V7" s="135"/>
      <c r="W7" s="134"/>
      <c r="X7" s="61"/>
      <c r="AL7" s="156"/>
      <c r="AM7" s="156"/>
      <c r="AN7" s="156"/>
      <c r="AO7" s="156"/>
      <c r="AP7" s="156"/>
      <c r="AQ7" s="156"/>
      <c r="AR7" s="156"/>
      <c r="AS7" s="156"/>
      <c r="AT7" s="156"/>
      <c r="AU7" s="156"/>
      <c r="AV7" s="156"/>
      <c r="AW7" s="156"/>
      <c r="AX7" s="156"/>
      <c r="AY7" s="156"/>
      <c r="AZ7" s="156"/>
      <c r="BA7" s="156"/>
      <c r="BB7" s="156"/>
      <c r="BC7" s="156"/>
      <c r="BD7" s="156"/>
      <c r="BE7" s="156"/>
      <c r="BF7" s="156"/>
      <c r="BG7" s="156"/>
      <c r="BH7" s="156"/>
    </row>
    <row r="8" spans="1:60" ht="19.5" thickBot="1">
      <c r="A8" s="1">
        <v>1</v>
      </c>
      <c r="B8" s="7" t="s">
        <v>20</v>
      </c>
      <c r="C8" s="10">
        <v>5</v>
      </c>
      <c r="D8" s="11">
        <v>7</v>
      </c>
      <c r="E8" s="36"/>
      <c r="F8" s="36"/>
      <c r="G8" s="37"/>
      <c r="H8" s="38"/>
      <c r="I8" s="38">
        <f t="shared" ref="I8:J43" si="0">C8-G8</f>
        <v>5</v>
      </c>
      <c r="J8" s="63">
        <f t="shared" si="0"/>
        <v>7</v>
      </c>
      <c r="K8" s="62"/>
      <c r="L8" s="36"/>
      <c r="M8" s="36"/>
      <c r="N8" s="36"/>
      <c r="O8" s="36"/>
      <c r="P8" s="36"/>
      <c r="Q8" s="99"/>
      <c r="R8" s="100">
        <f t="shared" ref="R8:S59" si="1">L8+N8+P8</f>
        <v>0</v>
      </c>
      <c r="S8" s="101">
        <f t="shared" si="1"/>
        <v>0</v>
      </c>
      <c r="T8" s="62"/>
      <c r="U8" s="8">
        <f t="shared" ref="U8:U37" si="2">L8*24+N8*24+P8*24</f>
        <v>0</v>
      </c>
      <c r="V8" s="135">
        <f t="shared" ref="V8:V37" si="3">U8/24</f>
        <v>0</v>
      </c>
      <c r="W8" s="134">
        <f t="shared" ref="W8:W37" si="4">I8*24+J8</f>
        <v>127</v>
      </c>
      <c r="X8" s="61"/>
      <c r="AL8" s="157"/>
      <c r="AM8" s="157"/>
      <c r="AN8" s="157"/>
      <c r="AO8" s="157"/>
      <c r="AP8" s="157"/>
      <c r="AQ8" s="157"/>
      <c r="AR8" s="157"/>
      <c r="AS8" s="157"/>
      <c r="AT8" s="157"/>
      <c r="AU8" s="157"/>
      <c r="AV8" s="157"/>
      <c r="AW8" s="157"/>
      <c r="AX8" s="157"/>
      <c r="AY8" s="157"/>
      <c r="AZ8" s="157"/>
      <c r="BA8" s="157"/>
      <c r="BB8" s="157"/>
      <c r="BC8" s="157"/>
      <c r="BD8" s="157"/>
      <c r="BE8" s="157"/>
      <c r="BF8" s="157"/>
      <c r="BG8" s="157"/>
      <c r="BH8" s="157"/>
    </row>
    <row r="9" spans="1:60" ht="19.5" thickBot="1">
      <c r="A9" s="1">
        <f t="shared" ref="A9:A59" si="5">A8+1</f>
        <v>2</v>
      </c>
      <c r="B9" s="12" t="s">
        <v>21</v>
      </c>
      <c r="C9" s="13">
        <v>73</v>
      </c>
      <c r="D9" s="14"/>
      <c r="E9" s="39"/>
      <c r="F9" s="39"/>
      <c r="G9" s="40">
        <v>5</v>
      </c>
      <c r="H9" s="41"/>
      <c r="I9" s="40">
        <f t="shared" si="0"/>
        <v>68</v>
      </c>
      <c r="J9" s="64">
        <f t="shared" si="0"/>
        <v>0</v>
      </c>
      <c r="K9" s="65"/>
      <c r="L9" s="51">
        <v>5</v>
      </c>
      <c r="M9" s="51"/>
      <c r="N9" s="51"/>
      <c r="O9" s="51"/>
      <c r="P9" s="51"/>
      <c r="Q9" s="102"/>
      <c r="R9" s="103">
        <f t="shared" si="1"/>
        <v>5</v>
      </c>
      <c r="S9" s="104">
        <f t="shared" si="1"/>
        <v>0</v>
      </c>
      <c r="T9" s="65"/>
      <c r="U9" s="136">
        <f t="shared" si="2"/>
        <v>120</v>
      </c>
      <c r="V9" s="137">
        <f t="shared" si="3"/>
        <v>5</v>
      </c>
      <c r="W9" s="138">
        <f t="shared" si="4"/>
        <v>1632</v>
      </c>
      <c r="X9" s="139"/>
      <c r="AL9" s="157"/>
      <c r="AM9" s="157"/>
      <c r="AN9" s="157"/>
      <c r="AO9" s="157"/>
      <c r="AP9" s="157"/>
      <c r="AQ9" s="157"/>
      <c r="AR9" s="157"/>
      <c r="AS9" s="157"/>
      <c r="AT9" s="157"/>
      <c r="AU9" s="157"/>
      <c r="AV9" s="157"/>
      <c r="AW9" s="157"/>
      <c r="AX9" s="157"/>
      <c r="AY9" s="157"/>
      <c r="AZ9" s="157"/>
      <c r="BA9" s="157"/>
      <c r="BB9" s="157"/>
      <c r="BC9" s="157"/>
      <c r="BD9" s="157"/>
      <c r="BE9" s="157"/>
      <c r="BF9" s="157"/>
      <c r="BG9" s="157"/>
      <c r="BH9" s="157"/>
    </row>
    <row r="10" spans="1:60" ht="19.5" thickBot="1">
      <c r="A10" s="1">
        <f t="shared" si="5"/>
        <v>3</v>
      </c>
      <c r="B10" s="7" t="s">
        <v>22</v>
      </c>
      <c r="C10" s="10">
        <v>12</v>
      </c>
      <c r="D10" s="11"/>
      <c r="E10" s="36"/>
      <c r="F10" s="36"/>
      <c r="G10" s="37">
        <v>5</v>
      </c>
      <c r="H10" s="38"/>
      <c r="I10" s="38">
        <f t="shared" si="0"/>
        <v>7</v>
      </c>
      <c r="J10" s="66">
        <f t="shared" si="0"/>
        <v>0</v>
      </c>
      <c r="K10" s="62"/>
      <c r="L10" s="36">
        <v>5</v>
      </c>
      <c r="M10" s="36"/>
      <c r="N10" s="36"/>
      <c r="O10" s="36"/>
      <c r="P10" s="36"/>
      <c r="Q10" s="99"/>
      <c r="R10" s="105">
        <f t="shared" si="1"/>
        <v>5</v>
      </c>
      <c r="S10" s="106">
        <f t="shared" si="1"/>
        <v>0</v>
      </c>
      <c r="T10" s="62"/>
      <c r="U10" s="8">
        <f t="shared" si="2"/>
        <v>120</v>
      </c>
      <c r="V10" s="140">
        <f t="shared" si="3"/>
        <v>5</v>
      </c>
      <c r="W10" s="134">
        <f t="shared" si="4"/>
        <v>168</v>
      </c>
      <c r="X10" s="61"/>
      <c r="AL10" s="157"/>
      <c r="AM10" s="157"/>
      <c r="AN10" s="157"/>
      <c r="AO10" s="157"/>
      <c r="AP10" s="157"/>
      <c r="AQ10" s="157"/>
      <c r="AR10" s="157"/>
      <c r="AS10" s="157"/>
      <c r="AT10" s="157"/>
      <c r="AU10" s="157"/>
      <c r="AV10" s="157"/>
      <c r="AW10" s="157"/>
      <c r="AX10" s="157"/>
      <c r="AY10" s="157"/>
      <c r="AZ10" s="157"/>
      <c r="BA10" s="157"/>
      <c r="BB10" s="157"/>
      <c r="BC10" s="157"/>
      <c r="BD10" s="157"/>
      <c r="BE10" s="157"/>
      <c r="BF10" s="157"/>
      <c r="BG10" s="157"/>
      <c r="BH10" s="157"/>
    </row>
    <row r="11" spans="1:60" ht="19.5" thickBot="1">
      <c r="A11" s="1">
        <f t="shared" si="5"/>
        <v>4</v>
      </c>
      <c r="B11" s="15" t="s">
        <v>23</v>
      </c>
      <c r="C11" s="10">
        <v>10</v>
      </c>
      <c r="D11" s="11"/>
      <c r="E11" s="36"/>
      <c r="F11" s="36"/>
      <c r="G11" s="37">
        <v>10</v>
      </c>
      <c r="H11" s="38"/>
      <c r="I11" s="38">
        <f t="shared" si="0"/>
        <v>0</v>
      </c>
      <c r="J11" s="63">
        <f t="shared" si="0"/>
        <v>0</v>
      </c>
      <c r="K11" s="62"/>
      <c r="L11" s="36">
        <v>10</v>
      </c>
      <c r="M11" s="36"/>
      <c r="N11" s="36"/>
      <c r="O11" s="36"/>
      <c r="P11" s="36"/>
      <c r="Q11" s="99"/>
      <c r="R11" s="100">
        <f t="shared" si="1"/>
        <v>10</v>
      </c>
      <c r="S11" s="101">
        <f t="shared" si="1"/>
        <v>0</v>
      </c>
      <c r="T11" s="62"/>
      <c r="U11" s="8">
        <f t="shared" si="2"/>
        <v>240</v>
      </c>
      <c r="V11" s="135">
        <f t="shared" si="3"/>
        <v>10</v>
      </c>
      <c r="W11" s="134">
        <f t="shared" si="4"/>
        <v>0</v>
      </c>
      <c r="X11" s="61"/>
      <c r="AL11" s="157"/>
      <c r="AM11" s="157"/>
      <c r="AN11" s="157"/>
      <c r="AO11" s="157"/>
      <c r="AP11" s="157"/>
      <c r="AQ11" s="157"/>
      <c r="AR11" s="157"/>
      <c r="AS11" s="157"/>
      <c r="AT11" s="157"/>
      <c r="AU11" s="157"/>
      <c r="AV11" s="157"/>
      <c r="AW11" s="157"/>
      <c r="AX11" s="157"/>
      <c r="AY11" s="157"/>
      <c r="AZ11" s="157"/>
      <c r="BA11" s="157"/>
      <c r="BB11" s="157"/>
      <c r="BC11" s="157"/>
      <c r="BD11" s="157"/>
      <c r="BE11" s="157"/>
      <c r="BF11" s="157"/>
      <c r="BG11" s="157"/>
      <c r="BH11" s="157"/>
    </row>
    <row r="12" spans="1:60" ht="19.5" thickBot="1">
      <c r="A12" s="1">
        <f t="shared" si="5"/>
        <v>5</v>
      </c>
      <c r="B12" s="15" t="s">
        <v>24</v>
      </c>
      <c r="C12" s="10"/>
      <c r="D12" s="11">
        <v>2</v>
      </c>
      <c r="E12" s="36"/>
      <c r="F12" s="36"/>
      <c r="G12" s="37"/>
      <c r="H12" s="38"/>
      <c r="I12" s="38">
        <f t="shared" si="0"/>
        <v>0</v>
      </c>
      <c r="J12" s="63">
        <f t="shared" si="0"/>
        <v>2</v>
      </c>
      <c r="K12" s="62"/>
      <c r="L12" s="36"/>
      <c r="M12" s="36"/>
      <c r="N12" s="36"/>
      <c r="O12" s="36"/>
      <c r="P12" s="36"/>
      <c r="Q12" s="99"/>
      <c r="R12" s="100">
        <f t="shared" si="1"/>
        <v>0</v>
      </c>
      <c r="S12" s="101">
        <f t="shared" si="1"/>
        <v>0</v>
      </c>
      <c r="T12" s="62"/>
      <c r="U12" s="8">
        <f t="shared" si="2"/>
        <v>0</v>
      </c>
      <c r="V12" s="135">
        <f t="shared" si="3"/>
        <v>0</v>
      </c>
      <c r="W12" s="134">
        <f t="shared" si="4"/>
        <v>2</v>
      </c>
      <c r="X12" s="61"/>
      <c r="AL12" s="157"/>
      <c r="AM12" s="157"/>
      <c r="AN12" s="157"/>
      <c r="AO12" s="157"/>
      <c r="AP12" s="157"/>
      <c r="AQ12" s="157"/>
      <c r="AR12" s="157"/>
      <c r="AS12" s="157"/>
      <c r="AT12" s="157"/>
      <c r="AU12" s="157"/>
      <c r="AV12" s="157"/>
      <c r="AW12" s="157"/>
      <c r="AX12" s="157"/>
      <c r="AY12" s="157"/>
      <c r="AZ12" s="157"/>
      <c r="BA12" s="157"/>
      <c r="BB12" s="157"/>
      <c r="BC12" s="157"/>
      <c r="BD12" s="157"/>
      <c r="BE12" s="157"/>
      <c r="BF12" s="157"/>
      <c r="BG12" s="157"/>
      <c r="BH12" s="157"/>
    </row>
    <row r="13" spans="1:60" s="2" customFormat="1" ht="19.5" thickBot="1">
      <c r="A13" s="1">
        <f t="shared" si="5"/>
        <v>6</v>
      </c>
      <c r="B13" s="12" t="s">
        <v>25</v>
      </c>
      <c r="C13" s="13">
        <v>2954</v>
      </c>
      <c r="D13" s="14">
        <v>12</v>
      </c>
      <c r="E13" s="39"/>
      <c r="F13" s="39"/>
      <c r="G13" s="40">
        <v>24</v>
      </c>
      <c r="H13" s="41">
        <v>12</v>
      </c>
      <c r="I13" s="44">
        <f t="shared" si="0"/>
        <v>2930</v>
      </c>
      <c r="J13" s="64">
        <f t="shared" si="0"/>
        <v>0</v>
      </c>
      <c r="K13" s="67"/>
      <c r="L13" s="51">
        <v>1</v>
      </c>
      <c r="M13" s="51"/>
      <c r="N13" s="51">
        <v>10</v>
      </c>
      <c r="O13" s="51">
        <v>12</v>
      </c>
      <c r="P13" s="51">
        <v>13</v>
      </c>
      <c r="Q13" s="102"/>
      <c r="R13" s="107">
        <f t="shared" si="1"/>
        <v>24</v>
      </c>
      <c r="S13" s="104">
        <f t="shared" si="1"/>
        <v>12</v>
      </c>
      <c r="T13" s="67"/>
      <c r="U13" s="136">
        <f t="shared" si="2"/>
        <v>576</v>
      </c>
      <c r="V13" s="141">
        <f t="shared" si="3"/>
        <v>24</v>
      </c>
      <c r="W13" s="138">
        <f t="shared" si="4"/>
        <v>70320</v>
      </c>
      <c r="X13" s="139"/>
      <c r="Y13" s="3"/>
      <c r="AD13" s="3"/>
      <c r="AG13" s="3"/>
      <c r="AH13" s="3"/>
      <c r="AI13" s="3"/>
      <c r="AJ13" s="3"/>
      <c r="AK13" s="3"/>
      <c r="AL13" s="157"/>
      <c r="AM13" s="157"/>
      <c r="AN13" s="157"/>
      <c r="AO13" s="157"/>
      <c r="AP13" s="157"/>
      <c r="AQ13" s="157"/>
      <c r="AR13" s="157"/>
      <c r="AS13" s="157"/>
      <c r="AT13" s="157"/>
      <c r="AU13" s="157"/>
      <c r="AV13" s="157"/>
      <c r="AW13" s="157"/>
      <c r="AX13" s="157"/>
      <c r="AY13" s="157"/>
      <c r="AZ13" s="157"/>
      <c r="BA13" s="157"/>
      <c r="BB13" s="157"/>
      <c r="BC13" s="157"/>
      <c r="BD13" s="157"/>
      <c r="BE13" s="157"/>
      <c r="BF13" s="157"/>
      <c r="BG13" s="157"/>
      <c r="BH13" s="157"/>
    </row>
    <row r="14" spans="1:60" ht="19.5" thickBot="1">
      <c r="A14" s="1">
        <f t="shared" si="5"/>
        <v>7</v>
      </c>
      <c r="B14" s="7" t="s">
        <v>26</v>
      </c>
      <c r="C14" s="10">
        <v>3</v>
      </c>
      <c r="D14" s="11">
        <v>16</v>
      </c>
      <c r="E14" s="36"/>
      <c r="F14" s="36"/>
      <c r="G14" s="37"/>
      <c r="H14" s="38"/>
      <c r="I14" s="68">
        <f t="shared" si="0"/>
        <v>3</v>
      </c>
      <c r="J14" s="66">
        <f t="shared" si="0"/>
        <v>16</v>
      </c>
      <c r="K14" s="62"/>
      <c r="L14" s="36"/>
      <c r="M14" s="36"/>
      <c r="N14" s="36"/>
      <c r="O14" s="36"/>
      <c r="P14" s="36"/>
      <c r="Q14" s="99"/>
      <c r="R14" s="108">
        <f t="shared" si="1"/>
        <v>0</v>
      </c>
      <c r="S14" s="106">
        <f t="shared" si="1"/>
        <v>0</v>
      </c>
      <c r="T14" s="62"/>
      <c r="U14" s="8">
        <f t="shared" si="2"/>
        <v>0</v>
      </c>
      <c r="V14" s="33">
        <f t="shared" si="3"/>
        <v>0</v>
      </c>
      <c r="W14" s="134">
        <f t="shared" si="4"/>
        <v>88</v>
      </c>
      <c r="X14" s="61"/>
      <c r="AL14" s="157"/>
      <c r="AM14" s="157"/>
      <c r="AN14" s="157"/>
      <c r="AO14" s="157"/>
      <c r="AP14" s="157"/>
      <c r="AQ14" s="157"/>
      <c r="AR14" s="157"/>
      <c r="AS14" s="157"/>
      <c r="AT14" s="157"/>
      <c r="AU14" s="157"/>
      <c r="AV14" s="157"/>
      <c r="AW14" s="157"/>
      <c r="AX14" s="157"/>
      <c r="AY14" s="157"/>
      <c r="AZ14" s="157"/>
      <c r="BA14" s="157"/>
      <c r="BB14" s="157"/>
      <c r="BC14" s="157"/>
      <c r="BD14" s="157"/>
      <c r="BE14" s="157"/>
      <c r="BF14" s="157"/>
      <c r="BG14" s="157"/>
      <c r="BH14" s="157"/>
    </row>
    <row r="15" spans="1:60" ht="19.5" thickBot="1">
      <c r="A15" s="1">
        <f t="shared" si="5"/>
        <v>8</v>
      </c>
      <c r="B15" s="15" t="s">
        <v>27</v>
      </c>
      <c r="C15" s="10">
        <v>4</v>
      </c>
      <c r="D15" s="11"/>
      <c r="E15" s="36"/>
      <c r="F15" s="36"/>
      <c r="G15" s="37"/>
      <c r="H15" s="38"/>
      <c r="I15" s="38">
        <f t="shared" si="0"/>
        <v>4</v>
      </c>
      <c r="J15" s="63">
        <f t="shared" si="0"/>
        <v>0</v>
      </c>
      <c r="K15" s="62"/>
      <c r="L15" s="36"/>
      <c r="M15" s="36"/>
      <c r="N15" s="36"/>
      <c r="O15" s="36"/>
      <c r="P15" s="36"/>
      <c r="Q15" s="99"/>
      <c r="R15" s="100">
        <f t="shared" si="1"/>
        <v>0</v>
      </c>
      <c r="S15" s="101">
        <f t="shared" si="1"/>
        <v>0</v>
      </c>
      <c r="T15" s="62"/>
      <c r="U15" s="8">
        <f t="shared" si="2"/>
        <v>0</v>
      </c>
      <c r="V15" s="135">
        <f t="shared" si="3"/>
        <v>0</v>
      </c>
      <c r="W15" s="134">
        <f t="shared" si="4"/>
        <v>96</v>
      </c>
      <c r="X15" s="61"/>
      <c r="AL15" s="157"/>
      <c r="AM15" s="157"/>
      <c r="AN15" s="157"/>
      <c r="AO15" s="157"/>
      <c r="AP15" s="157"/>
      <c r="AQ15" s="157"/>
      <c r="AR15" s="157"/>
      <c r="AS15" s="157"/>
      <c r="AT15" s="157"/>
      <c r="AU15" s="157"/>
      <c r="AV15" s="157"/>
      <c r="AW15" s="157"/>
      <c r="AX15" s="157"/>
      <c r="AY15" s="157"/>
      <c r="AZ15" s="157"/>
      <c r="BA15" s="157"/>
      <c r="BB15" s="157"/>
      <c r="BC15" s="157"/>
      <c r="BD15" s="157"/>
      <c r="BE15" s="157"/>
      <c r="BF15" s="157"/>
      <c r="BG15" s="157"/>
      <c r="BH15" s="157"/>
    </row>
    <row r="16" spans="1:60" ht="19.5" thickBot="1">
      <c r="A16" s="1">
        <f t="shared" si="5"/>
        <v>9</v>
      </c>
      <c r="B16" s="15" t="s">
        <v>28</v>
      </c>
      <c r="C16" s="10">
        <v>1</v>
      </c>
      <c r="D16" s="11"/>
      <c r="E16" s="36"/>
      <c r="F16" s="36"/>
      <c r="G16" s="37"/>
      <c r="H16" s="38"/>
      <c r="I16" s="38">
        <f t="shared" si="0"/>
        <v>1</v>
      </c>
      <c r="J16" s="63">
        <f t="shared" si="0"/>
        <v>0</v>
      </c>
      <c r="K16" s="62"/>
      <c r="L16" s="36"/>
      <c r="M16" s="36"/>
      <c r="N16" s="36"/>
      <c r="O16" s="36"/>
      <c r="P16" s="36"/>
      <c r="Q16" s="99"/>
      <c r="R16" s="100">
        <f t="shared" si="1"/>
        <v>0</v>
      </c>
      <c r="S16" s="101">
        <f t="shared" si="1"/>
        <v>0</v>
      </c>
      <c r="T16" s="62"/>
      <c r="U16" s="8">
        <f t="shared" si="2"/>
        <v>0</v>
      </c>
      <c r="V16" s="135">
        <f t="shared" si="3"/>
        <v>0</v>
      </c>
      <c r="W16" s="134">
        <f t="shared" si="4"/>
        <v>24</v>
      </c>
      <c r="X16" s="61"/>
      <c r="AL16" s="157"/>
      <c r="AM16" s="157"/>
      <c r="AN16" s="157"/>
      <c r="AO16" s="157"/>
      <c r="AP16" s="157"/>
      <c r="AQ16" s="157"/>
      <c r="AR16" s="157"/>
      <c r="AS16" s="157"/>
      <c r="AT16" s="157"/>
      <c r="AU16" s="157"/>
      <c r="AV16" s="157"/>
      <c r="AW16" s="157"/>
      <c r="AX16" s="157"/>
      <c r="AY16" s="157"/>
      <c r="AZ16" s="157"/>
      <c r="BA16" s="157"/>
      <c r="BB16" s="157"/>
      <c r="BC16" s="157"/>
      <c r="BD16" s="157"/>
      <c r="BE16" s="157"/>
      <c r="BF16" s="157"/>
      <c r="BG16" s="157"/>
      <c r="BH16" s="157"/>
    </row>
    <row r="17" spans="1:60" ht="19.5" thickBot="1">
      <c r="A17" s="1">
        <f t="shared" si="5"/>
        <v>10</v>
      </c>
      <c r="B17" s="15" t="s">
        <v>29</v>
      </c>
      <c r="C17" s="10"/>
      <c r="D17" s="11"/>
      <c r="E17" s="36"/>
      <c r="F17" s="36"/>
      <c r="G17" s="37"/>
      <c r="H17" s="38"/>
      <c r="I17" s="38">
        <f t="shared" si="0"/>
        <v>0</v>
      </c>
      <c r="J17" s="63">
        <f t="shared" si="0"/>
        <v>0</v>
      </c>
      <c r="K17" s="62"/>
      <c r="L17" s="36"/>
      <c r="M17" s="36"/>
      <c r="N17" s="36"/>
      <c r="O17" s="36"/>
      <c r="P17" s="36"/>
      <c r="Q17" s="99"/>
      <c r="R17" s="100">
        <f t="shared" si="1"/>
        <v>0</v>
      </c>
      <c r="S17" s="101">
        <f t="shared" si="1"/>
        <v>0</v>
      </c>
      <c r="T17" s="62"/>
      <c r="U17" s="8">
        <f t="shared" si="2"/>
        <v>0</v>
      </c>
      <c r="V17" s="135">
        <f t="shared" si="3"/>
        <v>0</v>
      </c>
      <c r="W17" s="134">
        <f t="shared" si="4"/>
        <v>0</v>
      </c>
      <c r="X17" s="61"/>
      <c r="AL17" s="157"/>
      <c r="AM17" s="157"/>
      <c r="AN17" s="157"/>
      <c r="AO17" s="157"/>
      <c r="AP17" s="157"/>
      <c r="AQ17" s="157"/>
      <c r="AR17" s="157"/>
      <c r="AS17" s="157"/>
      <c r="AT17" s="157"/>
      <c r="AU17" s="157"/>
      <c r="AV17" s="157"/>
      <c r="AW17" s="157"/>
      <c r="AX17" s="157"/>
      <c r="AY17" s="157"/>
      <c r="AZ17" s="157"/>
      <c r="BA17" s="157"/>
      <c r="BB17" s="157"/>
      <c r="BC17" s="157"/>
      <c r="BD17" s="157"/>
      <c r="BE17" s="157"/>
      <c r="BF17" s="157"/>
      <c r="BG17" s="157"/>
      <c r="BH17" s="157"/>
    </row>
    <row r="18" spans="1:60" ht="19.5" thickBot="1">
      <c r="A18" s="1">
        <f t="shared" si="5"/>
        <v>11</v>
      </c>
      <c r="B18" s="15" t="s">
        <v>30</v>
      </c>
      <c r="C18" s="10">
        <v>3</v>
      </c>
      <c r="D18" s="11"/>
      <c r="E18" s="36"/>
      <c r="F18" s="36"/>
      <c r="G18" s="37"/>
      <c r="H18" s="38"/>
      <c r="I18" s="38">
        <f t="shared" si="0"/>
        <v>3</v>
      </c>
      <c r="J18" s="63">
        <f t="shared" si="0"/>
        <v>0</v>
      </c>
      <c r="K18" s="62"/>
      <c r="L18" s="36"/>
      <c r="M18" s="36"/>
      <c r="N18" s="36"/>
      <c r="O18" s="36"/>
      <c r="P18" s="36"/>
      <c r="Q18" s="99"/>
      <c r="R18" s="100">
        <f t="shared" si="1"/>
        <v>0</v>
      </c>
      <c r="S18" s="101">
        <f t="shared" si="1"/>
        <v>0</v>
      </c>
      <c r="T18" s="62"/>
      <c r="U18" s="8">
        <f t="shared" si="2"/>
        <v>0</v>
      </c>
      <c r="V18" s="135">
        <f t="shared" si="3"/>
        <v>0</v>
      </c>
      <c r="W18" s="134">
        <f t="shared" si="4"/>
        <v>72</v>
      </c>
      <c r="X18" s="61"/>
      <c r="AL18" s="157"/>
      <c r="AM18" s="157"/>
      <c r="AN18" s="157"/>
      <c r="AO18" s="157"/>
      <c r="AP18" s="157"/>
      <c r="AQ18" s="157"/>
      <c r="AR18" s="157"/>
      <c r="AS18" s="157"/>
      <c r="AT18" s="157"/>
      <c r="AU18" s="157"/>
      <c r="AV18" s="157"/>
      <c r="AW18" s="157"/>
      <c r="AX18" s="157"/>
      <c r="AY18" s="157"/>
      <c r="AZ18" s="157"/>
      <c r="BA18" s="157"/>
      <c r="BB18" s="157"/>
      <c r="BC18" s="157"/>
      <c r="BD18" s="157"/>
      <c r="BE18" s="157"/>
      <c r="BF18" s="157"/>
      <c r="BG18" s="157"/>
      <c r="BH18" s="157"/>
    </row>
    <row r="19" spans="1:60" ht="18.75" hidden="1" customHeight="1">
      <c r="A19" s="1">
        <f t="shared" si="5"/>
        <v>12</v>
      </c>
      <c r="B19" s="15" t="s">
        <v>31</v>
      </c>
      <c r="C19" s="10"/>
      <c r="D19" s="11"/>
      <c r="E19" s="36"/>
      <c r="F19" s="36"/>
      <c r="G19" s="37"/>
      <c r="H19" s="38"/>
      <c r="I19" s="38">
        <f t="shared" si="0"/>
        <v>0</v>
      </c>
      <c r="J19" s="63">
        <f t="shared" si="0"/>
        <v>0</v>
      </c>
      <c r="K19" s="62"/>
      <c r="L19" s="36"/>
      <c r="M19" s="36"/>
      <c r="N19" s="36"/>
      <c r="O19" s="36"/>
      <c r="P19" s="36"/>
      <c r="Q19" s="99"/>
      <c r="R19" s="100">
        <f t="shared" si="1"/>
        <v>0</v>
      </c>
      <c r="S19" s="101">
        <f t="shared" si="1"/>
        <v>0</v>
      </c>
      <c r="T19" s="62"/>
      <c r="U19" s="8">
        <f t="shared" si="2"/>
        <v>0</v>
      </c>
      <c r="V19" s="135">
        <f t="shared" si="3"/>
        <v>0</v>
      </c>
      <c r="W19" s="134">
        <f t="shared" si="4"/>
        <v>0</v>
      </c>
      <c r="X19" s="61"/>
      <c r="AL19" s="157"/>
      <c r="AM19" s="157"/>
      <c r="AN19" s="157"/>
      <c r="AO19" s="157"/>
      <c r="AP19" s="157"/>
      <c r="AQ19" s="157"/>
      <c r="AR19" s="157"/>
      <c r="AS19" s="157"/>
      <c r="AT19" s="157"/>
      <c r="AU19" s="157"/>
      <c r="AV19" s="157"/>
      <c r="AW19" s="157"/>
      <c r="AX19" s="157"/>
      <c r="AY19" s="157"/>
      <c r="AZ19" s="157"/>
      <c r="BA19" s="157"/>
      <c r="BB19" s="157"/>
      <c r="BC19" s="157"/>
      <c r="BD19" s="157"/>
      <c r="BE19" s="157"/>
      <c r="BF19" s="157"/>
      <c r="BG19" s="157"/>
      <c r="BH19" s="157"/>
    </row>
    <row r="20" spans="1:60" ht="19.5" thickBot="1">
      <c r="A20" s="1">
        <f t="shared" si="5"/>
        <v>13</v>
      </c>
      <c r="B20" s="15" t="s">
        <v>32</v>
      </c>
      <c r="C20" s="10">
        <v>4</v>
      </c>
      <c r="D20" s="11">
        <v>20</v>
      </c>
      <c r="E20" s="36"/>
      <c r="F20" s="36"/>
      <c r="G20" s="37"/>
      <c r="H20" s="38"/>
      <c r="I20" s="38">
        <f t="shared" si="0"/>
        <v>4</v>
      </c>
      <c r="J20" s="63">
        <f t="shared" si="0"/>
        <v>20</v>
      </c>
      <c r="K20" s="62"/>
      <c r="L20" s="36"/>
      <c r="M20" s="36"/>
      <c r="N20" s="36"/>
      <c r="O20" s="36"/>
      <c r="P20" s="36"/>
      <c r="Q20" s="99"/>
      <c r="R20" s="100">
        <f t="shared" si="1"/>
        <v>0</v>
      </c>
      <c r="S20" s="101">
        <f t="shared" si="1"/>
        <v>0</v>
      </c>
      <c r="T20" s="62"/>
      <c r="U20" s="8">
        <f t="shared" si="2"/>
        <v>0</v>
      </c>
      <c r="V20" s="135">
        <f t="shared" si="3"/>
        <v>0</v>
      </c>
      <c r="W20" s="134">
        <f t="shared" si="4"/>
        <v>116</v>
      </c>
      <c r="X20" s="61"/>
      <c r="AL20" s="157"/>
      <c r="AM20" s="157"/>
      <c r="AN20" s="157"/>
      <c r="AO20" s="157"/>
      <c r="AP20" s="157"/>
      <c r="AQ20" s="157"/>
      <c r="AR20" s="157"/>
      <c r="AS20" s="157"/>
      <c r="AT20" s="157"/>
      <c r="AU20" s="157"/>
      <c r="AV20" s="157"/>
      <c r="AW20" s="157"/>
      <c r="AX20" s="157"/>
      <c r="AY20" s="157"/>
      <c r="AZ20" s="157"/>
      <c r="BA20" s="157"/>
      <c r="BB20" s="157"/>
      <c r="BC20" s="157"/>
      <c r="BD20" s="157"/>
      <c r="BE20" s="157"/>
      <c r="BF20" s="157"/>
      <c r="BG20" s="157"/>
      <c r="BH20" s="157"/>
    </row>
    <row r="21" spans="1:60" ht="19.5" thickBot="1">
      <c r="A21" s="1">
        <f t="shared" si="5"/>
        <v>14</v>
      </c>
      <c r="B21" s="15" t="s">
        <v>33</v>
      </c>
      <c r="C21" s="10">
        <v>7</v>
      </c>
      <c r="D21" s="11"/>
      <c r="E21" s="36"/>
      <c r="F21" s="36"/>
      <c r="G21" s="37">
        <v>1</v>
      </c>
      <c r="H21" s="38"/>
      <c r="I21" s="38">
        <f t="shared" si="0"/>
        <v>6</v>
      </c>
      <c r="J21" s="63">
        <f t="shared" si="0"/>
        <v>0</v>
      </c>
      <c r="K21" s="62"/>
      <c r="L21" s="36">
        <v>1</v>
      </c>
      <c r="M21" s="36"/>
      <c r="N21" s="36"/>
      <c r="O21" s="36"/>
      <c r="P21" s="36"/>
      <c r="Q21" s="99"/>
      <c r="R21" s="100">
        <f t="shared" si="1"/>
        <v>1</v>
      </c>
      <c r="S21" s="101">
        <f t="shared" si="1"/>
        <v>0</v>
      </c>
      <c r="T21" s="62"/>
      <c r="U21" s="8">
        <f t="shared" si="2"/>
        <v>24</v>
      </c>
      <c r="V21" s="135">
        <f t="shared" si="3"/>
        <v>1</v>
      </c>
      <c r="W21" s="134">
        <f t="shared" si="4"/>
        <v>144</v>
      </c>
      <c r="X21" s="61"/>
      <c r="AL21" s="157"/>
      <c r="AM21" s="157"/>
      <c r="AN21" s="157"/>
      <c r="AO21" s="157"/>
      <c r="AP21" s="157"/>
      <c r="AQ21" s="157"/>
      <c r="AR21" s="157"/>
      <c r="AS21" s="157"/>
      <c r="AT21" s="157"/>
      <c r="AU21" s="157"/>
      <c r="AV21" s="157"/>
      <c r="AW21" s="157"/>
      <c r="AX21" s="157"/>
      <c r="AY21" s="157"/>
      <c r="AZ21" s="157"/>
      <c r="BA21" s="157"/>
      <c r="BB21" s="157"/>
      <c r="BC21" s="157"/>
      <c r="BD21" s="157"/>
      <c r="BE21" s="157"/>
      <c r="BF21" s="157"/>
      <c r="BG21" s="157"/>
      <c r="BH21" s="157"/>
    </row>
    <row r="22" spans="1:60" ht="19.5" thickBot="1">
      <c r="A22" s="1">
        <f t="shared" si="5"/>
        <v>15</v>
      </c>
      <c r="B22" s="15" t="s">
        <v>34</v>
      </c>
      <c r="C22" s="10">
        <v>4</v>
      </c>
      <c r="D22" s="11"/>
      <c r="E22" s="36"/>
      <c r="F22" s="36"/>
      <c r="G22" s="37">
        <v>1</v>
      </c>
      <c r="H22" s="38"/>
      <c r="I22" s="38">
        <f t="shared" si="0"/>
        <v>3</v>
      </c>
      <c r="J22" s="63">
        <f t="shared" si="0"/>
        <v>0</v>
      </c>
      <c r="K22" s="62"/>
      <c r="L22" s="36">
        <v>1</v>
      </c>
      <c r="M22" s="36"/>
      <c r="N22" s="36"/>
      <c r="O22" s="36"/>
      <c r="P22" s="36"/>
      <c r="Q22" s="99"/>
      <c r="R22" s="100">
        <f t="shared" si="1"/>
        <v>1</v>
      </c>
      <c r="S22" s="101">
        <f t="shared" si="1"/>
        <v>0</v>
      </c>
      <c r="T22" s="62"/>
      <c r="U22" s="8">
        <f t="shared" si="2"/>
        <v>24</v>
      </c>
      <c r="V22" s="135">
        <f t="shared" si="3"/>
        <v>1</v>
      </c>
      <c r="W22" s="134">
        <f t="shared" si="4"/>
        <v>72</v>
      </c>
      <c r="X22" s="61"/>
      <c r="AL22" s="157"/>
      <c r="AM22" s="157"/>
      <c r="AN22" s="157"/>
      <c r="AO22" s="157"/>
      <c r="AP22" s="157"/>
      <c r="AQ22" s="157"/>
      <c r="AR22" s="157"/>
      <c r="AS22" s="157"/>
      <c r="AT22" s="157"/>
      <c r="AU22" s="157"/>
      <c r="AV22" s="157"/>
      <c r="AW22" s="157"/>
      <c r="AX22" s="157"/>
      <c r="AY22" s="157"/>
      <c r="AZ22" s="157"/>
      <c r="BA22" s="157"/>
      <c r="BB22" s="157"/>
      <c r="BC22" s="157"/>
      <c r="BD22" s="157"/>
      <c r="BE22" s="157"/>
      <c r="BF22" s="157"/>
      <c r="BG22" s="157"/>
      <c r="BH22" s="157"/>
    </row>
    <row r="23" spans="1:60" s="2" customFormat="1" ht="19.5" thickBot="1">
      <c r="A23" s="1">
        <f t="shared" si="5"/>
        <v>16</v>
      </c>
      <c r="B23" s="15" t="s">
        <v>35</v>
      </c>
      <c r="C23" s="10">
        <v>1</v>
      </c>
      <c r="D23" s="11">
        <v>20</v>
      </c>
      <c r="E23" s="36"/>
      <c r="F23" s="36"/>
      <c r="G23" s="37"/>
      <c r="H23" s="38"/>
      <c r="I23" s="38">
        <f t="shared" si="0"/>
        <v>1</v>
      </c>
      <c r="J23" s="63">
        <f t="shared" si="0"/>
        <v>20</v>
      </c>
      <c r="K23" s="69"/>
      <c r="L23" s="36"/>
      <c r="M23" s="36"/>
      <c r="N23" s="36"/>
      <c r="O23" s="36"/>
      <c r="P23" s="36"/>
      <c r="Q23" s="99"/>
      <c r="R23" s="100">
        <f t="shared" si="1"/>
        <v>0</v>
      </c>
      <c r="S23" s="101">
        <f t="shared" si="1"/>
        <v>0</v>
      </c>
      <c r="T23" s="69"/>
      <c r="U23" s="8">
        <f t="shared" si="2"/>
        <v>0</v>
      </c>
      <c r="V23" s="135">
        <f t="shared" si="3"/>
        <v>0</v>
      </c>
      <c r="W23" s="134">
        <f t="shared" si="4"/>
        <v>44</v>
      </c>
      <c r="X23" s="61"/>
      <c r="Y23" s="3"/>
      <c r="AD23" s="3"/>
      <c r="AG23" s="3"/>
      <c r="AH23" s="3"/>
      <c r="AI23" s="3"/>
      <c r="AJ23" s="3"/>
      <c r="AK23" s="3"/>
      <c r="AL23" s="157"/>
      <c r="AM23" s="157"/>
      <c r="AN23" s="157"/>
      <c r="AO23" s="157"/>
      <c r="AP23" s="157"/>
      <c r="AQ23" s="157"/>
      <c r="AR23" s="157"/>
      <c r="AS23" s="157"/>
      <c r="AT23" s="157"/>
      <c r="AU23" s="157"/>
      <c r="AV23" s="157"/>
      <c r="AW23" s="157"/>
      <c r="AX23" s="157"/>
      <c r="AY23" s="157"/>
      <c r="AZ23" s="157"/>
      <c r="BA23" s="157"/>
      <c r="BB23" s="157"/>
      <c r="BC23" s="157"/>
      <c r="BD23" s="157"/>
      <c r="BE23" s="157"/>
      <c r="BF23" s="157"/>
      <c r="BG23" s="157"/>
      <c r="BH23" s="157"/>
    </row>
    <row r="24" spans="1:60" s="2" customFormat="1" ht="19.5" thickBot="1">
      <c r="A24" s="1">
        <f t="shared" si="5"/>
        <v>17</v>
      </c>
      <c r="B24" s="15" t="s">
        <v>36</v>
      </c>
      <c r="C24" s="10">
        <v>37</v>
      </c>
      <c r="D24" s="11">
        <v>19</v>
      </c>
      <c r="E24" s="36"/>
      <c r="F24" s="36"/>
      <c r="G24" s="37"/>
      <c r="H24" s="38"/>
      <c r="I24" s="38">
        <f t="shared" si="0"/>
        <v>37</v>
      </c>
      <c r="J24" s="63">
        <f t="shared" si="0"/>
        <v>19</v>
      </c>
      <c r="K24" s="69"/>
      <c r="L24" s="36"/>
      <c r="M24" s="36"/>
      <c r="N24" s="36"/>
      <c r="O24" s="36"/>
      <c r="P24" s="36"/>
      <c r="Q24" s="99"/>
      <c r="R24" s="100">
        <f t="shared" si="1"/>
        <v>0</v>
      </c>
      <c r="S24" s="101">
        <f t="shared" si="1"/>
        <v>0</v>
      </c>
      <c r="T24" s="69"/>
      <c r="U24" s="8">
        <f t="shared" si="2"/>
        <v>0</v>
      </c>
      <c r="V24" s="135">
        <f t="shared" si="3"/>
        <v>0</v>
      </c>
      <c r="W24" s="134">
        <f t="shared" si="4"/>
        <v>907</v>
      </c>
      <c r="X24" s="61"/>
      <c r="Y24" s="3"/>
      <c r="AD24" s="3"/>
      <c r="AG24" s="3"/>
      <c r="AH24" s="3"/>
      <c r="AI24" s="3"/>
      <c r="AJ24" s="3"/>
      <c r="AK24" s="3"/>
      <c r="AL24" s="157"/>
      <c r="AM24" s="157"/>
      <c r="AN24" s="157"/>
      <c r="AO24" s="157"/>
      <c r="AP24" s="157"/>
      <c r="AQ24" s="157"/>
      <c r="AR24" s="157"/>
      <c r="AS24" s="157"/>
      <c r="AT24" s="157"/>
      <c r="AU24" s="157"/>
      <c r="AV24" s="157"/>
      <c r="AW24" s="157"/>
      <c r="AX24" s="157"/>
      <c r="AY24" s="157"/>
      <c r="AZ24" s="157"/>
      <c r="BA24" s="157"/>
      <c r="BB24" s="157"/>
      <c r="BC24" s="157"/>
      <c r="BD24" s="157"/>
      <c r="BE24" s="157"/>
      <c r="BF24" s="157"/>
      <c r="BG24" s="157"/>
      <c r="BH24" s="157"/>
    </row>
    <row r="25" spans="1:60" ht="19.5" thickBot="1">
      <c r="A25" s="1">
        <f t="shared" si="5"/>
        <v>18</v>
      </c>
      <c r="B25" s="15" t="s">
        <v>37</v>
      </c>
      <c r="C25" s="10">
        <v>10</v>
      </c>
      <c r="D25" s="11"/>
      <c r="E25" s="36"/>
      <c r="F25" s="36"/>
      <c r="G25" s="37">
        <v>1</v>
      </c>
      <c r="H25" s="38"/>
      <c r="I25" s="38">
        <f t="shared" si="0"/>
        <v>9</v>
      </c>
      <c r="J25" s="63">
        <f t="shared" si="0"/>
        <v>0</v>
      </c>
      <c r="K25" s="62"/>
      <c r="L25" s="36">
        <v>1</v>
      </c>
      <c r="M25" s="36"/>
      <c r="N25" s="36"/>
      <c r="O25" s="36"/>
      <c r="P25" s="36"/>
      <c r="Q25" s="99"/>
      <c r="R25" s="100">
        <f t="shared" si="1"/>
        <v>1</v>
      </c>
      <c r="S25" s="101">
        <f t="shared" si="1"/>
        <v>0</v>
      </c>
      <c r="T25" s="62"/>
      <c r="U25" s="8">
        <f t="shared" si="2"/>
        <v>24</v>
      </c>
      <c r="V25" s="135">
        <f t="shared" si="3"/>
        <v>1</v>
      </c>
      <c r="W25" s="134">
        <f t="shared" si="4"/>
        <v>216</v>
      </c>
      <c r="X25" s="61"/>
      <c r="AL25" s="157"/>
      <c r="AM25" s="157"/>
      <c r="AN25" s="157"/>
      <c r="AO25" s="157"/>
      <c r="AP25" s="157"/>
      <c r="AQ25" s="157"/>
      <c r="AR25" s="157"/>
      <c r="AS25" s="157"/>
      <c r="AT25" s="157"/>
      <c r="AU25" s="157"/>
      <c r="AV25" s="157"/>
      <c r="AW25" s="157"/>
      <c r="AX25" s="157"/>
      <c r="AY25" s="157"/>
      <c r="AZ25" s="157"/>
      <c r="BA25" s="157"/>
      <c r="BB25" s="157"/>
      <c r="BC25" s="157"/>
      <c r="BD25" s="157"/>
      <c r="BE25" s="157"/>
      <c r="BF25" s="157"/>
      <c r="BG25" s="157"/>
      <c r="BH25" s="157"/>
    </row>
    <row r="26" spans="1:60" ht="19.5" thickBot="1">
      <c r="A26" s="1">
        <f t="shared" si="5"/>
        <v>19</v>
      </c>
      <c r="B26" s="15" t="s">
        <v>38</v>
      </c>
      <c r="C26" s="10">
        <v>89</v>
      </c>
      <c r="D26" s="11">
        <v>1</v>
      </c>
      <c r="E26" s="36"/>
      <c r="F26" s="36"/>
      <c r="G26" s="37">
        <v>1</v>
      </c>
      <c r="H26" s="38"/>
      <c r="I26" s="38">
        <f t="shared" si="0"/>
        <v>88</v>
      </c>
      <c r="J26" s="63">
        <f t="shared" si="0"/>
        <v>1</v>
      </c>
      <c r="K26" s="62"/>
      <c r="L26" s="36"/>
      <c r="M26" s="36"/>
      <c r="N26" s="36">
        <v>1</v>
      </c>
      <c r="O26" s="36"/>
      <c r="P26" s="36"/>
      <c r="Q26" s="99"/>
      <c r="R26" s="100">
        <f t="shared" si="1"/>
        <v>1</v>
      </c>
      <c r="S26" s="101">
        <f t="shared" si="1"/>
        <v>0</v>
      </c>
      <c r="T26" s="62"/>
      <c r="U26" s="8">
        <f t="shared" si="2"/>
        <v>24</v>
      </c>
      <c r="V26" s="135">
        <f t="shared" si="3"/>
        <v>1</v>
      </c>
      <c r="W26" s="134">
        <f t="shared" si="4"/>
        <v>2113</v>
      </c>
      <c r="X26" s="61"/>
      <c r="BE26" s="158" t="e">
        <f>#REF!-BE25</f>
        <v>#REF!</v>
      </c>
    </row>
    <row r="27" spans="1:60" s="2" customFormat="1" ht="19.5" thickBot="1">
      <c r="A27" s="1">
        <f t="shared" si="5"/>
        <v>20</v>
      </c>
      <c r="B27" s="15" t="s">
        <v>39</v>
      </c>
      <c r="C27" s="10"/>
      <c r="D27" s="11"/>
      <c r="E27" s="36"/>
      <c r="F27" s="36"/>
      <c r="G27" s="37"/>
      <c r="H27" s="38"/>
      <c r="I27" s="38">
        <f t="shared" si="0"/>
        <v>0</v>
      </c>
      <c r="J27" s="63">
        <f t="shared" si="0"/>
        <v>0</v>
      </c>
      <c r="K27" s="69"/>
      <c r="L27" s="36"/>
      <c r="M27" s="36"/>
      <c r="N27" s="36"/>
      <c r="O27" s="36"/>
      <c r="P27" s="36"/>
      <c r="Q27" s="99"/>
      <c r="R27" s="100">
        <f t="shared" si="1"/>
        <v>0</v>
      </c>
      <c r="S27" s="101">
        <f t="shared" si="1"/>
        <v>0</v>
      </c>
      <c r="T27" s="69"/>
      <c r="U27" s="8">
        <f t="shared" si="2"/>
        <v>0</v>
      </c>
      <c r="V27" s="135">
        <f t="shared" si="3"/>
        <v>0</v>
      </c>
      <c r="W27" s="134">
        <f t="shared" si="4"/>
        <v>0</v>
      </c>
      <c r="X27" s="61"/>
      <c r="Y27" s="3"/>
      <c r="AD27" s="3"/>
      <c r="AG27" s="3"/>
      <c r="AH27" s="3"/>
      <c r="AI27" s="3"/>
      <c r="AJ27" s="3"/>
      <c r="AK27" s="3"/>
    </row>
    <row r="28" spans="1:60" s="2" customFormat="1" ht="19.5" thickBot="1">
      <c r="A28" s="1">
        <f t="shared" si="5"/>
        <v>21</v>
      </c>
      <c r="B28" s="15" t="s">
        <v>40</v>
      </c>
      <c r="C28" s="10">
        <v>2</v>
      </c>
      <c r="D28" s="11"/>
      <c r="E28" s="36"/>
      <c r="F28" s="36"/>
      <c r="G28" s="37"/>
      <c r="H28" s="38"/>
      <c r="I28" s="38">
        <f t="shared" si="0"/>
        <v>2</v>
      </c>
      <c r="J28" s="63">
        <f t="shared" si="0"/>
        <v>0</v>
      </c>
      <c r="K28" s="69"/>
      <c r="L28" s="36"/>
      <c r="M28" s="36"/>
      <c r="N28" s="36"/>
      <c r="O28" s="36"/>
      <c r="P28" s="36"/>
      <c r="Q28" s="99"/>
      <c r="R28" s="100">
        <f t="shared" si="1"/>
        <v>0</v>
      </c>
      <c r="S28" s="101">
        <f t="shared" si="1"/>
        <v>0</v>
      </c>
      <c r="T28" s="69"/>
      <c r="U28" s="8">
        <f t="shared" si="2"/>
        <v>0</v>
      </c>
      <c r="V28" s="135">
        <f t="shared" si="3"/>
        <v>0</v>
      </c>
      <c r="W28" s="134">
        <f t="shared" si="4"/>
        <v>48</v>
      </c>
      <c r="X28" s="61"/>
      <c r="Y28" s="3"/>
      <c r="AD28" s="3"/>
      <c r="AG28" s="3"/>
      <c r="AH28" s="3"/>
      <c r="AI28" s="3"/>
      <c r="AJ28" s="3"/>
      <c r="AK28" s="3"/>
    </row>
    <row r="29" spans="1:60" s="2" customFormat="1" ht="19.5" thickBot="1">
      <c r="A29" s="1">
        <f t="shared" si="5"/>
        <v>22</v>
      </c>
      <c r="B29" s="15" t="s">
        <v>41</v>
      </c>
      <c r="C29" s="10">
        <v>63</v>
      </c>
      <c r="D29" s="11"/>
      <c r="E29" s="36"/>
      <c r="F29" s="36"/>
      <c r="G29" s="37">
        <v>3</v>
      </c>
      <c r="H29" s="38"/>
      <c r="I29" s="38">
        <f t="shared" si="0"/>
        <v>60</v>
      </c>
      <c r="J29" s="63">
        <f t="shared" si="0"/>
        <v>0</v>
      </c>
      <c r="K29" s="69"/>
      <c r="L29" s="36">
        <v>1</v>
      </c>
      <c r="M29" s="36"/>
      <c r="N29" s="36">
        <v>2</v>
      </c>
      <c r="O29" s="36"/>
      <c r="P29" s="36"/>
      <c r="Q29" s="99"/>
      <c r="R29" s="100">
        <f t="shared" si="1"/>
        <v>3</v>
      </c>
      <c r="S29" s="101">
        <f t="shared" si="1"/>
        <v>0</v>
      </c>
      <c r="T29" s="69"/>
      <c r="U29" s="8">
        <f t="shared" si="2"/>
        <v>72</v>
      </c>
      <c r="V29" s="135">
        <f t="shared" si="3"/>
        <v>3</v>
      </c>
      <c r="W29" s="134">
        <f t="shared" si="4"/>
        <v>1440</v>
      </c>
      <c r="X29" s="61"/>
      <c r="Y29" s="3"/>
      <c r="AD29" s="3"/>
      <c r="AG29" s="3"/>
      <c r="AH29" s="3"/>
      <c r="AI29" s="3"/>
      <c r="AJ29" s="3"/>
      <c r="AK29" s="3"/>
    </row>
    <row r="30" spans="1:60" ht="19.5" thickBot="1">
      <c r="A30" s="1">
        <f t="shared" si="5"/>
        <v>23</v>
      </c>
      <c r="B30" s="15" t="s">
        <v>42</v>
      </c>
      <c r="C30" s="10">
        <v>63</v>
      </c>
      <c r="D30" s="11">
        <v>5</v>
      </c>
      <c r="E30" s="36"/>
      <c r="F30" s="36"/>
      <c r="G30" s="37"/>
      <c r="H30" s="38"/>
      <c r="I30" s="38">
        <f t="shared" si="0"/>
        <v>63</v>
      </c>
      <c r="J30" s="63">
        <f t="shared" si="0"/>
        <v>5</v>
      </c>
      <c r="K30" s="62"/>
      <c r="L30" s="36"/>
      <c r="M30" s="36"/>
      <c r="N30" s="36"/>
      <c r="O30" s="36"/>
      <c r="P30" s="36"/>
      <c r="Q30" s="99"/>
      <c r="R30" s="100">
        <f t="shared" si="1"/>
        <v>0</v>
      </c>
      <c r="S30" s="101">
        <f t="shared" si="1"/>
        <v>0</v>
      </c>
      <c r="T30" s="62"/>
      <c r="U30" s="8">
        <f t="shared" si="2"/>
        <v>0</v>
      </c>
      <c r="V30" s="135">
        <f t="shared" si="3"/>
        <v>0</v>
      </c>
      <c r="W30" s="134">
        <f t="shared" si="4"/>
        <v>1517</v>
      </c>
      <c r="X30" s="61"/>
    </row>
    <row r="31" spans="1:60" ht="19.5" thickBot="1">
      <c r="A31" s="1">
        <f t="shared" si="5"/>
        <v>24</v>
      </c>
      <c r="B31" s="15" t="s">
        <v>43</v>
      </c>
      <c r="C31" s="10"/>
      <c r="D31" s="11"/>
      <c r="E31" s="36"/>
      <c r="F31" s="36"/>
      <c r="G31" s="37"/>
      <c r="H31" s="38"/>
      <c r="I31" s="38">
        <f t="shared" si="0"/>
        <v>0</v>
      </c>
      <c r="J31" s="63">
        <f t="shared" si="0"/>
        <v>0</v>
      </c>
      <c r="K31" s="62"/>
      <c r="L31" s="36"/>
      <c r="M31" s="36"/>
      <c r="N31" s="36"/>
      <c r="O31" s="36"/>
      <c r="P31" s="36"/>
      <c r="Q31" s="99"/>
      <c r="R31" s="100">
        <f t="shared" si="1"/>
        <v>0</v>
      </c>
      <c r="S31" s="101">
        <f t="shared" si="1"/>
        <v>0</v>
      </c>
      <c r="T31" s="62"/>
      <c r="U31" s="8">
        <f t="shared" si="2"/>
        <v>0</v>
      </c>
      <c r="V31" s="135">
        <f t="shared" si="3"/>
        <v>0</v>
      </c>
      <c r="W31" s="134">
        <f t="shared" si="4"/>
        <v>0</v>
      </c>
      <c r="X31" s="61"/>
    </row>
    <row r="32" spans="1:60" ht="19.5" thickBot="1">
      <c r="A32" s="1">
        <f t="shared" si="5"/>
        <v>25</v>
      </c>
      <c r="B32" s="15" t="s">
        <v>44</v>
      </c>
      <c r="C32" s="10"/>
      <c r="D32" s="11"/>
      <c r="E32" s="36"/>
      <c r="F32" s="36"/>
      <c r="G32" s="37"/>
      <c r="H32" s="38"/>
      <c r="I32" s="38">
        <f t="shared" si="0"/>
        <v>0</v>
      </c>
      <c r="J32" s="63">
        <f t="shared" si="0"/>
        <v>0</v>
      </c>
      <c r="K32" s="62"/>
      <c r="L32" s="36"/>
      <c r="M32" s="36"/>
      <c r="N32" s="36"/>
      <c r="O32" s="36"/>
      <c r="P32" s="36"/>
      <c r="Q32" s="99"/>
      <c r="R32" s="100">
        <f t="shared" si="1"/>
        <v>0</v>
      </c>
      <c r="S32" s="101">
        <f t="shared" si="1"/>
        <v>0</v>
      </c>
      <c r="T32" s="62"/>
      <c r="U32" s="8">
        <f t="shared" si="2"/>
        <v>0</v>
      </c>
      <c r="V32" s="135">
        <f t="shared" si="3"/>
        <v>0</v>
      </c>
      <c r="W32" s="134">
        <f t="shared" si="4"/>
        <v>0</v>
      </c>
      <c r="X32" s="61"/>
    </row>
    <row r="33" spans="1:26" ht="19.5" thickBot="1">
      <c r="A33" s="1">
        <f t="shared" si="5"/>
        <v>26</v>
      </c>
      <c r="B33" s="15" t="s">
        <v>45</v>
      </c>
      <c r="C33" s="10">
        <v>2</v>
      </c>
      <c r="D33" s="11"/>
      <c r="E33" s="36"/>
      <c r="F33" s="36"/>
      <c r="G33" s="37">
        <v>1</v>
      </c>
      <c r="H33" s="38"/>
      <c r="I33" s="38">
        <f t="shared" si="0"/>
        <v>1</v>
      </c>
      <c r="J33" s="63">
        <f t="shared" si="0"/>
        <v>0</v>
      </c>
      <c r="K33" s="62"/>
      <c r="L33" s="36">
        <v>1</v>
      </c>
      <c r="M33" s="36"/>
      <c r="N33" s="36"/>
      <c r="O33" s="36"/>
      <c r="P33" s="36"/>
      <c r="Q33" s="99"/>
      <c r="R33" s="100">
        <f t="shared" si="1"/>
        <v>1</v>
      </c>
      <c r="S33" s="101">
        <f t="shared" si="1"/>
        <v>0</v>
      </c>
      <c r="T33" s="62"/>
      <c r="U33" s="8">
        <f t="shared" si="2"/>
        <v>24</v>
      </c>
      <c r="V33" s="135">
        <f t="shared" si="3"/>
        <v>1</v>
      </c>
      <c r="W33" s="134">
        <f t="shared" si="4"/>
        <v>24</v>
      </c>
      <c r="X33" s="61"/>
    </row>
    <row r="34" spans="1:26" ht="19.5" thickBot="1">
      <c r="A34" s="1">
        <f t="shared" si="5"/>
        <v>27</v>
      </c>
      <c r="B34" s="15" t="s">
        <v>46</v>
      </c>
      <c r="C34" s="10">
        <v>3</v>
      </c>
      <c r="D34" s="11"/>
      <c r="E34" s="36"/>
      <c r="F34" s="36"/>
      <c r="G34" s="37">
        <v>1</v>
      </c>
      <c r="H34" s="38"/>
      <c r="I34" s="38">
        <f t="shared" si="0"/>
        <v>2</v>
      </c>
      <c r="J34" s="63">
        <f t="shared" si="0"/>
        <v>0</v>
      </c>
      <c r="K34" s="62"/>
      <c r="L34" s="36">
        <v>1</v>
      </c>
      <c r="M34" s="36"/>
      <c r="N34" s="36"/>
      <c r="O34" s="36"/>
      <c r="P34" s="36"/>
      <c r="Q34" s="99"/>
      <c r="R34" s="100">
        <f t="shared" si="1"/>
        <v>1</v>
      </c>
      <c r="S34" s="101">
        <f t="shared" si="1"/>
        <v>0</v>
      </c>
      <c r="T34" s="62"/>
      <c r="U34" s="8">
        <f t="shared" si="2"/>
        <v>24</v>
      </c>
      <c r="V34" s="135">
        <f t="shared" si="3"/>
        <v>1</v>
      </c>
      <c r="W34" s="134">
        <f t="shared" si="4"/>
        <v>48</v>
      </c>
      <c r="X34" s="61"/>
    </row>
    <row r="35" spans="1:26" ht="19.5" thickBot="1">
      <c r="A35" s="1">
        <f t="shared" si="5"/>
        <v>28</v>
      </c>
      <c r="B35" s="15" t="s">
        <v>47</v>
      </c>
      <c r="C35" s="10">
        <v>105</v>
      </c>
      <c r="D35" s="11">
        <v>14</v>
      </c>
      <c r="E35" s="36"/>
      <c r="F35" s="36"/>
      <c r="G35" s="37">
        <v>15</v>
      </c>
      <c r="H35" s="38"/>
      <c r="I35" s="38">
        <f t="shared" si="0"/>
        <v>90</v>
      </c>
      <c r="J35" s="63">
        <f t="shared" si="0"/>
        <v>14</v>
      </c>
      <c r="K35" s="62"/>
      <c r="L35" s="36">
        <v>15</v>
      </c>
      <c r="M35" s="36"/>
      <c r="N35" s="36"/>
      <c r="O35" s="36"/>
      <c r="P35" s="36"/>
      <c r="Q35" s="99"/>
      <c r="R35" s="100">
        <f t="shared" si="1"/>
        <v>15</v>
      </c>
      <c r="S35" s="101">
        <f t="shared" si="1"/>
        <v>0</v>
      </c>
      <c r="T35" s="62"/>
      <c r="U35" s="8">
        <f t="shared" si="2"/>
        <v>360</v>
      </c>
      <c r="V35" s="135">
        <f t="shared" si="3"/>
        <v>15</v>
      </c>
      <c r="W35" s="134">
        <f t="shared" si="4"/>
        <v>2174</v>
      </c>
      <c r="X35" s="61"/>
    </row>
    <row r="36" spans="1:26" ht="18.75" hidden="1" customHeight="1">
      <c r="A36" s="1">
        <f t="shared" si="5"/>
        <v>29</v>
      </c>
      <c r="B36" s="15" t="s">
        <v>48</v>
      </c>
      <c r="C36" s="10"/>
      <c r="D36" s="11"/>
      <c r="E36" s="36"/>
      <c r="F36" s="36"/>
      <c r="G36" s="37"/>
      <c r="H36" s="38"/>
      <c r="I36" s="38">
        <f t="shared" si="0"/>
        <v>0</v>
      </c>
      <c r="J36" s="63">
        <f t="shared" si="0"/>
        <v>0</v>
      </c>
      <c r="K36" s="62"/>
      <c r="L36" s="36"/>
      <c r="M36" s="36"/>
      <c r="N36" s="36"/>
      <c r="O36" s="36"/>
      <c r="P36" s="36"/>
      <c r="Q36" s="99"/>
      <c r="R36" s="100">
        <f t="shared" si="1"/>
        <v>0</v>
      </c>
      <c r="S36" s="101">
        <f t="shared" si="1"/>
        <v>0</v>
      </c>
      <c r="T36" s="62"/>
      <c r="U36" s="8">
        <f t="shared" si="2"/>
        <v>0</v>
      </c>
      <c r="V36" s="135">
        <f t="shared" si="3"/>
        <v>0</v>
      </c>
      <c r="W36" s="134">
        <f t="shared" si="4"/>
        <v>0</v>
      </c>
      <c r="X36" s="61"/>
    </row>
    <row r="37" spans="1:26" ht="18.75" customHeight="1" thickBot="1">
      <c r="A37" s="1">
        <f t="shared" si="5"/>
        <v>30</v>
      </c>
      <c r="B37" s="15" t="s">
        <v>49</v>
      </c>
      <c r="C37" s="10">
        <v>1</v>
      </c>
      <c r="D37" s="11"/>
      <c r="E37" s="36"/>
      <c r="F37" s="36"/>
      <c r="G37" s="37"/>
      <c r="H37" s="38"/>
      <c r="I37" s="38">
        <f t="shared" si="0"/>
        <v>1</v>
      </c>
      <c r="J37" s="63">
        <f t="shared" si="0"/>
        <v>0</v>
      </c>
      <c r="K37" s="62"/>
      <c r="L37" s="36"/>
      <c r="M37" s="36"/>
      <c r="N37" s="36"/>
      <c r="O37" s="36"/>
      <c r="P37" s="36"/>
      <c r="Q37" s="99"/>
      <c r="R37" s="100">
        <f t="shared" si="1"/>
        <v>0</v>
      </c>
      <c r="S37" s="101">
        <f t="shared" si="1"/>
        <v>0</v>
      </c>
      <c r="T37" s="62"/>
      <c r="U37" s="8">
        <f t="shared" si="2"/>
        <v>0</v>
      </c>
      <c r="V37" s="135">
        <f t="shared" si="3"/>
        <v>0</v>
      </c>
      <c r="W37" s="134">
        <f t="shared" si="4"/>
        <v>24</v>
      </c>
      <c r="X37" s="61"/>
    </row>
    <row r="38" spans="1:26" ht="19.5" thickBot="1">
      <c r="A38" s="1">
        <f t="shared" si="5"/>
        <v>31</v>
      </c>
      <c r="B38" s="16" t="s">
        <v>50</v>
      </c>
      <c r="C38" s="13">
        <v>4304</v>
      </c>
      <c r="D38" s="14">
        <v>2</v>
      </c>
      <c r="E38" s="39"/>
      <c r="F38" s="39"/>
      <c r="G38" s="40">
        <v>235</v>
      </c>
      <c r="H38" s="41"/>
      <c r="I38" s="53">
        <f t="shared" si="0"/>
        <v>4069</v>
      </c>
      <c r="J38" s="70">
        <f t="shared" si="0"/>
        <v>2</v>
      </c>
      <c r="K38" s="65"/>
      <c r="L38" s="51">
        <v>105</v>
      </c>
      <c r="M38" s="51"/>
      <c r="N38" s="51">
        <v>80</v>
      </c>
      <c r="O38" s="51"/>
      <c r="P38" s="51">
        <v>50</v>
      </c>
      <c r="Q38" s="102"/>
      <c r="R38" s="107">
        <f t="shared" si="1"/>
        <v>235</v>
      </c>
      <c r="S38" s="104">
        <f t="shared" si="1"/>
        <v>0</v>
      </c>
      <c r="T38" s="65"/>
      <c r="U38" s="136">
        <f>L38*6+N38*6+P38*6</f>
        <v>1410</v>
      </c>
      <c r="V38" s="141">
        <f>U38/6</f>
        <v>235</v>
      </c>
      <c r="W38" s="138">
        <f>I38*6+J38</f>
        <v>24416</v>
      </c>
      <c r="X38" s="139"/>
    </row>
    <row r="39" spans="1:26" ht="19.5" thickBot="1">
      <c r="A39" s="1">
        <f t="shared" si="5"/>
        <v>32</v>
      </c>
      <c r="B39" s="7" t="s">
        <v>51</v>
      </c>
      <c r="C39" s="10"/>
      <c r="D39" s="11"/>
      <c r="E39" s="36"/>
      <c r="F39" s="36"/>
      <c r="G39" s="37"/>
      <c r="H39" s="38"/>
      <c r="I39" s="37">
        <f t="shared" si="0"/>
        <v>0</v>
      </c>
      <c r="J39" s="63">
        <f t="shared" si="0"/>
        <v>0</v>
      </c>
      <c r="K39" s="62"/>
      <c r="L39" s="36"/>
      <c r="M39" s="36"/>
      <c r="N39" s="36"/>
      <c r="O39" s="36"/>
      <c r="P39" s="36"/>
      <c r="Q39" s="99"/>
      <c r="R39" s="108">
        <f t="shared" si="1"/>
        <v>0</v>
      </c>
      <c r="S39" s="106">
        <f t="shared" si="1"/>
        <v>0</v>
      </c>
      <c r="T39" s="62"/>
      <c r="U39" s="8">
        <f t="shared" ref="U39:U41" si="6">L39*24+N39*24+P39*24</f>
        <v>0</v>
      </c>
      <c r="V39" s="33">
        <f t="shared" ref="V39:V41" si="7">U39/24</f>
        <v>0</v>
      </c>
      <c r="W39" s="134">
        <f t="shared" ref="W39:W41" si="8">I39*24+J39</f>
        <v>0</v>
      </c>
      <c r="X39" s="61"/>
    </row>
    <row r="40" spans="1:26" ht="19.5" thickBot="1">
      <c r="A40" s="1">
        <f t="shared" si="5"/>
        <v>33</v>
      </c>
      <c r="B40" s="17" t="s">
        <v>52</v>
      </c>
      <c r="C40" s="18">
        <v>1</v>
      </c>
      <c r="D40" s="19"/>
      <c r="E40" s="42"/>
      <c r="F40" s="42"/>
      <c r="G40" s="43">
        <v>1</v>
      </c>
      <c r="H40" s="44"/>
      <c r="I40" s="38">
        <f t="shared" si="0"/>
        <v>0</v>
      </c>
      <c r="J40" s="63">
        <f t="shared" si="0"/>
        <v>0</v>
      </c>
      <c r="K40" s="62"/>
      <c r="L40" s="36">
        <v>1</v>
      </c>
      <c r="M40" s="36"/>
      <c r="N40" s="36"/>
      <c r="O40" s="36"/>
      <c r="P40" s="36"/>
      <c r="Q40" s="99"/>
      <c r="R40" s="100">
        <f t="shared" si="1"/>
        <v>1</v>
      </c>
      <c r="S40" s="101">
        <f t="shared" si="1"/>
        <v>0</v>
      </c>
      <c r="T40" s="62"/>
      <c r="U40" s="142">
        <f t="shared" si="6"/>
        <v>24</v>
      </c>
      <c r="V40" s="135">
        <f t="shared" si="7"/>
        <v>1</v>
      </c>
      <c r="W40" s="143">
        <f t="shared" si="8"/>
        <v>0</v>
      </c>
      <c r="X40" s="144"/>
    </row>
    <row r="41" spans="1:26" ht="19.5" thickBot="1">
      <c r="A41" s="1">
        <f t="shared" si="5"/>
        <v>34</v>
      </c>
      <c r="B41" s="20" t="s">
        <v>53</v>
      </c>
      <c r="C41" s="21">
        <v>32</v>
      </c>
      <c r="D41" s="22">
        <v>8</v>
      </c>
      <c r="E41" s="45"/>
      <c r="F41" s="45"/>
      <c r="G41" s="46">
        <v>1</v>
      </c>
      <c r="H41" s="47"/>
      <c r="I41" s="71">
        <f t="shared" si="0"/>
        <v>31</v>
      </c>
      <c r="J41" s="72">
        <f t="shared" si="0"/>
        <v>8</v>
      </c>
      <c r="K41" s="73"/>
      <c r="L41" s="74"/>
      <c r="M41" s="74"/>
      <c r="N41" s="74">
        <v>1</v>
      </c>
      <c r="O41" s="74"/>
      <c r="P41" s="74"/>
      <c r="Q41" s="109"/>
      <c r="R41" s="110">
        <f t="shared" si="1"/>
        <v>1</v>
      </c>
      <c r="S41" s="111">
        <f t="shared" si="1"/>
        <v>0</v>
      </c>
      <c r="T41" s="73"/>
      <c r="U41" s="145">
        <f t="shared" si="6"/>
        <v>24</v>
      </c>
      <c r="V41" s="146">
        <f t="shared" si="7"/>
        <v>1</v>
      </c>
      <c r="W41" s="146">
        <f t="shared" si="8"/>
        <v>752</v>
      </c>
      <c r="X41" s="147"/>
    </row>
    <row r="42" spans="1:26" ht="19.5" thickBot="1">
      <c r="A42" s="1">
        <f t="shared" si="5"/>
        <v>35</v>
      </c>
      <c r="B42" s="23" t="s">
        <v>54</v>
      </c>
      <c r="C42" s="24">
        <v>300</v>
      </c>
      <c r="D42" s="25"/>
      <c r="E42" s="48"/>
      <c r="F42" s="48"/>
      <c r="G42" s="49">
        <v>11</v>
      </c>
      <c r="H42" s="50"/>
      <c r="I42" s="49">
        <f t="shared" si="0"/>
        <v>289</v>
      </c>
      <c r="J42" s="75">
        <f t="shared" si="0"/>
        <v>0</v>
      </c>
      <c r="K42" s="76"/>
      <c r="L42" s="48">
        <v>5</v>
      </c>
      <c r="M42" s="48"/>
      <c r="N42" s="48">
        <v>6</v>
      </c>
      <c r="O42" s="48"/>
      <c r="P42" s="48"/>
      <c r="Q42" s="112"/>
      <c r="R42" s="113">
        <f t="shared" si="1"/>
        <v>11</v>
      </c>
      <c r="S42" s="114">
        <f t="shared" si="1"/>
        <v>0</v>
      </c>
      <c r="T42" s="76"/>
      <c r="U42" s="148">
        <f>L42*12+N42*12+P42*12</f>
        <v>132</v>
      </c>
      <c r="V42" s="149">
        <f>U42/12</f>
        <v>11</v>
      </c>
      <c r="W42" s="150">
        <f>I42*12+J42</f>
        <v>3468</v>
      </c>
      <c r="X42" s="151"/>
    </row>
    <row r="43" spans="1:26" ht="18.75" hidden="1" customHeight="1">
      <c r="A43" s="1">
        <f t="shared" si="5"/>
        <v>36</v>
      </c>
      <c r="B43" s="7" t="s">
        <v>55</v>
      </c>
      <c r="C43" s="10"/>
      <c r="D43" s="11"/>
      <c r="E43" s="36"/>
      <c r="F43" s="36"/>
      <c r="G43" s="37"/>
      <c r="H43" s="38"/>
      <c r="I43" s="38">
        <f t="shared" si="0"/>
        <v>0</v>
      </c>
      <c r="J43" s="64">
        <f t="shared" si="0"/>
        <v>0</v>
      </c>
      <c r="K43" s="62"/>
      <c r="L43" s="36"/>
      <c r="M43" s="36"/>
      <c r="N43" s="36"/>
      <c r="O43" s="36"/>
      <c r="P43" s="36"/>
      <c r="Q43" s="99"/>
      <c r="R43" s="115">
        <f t="shared" si="1"/>
        <v>0</v>
      </c>
      <c r="S43" s="116">
        <f t="shared" si="1"/>
        <v>0</v>
      </c>
      <c r="T43" s="62"/>
      <c r="U43" s="8"/>
      <c r="V43" s="33"/>
      <c r="W43" s="134"/>
      <c r="X43" s="61"/>
    </row>
    <row r="44" spans="1:26" ht="19.5" thickBot="1">
      <c r="A44" s="1">
        <f t="shared" si="5"/>
        <v>37</v>
      </c>
      <c r="B44" s="12" t="s">
        <v>56</v>
      </c>
      <c r="C44" s="13">
        <v>30764</v>
      </c>
      <c r="D44" s="14">
        <v>5</v>
      </c>
      <c r="E44" s="39">
        <v>1836</v>
      </c>
      <c r="F44" s="39"/>
      <c r="G44" s="40">
        <v>1007</v>
      </c>
      <c r="H44" s="41"/>
      <c r="I44" s="38">
        <f>C44+E44-G44</f>
        <v>31593</v>
      </c>
      <c r="J44" s="77">
        <f t="shared" ref="J44:J59" si="9">D44-H44</f>
        <v>5</v>
      </c>
      <c r="K44" s="65"/>
      <c r="L44" s="51">
        <v>312</v>
      </c>
      <c r="M44" s="51"/>
      <c r="N44" s="51">
        <v>270</v>
      </c>
      <c r="O44" s="51"/>
      <c r="P44" s="51">
        <v>425</v>
      </c>
      <c r="Q44" s="102"/>
      <c r="R44" s="117">
        <f t="shared" si="1"/>
        <v>1007</v>
      </c>
      <c r="S44" s="118">
        <f t="shared" si="1"/>
        <v>0</v>
      </c>
      <c r="T44" s="65"/>
      <c r="U44" s="136">
        <f>L44*6+N44*6+P44*6</f>
        <v>6042</v>
      </c>
      <c r="V44" s="135">
        <f>U44/6</f>
        <v>1007</v>
      </c>
      <c r="W44" s="138">
        <f>I44*6+J44</f>
        <v>189563</v>
      </c>
      <c r="X44" s="139"/>
      <c r="Z44" s="155"/>
    </row>
    <row r="45" spans="1:26" ht="18.75" hidden="1" customHeight="1">
      <c r="A45" s="1">
        <f t="shared" si="5"/>
        <v>38</v>
      </c>
      <c r="B45" s="7" t="s">
        <v>57</v>
      </c>
      <c r="C45" s="10"/>
      <c r="D45" s="11"/>
      <c r="E45" s="36"/>
      <c r="F45" s="36"/>
      <c r="G45" s="37"/>
      <c r="H45" s="38"/>
      <c r="I45" s="44">
        <f t="shared" ref="I45:I59" si="10">C45-G45</f>
        <v>0</v>
      </c>
      <c r="J45" s="63">
        <f t="shared" si="9"/>
        <v>0</v>
      </c>
      <c r="K45" s="62"/>
      <c r="L45" s="36"/>
      <c r="M45" s="36"/>
      <c r="N45" s="36"/>
      <c r="O45" s="36"/>
      <c r="P45" s="36"/>
      <c r="Q45" s="99"/>
      <c r="R45" s="108">
        <f t="shared" si="1"/>
        <v>0</v>
      </c>
      <c r="S45" s="116">
        <f t="shared" si="1"/>
        <v>0</v>
      </c>
      <c r="T45" s="62"/>
      <c r="U45" s="8"/>
      <c r="V45" s="137"/>
      <c r="W45" s="134"/>
      <c r="X45" s="61"/>
    </row>
    <row r="46" spans="1:26" ht="19.5" thickBot="1">
      <c r="A46" s="1">
        <f t="shared" si="5"/>
        <v>39</v>
      </c>
      <c r="B46" s="15" t="s">
        <v>58</v>
      </c>
      <c r="C46" s="10">
        <v>7</v>
      </c>
      <c r="D46" s="11"/>
      <c r="E46" s="36"/>
      <c r="F46" s="36"/>
      <c r="G46" s="37">
        <v>6</v>
      </c>
      <c r="H46" s="38"/>
      <c r="I46" s="68">
        <f t="shared" si="10"/>
        <v>1</v>
      </c>
      <c r="J46" s="63">
        <f t="shared" si="9"/>
        <v>0</v>
      </c>
      <c r="K46" s="62"/>
      <c r="L46" s="36">
        <v>5</v>
      </c>
      <c r="M46" s="36"/>
      <c r="N46" s="36">
        <v>1</v>
      </c>
      <c r="O46" s="36"/>
      <c r="P46" s="36"/>
      <c r="Q46" s="99"/>
      <c r="R46" s="100">
        <f t="shared" si="1"/>
        <v>6</v>
      </c>
      <c r="S46" s="119">
        <f t="shared" si="1"/>
        <v>0</v>
      </c>
      <c r="T46" s="62"/>
      <c r="U46" s="8">
        <f t="shared" ref="U46:U51" si="11">L46*24+N46*24+P46*24</f>
        <v>144</v>
      </c>
      <c r="V46" s="140">
        <f t="shared" ref="V46:V51" si="12">U46/24</f>
        <v>6</v>
      </c>
      <c r="W46" s="134">
        <f t="shared" ref="W46:W51" si="13">I46*24+J46</f>
        <v>24</v>
      </c>
      <c r="X46" s="61"/>
    </row>
    <row r="47" spans="1:26" ht="19.5" thickBot="1">
      <c r="A47" s="1">
        <f t="shared" si="5"/>
        <v>40</v>
      </c>
      <c r="B47" s="15" t="s">
        <v>59</v>
      </c>
      <c r="C47" s="10">
        <v>1</v>
      </c>
      <c r="D47" s="11"/>
      <c r="E47" s="36"/>
      <c r="F47" s="36"/>
      <c r="G47" s="37">
        <v>1</v>
      </c>
      <c r="H47" s="38"/>
      <c r="I47" s="38">
        <f t="shared" si="10"/>
        <v>0</v>
      </c>
      <c r="J47" s="63">
        <f t="shared" si="9"/>
        <v>0</v>
      </c>
      <c r="K47" s="62"/>
      <c r="L47" s="36">
        <v>1</v>
      </c>
      <c r="M47" s="36"/>
      <c r="N47" s="36"/>
      <c r="O47" s="36"/>
      <c r="P47" s="36"/>
      <c r="Q47" s="99"/>
      <c r="R47" s="100">
        <f t="shared" si="1"/>
        <v>1</v>
      </c>
      <c r="S47" s="101">
        <f t="shared" si="1"/>
        <v>0</v>
      </c>
      <c r="T47" s="62"/>
      <c r="U47" s="8">
        <f t="shared" si="11"/>
        <v>24</v>
      </c>
      <c r="V47" s="135">
        <f t="shared" si="12"/>
        <v>1</v>
      </c>
      <c r="W47" s="134">
        <f t="shared" si="13"/>
        <v>0</v>
      </c>
      <c r="X47" s="61"/>
    </row>
    <row r="48" spans="1:26" ht="19.5" thickBot="1">
      <c r="A48" s="1">
        <f t="shared" si="5"/>
        <v>41</v>
      </c>
      <c r="B48" s="12" t="s">
        <v>48</v>
      </c>
      <c r="C48" s="26">
        <v>2820</v>
      </c>
      <c r="D48" s="27">
        <v>1</v>
      </c>
      <c r="E48" s="51"/>
      <c r="F48" s="51"/>
      <c r="G48" s="52">
        <v>10</v>
      </c>
      <c r="H48" s="53"/>
      <c r="I48" s="53">
        <f t="shared" si="10"/>
        <v>2810</v>
      </c>
      <c r="J48" s="70">
        <f t="shared" si="9"/>
        <v>1</v>
      </c>
      <c r="K48" s="65"/>
      <c r="L48" s="51">
        <v>10</v>
      </c>
      <c r="M48" s="51"/>
      <c r="N48" s="51"/>
      <c r="O48" s="51"/>
      <c r="P48" s="51"/>
      <c r="Q48" s="102"/>
      <c r="R48" s="107">
        <f t="shared" si="1"/>
        <v>10</v>
      </c>
      <c r="S48" s="120">
        <f t="shared" si="1"/>
        <v>0</v>
      </c>
      <c r="T48" s="65"/>
      <c r="U48" s="136">
        <f>L48*6+N48*6+P48*6</f>
        <v>60</v>
      </c>
      <c r="V48" s="141">
        <f>U48/6</f>
        <v>10</v>
      </c>
      <c r="W48" s="138">
        <f>I48*6+J48</f>
        <v>16861</v>
      </c>
      <c r="X48" s="139"/>
    </row>
    <row r="49" spans="1:24" ht="19.5" thickBot="1">
      <c r="A49" s="1">
        <f t="shared" si="5"/>
        <v>42</v>
      </c>
      <c r="B49" s="7" t="s">
        <v>60</v>
      </c>
      <c r="C49" s="10">
        <v>1</v>
      </c>
      <c r="D49" s="11"/>
      <c r="E49" s="36"/>
      <c r="F49" s="36"/>
      <c r="G49" s="37"/>
      <c r="H49" s="38"/>
      <c r="I49" s="38">
        <f t="shared" si="10"/>
        <v>1</v>
      </c>
      <c r="J49" s="63">
        <f t="shared" si="9"/>
        <v>0</v>
      </c>
      <c r="K49" s="62"/>
      <c r="L49" s="36"/>
      <c r="M49" s="36"/>
      <c r="N49" s="36"/>
      <c r="O49" s="36"/>
      <c r="P49" s="36"/>
      <c r="Q49" s="99"/>
      <c r="R49" s="108">
        <f t="shared" si="1"/>
        <v>0</v>
      </c>
      <c r="S49" s="106">
        <f t="shared" si="1"/>
        <v>0</v>
      </c>
      <c r="T49" s="62"/>
      <c r="U49" s="8">
        <f t="shared" si="11"/>
        <v>0</v>
      </c>
      <c r="V49" s="33">
        <f t="shared" si="12"/>
        <v>0</v>
      </c>
      <c r="W49" s="134">
        <f t="shared" si="13"/>
        <v>24</v>
      </c>
      <c r="X49" s="61"/>
    </row>
    <row r="50" spans="1:24" ht="19.5" thickBot="1">
      <c r="A50" s="1">
        <f t="shared" si="5"/>
        <v>43</v>
      </c>
      <c r="B50" s="15" t="s">
        <v>61</v>
      </c>
      <c r="C50" s="10">
        <v>2</v>
      </c>
      <c r="D50" s="11"/>
      <c r="E50" s="36"/>
      <c r="F50" s="36"/>
      <c r="G50" s="37"/>
      <c r="H50" s="38"/>
      <c r="I50" s="38">
        <f t="shared" si="10"/>
        <v>2</v>
      </c>
      <c r="J50" s="63">
        <f t="shared" si="9"/>
        <v>0</v>
      </c>
      <c r="K50" s="62"/>
      <c r="L50" s="36"/>
      <c r="M50" s="36"/>
      <c r="N50" s="36"/>
      <c r="O50" s="36"/>
      <c r="P50" s="36"/>
      <c r="Q50" s="99"/>
      <c r="R50" s="100">
        <f t="shared" si="1"/>
        <v>0</v>
      </c>
      <c r="S50" s="101">
        <f t="shared" si="1"/>
        <v>0</v>
      </c>
      <c r="T50" s="62"/>
      <c r="U50" s="8">
        <f t="shared" si="11"/>
        <v>0</v>
      </c>
      <c r="V50" s="135">
        <f t="shared" si="12"/>
        <v>0</v>
      </c>
      <c r="W50" s="134">
        <f t="shared" si="13"/>
        <v>48</v>
      </c>
      <c r="X50" s="61"/>
    </row>
    <row r="51" spans="1:24" ht="19.5" thickBot="1">
      <c r="A51" s="1">
        <f t="shared" si="5"/>
        <v>44</v>
      </c>
      <c r="B51" s="15" t="s">
        <v>62</v>
      </c>
      <c r="C51" s="10"/>
      <c r="D51" s="11"/>
      <c r="E51" s="36"/>
      <c r="F51" s="36"/>
      <c r="G51" s="37"/>
      <c r="H51" s="38"/>
      <c r="I51" s="38">
        <f t="shared" si="10"/>
        <v>0</v>
      </c>
      <c r="J51" s="63">
        <f t="shared" si="9"/>
        <v>0</v>
      </c>
      <c r="K51" s="62"/>
      <c r="L51" s="36"/>
      <c r="M51" s="36"/>
      <c r="N51" s="36"/>
      <c r="O51" s="36"/>
      <c r="P51" s="36"/>
      <c r="Q51" s="99"/>
      <c r="R51" s="100">
        <f t="shared" si="1"/>
        <v>0</v>
      </c>
      <c r="S51" s="101">
        <f t="shared" si="1"/>
        <v>0</v>
      </c>
      <c r="T51" s="62"/>
      <c r="U51" s="8">
        <f t="shared" si="11"/>
        <v>0</v>
      </c>
      <c r="V51" s="135">
        <f t="shared" si="12"/>
        <v>0</v>
      </c>
      <c r="W51" s="134">
        <f t="shared" si="13"/>
        <v>0</v>
      </c>
      <c r="X51" s="61"/>
    </row>
    <row r="52" spans="1:24" ht="19.5" thickBot="1">
      <c r="A52" s="1">
        <f t="shared" si="5"/>
        <v>45</v>
      </c>
      <c r="B52" s="12" t="s">
        <v>63</v>
      </c>
      <c r="C52" s="26">
        <v>34</v>
      </c>
      <c r="D52" s="27"/>
      <c r="E52" s="51"/>
      <c r="F52" s="51"/>
      <c r="G52" s="52"/>
      <c r="H52" s="53"/>
      <c r="I52" s="53">
        <f t="shared" si="10"/>
        <v>34</v>
      </c>
      <c r="J52" s="70">
        <f t="shared" si="9"/>
        <v>0</v>
      </c>
      <c r="K52" s="65"/>
      <c r="L52" s="51"/>
      <c r="M52" s="51"/>
      <c r="N52" s="51"/>
      <c r="O52" s="51"/>
      <c r="P52" s="51"/>
      <c r="Q52" s="102"/>
      <c r="R52" s="107">
        <f t="shared" si="1"/>
        <v>0</v>
      </c>
      <c r="S52" s="120">
        <f t="shared" si="1"/>
        <v>0</v>
      </c>
      <c r="T52" s="65"/>
      <c r="U52" s="136">
        <f>L52*6+N52*6+P52*6</f>
        <v>0</v>
      </c>
      <c r="V52" s="141">
        <f>U52/6</f>
        <v>0</v>
      </c>
      <c r="W52" s="138">
        <f>I52*6+J52</f>
        <v>204</v>
      </c>
      <c r="X52" s="139"/>
    </row>
    <row r="53" spans="1:24" ht="19.5" thickBot="1">
      <c r="A53" s="1">
        <f t="shared" si="5"/>
        <v>46</v>
      </c>
      <c r="B53" s="7" t="s">
        <v>64</v>
      </c>
      <c r="C53" s="10">
        <v>2</v>
      </c>
      <c r="D53" s="11"/>
      <c r="E53" s="36"/>
      <c r="F53" s="36"/>
      <c r="G53" s="37">
        <v>1</v>
      </c>
      <c r="H53" s="38"/>
      <c r="I53" s="38">
        <f t="shared" si="10"/>
        <v>1</v>
      </c>
      <c r="J53" s="63">
        <f t="shared" si="9"/>
        <v>0</v>
      </c>
      <c r="K53" s="62"/>
      <c r="L53" s="36">
        <v>1</v>
      </c>
      <c r="M53" s="36"/>
      <c r="N53" s="36"/>
      <c r="O53" s="36"/>
      <c r="P53" s="36"/>
      <c r="Q53" s="99"/>
      <c r="R53" s="108">
        <f t="shared" si="1"/>
        <v>1</v>
      </c>
      <c r="S53" s="106">
        <f t="shared" si="1"/>
        <v>0</v>
      </c>
      <c r="T53" s="62"/>
      <c r="U53" s="8">
        <f>L53*24+N53*24+P53*24</f>
        <v>24</v>
      </c>
      <c r="V53" s="33">
        <f>U53/24</f>
        <v>1</v>
      </c>
      <c r="W53" s="134">
        <f>I53*24+J53</f>
        <v>24</v>
      </c>
      <c r="X53" s="61"/>
    </row>
    <row r="54" spans="1:24" ht="19.5" thickBot="1">
      <c r="A54" s="1">
        <f t="shared" si="5"/>
        <v>47</v>
      </c>
      <c r="B54" s="15" t="s">
        <v>65</v>
      </c>
      <c r="C54" s="10">
        <v>11</v>
      </c>
      <c r="D54" s="11"/>
      <c r="E54" s="36"/>
      <c r="F54" s="36"/>
      <c r="G54" s="37">
        <v>1</v>
      </c>
      <c r="H54" s="38"/>
      <c r="I54" s="38">
        <f t="shared" si="10"/>
        <v>10</v>
      </c>
      <c r="J54" s="63">
        <f t="shared" si="9"/>
        <v>0</v>
      </c>
      <c r="K54" s="62"/>
      <c r="L54" s="36">
        <v>1</v>
      </c>
      <c r="M54" s="36"/>
      <c r="N54" s="36"/>
      <c r="O54" s="36"/>
      <c r="P54" s="36"/>
      <c r="Q54" s="99"/>
      <c r="R54" s="100">
        <f t="shared" si="1"/>
        <v>1</v>
      </c>
      <c r="S54" s="101">
        <f t="shared" si="1"/>
        <v>0</v>
      </c>
      <c r="T54" s="62"/>
      <c r="U54" s="8">
        <f>L54*24+N54*24+P54*24</f>
        <v>24</v>
      </c>
      <c r="V54" s="135">
        <f>U54/24</f>
        <v>1</v>
      </c>
      <c r="W54" s="134">
        <f>I54*24+J54</f>
        <v>240</v>
      </c>
      <c r="X54" s="61"/>
    </row>
    <row r="55" spans="1:24" ht="19.5" thickBot="1">
      <c r="A55" s="1">
        <f t="shared" si="5"/>
        <v>48</v>
      </c>
      <c r="B55" s="15"/>
      <c r="C55" s="10"/>
      <c r="D55" s="11"/>
      <c r="E55" s="36"/>
      <c r="F55" s="36"/>
      <c r="G55" s="37"/>
      <c r="H55" s="38"/>
      <c r="I55" s="38">
        <f t="shared" si="10"/>
        <v>0</v>
      </c>
      <c r="J55" s="63">
        <f t="shared" si="9"/>
        <v>0</v>
      </c>
      <c r="K55" s="62"/>
      <c r="L55" s="36"/>
      <c r="M55" s="36"/>
      <c r="N55" s="36"/>
      <c r="O55" s="36"/>
      <c r="P55" s="36"/>
      <c r="Q55" s="99"/>
      <c r="R55" s="100">
        <f t="shared" si="1"/>
        <v>0</v>
      </c>
      <c r="S55" s="101">
        <f t="shared" si="1"/>
        <v>0</v>
      </c>
      <c r="T55" s="62"/>
      <c r="U55" s="8"/>
      <c r="V55" s="135"/>
      <c r="W55" s="134"/>
      <c r="X55" s="61"/>
    </row>
    <row r="56" spans="1:24" ht="19.5" thickBot="1">
      <c r="A56" s="1">
        <f t="shared" si="5"/>
        <v>49</v>
      </c>
      <c r="B56" s="15"/>
      <c r="C56" s="10"/>
      <c r="D56" s="11"/>
      <c r="E56" s="36"/>
      <c r="F56" s="36"/>
      <c r="G56" s="37"/>
      <c r="H56" s="38"/>
      <c r="I56" s="38">
        <f t="shared" si="10"/>
        <v>0</v>
      </c>
      <c r="J56" s="63">
        <f t="shared" si="9"/>
        <v>0</v>
      </c>
      <c r="K56" s="62"/>
      <c r="L56" s="36"/>
      <c r="M56" s="36"/>
      <c r="N56" s="36"/>
      <c r="O56" s="36"/>
      <c r="P56" s="36"/>
      <c r="Q56" s="99"/>
      <c r="R56" s="100">
        <f t="shared" si="1"/>
        <v>0</v>
      </c>
      <c r="S56" s="101">
        <f t="shared" si="1"/>
        <v>0</v>
      </c>
      <c r="T56" s="62"/>
      <c r="U56" s="8"/>
      <c r="V56" s="135"/>
      <c r="W56" s="134"/>
      <c r="X56" s="61"/>
    </row>
    <row r="57" spans="1:24" ht="19.5" thickBot="1">
      <c r="A57" s="1">
        <f t="shared" si="5"/>
        <v>50</v>
      </c>
      <c r="B57" s="15"/>
      <c r="C57" s="10"/>
      <c r="D57" s="11"/>
      <c r="E57" s="36"/>
      <c r="F57" s="36"/>
      <c r="G57" s="37"/>
      <c r="H57" s="38"/>
      <c r="I57" s="38">
        <f t="shared" si="10"/>
        <v>0</v>
      </c>
      <c r="J57" s="63">
        <f t="shared" si="9"/>
        <v>0</v>
      </c>
      <c r="K57" s="62"/>
      <c r="L57" s="36"/>
      <c r="M57" s="36"/>
      <c r="N57" s="36"/>
      <c r="O57" s="36"/>
      <c r="P57" s="36"/>
      <c r="Q57" s="99"/>
      <c r="R57" s="100">
        <f t="shared" si="1"/>
        <v>0</v>
      </c>
      <c r="S57" s="101">
        <f t="shared" si="1"/>
        <v>0</v>
      </c>
      <c r="T57" s="62"/>
      <c r="U57" s="8"/>
      <c r="V57" s="135"/>
      <c r="W57" s="134"/>
      <c r="X57" s="61"/>
    </row>
    <row r="58" spans="1:24" ht="19.5" thickBot="1">
      <c r="A58" s="1">
        <f t="shared" si="5"/>
        <v>51</v>
      </c>
      <c r="B58" s="15"/>
      <c r="C58" s="10"/>
      <c r="D58" s="11"/>
      <c r="E58" s="36"/>
      <c r="F58" s="36"/>
      <c r="G58" s="37"/>
      <c r="H58" s="38"/>
      <c r="I58" s="38">
        <f t="shared" si="10"/>
        <v>0</v>
      </c>
      <c r="J58" s="63">
        <f t="shared" si="9"/>
        <v>0</v>
      </c>
      <c r="K58" s="62"/>
      <c r="L58" s="36"/>
      <c r="M58" s="36"/>
      <c r="N58" s="36"/>
      <c r="O58" s="36"/>
      <c r="P58" s="36"/>
      <c r="Q58" s="99"/>
      <c r="R58" s="100">
        <f t="shared" si="1"/>
        <v>0</v>
      </c>
      <c r="S58" s="101">
        <f t="shared" si="1"/>
        <v>0</v>
      </c>
      <c r="T58" s="62"/>
      <c r="U58" s="8"/>
      <c r="V58" s="135"/>
      <c r="W58" s="134"/>
      <c r="X58" s="61"/>
    </row>
    <row r="59" spans="1:24" ht="19.5" thickBot="1">
      <c r="A59" s="1">
        <f t="shared" si="5"/>
        <v>52</v>
      </c>
      <c r="B59" s="15"/>
      <c r="C59" s="10"/>
      <c r="D59" s="11"/>
      <c r="E59" s="36"/>
      <c r="F59" s="36"/>
      <c r="G59" s="37"/>
      <c r="H59" s="38"/>
      <c r="I59" s="38">
        <f t="shared" si="10"/>
        <v>0</v>
      </c>
      <c r="J59" s="63">
        <f t="shared" si="9"/>
        <v>0</v>
      </c>
      <c r="K59" s="62"/>
      <c r="L59" s="36"/>
      <c r="M59" s="36"/>
      <c r="N59" s="36"/>
      <c r="O59" s="36"/>
      <c r="P59" s="36"/>
      <c r="Q59" s="99"/>
      <c r="R59" s="100">
        <f t="shared" si="1"/>
        <v>0</v>
      </c>
      <c r="S59" s="101">
        <f t="shared" si="1"/>
        <v>0</v>
      </c>
      <c r="T59" s="62"/>
      <c r="U59" s="8"/>
      <c r="V59" s="135"/>
      <c r="W59" s="134"/>
      <c r="X59" s="61"/>
    </row>
    <row r="60" spans="1:24" s="2" customFormat="1" ht="19.5" thickBot="1">
      <c r="B60" s="28" t="s">
        <v>15</v>
      </c>
      <c r="C60" s="29">
        <f t="shared" ref="C60:J60" si="14">SUM(C8:C59)</f>
        <v>41735</v>
      </c>
      <c r="D60" s="30">
        <f t="shared" si="14"/>
        <v>132</v>
      </c>
      <c r="E60" s="54">
        <f t="shared" si="14"/>
        <v>1836</v>
      </c>
      <c r="F60" s="54"/>
      <c r="G60" s="55">
        <f t="shared" si="14"/>
        <v>1342</v>
      </c>
      <c r="H60" s="56">
        <f t="shared" si="14"/>
        <v>12</v>
      </c>
      <c r="I60" s="56">
        <f t="shared" si="14"/>
        <v>42229</v>
      </c>
      <c r="J60" s="78">
        <f t="shared" si="14"/>
        <v>120</v>
      </c>
      <c r="L60" s="79">
        <f t="shared" ref="L60:S60" si="15">SUM(L8:L59)</f>
        <v>483</v>
      </c>
      <c r="M60" s="79">
        <f t="shared" si="15"/>
        <v>0</v>
      </c>
      <c r="N60" s="79">
        <f t="shared" si="15"/>
        <v>371</v>
      </c>
      <c r="O60" s="79">
        <f t="shared" si="15"/>
        <v>12</v>
      </c>
      <c r="P60" s="79">
        <f t="shared" si="15"/>
        <v>488</v>
      </c>
      <c r="Q60" s="121">
        <f t="shared" si="15"/>
        <v>0</v>
      </c>
      <c r="R60" s="122">
        <f t="shared" si="15"/>
        <v>1342</v>
      </c>
      <c r="S60" s="123">
        <f t="shared" si="15"/>
        <v>12</v>
      </c>
      <c r="U60" s="29">
        <f t="shared" ref="U60:W60" si="16">SUM(U8:U59)</f>
        <v>9540</v>
      </c>
      <c r="V60" s="152">
        <f t="shared" si="16"/>
        <v>1342</v>
      </c>
      <c r="W60" s="179">
        <f t="shared" si="16"/>
        <v>317040</v>
      </c>
      <c r="X60" s="78"/>
    </row>
    <row r="61" spans="1:24" ht="19.5" thickBot="1">
      <c r="V61" s="154"/>
    </row>
    <row r="62" spans="1:24" ht="18.75" customHeight="1">
      <c r="G62" s="197" t="s">
        <v>66</v>
      </c>
      <c r="H62" s="57"/>
      <c r="I62" s="57"/>
      <c r="J62" s="80" t="s">
        <v>67</v>
      </c>
      <c r="L62" s="81"/>
      <c r="M62" s="87"/>
      <c r="N62" s="88"/>
      <c r="O62" s="88"/>
      <c r="P62" s="88"/>
      <c r="Q62" s="124"/>
      <c r="R62" s="124"/>
      <c r="S62" s="125"/>
    </row>
    <row r="63" spans="1:24">
      <c r="G63" s="198"/>
      <c r="H63" s="58"/>
      <c r="I63" s="58"/>
      <c r="J63" s="82" t="s">
        <v>68</v>
      </c>
      <c r="L63" s="83"/>
      <c r="M63" s="89"/>
      <c r="N63" s="90"/>
      <c r="O63" s="90"/>
      <c r="P63" s="90"/>
      <c r="Q63" s="126"/>
      <c r="R63" s="126"/>
      <c r="S63" s="127"/>
    </row>
    <row r="64" spans="1:24">
      <c r="G64" s="199"/>
      <c r="H64" s="59"/>
      <c r="I64" s="59"/>
      <c r="J64" s="82" t="s">
        <v>69</v>
      </c>
      <c r="L64" s="84"/>
      <c r="M64" s="91"/>
      <c r="N64" s="92"/>
      <c r="O64" s="92"/>
      <c r="P64" s="92"/>
      <c r="Q64" s="128"/>
      <c r="R64" s="128"/>
      <c r="S64" s="129"/>
    </row>
    <row r="65" spans="2:24">
      <c r="G65" s="200" t="s">
        <v>70</v>
      </c>
      <c r="H65" s="164"/>
      <c r="I65" s="164"/>
      <c r="J65" s="82" t="s">
        <v>67</v>
      </c>
      <c r="L65" s="84"/>
      <c r="M65" s="91"/>
      <c r="N65" s="92"/>
      <c r="O65" s="92"/>
      <c r="P65" s="92"/>
      <c r="Q65" s="128"/>
      <c r="R65" s="128"/>
      <c r="S65" s="129"/>
    </row>
    <row r="66" spans="2:24">
      <c r="G66" s="200"/>
      <c r="H66" s="164"/>
      <c r="I66" s="164"/>
      <c r="J66" s="82" t="s">
        <v>68</v>
      </c>
      <c r="L66" s="83"/>
      <c r="M66" s="89"/>
      <c r="N66" s="90"/>
      <c r="O66" s="90"/>
      <c r="P66" s="90"/>
      <c r="Q66" s="126"/>
      <c r="R66" s="126"/>
      <c r="S66" s="127"/>
    </row>
    <row r="67" spans="2:24" ht="19.5" thickBot="1">
      <c r="G67" s="201"/>
      <c r="H67" s="165"/>
      <c r="I67" s="165"/>
      <c r="J67" s="167" t="s">
        <v>69</v>
      </c>
      <c r="L67" s="168"/>
      <c r="M67" s="170"/>
      <c r="N67" s="171"/>
      <c r="O67" s="171"/>
      <c r="P67" s="171"/>
      <c r="Q67" s="174"/>
      <c r="R67" s="174"/>
      <c r="S67" s="175"/>
    </row>
    <row r="69" spans="2:24" ht="49.5" customHeight="1" thickBot="1">
      <c r="B69" s="159" t="s">
        <v>71</v>
      </c>
      <c r="C69" s="5" t="s">
        <v>4</v>
      </c>
      <c r="D69" s="6"/>
      <c r="E69" s="166" t="s">
        <v>72</v>
      </c>
      <c r="L69" s="169" t="s">
        <v>12</v>
      </c>
      <c r="M69" s="172"/>
      <c r="N69" s="173" t="s">
        <v>13</v>
      </c>
      <c r="O69" s="173"/>
      <c r="P69" s="173" t="s">
        <v>14</v>
      </c>
      <c r="Q69" s="176"/>
      <c r="R69" s="176"/>
      <c r="S69" s="177" t="s">
        <v>73</v>
      </c>
      <c r="X69" s="178" t="s">
        <v>74</v>
      </c>
    </row>
    <row r="70" spans="2:24">
      <c r="B70" s="160" t="s">
        <v>47</v>
      </c>
      <c r="C70" s="161"/>
      <c r="D70" s="161"/>
      <c r="E70" s="163"/>
      <c r="L70" s="161"/>
      <c r="M70" s="161"/>
      <c r="N70" s="161"/>
      <c r="O70" s="161"/>
      <c r="P70" s="161"/>
      <c r="Q70" s="161"/>
      <c r="R70" s="161"/>
      <c r="S70" s="161"/>
      <c r="X70" s="163"/>
    </row>
    <row r="71" spans="2:24">
      <c r="B71" s="162" t="s">
        <v>75</v>
      </c>
      <c r="C71" s="161"/>
      <c r="D71" s="161"/>
      <c r="E71" s="163"/>
      <c r="L71" s="163"/>
      <c r="M71" s="163"/>
      <c r="N71" s="163"/>
      <c r="O71" s="163"/>
      <c r="P71" s="163"/>
      <c r="Q71" s="163"/>
      <c r="R71" s="163"/>
      <c r="S71" s="163"/>
      <c r="X71" s="163"/>
    </row>
    <row r="72" spans="2:24">
      <c r="B72" s="162" t="s">
        <v>76</v>
      </c>
      <c r="C72" s="161"/>
      <c r="D72" s="161"/>
      <c r="E72" s="163"/>
      <c r="L72" s="163"/>
      <c r="M72" s="163"/>
      <c r="N72" s="163"/>
      <c r="O72" s="163"/>
      <c r="P72" s="163"/>
      <c r="Q72" s="163"/>
      <c r="R72" s="163"/>
      <c r="S72" s="163"/>
      <c r="X72" s="163"/>
    </row>
    <row r="73" spans="2:24" ht="11.25" customHeight="1"/>
    <row r="74" spans="2:24">
      <c r="B74" s="162" t="s">
        <v>77</v>
      </c>
      <c r="C74" s="163"/>
      <c r="D74" s="163"/>
      <c r="E74" s="163"/>
      <c r="L74" s="163"/>
      <c r="M74" s="163"/>
      <c r="N74" s="163"/>
      <c r="O74" s="163"/>
      <c r="P74" s="163"/>
      <c r="Q74" s="163"/>
      <c r="R74" s="163"/>
      <c r="S74" s="163"/>
      <c r="X74" s="163"/>
    </row>
    <row r="75" spans="2:24">
      <c r="B75" s="162" t="s">
        <v>75</v>
      </c>
      <c r="C75" s="163"/>
      <c r="D75" s="163"/>
      <c r="E75" s="163"/>
      <c r="L75" s="163"/>
      <c r="M75" s="163"/>
      <c r="N75" s="163"/>
      <c r="O75" s="163"/>
      <c r="P75" s="163"/>
      <c r="Q75" s="163"/>
      <c r="R75" s="163"/>
      <c r="S75" s="163"/>
      <c r="X75" s="163"/>
    </row>
    <row r="76" spans="2:24">
      <c r="B76" s="162" t="s">
        <v>76</v>
      </c>
      <c r="C76" s="163"/>
      <c r="D76" s="163"/>
      <c r="E76" s="163"/>
      <c r="L76" s="163"/>
      <c r="M76" s="163"/>
      <c r="N76" s="163"/>
      <c r="O76" s="163"/>
      <c r="P76" s="163"/>
      <c r="Q76" s="163"/>
      <c r="R76" s="163"/>
      <c r="S76" s="163"/>
      <c r="X76" s="163"/>
    </row>
    <row r="77" spans="2:24" ht="11.25" customHeight="1"/>
    <row r="78" spans="2:24">
      <c r="B78" s="162" t="s">
        <v>78</v>
      </c>
      <c r="C78" s="163"/>
      <c r="D78" s="163"/>
      <c r="E78" s="163"/>
      <c r="L78" s="163"/>
      <c r="M78" s="163"/>
      <c r="N78" s="163"/>
      <c r="O78" s="163"/>
      <c r="P78" s="163"/>
      <c r="Q78" s="163"/>
      <c r="R78" s="163"/>
      <c r="S78" s="163"/>
      <c r="X78" s="163"/>
    </row>
    <row r="79" spans="2:24">
      <c r="B79" s="162" t="s">
        <v>75</v>
      </c>
      <c r="C79" s="163"/>
      <c r="D79" s="163"/>
      <c r="E79" s="163"/>
      <c r="L79" s="163"/>
      <c r="M79" s="163"/>
      <c r="N79" s="163"/>
      <c r="O79" s="163"/>
      <c r="P79" s="163"/>
      <c r="Q79" s="163"/>
      <c r="R79" s="163"/>
      <c r="S79" s="163"/>
      <c r="X79" s="163"/>
    </row>
    <row r="80" spans="2:24">
      <c r="B80" s="162" t="s">
        <v>76</v>
      </c>
      <c r="C80" s="163"/>
      <c r="D80" s="163"/>
      <c r="E80" s="163"/>
      <c r="L80" s="163"/>
      <c r="M80" s="163"/>
      <c r="N80" s="163"/>
      <c r="O80" s="163"/>
      <c r="P80" s="163"/>
      <c r="Q80" s="163"/>
      <c r="R80" s="163"/>
      <c r="S80" s="163"/>
      <c r="X80" s="163"/>
    </row>
    <row r="81" spans="2:24" ht="11.25" customHeight="1"/>
    <row r="82" spans="2:24">
      <c r="B82" s="162" t="s">
        <v>79</v>
      </c>
      <c r="C82" s="163"/>
      <c r="D82" s="163"/>
      <c r="E82" s="163"/>
      <c r="L82" s="163"/>
      <c r="M82" s="163"/>
      <c r="N82" s="163"/>
      <c r="O82" s="163"/>
      <c r="P82" s="163"/>
      <c r="Q82" s="163"/>
      <c r="R82" s="163"/>
      <c r="S82" s="163"/>
      <c r="X82" s="163"/>
    </row>
    <row r="83" spans="2:24">
      <c r="B83" s="162" t="s">
        <v>75</v>
      </c>
      <c r="C83" s="163"/>
      <c r="D83" s="163"/>
      <c r="E83" s="163"/>
      <c r="L83" s="163"/>
      <c r="M83" s="163"/>
      <c r="N83" s="163"/>
      <c r="O83" s="163"/>
      <c r="P83" s="163"/>
      <c r="Q83" s="163"/>
      <c r="R83" s="163"/>
      <c r="S83" s="163"/>
      <c r="X83" s="163"/>
    </row>
    <row r="84" spans="2:24">
      <c r="B84" s="162" t="s">
        <v>76</v>
      </c>
      <c r="C84" s="161"/>
      <c r="D84" s="161"/>
      <c r="E84" s="163"/>
      <c r="L84" s="163"/>
      <c r="M84" s="163"/>
      <c r="N84" s="163"/>
      <c r="O84" s="163"/>
      <c r="P84" s="163"/>
      <c r="Q84" s="163"/>
      <c r="R84" s="163"/>
      <c r="S84" s="163"/>
      <c r="X84" s="163"/>
    </row>
    <row r="85" spans="2:24" ht="11.25" customHeight="1"/>
    <row r="86" spans="2:24">
      <c r="B86" s="162" t="s">
        <v>80</v>
      </c>
      <c r="C86" s="163"/>
      <c r="D86" s="163"/>
      <c r="E86" s="163"/>
      <c r="L86" s="163"/>
      <c r="M86" s="163"/>
      <c r="N86" s="163"/>
      <c r="O86" s="163"/>
      <c r="P86" s="163"/>
      <c r="Q86" s="163"/>
      <c r="R86" s="163"/>
      <c r="S86" s="163"/>
      <c r="X86" s="163"/>
    </row>
    <row r="87" spans="2:24">
      <c r="B87" s="162" t="s">
        <v>75</v>
      </c>
      <c r="C87" s="163"/>
      <c r="D87" s="163"/>
      <c r="E87" s="163"/>
      <c r="L87" s="163"/>
      <c r="M87" s="163"/>
      <c r="N87" s="163"/>
      <c r="O87" s="163"/>
      <c r="P87" s="163"/>
      <c r="Q87" s="163"/>
      <c r="R87" s="163"/>
      <c r="S87" s="163"/>
      <c r="X87" s="163"/>
    </row>
    <row r="88" spans="2:24">
      <c r="B88" s="162" t="s">
        <v>76</v>
      </c>
      <c r="C88" s="163"/>
      <c r="D88" s="163"/>
      <c r="E88" s="163"/>
      <c r="L88" s="163"/>
      <c r="M88" s="163"/>
      <c r="N88" s="163"/>
      <c r="O88" s="163"/>
      <c r="P88" s="163"/>
      <c r="Q88" s="163"/>
      <c r="R88" s="163"/>
      <c r="S88" s="163"/>
      <c r="X88" s="163"/>
    </row>
    <row r="90" spans="2:24">
      <c r="B90" s="162" t="s">
        <v>81</v>
      </c>
      <c r="C90" s="163"/>
      <c r="D90" s="163"/>
      <c r="E90" s="163"/>
      <c r="L90" s="163"/>
      <c r="M90" s="163"/>
      <c r="N90" s="163"/>
      <c r="O90" s="163"/>
      <c r="P90" s="163"/>
      <c r="Q90" s="163"/>
      <c r="R90" s="163"/>
      <c r="S90" s="163"/>
      <c r="X90" s="163"/>
    </row>
  </sheetData>
  <mergeCells count="12">
    <mergeCell ref="G62:G64"/>
    <mergeCell ref="G65:G67"/>
    <mergeCell ref="P1:X1"/>
    <mergeCell ref="B4:B5"/>
    <mergeCell ref="C4:C5"/>
    <mergeCell ref="D4:D5"/>
    <mergeCell ref="E4:F4"/>
    <mergeCell ref="G4:G5"/>
    <mergeCell ref="H4:H5"/>
    <mergeCell ref="I4:I5"/>
    <mergeCell ref="J4:J5"/>
    <mergeCell ref="L4:X4"/>
  </mergeCells>
  <printOptions horizontalCentered="1" verticalCentered="1"/>
  <pageMargins left="0.196850393700787" right="0.196850393700787" top="0.196850393700787" bottom="0.196850393700787" header="0.511811023622047" footer="0.511811023622047"/>
  <pageSetup paperSize="9" scale="51" orientation="portrait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67F04-ABFB-40D1-A8A6-3ADEF7876BFC}">
  <sheetPr>
    <pageSetUpPr fitToPage="1"/>
  </sheetPr>
  <dimension ref="A1:BH90"/>
  <sheetViews>
    <sheetView tabSelected="1" topLeftCell="A31" zoomScaleNormal="100" zoomScaleSheetLayoutView="85" zoomScalePageLayoutView="80" workbookViewId="0">
      <selection activeCell="W60" sqref="W60"/>
    </sheetView>
  </sheetViews>
  <sheetFormatPr defaultColWidth="9.140625" defaultRowHeight="18.75"/>
  <cols>
    <col min="1" max="1" width="5.42578125" style="3" customWidth="1"/>
    <col min="2" max="2" width="12.28515625" style="3" customWidth="1"/>
    <col min="3" max="3" width="12.7109375" style="3" customWidth="1"/>
    <col min="4" max="4" width="9.42578125" style="3" bestFit="1" customWidth="1"/>
    <col min="5" max="5" width="12.140625" style="3" customWidth="1"/>
    <col min="6" max="6" width="11.5703125" style="3" bestFit="1" customWidth="1"/>
    <col min="7" max="7" width="11" style="3" customWidth="1"/>
    <col min="8" max="8" width="8" style="3" customWidth="1"/>
    <col min="9" max="9" width="14.7109375" style="3" customWidth="1"/>
    <col min="10" max="10" width="8.28515625" style="3" customWidth="1"/>
    <col min="11" max="11" width="1.28515625" style="3" customWidth="1"/>
    <col min="12" max="12" width="11" style="3" customWidth="1"/>
    <col min="13" max="13" width="7.85546875" style="3" customWidth="1"/>
    <col min="14" max="14" width="11" style="3" customWidth="1"/>
    <col min="15" max="15" width="6.5703125" style="3" customWidth="1"/>
    <col min="16" max="16" width="11" style="3" customWidth="1"/>
    <col min="17" max="17" width="6.5703125" style="3" customWidth="1"/>
    <col min="18" max="18" width="9.5703125" style="3" customWidth="1"/>
    <col min="19" max="19" width="8.140625" style="3" customWidth="1"/>
    <col min="20" max="20" width="1.28515625" style="3" customWidth="1"/>
    <col min="21" max="21" width="12.7109375" style="3" customWidth="1"/>
    <col min="22" max="22" width="12.7109375" style="3" hidden="1" customWidth="1"/>
    <col min="23" max="23" width="14.5703125" style="3" customWidth="1"/>
    <col min="24" max="24" width="11.5703125" style="3" customWidth="1"/>
    <col min="25" max="25" width="2" style="3" customWidth="1"/>
    <col min="26" max="26" width="10.5703125" style="3" customWidth="1"/>
    <col min="27" max="55" width="7.28515625" style="3" customWidth="1"/>
    <col min="56" max="56" width="1.5703125" style="3" customWidth="1"/>
    <col min="57" max="57" width="9.42578125" style="3" customWidth="1"/>
    <col min="58" max="58" width="1.28515625" style="3" customWidth="1"/>
    <col min="59" max="59" width="12.7109375" style="3" customWidth="1"/>
    <col min="60" max="60" width="10.28515625" style="3" customWidth="1"/>
    <col min="61" max="16384" width="9.140625" style="3"/>
  </cols>
  <sheetData>
    <row r="1" spans="1:60" ht="19.5" thickBot="1">
      <c r="B1" s="2" t="s">
        <v>0</v>
      </c>
      <c r="N1" s="3" t="s">
        <v>1</v>
      </c>
      <c r="P1" s="183">
        <v>46171</v>
      </c>
      <c r="Q1" s="184"/>
      <c r="R1" s="184"/>
      <c r="S1" s="184"/>
      <c r="T1" s="184"/>
      <c r="U1" s="184"/>
      <c r="V1" s="184"/>
      <c r="W1" s="184"/>
      <c r="X1" s="185"/>
    </row>
    <row r="2" spans="1:60" ht="15" customHeight="1">
      <c r="B2" s="2" t="s">
        <v>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4" spans="1:60" ht="19.5" customHeight="1" thickBot="1">
      <c r="A4" s="4"/>
      <c r="B4" s="192" t="s">
        <v>3</v>
      </c>
      <c r="C4" s="193" t="s">
        <v>4</v>
      </c>
      <c r="D4" s="194" t="s">
        <v>5</v>
      </c>
      <c r="E4" s="186" t="s">
        <v>6</v>
      </c>
      <c r="F4" s="187"/>
      <c r="G4" s="195" t="s">
        <v>7</v>
      </c>
      <c r="H4" s="202" t="s">
        <v>5</v>
      </c>
      <c r="I4" s="204" t="s">
        <v>8</v>
      </c>
      <c r="J4" s="202" t="s">
        <v>5</v>
      </c>
      <c r="L4" s="188" t="s">
        <v>9</v>
      </c>
      <c r="M4" s="189"/>
      <c r="N4" s="189"/>
      <c r="O4" s="189"/>
      <c r="P4" s="189"/>
      <c r="Q4" s="189"/>
      <c r="R4" s="189"/>
      <c r="S4" s="189"/>
      <c r="T4" s="189"/>
      <c r="U4" s="189"/>
      <c r="V4" s="190"/>
      <c r="W4" s="189"/>
      <c r="X4" s="191"/>
    </row>
    <row r="5" spans="1:60" s="1" customFormat="1" ht="57" thickBot="1">
      <c r="A5" s="4"/>
      <c r="B5" s="192"/>
      <c r="C5" s="193"/>
      <c r="D5" s="194"/>
      <c r="E5" s="31" t="s">
        <v>10</v>
      </c>
      <c r="F5" s="182" t="s">
        <v>11</v>
      </c>
      <c r="G5" s="196"/>
      <c r="H5" s="203"/>
      <c r="I5" s="205"/>
      <c r="J5" s="203"/>
      <c r="L5" s="60" t="s">
        <v>12</v>
      </c>
      <c r="M5" s="85" t="s">
        <v>5</v>
      </c>
      <c r="N5" s="86" t="s">
        <v>13</v>
      </c>
      <c r="O5" s="85" t="s">
        <v>5</v>
      </c>
      <c r="P5" s="86" t="s">
        <v>14</v>
      </c>
      <c r="Q5" s="85" t="s">
        <v>5</v>
      </c>
      <c r="R5" s="93" t="s">
        <v>15</v>
      </c>
      <c r="S5" s="94" t="s">
        <v>5</v>
      </c>
      <c r="T5" s="95"/>
      <c r="U5" s="130" t="s">
        <v>16</v>
      </c>
      <c r="V5" s="131" t="s">
        <v>17</v>
      </c>
      <c r="W5" s="132" t="s">
        <v>18</v>
      </c>
      <c r="X5" s="133" t="s">
        <v>19</v>
      </c>
      <c r="AL5" s="156"/>
      <c r="AM5" s="156"/>
      <c r="AN5" s="156"/>
      <c r="AO5" s="156"/>
      <c r="AP5" s="156"/>
      <c r="AQ5" s="156"/>
      <c r="AR5" s="156"/>
      <c r="AS5" s="156"/>
      <c r="AT5" s="156"/>
      <c r="AU5" s="156"/>
      <c r="AV5" s="156"/>
      <c r="AW5" s="156"/>
      <c r="AX5" s="156"/>
      <c r="AY5" s="156"/>
      <c r="AZ5" s="156"/>
      <c r="BA5" s="156"/>
      <c r="BB5" s="156"/>
      <c r="BC5" s="156"/>
      <c r="BD5" s="156"/>
      <c r="BE5" s="156"/>
      <c r="BF5" s="156"/>
      <c r="BG5" s="156"/>
      <c r="BH5" s="156"/>
    </row>
    <row r="6" spans="1:60" s="1" customFormat="1" ht="19.5" thickBot="1">
      <c r="B6" s="7"/>
      <c r="C6" s="8"/>
      <c r="D6" s="9"/>
      <c r="E6" s="33"/>
      <c r="F6" s="33"/>
      <c r="G6" s="34"/>
      <c r="H6" s="35"/>
      <c r="I6" s="35"/>
      <c r="J6" s="61"/>
      <c r="K6" s="62"/>
      <c r="L6" s="33"/>
      <c r="M6" s="33"/>
      <c r="N6" s="33"/>
      <c r="O6" s="33"/>
      <c r="P6" s="33"/>
      <c r="Q6" s="96"/>
      <c r="R6" s="97"/>
      <c r="S6" s="98"/>
      <c r="T6" s="62"/>
      <c r="U6" s="8"/>
      <c r="V6" s="33"/>
      <c r="W6" s="134"/>
      <c r="X6" s="61"/>
      <c r="AL6" s="156"/>
      <c r="AM6" s="156"/>
      <c r="AN6" s="156"/>
      <c r="AO6" s="156"/>
      <c r="AP6" s="156"/>
      <c r="AQ6" s="156"/>
      <c r="AR6" s="156"/>
      <c r="AS6" s="156"/>
      <c r="AT6" s="156"/>
      <c r="AU6" s="156"/>
      <c r="AV6" s="156"/>
      <c r="AW6" s="156"/>
      <c r="AX6" s="156"/>
      <c r="AY6" s="156"/>
      <c r="AZ6" s="156"/>
      <c r="BA6" s="156"/>
      <c r="BB6" s="156"/>
      <c r="BC6" s="156"/>
      <c r="BD6" s="156"/>
      <c r="BE6" s="156"/>
      <c r="BF6" s="156"/>
      <c r="BG6" s="156"/>
      <c r="BH6" s="156"/>
    </row>
    <row r="7" spans="1:60" s="1" customFormat="1" ht="19.5" thickBot="1">
      <c r="B7" s="7"/>
      <c r="C7" s="8"/>
      <c r="D7" s="9"/>
      <c r="E7" s="33"/>
      <c r="F7" s="33"/>
      <c r="G7" s="34"/>
      <c r="H7" s="35"/>
      <c r="I7" s="35"/>
      <c r="J7" s="61"/>
      <c r="K7" s="62"/>
      <c r="L7" s="33"/>
      <c r="M7" s="33"/>
      <c r="N7" s="33"/>
      <c r="O7" s="33"/>
      <c r="P7" s="33"/>
      <c r="Q7" s="96"/>
      <c r="R7" s="97"/>
      <c r="S7" s="98"/>
      <c r="T7" s="62"/>
      <c r="U7" s="8"/>
      <c r="V7" s="135"/>
      <c r="W7" s="134"/>
      <c r="X7" s="61"/>
      <c r="AL7" s="156"/>
      <c r="AM7" s="156"/>
      <c r="AN7" s="156"/>
      <c r="AO7" s="156"/>
      <c r="AP7" s="156"/>
      <c r="AQ7" s="156"/>
      <c r="AR7" s="156"/>
      <c r="AS7" s="156"/>
      <c r="AT7" s="156"/>
      <c r="AU7" s="156"/>
      <c r="AV7" s="156"/>
      <c r="AW7" s="156"/>
      <c r="AX7" s="156"/>
      <c r="AY7" s="156"/>
      <c r="AZ7" s="156"/>
      <c r="BA7" s="156"/>
      <c r="BB7" s="156"/>
      <c r="BC7" s="156"/>
      <c r="BD7" s="156"/>
      <c r="BE7" s="156"/>
      <c r="BF7" s="156"/>
      <c r="BG7" s="156"/>
      <c r="BH7" s="156"/>
    </row>
    <row r="8" spans="1:60" ht="19.5" thickBot="1">
      <c r="A8" s="1">
        <v>1</v>
      </c>
      <c r="B8" s="7" t="s">
        <v>20</v>
      </c>
      <c r="C8" s="10">
        <v>5</v>
      </c>
      <c r="D8" s="11">
        <v>7</v>
      </c>
      <c r="E8" s="36"/>
      <c r="F8" s="36">
        <v>30</v>
      </c>
      <c r="G8" s="37"/>
      <c r="H8" s="38"/>
      <c r="I8" s="38">
        <v>35</v>
      </c>
      <c r="J8" s="63">
        <f t="shared" ref="I8:J43" si="0">D8-H8</f>
        <v>7</v>
      </c>
      <c r="K8" s="62"/>
      <c r="L8" s="36"/>
      <c r="M8" s="36"/>
      <c r="N8" s="36"/>
      <c r="O8" s="36"/>
      <c r="P8" s="36"/>
      <c r="Q8" s="99"/>
      <c r="R8" s="100">
        <f t="shared" ref="R8:S59" si="1">L8+N8+P8</f>
        <v>0</v>
      </c>
      <c r="S8" s="101">
        <f t="shared" si="1"/>
        <v>0</v>
      </c>
      <c r="T8" s="62"/>
      <c r="U8" s="8">
        <f t="shared" ref="U8:U37" si="2">L8*24+N8*24+P8*24</f>
        <v>0</v>
      </c>
      <c r="V8" s="135">
        <f t="shared" ref="V8:V37" si="3">U8/24</f>
        <v>0</v>
      </c>
      <c r="W8" s="134">
        <f t="shared" ref="W8:W37" si="4">I8*24+J8</f>
        <v>847</v>
      </c>
      <c r="X8" s="61"/>
      <c r="AL8" s="157"/>
      <c r="AM8" s="157"/>
      <c r="AN8" s="157"/>
      <c r="AO8" s="157"/>
      <c r="AP8" s="157"/>
      <c r="AQ8" s="157"/>
      <c r="AR8" s="157"/>
      <c r="AS8" s="157"/>
      <c r="AT8" s="157"/>
      <c r="AU8" s="157"/>
      <c r="AV8" s="157"/>
      <c r="AW8" s="157"/>
      <c r="AX8" s="157"/>
      <c r="AY8" s="157"/>
      <c r="AZ8" s="157"/>
      <c r="BA8" s="157"/>
      <c r="BB8" s="157"/>
      <c r="BC8" s="157"/>
      <c r="BD8" s="157"/>
      <c r="BE8" s="157"/>
      <c r="BF8" s="157"/>
      <c r="BG8" s="157"/>
      <c r="BH8" s="157"/>
    </row>
    <row r="9" spans="1:60" ht="19.5" thickBot="1">
      <c r="A9" s="1">
        <f t="shared" ref="A9:A59" si="5">A8+1</f>
        <v>2</v>
      </c>
      <c r="B9" s="12" t="s">
        <v>21</v>
      </c>
      <c r="C9" s="13">
        <v>68</v>
      </c>
      <c r="D9" s="14"/>
      <c r="E9" s="39"/>
      <c r="F9" s="39">
        <v>30</v>
      </c>
      <c r="G9" s="40"/>
      <c r="H9" s="41"/>
      <c r="I9" s="40">
        <v>98</v>
      </c>
      <c r="J9" s="64">
        <f t="shared" si="0"/>
        <v>0</v>
      </c>
      <c r="K9" s="65"/>
      <c r="L9" s="51"/>
      <c r="M9" s="51"/>
      <c r="N9" s="51"/>
      <c r="O9" s="51"/>
      <c r="P9" s="51"/>
      <c r="Q9" s="102"/>
      <c r="R9" s="103">
        <f t="shared" si="1"/>
        <v>0</v>
      </c>
      <c r="S9" s="104">
        <f t="shared" si="1"/>
        <v>0</v>
      </c>
      <c r="T9" s="65"/>
      <c r="U9" s="136">
        <f t="shared" si="2"/>
        <v>0</v>
      </c>
      <c r="V9" s="137">
        <f t="shared" si="3"/>
        <v>0</v>
      </c>
      <c r="W9" s="138">
        <f t="shared" si="4"/>
        <v>2352</v>
      </c>
      <c r="X9" s="139"/>
      <c r="AL9" s="157"/>
      <c r="AM9" s="157"/>
      <c r="AN9" s="157"/>
      <c r="AO9" s="157"/>
      <c r="AP9" s="157"/>
      <c r="AQ9" s="157"/>
      <c r="AR9" s="157"/>
      <c r="AS9" s="157"/>
      <c r="AT9" s="157"/>
      <c r="AU9" s="157"/>
      <c r="AV9" s="157"/>
      <c r="AW9" s="157"/>
      <c r="AX9" s="157"/>
      <c r="AY9" s="157"/>
      <c r="AZ9" s="157"/>
      <c r="BA9" s="157"/>
      <c r="BB9" s="157"/>
      <c r="BC9" s="157"/>
      <c r="BD9" s="157"/>
      <c r="BE9" s="157"/>
      <c r="BF9" s="157"/>
      <c r="BG9" s="157"/>
      <c r="BH9" s="157"/>
    </row>
    <row r="10" spans="1:60" ht="19.5" thickBot="1">
      <c r="A10" s="1">
        <f t="shared" si="5"/>
        <v>3</v>
      </c>
      <c r="B10" s="7" t="s">
        <v>22</v>
      </c>
      <c r="C10" s="10">
        <v>7</v>
      </c>
      <c r="D10" s="11"/>
      <c r="E10" s="36"/>
      <c r="F10" s="36">
        <v>145</v>
      </c>
      <c r="G10" s="37"/>
      <c r="H10" s="38"/>
      <c r="I10" s="38">
        <v>152</v>
      </c>
      <c r="J10" s="66">
        <f t="shared" si="0"/>
        <v>0</v>
      </c>
      <c r="K10" s="62"/>
      <c r="L10" s="36"/>
      <c r="M10" s="36"/>
      <c r="N10" s="36"/>
      <c r="O10" s="36"/>
      <c r="P10" s="36"/>
      <c r="Q10" s="99"/>
      <c r="R10" s="105">
        <f t="shared" si="1"/>
        <v>0</v>
      </c>
      <c r="S10" s="106">
        <f t="shared" si="1"/>
        <v>0</v>
      </c>
      <c r="T10" s="62"/>
      <c r="U10" s="8">
        <f t="shared" si="2"/>
        <v>0</v>
      </c>
      <c r="V10" s="140">
        <f t="shared" si="3"/>
        <v>0</v>
      </c>
      <c r="W10" s="134">
        <f t="shared" si="4"/>
        <v>3648</v>
      </c>
      <c r="X10" s="61"/>
      <c r="AL10" s="157"/>
      <c r="AM10" s="157"/>
      <c r="AN10" s="157"/>
      <c r="AO10" s="157"/>
      <c r="AP10" s="157"/>
      <c r="AQ10" s="157"/>
      <c r="AR10" s="157"/>
      <c r="AS10" s="157"/>
      <c r="AT10" s="157"/>
      <c r="AU10" s="157"/>
      <c r="AV10" s="157"/>
      <c r="AW10" s="157"/>
      <c r="AX10" s="157"/>
      <c r="AY10" s="157"/>
      <c r="AZ10" s="157"/>
      <c r="BA10" s="157"/>
      <c r="BB10" s="157"/>
      <c r="BC10" s="157"/>
      <c r="BD10" s="157"/>
      <c r="BE10" s="157"/>
      <c r="BF10" s="157"/>
      <c r="BG10" s="157"/>
      <c r="BH10" s="157"/>
    </row>
    <row r="11" spans="1:60" ht="19.5" thickBot="1">
      <c r="A11" s="1">
        <f t="shared" si="5"/>
        <v>4</v>
      </c>
      <c r="B11" s="15" t="s">
        <v>23</v>
      </c>
      <c r="C11" s="10"/>
      <c r="D11" s="11"/>
      <c r="E11" s="36"/>
      <c r="F11" s="36">
        <v>35</v>
      </c>
      <c r="G11" s="37"/>
      <c r="H11" s="38"/>
      <c r="I11" s="38">
        <v>35</v>
      </c>
      <c r="J11" s="63">
        <f t="shared" si="0"/>
        <v>0</v>
      </c>
      <c r="K11" s="62"/>
      <c r="L11" s="36"/>
      <c r="M11" s="36"/>
      <c r="N11" s="36"/>
      <c r="O11" s="36"/>
      <c r="P11" s="36"/>
      <c r="Q11" s="99"/>
      <c r="R11" s="100">
        <f t="shared" si="1"/>
        <v>0</v>
      </c>
      <c r="S11" s="101">
        <f t="shared" si="1"/>
        <v>0</v>
      </c>
      <c r="T11" s="62"/>
      <c r="U11" s="8">
        <f t="shared" si="2"/>
        <v>0</v>
      </c>
      <c r="V11" s="135">
        <f t="shared" si="3"/>
        <v>0</v>
      </c>
      <c r="W11" s="134">
        <f t="shared" si="4"/>
        <v>840</v>
      </c>
      <c r="X11" s="61"/>
      <c r="AL11" s="157"/>
      <c r="AM11" s="157"/>
      <c r="AN11" s="157"/>
      <c r="AO11" s="157"/>
      <c r="AP11" s="157"/>
      <c r="AQ11" s="157"/>
      <c r="AR11" s="157"/>
      <c r="AS11" s="157"/>
      <c r="AT11" s="157"/>
      <c r="AU11" s="157"/>
      <c r="AV11" s="157"/>
      <c r="AW11" s="157"/>
      <c r="AX11" s="157"/>
      <c r="AY11" s="157"/>
      <c r="AZ11" s="157"/>
      <c r="BA11" s="157"/>
      <c r="BB11" s="157"/>
      <c r="BC11" s="157"/>
      <c r="BD11" s="157"/>
      <c r="BE11" s="157"/>
      <c r="BF11" s="157"/>
      <c r="BG11" s="157"/>
      <c r="BH11" s="157"/>
    </row>
    <row r="12" spans="1:60" ht="19.5" thickBot="1">
      <c r="A12" s="1">
        <f t="shared" si="5"/>
        <v>5</v>
      </c>
      <c r="B12" s="15" t="s">
        <v>24</v>
      </c>
      <c r="C12" s="10"/>
      <c r="D12" s="11">
        <v>2</v>
      </c>
      <c r="E12" s="36"/>
      <c r="F12" s="36">
        <v>10</v>
      </c>
      <c r="G12" s="37"/>
      <c r="H12" s="38"/>
      <c r="I12" s="38">
        <v>10</v>
      </c>
      <c r="J12" s="63">
        <f t="shared" si="0"/>
        <v>2</v>
      </c>
      <c r="K12" s="62"/>
      <c r="L12" s="36"/>
      <c r="M12" s="36"/>
      <c r="N12" s="36"/>
      <c r="O12" s="36"/>
      <c r="P12" s="36"/>
      <c r="Q12" s="99"/>
      <c r="R12" s="100">
        <f t="shared" si="1"/>
        <v>0</v>
      </c>
      <c r="S12" s="101">
        <f t="shared" si="1"/>
        <v>0</v>
      </c>
      <c r="T12" s="62"/>
      <c r="U12" s="8">
        <f t="shared" si="2"/>
        <v>0</v>
      </c>
      <c r="V12" s="135">
        <f t="shared" si="3"/>
        <v>0</v>
      </c>
      <c r="W12" s="134">
        <f t="shared" si="4"/>
        <v>242</v>
      </c>
      <c r="X12" s="61"/>
      <c r="AL12" s="157"/>
      <c r="AM12" s="157"/>
      <c r="AN12" s="157"/>
      <c r="AO12" s="157"/>
      <c r="AP12" s="157"/>
      <c r="AQ12" s="157"/>
      <c r="AR12" s="157"/>
      <c r="AS12" s="157"/>
      <c r="AT12" s="157"/>
      <c r="AU12" s="157"/>
      <c r="AV12" s="157"/>
      <c r="AW12" s="157"/>
      <c r="AX12" s="157"/>
      <c r="AY12" s="157"/>
      <c r="AZ12" s="157"/>
      <c r="BA12" s="157"/>
      <c r="BB12" s="157"/>
      <c r="BC12" s="157"/>
      <c r="BD12" s="157"/>
      <c r="BE12" s="157"/>
      <c r="BF12" s="157"/>
      <c r="BG12" s="157"/>
      <c r="BH12" s="157"/>
    </row>
    <row r="13" spans="1:60" s="2" customFormat="1" ht="19.5" thickBot="1">
      <c r="A13" s="1">
        <f t="shared" si="5"/>
        <v>6</v>
      </c>
      <c r="B13" s="12" t="s">
        <v>25</v>
      </c>
      <c r="C13" s="13">
        <v>2930</v>
      </c>
      <c r="D13" s="14"/>
      <c r="E13" s="39"/>
      <c r="F13" s="39">
        <v>250</v>
      </c>
      <c r="G13" s="40"/>
      <c r="H13" s="41"/>
      <c r="I13" s="44">
        <v>3180</v>
      </c>
      <c r="J13" s="64">
        <f t="shared" si="0"/>
        <v>0</v>
      </c>
      <c r="K13" s="67"/>
      <c r="L13" s="51"/>
      <c r="M13" s="51"/>
      <c r="N13" s="51"/>
      <c r="O13" s="51"/>
      <c r="P13" s="51"/>
      <c r="Q13" s="102"/>
      <c r="R13" s="107">
        <f t="shared" si="1"/>
        <v>0</v>
      </c>
      <c r="S13" s="104">
        <f t="shared" si="1"/>
        <v>0</v>
      </c>
      <c r="T13" s="67"/>
      <c r="U13" s="136">
        <f t="shared" si="2"/>
        <v>0</v>
      </c>
      <c r="V13" s="141">
        <f t="shared" si="3"/>
        <v>0</v>
      </c>
      <c r="W13" s="138">
        <f t="shared" si="4"/>
        <v>76320</v>
      </c>
      <c r="X13" s="139"/>
      <c r="Y13" s="3"/>
      <c r="AD13" s="3"/>
      <c r="AG13" s="3"/>
      <c r="AH13" s="3"/>
      <c r="AI13" s="3"/>
      <c r="AJ13" s="3"/>
      <c r="AK13" s="3"/>
      <c r="AL13" s="157"/>
      <c r="AM13" s="157"/>
      <c r="AN13" s="157"/>
      <c r="AO13" s="157"/>
      <c r="AP13" s="157"/>
      <c r="AQ13" s="157"/>
      <c r="AR13" s="157"/>
      <c r="AS13" s="157"/>
      <c r="AT13" s="157"/>
      <c r="AU13" s="157"/>
      <c r="AV13" s="157"/>
      <c r="AW13" s="157"/>
      <c r="AX13" s="157"/>
      <c r="AY13" s="157"/>
      <c r="AZ13" s="157"/>
      <c r="BA13" s="157"/>
      <c r="BB13" s="157"/>
      <c r="BC13" s="157"/>
      <c r="BD13" s="157"/>
      <c r="BE13" s="157"/>
      <c r="BF13" s="157"/>
      <c r="BG13" s="157"/>
      <c r="BH13" s="157"/>
    </row>
    <row r="14" spans="1:60" ht="19.5" thickBot="1">
      <c r="A14" s="1">
        <f t="shared" si="5"/>
        <v>7</v>
      </c>
      <c r="B14" s="7" t="s">
        <v>26</v>
      </c>
      <c r="C14" s="10">
        <v>3</v>
      </c>
      <c r="D14" s="11">
        <v>16</v>
      </c>
      <c r="E14" s="36"/>
      <c r="F14" s="36"/>
      <c r="G14" s="37"/>
      <c r="H14" s="38"/>
      <c r="I14" s="68">
        <v>3</v>
      </c>
      <c r="J14" s="66">
        <f t="shared" si="0"/>
        <v>16</v>
      </c>
      <c r="K14" s="62"/>
      <c r="L14" s="36"/>
      <c r="M14" s="36"/>
      <c r="N14" s="36"/>
      <c r="O14" s="36"/>
      <c r="P14" s="36"/>
      <c r="Q14" s="99"/>
      <c r="R14" s="108">
        <f t="shared" si="1"/>
        <v>0</v>
      </c>
      <c r="S14" s="106">
        <f t="shared" si="1"/>
        <v>0</v>
      </c>
      <c r="T14" s="62"/>
      <c r="U14" s="8">
        <f t="shared" si="2"/>
        <v>0</v>
      </c>
      <c r="V14" s="33">
        <f t="shared" si="3"/>
        <v>0</v>
      </c>
      <c r="W14" s="134">
        <f t="shared" si="4"/>
        <v>88</v>
      </c>
      <c r="X14" s="61"/>
      <c r="AL14" s="157"/>
      <c r="AM14" s="157"/>
      <c r="AN14" s="157"/>
      <c r="AO14" s="157"/>
      <c r="AP14" s="157"/>
      <c r="AQ14" s="157"/>
      <c r="AR14" s="157"/>
      <c r="AS14" s="157"/>
      <c r="AT14" s="157"/>
      <c r="AU14" s="157"/>
      <c r="AV14" s="157"/>
      <c r="AW14" s="157"/>
      <c r="AX14" s="157"/>
      <c r="AY14" s="157"/>
      <c r="AZ14" s="157"/>
      <c r="BA14" s="157"/>
      <c r="BB14" s="157"/>
      <c r="BC14" s="157"/>
      <c r="BD14" s="157"/>
      <c r="BE14" s="157"/>
      <c r="BF14" s="157"/>
      <c r="BG14" s="157"/>
      <c r="BH14" s="157"/>
    </row>
    <row r="15" spans="1:60" ht="19.5" thickBot="1">
      <c r="A15" s="1">
        <f t="shared" si="5"/>
        <v>8</v>
      </c>
      <c r="B15" s="15" t="s">
        <v>27</v>
      </c>
      <c r="C15" s="10">
        <v>4</v>
      </c>
      <c r="D15" s="11"/>
      <c r="E15" s="36"/>
      <c r="F15" s="36"/>
      <c r="G15" s="37"/>
      <c r="H15" s="38"/>
      <c r="I15" s="38">
        <v>4</v>
      </c>
      <c r="J15" s="63">
        <f t="shared" si="0"/>
        <v>0</v>
      </c>
      <c r="K15" s="62"/>
      <c r="L15" s="36"/>
      <c r="M15" s="36"/>
      <c r="N15" s="36"/>
      <c r="O15" s="36"/>
      <c r="P15" s="36"/>
      <c r="Q15" s="99"/>
      <c r="R15" s="100">
        <f t="shared" si="1"/>
        <v>0</v>
      </c>
      <c r="S15" s="101">
        <f t="shared" si="1"/>
        <v>0</v>
      </c>
      <c r="T15" s="62"/>
      <c r="U15" s="8">
        <f t="shared" si="2"/>
        <v>0</v>
      </c>
      <c r="V15" s="135">
        <f t="shared" si="3"/>
        <v>0</v>
      </c>
      <c r="W15" s="134">
        <f t="shared" si="4"/>
        <v>96</v>
      </c>
      <c r="X15" s="61"/>
      <c r="AL15" s="157"/>
      <c r="AM15" s="157"/>
      <c r="AN15" s="157"/>
      <c r="AO15" s="157"/>
      <c r="AP15" s="157"/>
      <c r="AQ15" s="157"/>
      <c r="AR15" s="157"/>
      <c r="AS15" s="157"/>
      <c r="AT15" s="157"/>
      <c r="AU15" s="157"/>
      <c r="AV15" s="157"/>
      <c r="AW15" s="157"/>
      <c r="AX15" s="157"/>
      <c r="AY15" s="157"/>
      <c r="AZ15" s="157"/>
      <c r="BA15" s="157"/>
      <c r="BB15" s="157"/>
      <c r="BC15" s="157"/>
      <c r="BD15" s="157"/>
      <c r="BE15" s="157"/>
      <c r="BF15" s="157"/>
      <c r="BG15" s="157"/>
      <c r="BH15" s="157"/>
    </row>
    <row r="16" spans="1:60" ht="19.5" thickBot="1">
      <c r="A16" s="1">
        <f t="shared" si="5"/>
        <v>9</v>
      </c>
      <c r="B16" s="15" t="s">
        <v>28</v>
      </c>
      <c r="C16" s="10">
        <v>1</v>
      </c>
      <c r="D16" s="11"/>
      <c r="E16" s="36"/>
      <c r="F16" s="36"/>
      <c r="G16" s="37"/>
      <c r="H16" s="38"/>
      <c r="I16" s="38">
        <v>1</v>
      </c>
      <c r="J16" s="63">
        <f t="shared" si="0"/>
        <v>0</v>
      </c>
      <c r="K16" s="62"/>
      <c r="L16" s="36"/>
      <c r="M16" s="36"/>
      <c r="N16" s="36"/>
      <c r="O16" s="36"/>
      <c r="P16" s="36"/>
      <c r="Q16" s="99"/>
      <c r="R16" s="100">
        <f t="shared" si="1"/>
        <v>0</v>
      </c>
      <c r="S16" s="101">
        <f t="shared" si="1"/>
        <v>0</v>
      </c>
      <c r="T16" s="62"/>
      <c r="U16" s="8">
        <f t="shared" si="2"/>
        <v>0</v>
      </c>
      <c r="V16" s="135">
        <f t="shared" si="3"/>
        <v>0</v>
      </c>
      <c r="W16" s="134">
        <f t="shared" si="4"/>
        <v>24</v>
      </c>
      <c r="X16" s="61"/>
      <c r="AL16" s="157"/>
      <c r="AM16" s="157"/>
      <c r="AN16" s="157"/>
      <c r="AO16" s="157"/>
      <c r="AP16" s="157"/>
      <c r="AQ16" s="157"/>
      <c r="AR16" s="157"/>
      <c r="AS16" s="157"/>
      <c r="AT16" s="157"/>
      <c r="AU16" s="157"/>
      <c r="AV16" s="157"/>
      <c r="AW16" s="157"/>
      <c r="AX16" s="157"/>
      <c r="AY16" s="157"/>
      <c r="AZ16" s="157"/>
      <c r="BA16" s="157"/>
      <c r="BB16" s="157"/>
      <c r="BC16" s="157"/>
      <c r="BD16" s="157"/>
      <c r="BE16" s="157"/>
      <c r="BF16" s="157"/>
      <c r="BG16" s="157"/>
      <c r="BH16" s="157"/>
    </row>
    <row r="17" spans="1:60" ht="19.5" thickBot="1">
      <c r="A17" s="1">
        <f t="shared" si="5"/>
        <v>10</v>
      </c>
      <c r="B17" s="15" t="s">
        <v>29</v>
      </c>
      <c r="C17" s="10"/>
      <c r="D17" s="11"/>
      <c r="E17" s="36"/>
      <c r="F17" s="36"/>
      <c r="G17" s="37"/>
      <c r="H17" s="38"/>
      <c r="I17" s="38"/>
      <c r="J17" s="63">
        <f t="shared" si="0"/>
        <v>0</v>
      </c>
      <c r="K17" s="62"/>
      <c r="L17" s="36"/>
      <c r="M17" s="36"/>
      <c r="N17" s="36"/>
      <c r="O17" s="36"/>
      <c r="P17" s="36"/>
      <c r="Q17" s="99"/>
      <c r="R17" s="100">
        <f t="shared" si="1"/>
        <v>0</v>
      </c>
      <c r="S17" s="101">
        <f t="shared" si="1"/>
        <v>0</v>
      </c>
      <c r="T17" s="62"/>
      <c r="U17" s="8">
        <f t="shared" si="2"/>
        <v>0</v>
      </c>
      <c r="V17" s="135">
        <f t="shared" si="3"/>
        <v>0</v>
      </c>
      <c r="W17" s="134">
        <f t="shared" si="4"/>
        <v>0</v>
      </c>
      <c r="X17" s="61"/>
      <c r="AL17" s="157"/>
      <c r="AM17" s="157"/>
      <c r="AN17" s="157"/>
      <c r="AO17" s="157"/>
      <c r="AP17" s="157"/>
      <c r="AQ17" s="157"/>
      <c r="AR17" s="157"/>
      <c r="AS17" s="157"/>
      <c r="AT17" s="157"/>
      <c r="AU17" s="157"/>
      <c r="AV17" s="157"/>
      <c r="AW17" s="157"/>
      <c r="AX17" s="157"/>
      <c r="AY17" s="157"/>
      <c r="AZ17" s="157"/>
      <c r="BA17" s="157"/>
      <c r="BB17" s="157"/>
      <c r="BC17" s="157"/>
      <c r="BD17" s="157"/>
      <c r="BE17" s="157"/>
      <c r="BF17" s="157"/>
      <c r="BG17" s="157"/>
      <c r="BH17" s="157"/>
    </row>
    <row r="18" spans="1:60" ht="19.5" thickBot="1">
      <c r="A18" s="1">
        <f t="shared" si="5"/>
        <v>11</v>
      </c>
      <c r="B18" s="15" t="s">
        <v>30</v>
      </c>
      <c r="C18" s="10">
        <v>3</v>
      </c>
      <c r="D18" s="11"/>
      <c r="E18" s="36"/>
      <c r="F18" s="36"/>
      <c r="G18" s="37"/>
      <c r="H18" s="38"/>
      <c r="I18" s="38">
        <v>3</v>
      </c>
      <c r="J18" s="63">
        <f t="shared" si="0"/>
        <v>0</v>
      </c>
      <c r="K18" s="62"/>
      <c r="L18" s="36"/>
      <c r="M18" s="36"/>
      <c r="N18" s="36"/>
      <c r="O18" s="36"/>
      <c r="P18" s="36"/>
      <c r="Q18" s="99"/>
      <c r="R18" s="100">
        <f t="shared" si="1"/>
        <v>0</v>
      </c>
      <c r="S18" s="101">
        <f t="shared" si="1"/>
        <v>0</v>
      </c>
      <c r="T18" s="62"/>
      <c r="U18" s="8">
        <f t="shared" si="2"/>
        <v>0</v>
      </c>
      <c r="V18" s="135">
        <f t="shared" si="3"/>
        <v>0</v>
      </c>
      <c r="W18" s="134">
        <f t="shared" si="4"/>
        <v>72</v>
      </c>
      <c r="X18" s="61"/>
      <c r="AL18" s="157"/>
      <c r="AM18" s="157"/>
      <c r="AN18" s="157"/>
      <c r="AO18" s="157"/>
      <c r="AP18" s="157"/>
      <c r="AQ18" s="157"/>
      <c r="AR18" s="157"/>
      <c r="AS18" s="157"/>
      <c r="AT18" s="157"/>
      <c r="AU18" s="157"/>
      <c r="AV18" s="157"/>
      <c r="AW18" s="157"/>
      <c r="AX18" s="157"/>
      <c r="AY18" s="157"/>
      <c r="AZ18" s="157"/>
      <c r="BA18" s="157"/>
      <c r="BB18" s="157"/>
      <c r="BC18" s="157"/>
      <c r="BD18" s="157"/>
      <c r="BE18" s="157"/>
      <c r="BF18" s="157"/>
      <c r="BG18" s="157"/>
      <c r="BH18" s="157"/>
    </row>
    <row r="19" spans="1:60" ht="18.75" hidden="1" customHeight="1">
      <c r="A19" s="1">
        <f t="shared" si="5"/>
        <v>12</v>
      </c>
      <c r="B19" s="15" t="s">
        <v>31</v>
      </c>
      <c r="C19" s="10"/>
      <c r="D19" s="11"/>
      <c r="E19" s="36"/>
      <c r="F19" s="36"/>
      <c r="G19" s="37"/>
      <c r="H19" s="38"/>
      <c r="I19" s="38"/>
      <c r="J19" s="63">
        <f t="shared" si="0"/>
        <v>0</v>
      </c>
      <c r="K19" s="62"/>
      <c r="L19" s="36"/>
      <c r="M19" s="36"/>
      <c r="N19" s="36"/>
      <c r="O19" s="36"/>
      <c r="P19" s="36"/>
      <c r="Q19" s="99"/>
      <c r="R19" s="100">
        <f t="shared" si="1"/>
        <v>0</v>
      </c>
      <c r="S19" s="101">
        <f t="shared" si="1"/>
        <v>0</v>
      </c>
      <c r="T19" s="62"/>
      <c r="U19" s="8">
        <f t="shared" si="2"/>
        <v>0</v>
      </c>
      <c r="V19" s="135">
        <f t="shared" si="3"/>
        <v>0</v>
      </c>
      <c r="W19" s="134">
        <f t="shared" si="4"/>
        <v>0</v>
      </c>
      <c r="X19" s="61"/>
      <c r="AL19" s="157"/>
      <c r="AM19" s="157"/>
      <c r="AN19" s="157"/>
      <c r="AO19" s="157"/>
      <c r="AP19" s="157"/>
      <c r="AQ19" s="157"/>
      <c r="AR19" s="157"/>
      <c r="AS19" s="157"/>
      <c r="AT19" s="157"/>
      <c r="AU19" s="157"/>
      <c r="AV19" s="157"/>
      <c r="AW19" s="157"/>
      <c r="AX19" s="157"/>
      <c r="AY19" s="157"/>
      <c r="AZ19" s="157"/>
      <c r="BA19" s="157"/>
      <c r="BB19" s="157"/>
      <c r="BC19" s="157"/>
      <c r="BD19" s="157"/>
      <c r="BE19" s="157"/>
      <c r="BF19" s="157"/>
      <c r="BG19" s="157"/>
      <c r="BH19" s="157"/>
    </row>
    <row r="20" spans="1:60" ht="19.5" thickBot="1">
      <c r="A20" s="1">
        <f t="shared" si="5"/>
        <v>13</v>
      </c>
      <c r="B20" s="15" t="s">
        <v>32</v>
      </c>
      <c r="C20" s="10">
        <v>4</v>
      </c>
      <c r="D20" s="11">
        <v>20</v>
      </c>
      <c r="E20" s="36"/>
      <c r="F20" s="36"/>
      <c r="G20" s="37"/>
      <c r="H20" s="38"/>
      <c r="I20" s="38">
        <v>4</v>
      </c>
      <c r="J20" s="63">
        <f t="shared" si="0"/>
        <v>20</v>
      </c>
      <c r="K20" s="62"/>
      <c r="L20" s="36"/>
      <c r="M20" s="36"/>
      <c r="N20" s="36"/>
      <c r="O20" s="36"/>
      <c r="P20" s="36"/>
      <c r="Q20" s="99"/>
      <c r="R20" s="100">
        <f t="shared" si="1"/>
        <v>0</v>
      </c>
      <c r="S20" s="101">
        <f t="shared" si="1"/>
        <v>0</v>
      </c>
      <c r="T20" s="62"/>
      <c r="U20" s="8">
        <f t="shared" si="2"/>
        <v>0</v>
      </c>
      <c r="V20" s="135">
        <f t="shared" si="3"/>
        <v>0</v>
      </c>
      <c r="W20" s="134">
        <f t="shared" si="4"/>
        <v>116</v>
      </c>
      <c r="X20" s="61"/>
      <c r="AL20" s="157"/>
      <c r="AM20" s="157"/>
      <c r="AN20" s="157"/>
      <c r="AO20" s="157"/>
      <c r="AP20" s="157"/>
      <c r="AQ20" s="157"/>
      <c r="AR20" s="157"/>
      <c r="AS20" s="157"/>
      <c r="AT20" s="157"/>
      <c r="AU20" s="157"/>
      <c r="AV20" s="157"/>
      <c r="AW20" s="157"/>
      <c r="AX20" s="157"/>
      <c r="AY20" s="157"/>
      <c r="AZ20" s="157"/>
      <c r="BA20" s="157"/>
      <c r="BB20" s="157"/>
      <c r="BC20" s="157"/>
      <c r="BD20" s="157"/>
      <c r="BE20" s="157"/>
      <c r="BF20" s="157"/>
      <c r="BG20" s="157"/>
      <c r="BH20" s="157"/>
    </row>
    <row r="21" spans="1:60" ht="19.5" thickBot="1">
      <c r="A21" s="1">
        <f t="shared" si="5"/>
        <v>14</v>
      </c>
      <c r="B21" s="15" t="s">
        <v>33</v>
      </c>
      <c r="C21" s="10">
        <v>6</v>
      </c>
      <c r="D21" s="11"/>
      <c r="E21" s="36"/>
      <c r="F21" s="36"/>
      <c r="G21" s="37"/>
      <c r="H21" s="38"/>
      <c r="I21" s="38">
        <v>6</v>
      </c>
      <c r="J21" s="63">
        <f t="shared" si="0"/>
        <v>0</v>
      </c>
      <c r="K21" s="62"/>
      <c r="L21" s="36"/>
      <c r="M21" s="36"/>
      <c r="N21" s="36"/>
      <c r="O21" s="36"/>
      <c r="P21" s="36"/>
      <c r="Q21" s="99"/>
      <c r="R21" s="100">
        <f t="shared" si="1"/>
        <v>0</v>
      </c>
      <c r="S21" s="101">
        <f t="shared" si="1"/>
        <v>0</v>
      </c>
      <c r="T21" s="62"/>
      <c r="U21" s="8">
        <f t="shared" si="2"/>
        <v>0</v>
      </c>
      <c r="V21" s="135">
        <f t="shared" si="3"/>
        <v>0</v>
      </c>
      <c r="W21" s="134">
        <f t="shared" si="4"/>
        <v>144</v>
      </c>
      <c r="X21" s="61"/>
      <c r="AL21" s="157"/>
      <c r="AM21" s="157"/>
      <c r="AN21" s="157"/>
      <c r="AO21" s="157"/>
      <c r="AP21" s="157"/>
      <c r="AQ21" s="157"/>
      <c r="AR21" s="157"/>
      <c r="AS21" s="157"/>
      <c r="AT21" s="157"/>
      <c r="AU21" s="157"/>
      <c r="AV21" s="157"/>
      <c r="AW21" s="157"/>
      <c r="AX21" s="157"/>
      <c r="AY21" s="157"/>
      <c r="AZ21" s="157"/>
      <c r="BA21" s="157"/>
      <c r="BB21" s="157"/>
      <c r="BC21" s="157"/>
      <c r="BD21" s="157"/>
      <c r="BE21" s="157"/>
      <c r="BF21" s="157"/>
      <c r="BG21" s="157"/>
      <c r="BH21" s="157"/>
    </row>
    <row r="22" spans="1:60" ht="19.5" thickBot="1">
      <c r="A22" s="1">
        <f t="shared" si="5"/>
        <v>15</v>
      </c>
      <c r="B22" s="15" t="s">
        <v>34</v>
      </c>
      <c r="C22" s="10">
        <v>3</v>
      </c>
      <c r="D22" s="11"/>
      <c r="E22" s="36"/>
      <c r="F22" s="36"/>
      <c r="G22" s="37"/>
      <c r="H22" s="38"/>
      <c r="I22" s="38">
        <v>3</v>
      </c>
      <c r="J22" s="63">
        <f t="shared" si="0"/>
        <v>0</v>
      </c>
      <c r="K22" s="62"/>
      <c r="L22" s="36"/>
      <c r="M22" s="36"/>
      <c r="N22" s="36"/>
      <c r="O22" s="36"/>
      <c r="P22" s="36"/>
      <c r="Q22" s="99"/>
      <c r="R22" s="100">
        <f t="shared" si="1"/>
        <v>0</v>
      </c>
      <c r="S22" s="101">
        <f t="shared" si="1"/>
        <v>0</v>
      </c>
      <c r="T22" s="62"/>
      <c r="U22" s="8">
        <f t="shared" si="2"/>
        <v>0</v>
      </c>
      <c r="V22" s="135">
        <f t="shared" si="3"/>
        <v>0</v>
      </c>
      <c r="W22" s="134">
        <f t="shared" si="4"/>
        <v>72</v>
      </c>
      <c r="X22" s="61"/>
      <c r="AL22" s="157"/>
      <c r="AM22" s="157"/>
      <c r="AN22" s="157"/>
      <c r="AO22" s="157"/>
      <c r="AP22" s="157"/>
      <c r="AQ22" s="157"/>
      <c r="AR22" s="157"/>
      <c r="AS22" s="157"/>
      <c r="AT22" s="157"/>
      <c r="AU22" s="157"/>
      <c r="AV22" s="157"/>
      <c r="AW22" s="157"/>
      <c r="AX22" s="157"/>
      <c r="AY22" s="157"/>
      <c r="AZ22" s="157"/>
      <c r="BA22" s="157"/>
      <c r="BB22" s="157"/>
      <c r="BC22" s="157"/>
      <c r="BD22" s="157"/>
      <c r="BE22" s="157"/>
      <c r="BF22" s="157"/>
      <c r="BG22" s="157"/>
      <c r="BH22" s="157"/>
    </row>
    <row r="23" spans="1:60" s="2" customFormat="1" ht="19.5" thickBot="1">
      <c r="A23" s="1">
        <f t="shared" si="5"/>
        <v>16</v>
      </c>
      <c r="B23" s="15" t="s">
        <v>35</v>
      </c>
      <c r="C23" s="10">
        <v>1</v>
      </c>
      <c r="D23" s="11">
        <v>20</v>
      </c>
      <c r="E23" s="36"/>
      <c r="F23" s="36"/>
      <c r="G23" s="37"/>
      <c r="H23" s="38"/>
      <c r="I23" s="38">
        <v>1</v>
      </c>
      <c r="J23" s="63">
        <f t="shared" si="0"/>
        <v>20</v>
      </c>
      <c r="K23" s="69"/>
      <c r="L23" s="36"/>
      <c r="M23" s="36"/>
      <c r="N23" s="36"/>
      <c r="O23" s="36"/>
      <c r="P23" s="36"/>
      <c r="Q23" s="99"/>
      <c r="R23" s="100">
        <f t="shared" si="1"/>
        <v>0</v>
      </c>
      <c r="S23" s="101">
        <f t="shared" si="1"/>
        <v>0</v>
      </c>
      <c r="T23" s="69"/>
      <c r="U23" s="8">
        <f t="shared" si="2"/>
        <v>0</v>
      </c>
      <c r="V23" s="135">
        <f t="shared" si="3"/>
        <v>0</v>
      </c>
      <c r="W23" s="134">
        <f t="shared" si="4"/>
        <v>44</v>
      </c>
      <c r="X23" s="61"/>
      <c r="Y23" s="3"/>
      <c r="AD23" s="3"/>
      <c r="AG23" s="3"/>
      <c r="AH23" s="3"/>
      <c r="AI23" s="3"/>
      <c r="AJ23" s="3"/>
      <c r="AK23" s="3"/>
      <c r="AL23" s="157"/>
      <c r="AM23" s="157"/>
      <c r="AN23" s="157"/>
      <c r="AO23" s="157"/>
      <c r="AP23" s="157"/>
      <c r="AQ23" s="157"/>
      <c r="AR23" s="157"/>
      <c r="AS23" s="157"/>
      <c r="AT23" s="157"/>
      <c r="AU23" s="157"/>
      <c r="AV23" s="157"/>
      <c r="AW23" s="157"/>
      <c r="AX23" s="157"/>
      <c r="AY23" s="157"/>
      <c r="AZ23" s="157"/>
      <c r="BA23" s="157"/>
      <c r="BB23" s="157"/>
      <c r="BC23" s="157"/>
      <c r="BD23" s="157"/>
      <c r="BE23" s="157"/>
      <c r="BF23" s="157"/>
      <c r="BG23" s="157"/>
      <c r="BH23" s="157"/>
    </row>
    <row r="24" spans="1:60" s="2" customFormat="1" ht="19.5" thickBot="1">
      <c r="A24" s="1">
        <f t="shared" si="5"/>
        <v>17</v>
      </c>
      <c r="B24" s="15" t="s">
        <v>36</v>
      </c>
      <c r="C24" s="10">
        <v>37</v>
      </c>
      <c r="D24" s="11">
        <v>19</v>
      </c>
      <c r="E24" s="36"/>
      <c r="F24" s="36"/>
      <c r="G24" s="37"/>
      <c r="H24" s="38"/>
      <c r="I24" s="38">
        <v>37</v>
      </c>
      <c r="J24" s="63">
        <f t="shared" si="0"/>
        <v>19</v>
      </c>
      <c r="K24" s="69"/>
      <c r="L24" s="36"/>
      <c r="M24" s="36"/>
      <c r="N24" s="36"/>
      <c r="O24" s="36"/>
      <c r="P24" s="36"/>
      <c r="Q24" s="99"/>
      <c r="R24" s="100">
        <f t="shared" si="1"/>
        <v>0</v>
      </c>
      <c r="S24" s="101">
        <f t="shared" si="1"/>
        <v>0</v>
      </c>
      <c r="T24" s="69"/>
      <c r="U24" s="8">
        <f t="shared" si="2"/>
        <v>0</v>
      </c>
      <c r="V24" s="135">
        <f t="shared" si="3"/>
        <v>0</v>
      </c>
      <c r="W24" s="134">
        <f t="shared" si="4"/>
        <v>907</v>
      </c>
      <c r="X24" s="61"/>
      <c r="Y24" s="3"/>
      <c r="AD24" s="3"/>
      <c r="AG24" s="3"/>
      <c r="AH24" s="3"/>
      <c r="AI24" s="3"/>
      <c r="AJ24" s="3"/>
      <c r="AK24" s="3"/>
      <c r="AL24" s="157"/>
      <c r="AM24" s="157"/>
      <c r="AN24" s="157"/>
      <c r="AO24" s="157"/>
      <c r="AP24" s="157"/>
      <c r="AQ24" s="157"/>
      <c r="AR24" s="157"/>
      <c r="AS24" s="157"/>
      <c r="AT24" s="157"/>
      <c r="AU24" s="157"/>
      <c r="AV24" s="157"/>
      <c r="AW24" s="157"/>
      <c r="AX24" s="157"/>
      <c r="AY24" s="157"/>
      <c r="AZ24" s="157"/>
      <c r="BA24" s="157"/>
      <c r="BB24" s="157"/>
      <c r="BC24" s="157"/>
      <c r="BD24" s="157"/>
      <c r="BE24" s="157"/>
      <c r="BF24" s="157"/>
      <c r="BG24" s="157"/>
      <c r="BH24" s="157"/>
    </row>
    <row r="25" spans="1:60" ht="19.5" thickBot="1">
      <c r="A25" s="1">
        <f t="shared" si="5"/>
        <v>18</v>
      </c>
      <c r="B25" s="15" t="s">
        <v>37</v>
      </c>
      <c r="C25" s="10">
        <v>9</v>
      </c>
      <c r="D25" s="11"/>
      <c r="E25" s="36"/>
      <c r="F25" s="36"/>
      <c r="G25" s="37"/>
      <c r="H25" s="38"/>
      <c r="I25" s="38">
        <v>9</v>
      </c>
      <c r="J25" s="63">
        <f t="shared" si="0"/>
        <v>0</v>
      </c>
      <c r="K25" s="62"/>
      <c r="L25" s="36"/>
      <c r="M25" s="36"/>
      <c r="N25" s="36"/>
      <c r="O25" s="36"/>
      <c r="P25" s="36"/>
      <c r="Q25" s="99"/>
      <c r="R25" s="100">
        <f t="shared" si="1"/>
        <v>0</v>
      </c>
      <c r="S25" s="101">
        <f t="shared" si="1"/>
        <v>0</v>
      </c>
      <c r="T25" s="62"/>
      <c r="U25" s="8">
        <f t="shared" si="2"/>
        <v>0</v>
      </c>
      <c r="V25" s="135">
        <f t="shared" si="3"/>
        <v>0</v>
      </c>
      <c r="W25" s="134">
        <f t="shared" si="4"/>
        <v>216</v>
      </c>
      <c r="X25" s="61"/>
      <c r="AL25" s="157"/>
      <c r="AM25" s="157"/>
      <c r="AN25" s="157"/>
      <c r="AO25" s="157"/>
      <c r="AP25" s="157"/>
      <c r="AQ25" s="157"/>
      <c r="AR25" s="157"/>
      <c r="AS25" s="157"/>
      <c r="AT25" s="157"/>
      <c r="AU25" s="157"/>
      <c r="AV25" s="157"/>
      <c r="AW25" s="157"/>
      <c r="AX25" s="157"/>
      <c r="AY25" s="157"/>
      <c r="AZ25" s="157"/>
      <c r="BA25" s="157"/>
      <c r="BB25" s="157"/>
      <c r="BC25" s="157"/>
      <c r="BD25" s="157"/>
      <c r="BE25" s="157"/>
      <c r="BF25" s="157"/>
      <c r="BG25" s="157"/>
      <c r="BH25" s="157"/>
    </row>
    <row r="26" spans="1:60" ht="19.5" thickBot="1">
      <c r="A26" s="1">
        <f t="shared" si="5"/>
        <v>19</v>
      </c>
      <c r="B26" s="15" t="s">
        <v>38</v>
      </c>
      <c r="C26" s="10">
        <v>88</v>
      </c>
      <c r="D26" s="11">
        <v>1</v>
      </c>
      <c r="E26" s="36"/>
      <c r="F26" s="36">
        <v>64</v>
      </c>
      <c r="G26" s="37"/>
      <c r="H26" s="38"/>
      <c r="I26" s="38">
        <v>152</v>
      </c>
      <c r="J26" s="63">
        <f t="shared" si="0"/>
        <v>1</v>
      </c>
      <c r="K26" s="62"/>
      <c r="L26" s="36"/>
      <c r="M26" s="36"/>
      <c r="N26" s="36"/>
      <c r="O26" s="36"/>
      <c r="P26" s="36"/>
      <c r="Q26" s="99"/>
      <c r="R26" s="100">
        <f t="shared" si="1"/>
        <v>0</v>
      </c>
      <c r="S26" s="101">
        <f t="shared" si="1"/>
        <v>0</v>
      </c>
      <c r="T26" s="62"/>
      <c r="U26" s="8">
        <f t="shared" si="2"/>
        <v>0</v>
      </c>
      <c r="V26" s="135">
        <f t="shared" si="3"/>
        <v>0</v>
      </c>
      <c r="W26" s="134">
        <f t="shared" si="4"/>
        <v>3649</v>
      </c>
      <c r="X26" s="61"/>
      <c r="BE26" s="158" t="e">
        <f>#REF!-BE25</f>
        <v>#REF!</v>
      </c>
    </row>
    <row r="27" spans="1:60" s="2" customFormat="1" ht="19.5" thickBot="1">
      <c r="A27" s="1">
        <f t="shared" si="5"/>
        <v>20</v>
      </c>
      <c r="B27" s="15" t="s">
        <v>39</v>
      </c>
      <c r="C27" s="10"/>
      <c r="D27" s="11"/>
      <c r="E27" s="36"/>
      <c r="F27" s="36"/>
      <c r="G27" s="37"/>
      <c r="H27" s="38"/>
      <c r="I27" s="38"/>
      <c r="J27" s="63">
        <f t="shared" si="0"/>
        <v>0</v>
      </c>
      <c r="K27" s="69"/>
      <c r="L27" s="36"/>
      <c r="M27" s="36"/>
      <c r="N27" s="36"/>
      <c r="O27" s="36"/>
      <c r="P27" s="36"/>
      <c r="Q27" s="99"/>
      <c r="R27" s="100">
        <f t="shared" si="1"/>
        <v>0</v>
      </c>
      <c r="S27" s="101">
        <f t="shared" si="1"/>
        <v>0</v>
      </c>
      <c r="T27" s="69"/>
      <c r="U27" s="8">
        <f t="shared" si="2"/>
        <v>0</v>
      </c>
      <c r="V27" s="135">
        <f t="shared" si="3"/>
        <v>0</v>
      </c>
      <c r="W27" s="134">
        <f t="shared" si="4"/>
        <v>0</v>
      </c>
      <c r="X27" s="61"/>
      <c r="Y27" s="3"/>
      <c r="AD27" s="3"/>
      <c r="AG27" s="3"/>
      <c r="AH27" s="3"/>
      <c r="AI27" s="3"/>
      <c r="AJ27" s="3"/>
      <c r="AK27" s="3"/>
    </row>
    <row r="28" spans="1:60" s="2" customFormat="1" ht="19.5" thickBot="1">
      <c r="A28" s="1">
        <f t="shared" si="5"/>
        <v>21</v>
      </c>
      <c r="B28" s="15" t="s">
        <v>40</v>
      </c>
      <c r="C28" s="10">
        <v>2</v>
      </c>
      <c r="D28" s="11"/>
      <c r="E28" s="36"/>
      <c r="F28" s="36"/>
      <c r="G28" s="37"/>
      <c r="H28" s="38"/>
      <c r="I28" s="38">
        <v>2</v>
      </c>
      <c r="J28" s="63">
        <f t="shared" si="0"/>
        <v>0</v>
      </c>
      <c r="K28" s="69"/>
      <c r="L28" s="36"/>
      <c r="M28" s="36"/>
      <c r="N28" s="36"/>
      <c r="O28" s="36"/>
      <c r="P28" s="36"/>
      <c r="Q28" s="99"/>
      <c r="R28" s="100">
        <f t="shared" si="1"/>
        <v>0</v>
      </c>
      <c r="S28" s="101">
        <f t="shared" si="1"/>
        <v>0</v>
      </c>
      <c r="T28" s="69"/>
      <c r="U28" s="8">
        <f t="shared" si="2"/>
        <v>0</v>
      </c>
      <c r="V28" s="135">
        <f t="shared" si="3"/>
        <v>0</v>
      </c>
      <c r="W28" s="134">
        <f t="shared" si="4"/>
        <v>48</v>
      </c>
      <c r="X28" s="61"/>
      <c r="Y28" s="3"/>
      <c r="AD28" s="3"/>
      <c r="AG28" s="3"/>
      <c r="AH28" s="3"/>
      <c r="AI28" s="3"/>
      <c r="AJ28" s="3"/>
      <c r="AK28" s="3"/>
    </row>
    <row r="29" spans="1:60" s="2" customFormat="1" ht="19.5" thickBot="1">
      <c r="A29" s="1">
        <f t="shared" si="5"/>
        <v>22</v>
      </c>
      <c r="B29" s="15" t="s">
        <v>41</v>
      </c>
      <c r="C29" s="10">
        <v>60</v>
      </c>
      <c r="D29" s="11"/>
      <c r="E29" s="36"/>
      <c r="F29" s="36">
        <v>64</v>
      </c>
      <c r="G29" s="37"/>
      <c r="H29" s="38"/>
      <c r="I29" s="38">
        <v>124</v>
      </c>
      <c r="J29" s="63">
        <f t="shared" si="0"/>
        <v>0</v>
      </c>
      <c r="K29" s="69"/>
      <c r="L29" s="36"/>
      <c r="M29" s="36"/>
      <c r="N29" s="36"/>
      <c r="O29" s="36"/>
      <c r="P29" s="36"/>
      <c r="Q29" s="99"/>
      <c r="R29" s="100">
        <f t="shared" si="1"/>
        <v>0</v>
      </c>
      <c r="S29" s="101">
        <f t="shared" si="1"/>
        <v>0</v>
      </c>
      <c r="T29" s="69"/>
      <c r="U29" s="8">
        <f t="shared" si="2"/>
        <v>0</v>
      </c>
      <c r="V29" s="135">
        <f t="shared" si="3"/>
        <v>0</v>
      </c>
      <c r="W29" s="134">
        <f t="shared" si="4"/>
        <v>2976</v>
      </c>
      <c r="X29" s="61"/>
      <c r="Y29" s="3"/>
      <c r="AD29" s="3"/>
      <c r="AG29" s="3"/>
      <c r="AH29" s="3"/>
      <c r="AI29" s="3"/>
      <c r="AJ29" s="3"/>
      <c r="AK29" s="3"/>
    </row>
    <row r="30" spans="1:60" ht="19.5" thickBot="1">
      <c r="A30" s="1">
        <f t="shared" si="5"/>
        <v>23</v>
      </c>
      <c r="B30" s="15" t="s">
        <v>42</v>
      </c>
      <c r="C30" s="10">
        <v>63</v>
      </c>
      <c r="D30" s="11">
        <v>5</v>
      </c>
      <c r="E30" s="36"/>
      <c r="F30" s="36"/>
      <c r="G30" s="37"/>
      <c r="H30" s="38"/>
      <c r="I30" s="38">
        <v>63</v>
      </c>
      <c r="J30" s="63">
        <f t="shared" si="0"/>
        <v>5</v>
      </c>
      <c r="K30" s="62"/>
      <c r="L30" s="36"/>
      <c r="M30" s="36"/>
      <c r="N30" s="36"/>
      <c r="O30" s="36"/>
      <c r="P30" s="36"/>
      <c r="Q30" s="99"/>
      <c r="R30" s="100">
        <f t="shared" si="1"/>
        <v>0</v>
      </c>
      <c r="S30" s="101">
        <f t="shared" si="1"/>
        <v>0</v>
      </c>
      <c r="T30" s="62"/>
      <c r="U30" s="8">
        <f t="shared" si="2"/>
        <v>0</v>
      </c>
      <c r="V30" s="135">
        <f t="shared" si="3"/>
        <v>0</v>
      </c>
      <c r="W30" s="134">
        <f t="shared" si="4"/>
        <v>1517</v>
      </c>
      <c r="X30" s="61"/>
    </row>
    <row r="31" spans="1:60" ht="19.5" thickBot="1">
      <c r="A31" s="1">
        <f t="shared" si="5"/>
        <v>24</v>
      </c>
      <c r="B31" s="15" t="s">
        <v>43</v>
      </c>
      <c r="C31" s="10"/>
      <c r="D31" s="11"/>
      <c r="E31" s="36"/>
      <c r="F31" s="36">
        <v>15</v>
      </c>
      <c r="G31" s="37"/>
      <c r="H31" s="38"/>
      <c r="I31" s="38">
        <v>15</v>
      </c>
      <c r="J31" s="63">
        <f t="shared" si="0"/>
        <v>0</v>
      </c>
      <c r="K31" s="62"/>
      <c r="L31" s="36"/>
      <c r="M31" s="36"/>
      <c r="N31" s="36"/>
      <c r="O31" s="36"/>
      <c r="P31" s="36"/>
      <c r="Q31" s="99"/>
      <c r="R31" s="100">
        <f t="shared" si="1"/>
        <v>0</v>
      </c>
      <c r="S31" s="101">
        <f t="shared" si="1"/>
        <v>0</v>
      </c>
      <c r="T31" s="62"/>
      <c r="U31" s="8">
        <f t="shared" si="2"/>
        <v>0</v>
      </c>
      <c r="V31" s="135">
        <f t="shared" si="3"/>
        <v>0</v>
      </c>
      <c r="W31" s="134">
        <f t="shared" si="4"/>
        <v>360</v>
      </c>
      <c r="X31" s="61"/>
    </row>
    <row r="32" spans="1:60" ht="19.5" thickBot="1">
      <c r="A32" s="1">
        <f t="shared" si="5"/>
        <v>25</v>
      </c>
      <c r="B32" s="15" t="s">
        <v>44</v>
      </c>
      <c r="C32" s="10"/>
      <c r="D32" s="11"/>
      <c r="E32" s="36"/>
      <c r="F32" s="36"/>
      <c r="G32" s="37"/>
      <c r="H32" s="38"/>
      <c r="I32" s="38"/>
      <c r="J32" s="63">
        <f t="shared" si="0"/>
        <v>0</v>
      </c>
      <c r="K32" s="62"/>
      <c r="L32" s="36"/>
      <c r="M32" s="36"/>
      <c r="N32" s="36"/>
      <c r="O32" s="36"/>
      <c r="P32" s="36"/>
      <c r="Q32" s="99"/>
      <c r="R32" s="100">
        <f t="shared" si="1"/>
        <v>0</v>
      </c>
      <c r="S32" s="101">
        <f t="shared" si="1"/>
        <v>0</v>
      </c>
      <c r="T32" s="62"/>
      <c r="U32" s="8">
        <f t="shared" si="2"/>
        <v>0</v>
      </c>
      <c r="V32" s="135">
        <f t="shared" si="3"/>
        <v>0</v>
      </c>
      <c r="W32" s="134">
        <f t="shared" si="4"/>
        <v>0</v>
      </c>
      <c r="X32" s="61"/>
    </row>
    <row r="33" spans="1:26" ht="19.5" thickBot="1">
      <c r="A33" s="1">
        <f t="shared" si="5"/>
        <v>26</v>
      </c>
      <c r="B33" s="15" t="s">
        <v>45</v>
      </c>
      <c r="C33" s="10">
        <v>1</v>
      </c>
      <c r="D33" s="11"/>
      <c r="E33" s="36"/>
      <c r="F33" s="36">
        <v>5</v>
      </c>
      <c r="G33" s="37"/>
      <c r="H33" s="38"/>
      <c r="I33" s="38">
        <v>6</v>
      </c>
      <c r="J33" s="63">
        <f t="shared" si="0"/>
        <v>0</v>
      </c>
      <c r="K33" s="62"/>
      <c r="L33" s="36"/>
      <c r="M33" s="36"/>
      <c r="N33" s="36"/>
      <c r="O33" s="36"/>
      <c r="P33" s="36"/>
      <c r="Q33" s="99"/>
      <c r="R33" s="100">
        <f t="shared" si="1"/>
        <v>0</v>
      </c>
      <c r="S33" s="101">
        <f t="shared" si="1"/>
        <v>0</v>
      </c>
      <c r="T33" s="62"/>
      <c r="U33" s="8">
        <f t="shared" si="2"/>
        <v>0</v>
      </c>
      <c r="V33" s="135">
        <f t="shared" si="3"/>
        <v>0</v>
      </c>
      <c r="W33" s="134">
        <f t="shared" si="4"/>
        <v>144</v>
      </c>
      <c r="X33" s="61"/>
    </row>
    <row r="34" spans="1:26" ht="19.5" thickBot="1">
      <c r="A34" s="1">
        <f t="shared" si="5"/>
        <v>27</v>
      </c>
      <c r="B34" s="15" t="s">
        <v>46</v>
      </c>
      <c r="C34" s="10">
        <v>2</v>
      </c>
      <c r="D34" s="11"/>
      <c r="E34" s="36"/>
      <c r="F34" s="36"/>
      <c r="G34" s="37"/>
      <c r="H34" s="38"/>
      <c r="I34" s="38">
        <v>2</v>
      </c>
      <c r="J34" s="63">
        <f t="shared" si="0"/>
        <v>0</v>
      </c>
      <c r="K34" s="62"/>
      <c r="L34" s="36"/>
      <c r="M34" s="36"/>
      <c r="N34" s="36"/>
      <c r="O34" s="36"/>
      <c r="P34" s="36"/>
      <c r="Q34" s="99"/>
      <c r="R34" s="100">
        <f t="shared" si="1"/>
        <v>0</v>
      </c>
      <c r="S34" s="101">
        <f t="shared" si="1"/>
        <v>0</v>
      </c>
      <c r="T34" s="62"/>
      <c r="U34" s="8">
        <f t="shared" si="2"/>
        <v>0</v>
      </c>
      <c r="V34" s="135">
        <f t="shared" si="3"/>
        <v>0</v>
      </c>
      <c r="W34" s="134">
        <f t="shared" si="4"/>
        <v>48</v>
      </c>
      <c r="X34" s="61"/>
    </row>
    <row r="35" spans="1:26" ht="19.5" thickBot="1">
      <c r="A35" s="1">
        <f t="shared" si="5"/>
        <v>28</v>
      </c>
      <c r="B35" s="15" t="s">
        <v>47</v>
      </c>
      <c r="C35" s="10">
        <v>90</v>
      </c>
      <c r="D35" s="11">
        <v>14</v>
      </c>
      <c r="E35" s="36"/>
      <c r="F35" s="36"/>
      <c r="G35" s="37"/>
      <c r="H35" s="38"/>
      <c r="I35" s="38">
        <v>90</v>
      </c>
      <c r="J35" s="63">
        <f t="shared" si="0"/>
        <v>14</v>
      </c>
      <c r="K35" s="62"/>
      <c r="L35" s="36"/>
      <c r="M35" s="36"/>
      <c r="N35" s="36"/>
      <c r="O35" s="36"/>
      <c r="P35" s="36"/>
      <c r="Q35" s="99"/>
      <c r="R35" s="100">
        <f t="shared" si="1"/>
        <v>0</v>
      </c>
      <c r="S35" s="101">
        <f t="shared" si="1"/>
        <v>0</v>
      </c>
      <c r="T35" s="62"/>
      <c r="U35" s="8">
        <f t="shared" si="2"/>
        <v>0</v>
      </c>
      <c r="V35" s="135">
        <f t="shared" si="3"/>
        <v>0</v>
      </c>
      <c r="W35" s="134">
        <f t="shared" si="4"/>
        <v>2174</v>
      </c>
      <c r="X35" s="61"/>
    </row>
    <row r="36" spans="1:26" ht="18.75" hidden="1" customHeight="1">
      <c r="A36" s="1">
        <f t="shared" si="5"/>
        <v>29</v>
      </c>
      <c r="B36" s="15" t="s">
        <v>48</v>
      </c>
      <c r="C36" s="10"/>
      <c r="D36" s="11"/>
      <c r="E36" s="36"/>
      <c r="F36" s="36"/>
      <c r="G36" s="37"/>
      <c r="H36" s="38"/>
      <c r="I36" s="38"/>
      <c r="J36" s="63">
        <f t="shared" si="0"/>
        <v>0</v>
      </c>
      <c r="K36" s="62"/>
      <c r="L36" s="36"/>
      <c r="M36" s="36"/>
      <c r="N36" s="36"/>
      <c r="O36" s="36"/>
      <c r="P36" s="36"/>
      <c r="Q36" s="99"/>
      <c r="R36" s="100">
        <f t="shared" si="1"/>
        <v>0</v>
      </c>
      <c r="S36" s="101">
        <f t="shared" si="1"/>
        <v>0</v>
      </c>
      <c r="T36" s="62"/>
      <c r="U36" s="8">
        <f t="shared" si="2"/>
        <v>0</v>
      </c>
      <c r="V36" s="135">
        <f t="shared" si="3"/>
        <v>0</v>
      </c>
      <c r="W36" s="134">
        <f t="shared" si="4"/>
        <v>0</v>
      </c>
      <c r="X36" s="61"/>
    </row>
    <row r="37" spans="1:26" ht="18.75" customHeight="1" thickBot="1">
      <c r="A37" s="1">
        <f t="shared" si="5"/>
        <v>30</v>
      </c>
      <c r="B37" s="15" t="s">
        <v>49</v>
      </c>
      <c r="C37" s="10">
        <v>1</v>
      </c>
      <c r="D37" s="11"/>
      <c r="E37" s="36"/>
      <c r="F37" s="36"/>
      <c r="G37" s="37"/>
      <c r="H37" s="38"/>
      <c r="I37" s="38">
        <v>1</v>
      </c>
      <c r="J37" s="63">
        <f t="shared" si="0"/>
        <v>0</v>
      </c>
      <c r="K37" s="62"/>
      <c r="L37" s="36"/>
      <c r="M37" s="36"/>
      <c r="N37" s="36"/>
      <c r="O37" s="36"/>
      <c r="P37" s="36"/>
      <c r="Q37" s="99"/>
      <c r="R37" s="100">
        <f t="shared" si="1"/>
        <v>0</v>
      </c>
      <c r="S37" s="101">
        <f t="shared" si="1"/>
        <v>0</v>
      </c>
      <c r="T37" s="62"/>
      <c r="U37" s="8">
        <f t="shared" si="2"/>
        <v>0</v>
      </c>
      <c r="V37" s="135">
        <f t="shared" si="3"/>
        <v>0</v>
      </c>
      <c r="W37" s="134">
        <f t="shared" si="4"/>
        <v>24</v>
      </c>
      <c r="X37" s="61"/>
    </row>
    <row r="38" spans="1:26" ht="19.5" thickBot="1">
      <c r="A38" s="1">
        <f t="shared" si="5"/>
        <v>31</v>
      </c>
      <c r="B38" s="16" t="s">
        <v>50</v>
      </c>
      <c r="C38" s="13">
        <v>4069</v>
      </c>
      <c r="D38" s="14">
        <v>2</v>
      </c>
      <c r="E38" s="39"/>
      <c r="F38" s="39">
        <v>540</v>
      </c>
      <c r="G38" s="40"/>
      <c r="H38" s="41"/>
      <c r="I38" s="53">
        <v>4609</v>
      </c>
      <c r="J38" s="70">
        <f t="shared" si="0"/>
        <v>2</v>
      </c>
      <c r="K38" s="65"/>
      <c r="L38" s="51"/>
      <c r="M38" s="51"/>
      <c r="N38" s="51"/>
      <c r="O38" s="51"/>
      <c r="P38" s="51"/>
      <c r="Q38" s="102"/>
      <c r="R38" s="107">
        <f t="shared" si="1"/>
        <v>0</v>
      </c>
      <c r="S38" s="104">
        <f t="shared" si="1"/>
        <v>0</v>
      </c>
      <c r="T38" s="65"/>
      <c r="U38" s="136">
        <f>L38*6+N38*6+P38*6</f>
        <v>0</v>
      </c>
      <c r="V38" s="141">
        <f>U38/6</f>
        <v>0</v>
      </c>
      <c r="W38" s="138">
        <f>I38*6+J38</f>
        <v>27656</v>
      </c>
      <c r="X38" s="139"/>
    </row>
    <row r="39" spans="1:26" ht="19.5" thickBot="1">
      <c r="A39" s="1">
        <f t="shared" si="5"/>
        <v>32</v>
      </c>
      <c r="B39" s="7" t="s">
        <v>51</v>
      </c>
      <c r="C39" s="10"/>
      <c r="D39" s="11"/>
      <c r="E39" s="36"/>
      <c r="F39" s="36"/>
      <c r="G39" s="37"/>
      <c r="H39" s="38"/>
      <c r="I39" s="37"/>
      <c r="J39" s="63">
        <f t="shared" si="0"/>
        <v>0</v>
      </c>
      <c r="K39" s="62"/>
      <c r="L39" s="36"/>
      <c r="M39" s="36"/>
      <c r="N39" s="36"/>
      <c r="O39" s="36"/>
      <c r="P39" s="36"/>
      <c r="Q39" s="99"/>
      <c r="R39" s="108">
        <f t="shared" si="1"/>
        <v>0</v>
      </c>
      <c r="S39" s="106">
        <f t="shared" si="1"/>
        <v>0</v>
      </c>
      <c r="T39" s="62"/>
      <c r="U39" s="8">
        <f t="shared" ref="U39:U41" si="6">L39*24+N39*24+P39*24</f>
        <v>0</v>
      </c>
      <c r="V39" s="33">
        <f t="shared" ref="V39:V41" si="7">U39/24</f>
        <v>0</v>
      </c>
      <c r="W39" s="134">
        <f t="shared" ref="W39:W41" si="8">I39*24+J39</f>
        <v>0</v>
      </c>
      <c r="X39" s="61"/>
    </row>
    <row r="40" spans="1:26" ht="19.5" thickBot="1">
      <c r="A40" s="1">
        <f t="shared" si="5"/>
        <v>33</v>
      </c>
      <c r="B40" s="17" t="s">
        <v>52</v>
      </c>
      <c r="C40" s="18"/>
      <c r="D40" s="19"/>
      <c r="E40" s="42"/>
      <c r="F40" s="42"/>
      <c r="G40" s="43"/>
      <c r="H40" s="44"/>
      <c r="I40" s="38"/>
      <c r="J40" s="63">
        <f t="shared" si="0"/>
        <v>0</v>
      </c>
      <c r="K40" s="62"/>
      <c r="L40" s="36"/>
      <c r="M40" s="36"/>
      <c r="N40" s="36"/>
      <c r="O40" s="36"/>
      <c r="P40" s="36"/>
      <c r="Q40" s="99"/>
      <c r="R40" s="100">
        <f t="shared" si="1"/>
        <v>0</v>
      </c>
      <c r="S40" s="101">
        <f t="shared" si="1"/>
        <v>0</v>
      </c>
      <c r="T40" s="62"/>
      <c r="U40" s="142">
        <f t="shared" si="6"/>
        <v>0</v>
      </c>
      <c r="V40" s="135">
        <f t="shared" si="7"/>
        <v>0</v>
      </c>
      <c r="W40" s="143">
        <f t="shared" si="8"/>
        <v>0</v>
      </c>
      <c r="X40" s="144"/>
    </row>
    <row r="41" spans="1:26" ht="19.5" thickBot="1">
      <c r="A41" s="1">
        <f t="shared" si="5"/>
        <v>34</v>
      </c>
      <c r="B41" s="20" t="s">
        <v>53</v>
      </c>
      <c r="C41" s="21">
        <v>31</v>
      </c>
      <c r="D41" s="22">
        <v>8</v>
      </c>
      <c r="E41" s="45"/>
      <c r="F41" s="45">
        <v>64</v>
      </c>
      <c r="G41" s="46"/>
      <c r="H41" s="47"/>
      <c r="I41" s="71">
        <v>95</v>
      </c>
      <c r="J41" s="72">
        <f t="shared" si="0"/>
        <v>8</v>
      </c>
      <c r="K41" s="73"/>
      <c r="L41" s="74"/>
      <c r="M41" s="74"/>
      <c r="N41" s="74"/>
      <c r="O41" s="74"/>
      <c r="P41" s="74"/>
      <c r="Q41" s="109"/>
      <c r="R41" s="110">
        <f t="shared" si="1"/>
        <v>0</v>
      </c>
      <c r="S41" s="111">
        <f t="shared" si="1"/>
        <v>0</v>
      </c>
      <c r="T41" s="73"/>
      <c r="U41" s="145">
        <f t="shared" si="6"/>
        <v>0</v>
      </c>
      <c r="V41" s="146">
        <f t="shared" si="7"/>
        <v>0</v>
      </c>
      <c r="W41" s="146">
        <f t="shared" si="8"/>
        <v>2288</v>
      </c>
      <c r="X41" s="147"/>
    </row>
    <row r="42" spans="1:26" ht="19.5" thickBot="1">
      <c r="A42" s="1">
        <f t="shared" si="5"/>
        <v>35</v>
      </c>
      <c r="B42" s="23" t="s">
        <v>54</v>
      </c>
      <c r="C42" s="24">
        <v>289</v>
      </c>
      <c r="D42" s="25"/>
      <c r="E42" s="48"/>
      <c r="F42" s="48"/>
      <c r="G42" s="49"/>
      <c r="H42" s="50"/>
      <c r="I42" s="49">
        <v>289</v>
      </c>
      <c r="J42" s="75">
        <f t="shared" si="0"/>
        <v>0</v>
      </c>
      <c r="K42" s="76"/>
      <c r="L42" s="48"/>
      <c r="M42" s="48"/>
      <c r="N42" s="48"/>
      <c r="O42" s="48"/>
      <c r="P42" s="48"/>
      <c r="Q42" s="112"/>
      <c r="R42" s="113">
        <f t="shared" si="1"/>
        <v>0</v>
      </c>
      <c r="S42" s="114">
        <f t="shared" si="1"/>
        <v>0</v>
      </c>
      <c r="T42" s="76"/>
      <c r="U42" s="148">
        <f>L42*12+N42*12+P42*12</f>
        <v>0</v>
      </c>
      <c r="V42" s="149">
        <f>U42/12</f>
        <v>0</v>
      </c>
      <c r="W42" s="150">
        <f>I42*12+J42</f>
        <v>3468</v>
      </c>
      <c r="X42" s="151"/>
    </row>
    <row r="43" spans="1:26" ht="18.75" hidden="1" customHeight="1">
      <c r="A43" s="1">
        <f t="shared" si="5"/>
        <v>36</v>
      </c>
      <c r="B43" s="7" t="s">
        <v>55</v>
      </c>
      <c r="C43" s="10"/>
      <c r="D43" s="11"/>
      <c r="E43" s="36"/>
      <c r="F43" s="36"/>
      <c r="G43" s="37"/>
      <c r="H43" s="38"/>
      <c r="I43" s="38"/>
      <c r="J43" s="64">
        <f t="shared" si="0"/>
        <v>0</v>
      </c>
      <c r="K43" s="62"/>
      <c r="L43" s="36"/>
      <c r="M43" s="36"/>
      <c r="N43" s="36"/>
      <c r="O43" s="36"/>
      <c r="P43" s="36"/>
      <c r="Q43" s="99"/>
      <c r="R43" s="115">
        <f t="shared" si="1"/>
        <v>0</v>
      </c>
      <c r="S43" s="116">
        <f t="shared" si="1"/>
        <v>0</v>
      </c>
      <c r="T43" s="62"/>
      <c r="U43" s="8"/>
      <c r="V43" s="33"/>
      <c r="W43" s="134"/>
      <c r="X43" s="61"/>
    </row>
    <row r="44" spans="1:26" ht="19.5" thickBot="1">
      <c r="A44" s="1">
        <f t="shared" si="5"/>
        <v>37</v>
      </c>
      <c r="B44" s="12" t="s">
        <v>56</v>
      </c>
      <c r="C44" s="13">
        <v>31953</v>
      </c>
      <c r="D44" s="14">
        <v>3</v>
      </c>
      <c r="E44" s="39">
        <v>3672</v>
      </c>
      <c r="F44" s="39">
        <v>4860</v>
      </c>
      <c r="G44" s="40"/>
      <c r="H44" s="41"/>
      <c r="I44" s="38">
        <v>40125</v>
      </c>
      <c r="J44" s="77">
        <f t="shared" ref="J44:J59" si="9">D44-H44</f>
        <v>3</v>
      </c>
      <c r="K44" s="65"/>
      <c r="L44" s="51"/>
      <c r="M44" s="51"/>
      <c r="N44" s="51"/>
      <c r="O44" s="51"/>
      <c r="P44" s="51"/>
      <c r="Q44" s="102"/>
      <c r="R44" s="117">
        <f t="shared" si="1"/>
        <v>0</v>
      </c>
      <c r="S44" s="118">
        <f t="shared" si="1"/>
        <v>0</v>
      </c>
      <c r="T44" s="65"/>
      <c r="U44" s="136">
        <f>L44*6+N44*6+P44*6</f>
        <v>0</v>
      </c>
      <c r="V44" s="135">
        <f>U44/6</f>
        <v>0</v>
      </c>
      <c r="W44" s="138">
        <f>I44*6+J44</f>
        <v>240753</v>
      </c>
      <c r="X44" s="139"/>
      <c r="Z44" s="155"/>
    </row>
    <row r="45" spans="1:26" ht="18.75" hidden="1" customHeight="1">
      <c r="A45" s="1">
        <f t="shared" si="5"/>
        <v>38</v>
      </c>
      <c r="B45" s="7" t="s">
        <v>57</v>
      </c>
      <c r="C45" s="10"/>
      <c r="D45" s="11"/>
      <c r="E45" s="36"/>
      <c r="F45" s="36"/>
      <c r="G45" s="37"/>
      <c r="H45" s="38"/>
      <c r="I45" s="44"/>
      <c r="J45" s="63">
        <f t="shared" si="9"/>
        <v>0</v>
      </c>
      <c r="K45" s="62"/>
      <c r="L45" s="36"/>
      <c r="M45" s="36"/>
      <c r="N45" s="36"/>
      <c r="O45" s="36"/>
      <c r="P45" s="36"/>
      <c r="Q45" s="99"/>
      <c r="R45" s="108">
        <f t="shared" si="1"/>
        <v>0</v>
      </c>
      <c r="S45" s="116">
        <f t="shared" si="1"/>
        <v>0</v>
      </c>
      <c r="T45" s="62"/>
      <c r="U45" s="8"/>
      <c r="V45" s="137"/>
      <c r="W45" s="134"/>
      <c r="X45" s="61"/>
    </row>
    <row r="46" spans="1:26" ht="19.5" thickBot="1">
      <c r="A46" s="1">
        <f t="shared" si="5"/>
        <v>39</v>
      </c>
      <c r="B46" s="15" t="s">
        <v>58</v>
      </c>
      <c r="C46" s="10">
        <v>1</v>
      </c>
      <c r="D46" s="11"/>
      <c r="E46" s="36"/>
      <c r="F46" s="36"/>
      <c r="G46" s="37"/>
      <c r="H46" s="38"/>
      <c r="I46" s="68">
        <v>1</v>
      </c>
      <c r="J46" s="63">
        <f t="shared" si="9"/>
        <v>0</v>
      </c>
      <c r="K46" s="62"/>
      <c r="L46" s="36"/>
      <c r="M46" s="36"/>
      <c r="N46" s="36"/>
      <c r="O46" s="36"/>
      <c r="P46" s="36"/>
      <c r="Q46" s="99"/>
      <c r="R46" s="100">
        <f t="shared" si="1"/>
        <v>0</v>
      </c>
      <c r="S46" s="119">
        <f t="shared" si="1"/>
        <v>0</v>
      </c>
      <c r="T46" s="62"/>
      <c r="U46" s="8">
        <f t="shared" ref="U46:U51" si="10">L46*24+N46*24+P46*24</f>
        <v>0</v>
      </c>
      <c r="V46" s="140">
        <f t="shared" ref="V46:V51" si="11">U46/24</f>
        <v>0</v>
      </c>
      <c r="W46" s="134">
        <f t="shared" ref="W46:W51" si="12">I46*24+J46</f>
        <v>24</v>
      </c>
      <c r="X46" s="61"/>
    </row>
    <row r="47" spans="1:26" ht="19.5" thickBot="1">
      <c r="A47" s="1">
        <f t="shared" si="5"/>
        <v>40</v>
      </c>
      <c r="B47" s="15" t="s">
        <v>59</v>
      </c>
      <c r="C47" s="10"/>
      <c r="D47" s="11"/>
      <c r="E47" s="36"/>
      <c r="F47" s="36"/>
      <c r="G47" s="37"/>
      <c r="H47" s="38"/>
      <c r="I47" s="38"/>
      <c r="J47" s="63">
        <f t="shared" si="9"/>
        <v>0</v>
      </c>
      <c r="K47" s="62"/>
      <c r="L47" s="36"/>
      <c r="M47" s="36"/>
      <c r="N47" s="36"/>
      <c r="O47" s="36"/>
      <c r="P47" s="36"/>
      <c r="Q47" s="99"/>
      <c r="R47" s="100">
        <f t="shared" si="1"/>
        <v>0</v>
      </c>
      <c r="S47" s="101">
        <f t="shared" si="1"/>
        <v>0</v>
      </c>
      <c r="T47" s="62"/>
      <c r="U47" s="8">
        <f t="shared" si="10"/>
        <v>0</v>
      </c>
      <c r="V47" s="135">
        <f t="shared" si="11"/>
        <v>0</v>
      </c>
      <c r="W47" s="134">
        <f t="shared" si="12"/>
        <v>0</v>
      </c>
      <c r="X47" s="61"/>
    </row>
    <row r="48" spans="1:26" ht="19.5" thickBot="1">
      <c r="A48" s="1">
        <f t="shared" si="5"/>
        <v>41</v>
      </c>
      <c r="B48" s="12" t="s">
        <v>48</v>
      </c>
      <c r="C48" s="26">
        <v>2810</v>
      </c>
      <c r="D48" s="27">
        <v>1</v>
      </c>
      <c r="E48" s="51"/>
      <c r="F48" s="51"/>
      <c r="G48" s="52"/>
      <c r="H48" s="53"/>
      <c r="I48" s="53">
        <v>2810</v>
      </c>
      <c r="J48" s="70">
        <f t="shared" si="9"/>
        <v>1</v>
      </c>
      <c r="K48" s="65"/>
      <c r="L48" s="51"/>
      <c r="M48" s="51"/>
      <c r="N48" s="51"/>
      <c r="O48" s="51"/>
      <c r="P48" s="51"/>
      <c r="Q48" s="102"/>
      <c r="R48" s="107">
        <f t="shared" si="1"/>
        <v>0</v>
      </c>
      <c r="S48" s="120">
        <f t="shared" si="1"/>
        <v>0</v>
      </c>
      <c r="T48" s="65"/>
      <c r="U48" s="136">
        <f>L48*6+N48*6+P48*6</f>
        <v>0</v>
      </c>
      <c r="V48" s="141">
        <f>U48/6</f>
        <v>0</v>
      </c>
      <c r="W48" s="138">
        <f>I48*6+J48</f>
        <v>16861</v>
      </c>
      <c r="X48" s="139"/>
    </row>
    <row r="49" spans="1:24" ht="19.5" thickBot="1">
      <c r="A49" s="1">
        <f t="shared" si="5"/>
        <v>42</v>
      </c>
      <c r="B49" s="7" t="s">
        <v>60</v>
      </c>
      <c r="C49" s="10">
        <v>1</v>
      </c>
      <c r="D49" s="11"/>
      <c r="E49" s="36"/>
      <c r="F49" s="36"/>
      <c r="G49" s="37"/>
      <c r="H49" s="38"/>
      <c r="I49" s="38">
        <v>1</v>
      </c>
      <c r="J49" s="63">
        <f t="shared" si="9"/>
        <v>0</v>
      </c>
      <c r="K49" s="62"/>
      <c r="L49" s="36"/>
      <c r="M49" s="36"/>
      <c r="N49" s="36"/>
      <c r="O49" s="36"/>
      <c r="P49" s="36"/>
      <c r="Q49" s="99"/>
      <c r="R49" s="108">
        <f t="shared" si="1"/>
        <v>0</v>
      </c>
      <c r="S49" s="106">
        <f t="shared" si="1"/>
        <v>0</v>
      </c>
      <c r="T49" s="62"/>
      <c r="U49" s="8">
        <f t="shared" si="10"/>
        <v>0</v>
      </c>
      <c r="V49" s="33">
        <f t="shared" si="11"/>
        <v>0</v>
      </c>
      <c r="W49" s="134">
        <f t="shared" si="12"/>
        <v>24</v>
      </c>
      <c r="X49" s="61"/>
    </row>
    <row r="50" spans="1:24" ht="19.5" thickBot="1">
      <c r="A50" s="1">
        <f t="shared" si="5"/>
        <v>43</v>
      </c>
      <c r="B50" s="15" t="s">
        <v>61</v>
      </c>
      <c r="C50" s="10">
        <v>2</v>
      </c>
      <c r="D50" s="11"/>
      <c r="E50" s="36"/>
      <c r="F50" s="36"/>
      <c r="G50" s="37"/>
      <c r="H50" s="38"/>
      <c r="I50" s="38">
        <v>2</v>
      </c>
      <c r="J50" s="63">
        <f t="shared" si="9"/>
        <v>0</v>
      </c>
      <c r="K50" s="62"/>
      <c r="L50" s="36"/>
      <c r="M50" s="36"/>
      <c r="N50" s="36"/>
      <c r="O50" s="36"/>
      <c r="P50" s="36"/>
      <c r="Q50" s="99"/>
      <c r="R50" s="100">
        <f t="shared" si="1"/>
        <v>0</v>
      </c>
      <c r="S50" s="101">
        <f t="shared" si="1"/>
        <v>0</v>
      </c>
      <c r="T50" s="62"/>
      <c r="U50" s="8">
        <f t="shared" si="10"/>
        <v>0</v>
      </c>
      <c r="V50" s="135">
        <f t="shared" si="11"/>
        <v>0</v>
      </c>
      <c r="W50" s="134">
        <f t="shared" si="12"/>
        <v>48</v>
      </c>
      <c r="X50" s="61"/>
    </row>
    <row r="51" spans="1:24" ht="19.5" thickBot="1">
      <c r="A51" s="1">
        <f t="shared" si="5"/>
        <v>44</v>
      </c>
      <c r="B51" s="15" t="s">
        <v>62</v>
      </c>
      <c r="C51" s="10"/>
      <c r="D51" s="11"/>
      <c r="E51" s="36"/>
      <c r="F51" s="36"/>
      <c r="G51" s="37"/>
      <c r="H51" s="38"/>
      <c r="I51" s="38"/>
      <c r="J51" s="63">
        <f t="shared" si="9"/>
        <v>0</v>
      </c>
      <c r="K51" s="62"/>
      <c r="L51" s="36"/>
      <c r="M51" s="36"/>
      <c r="N51" s="36"/>
      <c r="O51" s="36"/>
      <c r="P51" s="36"/>
      <c r="Q51" s="99"/>
      <c r="R51" s="100">
        <f t="shared" si="1"/>
        <v>0</v>
      </c>
      <c r="S51" s="101">
        <f t="shared" si="1"/>
        <v>0</v>
      </c>
      <c r="T51" s="62"/>
      <c r="U51" s="8">
        <f t="shared" si="10"/>
        <v>0</v>
      </c>
      <c r="V51" s="135">
        <f t="shared" si="11"/>
        <v>0</v>
      </c>
      <c r="W51" s="134">
        <f t="shared" si="12"/>
        <v>0</v>
      </c>
      <c r="X51" s="61"/>
    </row>
    <row r="52" spans="1:24" ht="19.5" thickBot="1">
      <c r="A52" s="1">
        <f t="shared" si="5"/>
        <v>45</v>
      </c>
      <c r="B52" s="12" t="s">
        <v>63</v>
      </c>
      <c r="C52" s="26">
        <v>34</v>
      </c>
      <c r="D52" s="27"/>
      <c r="E52" s="51"/>
      <c r="F52" s="51"/>
      <c r="G52" s="52"/>
      <c r="H52" s="53"/>
      <c r="I52" s="53">
        <v>34</v>
      </c>
      <c r="J52" s="70">
        <f t="shared" si="9"/>
        <v>0</v>
      </c>
      <c r="K52" s="65"/>
      <c r="L52" s="51"/>
      <c r="M52" s="51"/>
      <c r="N52" s="51"/>
      <c r="O52" s="51"/>
      <c r="P52" s="51"/>
      <c r="Q52" s="102"/>
      <c r="R52" s="107">
        <f t="shared" si="1"/>
        <v>0</v>
      </c>
      <c r="S52" s="120">
        <f t="shared" si="1"/>
        <v>0</v>
      </c>
      <c r="T52" s="65"/>
      <c r="U52" s="136">
        <f>L52*6+N52*6+P52*6</f>
        <v>0</v>
      </c>
      <c r="V52" s="141">
        <f>U52/6</f>
        <v>0</v>
      </c>
      <c r="W52" s="138">
        <f>I52*6+J52</f>
        <v>204</v>
      </c>
      <c r="X52" s="139"/>
    </row>
    <row r="53" spans="1:24" ht="19.5" thickBot="1">
      <c r="A53" s="1">
        <f t="shared" si="5"/>
        <v>46</v>
      </c>
      <c r="B53" s="7" t="s">
        <v>64</v>
      </c>
      <c r="C53" s="10">
        <v>1</v>
      </c>
      <c r="D53" s="11"/>
      <c r="E53" s="36"/>
      <c r="F53" s="36"/>
      <c r="G53" s="37"/>
      <c r="H53" s="38"/>
      <c r="I53" s="38">
        <v>1</v>
      </c>
      <c r="J53" s="63">
        <f t="shared" si="9"/>
        <v>0</v>
      </c>
      <c r="K53" s="62"/>
      <c r="L53" s="36"/>
      <c r="M53" s="36"/>
      <c r="N53" s="36"/>
      <c r="O53" s="36"/>
      <c r="P53" s="36"/>
      <c r="Q53" s="99"/>
      <c r="R53" s="108">
        <f t="shared" si="1"/>
        <v>0</v>
      </c>
      <c r="S53" s="106">
        <f t="shared" si="1"/>
        <v>0</v>
      </c>
      <c r="T53" s="62"/>
      <c r="U53" s="8">
        <f>L53*24+N53*24+P53*24</f>
        <v>0</v>
      </c>
      <c r="V53" s="33">
        <f>U53/24</f>
        <v>0</v>
      </c>
      <c r="W53" s="134">
        <f>I53*24+J53</f>
        <v>24</v>
      </c>
      <c r="X53" s="61"/>
    </row>
    <row r="54" spans="1:24" ht="19.5" thickBot="1">
      <c r="A54" s="1">
        <f t="shared" si="5"/>
        <v>47</v>
      </c>
      <c r="B54" s="15" t="s">
        <v>65</v>
      </c>
      <c r="C54" s="10">
        <v>10</v>
      </c>
      <c r="D54" s="11"/>
      <c r="E54" s="36"/>
      <c r="F54" s="36"/>
      <c r="G54" s="37"/>
      <c r="H54" s="38"/>
      <c r="I54" s="38">
        <v>10</v>
      </c>
      <c r="J54" s="63">
        <f t="shared" si="9"/>
        <v>0</v>
      </c>
      <c r="K54" s="62"/>
      <c r="L54" s="36"/>
      <c r="M54" s="36"/>
      <c r="N54" s="36"/>
      <c r="O54" s="36"/>
      <c r="P54" s="36"/>
      <c r="Q54" s="99"/>
      <c r="R54" s="100">
        <f t="shared" si="1"/>
        <v>0</v>
      </c>
      <c r="S54" s="101">
        <f t="shared" si="1"/>
        <v>0</v>
      </c>
      <c r="T54" s="62"/>
      <c r="U54" s="8">
        <f>L54*24+N54*24+P54*24</f>
        <v>0</v>
      </c>
      <c r="V54" s="135">
        <f>U54/24</f>
        <v>0</v>
      </c>
      <c r="W54" s="134">
        <f>I54*24+J54</f>
        <v>240</v>
      </c>
      <c r="X54" s="61"/>
    </row>
    <row r="55" spans="1:24" ht="19.5" thickBot="1">
      <c r="A55" s="1">
        <f t="shared" si="5"/>
        <v>48</v>
      </c>
      <c r="B55" s="15"/>
      <c r="C55" s="10"/>
      <c r="D55" s="11"/>
      <c r="E55" s="36"/>
      <c r="F55" s="36"/>
      <c r="G55" s="37"/>
      <c r="H55" s="38"/>
      <c r="I55" s="38">
        <f t="shared" ref="I45:I59" si="13">C55-G55</f>
        <v>0</v>
      </c>
      <c r="J55" s="63">
        <f t="shared" si="9"/>
        <v>0</v>
      </c>
      <c r="K55" s="62"/>
      <c r="L55" s="36"/>
      <c r="M55" s="36"/>
      <c r="N55" s="36"/>
      <c r="O55" s="36"/>
      <c r="P55" s="36"/>
      <c r="Q55" s="99"/>
      <c r="R55" s="100">
        <f t="shared" si="1"/>
        <v>0</v>
      </c>
      <c r="S55" s="101">
        <f t="shared" si="1"/>
        <v>0</v>
      </c>
      <c r="T55" s="62"/>
      <c r="U55" s="8"/>
      <c r="V55" s="135"/>
      <c r="W55" s="134"/>
      <c r="X55" s="61"/>
    </row>
    <row r="56" spans="1:24" ht="19.5" thickBot="1">
      <c r="A56" s="1">
        <f t="shared" si="5"/>
        <v>49</v>
      </c>
      <c r="B56" s="15"/>
      <c r="C56" s="10"/>
      <c r="D56" s="11"/>
      <c r="E56" s="36"/>
      <c r="F56" s="36"/>
      <c r="G56" s="37"/>
      <c r="H56" s="38"/>
      <c r="I56" s="38">
        <f t="shared" si="13"/>
        <v>0</v>
      </c>
      <c r="J56" s="63">
        <f t="shared" si="9"/>
        <v>0</v>
      </c>
      <c r="K56" s="62"/>
      <c r="L56" s="36"/>
      <c r="M56" s="36"/>
      <c r="N56" s="36"/>
      <c r="O56" s="36"/>
      <c r="P56" s="36"/>
      <c r="Q56" s="99"/>
      <c r="R56" s="100">
        <f t="shared" si="1"/>
        <v>0</v>
      </c>
      <c r="S56" s="101">
        <f t="shared" si="1"/>
        <v>0</v>
      </c>
      <c r="T56" s="62"/>
      <c r="U56" s="8"/>
      <c r="V56" s="135"/>
      <c r="W56" s="134"/>
      <c r="X56" s="61"/>
    </row>
    <row r="57" spans="1:24" ht="19.5" thickBot="1">
      <c r="A57" s="1">
        <f t="shared" si="5"/>
        <v>50</v>
      </c>
      <c r="B57" s="15"/>
      <c r="C57" s="10"/>
      <c r="D57" s="11"/>
      <c r="E57" s="36"/>
      <c r="F57" s="36"/>
      <c r="G57" s="37"/>
      <c r="H57" s="38"/>
      <c r="I57" s="38">
        <f t="shared" si="13"/>
        <v>0</v>
      </c>
      <c r="J57" s="63">
        <f t="shared" si="9"/>
        <v>0</v>
      </c>
      <c r="K57" s="62"/>
      <c r="L57" s="36"/>
      <c r="M57" s="36"/>
      <c r="N57" s="36"/>
      <c r="O57" s="36"/>
      <c r="P57" s="36"/>
      <c r="Q57" s="99"/>
      <c r="R57" s="100">
        <f t="shared" si="1"/>
        <v>0</v>
      </c>
      <c r="S57" s="101">
        <f t="shared" si="1"/>
        <v>0</v>
      </c>
      <c r="T57" s="62"/>
      <c r="U57" s="8"/>
      <c r="V57" s="135"/>
      <c r="W57" s="134"/>
      <c r="X57" s="61"/>
    </row>
    <row r="58" spans="1:24" ht="19.5" thickBot="1">
      <c r="A58" s="1">
        <f t="shared" si="5"/>
        <v>51</v>
      </c>
      <c r="B58" s="15"/>
      <c r="C58" s="10"/>
      <c r="D58" s="11"/>
      <c r="E58" s="36"/>
      <c r="F58" s="36"/>
      <c r="G58" s="37"/>
      <c r="H58" s="38"/>
      <c r="I58" s="38">
        <f t="shared" si="13"/>
        <v>0</v>
      </c>
      <c r="J58" s="63">
        <f t="shared" si="9"/>
        <v>0</v>
      </c>
      <c r="K58" s="62"/>
      <c r="L58" s="36"/>
      <c r="M58" s="36"/>
      <c r="N58" s="36"/>
      <c r="O58" s="36"/>
      <c r="P58" s="36"/>
      <c r="Q58" s="99"/>
      <c r="R58" s="100">
        <f t="shared" si="1"/>
        <v>0</v>
      </c>
      <c r="S58" s="101">
        <f t="shared" si="1"/>
        <v>0</v>
      </c>
      <c r="T58" s="62"/>
      <c r="U58" s="8"/>
      <c r="V58" s="135"/>
      <c r="W58" s="134"/>
      <c r="X58" s="61"/>
    </row>
    <row r="59" spans="1:24" ht="19.5" thickBot="1">
      <c r="A59" s="1">
        <f t="shared" si="5"/>
        <v>52</v>
      </c>
      <c r="B59" s="15"/>
      <c r="C59" s="10"/>
      <c r="D59" s="11"/>
      <c r="E59" s="36"/>
      <c r="F59" s="36"/>
      <c r="G59" s="37"/>
      <c r="H59" s="38"/>
      <c r="I59" s="38">
        <f t="shared" si="13"/>
        <v>0</v>
      </c>
      <c r="J59" s="63">
        <f t="shared" si="9"/>
        <v>0</v>
      </c>
      <c r="K59" s="62"/>
      <c r="L59" s="36"/>
      <c r="M59" s="36"/>
      <c r="N59" s="36"/>
      <c r="O59" s="36"/>
      <c r="P59" s="36"/>
      <c r="Q59" s="99"/>
      <c r="R59" s="100">
        <f t="shared" si="1"/>
        <v>0</v>
      </c>
      <c r="S59" s="101">
        <f t="shared" si="1"/>
        <v>0</v>
      </c>
      <c r="T59" s="62"/>
      <c r="U59" s="8"/>
      <c r="V59" s="135"/>
      <c r="W59" s="134"/>
      <c r="X59" s="61"/>
    </row>
    <row r="60" spans="1:24" s="2" customFormat="1" ht="19.5" thickBot="1">
      <c r="B60" s="28" t="s">
        <v>15</v>
      </c>
      <c r="C60" s="29">
        <f t="shared" ref="C60:J60" si="14">SUM(C8:C59)</f>
        <v>42589</v>
      </c>
      <c r="D60" s="30">
        <f t="shared" si="14"/>
        <v>118</v>
      </c>
      <c r="E60" s="54">
        <f t="shared" si="14"/>
        <v>3672</v>
      </c>
      <c r="F60" s="54">
        <f>SUM(F8:F59)</f>
        <v>6112</v>
      </c>
      <c r="G60" s="55">
        <f t="shared" si="14"/>
        <v>0</v>
      </c>
      <c r="H60" s="56">
        <f t="shared" si="14"/>
        <v>0</v>
      </c>
      <c r="I60" s="56">
        <f t="shared" si="14"/>
        <v>52013</v>
      </c>
      <c r="J60" s="78">
        <f t="shared" si="14"/>
        <v>118</v>
      </c>
      <c r="L60" s="79">
        <f t="shared" ref="L60:S60" si="15">SUM(L8:L59)</f>
        <v>0</v>
      </c>
      <c r="M60" s="79">
        <f t="shared" si="15"/>
        <v>0</v>
      </c>
      <c r="N60" s="79">
        <f t="shared" si="15"/>
        <v>0</v>
      </c>
      <c r="O60" s="79">
        <f t="shared" si="15"/>
        <v>0</v>
      </c>
      <c r="P60" s="79">
        <f t="shared" si="15"/>
        <v>0</v>
      </c>
      <c r="Q60" s="121">
        <f t="shared" si="15"/>
        <v>0</v>
      </c>
      <c r="R60" s="122">
        <f t="shared" si="15"/>
        <v>0</v>
      </c>
      <c r="S60" s="123">
        <f t="shared" si="15"/>
        <v>0</v>
      </c>
      <c r="U60" s="29">
        <f t="shared" ref="U60:W60" si="16">SUM(U8:U59)</f>
        <v>0</v>
      </c>
      <c r="V60" s="152">
        <f t="shared" si="16"/>
        <v>0</v>
      </c>
      <c r="W60" s="179">
        <f t="shared" si="16"/>
        <v>388558</v>
      </c>
      <c r="X60" s="78"/>
    </row>
    <row r="61" spans="1:24" ht="19.5" thickBot="1">
      <c r="V61" s="154"/>
    </row>
    <row r="62" spans="1:24" ht="18.75" customHeight="1">
      <c r="G62" s="197" t="s">
        <v>66</v>
      </c>
      <c r="H62" s="57"/>
      <c r="I62" s="57"/>
      <c r="J62" s="80" t="s">
        <v>67</v>
      </c>
      <c r="L62" s="81"/>
      <c r="M62" s="87"/>
      <c r="N62" s="88"/>
      <c r="O62" s="88"/>
      <c r="P62" s="88"/>
      <c r="Q62" s="124"/>
      <c r="R62" s="124"/>
      <c r="S62" s="125"/>
    </row>
    <row r="63" spans="1:24">
      <c r="G63" s="198"/>
      <c r="H63" s="58"/>
      <c r="I63" s="58"/>
      <c r="J63" s="82" t="s">
        <v>68</v>
      </c>
      <c r="L63" s="83"/>
      <c r="M63" s="89"/>
      <c r="N63" s="90"/>
      <c r="O63" s="90"/>
      <c r="P63" s="90"/>
      <c r="Q63" s="126"/>
      <c r="R63" s="126"/>
      <c r="S63" s="127"/>
    </row>
    <row r="64" spans="1:24">
      <c r="G64" s="199"/>
      <c r="H64" s="59"/>
      <c r="I64" s="59"/>
      <c r="J64" s="82" t="s">
        <v>69</v>
      </c>
      <c r="L64" s="84"/>
      <c r="M64" s="91"/>
      <c r="N64" s="92"/>
      <c r="O64" s="92"/>
      <c r="P64" s="92"/>
      <c r="Q64" s="128"/>
      <c r="R64" s="128"/>
      <c r="S64" s="129"/>
    </row>
    <row r="65" spans="2:24">
      <c r="G65" s="200" t="s">
        <v>70</v>
      </c>
      <c r="H65" s="164"/>
      <c r="I65" s="164"/>
      <c r="J65" s="82" t="s">
        <v>67</v>
      </c>
      <c r="L65" s="84"/>
      <c r="M65" s="91"/>
      <c r="N65" s="92"/>
      <c r="O65" s="92"/>
      <c r="P65" s="92"/>
      <c r="Q65" s="128"/>
      <c r="R65" s="128"/>
      <c r="S65" s="129"/>
    </row>
    <row r="66" spans="2:24">
      <c r="G66" s="200"/>
      <c r="H66" s="164"/>
      <c r="I66" s="164"/>
      <c r="J66" s="82" t="s">
        <v>68</v>
      </c>
      <c r="L66" s="83"/>
      <c r="M66" s="89"/>
      <c r="N66" s="90"/>
      <c r="O66" s="90"/>
      <c r="P66" s="90"/>
      <c r="Q66" s="126"/>
      <c r="R66" s="126"/>
      <c r="S66" s="127"/>
    </row>
    <row r="67" spans="2:24" ht="19.5" thickBot="1">
      <c r="G67" s="201"/>
      <c r="H67" s="165"/>
      <c r="I67" s="165"/>
      <c r="J67" s="167" t="s">
        <v>69</v>
      </c>
      <c r="L67" s="168"/>
      <c r="M67" s="170"/>
      <c r="N67" s="171"/>
      <c r="O67" s="171"/>
      <c r="P67" s="171"/>
      <c r="Q67" s="174"/>
      <c r="R67" s="174"/>
      <c r="S67" s="175"/>
    </row>
    <row r="69" spans="2:24" ht="49.5" customHeight="1" thickBot="1">
      <c r="B69" s="159" t="s">
        <v>71</v>
      </c>
      <c r="C69" s="180" t="s">
        <v>4</v>
      </c>
      <c r="D69" s="181"/>
      <c r="E69" s="166" t="s">
        <v>72</v>
      </c>
      <c r="L69" s="169" t="s">
        <v>12</v>
      </c>
      <c r="M69" s="172"/>
      <c r="N69" s="173" t="s">
        <v>13</v>
      </c>
      <c r="O69" s="173"/>
      <c r="P69" s="173" t="s">
        <v>14</v>
      </c>
      <c r="Q69" s="176"/>
      <c r="R69" s="176"/>
      <c r="S69" s="177" t="s">
        <v>73</v>
      </c>
      <c r="X69" s="178" t="s">
        <v>74</v>
      </c>
    </row>
    <row r="70" spans="2:24">
      <c r="B70" s="160" t="s">
        <v>47</v>
      </c>
      <c r="C70" s="161"/>
      <c r="D70" s="161"/>
      <c r="E70" s="163"/>
      <c r="L70" s="161"/>
      <c r="M70" s="161"/>
      <c r="N70" s="161"/>
      <c r="O70" s="161"/>
      <c r="P70" s="161"/>
      <c r="Q70" s="161"/>
      <c r="R70" s="161"/>
      <c r="S70" s="161"/>
      <c r="X70" s="163"/>
    </row>
    <row r="71" spans="2:24">
      <c r="B71" s="162" t="s">
        <v>75</v>
      </c>
      <c r="C71" s="161"/>
      <c r="D71" s="161"/>
      <c r="E71" s="163"/>
      <c r="L71" s="163"/>
      <c r="M71" s="163"/>
      <c r="N71" s="163"/>
      <c r="O71" s="163"/>
      <c r="P71" s="163"/>
      <c r="Q71" s="163"/>
      <c r="R71" s="163"/>
      <c r="S71" s="163"/>
      <c r="X71" s="163"/>
    </row>
    <row r="72" spans="2:24">
      <c r="B72" s="162" t="s">
        <v>76</v>
      </c>
      <c r="C72" s="161"/>
      <c r="D72" s="161"/>
      <c r="E72" s="163"/>
      <c r="L72" s="163"/>
      <c r="M72" s="163"/>
      <c r="N72" s="163"/>
      <c r="O72" s="163"/>
      <c r="P72" s="163"/>
      <c r="Q72" s="163"/>
      <c r="R72" s="163"/>
      <c r="S72" s="163"/>
      <c r="X72" s="163"/>
    </row>
    <row r="73" spans="2:24" ht="11.25" customHeight="1"/>
    <row r="74" spans="2:24">
      <c r="B74" s="162" t="s">
        <v>77</v>
      </c>
      <c r="C74" s="163"/>
      <c r="D74" s="163"/>
      <c r="E74" s="163"/>
      <c r="L74" s="163"/>
      <c r="M74" s="163"/>
      <c r="N74" s="163"/>
      <c r="O74" s="163"/>
      <c r="P74" s="163"/>
      <c r="Q74" s="163"/>
      <c r="R74" s="163"/>
      <c r="S74" s="163"/>
      <c r="X74" s="163"/>
    </row>
    <row r="75" spans="2:24">
      <c r="B75" s="162" t="s">
        <v>75</v>
      </c>
      <c r="C75" s="163"/>
      <c r="D75" s="163"/>
      <c r="E75" s="163"/>
      <c r="L75" s="163"/>
      <c r="M75" s="163"/>
      <c r="N75" s="163"/>
      <c r="O75" s="163"/>
      <c r="P75" s="163"/>
      <c r="Q75" s="163"/>
      <c r="R75" s="163"/>
      <c r="S75" s="163"/>
      <c r="X75" s="163"/>
    </row>
    <row r="76" spans="2:24">
      <c r="B76" s="162" t="s">
        <v>76</v>
      </c>
      <c r="C76" s="163"/>
      <c r="D76" s="163"/>
      <c r="E76" s="163"/>
      <c r="L76" s="163"/>
      <c r="M76" s="163"/>
      <c r="N76" s="163"/>
      <c r="O76" s="163"/>
      <c r="P76" s="163"/>
      <c r="Q76" s="163"/>
      <c r="R76" s="163"/>
      <c r="S76" s="163"/>
      <c r="X76" s="163"/>
    </row>
    <row r="77" spans="2:24" ht="11.25" customHeight="1"/>
    <row r="78" spans="2:24">
      <c r="B78" s="162" t="s">
        <v>78</v>
      </c>
      <c r="C78" s="163"/>
      <c r="D78" s="163"/>
      <c r="E78" s="163"/>
      <c r="L78" s="163"/>
      <c r="M78" s="163"/>
      <c r="N78" s="163"/>
      <c r="O78" s="163"/>
      <c r="P78" s="163"/>
      <c r="Q78" s="163"/>
      <c r="R78" s="163"/>
      <c r="S78" s="163"/>
      <c r="X78" s="163"/>
    </row>
    <row r="79" spans="2:24">
      <c r="B79" s="162" t="s">
        <v>75</v>
      </c>
      <c r="C79" s="163"/>
      <c r="D79" s="163"/>
      <c r="E79" s="163"/>
      <c r="L79" s="163"/>
      <c r="M79" s="163"/>
      <c r="N79" s="163"/>
      <c r="O79" s="163"/>
      <c r="P79" s="163"/>
      <c r="Q79" s="163"/>
      <c r="R79" s="163"/>
      <c r="S79" s="163"/>
      <c r="X79" s="163"/>
    </row>
    <row r="80" spans="2:24">
      <c r="B80" s="162" t="s">
        <v>76</v>
      </c>
      <c r="C80" s="163"/>
      <c r="D80" s="163"/>
      <c r="E80" s="163"/>
      <c r="L80" s="163"/>
      <c r="M80" s="163"/>
      <c r="N80" s="163"/>
      <c r="O80" s="163"/>
      <c r="P80" s="163"/>
      <c r="Q80" s="163"/>
      <c r="R80" s="163"/>
      <c r="S80" s="163"/>
      <c r="X80" s="163"/>
    </row>
    <row r="81" spans="2:24" ht="11.25" customHeight="1"/>
    <row r="82" spans="2:24">
      <c r="B82" s="162" t="s">
        <v>79</v>
      </c>
      <c r="C82" s="163"/>
      <c r="D82" s="163"/>
      <c r="E82" s="163"/>
      <c r="L82" s="163"/>
      <c r="M82" s="163"/>
      <c r="N82" s="163"/>
      <c r="O82" s="163"/>
      <c r="P82" s="163"/>
      <c r="Q82" s="163"/>
      <c r="R82" s="163"/>
      <c r="S82" s="163"/>
      <c r="X82" s="163"/>
    </row>
    <row r="83" spans="2:24">
      <c r="B83" s="162" t="s">
        <v>75</v>
      </c>
      <c r="C83" s="163"/>
      <c r="D83" s="163"/>
      <c r="E83" s="163"/>
      <c r="L83" s="163"/>
      <c r="M83" s="163"/>
      <c r="N83" s="163"/>
      <c r="O83" s="163"/>
      <c r="P83" s="163"/>
      <c r="Q83" s="163"/>
      <c r="R83" s="163"/>
      <c r="S83" s="163"/>
      <c r="X83" s="163"/>
    </row>
    <row r="84" spans="2:24">
      <c r="B84" s="162" t="s">
        <v>76</v>
      </c>
      <c r="C84" s="161"/>
      <c r="D84" s="161"/>
      <c r="E84" s="163"/>
      <c r="L84" s="163"/>
      <c r="M84" s="163"/>
      <c r="N84" s="163"/>
      <c r="O84" s="163"/>
      <c r="P84" s="163"/>
      <c r="Q84" s="163"/>
      <c r="R84" s="163"/>
      <c r="S84" s="163"/>
      <c r="X84" s="163"/>
    </row>
    <row r="85" spans="2:24" ht="11.25" customHeight="1"/>
    <row r="86" spans="2:24">
      <c r="B86" s="162" t="s">
        <v>80</v>
      </c>
      <c r="C86" s="163"/>
      <c r="D86" s="163"/>
      <c r="E86" s="163"/>
      <c r="L86" s="163"/>
      <c r="M86" s="163"/>
      <c r="N86" s="163"/>
      <c r="O86" s="163"/>
      <c r="P86" s="163"/>
      <c r="Q86" s="163"/>
      <c r="R86" s="163"/>
      <c r="S86" s="163"/>
      <c r="X86" s="163"/>
    </row>
    <row r="87" spans="2:24">
      <c r="B87" s="162" t="s">
        <v>75</v>
      </c>
      <c r="C87" s="163"/>
      <c r="D87" s="163"/>
      <c r="E87" s="163"/>
      <c r="L87" s="163"/>
      <c r="M87" s="163"/>
      <c r="N87" s="163"/>
      <c r="O87" s="163"/>
      <c r="P87" s="163"/>
      <c r="Q87" s="163"/>
      <c r="R87" s="163"/>
      <c r="S87" s="163"/>
      <c r="X87" s="163"/>
    </row>
    <row r="88" spans="2:24">
      <c r="B88" s="162" t="s">
        <v>76</v>
      </c>
      <c r="C88" s="163"/>
      <c r="D88" s="163"/>
      <c r="E88" s="163"/>
      <c r="L88" s="163"/>
      <c r="M88" s="163"/>
      <c r="N88" s="163"/>
      <c r="O88" s="163"/>
      <c r="P88" s="163"/>
      <c r="Q88" s="163"/>
      <c r="R88" s="163"/>
      <c r="S88" s="163"/>
      <c r="X88" s="163"/>
    </row>
    <row r="90" spans="2:24">
      <c r="B90" s="162" t="s">
        <v>81</v>
      </c>
      <c r="C90" s="163"/>
      <c r="D90" s="163"/>
      <c r="E90" s="163"/>
      <c r="L90" s="163"/>
      <c r="M90" s="163"/>
      <c r="N90" s="163"/>
      <c r="O90" s="163"/>
      <c r="P90" s="163"/>
      <c r="Q90" s="163"/>
      <c r="R90" s="163"/>
      <c r="S90" s="163"/>
      <c r="X90" s="163"/>
    </row>
  </sheetData>
  <mergeCells count="12">
    <mergeCell ref="G62:G64"/>
    <mergeCell ref="G65:G67"/>
    <mergeCell ref="P1:X1"/>
    <mergeCell ref="B4:B5"/>
    <mergeCell ref="C4:C5"/>
    <mergeCell ref="D4:D5"/>
    <mergeCell ref="E4:F4"/>
    <mergeCell ref="G4:G5"/>
    <mergeCell ref="H4:H5"/>
    <mergeCell ref="I4:I5"/>
    <mergeCell ref="J4:J5"/>
    <mergeCell ref="L4:X4"/>
  </mergeCells>
  <printOptions horizontalCentered="1" verticalCentered="1"/>
  <pageMargins left="0.196850393700787" right="0.196850393700787" top="0.196850393700787" bottom="0.196850393700787" header="0.511811023622047" footer="0.511811023622047"/>
  <pageSetup paperSize="9" scale="51" orientation="portrait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comments xmlns="https://web.wps.cn/et/2018/main" xmlns:s="http://schemas.openxmlformats.org/spreadsheetml/2006/main">
  <commentList sheetStid="124">
    <comment s:ref="U5" rgbClr="CFE290"/>
    <comment s:ref="V5" rgbClr="CFE290"/>
    <comment s:ref="W5" rgbClr="CFE290"/>
  </commentList>
  <commentList sheetStid="119"/>
  <commentList sheetStid="120"/>
  <commentList sheetStid="121"/>
  <commentList sheetStid="122"/>
  <commentList sheetStid="123"/>
  <commentList sheetStid="125">
    <comment s:ref="U5" rgbClr="CFE290"/>
    <comment s:ref="V5" rgbClr="CFE290"/>
    <comment s:ref="W5" rgbClr="CFE290"/>
  </commentList>
  <commentList sheetStid="126">
    <comment s:ref="U5" rgbClr="CFE290"/>
    <comment s:ref="V5" rgbClr="CFE290"/>
    <comment s:ref="W5" rgbClr="CFE290"/>
  </commentList>
  <commentList sheetStid="127">
    <comment s:ref="U5" rgbClr="CFE290"/>
    <comment s:ref="V5" rgbClr="CFE290"/>
    <comment s:ref="W5" rgbClr="CFE290"/>
  </commentList>
  <commentList sheetStid="128">
    <comment s:ref="U5" rgbClr="CFE290"/>
    <comment s:ref="V5" rgbClr="CFE290"/>
    <comment s:ref="W5" rgbClr="CFE290"/>
  </commentList>
</comments>
</file>

<file path=customXml/itemProps1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26</vt:i4>
      </vt:variant>
      <vt:variant>
        <vt:lpstr>Named Ranges</vt:lpstr>
      </vt:variant>
      <vt:variant>
        <vt:i4>26</vt:i4>
      </vt:variant>
    </vt:vector>
  </HeadingPairs>
  <TitlesOfParts>
    <vt:vector size="52" baseType="lpstr">
      <vt:lpstr>EXAMPLE</vt:lpstr>
      <vt:lpstr>05,01</vt:lpstr>
      <vt:lpstr>05,02</vt:lpstr>
      <vt:lpstr>05,04</vt:lpstr>
      <vt:lpstr>05,05</vt:lpstr>
      <vt:lpstr>05,06</vt:lpstr>
      <vt:lpstr>05,07</vt:lpstr>
      <vt:lpstr>05,08</vt:lpstr>
      <vt:lpstr>05,11</vt:lpstr>
      <vt:lpstr>05,12</vt:lpstr>
      <vt:lpstr>05,13</vt:lpstr>
      <vt:lpstr>05,14</vt:lpstr>
      <vt:lpstr>05,15</vt:lpstr>
      <vt:lpstr>05,18</vt:lpstr>
      <vt:lpstr>05,19</vt:lpstr>
      <vt:lpstr>05,20</vt:lpstr>
      <vt:lpstr>05,21</vt:lpstr>
      <vt:lpstr>05,22</vt:lpstr>
      <vt:lpstr>05,23</vt:lpstr>
      <vt:lpstr>05,24</vt:lpstr>
      <vt:lpstr>05,25</vt:lpstr>
      <vt:lpstr>05,26</vt:lpstr>
      <vt:lpstr>05,27</vt:lpstr>
      <vt:lpstr>05,28</vt:lpstr>
      <vt:lpstr>05,29</vt:lpstr>
      <vt:lpstr>05,30 </vt:lpstr>
      <vt:lpstr>'05,01'!Print_Area</vt:lpstr>
      <vt:lpstr>'05,02'!Print_Area</vt:lpstr>
      <vt:lpstr>'05,04'!Print_Area</vt:lpstr>
      <vt:lpstr>'05,05'!Print_Area</vt:lpstr>
      <vt:lpstr>'05,06'!Print_Area</vt:lpstr>
      <vt:lpstr>'05,07'!Print_Area</vt:lpstr>
      <vt:lpstr>'05,08'!Print_Area</vt:lpstr>
      <vt:lpstr>'05,11'!Print_Area</vt:lpstr>
      <vt:lpstr>'05,12'!Print_Area</vt:lpstr>
      <vt:lpstr>'05,13'!Print_Area</vt:lpstr>
      <vt:lpstr>'05,14'!Print_Area</vt:lpstr>
      <vt:lpstr>'05,15'!Print_Area</vt:lpstr>
      <vt:lpstr>'05,18'!Print_Area</vt:lpstr>
      <vt:lpstr>'05,19'!Print_Area</vt:lpstr>
      <vt:lpstr>'05,20'!Print_Area</vt:lpstr>
      <vt:lpstr>'05,21'!Print_Area</vt:lpstr>
      <vt:lpstr>'05,22'!Print_Area</vt:lpstr>
      <vt:lpstr>'05,23'!Print_Area</vt:lpstr>
      <vt:lpstr>'05,24'!Print_Area</vt:lpstr>
      <vt:lpstr>'05,25'!Print_Area</vt:lpstr>
      <vt:lpstr>'05,26'!Print_Area</vt:lpstr>
      <vt:lpstr>'05,27'!Print_Area</vt:lpstr>
      <vt:lpstr>'05,28'!Print_Area</vt:lpstr>
      <vt:lpstr>'05,29'!Print_Area</vt:lpstr>
      <vt:lpstr>'05,30 '!Print_Area</vt:lpstr>
      <vt:lpstr>EXAMPLE!Print_Area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2026-02-19T09:52:00Z</cp:lastPrinted>
  <dcterms:created xsi:type="dcterms:W3CDTF">2024-09-02T07:32:00Z</dcterms:created>
  <dcterms:modified xsi:type="dcterms:W3CDTF">2026-06-03T02:04:07Z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