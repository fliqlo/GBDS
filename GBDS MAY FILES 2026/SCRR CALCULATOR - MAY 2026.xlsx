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1750D965-E66D-41D5-A3F8-D7B813F897CA}" xr6:coauthVersionLast="45" xr6:coauthVersionMax="47" xr10:uidLastSave="{00000000-0000-0000-0000-000000000000}"/>
  <bookViews>
    <workbookView xWindow="-120" yWindow="-120" windowWidth="29040" windowHeight="15840" firstSheet="67" activeTab="79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" sheetId="2083" r:id="rId58"/>
    <sheet name="05,19 R2" sheetId="2084" r:id="rId59"/>
    <sheet name="05,19 R3" sheetId="2085" r:id="rId60"/>
    <sheet name="(20)" sheetId="2086" r:id="rId61"/>
    <sheet name="05,20 R1" sheetId="2087" r:id="rId62"/>
    <sheet name="05,20 R2" sheetId="2088" r:id="rId63"/>
    <sheet name="05,20 R3" sheetId="2089" r:id="rId64"/>
    <sheet name="(21)" sheetId="2090" r:id="rId65"/>
    <sheet name="05,21 R1" sheetId="2091" r:id="rId66"/>
    <sheet name="05,21 R2" sheetId="2092" r:id="rId67"/>
    <sheet name="05,21 R3" sheetId="2093" r:id="rId68"/>
    <sheet name="(22)" sheetId="2094" r:id="rId69"/>
    <sheet name="05,22 R1" sheetId="2095" r:id="rId70"/>
    <sheet name="05,22 R2" sheetId="2096" r:id="rId71"/>
    <sheet name="05,22 R3" sheetId="2097" r:id="rId72"/>
    <sheet name="(23)" sheetId="2098" r:id="rId73"/>
    <sheet name="05,23 R1" sheetId="2099" r:id="rId74"/>
    <sheet name="05,23 R2" sheetId="2100" r:id="rId75"/>
    <sheet name="05,23 R3" sheetId="2101" r:id="rId76"/>
    <sheet name="(25)" sheetId="2102" r:id="rId77"/>
    <sheet name="05,25 R1" sheetId="2103" r:id="rId78"/>
    <sheet name="05,25 R2" sheetId="2104" r:id="rId79"/>
    <sheet name="05,25 R3" sheetId="2105" r:id="rId80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0">'(20)'!$A$1:$J$60</definedName>
    <definedName name="_xlnm.Print_Area" localSheetId="64">'(21)'!$A$1:$J$60</definedName>
    <definedName name="_xlnm.Print_Area" localSheetId="68">'(22)'!$A$1:$J$60</definedName>
    <definedName name="_xlnm.Print_Area" localSheetId="72">'(23)'!$A$1:$J$60</definedName>
    <definedName name="_xlnm.Print_Area" localSheetId="76">'(25)'!$A$1:$J$60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7">'05,19 R1'!$A$1:$J$60</definedName>
    <definedName name="_xlnm.Print_Area" localSheetId="58">'05,19 R2'!$A$1:$J$60</definedName>
    <definedName name="_xlnm.Print_Area" localSheetId="59">'05,19 R3'!$A$1:$J$60</definedName>
    <definedName name="_xlnm.Print_Area" localSheetId="61">'05,20 R1'!$A$1:$J$60</definedName>
    <definedName name="_xlnm.Print_Area" localSheetId="62">'05,20 R2'!$A$1:$J$60</definedName>
    <definedName name="_xlnm.Print_Area" localSheetId="63">'05,20 R3'!$A$1:$J$60</definedName>
    <definedName name="_xlnm.Print_Area" localSheetId="65">'05,21 R1'!$A$1:$J$60</definedName>
    <definedName name="_xlnm.Print_Area" localSheetId="66">'05,21 R2'!$A$1:$J$60</definedName>
    <definedName name="_xlnm.Print_Area" localSheetId="67">'05,21 R3'!$A$1:$J$60</definedName>
    <definedName name="_xlnm.Print_Area" localSheetId="69">'05,22 R1'!$A$1:$J$60</definedName>
    <definedName name="_xlnm.Print_Area" localSheetId="70">'05,22 R2'!$A$1:$J$60</definedName>
    <definedName name="_xlnm.Print_Area" localSheetId="71">'05,22 R3'!$A$1:$J$60</definedName>
    <definedName name="_xlnm.Print_Area" localSheetId="73">'05,23 R1'!$A$1:$J$60</definedName>
    <definedName name="_xlnm.Print_Area" localSheetId="74">'05,23 R2'!$A$1:$J$60</definedName>
    <definedName name="_xlnm.Print_Area" localSheetId="75">'05,23 R3'!$A$1:$J$60</definedName>
    <definedName name="_xlnm.Print_Area" localSheetId="77">'05,25 R1'!$A$1:$J$60</definedName>
    <definedName name="_xlnm.Print_Area" localSheetId="78">'05,25 R2'!$A$1:$J$60</definedName>
    <definedName name="_xlnm.Print_Area" localSheetId="79">'05,25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105" l="1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H38" i="2105"/>
  <c r="D38" i="2105"/>
  <c r="R37" i="2105"/>
  <c r="H37" i="2105"/>
  <c r="D37" i="2105"/>
  <c r="R36" i="2105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G49" i="2105" s="1"/>
  <c r="D34" i="2105"/>
  <c r="D54" i="2105" s="1"/>
  <c r="H14" i="2105" s="1"/>
  <c r="R33" i="2105"/>
  <c r="L19" i="2105" s="1"/>
  <c r="D19" i="2105" s="1"/>
  <c r="R32" i="2105"/>
  <c r="R31" i="2105"/>
  <c r="R30" i="2105"/>
  <c r="R29" i="2105"/>
  <c r="R28" i="2105"/>
  <c r="R27" i="2105"/>
  <c r="L27" i="2105"/>
  <c r="D27" i="2105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2" i="2105"/>
  <c r="D22" i="2105" s="1"/>
  <c r="R21" i="2105"/>
  <c r="L17" i="2105" s="1"/>
  <c r="D17" i="2105" s="1"/>
  <c r="L21" i="2105"/>
  <c r="D21" i="2105"/>
  <c r="R20" i="2105"/>
  <c r="L20" i="2105"/>
  <c r="D20" i="2105" s="1"/>
  <c r="R19" i="2105"/>
  <c r="R18" i="2105"/>
  <c r="R17" i="2105"/>
  <c r="R16" i="2105"/>
  <c r="L16" i="2105"/>
  <c r="D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L10" i="2105"/>
  <c r="D10" i="2105"/>
  <c r="L9" i="2105"/>
  <c r="D9" i="2105" s="1"/>
  <c r="R6" i="2105"/>
  <c r="L6" i="2105"/>
  <c r="D6" i="2105" s="1"/>
  <c r="D29" i="2105" s="1"/>
  <c r="H13" i="2105" s="1"/>
  <c r="H15" i="2105" s="1"/>
  <c r="H29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H36" i="2104"/>
  <c r="D36" i="2104"/>
  <c r="R35" i="2104"/>
  <c r="H35" i="2104"/>
  <c r="D35" i="2104"/>
  <c r="R34" i="2104"/>
  <c r="L12" i="2104" s="1"/>
  <c r="D12" i="2104" s="1"/>
  <c r="H34" i="2104"/>
  <c r="G49" i="2104" s="1"/>
  <c r="D34" i="2104"/>
  <c r="D54" i="2104" s="1"/>
  <c r="H14" i="2104" s="1"/>
  <c r="R33" i="2104"/>
  <c r="L19" i="2104" s="1"/>
  <c r="D19" i="2104" s="1"/>
  <c r="R32" i="2104"/>
  <c r="R31" i="2104"/>
  <c r="R30" i="2104"/>
  <c r="R29" i="2104"/>
  <c r="R28" i="2104"/>
  <c r="R27" i="2104"/>
  <c r="L27" i="2104"/>
  <c r="D27" i="2104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/>
  <c r="R21" i="2104"/>
  <c r="L17" i="2104" s="1"/>
  <c r="D17" i="2104" s="1"/>
  <c r="D21" i="2104"/>
  <c r="R20" i="2104"/>
  <c r="R19" i="2104"/>
  <c r="R18" i="2104"/>
  <c r="L18" i="2104"/>
  <c r="D18" i="2104"/>
  <c r="R17" i="2104"/>
  <c r="R16" i="2104"/>
  <c r="L16" i="2104"/>
  <c r="D16" i="2104"/>
  <c r="R15" i="2104"/>
  <c r="L15" i="2104"/>
  <c r="D15" i="2104" s="1"/>
  <c r="R14" i="2104"/>
  <c r="D14" i="2104"/>
  <c r="R13" i="2104"/>
  <c r="D13" i="2104"/>
  <c r="R12" i="2104"/>
  <c r="R11" i="2104"/>
  <c r="L11" i="2104"/>
  <c r="D11" i="2104"/>
  <c r="L10" i="2104"/>
  <c r="D10" i="2104"/>
  <c r="L7" i="2104"/>
  <c r="D7" i="2104"/>
  <c r="R6" i="2104"/>
  <c r="L6" i="2104"/>
  <c r="D6" i="2104" s="1"/>
  <c r="R5" i="2104"/>
  <c r="R4" i="2104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H38" i="2103"/>
  <c r="D38" i="2103"/>
  <c r="R37" i="2103"/>
  <c r="H37" i="2103"/>
  <c r="D37" i="2103"/>
  <c r="R36" i="2103"/>
  <c r="H36" i="2103"/>
  <c r="D36" i="2103"/>
  <c r="R35" i="2103"/>
  <c r="H35" i="2103"/>
  <c r="D35" i="2103"/>
  <c r="R34" i="2103"/>
  <c r="L12" i="2103" s="1"/>
  <c r="D12" i="2103" s="1"/>
  <c r="H34" i="2103"/>
  <c r="G49" i="2103" s="1"/>
  <c r="D34" i="2103"/>
  <c r="D54" i="2103" s="1"/>
  <c r="H14" i="2103" s="1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2" i="2103"/>
  <c r="D22" i="2103"/>
  <c r="R21" i="2103"/>
  <c r="L17" i="2103" s="1"/>
  <c r="D17" i="2103" s="1"/>
  <c r="L21" i="2103"/>
  <c r="D21" i="2103"/>
  <c r="R20" i="2103"/>
  <c r="L20" i="2103"/>
  <c r="D20" i="2103" s="1"/>
  <c r="R19" i="2103"/>
  <c r="R18" i="2103"/>
  <c r="L18" i="2103"/>
  <c r="D18" i="2103"/>
  <c r="R17" i="2103"/>
  <c r="R16" i="2103"/>
  <c r="L16" i="2103"/>
  <c r="D16" i="2103"/>
  <c r="R15" i="2103"/>
  <c r="L15" i="2103"/>
  <c r="D15" i="2103" s="1"/>
  <c r="R14" i="2103"/>
  <c r="D14" i="2103"/>
  <c r="R13" i="2103"/>
  <c r="D13" i="2103"/>
  <c r="R12" i="2103"/>
  <c r="R11" i="2103"/>
  <c r="L11" i="2103"/>
  <c r="D11" i="2103"/>
  <c r="L10" i="2103"/>
  <c r="D10" i="2103"/>
  <c r="L9" i="2103"/>
  <c r="D9" i="2103" s="1"/>
  <c r="L7" i="2103"/>
  <c r="D7" i="2103" s="1"/>
  <c r="R6" i="2103"/>
  <c r="L6" i="2103"/>
  <c r="D6" i="2103" s="1"/>
  <c r="R5" i="2103"/>
  <c r="R4" i="2103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D34" i="2102"/>
  <c r="D54" i="2102" s="1"/>
  <c r="H14" i="2102" s="1"/>
  <c r="R33" i="2102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/>
  <c r="R24" i="2102"/>
  <c r="D24" i="2102"/>
  <c r="R23" i="2102"/>
  <c r="L23" i="2102"/>
  <c r="D23" i="2102" s="1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L12" i="2102"/>
  <c r="D12" i="2102" s="1"/>
  <c r="R11" i="2102"/>
  <c r="L11" i="2102"/>
  <c r="D11" i="2102" s="1"/>
  <c r="L9" i="2102"/>
  <c r="D9" i="2102"/>
  <c r="L8" i="2102"/>
  <c r="D8" i="2102" s="1"/>
  <c r="R6" i="2102"/>
  <c r="L6" i="2102"/>
  <c r="D6" i="2102"/>
  <c r="R5" i="2102"/>
  <c r="R4" i="2102"/>
  <c r="R52" i="2101"/>
  <c r="R51" i="2101"/>
  <c r="D50" i="2101"/>
  <c r="R49" i="2101"/>
  <c r="G49" i="2101"/>
  <c r="D49" i="2101"/>
  <c r="R48" i="2101"/>
  <c r="D48" i="2101"/>
  <c r="D46" i="2101"/>
  <c r="D45" i="2101"/>
  <c r="R44" i="2101"/>
  <c r="D44" i="2101"/>
  <c r="R42" i="210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H34" i="2101"/>
  <c r="D34" i="2101"/>
  <c r="D54" i="2101" s="1"/>
  <c r="H14" i="2101" s="1"/>
  <c r="R33" i="2101"/>
  <c r="L19" i="2101" s="1"/>
  <c r="D19" i="2101" s="1"/>
  <c r="R32" i="2101"/>
  <c r="R31" i="2101"/>
  <c r="R30" i="2101"/>
  <c r="R29" i="2101"/>
  <c r="R28" i="2101"/>
  <c r="L28" i="2101"/>
  <c r="D28" i="2101"/>
  <c r="R27" i="2101"/>
  <c r="L27" i="2101"/>
  <c r="D27" i="2101"/>
  <c r="R26" i="2101"/>
  <c r="L26" i="2101"/>
  <c r="D26" i="2101"/>
  <c r="R25" i="2101"/>
  <c r="L25" i="2101"/>
  <c r="D25" i="2101"/>
  <c r="R24" i="2101"/>
  <c r="L24" i="2101"/>
  <c r="D24" i="2101" s="1"/>
  <c r="R23" i="2101"/>
  <c r="L23" i="2101"/>
  <c r="D23" i="2101" s="1"/>
  <c r="R22" i="2101"/>
  <c r="L22" i="2101"/>
  <c r="D22" i="2101"/>
  <c r="R21" i="2101"/>
  <c r="L17" i="2101" s="1"/>
  <c r="D17" i="2101" s="1"/>
  <c r="L21" i="2101"/>
  <c r="D21" i="2101"/>
  <c r="R20" i="2101"/>
  <c r="L20" i="2101"/>
  <c r="D20" i="2101" s="1"/>
  <c r="R19" i="2101"/>
  <c r="R18" i="2101"/>
  <c r="R17" i="2101"/>
  <c r="R16" i="2101"/>
  <c r="L16" i="2101"/>
  <c r="D16" i="2101" s="1"/>
  <c r="R15" i="2101"/>
  <c r="L15" i="2101"/>
  <c r="D15" i="2101" s="1"/>
  <c r="R14" i="2101"/>
  <c r="D14" i="2101"/>
  <c r="R13" i="2101"/>
  <c r="D13" i="2101"/>
  <c r="R12" i="2101"/>
  <c r="L12" i="2101"/>
  <c r="D12" i="2101"/>
  <c r="R11" i="2101"/>
  <c r="L11" i="2101"/>
  <c r="D11" i="2101" s="1"/>
  <c r="L10" i="2101"/>
  <c r="D10" i="2101"/>
  <c r="L9" i="2101"/>
  <c r="D9" i="2101" s="1"/>
  <c r="L7" i="2101"/>
  <c r="D7" i="2101" s="1"/>
  <c r="R6" i="2101"/>
  <c r="L6" i="2101"/>
  <c r="D6" i="2101" s="1"/>
  <c r="R5" i="2101"/>
  <c r="R4" i="210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D41" i="2100"/>
  <c r="R40" i="2100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G49" i="2100" s="1"/>
  <c r="D34" i="2100"/>
  <c r="D54" i="2100" s="1"/>
  <c r="H14" i="2100" s="1"/>
  <c r="R33" i="2100"/>
  <c r="R32" i="2100"/>
  <c r="L11" i="2100" s="1"/>
  <c r="D11" i="2100" s="1"/>
  <c r="R31" i="2100"/>
  <c r="R30" i="2100"/>
  <c r="R29" i="2100"/>
  <c r="R28" i="2100"/>
  <c r="L28" i="2100"/>
  <c r="D28" i="2100"/>
  <c r="R27" i="2100"/>
  <c r="L27" i="2100"/>
  <c r="D27" i="2100" s="1"/>
  <c r="R26" i="2100"/>
  <c r="L26" i="2100"/>
  <c r="D26" i="2100"/>
  <c r="R25" i="2100"/>
  <c r="L25" i="2100"/>
  <c r="D25" i="2100" s="1"/>
  <c r="R24" i="2100"/>
  <c r="L24" i="2100"/>
  <c r="D24" i="2100"/>
  <c r="R23" i="2100"/>
  <c r="L23" i="2100"/>
  <c r="D23" i="2100" s="1"/>
  <c r="R22" i="2100"/>
  <c r="L22" i="2100"/>
  <c r="D22" i="2100" s="1"/>
  <c r="R21" i="2100"/>
  <c r="L17" i="2100" s="1"/>
  <c r="D17" i="2100" s="1"/>
  <c r="D21" i="2100"/>
  <c r="R20" i="2100"/>
  <c r="L20" i="2100"/>
  <c r="D20" i="2100" s="1"/>
  <c r="R19" i="2100"/>
  <c r="L19" i="2100"/>
  <c r="D19" i="2100" s="1"/>
  <c r="R18" i="2100"/>
  <c r="L18" i="2100"/>
  <c r="D18" i="2100" s="1"/>
  <c r="R17" i="2100"/>
  <c r="R16" i="2100"/>
  <c r="L16" i="2100"/>
  <c r="D16" i="2100" s="1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L8" i="2100"/>
  <c r="D8" i="2100" s="1"/>
  <c r="L7" i="2100"/>
  <c r="D7" i="2100" s="1"/>
  <c r="R6" i="2100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G49" i="2099" s="1"/>
  <c r="D34" i="2099"/>
  <c r="D54" i="2099" s="1"/>
  <c r="H14" i="2099" s="1"/>
  <c r="R33" i="2099"/>
  <c r="L19" i="2099" s="1"/>
  <c r="D19" i="2099" s="1"/>
  <c r="R32" i="2099"/>
  <c r="R31" i="2099"/>
  <c r="R30" i="2099"/>
  <c r="R29" i="2099"/>
  <c r="R28" i="2099"/>
  <c r="L28" i="2099"/>
  <c r="D28" i="2099"/>
  <c r="R27" i="2099"/>
  <c r="L27" i="2099"/>
  <c r="D27" i="2099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/>
  <c r="R21" i="2099"/>
  <c r="L17" i="2099" s="1"/>
  <c r="D17" i="2099" s="1"/>
  <c r="L21" i="2099"/>
  <c r="D21" i="2099"/>
  <c r="R20" i="2099"/>
  <c r="L20" i="2099"/>
  <c r="D20" i="2099" s="1"/>
  <c r="R19" i="2099"/>
  <c r="R18" i="2099"/>
  <c r="R17" i="2099"/>
  <c r="R16" i="2099"/>
  <c r="L16" i="2099"/>
  <c r="D16" i="2099"/>
  <c r="R15" i="2099"/>
  <c r="L15" i="2099"/>
  <c r="D15" i="2099" s="1"/>
  <c r="R14" i="2099"/>
  <c r="D14" i="2099"/>
  <c r="R13" i="2099"/>
  <c r="D13" i="2099"/>
  <c r="R12" i="2099"/>
  <c r="R11" i="2099"/>
  <c r="L11" i="2099"/>
  <c r="D11" i="2099"/>
  <c r="L10" i="2099"/>
  <c r="D10" i="2099" s="1"/>
  <c r="L9" i="2099"/>
  <c r="D9" i="2099" s="1"/>
  <c r="L7" i="2099"/>
  <c r="D7" i="2099" s="1"/>
  <c r="R6" i="2099"/>
  <c r="L6" i="2099"/>
  <c r="D6" i="2099" s="1"/>
  <c r="R5" i="2099"/>
  <c r="R4" i="2099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D54" i="2098" s="1"/>
  <c r="H14" i="2098" s="1"/>
  <c r="R33" i="2098"/>
  <c r="L23" i="2098" s="1"/>
  <c r="D23" i="2098" s="1"/>
  <c r="R32" i="2098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/>
  <c r="R25" i="2098"/>
  <c r="L25" i="2098"/>
  <c r="D25" i="2098"/>
  <c r="R24" i="2098"/>
  <c r="D24" i="2098"/>
  <c r="R23" i="2098"/>
  <c r="R22" i="2098"/>
  <c r="L22" i="2098"/>
  <c r="D22" i="2098" s="1"/>
  <c r="R21" i="2098"/>
  <c r="D21" i="2098"/>
  <c r="R20" i="2098"/>
  <c r="L20" i="2098"/>
  <c r="D20" i="2098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L11" i="2098"/>
  <c r="D11" i="2098" s="1"/>
  <c r="R6" i="2098"/>
  <c r="L6" i="2098"/>
  <c r="D6" i="2098"/>
  <c r="R5" i="2098"/>
  <c r="R4" i="2098"/>
  <c r="R52" i="2097"/>
  <c r="R51" i="2097"/>
  <c r="D50" i="2097"/>
  <c r="R49" i="2097"/>
  <c r="G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H35" i="2097"/>
  <c r="D35" i="2097"/>
  <c r="R34" i="2097"/>
  <c r="H34" i="2097"/>
  <c r="D34" i="2097"/>
  <c r="D54" i="2097" s="1"/>
  <c r="H14" i="2097" s="1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/>
  <c r="R25" i="2097"/>
  <c r="L25" i="2097"/>
  <c r="D25" i="2097" s="1"/>
  <c r="R24" i="2097"/>
  <c r="L24" i="2097"/>
  <c r="D24" i="2097"/>
  <c r="R23" i="2097"/>
  <c r="L23" i="2097"/>
  <c r="D23" i="2097" s="1"/>
  <c r="R22" i="2097"/>
  <c r="L22" i="2097"/>
  <c r="D22" i="2097"/>
  <c r="R21" i="2097"/>
  <c r="L21" i="2097"/>
  <c r="D21" i="2097"/>
  <c r="R20" i="2097"/>
  <c r="L20" i="2097"/>
  <c r="D20" i="2097" s="1"/>
  <c r="R19" i="2097"/>
  <c r="R18" i="2097"/>
  <c r="L18" i="2097"/>
  <c r="D18" i="2097"/>
  <c r="R17" i="2097"/>
  <c r="L17" i="2097"/>
  <c r="D17" i="2097" s="1"/>
  <c r="R16" i="2097"/>
  <c r="R15" i="2097"/>
  <c r="L15" i="2097"/>
  <c r="D15" i="2097" s="1"/>
  <c r="R14" i="2097"/>
  <c r="D14" i="2097"/>
  <c r="R13" i="2097"/>
  <c r="D13" i="2097"/>
  <c r="R12" i="2097"/>
  <c r="L12" i="2097"/>
  <c r="D12" i="2097" s="1"/>
  <c r="R11" i="2097"/>
  <c r="L9" i="2097"/>
  <c r="D9" i="2097" s="1"/>
  <c r="L8" i="2097"/>
  <c r="D8" i="2097"/>
  <c r="L7" i="2097"/>
  <c r="D7" i="2097"/>
  <c r="R6" i="2097"/>
  <c r="L16" i="2097" s="1"/>
  <c r="D16" i="2097" s="1"/>
  <c r="L6" i="2097"/>
  <c r="D6" i="2097" s="1"/>
  <c r="R5" i="2097"/>
  <c r="R4" i="2097"/>
  <c r="D54" i="2096"/>
  <c r="H14" i="2096" s="1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G49" i="2096" s="1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/>
  <c r="R26" i="2096"/>
  <c r="L26" i="2096"/>
  <c r="D26" i="2096"/>
  <c r="R25" i="2096"/>
  <c r="L25" i="2096"/>
  <c r="D25" i="2096"/>
  <c r="R24" i="2096"/>
  <c r="L24" i="2096"/>
  <c r="D24" i="2096"/>
  <c r="R23" i="2096"/>
  <c r="L23" i="2096"/>
  <c r="D23" i="2096" s="1"/>
  <c r="R22" i="2096"/>
  <c r="L22" i="2096"/>
  <c r="D22" i="2096" s="1"/>
  <c r="R21" i="2096"/>
  <c r="L17" i="2096" s="1"/>
  <c r="D17" i="2096" s="1"/>
  <c r="D21" i="2096"/>
  <c r="R20" i="2096"/>
  <c r="L20" i="2096"/>
  <c r="D20" i="2096"/>
  <c r="R19" i="2096"/>
  <c r="R18" i="2096"/>
  <c r="R17" i="2096"/>
  <c r="R16" i="2096"/>
  <c r="R15" i="2096"/>
  <c r="R14" i="2096"/>
  <c r="D14" i="2096"/>
  <c r="R13" i="2096"/>
  <c r="D13" i="2096"/>
  <c r="R12" i="2096"/>
  <c r="L12" i="2096"/>
  <c r="D12" i="2096"/>
  <c r="R11" i="2096"/>
  <c r="L11" i="2096"/>
  <c r="D11" i="2096"/>
  <c r="L9" i="2096"/>
  <c r="D9" i="2096" s="1"/>
  <c r="R6" i="2096"/>
  <c r="L16" i="2096" s="1"/>
  <c r="D16" i="2096" s="1"/>
  <c r="L6" i="2096"/>
  <c r="D6" i="2096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G49" i="2095" s="1"/>
  <c r="D35" i="2095"/>
  <c r="R34" i="2095"/>
  <c r="L12" i="2095" s="1"/>
  <c r="D12" i="2095" s="1"/>
  <c r="H34" i="2095"/>
  <c r="D34" i="2095"/>
  <c r="D54" i="2095" s="1"/>
  <c r="H14" i="2095" s="1"/>
  <c r="R33" i="2095"/>
  <c r="R32" i="2095"/>
  <c r="R31" i="2095"/>
  <c r="R30" i="2095"/>
  <c r="R29" i="2095"/>
  <c r="R28" i="2095"/>
  <c r="L28" i="2095"/>
  <c r="D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/>
  <c r="R23" i="2095"/>
  <c r="L23" i="2095"/>
  <c r="D23" i="2095" s="1"/>
  <c r="R22" i="2095"/>
  <c r="L20" i="2095" s="1"/>
  <c r="D20" i="2095" s="1"/>
  <c r="L22" i="2095"/>
  <c r="D22" i="2095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L16" i="2095"/>
  <c r="D16" i="2095" s="1"/>
  <c r="R15" i="2095"/>
  <c r="L15" i="2095"/>
  <c r="D15" i="2095"/>
  <c r="R14" i="2095"/>
  <c r="D14" i="2095"/>
  <c r="R13" i="2095"/>
  <c r="D13" i="2095"/>
  <c r="R12" i="2095"/>
  <c r="R11" i="2095"/>
  <c r="L11" i="2095"/>
  <c r="D11" i="2095" s="1"/>
  <c r="R6" i="2095"/>
  <c r="L6" i="2095"/>
  <c r="D6" i="2095" s="1"/>
  <c r="R5" i="2095"/>
  <c r="R4" i="2095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D35" i="2094"/>
  <c r="R34" i="2094"/>
  <c r="D34" i="2094"/>
  <c r="D54" i="2094" s="1"/>
  <c r="H14" i="2094" s="1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/>
  <c r="R19" i="2094"/>
  <c r="L19" i="2094"/>
  <c r="D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L6" i="2094"/>
  <c r="D6" i="2094" s="1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H36" i="2093"/>
  <c r="D36" i="2093"/>
  <c r="R35" i="2093"/>
  <c r="H35" i="2093"/>
  <c r="D35" i="2093"/>
  <c r="R34" i="2093"/>
  <c r="L12" i="2093" s="1"/>
  <c r="D12" i="2093" s="1"/>
  <c r="H34" i="2093"/>
  <c r="G49" i="2093" s="1"/>
  <c r="D34" i="2093"/>
  <c r="D54" i="2093" s="1"/>
  <c r="H14" i="2093" s="1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/>
  <c r="R25" i="2093"/>
  <c r="L25" i="2093"/>
  <c r="D25" i="2093" s="1"/>
  <c r="R24" i="2093"/>
  <c r="L24" i="2093"/>
  <c r="D24" i="2093"/>
  <c r="R23" i="2093"/>
  <c r="L23" i="2093"/>
  <c r="D23" i="2093"/>
  <c r="R22" i="2093"/>
  <c r="L22" i="2093"/>
  <c r="D22" i="2093"/>
  <c r="R21" i="2093"/>
  <c r="L17" i="2093" s="1"/>
  <c r="D17" i="2093" s="1"/>
  <c r="L21" i="2093"/>
  <c r="D21" i="2093"/>
  <c r="R20" i="2093"/>
  <c r="L20" i="2093"/>
  <c r="D20" i="2093"/>
  <c r="R19" i="2093"/>
  <c r="R18" i="2093"/>
  <c r="L18" i="2093"/>
  <c r="D18" i="2093" s="1"/>
  <c r="R17" i="2093"/>
  <c r="R16" i="2093"/>
  <c r="R15" i="2093"/>
  <c r="L15" i="2093"/>
  <c r="D15" i="2093"/>
  <c r="R14" i="2093"/>
  <c r="D14" i="2093"/>
  <c r="R13" i="2093"/>
  <c r="D13" i="2093"/>
  <c r="R12" i="2093"/>
  <c r="R11" i="2093"/>
  <c r="L10" i="2093"/>
  <c r="D10" i="2093"/>
  <c r="L7" i="2093"/>
  <c r="D7" i="2093"/>
  <c r="R6" i="2093"/>
  <c r="L16" i="2093" s="1"/>
  <c r="D16" i="2093" s="1"/>
  <c r="L6" i="2093"/>
  <c r="D6" i="2093"/>
  <c r="R5" i="2093"/>
  <c r="R4" i="2093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D42" i="2092"/>
  <c r="R41" i="2092"/>
  <c r="D41" i="2092"/>
  <c r="R40" i="2092"/>
  <c r="D40" i="2092"/>
  <c r="R39" i="2092"/>
  <c r="H39" i="2092"/>
  <c r="G49" i="2092" s="1"/>
  <c r="D39" i="2092"/>
  <c r="R38" i="2092"/>
  <c r="H38" i="2092"/>
  <c r="D38" i="2092"/>
  <c r="R37" i="2092"/>
  <c r="H37" i="2092"/>
  <c r="D37" i="2092"/>
  <c r="R36" i="2092"/>
  <c r="H36" i="2092"/>
  <c r="D36" i="2092"/>
  <c r="R35" i="2092"/>
  <c r="H35" i="2092"/>
  <c r="D35" i="2092"/>
  <c r="R34" i="2092"/>
  <c r="L12" i="2092" s="1"/>
  <c r="D12" i="2092" s="1"/>
  <c r="H34" i="2092"/>
  <c r="D34" i="2092"/>
  <c r="D54" i="2092" s="1"/>
  <c r="H14" i="2092" s="1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/>
  <c r="R23" i="2092"/>
  <c r="L23" i="2092"/>
  <c r="D23" i="2092" s="1"/>
  <c r="R22" i="2092"/>
  <c r="L22" i="2092"/>
  <c r="D22" i="2092"/>
  <c r="R21" i="2092"/>
  <c r="L17" i="2092" s="1"/>
  <c r="D17" i="2092" s="1"/>
  <c r="D21" i="2092"/>
  <c r="R20" i="2092"/>
  <c r="L20" i="2092"/>
  <c r="D20" i="2092"/>
  <c r="R19" i="2092"/>
  <c r="R18" i="2092"/>
  <c r="L18" i="2092"/>
  <c r="D18" i="2092"/>
  <c r="R17" i="2092"/>
  <c r="R16" i="2092"/>
  <c r="R15" i="2092"/>
  <c r="L15" i="2092"/>
  <c r="D15" i="2092"/>
  <c r="R14" i="2092"/>
  <c r="D14" i="2092"/>
  <c r="R13" i="2092"/>
  <c r="D13" i="2092"/>
  <c r="R12" i="2092"/>
  <c r="R11" i="2092"/>
  <c r="L10" i="2092"/>
  <c r="D10" i="2092"/>
  <c r="L9" i="2092"/>
  <c r="D9" i="2092"/>
  <c r="L8" i="2092"/>
  <c r="D8" i="2092" s="1"/>
  <c r="L7" i="2092"/>
  <c r="D7" i="2092"/>
  <c r="R6" i="2092"/>
  <c r="L16" i="2092" s="1"/>
  <c r="D16" i="2092" s="1"/>
  <c r="L6" i="2092"/>
  <c r="D6" i="2092" s="1"/>
  <c r="D29" i="2092" s="1"/>
  <c r="H13" i="2092" s="1"/>
  <c r="H15" i="2092" s="1"/>
  <c r="H29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D41" i="2091"/>
  <c r="R40" i="2091"/>
  <c r="D40" i="2091"/>
  <c r="R39" i="2091"/>
  <c r="H39" i="2091"/>
  <c r="D39" i="2091"/>
  <c r="R38" i="209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H35" i="2091"/>
  <c r="D35" i="2091"/>
  <c r="R34" i="2091"/>
  <c r="H34" i="2091"/>
  <c r="G49" i="2091" s="1"/>
  <c r="D34" i="2091"/>
  <c r="D54" i="2091" s="1"/>
  <c r="H14" i="2091" s="1"/>
  <c r="R33" i="2091"/>
  <c r="R32" i="2091"/>
  <c r="R31" i="2091"/>
  <c r="R30" i="2091"/>
  <c r="R29" i="2091"/>
  <c r="R28" i="2091"/>
  <c r="L28" i="2091"/>
  <c r="D28" i="209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/>
  <c r="R22" i="2091"/>
  <c r="L20" i="2091" s="1"/>
  <c r="D20" i="2091" s="1"/>
  <c r="L22" i="2091"/>
  <c r="D22" i="2091" s="1"/>
  <c r="R21" i="2091"/>
  <c r="L21" i="2091"/>
  <c r="D21" i="2091" s="1"/>
  <c r="R20" i="2091"/>
  <c r="R19" i="2091"/>
  <c r="L19" i="2091"/>
  <c r="D19" i="2091"/>
  <c r="R18" i="2091"/>
  <c r="L18" i="2091"/>
  <c r="D18" i="2091"/>
  <c r="R17" i="2091"/>
  <c r="L17" i="2091"/>
  <c r="D17" i="2091" s="1"/>
  <c r="R16" i="2091"/>
  <c r="R15" i="2091"/>
  <c r="R14" i="2091"/>
  <c r="D14" i="2091"/>
  <c r="R13" i="2091"/>
  <c r="D13" i="2091"/>
  <c r="R12" i="2091"/>
  <c r="L12" i="2091"/>
  <c r="D12" i="2091" s="1"/>
  <c r="R11" i="2091"/>
  <c r="L11" i="2091"/>
  <c r="D11" i="2091"/>
  <c r="L9" i="2091"/>
  <c r="D9" i="2091"/>
  <c r="L8" i="2091"/>
  <c r="D8" i="2091"/>
  <c r="L7" i="2091"/>
  <c r="D7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D54" i="2090" s="1"/>
  <c r="H14" i="2090" s="1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/>
  <c r="R24" i="2090"/>
  <c r="D24" i="2090"/>
  <c r="R23" i="2090"/>
  <c r="R22" i="2090"/>
  <c r="L22" i="2090"/>
  <c r="D22" i="2090"/>
  <c r="R21" i="2090"/>
  <c r="D21" i="2090"/>
  <c r="R20" i="2090"/>
  <c r="L20" i="2090"/>
  <c r="D20" i="2090" s="1"/>
  <c r="R19" i="2090"/>
  <c r="L19" i="2090"/>
  <c r="D19" i="2090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29" i="2089" s="1"/>
  <c r="H13" i="2089" s="1"/>
  <c r="H15" i="2089" s="1"/>
  <c r="H29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G49" i="2089" s="1"/>
  <c r="D34" i="2089"/>
  <c r="D54" i="2089" s="1"/>
  <c r="H14" i="2089" s="1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D54" i="2088"/>
  <c r="H14" i="2088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G49" i="2088" s="1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G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D54" i="2087" s="1"/>
  <c r="H14" i="2087" s="1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L23" i="2087"/>
  <c r="D23" i="2087"/>
  <c r="R22" i="2087"/>
  <c r="L22" i="2087"/>
  <c r="D22" i="2087"/>
  <c r="R21" i="2087"/>
  <c r="L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D29" i="2087" s="1"/>
  <c r="H13" i="2087" s="1"/>
  <c r="H15" i="2087" s="1"/>
  <c r="H29" i="2087" s="1"/>
  <c r="R5" i="2087"/>
  <c r="R4" i="2087"/>
  <c r="G51" i="2105" l="1"/>
  <c r="D29" i="2104"/>
  <c r="H13" i="2104" s="1"/>
  <c r="H15" i="2104" s="1"/>
  <c r="H29" i="2104" s="1"/>
  <c r="G51" i="2104"/>
  <c r="D29" i="2103"/>
  <c r="H13" i="2103" s="1"/>
  <c r="H15" i="2103" s="1"/>
  <c r="H29" i="2103" s="1"/>
  <c r="G51" i="2103"/>
  <c r="D29" i="2102"/>
  <c r="H13" i="2102" s="1"/>
  <c r="H15" i="2102" s="1"/>
  <c r="H29" i="2102" s="1"/>
  <c r="G51" i="2102" s="1"/>
  <c r="D29" i="2101"/>
  <c r="H13" i="2101" s="1"/>
  <c r="H15" i="2101" s="1"/>
  <c r="H29" i="2101" s="1"/>
  <c r="G51" i="2101" s="1"/>
  <c r="D29" i="2100"/>
  <c r="H13" i="2100" s="1"/>
  <c r="H15" i="2100" s="1"/>
  <c r="H29" i="2100" s="1"/>
  <c r="G51" i="2100"/>
  <c r="D29" i="2099"/>
  <c r="H13" i="2099" s="1"/>
  <c r="H15" i="2099" s="1"/>
  <c r="H29" i="2099" s="1"/>
  <c r="G51" i="2099" s="1"/>
  <c r="D29" i="2098"/>
  <c r="H13" i="2098" s="1"/>
  <c r="H15" i="2098" s="1"/>
  <c r="H29" i="2098" s="1"/>
  <c r="G51" i="2098" s="1"/>
  <c r="D29" i="2097"/>
  <c r="H13" i="2097" s="1"/>
  <c r="H15" i="2097" s="1"/>
  <c r="H29" i="2097" s="1"/>
  <c r="G51" i="2097" s="1"/>
  <c r="D29" i="2096"/>
  <c r="H13" i="2096" s="1"/>
  <c r="H15" i="2096" s="1"/>
  <c r="H29" i="2096" s="1"/>
  <c r="G51" i="2096" s="1"/>
  <c r="D29" i="2095"/>
  <c r="H13" i="2095" s="1"/>
  <c r="H15" i="2095" s="1"/>
  <c r="H29" i="2095" s="1"/>
  <c r="G51" i="2095" s="1"/>
  <c r="D29" i="2094"/>
  <c r="H13" i="2094" s="1"/>
  <c r="H15" i="2094" s="1"/>
  <c r="H29" i="2094" s="1"/>
  <c r="G51" i="2094" s="1"/>
  <c r="D29" i="2093"/>
  <c r="H13" i="2093" s="1"/>
  <c r="H15" i="2093" s="1"/>
  <c r="H29" i="2093" s="1"/>
  <c r="G51" i="2093"/>
  <c r="G51" i="2092"/>
  <c r="D29" i="2091"/>
  <c r="H13" i="2091" s="1"/>
  <c r="H15" i="2091" s="1"/>
  <c r="H29" i="2091" s="1"/>
  <c r="G51" i="2091"/>
  <c r="D29" i="2090"/>
  <c r="H13" i="2090" s="1"/>
  <c r="H15" i="2090" s="1"/>
  <c r="H29" i="2090" s="1"/>
  <c r="G51" i="2090"/>
  <c r="G51" i="2089"/>
  <c r="G51" i="2088"/>
  <c r="D29" i="2088"/>
  <c r="H13" i="2088" s="1"/>
  <c r="H15" i="2088" s="1"/>
  <c r="H29" i="2088" s="1"/>
  <c r="G51" i="2087"/>
  <c r="H26" i="2083"/>
  <c r="H16" i="2081"/>
  <c r="R52" i="2086" l="1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H36" i="2085"/>
  <c r="D36" i="2085"/>
  <c r="R35" i="2085"/>
  <c r="H35" i="2085"/>
  <c r="D35" i="2085"/>
  <c r="R34" i="2085"/>
  <c r="L12" i="2085" s="1"/>
  <c r="D12" i="2085" s="1"/>
  <c r="H34" i="2085"/>
  <c r="G49" i="2085" s="1"/>
  <c r="D34" i="2085"/>
  <c r="D54" i="2085" s="1"/>
  <c r="H14" i="2085" s="1"/>
  <c r="R33" i="2085"/>
  <c r="R32" i="2085"/>
  <c r="R31" i="2085"/>
  <c r="R30" i="2085"/>
  <c r="R29" i="2085"/>
  <c r="R28" i="2085"/>
  <c r="R27" i="2085"/>
  <c r="L27" i="2085"/>
  <c r="D27" i="2085"/>
  <c r="R26" i="2085"/>
  <c r="L26" i="2085"/>
  <c r="D26" i="2085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/>
  <c r="R21" i="2085"/>
  <c r="L17" i="2085" s="1"/>
  <c r="D17" i="2085" s="1"/>
  <c r="L21" i="2085"/>
  <c r="D21" i="2085"/>
  <c r="R20" i="2085"/>
  <c r="R19" i="2085"/>
  <c r="L19" i="2085"/>
  <c r="D19" i="2085"/>
  <c r="R18" i="2085"/>
  <c r="L18" i="2085"/>
  <c r="D18" i="2085"/>
  <c r="R17" i="2085"/>
  <c r="R16" i="2085"/>
  <c r="L16" i="2085"/>
  <c r="D16" i="2085"/>
  <c r="R15" i="2085"/>
  <c r="L15" i="2085"/>
  <c r="D15" i="2085" s="1"/>
  <c r="R14" i="2085"/>
  <c r="D14" i="2085"/>
  <c r="R13" i="2085"/>
  <c r="D13" i="2085"/>
  <c r="R12" i="2085"/>
  <c r="R11" i="2085"/>
  <c r="L11" i="2085"/>
  <c r="D11" i="2085"/>
  <c r="L10" i="2085"/>
  <c r="D10" i="2085"/>
  <c r="L7" i="2085"/>
  <c r="D7" i="2085" s="1"/>
  <c r="R6" i="2085"/>
  <c r="L6" i="2085"/>
  <c r="D6" i="2085" s="1"/>
  <c r="R5" i="2085"/>
  <c r="R4" i="2085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D40" i="2084"/>
  <c r="R39" i="2084"/>
  <c r="H39" i="2084"/>
  <c r="D39" i="2084"/>
  <c r="R38" i="2084"/>
  <c r="L9" i="2084" s="1"/>
  <c r="D9" i="2084" s="1"/>
  <c r="H38" i="2084"/>
  <c r="D38" i="2084"/>
  <c r="D54" i="2084" s="1"/>
  <c r="H14" i="2084" s="1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G49" i="2084" s="1"/>
  <c r="D35" i="2084"/>
  <c r="R34" i="2084"/>
  <c r="H34" i="2084"/>
  <c r="D34" i="2084"/>
  <c r="R33" i="2084"/>
  <c r="R32" i="2084"/>
  <c r="R31" i="2084"/>
  <c r="R30" i="2084"/>
  <c r="R29" i="2084"/>
  <c r="R28" i="2084"/>
  <c r="R27" i="2084"/>
  <c r="L27" i="2084"/>
  <c r="D27" i="2084" s="1"/>
  <c r="R26" i="2084"/>
  <c r="L26" i="2084"/>
  <c r="D26" i="2084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L19" i="2084"/>
  <c r="D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/>
  <c r="R11" i="2084"/>
  <c r="L11" i="2084"/>
  <c r="D11" i="2084" s="1"/>
  <c r="L8" i="2084"/>
  <c r="D8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D54" i="2083" s="1"/>
  <c r="H14" i="2083" s="1"/>
  <c r="R33" i="2083"/>
  <c r="R32" i="2083"/>
  <c r="R31" i="2083"/>
  <c r="R30" i="2083"/>
  <c r="R29" i="2083"/>
  <c r="R28" i="2083"/>
  <c r="L28" i="2083"/>
  <c r="D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/>
  <c r="R23" i="2083"/>
  <c r="L23" i="2083"/>
  <c r="D23" i="2083"/>
  <c r="R22" i="2083"/>
  <c r="L20" i="2083" s="1"/>
  <c r="D20" i="2083" s="1"/>
  <c r="L22" i="2083"/>
  <c r="D22" i="2083" s="1"/>
  <c r="R21" i="2083"/>
  <c r="L21" i="2083"/>
  <c r="D21" i="2083" s="1"/>
  <c r="R20" i="2083"/>
  <c r="R19" i="2083"/>
  <c r="L19" i="2083"/>
  <c r="D19" i="2083"/>
  <c r="R18" i="2083"/>
  <c r="L18" i="2083"/>
  <c r="D18" i="2083" s="1"/>
  <c r="R17" i="2083"/>
  <c r="L17" i="2083"/>
  <c r="D17" i="2083" s="1"/>
  <c r="R16" i="2083"/>
  <c r="R15" i="2083"/>
  <c r="L15" i="2083"/>
  <c r="D15" i="2083" s="1"/>
  <c r="R14" i="2083"/>
  <c r="D14" i="2083"/>
  <c r="R13" i="2083"/>
  <c r="D13" i="2083"/>
  <c r="R12" i="2083"/>
  <c r="L12" i="2083"/>
  <c r="D12" i="2083" s="1"/>
  <c r="R11" i="2083"/>
  <c r="L11" i="2083"/>
  <c r="D11" i="2083"/>
  <c r="L7" i="2083"/>
  <c r="D7" i="2083"/>
  <c r="R6" i="2083"/>
  <c r="L16" i="2083" s="1"/>
  <c r="D16" i="2083" s="1"/>
  <c r="R5" i="2083"/>
  <c r="R4" i="2083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D38" i="2082"/>
  <c r="R37" i="2082"/>
  <c r="D37" i="2082"/>
  <c r="R36" i="2082"/>
  <c r="L10" i="2082" s="1"/>
  <c r="D10" i="2082" s="1"/>
  <c r="D36" i="2082"/>
  <c r="D54" i="2082" s="1"/>
  <c r="H14" i="2082" s="1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/>
  <c r="R21" i="2082"/>
  <c r="D21" i="2082"/>
  <c r="R20" i="2082"/>
  <c r="L20" i="2082"/>
  <c r="D20" i="2082"/>
  <c r="R19" i="2082"/>
  <c r="L19" i="2082"/>
  <c r="D19" i="2082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L9" i="2082"/>
  <c r="D9" i="2082" s="1"/>
  <c r="R6" i="2082"/>
  <c r="L6" i="2082"/>
  <c r="D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2" i="2081"/>
  <c r="D22" i="2081"/>
  <c r="R21" i="2081"/>
  <c r="L17" i="2081" s="1"/>
  <c r="D17" i="2081" s="1"/>
  <c r="L21" i="2081"/>
  <c r="D21" i="2081"/>
  <c r="R20" i="2081"/>
  <c r="L20" i="2081"/>
  <c r="D20" i="2081" s="1"/>
  <c r="R19" i="2081"/>
  <c r="R18" i="2081"/>
  <c r="R17" i="2081"/>
  <c r="R16" i="2081"/>
  <c r="L16" i="2081"/>
  <c r="D16" i="2081"/>
  <c r="R15" i="2081"/>
  <c r="L15" i="2081"/>
  <c r="D15" i="2081" s="1"/>
  <c r="R14" i="2081"/>
  <c r="D14" i="2081"/>
  <c r="R13" i="2081"/>
  <c r="D13" i="2081"/>
  <c r="R12" i="2081"/>
  <c r="R11" i="2081"/>
  <c r="L11" i="2081"/>
  <c r="D11" i="2081"/>
  <c r="L10" i="2081"/>
  <c r="D10" i="2081"/>
  <c r="L9" i="2081"/>
  <c r="D9" i="2081" s="1"/>
  <c r="L7" i="2081"/>
  <c r="D7" i="2081" s="1"/>
  <c r="R6" i="2081"/>
  <c r="L6" i="2081"/>
  <c r="D6" i="2081" s="1"/>
  <c r="R5" i="2081"/>
  <c r="R4" i="208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D42" i="2080"/>
  <c r="R41" i="2080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H34" i="2080"/>
  <c r="D34" i="2080"/>
  <c r="R33" i="2080"/>
  <c r="L19" i="2080" s="1"/>
  <c r="D19" i="2080" s="1"/>
  <c r="R32" i="2080"/>
  <c r="R31" i="2080"/>
  <c r="R30" i="2080"/>
  <c r="R29" i="2080"/>
  <c r="R28" i="2080"/>
  <c r="R27" i="2080"/>
  <c r="L27" i="2080"/>
  <c r="D27" i="2080"/>
  <c r="R26" i="2080"/>
  <c r="L26" i="2080"/>
  <c r="D26" i="2080"/>
  <c r="R25" i="2080"/>
  <c r="L25" i="2080"/>
  <c r="D25" i="2080"/>
  <c r="R24" i="2080"/>
  <c r="L24" i="2080"/>
  <c r="D24" i="2080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/>
  <c r="R17" i="2080"/>
  <c r="L17" i="2080"/>
  <c r="D17" i="2080"/>
  <c r="R16" i="2080"/>
  <c r="R15" i="2080"/>
  <c r="R14" i="2080"/>
  <c r="D14" i="2080"/>
  <c r="R13" i="2080"/>
  <c r="D13" i="2080"/>
  <c r="R12" i="2080"/>
  <c r="L12" i="2080"/>
  <c r="D12" i="2080"/>
  <c r="R11" i="2080"/>
  <c r="L11" i="2080"/>
  <c r="D11" i="2080"/>
  <c r="L9" i="2080"/>
  <c r="D9" i="2080"/>
  <c r="L7" i="2080"/>
  <c r="D7" i="2080"/>
  <c r="R6" i="2080"/>
  <c r="L16" i="2080" s="1"/>
  <c r="D16" i="2080" s="1"/>
  <c r="L6" i="2080"/>
  <c r="D6" i="2080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D42" i="2079"/>
  <c r="R41" i="2079"/>
  <c r="D41" i="2079"/>
  <c r="R40" i="2079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D54" i="2079" s="1"/>
  <c r="H14" i="2079" s="1"/>
  <c r="R33" i="2079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/>
  <c r="R26" i="2079"/>
  <c r="L26" i="2079"/>
  <c r="D26" i="2079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/>
  <c r="R20" i="2079"/>
  <c r="L20" i="2079"/>
  <c r="D20" i="2079"/>
  <c r="R19" i="2079"/>
  <c r="L19" i="2079"/>
  <c r="D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/>
  <c r="L8" i="2079"/>
  <c r="D8" i="2079"/>
  <c r="L7" i="2079"/>
  <c r="D7" i="2079"/>
  <c r="R6" i="2079"/>
  <c r="L6" i="2079"/>
  <c r="D6" i="2079" s="1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D54" i="2078" s="1"/>
  <c r="H14" i="2078" s="1"/>
  <c r="R33" i="2078"/>
  <c r="R32" i="2078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/>
  <c r="R11" i="2078"/>
  <c r="L11" i="2078"/>
  <c r="D11" i="2078"/>
  <c r="L9" i="2078"/>
  <c r="D9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D44" i="2077"/>
  <c r="R42" i="2077"/>
  <c r="L6" i="2077" s="1"/>
  <c r="D6" i="2077" s="1"/>
  <c r="D42" i="2077"/>
  <c r="R41" i="2077"/>
  <c r="D41" i="2077"/>
  <c r="R40" i="2077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L28" i="2077"/>
  <c r="D28" i="2077"/>
  <c r="R27" i="2077"/>
  <c r="L27" i="2077"/>
  <c r="D27" i="2077"/>
  <c r="R26" i="2077"/>
  <c r="L26" i="2077"/>
  <c r="D26" i="2077" s="1"/>
  <c r="R25" i="2077"/>
  <c r="L25" i="2077"/>
  <c r="D25" i="2077"/>
  <c r="R24" i="2077"/>
  <c r="L24" i="2077"/>
  <c r="D24" i="2077"/>
  <c r="R23" i="2077"/>
  <c r="L23" i="2077"/>
  <c r="D23" i="2077"/>
  <c r="R22" i="2077"/>
  <c r="L20" i="2077" s="1"/>
  <c r="D20" i="2077" s="1"/>
  <c r="L22" i="2077"/>
  <c r="D22" i="2077" s="1"/>
  <c r="R21" i="2077"/>
  <c r="L21" i="2077"/>
  <c r="D21" i="2077"/>
  <c r="R20" i="2077"/>
  <c r="R19" i="2077"/>
  <c r="L19" i="2077"/>
  <c r="D19" i="2077"/>
  <c r="R18" i="2077"/>
  <c r="L18" i="2077"/>
  <c r="D18" i="2077"/>
  <c r="R17" i="2077"/>
  <c r="L17" i="2077"/>
  <c r="D17" i="2077" s="1"/>
  <c r="R16" i="2077"/>
  <c r="R15" i="2077"/>
  <c r="L15" i="2077"/>
  <c r="D15" i="2077"/>
  <c r="R14" i="2077"/>
  <c r="D14" i="2077"/>
  <c r="R13" i="2077"/>
  <c r="D13" i="2077"/>
  <c r="R12" i="2077"/>
  <c r="L12" i="2077"/>
  <c r="D12" i="2077" s="1"/>
  <c r="R11" i="2077"/>
  <c r="L8" i="2077"/>
  <c r="D8" i="2077"/>
  <c r="L7" i="2077"/>
  <c r="D7" i="2077"/>
  <c r="R6" i="2077"/>
  <c r="L16" i="2077" s="1"/>
  <c r="D16" i="2077" s="1"/>
  <c r="R5" i="2077"/>
  <c r="R4" i="2077"/>
  <c r="G49" i="2081" l="1"/>
  <c r="G49" i="2080"/>
  <c r="D54" i="2081"/>
  <c r="H14" i="2081" s="1"/>
  <c r="G49" i="2079"/>
  <c r="D29" i="2086"/>
  <c r="H13" i="2086" s="1"/>
  <c r="H15" i="2086" s="1"/>
  <c r="H29" i="2086" s="1"/>
  <c r="G51" i="2086" s="1"/>
  <c r="G49" i="2083"/>
  <c r="D29" i="2085"/>
  <c r="H13" i="2085" s="1"/>
  <c r="H15" i="2085" s="1"/>
  <c r="H29" i="2085" s="1"/>
  <c r="G51" i="2085"/>
  <c r="D29" i="2084"/>
  <c r="H13" i="2084" s="1"/>
  <c r="H15" i="2084" s="1"/>
  <c r="H29" i="2084" s="1"/>
  <c r="G51" i="2084" s="1"/>
  <c r="D29" i="2083"/>
  <c r="H13" i="2083" s="1"/>
  <c r="H15" i="2083" s="1"/>
  <c r="H29" i="2083" s="1"/>
  <c r="D29" i="2082"/>
  <c r="H13" i="2082" s="1"/>
  <c r="H15" i="2082" s="1"/>
  <c r="H29" i="2082" s="1"/>
  <c r="G51" i="2082" s="1"/>
  <c r="D54" i="2080"/>
  <c r="H14" i="2080" s="1"/>
  <c r="D29" i="2081"/>
  <c r="H13" i="2081" s="1"/>
  <c r="H15" i="2081" s="1"/>
  <c r="H29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D54" i="2076" s="1"/>
  <c r="H14" i="2076" s="1"/>
  <c r="R34" i="2076"/>
  <c r="H34" i="2076"/>
  <c r="G49" i="2076" s="1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/>
  <c r="R20" i="2076"/>
  <c r="R19" i="2076"/>
  <c r="L19" i="2076"/>
  <c r="D19" i="2076"/>
  <c r="R18" i="2076"/>
  <c r="R17" i="2076"/>
  <c r="R16" i="2076"/>
  <c r="L16" i="2076"/>
  <c r="D16" i="2076" s="1"/>
  <c r="R15" i="2076"/>
  <c r="R14" i="2076"/>
  <c r="D14" i="2076"/>
  <c r="R13" i="2076"/>
  <c r="D13" i="2076"/>
  <c r="R12" i="2076"/>
  <c r="L12" i="2076"/>
  <c r="D12" i="2076"/>
  <c r="R11" i="2076"/>
  <c r="L11" i="2076"/>
  <c r="D11" i="2076" s="1"/>
  <c r="L9" i="2076"/>
  <c r="D9" i="2076"/>
  <c r="R6" i="2076"/>
  <c r="L6" i="2076"/>
  <c r="D6" i="2076" s="1"/>
  <c r="D29" i="2076" s="1"/>
  <c r="H13" i="2076" s="1"/>
  <c r="H15" i="2076" s="1"/>
  <c r="H29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D41" i="2075"/>
  <c r="R40" i="2075"/>
  <c r="L8" i="2075" s="1"/>
  <c r="D8" i="2075" s="1"/>
  <c r="D40" i="2075"/>
  <c r="R39" i="2075"/>
  <c r="H39" i="2075"/>
  <c r="D39" i="2075"/>
  <c r="R38" i="2075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/>
  <c r="R23" i="2075"/>
  <c r="L23" i="2075"/>
  <c r="D23" i="2075"/>
  <c r="R22" i="2075"/>
  <c r="L22" i="2075"/>
  <c r="D22" i="2075"/>
  <c r="R21" i="2075"/>
  <c r="L17" i="2075" s="1"/>
  <c r="D17" i="2075" s="1"/>
  <c r="D21" i="2075"/>
  <c r="R20" i="2075"/>
  <c r="L20" i="2075"/>
  <c r="D20" i="2075" s="1"/>
  <c r="R19" i="2075"/>
  <c r="R18" i="2075"/>
  <c r="L18" i="2075"/>
  <c r="D18" i="2075" s="1"/>
  <c r="R17" i="2075"/>
  <c r="R16" i="2075"/>
  <c r="L16" i="2075"/>
  <c r="D16" i="2075"/>
  <c r="R15" i="2075"/>
  <c r="L15" i="2075"/>
  <c r="D15" i="2075" s="1"/>
  <c r="R14" i="2075"/>
  <c r="D14" i="2075"/>
  <c r="R13" i="2075"/>
  <c r="D13" i="2075"/>
  <c r="R12" i="2075"/>
  <c r="R11" i="2075"/>
  <c r="L11" i="2075"/>
  <c r="D11" i="2075"/>
  <c r="L10" i="2075"/>
  <c r="D10" i="2075"/>
  <c r="L9" i="2075"/>
  <c r="D9" i="2075"/>
  <c r="L7" i="2075"/>
  <c r="D7" i="2075"/>
  <c r="R6" i="2075"/>
  <c r="L6" i="2075"/>
  <c r="D6" i="2075"/>
  <c r="R5" i="2075"/>
  <c r="R4" i="2075"/>
  <c r="G51" i="2081" l="1"/>
  <c r="H15" i="2080"/>
  <c r="H29" i="2080" s="1"/>
  <c r="G51" i="2080" s="1"/>
  <c r="G51" i="2079"/>
  <c r="G51" i="2083"/>
  <c r="G51" i="2077"/>
  <c r="G49" i="2075"/>
  <c r="G51" i="2076"/>
  <c r="D54" i="2075"/>
  <c r="H14" i="2075" s="1"/>
  <c r="D29" i="2075"/>
  <c r="H13" i="2075" s="1"/>
  <c r="H16" i="2071"/>
  <c r="H15" i="2075" l="1"/>
  <c r="H29" i="2075" s="1"/>
  <c r="G51" i="2075" s="1"/>
  <c r="H16" i="2059"/>
  <c r="H16" i="2053" l="1"/>
  <c r="L6" i="2053"/>
  <c r="L21" i="2051" l="1"/>
  <c r="C12" i="2051"/>
  <c r="L24" i="2039" l="1"/>
  <c r="L25" i="2039"/>
  <c r="D26" i="2039"/>
  <c r="L26" i="2039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D34" i="207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G49" i="2071" l="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D21" i="205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53" l="1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53" l="1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<sst xmlns="http://schemas.openxmlformats.org/spreadsheetml/2006/main" count="10676" uniqueCount="192">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</sst>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91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88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46143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704</v>
      </c>
      <c r="D6" s="13">
        <f t="shared" ref="D6:D28" si="1">C6*L6</f>
        <v>535744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3</v>
      </c>
      <c r="D9" s="13">
        <f t="shared" si="1"/>
        <v>2199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25</v>
      </c>
      <c r="D13" s="48">
        <f t="shared" si="1"/>
        <v>7675</v>
      </c>
      <c r="F13" s="256" t="s">
        <v>36</v>
      </c>
      <c r="G13" s="220"/>
      <c r="H13" s="211">
        <f>D29</f>
        <v>545651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3</v>
      </c>
      <c r="D14" s="31">
        <f t="shared" si="1"/>
        <v>33</v>
      </c>
      <c r="F14" s="214" t="s">
        <v>38</v>
      </c>
      <c r="G14" s="215"/>
      <c r="H14" s="216">
        <f>D54</f>
        <v>100678.5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444972.5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v>3240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88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1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545651</v>
      </c>
      <c r="F29" s="128" t="s">
        <v>54</v>
      </c>
      <c r="G29" s="190"/>
      <c r="H29" s="150">
        <f>H15-H16-H17-H18-H19-H20-H22-H23-H24+H26+H27+H28</f>
        <v>441732.5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72">
        <f t="shared" ref="H34:H39" si="2">F34*G34</f>
        <v>315000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72">
        <f t="shared" si="2"/>
        <v>126000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72">
        <f t="shared" si="2"/>
        <v>500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72">
        <f t="shared" si="2"/>
        <v>150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72">
        <f t="shared" si="2"/>
        <v>20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86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88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4</v>
      </c>
      <c r="D46" s="12">
        <f>C46*1.5</f>
        <v>6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11</v>
      </c>
      <c r="D49" s="12">
        <f>C49*42</f>
        <v>462</v>
      </c>
      <c r="F49" s="148" t="s">
        <v>85</v>
      </c>
      <c r="G49" s="150">
        <f>H34+H35+H36+H37+H38+H39+H40+H41+G42+H44+H45+H46</f>
        <v>441756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22</v>
      </c>
      <c r="D50" s="12">
        <f>C50*1.5</f>
        <v>33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257" t="s">
        <v>135</v>
      </c>
      <c r="G51" s="259">
        <f>G49-H29</f>
        <v>23.5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25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46143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292</v>
      </c>
      <c r="D6" s="13">
        <f t="shared" ref="D6:D28" si="1">C6*L6</f>
        <v>222212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6</v>
      </c>
      <c r="D7" s="13">
        <f t="shared" si="1"/>
        <v>4686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7</v>
      </c>
      <c r="D9" s="13">
        <f t="shared" si="1"/>
        <v>5131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7</v>
      </c>
      <c r="D13" s="48">
        <f t="shared" si="1"/>
        <v>2149</v>
      </c>
      <c r="F13" s="256" t="s">
        <v>36</v>
      </c>
      <c r="G13" s="220"/>
      <c r="H13" s="211">
        <f>D29</f>
        <v>236796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5</v>
      </c>
      <c r="D14" s="31">
        <f t="shared" si="1"/>
        <v>55</v>
      </c>
      <c r="F14" s="214" t="s">
        <v>38</v>
      </c>
      <c r="G14" s="215"/>
      <c r="H14" s="216">
        <f>D54</f>
        <v>38545.5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198250.5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1">
        <v>1518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25"/>
      <c r="G23" s="37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>
        <v>1</v>
      </c>
      <c r="D28" s="48">
        <f t="shared" si="1"/>
        <v>811</v>
      </c>
      <c r="F28" s="91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236796</v>
      </c>
      <c r="F29" s="128" t="s">
        <v>54</v>
      </c>
      <c r="G29" s="190"/>
      <c r="H29" s="150">
        <f>H15-H16-H17-H18-H19-H20-H22-H23-H24+H26+H27</f>
        <v>196732.5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72">
        <f>F34*G34</f>
        <v>166000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72">
        <f t="shared" ref="H35:H39" si="2">F35*G35</f>
        <v>30000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72">
        <f t="shared" si="2"/>
        <v>500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4</v>
      </c>
      <c r="D42" s="12">
        <f>C42*2.25</f>
        <v>9</v>
      </c>
      <c r="F42" s="39" t="s">
        <v>78</v>
      </c>
      <c r="G42" s="172">
        <v>50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88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89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12</v>
      </c>
      <c r="D49" s="12">
        <f>C49*42</f>
        <v>504</v>
      </c>
      <c r="F49" s="148" t="s">
        <v>85</v>
      </c>
      <c r="G49" s="150">
        <f>H34+H35+H36+H37+H38+H39+H40+H41+G42+H44+H45+H46</f>
        <v>196550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16</v>
      </c>
      <c r="D50" s="12">
        <f>C50*1.5</f>
        <v>24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131</v>
      </c>
      <c r="G51" s="269">
        <f>G49-H29</f>
        <v>-182.5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46143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530</v>
      </c>
      <c r="D6" s="13">
        <f t="shared" ref="D6:D28" si="1">C6*L6</f>
        <v>403330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7</v>
      </c>
      <c r="D7" s="13">
        <f t="shared" si="1"/>
        <v>5467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56</v>
      </c>
      <c r="D9" s="13">
        <f t="shared" si="1"/>
        <v>41048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19</v>
      </c>
      <c r="D13" s="48">
        <f t="shared" si="1"/>
        <v>5833</v>
      </c>
      <c r="F13" s="256" t="s">
        <v>36</v>
      </c>
      <c r="G13" s="220"/>
      <c r="H13" s="211">
        <f>D29</f>
        <v>456978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68901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388077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1">
        <f>978+1080+708</f>
        <v>2766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1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456978</v>
      </c>
      <c r="F29" s="128" t="s">
        <v>54</v>
      </c>
      <c r="G29" s="190"/>
      <c r="H29" s="150">
        <f>H15-H16-H17-H18-H19-H20-H22-H23-H24+H26+H27</f>
        <v>385311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72">
        <f>F34*G34</f>
        <v>126000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72">
        <f>F35*G35</f>
        <v>31500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72">
        <f t="shared" si="2"/>
        <v>4600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72">
        <f t="shared" si="2"/>
        <v>150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94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88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67">
        <v>105524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67">
        <v>118301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2</v>
      </c>
      <c r="D49" s="12">
        <f>C49*42</f>
        <v>84</v>
      </c>
      <c r="F49" s="148" t="s">
        <v>85</v>
      </c>
      <c r="G49" s="150">
        <f>H34+H35+H36+H37+H38+H39+H40+H41+G42+H44+H45+H46</f>
        <v>386169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858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99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1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46144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786</v>
      </c>
      <c r="D6" s="13">
        <f t="shared" ref="D6:D28" si="1">C6*L6</f>
        <v>598146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2</v>
      </c>
      <c r="D7" s="13">
        <f t="shared" si="1"/>
        <v>1562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7</v>
      </c>
      <c r="D9" s="13">
        <f t="shared" si="1"/>
        <v>5131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>
        <v>2</v>
      </c>
      <c r="D10" s="13">
        <f t="shared" si="1"/>
        <v>2064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f>15+2</f>
        <v>17</v>
      </c>
      <c r="D12" s="48">
        <f t="shared" si="1"/>
        <v>16864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22</v>
      </c>
      <c r="D13" s="48">
        <f t="shared" si="1"/>
        <v>6754</v>
      </c>
      <c r="F13" s="256" t="s">
        <v>36</v>
      </c>
      <c r="G13" s="220"/>
      <c r="H13" s="211">
        <f>D29</f>
        <v>635011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84996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>
        <v>2</v>
      </c>
      <c r="D15" s="31">
        <f t="shared" si="1"/>
        <v>1240</v>
      </c>
      <c r="F15" s="219" t="s">
        <v>39</v>
      </c>
      <c r="G15" s="220"/>
      <c r="H15" s="221">
        <f>H13-H14</f>
        <v>550015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1">
        <f>2694+300+522</f>
        <v>3516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9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635011</v>
      </c>
      <c r="F29" s="128" t="s">
        <v>54</v>
      </c>
      <c r="G29" s="190"/>
      <c r="H29" s="150">
        <f>H15-H16-H17-H18-H19-H20-H22-H23-H24+H26+H27</f>
        <v>546499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72">
        <f>F34*G34</f>
        <v>182000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72">
        <f>F35*G35</f>
        <v>29500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72">
        <f t="shared" si="2"/>
        <v>1400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1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1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67">
        <v>296674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67">
        <v>32658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67">
        <v>4250</v>
      </c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14</v>
      </c>
      <c r="D49" s="12">
        <f>C49*42</f>
        <v>588</v>
      </c>
      <c r="F49" s="148" t="s">
        <v>85</v>
      </c>
      <c r="G49" s="150">
        <f>H34+H35+H36+H37+H38+H39+H40+H41+G42+H44+H45+H46</f>
        <v>546483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140</v>
      </c>
      <c r="G51" s="269">
        <f>G49-H29</f>
        <v>-16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96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46146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344</v>
      </c>
      <c r="D6" s="13">
        <f t="shared" ref="D6:D28" si="1">C6*L6</f>
        <v>261784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9</v>
      </c>
      <c r="D7" s="13">
        <f t="shared" si="1"/>
        <v>7029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25</v>
      </c>
      <c r="D9" s="13">
        <f t="shared" si="1"/>
        <v>18325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v>2</v>
      </c>
      <c r="D12" s="48">
        <f t="shared" si="1"/>
        <v>1984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3</v>
      </c>
      <c r="D13" s="48">
        <f t="shared" si="1"/>
        <v>921</v>
      </c>
      <c r="F13" s="256" t="s">
        <v>36</v>
      </c>
      <c r="G13" s="220"/>
      <c r="H13" s="211">
        <f>D29</f>
        <v>290296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23</v>
      </c>
      <c r="D14" s="31">
        <f t="shared" si="1"/>
        <v>253</v>
      </c>
      <c r="F14" s="214" t="s">
        <v>38</v>
      </c>
      <c r="G14" s="215"/>
      <c r="H14" s="216">
        <f>D54</f>
        <v>42017.25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248278.75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>
        <v>200</v>
      </c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93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290296</v>
      </c>
      <c r="F29" s="128" t="s">
        <v>54</v>
      </c>
      <c r="G29" s="190"/>
      <c r="H29" s="150">
        <f>H15-H16-H17-H18-H19-H20-H22-H23-H24+H26+H27+H28</f>
        <v>248078.75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72">
        <f t="shared" ref="H34:H39" si="2">F34*G34</f>
        <v>131000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72">
        <f t="shared" si="2"/>
        <v>37000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72">
        <f t="shared" si="2"/>
        <v>4700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72">
        <f t="shared" si="2"/>
        <v>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2">
        <v>45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67">
        <v>65000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67">
        <v>2600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67">
        <v>9750</v>
      </c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</v>
      </c>
      <c r="D49" s="12">
        <f>C49*42</f>
        <v>42</v>
      </c>
      <c r="F49" s="148" t="s">
        <v>85</v>
      </c>
      <c r="G49" s="150">
        <f>H34+H35+H36+H37+H38+H39+H40+H41+G42+H44+H45+H46</f>
        <v>250145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22</v>
      </c>
      <c r="D50" s="12">
        <f>C50*1.5</f>
        <v>33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257" t="s">
        <v>142</v>
      </c>
      <c r="G51" s="259">
        <f>G49-H29</f>
        <v>2066.25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25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46146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344</v>
      </c>
      <c r="D6" s="13">
        <f t="shared" ref="D6:D28" si="1">C6*L6</f>
        <v>261784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5</v>
      </c>
      <c r="D7" s="13">
        <f t="shared" si="1"/>
        <v>3905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21</v>
      </c>
      <c r="D9" s="13">
        <f t="shared" si="1"/>
        <v>15393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12</v>
      </c>
      <c r="D13" s="48">
        <f t="shared" si="1"/>
        <v>3684</v>
      </c>
      <c r="F13" s="256" t="s">
        <v>36</v>
      </c>
      <c r="G13" s="220"/>
      <c r="H13" s="211">
        <f>D29</f>
        <v>285008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22</v>
      </c>
      <c r="D14" s="31">
        <f t="shared" si="1"/>
        <v>242</v>
      </c>
      <c r="F14" s="214" t="s">
        <v>38</v>
      </c>
      <c r="G14" s="215"/>
      <c r="H14" s="216">
        <f>D54</f>
        <v>42628.5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242379.5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v>1296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25"/>
      <c r="G23" s="37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285008</v>
      </c>
      <c r="F29" s="128" t="s">
        <v>54</v>
      </c>
      <c r="G29" s="190"/>
      <c r="H29" s="150">
        <f>H15-H16-H17-H18-H19-H20-H22-H23-H24+H26+H27</f>
        <v>241083.5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72">
        <f>F34*G34</f>
        <v>221000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72">
        <f t="shared" ref="H35:H39" si="2">F35*G35</f>
        <v>18500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72">
        <f t="shared" si="2"/>
        <v>200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72">
        <f t="shared" si="2"/>
        <v>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72">
        <f t="shared" si="2"/>
        <v>40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67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94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11</v>
      </c>
      <c r="D49" s="12">
        <f>C49*42</f>
        <v>462</v>
      </c>
      <c r="F49" s="148" t="s">
        <v>85</v>
      </c>
      <c r="G49" s="150">
        <f>H34+H35+H36+H37+H38+H39+H40+H41+G42+H44+H45+H46</f>
        <v>239857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3</v>
      </c>
      <c r="D50" s="12">
        <f>C50*1.5</f>
        <v>4.5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131</v>
      </c>
      <c r="G51" s="269">
        <f>G49-H29</f>
        <v>-1226.5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46146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484</v>
      </c>
      <c r="D6" s="13">
        <f t="shared" ref="D6:D28" si="1">C6*L6</f>
        <v>368324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11</v>
      </c>
      <c r="D7" s="13">
        <f t="shared" si="1"/>
        <v>8591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58</v>
      </c>
      <c r="D9" s="13">
        <f t="shared" si="1"/>
        <v>42514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>
        <v>2</v>
      </c>
      <c r="D10" s="13">
        <f t="shared" si="1"/>
        <v>2064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16</v>
      </c>
      <c r="D13" s="48">
        <f t="shared" si="1"/>
        <v>4912</v>
      </c>
      <c r="F13" s="256" t="s">
        <v>36</v>
      </c>
      <c r="G13" s="220"/>
      <c r="H13" s="211">
        <f>D29</f>
        <v>426537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12</v>
      </c>
      <c r="D14" s="31">
        <f t="shared" si="1"/>
        <v>132</v>
      </c>
      <c r="F14" s="214" t="s">
        <v>38</v>
      </c>
      <c r="G14" s="215"/>
      <c r="H14" s="216">
        <f>D54</f>
        <v>63285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363252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f>1296+300+732</f>
        <v>2328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>
        <v>50</v>
      </c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426537</v>
      </c>
      <c r="F29" s="128" t="s">
        <v>54</v>
      </c>
      <c r="G29" s="190"/>
      <c r="H29" s="150">
        <f>H15-H16-H17-H18-H19-H20-H22-H23-H24+H26+H27</f>
        <v>360874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72">
        <f>F34*G34</f>
        <v>177000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72">
        <f>F35*G35</f>
        <v>100500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72">
        <f t="shared" si="2"/>
        <v>5100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72">
        <f t="shared" si="2"/>
        <v>600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8</v>
      </c>
      <c r="D42" s="12">
        <f>C42*2.25</f>
        <v>18</v>
      </c>
      <c r="F42" s="39" t="s">
        <v>78</v>
      </c>
      <c r="G42" s="172">
        <v>101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67">
        <v>79565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</v>
      </c>
      <c r="D49" s="12">
        <f>C49*42</f>
        <v>42</v>
      </c>
      <c r="F49" s="148" t="s">
        <v>85</v>
      </c>
      <c r="G49" s="150">
        <f>H34+H35+H36+H37+H38+H39+H40+H41+G42+H44+H45+H46</f>
        <v>362866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13</v>
      </c>
      <c r="D50" s="12">
        <f>C50*1.5</f>
        <v>19.5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1992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96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46147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458</v>
      </c>
      <c r="D6" s="13">
        <f t="shared" ref="D6:D28" si="1">C6*L6</f>
        <v>348538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12</v>
      </c>
      <c r="D7" s="13">
        <f t="shared" si="1"/>
        <v>9372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108</v>
      </c>
      <c r="D9" s="13">
        <f t="shared" si="1"/>
        <v>79164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>
        <v>7</v>
      </c>
      <c r="D10" s="13">
        <f t="shared" si="1"/>
        <v>7224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f>6+5+2</f>
        <v>13</v>
      </c>
      <c r="D12" s="48">
        <f t="shared" si="1"/>
        <v>12896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5</v>
      </c>
      <c r="D13" s="48">
        <f t="shared" si="1"/>
        <v>1535</v>
      </c>
      <c r="F13" s="256" t="s">
        <v>36</v>
      </c>
      <c r="G13" s="220"/>
      <c r="H13" s="211">
        <f>D29</f>
        <v>470610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6</v>
      </c>
      <c r="D14" s="31">
        <f t="shared" si="1"/>
        <v>66</v>
      </c>
      <c r="F14" s="214" t="s">
        <v>38</v>
      </c>
      <c r="G14" s="215"/>
      <c r="H14" s="216">
        <f>D54</f>
        <v>69966.75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>
        <v>1</v>
      </c>
      <c r="D15" s="31">
        <f t="shared" si="1"/>
        <v>620</v>
      </c>
      <c r="F15" s="219" t="s">
        <v>39</v>
      </c>
      <c r="G15" s="220"/>
      <c r="H15" s="221">
        <f>H13-H14</f>
        <v>400643.25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1">
        <v>2682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81">
        <v>200</v>
      </c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97">
        <v>92804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67">
        <v>83980</v>
      </c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93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>
        <v>8</v>
      </c>
      <c r="D28" s="48">
        <f t="shared" si="1"/>
        <v>6488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470610</v>
      </c>
      <c r="F29" s="128" t="s">
        <v>54</v>
      </c>
      <c r="G29" s="190"/>
      <c r="H29" s="150">
        <f>H15-H16-H17-H18-H19-H20-H22-H23-H24+H26+H27+H28</f>
        <v>388937.25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72">
        <f t="shared" ref="H34:H39" si="2">F34*G34</f>
        <v>6000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72">
        <f t="shared" si="2"/>
        <v>1000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67">
        <v>294438.25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67">
        <v>83980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17</v>
      </c>
      <c r="D46" s="12">
        <f>C46*1.5</f>
        <v>25.5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385418.25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6</v>
      </c>
      <c r="D50" s="12">
        <f>C50*1.5</f>
        <v>9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109</v>
      </c>
      <c r="G51" s="269">
        <f>G49-H29</f>
        <v>-3519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46147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414</v>
      </c>
      <c r="D6" s="13">
        <f t="shared" ref="D6:D28" si="1">C6*L6</f>
        <v>315054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11</v>
      </c>
      <c r="D7" s="13">
        <f t="shared" si="1"/>
        <v>8591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59</v>
      </c>
      <c r="D9" s="13">
        <f t="shared" si="1"/>
        <v>43247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12</v>
      </c>
      <c r="D13" s="48">
        <f t="shared" si="1"/>
        <v>3684</v>
      </c>
      <c r="F13" s="256" t="s">
        <v>36</v>
      </c>
      <c r="G13" s="220"/>
      <c r="H13" s="211">
        <f>D29</f>
        <v>371226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57882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313344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1">
        <v>2676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25"/>
      <c r="G23" s="37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371226</v>
      </c>
      <c r="F29" s="128" t="s">
        <v>54</v>
      </c>
      <c r="G29" s="190"/>
      <c r="H29" s="150">
        <f>H15-H16-H17-H18-H19-H20-H22-H23-H24+H26+H27</f>
        <v>310668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72">
        <f>F34*G34</f>
        <v>21000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72">
        <f t="shared" ref="H35:H39" si="2">F35*G35</f>
        <v>2000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72">
        <f t="shared" si="2"/>
        <v>300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4</v>
      </c>
      <c r="D42" s="12">
        <f>C42*2.25</f>
        <v>9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67">
        <v>159300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67">
        <v>128857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94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4</v>
      </c>
      <c r="D49" s="12">
        <f>C49*42</f>
        <v>168</v>
      </c>
      <c r="F49" s="148" t="s">
        <v>85</v>
      </c>
      <c r="G49" s="150">
        <f>H34+H35+H36+H37+H38+H39+H40+H41+G42+H44+H45+H46</f>
        <v>311457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11</v>
      </c>
      <c r="D50" s="12">
        <f>C50*1.5</f>
        <v>16.5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112</v>
      </c>
      <c r="G51" s="158">
        <f>G49-H29</f>
        <v>789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46147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542</v>
      </c>
      <c r="D6" s="13">
        <f t="shared" ref="D6:D28" si="1">C6*L6</f>
        <v>412462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12</v>
      </c>
      <c r="D7" s="13">
        <f t="shared" si="1"/>
        <v>9372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72</v>
      </c>
      <c r="D9" s="13">
        <f t="shared" si="1"/>
        <v>52776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>
        <v>2</v>
      </c>
      <c r="D10" s="13">
        <f t="shared" si="1"/>
        <v>2064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21</v>
      </c>
      <c r="D13" s="48">
        <f t="shared" si="1"/>
        <v>6447</v>
      </c>
      <c r="F13" s="256" t="s">
        <v>36</v>
      </c>
      <c r="G13" s="220"/>
      <c r="H13" s="211">
        <f>D29</f>
        <v>518703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12</v>
      </c>
      <c r="D14" s="31">
        <f t="shared" si="1"/>
        <v>132</v>
      </c>
      <c r="F14" s="214" t="s">
        <v>38</v>
      </c>
      <c r="G14" s="215"/>
      <c r="H14" s="216">
        <f>D54</f>
        <v>77449.5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>
        <f>5+5</f>
        <v>10</v>
      </c>
      <c r="D15" s="31">
        <f t="shared" si="1"/>
        <v>6200</v>
      </c>
      <c r="F15" s="219" t="s">
        <v>39</v>
      </c>
      <c r="G15" s="220"/>
      <c r="H15" s="221">
        <f>H13-H14</f>
        <v>441253.5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81">
        <f>612+1656+1092</f>
        <v>3360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518703</v>
      </c>
      <c r="F29" s="128" t="s">
        <v>54</v>
      </c>
      <c r="G29" s="190"/>
      <c r="H29" s="150">
        <f>H15-H16-H17-H18-H19-H20-H22-H23-H24+H26+H27</f>
        <v>437893.5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72">
        <f>F34*G34</f>
        <v>61000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72">
        <f>F35*G35</f>
        <v>3000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72">
        <f t="shared" si="2"/>
        <v>700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72">
        <f t="shared" si="2"/>
        <v>150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58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67">
        <v>61578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67">
        <v>193355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67">
        <v>118134</v>
      </c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437975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81.5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96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46148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253</v>
      </c>
      <c r="D6" s="13">
        <f t="shared" ref="D6:D28" si="1">C6*L6</f>
        <v>192533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10</v>
      </c>
      <c r="D7" s="13">
        <f t="shared" si="1"/>
        <v>7810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>
        <v>67</v>
      </c>
      <c r="D8" s="13">
        <f t="shared" si="1"/>
        <v>73231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22</v>
      </c>
      <c r="D9" s="13">
        <f t="shared" si="1"/>
        <v>16126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>
        <v>4</v>
      </c>
      <c r="D10" s="13">
        <f t="shared" si="1"/>
        <v>4128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f>3+1</f>
        <v>4</v>
      </c>
      <c r="D12" s="48">
        <f t="shared" si="1"/>
        <v>3968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3</v>
      </c>
      <c r="D13" s="48">
        <f t="shared" si="1"/>
        <v>921</v>
      </c>
      <c r="F13" s="256" t="s">
        <v>36</v>
      </c>
      <c r="G13" s="220"/>
      <c r="H13" s="211">
        <f>D29</f>
        <v>302093.91666666669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18</v>
      </c>
      <c r="D14" s="31">
        <f t="shared" si="1"/>
        <v>198</v>
      </c>
      <c r="F14" s="214" t="s">
        <v>38</v>
      </c>
      <c r="G14" s="215"/>
      <c r="H14" s="216">
        <f>D54</f>
        <v>40819.5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>
        <f>1+1</f>
        <v>2</v>
      </c>
      <c r="D15" s="31">
        <f t="shared" si="1"/>
        <v>1240</v>
      </c>
      <c r="F15" s="219" t="s">
        <v>39</v>
      </c>
      <c r="G15" s="220"/>
      <c r="H15" s="221">
        <f>H13-H14</f>
        <v>261274.41666666669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97">
        <v>70631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161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93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302093.91666666669</v>
      </c>
      <c r="F29" s="128" t="s">
        <v>54</v>
      </c>
      <c r="G29" s="190"/>
      <c r="H29" s="150">
        <f>H15-H16-H17-H18-H19-H20-H22-H23-H24+H26+H27+H28</f>
        <v>190643.41666666669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72">
        <f t="shared" ref="H34:H39" si="2">F34*G34</f>
        <v>138000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72">
        <f t="shared" si="2"/>
        <v>36000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72">
        <f t="shared" si="2"/>
        <v>200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72">
        <f t="shared" si="2"/>
        <v>700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72">
        <f t="shared" si="2"/>
        <v>40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6</v>
      </c>
      <c r="D42" s="12">
        <f>C42*2.25</f>
        <v>13.5</v>
      </c>
      <c r="F42" s="39" t="s">
        <v>78</v>
      </c>
      <c r="G42" s="172">
        <v>117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67">
        <v>10000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 t="s">
        <v>137</v>
      </c>
      <c r="G45" s="62"/>
      <c r="H45" s="167">
        <v>7230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192287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6</v>
      </c>
      <c r="D50" s="12">
        <f>C50*1.5</f>
        <v>9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1643.5833333333139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46148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368</v>
      </c>
      <c r="D6" s="13">
        <f t="shared" ref="D6:D28" si="1">C6*L6</f>
        <v>280048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10</v>
      </c>
      <c r="D7" s="13">
        <f t="shared" si="1"/>
        <v>7810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54</v>
      </c>
      <c r="D9" s="13">
        <f t="shared" si="1"/>
        <v>39582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13</v>
      </c>
      <c r="D13" s="48">
        <f t="shared" si="1"/>
        <v>3991</v>
      </c>
      <c r="F13" s="256" t="s">
        <v>36</v>
      </c>
      <c r="G13" s="220"/>
      <c r="H13" s="211">
        <f>D29</f>
        <v>331431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48594.75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282836.25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v>2076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25"/>
      <c r="G23" s="37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331431</v>
      </c>
      <c r="F29" s="128" t="s">
        <v>54</v>
      </c>
      <c r="G29" s="190"/>
      <c r="H29" s="150">
        <f>H15-H16-H17-H18-H19-H20-H22-H23-H24+H26+H27</f>
        <v>280760.25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72">
        <f>F34*G34</f>
        <v>227000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72">
        <f t="shared" ref="H35:H39" si="2">F35*G35</f>
        <v>53500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72">
        <f t="shared" si="2"/>
        <v>200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2">
        <f t="shared" si="2"/>
        <v>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2">
        <v>28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94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10</v>
      </c>
      <c r="D49" s="12">
        <f>C49*42</f>
        <v>420</v>
      </c>
      <c r="F49" s="148" t="s">
        <v>85</v>
      </c>
      <c r="G49" s="150">
        <f>H34+H35+H36+H37+H38+H39+H40+H41+G42+H44+H45+H46</f>
        <v>280778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112</v>
      </c>
      <c r="G51" s="158">
        <f>G49-H29</f>
        <v>17.75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46148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331</v>
      </c>
      <c r="D6" s="13">
        <f t="shared" ref="D6:D28" si="1">C6*L6</f>
        <v>251891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10</v>
      </c>
      <c r="D7" s="13">
        <f t="shared" si="1"/>
        <v>7810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58</v>
      </c>
      <c r="D9" s="13">
        <f t="shared" si="1"/>
        <v>42514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>
        <v>6</v>
      </c>
      <c r="D10" s="13">
        <f t="shared" si="1"/>
        <v>6192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v>2</v>
      </c>
      <c r="D12" s="48">
        <f t="shared" si="1"/>
        <v>1984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11</v>
      </c>
      <c r="D13" s="48">
        <f t="shared" si="1"/>
        <v>3377</v>
      </c>
      <c r="F13" s="256" t="s">
        <v>36</v>
      </c>
      <c r="G13" s="220"/>
      <c r="H13" s="211">
        <f>D29</f>
        <v>324737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15</v>
      </c>
      <c r="D14" s="31">
        <f t="shared" si="1"/>
        <v>165</v>
      </c>
      <c r="F14" s="214" t="s">
        <v>38</v>
      </c>
      <c r="G14" s="215"/>
      <c r="H14" s="216">
        <f>D54</f>
        <v>48459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276278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81">
        <f>690+612+888</f>
        <v>2190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76">
        <v>50</v>
      </c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324737</v>
      </c>
      <c r="F29" s="128" t="s">
        <v>54</v>
      </c>
      <c r="G29" s="190"/>
      <c r="H29" s="150">
        <f>H15-H16-H17-H18-H19-H20-H22-H23-H24+H26+H27</f>
        <v>274038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72">
        <f>F34*G34</f>
        <v>126000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2">
        <f>F35*G35</f>
        <v>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72">
        <f t="shared" si="2"/>
        <v>100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2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67">
        <v>79238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67">
        <v>68148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273988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8</v>
      </c>
      <c r="D50" s="12">
        <f>C50*1.5</f>
        <v>12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109</v>
      </c>
      <c r="G51" s="269">
        <f>G49-H29</f>
        <v>-50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96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46149</v>
      </c>
      <c r="J4" s="232"/>
      <c r="K4" s="21"/>
      <c r="L4" s="11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467</v>
      </c>
      <c r="D6" s="13">
        <f t="shared" ref="D6:D28" si="1">C6*L6</f>
        <v>355387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48</v>
      </c>
      <c r="D7" s="13">
        <f t="shared" si="1"/>
        <v>37488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15</v>
      </c>
      <c r="D9" s="13">
        <f t="shared" si="1"/>
        <v>10995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5</v>
      </c>
      <c r="D13" s="48">
        <f t="shared" si="1"/>
        <v>1535</v>
      </c>
      <c r="F13" s="256" t="s">
        <v>36</v>
      </c>
      <c r="G13" s="220"/>
      <c r="H13" s="211">
        <f>D29</f>
        <v>405449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4</v>
      </c>
      <c r="D14" s="31">
        <f>C14*L14</f>
        <v>44</v>
      </c>
      <c r="F14" s="214" t="s">
        <v>38</v>
      </c>
      <c r="G14" s="215"/>
      <c r="H14" s="216">
        <f>D54</f>
        <v>70817.25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334631.75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v>2880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93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405449</v>
      </c>
      <c r="F29" s="128" t="s">
        <v>54</v>
      </c>
      <c r="G29" s="190"/>
      <c r="H29" s="150">
        <f>H15-H16-H17-H18-H19-H20-H22-H23-H24+H26+H27+H28</f>
        <v>331751.75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72">
        <f t="shared" ref="H34:H39" si="2">F34*G34</f>
        <v>11000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72">
        <f t="shared" si="2"/>
        <v>3000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72">
        <f t="shared" si="2"/>
        <v>700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72">
        <f t="shared" si="2"/>
        <v>100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72">
        <f t="shared" si="2"/>
        <v>20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2">
        <v>103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67">
        <v>306035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67">
        <v>10505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69</v>
      </c>
      <c r="D49" s="12">
        <f>C49*42</f>
        <v>2898</v>
      </c>
      <c r="F49" s="148" t="s">
        <v>85</v>
      </c>
      <c r="G49" s="150">
        <f>H34+H35+H36+H37+H38+H39+H40+H41+G42+H44+H45+H46</f>
        <v>331463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109</v>
      </c>
      <c r="G51" s="269">
        <f>G49-H29</f>
        <v>-288.75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46149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67">
        <v>70631</v>
      </c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13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11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H15-H16-H17-H18-H19-H20-H22-H23-H24+H26+H27+H28</f>
        <v>70631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72">
        <f t="shared" ref="H34:H39" si="2">F34*G34</f>
        <v>70000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2">
        <f t="shared" si="2"/>
        <v>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72">
        <f t="shared" si="2"/>
        <v>100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31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1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70631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46149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283</v>
      </c>
      <c r="D6" s="13">
        <f t="shared" ref="D6:D28" si="1">C6*L6</f>
        <v>215363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9</v>
      </c>
      <c r="D7" s="13">
        <f t="shared" si="1"/>
        <v>7029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23</v>
      </c>
      <c r="D9" s="13">
        <f t="shared" si="1"/>
        <v>16859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10</v>
      </c>
      <c r="D13" s="48">
        <f t="shared" si="1"/>
        <v>3070</v>
      </c>
      <c r="F13" s="256" t="s">
        <v>36</v>
      </c>
      <c r="G13" s="220"/>
      <c r="H13" s="211">
        <f>D29</f>
        <v>242941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33151.5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>
        <v>1</v>
      </c>
      <c r="D15" s="31">
        <f t="shared" si="1"/>
        <v>620</v>
      </c>
      <c r="F15" s="219" t="s">
        <v>39</v>
      </c>
      <c r="G15" s="220"/>
      <c r="H15" s="221">
        <f>H13-H14</f>
        <v>209789.5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25"/>
      <c r="G23" s="37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242941</v>
      </c>
      <c r="F29" s="128" t="s">
        <v>54</v>
      </c>
      <c r="G29" s="190"/>
      <c r="H29" s="150">
        <f>H15-H16-H17-H18-H19-H20-H22-H23-H24+H26+H27</f>
        <v>209789.5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72">
        <f>F34*G34</f>
        <v>179000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72">
        <f t="shared" ref="H35:H39" si="2">F35*G35</f>
        <v>22000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72">
        <f t="shared" si="2"/>
        <v>4500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6</v>
      </c>
      <c r="D42" s="12">
        <f>C42*2.25</f>
        <v>13.5</v>
      </c>
      <c r="F42" s="39" t="s">
        <v>78</v>
      </c>
      <c r="G42" s="172">
        <v>295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94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205795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8</v>
      </c>
      <c r="D50" s="12">
        <f>C50*1.5</f>
        <v>12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131</v>
      </c>
      <c r="G51" s="269">
        <f>G49-H29</f>
        <v>-3994.5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46149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399</v>
      </c>
      <c r="D6" s="13">
        <f t="shared" ref="D6:D28" si="1">C6*L6</f>
        <v>303639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42</v>
      </c>
      <c r="D7" s="13">
        <f t="shared" si="1"/>
        <v>32802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10</v>
      </c>
      <c r="D9" s="13">
        <f t="shared" si="1"/>
        <v>7330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>
        <v>1</v>
      </c>
      <c r="D10" s="13">
        <f t="shared" si="1"/>
        <v>1032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17</v>
      </c>
      <c r="D13" s="48">
        <f t="shared" si="1"/>
        <v>5219</v>
      </c>
      <c r="F13" s="256" t="s">
        <v>36</v>
      </c>
      <c r="G13" s="220"/>
      <c r="H13" s="211">
        <f>D29</f>
        <v>355053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19</v>
      </c>
      <c r="D14" s="31">
        <f t="shared" si="1"/>
        <v>209</v>
      </c>
      <c r="F14" s="214" t="s">
        <v>38</v>
      </c>
      <c r="G14" s="215"/>
      <c r="H14" s="216">
        <f>D54</f>
        <v>51516.75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>
        <f>3+3</f>
        <v>6</v>
      </c>
      <c r="D15" s="31">
        <f t="shared" si="1"/>
        <v>3720</v>
      </c>
      <c r="F15" s="219" t="s">
        <v>39</v>
      </c>
      <c r="G15" s="220"/>
      <c r="H15" s="221">
        <f>H13-H14</f>
        <v>303536.25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f>1044+648+336</f>
        <v>2028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355053</v>
      </c>
      <c r="F29" s="128" t="s">
        <v>54</v>
      </c>
      <c r="G29" s="190"/>
      <c r="H29" s="150">
        <f>H15-H16-H17-H18-H19-H20-H22-H23-H24+H26+H27</f>
        <v>301508.25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72">
        <f>F34*G34</f>
        <v>90000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72">
        <f>F35*G35</f>
        <v>19000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72">
        <f t="shared" si="2"/>
        <v>4900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72">
        <f t="shared" si="2"/>
        <v>350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2">
        <v>28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167">
        <v>116753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167">
        <v>70468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9</v>
      </c>
      <c r="D46" s="12">
        <f>C46*1.5</f>
        <v>13.5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</v>
      </c>
      <c r="D49" s="12">
        <f>C49*42</f>
        <v>42</v>
      </c>
      <c r="F49" s="148" t="s">
        <v>85</v>
      </c>
      <c r="G49" s="150">
        <f>H34+H35+H36+H37+H38+H39+H40+H41+G42+H44+H45+H46</f>
        <v>301499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12</v>
      </c>
      <c r="D50" s="12">
        <f>C50*1.5</f>
        <v>18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109</v>
      </c>
      <c r="G51" s="269">
        <f>G49-H29</f>
        <v>-9.25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96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46150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93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H15-H16-H17-H18-H19-H20-H22-H23-H24+H26+H27+H28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2">
        <f t="shared" ref="H34:H39" si="2"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 t="shared" si="2"/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109</v>
      </c>
      <c r="G51" s="269">
        <f>G49-H29</f>
        <v>0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46150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298</v>
      </c>
      <c r="D6" s="13">
        <f t="shared" ref="D6:D28" si="1">C6*L6</f>
        <v>226778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3</v>
      </c>
      <c r="D7" s="13">
        <f t="shared" si="1"/>
        <v>2343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24</v>
      </c>
      <c r="D9" s="13">
        <f t="shared" si="1"/>
        <v>17592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v>1</v>
      </c>
      <c r="D12" s="48">
        <f t="shared" si="1"/>
        <v>992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9</v>
      </c>
      <c r="D13" s="48">
        <f t="shared" si="1"/>
        <v>2763</v>
      </c>
      <c r="F13" s="256" t="s">
        <v>36</v>
      </c>
      <c r="G13" s="220"/>
      <c r="H13" s="211">
        <f>D29</f>
        <v>257721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9</v>
      </c>
      <c r="D14" s="31">
        <f t="shared" si="1"/>
        <v>99</v>
      </c>
      <c r="F14" s="214" t="s">
        <v>38</v>
      </c>
      <c r="G14" s="215"/>
      <c r="H14" s="216">
        <f>D54</f>
        <v>24684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233037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81">
        <v>1140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25"/>
      <c r="G23" s="37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257721</v>
      </c>
      <c r="F29" s="128" t="s">
        <v>54</v>
      </c>
      <c r="G29" s="190"/>
      <c r="H29" s="150">
        <f>H15-H16-H17-H18-H19-H20-H22-H23-H24+H26+H27</f>
        <v>231897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72">
        <f>F34*G34</f>
        <v>48000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72">
        <f t="shared" ref="H35:H39" si="2">F35*G35</f>
        <v>42000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72">
        <f>F36*G36</f>
        <v>200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24</v>
      </c>
      <c r="D42" s="12">
        <f>C42*2.25</f>
        <v>54</v>
      </c>
      <c r="F42" s="39" t="s">
        <v>78</v>
      </c>
      <c r="G42" s="172">
        <v>30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67">
        <v>144012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6</v>
      </c>
      <c r="D46" s="12">
        <f>C46*1.5</f>
        <v>9</v>
      </c>
      <c r="F46" s="37"/>
      <c r="G46" s="94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7</v>
      </c>
      <c r="D49" s="12">
        <f>C49*42</f>
        <v>294</v>
      </c>
      <c r="F49" s="148" t="s">
        <v>85</v>
      </c>
      <c r="G49" s="150">
        <f>H34+H35+H36+H37+H38+H39+H40+H41+G42+H44+H45+H46</f>
        <v>234242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10</v>
      </c>
      <c r="D50" s="12">
        <f>C50*1.5</f>
        <v>15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112</v>
      </c>
      <c r="G51" s="158">
        <f>G49-H29</f>
        <v>2345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46150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471</v>
      </c>
      <c r="D6" s="13">
        <f t="shared" ref="D6:D28" si="1">C6*L6</f>
        <v>358431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20</v>
      </c>
      <c r="D7" s="13">
        <f t="shared" si="1"/>
        <v>15620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>
        <v>1</v>
      </c>
      <c r="D8" s="13">
        <f t="shared" si="1"/>
        <v>1093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40</v>
      </c>
      <c r="D9" s="13">
        <f t="shared" si="1"/>
        <v>29320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>
        <v>2</v>
      </c>
      <c r="D10" s="13">
        <f t="shared" si="1"/>
        <v>2064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15</v>
      </c>
      <c r="D13" s="48">
        <f t="shared" si="1"/>
        <v>4605</v>
      </c>
      <c r="F13" s="256" t="s">
        <v>36</v>
      </c>
      <c r="G13" s="220"/>
      <c r="H13" s="211">
        <f>D29</f>
        <v>411243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10</v>
      </c>
      <c r="D14" s="31">
        <f t="shared" si="1"/>
        <v>110</v>
      </c>
      <c r="F14" s="214" t="s">
        <v>38</v>
      </c>
      <c r="G14" s="215"/>
      <c r="H14" s="216">
        <f>D54</f>
        <v>62579.25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348663.75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f>888+300+1356</f>
        <v>2544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411243</v>
      </c>
      <c r="F29" s="128" t="s">
        <v>54</v>
      </c>
      <c r="G29" s="190"/>
      <c r="H29" s="150">
        <f>H15-H16-H17-H18-H19-H20-H22-H23-H24+H26+H27</f>
        <v>346119.75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72">
        <f>F34*G34</f>
        <v>202000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72">
        <f>F35*G35</f>
        <v>30000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72">
        <f t="shared" si="2"/>
        <v>600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72">
        <f t="shared" si="2"/>
        <v>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2">
        <v>84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67">
        <v>95996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 t="s">
        <v>137</v>
      </c>
      <c r="G45" s="76"/>
      <c r="H45" s="167">
        <v>18000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8</v>
      </c>
      <c r="D46" s="12">
        <f>C46*1.5</f>
        <v>12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34</v>
      </c>
      <c r="D49" s="12">
        <f>C49*42</f>
        <v>1428</v>
      </c>
      <c r="F49" s="148" t="s">
        <v>85</v>
      </c>
      <c r="G49" s="150">
        <f>H34+H35+H36+H37+H38+H39+H40+H41+G42+H44+H45+H46</f>
        <v>346730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7</v>
      </c>
      <c r="D50" s="12">
        <f>C50*1.5</f>
        <v>10.5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610.25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96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46153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365</v>
      </c>
      <c r="D6" s="13">
        <f t="shared" ref="D6:D28" si="1">C6*L6</f>
        <v>277765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10</v>
      </c>
      <c r="D7" s="13">
        <f t="shared" si="1"/>
        <v>7810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>
        <v>1</v>
      </c>
      <c r="D8" s="13">
        <f t="shared" si="1"/>
        <v>1093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30</v>
      </c>
      <c r="D9" s="13">
        <f t="shared" si="1"/>
        <v>21990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>
        <v>1</v>
      </c>
      <c r="D10" s="13">
        <f t="shared" si="1"/>
        <v>1032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f>2</f>
        <v>2</v>
      </c>
      <c r="D12" s="48">
        <f t="shared" si="1"/>
        <v>1984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</v>
      </c>
      <c r="D13" s="48">
        <f t="shared" si="1"/>
        <v>307</v>
      </c>
      <c r="F13" s="256" t="s">
        <v>36</v>
      </c>
      <c r="G13" s="220"/>
      <c r="H13" s="211">
        <f>D29</f>
        <v>312686.83333333331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10</v>
      </c>
      <c r="D14" s="31">
        <f t="shared" si="1"/>
        <v>110</v>
      </c>
      <c r="F14" s="214" t="s">
        <v>38</v>
      </c>
      <c r="G14" s="215"/>
      <c r="H14" s="216">
        <f>D54</f>
        <v>42262.5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270424.33333333331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93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312686.83333333331</v>
      </c>
      <c r="F29" s="128" t="s">
        <v>54</v>
      </c>
      <c r="G29" s="190"/>
      <c r="H29" s="150">
        <f>H15-H16-H17-H18-H19-H20-H22-H23-H24+H26+H27+H28</f>
        <v>270424.33333333331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72">
        <f t="shared" ref="H34:H39" si="2">F34*G34</f>
        <v>136000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72">
        <f t="shared" si="2"/>
        <v>54000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72">
        <f t="shared" si="2"/>
        <v>6800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72">
        <f t="shared" si="2"/>
        <v>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8</v>
      </c>
      <c r="D42" s="12">
        <f>C42*2.25</f>
        <v>18</v>
      </c>
      <c r="F42" s="39" t="s">
        <v>78</v>
      </c>
      <c r="G42" s="172">
        <v>11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3</v>
      </c>
      <c r="D44" s="12">
        <f>C44*120</f>
        <v>360</v>
      </c>
      <c r="F44" s="37" t="s">
        <v>136</v>
      </c>
      <c r="G44" s="103" t="s">
        <v>141</v>
      </c>
      <c r="H44" s="167">
        <v>64500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 t="s">
        <v>137</v>
      </c>
      <c r="G45" s="62"/>
      <c r="H45" s="167">
        <v>9016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</v>
      </c>
      <c r="D49" s="12">
        <f>C49*42</f>
        <v>42</v>
      </c>
      <c r="F49" s="148" t="s">
        <v>85</v>
      </c>
      <c r="G49" s="150">
        <f>H34+H35+H36+H37+H38+H39+H40+H41+G42+H44+H45+H46</f>
        <v>270377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7</v>
      </c>
      <c r="D50" s="12">
        <f>C50*1.5</f>
        <v>10.5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164</v>
      </c>
      <c r="G51" s="269">
        <f>G49-H29</f>
        <v>-47.333333333313931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46153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375</v>
      </c>
      <c r="D6" s="13">
        <f t="shared" ref="D6:D28" si="1">C6*L6</f>
        <v>285375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130</v>
      </c>
      <c r="D9" s="13">
        <f t="shared" si="1"/>
        <v>95290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15</v>
      </c>
      <c r="D13" s="48">
        <f t="shared" si="1"/>
        <v>4605</v>
      </c>
      <c r="F13" s="256" t="s">
        <v>36</v>
      </c>
      <c r="G13" s="220"/>
      <c r="H13" s="211">
        <f>D29</f>
        <v>385347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7</v>
      </c>
      <c r="D14" s="31">
        <f t="shared" si="1"/>
        <v>77</v>
      </c>
      <c r="F14" s="214" t="s">
        <v>38</v>
      </c>
      <c r="G14" s="215"/>
      <c r="H14" s="216">
        <f>D54</f>
        <v>57529.5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327817.5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v>2880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25"/>
      <c r="G23" s="37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385347</v>
      </c>
      <c r="F29" s="128" t="s">
        <v>54</v>
      </c>
      <c r="G29" s="190"/>
      <c r="H29" s="150">
        <f>H15-H16-H17-H18-H19-H20-H22-H23-H24+H26+H27</f>
        <v>324937.5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72">
        <f>F34*G34</f>
        <v>203000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72">
        <f t="shared" ref="H35:H39" si="2">F35*G35</f>
        <v>70500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2">
        <f>F36*G36</f>
        <v>200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72">
        <f t="shared" si="2"/>
        <v>31800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72">
        <f t="shared" si="2"/>
        <v>20200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94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3</v>
      </c>
      <c r="D49" s="12">
        <f>C49*42</f>
        <v>126</v>
      </c>
      <c r="F49" s="148" t="s">
        <v>85</v>
      </c>
      <c r="G49" s="150">
        <f>H34+H35+H36+H37+H38+H39+H40+H41+G42+H44+H45+H46</f>
        <v>325700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7</v>
      </c>
      <c r="D50" s="12">
        <f>C50*1.5</f>
        <v>10.5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112</v>
      </c>
      <c r="G51" s="158">
        <f>G49-H29</f>
        <v>762.5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46153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295</v>
      </c>
      <c r="D6" s="13">
        <f t="shared" ref="D6:D28" si="1">C6*L6</f>
        <v>224495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9</v>
      </c>
      <c r="D7" s="13">
        <f t="shared" si="1"/>
        <v>7029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95</v>
      </c>
      <c r="D9" s="13">
        <f t="shared" si="1"/>
        <v>69635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v>2</v>
      </c>
      <c r="D12" s="48">
        <f t="shared" si="1"/>
        <v>1984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4</v>
      </c>
      <c r="D13" s="48">
        <f t="shared" si="1"/>
        <v>1228</v>
      </c>
      <c r="F13" s="256" t="s">
        <v>36</v>
      </c>
      <c r="G13" s="220"/>
      <c r="H13" s="211">
        <f>D29</f>
        <v>306343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2</v>
      </c>
      <c r="D14" s="31">
        <f t="shared" si="1"/>
        <v>22</v>
      </c>
      <c r="F14" s="214" t="s">
        <v>38</v>
      </c>
      <c r="G14" s="215"/>
      <c r="H14" s="216">
        <f>D54</f>
        <v>51729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254614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1">
        <f>300+612+420+300</f>
        <v>1632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>
        <v>50</v>
      </c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96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306343</v>
      </c>
      <c r="F29" s="128" t="s">
        <v>54</v>
      </c>
      <c r="G29" s="190"/>
      <c r="H29" s="150">
        <f>H15-H16-H17-H18-H19-H20-H22-H23-H24+H26+H27</f>
        <v>252932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72">
        <f>F34*G34</f>
        <v>88000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72">
        <f>F35*G35</f>
        <v>51000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72">
        <f t="shared" ref="H36:H39" si="2">F36*G36</f>
        <v>600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72">
        <f t="shared" si="2"/>
        <v>4700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72">
        <f t="shared" si="2"/>
        <v>200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131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93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67">
        <v>65537.5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67">
        <v>45415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8</v>
      </c>
      <c r="D46" s="12">
        <f>C46*1.5</f>
        <v>12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</v>
      </c>
      <c r="D49" s="12">
        <f>C49*42</f>
        <v>42</v>
      </c>
      <c r="F49" s="148" t="s">
        <v>85</v>
      </c>
      <c r="G49" s="150">
        <f>H34+H35+H36+H37+H38+H39+H40+H41+G42+H44+H45+H46</f>
        <v>255583.5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1</v>
      </c>
      <c r="D50" s="12">
        <f>C50*1.5</f>
        <v>1.5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2651.5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108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46154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352</v>
      </c>
      <c r="D6" s="13">
        <f t="shared" ref="D6:D28" si="1">C6*L6</f>
        <v>267872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20</v>
      </c>
      <c r="D7" s="13">
        <f t="shared" si="1"/>
        <v>15620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>
        <v>5</v>
      </c>
      <c r="D8" s="13">
        <f t="shared" si="1"/>
        <v>5465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14</v>
      </c>
      <c r="D9" s="13">
        <f t="shared" si="1"/>
        <v>10262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10</v>
      </c>
      <c r="D13" s="48">
        <f t="shared" si="1"/>
        <v>3070</v>
      </c>
      <c r="F13" s="256" t="s">
        <v>36</v>
      </c>
      <c r="G13" s="220"/>
      <c r="H13" s="211">
        <f>D29</f>
        <v>302421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12</v>
      </c>
      <c r="D14" s="31">
        <f t="shared" si="1"/>
        <v>132</v>
      </c>
      <c r="F14" s="214" t="s">
        <v>38</v>
      </c>
      <c r="G14" s="215"/>
      <c r="H14" s="216">
        <f>D54</f>
        <v>42444.75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259976.25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v>2094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>
        <v>102.46</v>
      </c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05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08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302421</v>
      </c>
      <c r="F29" s="128" t="s">
        <v>54</v>
      </c>
      <c r="G29" s="190"/>
      <c r="H29" s="150">
        <f>H15-H16-H17-H18-H19-H20-H22-H23-H24+H26+H27+H28</f>
        <v>257779.79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72">
        <f t="shared" ref="H34:H39" si="2">F34*G34</f>
        <v>25000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72">
        <f t="shared" si="2"/>
        <v>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72">
        <f t="shared" si="2"/>
        <v>800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72">
        <f t="shared" si="2"/>
        <v>100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67">
        <v>231190.25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>
        <v>1</v>
      </c>
      <c r="D45" s="12">
        <f>C45*84</f>
        <v>84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20</v>
      </c>
      <c r="D46" s="12">
        <f>C46*1.5</f>
        <v>30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6</v>
      </c>
      <c r="D49" s="12">
        <f>C49*42</f>
        <v>252</v>
      </c>
      <c r="F49" s="148" t="s">
        <v>85</v>
      </c>
      <c r="G49" s="150">
        <f>H34+H35+H36+H37+H38+H39+H40+H41+G42+H44+H45+H46</f>
        <v>257590.25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22</v>
      </c>
      <c r="D50" s="12">
        <f>C50*1.5</f>
        <v>33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109</v>
      </c>
      <c r="G51" s="269">
        <f>G49-H29</f>
        <v>-189.54000000000815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46154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310</v>
      </c>
      <c r="D6" s="13">
        <f t="shared" ref="D6:D28" si="1">C6*L6</f>
        <v>235910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6</v>
      </c>
      <c r="D7" s="13">
        <f t="shared" si="1"/>
        <v>4686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60</v>
      </c>
      <c r="D9" s="13">
        <f t="shared" si="1"/>
        <v>43980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8</v>
      </c>
      <c r="D13" s="48">
        <f t="shared" si="1"/>
        <v>2456</v>
      </c>
      <c r="F13" s="256" t="s">
        <v>36</v>
      </c>
      <c r="G13" s="220"/>
      <c r="H13" s="211">
        <f>D29</f>
        <v>288065.5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5</v>
      </c>
      <c r="D14" s="31">
        <f t="shared" si="1"/>
        <v>55</v>
      </c>
      <c r="F14" s="214" t="s">
        <v>38</v>
      </c>
      <c r="G14" s="215"/>
      <c r="H14" s="216">
        <f>D54</f>
        <v>41509.5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246556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v>1446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>
        <v>12</v>
      </c>
      <c r="D23" s="48">
        <f t="shared" si="1"/>
        <v>474</v>
      </c>
      <c r="F23" s="25"/>
      <c r="G23" s="37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08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288065.5</v>
      </c>
      <c r="F29" s="128" t="s">
        <v>54</v>
      </c>
      <c r="G29" s="190"/>
      <c r="H29" s="150">
        <f>H15-H16-H17-H18-H19-H20-H22-H23-H24+H26+H27</f>
        <v>245110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72">
        <f>F34*G34</f>
        <v>84000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72">
        <f t="shared" ref="H35:H39" si="2">F35*G35</f>
        <v>3000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2">
        <v>87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67">
        <v>157141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106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2</v>
      </c>
      <c r="D49" s="12">
        <f>C49*42</f>
        <v>84</v>
      </c>
      <c r="F49" s="148" t="s">
        <v>85</v>
      </c>
      <c r="G49" s="150">
        <f>H34+H35+H36+H37+H38+H39+H40+H41+G42+H44+H45+H46</f>
        <v>244228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1</v>
      </c>
      <c r="D50" s="12">
        <f>C50*1.5</f>
        <v>1.5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169</v>
      </c>
      <c r="G51" s="269">
        <f>G49-H29</f>
        <v>-882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46154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527</v>
      </c>
      <c r="D6" s="13">
        <f t="shared" ref="D6:D28" si="1">C6*L6</f>
        <v>401047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19</v>
      </c>
      <c r="D7" s="13">
        <f t="shared" si="1"/>
        <v>14839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69</v>
      </c>
      <c r="D9" s="13">
        <f t="shared" si="1"/>
        <v>50577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>
        <v>5</v>
      </c>
      <c r="D10" s="13">
        <f t="shared" si="1"/>
        <v>5160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22</v>
      </c>
      <c r="D13" s="48">
        <f t="shared" si="1"/>
        <v>6754</v>
      </c>
      <c r="F13" s="256" t="s">
        <v>36</v>
      </c>
      <c r="G13" s="220"/>
      <c r="H13" s="211">
        <f>D29</f>
        <v>485304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7</v>
      </c>
      <c r="D14" s="31">
        <f t="shared" si="1"/>
        <v>77</v>
      </c>
      <c r="F14" s="214" t="s">
        <v>38</v>
      </c>
      <c r="G14" s="215"/>
      <c r="H14" s="216">
        <f>D54</f>
        <v>77406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>
        <v>10</v>
      </c>
      <c r="D15" s="31">
        <f t="shared" si="1"/>
        <v>6200</v>
      </c>
      <c r="F15" s="219" t="s">
        <v>39</v>
      </c>
      <c r="G15" s="220"/>
      <c r="H15" s="221">
        <f>H13-H14</f>
        <v>407898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1">
        <f>600+2682+384</f>
        <v>3666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08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485304</v>
      </c>
      <c r="F29" s="128" t="s">
        <v>54</v>
      </c>
      <c r="G29" s="190"/>
      <c r="H29" s="150">
        <f>H15-H16-H17-H18-H19-H20-H22-H23-H24+H26+H27</f>
        <v>404232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72">
        <f>F34*G34</f>
        <v>46000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2">
        <f>F35*G35</f>
        <v>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72">
        <f t="shared" si="2"/>
        <v>100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2">
        <f t="shared" si="2"/>
        <v>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55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67">
        <v>60416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67">
        <v>295595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19</v>
      </c>
      <c r="D46" s="12">
        <f>C46*1.5</f>
        <v>28.5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5</v>
      </c>
      <c r="D49" s="12">
        <f>C49*42</f>
        <v>210</v>
      </c>
      <c r="F49" s="148" t="s">
        <v>85</v>
      </c>
      <c r="G49" s="150">
        <f>H34+H35+H36+H37+H38+H39+H40+H41+G42+H44+H45+H46</f>
        <v>402716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11</v>
      </c>
      <c r="D50" s="12">
        <f>C50*1.5</f>
        <v>16.5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172</v>
      </c>
      <c r="G51" s="269">
        <f>G49-H29</f>
        <v>-1516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108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46155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321</v>
      </c>
      <c r="D6" s="13">
        <f t="shared" ref="D6:D28" si="1">C6*L6</f>
        <v>244281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6</v>
      </c>
      <c r="D7" s="13">
        <f t="shared" si="1"/>
        <v>4686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>
        <v>62</v>
      </c>
      <c r="D8" s="13">
        <f t="shared" si="1"/>
        <v>67766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24</v>
      </c>
      <c r="D9" s="13">
        <f t="shared" si="1"/>
        <v>17592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>
        <v>3</v>
      </c>
      <c r="D10" s="13">
        <f t="shared" si="1"/>
        <v>3096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v>4</v>
      </c>
      <c r="D12" s="48">
        <f t="shared" si="1"/>
        <v>3968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9</v>
      </c>
      <c r="D13" s="48">
        <f t="shared" si="1"/>
        <v>2763</v>
      </c>
      <c r="F13" s="256" t="s">
        <v>36</v>
      </c>
      <c r="G13" s="220"/>
      <c r="H13" s="211">
        <f>D29</f>
        <v>346170.83333333331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46051.5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300119.33333333331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97">
        <v>65678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05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08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346170.83333333331</v>
      </c>
      <c r="F29" s="128" t="s">
        <v>54</v>
      </c>
      <c r="G29" s="190"/>
      <c r="H29" s="150">
        <f>H15-H16-H17-H18-H19-H20-H22-H23-H24+H26+H27+H28</f>
        <v>234441.33333333331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72">
        <f t="shared" ref="H34:H39" si="2">F34*G34</f>
        <v>181000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72">
        <f t="shared" si="2"/>
        <v>53000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72">
        <f t="shared" si="2"/>
        <v>300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72">
        <f t="shared" si="2"/>
        <v>100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45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65</v>
      </c>
      <c r="D44" s="12">
        <f>C44*120</f>
        <v>7800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>
        <v>1</v>
      </c>
      <c r="D45" s="12">
        <f>C45*84</f>
        <v>84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13</v>
      </c>
      <c r="D46" s="12">
        <f>C46*1.5</f>
        <v>19.5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</v>
      </c>
      <c r="D49" s="12">
        <f>C49*42</f>
        <v>42</v>
      </c>
      <c r="F49" s="148" t="s">
        <v>85</v>
      </c>
      <c r="G49" s="150">
        <f>H34+H35+H36+H37+H38+H39+H40+H41+G42+H44+H45+H46</f>
        <v>234445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9</v>
      </c>
      <c r="D50" s="12">
        <f>C50*1.5</f>
        <v>13.5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173</v>
      </c>
      <c r="G51" s="259">
        <f>G49-H29</f>
        <v>3.6666666666860692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46155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343</v>
      </c>
      <c r="D6" s="13">
        <f t="shared" ref="D6:D28" si="1">C6*L6</f>
        <v>261023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10</v>
      </c>
      <c r="D9" s="13">
        <f t="shared" si="1"/>
        <v>7330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v>1</v>
      </c>
      <c r="D12" s="48">
        <f t="shared" si="1"/>
        <v>992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12</v>
      </c>
      <c r="D13" s="48">
        <f t="shared" si="1"/>
        <v>3684</v>
      </c>
      <c r="F13" s="256" t="s">
        <v>36</v>
      </c>
      <c r="G13" s="220"/>
      <c r="H13" s="211">
        <f>D29</f>
        <v>274505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16</v>
      </c>
      <c r="D14" s="31">
        <f t="shared" si="1"/>
        <v>176</v>
      </c>
      <c r="F14" s="214" t="s">
        <v>38</v>
      </c>
      <c r="G14" s="215"/>
      <c r="H14" s="216">
        <f>D54</f>
        <v>40630.5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233874.5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1">
        <v>1944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25"/>
      <c r="G23" s="37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08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274505</v>
      </c>
      <c r="F29" s="128" t="s">
        <v>54</v>
      </c>
      <c r="G29" s="190"/>
      <c r="H29" s="150">
        <f>H15-H16-H17-H18-H19-H20-H22-H23-H24+H26+H27</f>
        <v>231930.5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72">
        <f>F34*G34</f>
        <v>220000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72">
        <f t="shared" ref="H35:H39" si="2">F35*G35</f>
        <v>1000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2">
        <f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72">
        <f t="shared" si="2"/>
        <v>10000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72">
        <f t="shared" si="2"/>
        <v>350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310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>
        <v>1</v>
      </c>
      <c r="D45" s="12">
        <f>C45*84</f>
        <v>84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15</v>
      </c>
      <c r="D46" s="12">
        <f>C46*1.5</f>
        <v>22.5</v>
      </c>
      <c r="F46" s="37"/>
      <c r="G46" s="106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2</v>
      </c>
      <c r="D49" s="12">
        <f>C49*42</f>
        <v>84</v>
      </c>
      <c r="F49" s="148" t="s">
        <v>85</v>
      </c>
      <c r="G49" s="150">
        <f>H34+H35+H36+H37+H38+H39+H40+H41+G42+H44+H45+H46</f>
        <v>231660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18</v>
      </c>
      <c r="D50" s="12">
        <f>C50*1.5</f>
        <v>27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169</v>
      </c>
      <c r="G51" s="269">
        <f>G49-H29</f>
        <v>-270.5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46155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08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108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46156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675</v>
      </c>
      <c r="D6" s="13">
        <f t="shared" ref="D6:D28" si="1">C6*L6</f>
        <v>513675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5</v>
      </c>
      <c r="D7" s="13">
        <f t="shared" si="1"/>
        <v>3905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>
        <v>1</v>
      </c>
      <c r="D8" s="13">
        <f t="shared" si="1"/>
        <v>1093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43</v>
      </c>
      <c r="D9" s="13">
        <f t="shared" si="1"/>
        <v>31519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25</v>
      </c>
      <c r="D13" s="48">
        <f t="shared" si="1"/>
        <v>7675</v>
      </c>
      <c r="F13" s="256" t="s">
        <v>36</v>
      </c>
      <c r="G13" s="220"/>
      <c r="H13" s="211">
        <f>D29</f>
        <v>563496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13</v>
      </c>
      <c r="D14" s="31">
        <f t="shared" si="1"/>
        <v>143</v>
      </c>
      <c r="F14" s="214" t="s">
        <v>38</v>
      </c>
      <c r="G14" s="215"/>
      <c r="H14" s="216">
        <f>D54</f>
        <v>77337.75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>
        <v>1</v>
      </c>
      <c r="D15" s="31">
        <f t="shared" si="1"/>
        <v>620</v>
      </c>
      <c r="F15" s="219" t="s">
        <v>39</v>
      </c>
      <c r="G15" s="220"/>
      <c r="H15" s="221">
        <f>H13-H14</f>
        <v>486158.25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v>3420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97">
        <v>78233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67">
        <v>92804</v>
      </c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05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>
        <v>6</v>
      </c>
      <c r="D28" s="48">
        <f t="shared" si="1"/>
        <v>4866</v>
      </c>
      <c r="F28" s="108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563496</v>
      </c>
      <c r="F29" s="128" t="s">
        <v>54</v>
      </c>
      <c r="G29" s="190"/>
      <c r="H29" s="150">
        <f>H15-H16-H17-H18-H19-H20-H22-H23-H24+H26+H27+H28</f>
        <v>497309.25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72">
        <f t="shared" ref="H34:H39" si="2">F34*G34</f>
        <v>300000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72">
        <f t="shared" si="2"/>
        <v>103000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72">
        <f t="shared" si="2"/>
        <v>800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72">
        <f t="shared" si="2"/>
        <v>500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2">
        <v>57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2</v>
      </c>
      <c r="D44" s="12">
        <f>C44*120</f>
        <v>240</v>
      </c>
      <c r="F44" s="37" t="s">
        <v>136</v>
      </c>
      <c r="G44" s="103" t="s">
        <v>141</v>
      </c>
      <c r="H44" s="167">
        <v>92804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38</v>
      </c>
      <c r="D49" s="12">
        <f>C49*42</f>
        <v>1596</v>
      </c>
      <c r="F49" s="148" t="s">
        <v>85</v>
      </c>
      <c r="G49" s="150">
        <f>H34+H35+H36+H37+H38+H39+H40+H41+G42+H44+H45+H46</f>
        <v>497161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34</v>
      </c>
      <c r="D50" s="12">
        <f>C50*1.5</f>
        <v>51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109</v>
      </c>
      <c r="G51" s="269">
        <f>G49-H29</f>
        <v>-148.25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46156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25"/>
      <c r="G23" s="37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08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 t="shared" ref="H35:H39" si="2"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106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112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46156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336</v>
      </c>
      <c r="D6" s="13">
        <f t="shared" ref="D6:D28" si="1">C6*L6</f>
        <v>255696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20</v>
      </c>
      <c r="D7" s="13">
        <f t="shared" si="1"/>
        <v>15620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92</v>
      </c>
      <c r="D9" s="13">
        <f t="shared" si="1"/>
        <v>67436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v>1</v>
      </c>
      <c r="D12" s="48">
        <f t="shared" si="1"/>
        <v>992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14</v>
      </c>
      <c r="D13" s="48">
        <f t="shared" si="1"/>
        <v>4298</v>
      </c>
      <c r="F13" s="256" t="s">
        <v>36</v>
      </c>
      <c r="G13" s="220"/>
      <c r="H13" s="211">
        <f>D29</f>
        <v>344042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46017.75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298024.25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v>1656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>
        <v>50</v>
      </c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08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344042</v>
      </c>
      <c r="F29" s="128" t="s">
        <v>54</v>
      </c>
      <c r="G29" s="190"/>
      <c r="H29" s="150">
        <f>H15-H16-H17-H18-H19-H20-H22-H23-H24+H26+H27</f>
        <v>296318.25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72">
        <f>F34*G34</f>
        <v>76000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72">
        <f>F35*G35</f>
        <v>17000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2">
        <f t="shared" si="2"/>
        <v>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1</v>
      </c>
      <c r="D42" s="12">
        <f>C42*2.25</f>
        <v>2.25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67">
        <v>183675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67">
        <v>19904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20</v>
      </c>
      <c r="D46" s="12">
        <f>C46*1.5</f>
        <v>30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10</v>
      </c>
      <c r="D49" s="12">
        <f>C49*42</f>
        <v>420</v>
      </c>
      <c r="F49" s="148" t="s">
        <v>85</v>
      </c>
      <c r="G49" s="150">
        <f>H34+H35+H36+H37+H38+H39+H40+H41+G42+H44+H45+H46</f>
        <v>296629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9</v>
      </c>
      <c r="D50" s="12">
        <f>C50*1.5</f>
        <v>13.5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310.75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108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46157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432</v>
      </c>
      <c r="D6" s="13">
        <f t="shared" ref="D6:D28" si="1">C6*L6</f>
        <v>328752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2</v>
      </c>
      <c r="D7" s="13">
        <f t="shared" si="1"/>
        <v>1562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10</v>
      </c>
      <c r="D9" s="13">
        <f t="shared" si="1"/>
        <v>7330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5</v>
      </c>
      <c r="D13" s="48">
        <f t="shared" si="1"/>
        <v>1535</v>
      </c>
      <c r="F13" s="256" t="s">
        <v>36</v>
      </c>
      <c r="G13" s="220"/>
      <c r="H13" s="211">
        <f>D29</f>
        <v>339179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5827.5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333351.5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v>1944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97">
        <v>62135</v>
      </c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05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08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339179</v>
      </c>
      <c r="F29" s="128" t="s">
        <v>54</v>
      </c>
      <c r="G29" s="190"/>
      <c r="H29" s="150">
        <f>H15-H16-H17-H18-H19-H20-H22-H23-H24+H26+H27+H28</f>
        <v>269272.5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72">
        <f t="shared" ref="H34:H39" si="2">F34*G34</f>
        <v>13000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72">
        <f t="shared" si="2"/>
        <v>13500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72">
        <f t="shared" si="2"/>
        <v>200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67">
        <v>244620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271320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173</v>
      </c>
      <c r="G51" s="259">
        <f>G49-H29</f>
        <v>2047.5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46157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347</v>
      </c>
      <c r="D6" s="13">
        <f t="shared" ref="D6:D28" si="1">C6*L6</f>
        <v>264067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6</v>
      </c>
      <c r="D7" s="13">
        <f t="shared" si="1"/>
        <v>4686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41</v>
      </c>
      <c r="D9" s="13">
        <f t="shared" si="1"/>
        <v>30053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10</v>
      </c>
      <c r="D13" s="48">
        <f t="shared" si="1"/>
        <v>3070</v>
      </c>
      <c r="F13" s="256" t="s">
        <v>36</v>
      </c>
      <c r="G13" s="220"/>
      <c r="H13" s="211">
        <f>D29</f>
        <v>301997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11</v>
      </c>
      <c r="D14" s="31">
        <f t="shared" si="1"/>
        <v>121</v>
      </c>
      <c r="F14" s="214" t="s">
        <v>38</v>
      </c>
      <c r="G14" s="215"/>
      <c r="H14" s="216">
        <f>D54</f>
        <v>44970.75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257026.25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v>1200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5"/>
      <c r="I19" s="275"/>
      <c r="J19" s="27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25"/>
      <c r="G23" s="37"/>
      <c r="H23" s="198"/>
      <c r="I23" s="167"/>
      <c r="J23" s="16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10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14"/>
      <c r="G27" s="14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08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301997</v>
      </c>
      <c r="F29" s="128" t="s">
        <v>54</v>
      </c>
      <c r="G29" s="190"/>
      <c r="H29" s="150">
        <f>H15-H16-H17-H18-H19-H20-H22-H23-H24+H26+H27</f>
        <v>255826.25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72">
        <f>F34*G34</f>
        <v>69000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72">
        <f t="shared" ref="H35:H39" si="2">F35*G35</f>
        <v>20000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72">
        <f>F36*G36</f>
        <v>400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72">
        <f t="shared" si="2"/>
        <v>2300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72">
        <f t="shared" si="2"/>
        <v>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2">
        <v>4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67">
        <v>130451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67">
        <v>33800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2</v>
      </c>
      <c r="D46" s="12">
        <f>C46*1.5</f>
        <v>3</v>
      </c>
      <c r="F46" s="37"/>
      <c r="G46" s="106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7</v>
      </c>
      <c r="D49" s="12">
        <f>C49*42</f>
        <v>294</v>
      </c>
      <c r="F49" s="148" t="s">
        <v>85</v>
      </c>
      <c r="G49" s="150">
        <f>H34+H35+H36+H37+H38+H39+H40+H41+G42+H44+H45+H46</f>
        <v>256005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4</v>
      </c>
      <c r="D50" s="12">
        <f>C50*1.5</f>
        <v>6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112</v>
      </c>
      <c r="G51" s="158">
        <f>G49-H29</f>
        <v>178.75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46157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554</v>
      </c>
      <c r="D6" s="13">
        <f t="shared" ref="D6:D28" si="1">C6*L6</f>
        <v>421594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1</v>
      </c>
      <c r="D7" s="13">
        <f t="shared" si="1"/>
        <v>781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108</v>
      </c>
      <c r="D9" s="13">
        <f t="shared" si="1"/>
        <v>79164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v>1</v>
      </c>
      <c r="D12" s="48">
        <f t="shared" si="1"/>
        <v>992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21</v>
      </c>
      <c r="D13" s="48">
        <f t="shared" si="1"/>
        <v>6447</v>
      </c>
      <c r="F13" s="256" t="s">
        <v>36</v>
      </c>
      <c r="G13" s="220"/>
      <c r="H13" s="211">
        <f>D29</f>
        <v>509099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11</v>
      </c>
      <c r="D14" s="31">
        <f t="shared" si="1"/>
        <v>121</v>
      </c>
      <c r="F14" s="214" t="s">
        <v>38</v>
      </c>
      <c r="G14" s="215"/>
      <c r="H14" s="216">
        <f>D54</f>
        <v>71080.5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438018.5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>
        <f>1596+1296+300</f>
        <v>3192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08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509099</v>
      </c>
      <c r="F29" s="128" t="s">
        <v>54</v>
      </c>
      <c r="G29" s="190"/>
      <c r="H29" s="150">
        <f>H15-H16-H17-H18-H19-H20-H22-H23-H24+H26+H27</f>
        <v>434826.5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72">
        <f>F34*G34</f>
        <v>78000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72">
        <f>F35*G35</f>
        <v>40000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72">
        <f t="shared" si="2"/>
        <v>4900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72">
        <f t="shared" si="2"/>
        <v>450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72">
        <f t="shared" si="2"/>
        <v>40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50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67">
        <v>171049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67">
        <v>140478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5</v>
      </c>
      <c r="D46" s="12">
        <f>C46*1.5</f>
        <v>7.5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434967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140</v>
      </c>
      <c r="D50" s="12">
        <f>C50*1.5</f>
        <v>210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140.5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108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05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46158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67">
        <v>65678</v>
      </c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20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2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H15-H16-H17-H18-H19-H20-H22-H23-H24+H26+H27+H28</f>
        <v>65678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72">
        <f t="shared" ref="H34:H39" si="2">F34*G34</f>
        <v>65000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2">
        <f t="shared" si="2"/>
        <v>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72">
        <f t="shared" si="2"/>
        <v>100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2">
        <f t="shared" si="2"/>
        <v>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28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0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65678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184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46158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316</v>
      </c>
      <c r="D6" s="13">
        <f t="shared" ref="D6:D28" si="1">C6*L6</f>
        <v>240476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15</v>
      </c>
      <c r="D7" s="13">
        <f t="shared" si="1"/>
        <v>11715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20</v>
      </c>
      <c r="D9" s="13">
        <f t="shared" si="1"/>
        <v>14660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11</v>
      </c>
      <c r="D13" s="48">
        <f t="shared" si="1"/>
        <v>3377</v>
      </c>
      <c r="F13" s="256" t="s">
        <v>36</v>
      </c>
      <c r="G13" s="220"/>
      <c r="H13" s="211">
        <f>D29</f>
        <v>272545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41206.5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231338.5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1">
        <v>2106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17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272545</v>
      </c>
      <c r="F29" s="128" t="s">
        <v>54</v>
      </c>
      <c r="G29" s="190"/>
      <c r="H29" s="150">
        <f>H15-H16-H17-H18-H19-H20-H22-H23-H24+H26+H27</f>
        <v>229232.5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72">
        <f>F34*G34</f>
        <v>32000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72">
        <f>F35*G35</f>
        <v>105500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72">
        <f t="shared" si="2"/>
        <v>70000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72">
        <f t="shared" si="2"/>
        <v>19400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2">
        <f t="shared" si="2"/>
        <v>20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17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19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 t="s">
        <v>182</v>
      </c>
      <c r="G44" s="76"/>
      <c r="H44" s="167">
        <v>2317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16</v>
      </c>
      <c r="D49" s="12">
        <f>C49*42</f>
        <v>672</v>
      </c>
      <c r="F49" s="148" t="s">
        <v>85</v>
      </c>
      <c r="G49" s="150">
        <f>H34+H35+H36+H37+H38+H39+H40+H41+G42+H44+H45+H46</f>
        <v>229254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81">
        <v>1</v>
      </c>
      <c r="D50" s="12">
        <f>C50*1.5</f>
        <v>1.5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21.5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46158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17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19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122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0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46160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20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2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H15-H16-H17-H18-H19-H20-H22-H23-H24+H26+H27+H28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2">
        <f t="shared" ref="H34:H39" si="2"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 t="shared" si="2"/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0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184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46160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585</v>
      </c>
      <c r="D6" s="13">
        <f t="shared" ref="D6:D28" si="1">C6*L6</f>
        <v>445185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43</v>
      </c>
      <c r="D9" s="13">
        <f t="shared" si="1"/>
        <v>31519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>
        <v>5</v>
      </c>
      <c r="D10" s="13">
        <f t="shared" si="1"/>
        <v>5160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25</v>
      </c>
      <c r="D13" s="48">
        <f t="shared" si="1"/>
        <v>7675</v>
      </c>
      <c r="F13" s="256" t="s">
        <v>36</v>
      </c>
      <c r="G13" s="220"/>
      <c r="H13" s="211">
        <f>D29</f>
        <v>491364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69771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421593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1">
        <v>3666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2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491364</v>
      </c>
      <c r="F29" s="128" t="s">
        <v>54</v>
      </c>
      <c r="G29" s="190"/>
      <c r="H29" s="150">
        <f>H15-H16-H17-H18-H19-H20-H22-H23-H24+H26+H27</f>
        <v>417927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72">
        <f>F34*G34</f>
        <v>53000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72">
        <f>F35*G35</f>
        <v>100500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72">
        <f t="shared" si="2"/>
        <v>100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2">
        <f t="shared" si="2"/>
        <v>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38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0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67">
        <v>264034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2</v>
      </c>
      <c r="D49" s="12">
        <f>C49*42</f>
        <v>84</v>
      </c>
      <c r="F49" s="148" t="s">
        <v>85</v>
      </c>
      <c r="G49" s="150">
        <f>H34+H35+H36+H37+H38+H39+H40+H41+G42+H44+H45+H46</f>
        <v>417722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8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186</v>
      </c>
      <c r="G51" s="269">
        <f>G49-H29</f>
        <v>-205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46160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>
        <v>524</v>
      </c>
      <c r="D6" s="13">
        <f t="shared" ref="D6:D28" si="1">C6*L6</f>
        <v>398764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>
        <v>15</v>
      </c>
      <c r="D7" s="13">
        <f t="shared" si="1"/>
        <v>11715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>
        <v>162</v>
      </c>
      <c r="D9" s="13">
        <f t="shared" si="1"/>
        <v>118746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>
        <v>8</v>
      </c>
      <c r="D12" s="48">
        <f t="shared" si="1"/>
        <v>7936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>
        <v>16</v>
      </c>
      <c r="D13" s="48">
        <f t="shared" si="1"/>
        <v>4912</v>
      </c>
      <c r="F13" s="256" t="s">
        <v>36</v>
      </c>
      <c r="G13" s="220"/>
      <c r="H13" s="211">
        <f>D29</f>
        <v>543461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>
        <v>8</v>
      </c>
      <c r="D14" s="31">
        <f t="shared" si="1"/>
        <v>88</v>
      </c>
      <c r="F14" s="214" t="s">
        <v>38</v>
      </c>
      <c r="G14" s="215"/>
      <c r="H14" s="216">
        <f>D54</f>
        <v>78838.5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464622.5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1">
        <f>948+1836</f>
        <v>2784</v>
      </c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>
        <v>50</v>
      </c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2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543461</v>
      </c>
      <c r="F29" s="128" t="s">
        <v>54</v>
      </c>
      <c r="G29" s="190"/>
      <c r="H29" s="150">
        <f>H15-H16-H17-H18-H19-H20-H22-H23-H24+H26+H27</f>
        <v>461788.5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72">
        <f>F34*G34</f>
        <v>48000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72">
        <f>F35*G35</f>
        <v>7500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72">
        <f t="shared" si="2"/>
        <v>400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2">
        <f t="shared" si="2"/>
        <v>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68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0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67">
        <v>100352</v>
      </c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67">
        <v>198087</v>
      </c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67">
        <v>107346</v>
      </c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>
        <v>1</v>
      </c>
      <c r="D49" s="12">
        <f>C49*42</f>
        <v>42</v>
      </c>
      <c r="F49" s="148" t="s">
        <v>85</v>
      </c>
      <c r="G49" s="150">
        <f>H34+H35+H36+H37+H38+H39+H40+H41+G42+H44+H45+H46</f>
        <v>461803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>
        <v>8</v>
      </c>
      <c r="D50" s="12">
        <f>C50*1.5</f>
        <v>12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191</v>
      </c>
      <c r="G51" s="259">
        <f>G49-H29</f>
        <v>14.5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122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0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H27" sqref="H27:J2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46161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67">
        <f>62135-9270</f>
        <v>52865</v>
      </c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20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2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H15-H16-H17-H18-H19-H20-H22-H23-H24+H26+H27+H28</f>
        <v>52865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72">
        <f t="shared" ref="H34:H39" si="2">F34*G34</f>
        <v>16000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72">
        <f t="shared" si="2"/>
        <v>34000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28</v>
      </c>
      <c r="H37" s="172">
        <f t="shared" si="2"/>
        <v>2800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2">
        <f t="shared" si="2"/>
        <v>50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>
        <v>15</v>
      </c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0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52865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184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46161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2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0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8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46161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2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0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122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0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46162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27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H15-H16-H17-H18-H19-H20-H22-H23-H24+H26+H27+H28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2">
        <f t="shared" ref="H34:H39" si="2"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 t="shared" si="2"/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184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46161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8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46162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125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46163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27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H15-H16-H17-H18-H19-H20-H22-H23-H24+H26+H27+H28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2">
        <f t="shared" ref="H34:H39" si="2"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 t="shared" si="2"/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184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46163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8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46163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125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46164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27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H15-H16-H17-H18-H19-H20-H22-H23-H24+H26+H27+H28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2">
        <f t="shared" ref="H34:H39" si="2"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 t="shared" si="2"/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184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46164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8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46164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125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46165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27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H15-H16-H17-H18-H19-H20-H22-H23-H24+H26+H27+H28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2">
        <f t="shared" ref="H34:H39" si="2"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 t="shared" si="2"/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184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46165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8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46165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5" t="s">
        <v>7</v>
      </c>
      <c r="B4" s="176"/>
      <c r="C4" s="176"/>
      <c r="D4" s="177"/>
      <c r="F4" s="225" t="s">
        <v>8</v>
      </c>
      <c r="G4" s="227"/>
      <c r="H4" s="229" t="s">
        <v>9</v>
      </c>
      <c r="I4" s="231"/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0"/>
      <c r="B6" s="16"/>
      <c r="C6" s="10"/>
      <c r="D6" s="13">
        <f t="shared" ref="D6:D28" si="1">C6*L6</f>
        <v>0</v>
      </c>
      <c r="F6" s="235" t="s">
        <v>16</v>
      </c>
      <c r="G6" s="237"/>
      <c r="H6" s="238"/>
      <c r="I6" s="238"/>
      <c r="J6" s="23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0"/>
      <c r="B7" s="16"/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0"/>
      <c r="B8" s="16"/>
      <c r="C8" s="10"/>
      <c r="D8" s="13">
        <f t="shared" si="1"/>
        <v>0</v>
      </c>
      <c r="F8" s="243" t="s">
        <v>21</v>
      </c>
      <c r="G8" s="244"/>
      <c r="H8" s="245"/>
      <c r="I8" s="245"/>
      <c r="J8" s="2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0"/>
      <c r="B9" s="16"/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0"/>
      <c r="C10" s="10"/>
      <c r="D10" s="13">
        <f t="shared" si="1"/>
        <v>0</v>
      </c>
      <c r="F10" s="235" t="s">
        <v>26</v>
      </c>
      <c r="G10" s="250"/>
      <c r="H10" s="251"/>
      <c r="I10" s="251"/>
      <c r="J10" s="252"/>
      <c r="K10" s="8"/>
      <c r="L10" s="6">
        <f>R36</f>
        <v>972</v>
      </c>
      <c r="P10" s="4"/>
      <c r="Q10" s="4"/>
      <c r="R10" s="5"/>
    </row>
    <row r="11" spans="1:19" ht="15.75" x14ac:dyDescent="0.25">
      <c r="A11" s="170"/>
      <c r="B11" s="17"/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0"/>
      <c r="B12" s="17"/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0"/>
      <c r="B13" s="17"/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0"/>
      <c r="B14" s="14"/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0"/>
      <c r="B15" s="14"/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19"/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14"/>
      <c r="C19" s="10"/>
      <c r="D19" s="48">
        <f t="shared" si="1"/>
        <v>0</v>
      </c>
      <c r="F19" s="56"/>
      <c r="G19" s="68" t="s">
        <v>49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0"/>
      <c r="B20" s="46"/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0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/>
      <c r="C23" s="10"/>
      <c r="D23" s="48">
        <f t="shared" si="1"/>
        <v>0</v>
      </c>
      <c r="F23" s="78"/>
      <c r="G23" s="79"/>
      <c r="H23" s="198"/>
      <c r="I23" s="167"/>
      <c r="J23" s="16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/>
      <c r="C24" s="10"/>
      <c r="D24" s="48">
        <f t="shared" si="1"/>
        <v>0</v>
      </c>
      <c r="F24" s="38"/>
      <c r="G24" s="37"/>
      <c r="H24" s="198"/>
      <c r="I24" s="167"/>
      <c r="J24" s="16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/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0"/>
      <c r="B27" s="14"/>
      <c r="C27" s="10"/>
      <c r="D27" s="44">
        <f t="shared" si="1"/>
        <v>0</v>
      </c>
      <c r="F27" s="25"/>
      <c r="G27" s="80"/>
      <c r="H27" s="205"/>
      <c r="I27" s="206"/>
      <c r="J27" s="20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/>
      <c r="C28" s="10"/>
      <c r="D28" s="48">
        <f t="shared" si="1"/>
        <v>0</v>
      </c>
      <c r="F28" s="125"/>
      <c r="G28" s="61"/>
      <c r="H28" s="208"/>
      <c r="I28" s="209"/>
      <c r="J28" s="21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/>
      <c r="I34" s="173"/>
      <c r="J34" s="17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/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/>
      <c r="I36" s="173"/>
      <c r="J36" s="17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/>
      <c r="I37" s="173"/>
      <c r="J37" s="17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/>
      <c r="I38" s="173"/>
      <c r="J38" s="17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/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P43" s="4"/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P44" s="4"/>
      <c r="Q44" s="4"/>
      <c r="R44" s="5"/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P50" s="4"/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106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1</v>
      </c>
      <c r="H4" s="229" t="s">
        <v>9</v>
      </c>
      <c r="I4" s="231">
        <v>46167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99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120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108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7"/>
      <c r="G23" s="79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77"/>
      <c r="G24" s="79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75"/>
      <c r="G26" s="65"/>
      <c r="H26" s="167"/>
      <c r="I26" s="167"/>
      <c r="J26" s="16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71"/>
      <c r="G27" s="127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H15-H16-H17-H18-H19-H20-H22-H23-H24+H26+H27+H28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2">
        <f t="shared" ref="H34:H39" si="2"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 t="shared" si="2"/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si="2"/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62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62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184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2</v>
      </c>
      <c r="H4" s="229" t="s">
        <v>9</v>
      </c>
      <c r="I4" s="231">
        <v>46167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107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100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101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8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4" t="s">
        <v>1</v>
      </c>
      <c r="O1" s="224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5" t="s">
        <v>7</v>
      </c>
      <c r="B4" s="176"/>
      <c r="C4" s="176"/>
      <c r="D4" s="177"/>
      <c r="F4" s="225" t="s">
        <v>8</v>
      </c>
      <c r="G4" s="227">
        <v>3</v>
      </c>
      <c r="H4" s="229" t="s">
        <v>9</v>
      </c>
      <c r="I4" s="231">
        <v>46167</v>
      </c>
      <c r="J4" s="2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9" t="s">
        <v>7</v>
      </c>
      <c r="B5" s="15" t="s">
        <v>11</v>
      </c>
      <c r="C5" s="9" t="s">
        <v>12</v>
      </c>
      <c r="D5" s="25" t="s">
        <v>13</v>
      </c>
      <c r="F5" s="226"/>
      <c r="G5" s="228"/>
      <c r="H5" s="230"/>
      <c r="I5" s="233"/>
      <c r="J5" s="2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0"/>
      <c r="B6" s="16" t="s">
        <v>15</v>
      </c>
      <c r="C6" s="10"/>
      <c r="D6" s="13">
        <f t="shared" ref="D6:D28" si="1">C6*L6</f>
        <v>0</v>
      </c>
      <c r="F6" s="235" t="s">
        <v>16</v>
      </c>
      <c r="G6" s="237" t="s">
        <v>117</v>
      </c>
      <c r="H6" s="238"/>
      <c r="I6" s="238"/>
      <c r="J6" s="23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0"/>
      <c r="B7" s="16" t="s">
        <v>18</v>
      </c>
      <c r="C7" s="10"/>
      <c r="D7" s="13">
        <f t="shared" si="1"/>
        <v>0</v>
      </c>
      <c r="F7" s="236"/>
      <c r="G7" s="240"/>
      <c r="H7" s="241"/>
      <c r="I7" s="241"/>
      <c r="J7" s="24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0"/>
      <c r="B8" s="16" t="s">
        <v>20</v>
      </c>
      <c r="C8" s="10"/>
      <c r="D8" s="13">
        <f t="shared" si="1"/>
        <v>0</v>
      </c>
      <c r="F8" s="243" t="s">
        <v>21</v>
      </c>
      <c r="G8" s="244" t="s">
        <v>110</v>
      </c>
      <c r="H8" s="245"/>
      <c r="I8" s="245"/>
      <c r="J8" s="2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0"/>
      <c r="B9" s="16" t="s">
        <v>23</v>
      </c>
      <c r="C9" s="10"/>
      <c r="D9" s="13">
        <f t="shared" si="1"/>
        <v>0</v>
      </c>
      <c r="F9" s="236"/>
      <c r="G9" s="247"/>
      <c r="H9" s="248"/>
      <c r="I9" s="248"/>
      <c r="J9" s="2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0"/>
      <c r="B10" t="s">
        <v>25</v>
      </c>
      <c r="C10" s="10"/>
      <c r="D10" s="13">
        <f t="shared" si="1"/>
        <v>0</v>
      </c>
      <c r="F10" s="235" t="s">
        <v>26</v>
      </c>
      <c r="G10" s="250" t="s">
        <v>124</v>
      </c>
      <c r="H10" s="251"/>
      <c r="I10" s="251"/>
      <c r="J10" s="252"/>
      <c r="K10" s="8"/>
      <c r="L10" s="6">
        <f>R36</f>
        <v>1032</v>
      </c>
      <c r="P10" s="4"/>
      <c r="Q10" s="4"/>
      <c r="R10" s="5"/>
    </row>
    <row r="11" spans="1:18" ht="15.75" x14ac:dyDescent="0.25">
      <c r="A11" s="170"/>
      <c r="B11" s="17" t="s">
        <v>28</v>
      </c>
      <c r="C11" s="10"/>
      <c r="D11" s="13">
        <f t="shared" si="1"/>
        <v>0</v>
      </c>
      <c r="F11" s="236"/>
      <c r="G11" s="247"/>
      <c r="H11" s="248"/>
      <c r="I11" s="248"/>
      <c r="J11" s="2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0"/>
      <c r="B12" s="17" t="s">
        <v>30</v>
      </c>
      <c r="C12" s="10"/>
      <c r="D12" s="48">
        <f t="shared" si="1"/>
        <v>0</v>
      </c>
      <c r="F12" s="253" t="s">
        <v>33</v>
      </c>
      <c r="G12" s="254"/>
      <c r="H12" s="254"/>
      <c r="I12" s="254"/>
      <c r="J12" s="2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0"/>
      <c r="B13" s="17" t="s">
        <v>32</v>
      </c>
      <c r="C13" s="10"/>
      <c r="D13" s="48">
        <f t="shared" si="1"/>
        <v>0</v>
      </c>
      <c r="F13" s="256" t="s">
        <v>36</v>
      </c>
      <c r="G13" s="220"/>
      <c r="H13" s="211">
        <f>D29</f>
        <v>0</v>
      </c>
      <c r="I13" s="212"/>
      <c r="J13" s="21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0"/>
      <c r="B14" s="14" t="s">
        <v>35</v>
      </c>
      <c r="C14" s="10"/>
      <c r="D14" s="31">
        <f t="shared" si="1"/>
        <v>0</v>
      </c>
      <c r="F14" s="214" t="s">
        <v>38</v>
      </c>
      <c r="G14" s="215"/>
      <c r="H14" s="216">
        <f>D54</f>
        <v>0</v>
      </c>
      <c r="I14" s="217"/>
      <c r="J14" s="21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0"/>
      <c r="B15" s="14" t="s">
        <v>122</v>
      </c>
      <c r="C15" s="10"/>
      <c r="D15" s="31">
        <f t="shared" si="1"/>
        <v>0</v>
      </c>
      <c r="F15" s="219" t="s">
        <v>39</v>
      </c>
      <c r="G15" s="220"/>
      <c r="H15" s="221">
        <f>H13-H14</f>
        <v>0</v>
      </c>
      <c r="I15" s="222"/>
      <c r="J15" s="22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1"/>
      <c r="I16" s="181"/>
      <c r="J16" s="18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2"/>
      <c r="I17" s="192"/>
      <c r="J17" s="19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2"/>
      <c r="I18" s="192"/>
      <c r="J18" s="19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1"/>
      <c r="I20" s="181"/>
      <c r="J20" s="18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4" t="s">
        <v>13</v>
      </c>
      <c r="I21" s="195"/>
      <c r="J21" s="19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0"/>
      <c r="B22" s="46" t="s">
        <v>103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0"/>
      <c r="B23" s="14" t="s">
        <v>121</v>
      </c>
      <c r="C23" s="10"/>
      <c r="D23" s="48">
        <f t="shared" si="1"/>
        <v>0</v>
      </c>
      <c r="F23" s="78"/>
      <c r="G23" s="79"/>
      <c r="H23" s="277"/>
      <c r="I23" s="197"/>
      <c r="J23" s="19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0"/>
      <c r="B24" s="14" t="s">
        <v>128</v>
      </c>
      <c r="C24" s="10"/>
      <c r="D24" s="48">
        <f t="shared" si="1"/>
        <v>0</v>
      </c>
      <c r="F24" s="38"/>
      <c r="G24" s="37"/>
      <c r="H24" s="198"/>
      <c r="I24" s="167"/>
      <c r="J24" s="16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9" t="s">
        <v>13</v>
      </c>
      <c r="I25" s="200"/>
      <c r="J25" s="20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0"/>
      <c r="B26" s="14" t="s">
        <v>129</v>
      </c>
      <c r="C26" s="10"/>
      <c r="D26" s="48">
        <f t="shared" si="1"/>
        <v>0</v>
      </c>
      <c r="F26" s="64"/>
      <c r="G26" s="59"/>
      <c r="H26" s="202"/>
      <c r="I26" s="203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0"/>
      <c r="B27" s="14" t="s">
        <v>130</v>
      </c>
      <c r="C27" s="10"/>
      <c r="D27" s="44">
        <f t="shared" si="1"/>
        <v>0</v>
      </c>
      <c r="F27" s="25"/>
      <c r="G27" s="80"/>
      <c r="H27" s="205"/>
      <c r="I27" s="206"/>
      <c r="J27" s="20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1"/>
      <c r="B28" s="46" t="s">
        <v>92</v>
      </c>
      <c r="C28" s="10"/>
      <c r="D28" s="48">
        <f t="shared" si="1"/>
        <v>0</v>
      </c>
      <c r="F28" s="125"/>
      <c r="G28" s="61"/>
      <c r="H28" s="208"/>
      <c r="I28" s="209"/>
      <c r="J28" s="21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2" t="s">
        <v>36</v>
      </c>
      <c r="B29" s="183"/>
      <c r="C29" s="184"/>
      <c r="D29" s="188">
        <f>SUM(D6:D28)</f>
        <v>0</v>
      </c>
      <c r="F29" s="128" t="s">
        <v>54</v>
      </c>
      <c r="G29" s="190"/>
      <c r="H29" s="150">
        <f>H15-H16-H17-H18-H19-H20-H22-H23-H24+H26+H27</f>
        <v>0</v>
      </c>
      <c r="I29" s="151"/>
      <c r="J29" s="15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5"/>
      <c r="B30" s="186"/>
      <c r="C30" s="187"/>
      <c r="D30" s="189"/>
      <c r="F30" s="131"/>
      <c r="G30" s="191"/>
      <c r="H30" s="153"/>
      <c r="I30" s="154"/>
      <c r="J30" s="155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5" t="s">
        <v>57</v>
      </c>
      <c r="B32" s="176"/>
      <c r="C32" s="176"/>
      <c r="D32" s="177"/>
      <c r="F32" s="178" t="s">
        <v>58</v>
      </c>
      <c r="G32" s="179"/>
      <c r="H32" s="179"/>
      <c r="I32" s="179"/>
      <c r="J32" s="18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78" t="s">
        <v>13</v>
      </c>
      <c r="I33" s="179"/>
      <c r="J33" s="18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2">
        <f>F34*G34</f>
        <v>0</v>
      </c>
      <c r="I34" s="173"/>
      <c r="J34" s="17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0"/>
      <c r="B35" s="27" t="s">
        <v>67</v>
      </c>
      <c r="C35" s="52"/>
      <c r="D35" s="30">
        <f>C35*84</f>
        <v>0</v>
      </c>
      <c r="F35" s="58">
        <v>500</v>
      </c>
      <c r="G35" s="41"/>
      <c r="H35" s="172">
        <f>F35*G35</f>
        <v>0</v>
      </c>
      <c r="I35" s="173"/>
      <c r="J35" s="17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1"/>
      <c r="B36" s="26" t="s">
        <v>69</v>
      </c>
      <c r="C36" s="10"/>
      <c r="D36" s="12">
        <f>C36*1.5</f>
        <v>0</v>
      </c>
      <c r="F36" s="12">
        <v>200</v>
      </c>
      <c r="G36" s="37"/>
      <c r="H36" s="172">
        <f t="shared" ref="H36:H39" si="2">F36*G36</f>
        <v>0</v>
      </c>
      <c r="I36" s="173"/>
      <c r="J36" s="17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2">
        <f t="shared" si="2"/>
        <v>0</v>
      </c>
      <c r="I37" s="173"/>
      <c r="J37" s="17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0"/>
      <c r="B38" s="29" t="s">
        <v>67</v>
      </c>
      <c r="C38" s="54"/>
      <c r="D38" s="12">
        <f>C38*84</f>
        <v>0</v>
      </c>
      <c r="F38" s="30">
        <v>50</v>
      </c>
      <c r="G38" s="39"/>
      <c r="H38" s="172">
        <f t="shared" si="2"/>
        <v>0</v>
      </c>
      <c r="I38" s="173"/>
      <c r="J38" s="17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1"/>
      <c r="B39" s="29" t="s">
        <v>69</v>
      </c>
      <c r="C39" s="52"/>
      <c r="D39" s="31">
        <f>C39*4.5</f>
        <v>0</v>
      </c>
      <c r="F39" s="12">
        <v>20</v>
      </c>
      <c r="G39" s="37"/>
      <c r="H39" s="172">
        <f t="shared" si="2"/>
        <v>0</v>
      </c>
      <c r="I39" s="173"/>
      <c r="J39" s="17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2"/>
      <c r="I40" s="173"/>
      <c r="J40" s="17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0"/>
      <c r="B41" s="27" t="s">
        <v>67</v>
      </c>
      <c r="C41" s="10"/>
      <c r="D41" s="12">
        <f>C41*84</f>
        <v>0</v>
      </c>
      <c r="F41" s="12">
        <v>5</v>
      </c>
      <c r="G41" s="42"/>
      <c r="H41" s="172"/>
      <c r="I41" s="173"/>
      <c r="J41" s="17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1"/>
      <c r="B42" s="27" t="s">
        <v>69</v>
      </c>
      <c r="C42" s="11"/>
      <c r="D42" s="12">
        <f>C42*2.25</f>
        <v>0</v>
      </c>
      <c r="F42" s="39" t="s">
        <v>78</v>
      </c>
      <c r="G42" s="172"/>
      <c r="H42" s="173"/>
      <c r="I42" s="173"/>
      <c r="J42" s="17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2" t="s">
        <v>80</v>
      </c>
      <c r="C43" s="11"/>
      <c r="D43" s="12"/>
      <c r="F43" s="59" t="s">
        <v>81</v>
      </c>
      <c r="G43" s="127" t="s">
        <v>82</v>
      </c>
      <c r="H43" s="164" t="s">
        <v>13</v>
      </c>
      <c r="I43" s="165"/>
      <c r="J43" s="16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3"/>
      <c r="B44" s="27" t="s">
        <v>65</v>
      </c>
      <c r="C44" s="10"/>
      <c r="D44" s="12">
        <f>C44*120</f>
        <v>0</v>
      </c>
      <c r="F44" s="37"/>
      <c r="G44" s="76"/>
      <c r="H44" s="167"/>
      <c r="I44" s="167"/>
      <c r="J44" s="16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3"/>
      <c r="B45" s="27" t="s">
        <v>67</v>
      </c>
      <c r="C45" s="33"/>
      <c r="D45" s="12">
        <f>C45*84</f>
        <v>0</v>
      </c>
      <c r="F45" s="37"/>
      <c r="G45" s="76"/>
      <c r="H45" s="167"/>
      <c r="I45" s="167"/>
      <c r="J45" s="167"/>
      <c r="K45" s="21"/>
      <c r="P45" s="4"/>
      <c r="Q45" s="4"/>
      <c r="R45" s="5"/>
    </row>
    <row r="46" spans="1:18" ht="15.75" x14ac:dyDescent="0.25">
      <c r="A46" s="143"/>
      <c r="B46" s="49" t="s">
        <v>69</v>
      </c>
      <c r="C46" s="81"/>
      <c r="D46" s="12">
        <f>C46*1.5</f>
        <v>0</v>
      </c>
      <c r="F46" s="37"/>
      <c r="G46" s="62"/>
      <c r="H46" s="168"/>
      <c r="I46" s="168"/>
      <c r="J46" s="168"/>
      <c r="K46" s="21"/>
      <c r="P46" s="4"/>
      <c r="Q46" s="4"/>
      <c r="R46" s="5"/>
    </row>
    <row r="47" spans="1:18" ht="15.75" x14ac:dyDescent="0.25">
      <c r="A47" s="144"/>
      <c r="B47" s="27"/>
      <c r="C47" s="11"/>
      <c r="D47" s="12"/>
      <c r="F47" s="59"/>
      <c r="G47" s="59"/>
      <c r="H47" s="145"/>
      <c r="I47" s="146"/>
      <c r="J47" s="147"/>
      <c r="K47" s="21"/>
      <c r="P47" s="4"/>
      <c r="Q47" s="4"/>
      <c r="R47" s="5"/>
    </row>
    <row r="48" spans="1:18" ht="15" customHeight="1" x14ac:dyDescent="0.25">
      <c r="A48" s="142" t="s">
        <v>32</v>
      </c>
      <c r="B48" s="27" t="s">
        <v>65</v>
      </c>
      <c r="C48" s="10"/>
      <c r="D48" s="12">
        <f>C48*78</f>
        <v>0</v>
      </c>
      <c r="F48" s="59"/>
      <c r="G48" s="59"/>
      <c r="H48" s="145"/>
      <c r="I48" s="146"/>
      <c r="J48" s="14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3"/>
      <c r="B49" s="29" t="s">
        <v>67</v>
      </c>
      <c r="C49" s="33"/>
      <c r="D49" s="12">
        <f>C49*42</f>
        <v>0</v>
      </c>
      <c r="F49" s="148" t="s">
        <v>85</v>
      </c>
      <c r="G49" s="150">
        <f>H34+H35+H36+H37+H38+H39+H40+H41+G42+H44+H45+H46</f>
        <v>0</v>
      </c>
      <c r="H49" s="151"/>
      <c r="I49" s="151"/>
      <c r="J49" s="15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3"/>
      <c r="B50" s="32" t="s">
        <v>69</v>
      </c>
      <c r="C50" s="11"/>
      <c r="D50" s="12">
        <f>C50*1.5</f>
        <v>0</v>
      </c>
      <c r="F50" s="149"/>
      <c r="G50" s="153"/>
      <c r="H50" s="154"/>
      <c r="I50" s="154"/>
      <c r="J50" s="155"/>
      <c r="O50" t="s">
        <v>114</v>
      </c>
      <c r="P50" s="4">
        <v>1204</v>
      </c>
      <c r="Q50" s="4"/>
      <c r="R50" s="5"/>
    </row>
    <row r="51" spans="1:18" ht="15" customHeight="1" x14ac:dyDescent="0.25">
      <c r="A51" s="143"/>
      <c r="B51" s="27"/>
      <c r="C51" s="10"/>
      <c r="D51" s="31"/>
      <c r="F51" s="156" t="s">
        <v>115</v>
      </c>
      <c r="G51" s="158">
        <f>G49-H29</f>
        <v>0</v>
      </c>
      <c r="H51" s="159"/>
      <c r="I51" s="159"/>
      <c r="J51" s="1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3"/>
      <c r="B52" s="29"/>
      <c r="C52" s="33"/>
      <c r="D52" s="45"/>
      <c r="F52" s="157"/>
      <c r="G52" s="161"/>
      <c r="H52" s="162"/>
      <c r="I52" s="162"/>
      <c r="J52" s="1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8" t="s">
        <v>89</v>
      </c>
      <c r="B54" s="129"/>
      <c r="C54" s="130"/>
      <c r="D54" s="13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1"/>
      <c r="B55" s="132"/>
      <c r="C55" s="133"/>
      <c r="D55" s="13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6" t="s">
        <v>90</v>
      </c>
      <c r="B58" s="137"/>
      <c r="C58" s="137"/>
      <c r="D58" s="138"/>
      <c r="F58" s="136" t="s">
        <v>91</v>
      </c>
      <c r="G58" s="137"/>
      <c r="H58" s="137"/>
      <c r="I58" s="137"/>
      <c r="J58" s="138"/>
    </row>
    <row r="59" spans="1:18" x14ac:dyDescent="0.25">
      <c r="A59" s="139"/>
      <c r="B59" s="140"/>
      <c r="C59" s="140"/>
      <c r="D59" s="141"/>
      <c r="F59" s="139"/>
      <c r="G59" s="140"/>
      <c r="H59" s="140"/>
      <c r="I59" s="140"/>
      <c r="J59" s="14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80</vt:i4>
      </vt:variant>
      <vt:variant>
        <vt:lpstr>Named Ranges</vt:lpstr>
      </vt:variant>
      <vt:variant>
        <vt:i4>79</vt:i4>
      </vt:variant>
    </vt:vector>
  </HeadingPairs>
  <TitlesOfParts>
    <vt:vector size="159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R2</vt:lpstr>
      <vt:lpstr>05,22 R3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R2'!Print_Area</vt:lpstr>
      <vt:lpstr>'05,22 R3'!Print_Area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2026-05-19T00:51:35Z</cp:lastPrinted>
  <dcterms:created xsi:type="dcterms:W3CDTF">2024-09-01T23:36:50Z</dcterms:created>
  <dcterms:modified xsi:type="dcterms:W3CDTF">2026-05-19T01:53:53Z</dcterms:modified>
</cp:coreProperties>
</file>