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MAY FILES 2026\"/>
    </mc:Choice>
  </mc:AlternateContent>
  <xr:revisionPtr revIDLastSave="0" documentId="13_ncr:1_{2E9E6407-EC61-4B11-AA53-77F18ACBD5C7}" xr6:coauthVersionLast="45" xr6:coauthVersionMax="47" xr10:uidLastSave="{00000000-0000-0000-0000-000000000000}"/>
  <bookViews>
    <workbookView xWindow="-120" yWindow="-120" windowWidth="29040" windowHeight="15840" firstSheet="16" activeTab="23" xr2:uid="{00000000-000D-0000-FFFF-FFFF00000000}"/>
  </bookViews>
  <sheets>
    <sheet name="(MAY 2026)" sheetId="814" r:id="rId1"/>
    <sheet name="(01)" sheetId="2026" r:id="rId2"/>
    <sheet name="05,01 R1" sheetId="2027" r:id="rId3"/>
    <sheet name="05,01 R2" sheetId="2028" r:id="rId4"/>
    <sheet name="05,01 R3" sheetId="2029" r:id="rId5"/>
    <sheet name="(2)" sheetId="2054" r:id="rId6"/>
    <sheet name="05,02 R3" sheetId="2055" r:id="rId7"/>
    <sheet name="(4)" sheetId="2030" r:id="rId8"/>
    <sheet name="05,04 R1" sheetId="2031" r:id="rId9"/>
    <sheet name="05,04 R2" sheetId="2032" r:id="rId10"/>
    <sheet name="05,04 R3" sheetId="2033" r:id="rId11"/>
    <sheet name="(5)" sheetId="2034" r:id="rId12"/>
    <sheet name="05,05 R1" sheetId="2035" r:id="rId13"/>
    <sheet name="05,05 R2" sheetId="2036" r:id="rId14"/>
    <sheet name="05,05 R3" sheetId="2037" r:id="rId15"/>
    <sheet name="(6)" sheetId="2038" r:id="rId16"/>
    <sheet name="05,06 R1" sheetId="2039" r:id="rId17"/>
    <sheet name="05,06 R2" sheetId="2040" r:id="rId18"/>
    <sheet name="05,06 R3" sheetId="2041" r:id="rId19"/>
    <sheet name="(7)" sheetId="2042" r:id="rId20"/>
    <sheet name="05,07 R1" sheetId="2043" r:id="rId21"/>
    <sheet name="05,07 R1 (2)" sheetId="2073" r:id="rId22"/>
    <sheet name="05,07 R2" sheetId="2044" r:id="rId23"/>
    <sheet name="05,07 R3" sheetId="2045" r:id="rId24"/>
    <sheet name="(8)" sheetId="2046" r:id="rId25"/>
    <sheet name="05,08 R1" sheetId="2047" r:id="rId26"/>
    <sheet name="05,08 R2" sheetId="2048" r:id="rId27"/>
    <sheet name="05,08 R3" sheetId="2049" r:id="rId28"/>
    <sheet name="(11)" sheetId="2050" r:id="rId29"/>
    <sheet name="05,11 R1" sheetId="2051" r:id="rId30"/>
    <sheet name="05,11 R2" sheetId="2052" r:id="rId31"/>
    <sheet name="05,11 R3" sheetId="2053" r:id="rId32"/>
    <sheet name="(12)" sheetId="2056" r:id="rId33"/>
    <sheet name="05,12 R1" sheetId="2057" r:id="rId34"/>
    <sheet name="05,12 R2" sheetId="2058" r:id="rId35"/>
    <sheet name="05,12 R3" sheetId="2059" r:id="rId36"/>
    <sheet name="(13)" sheetId="2060" r:id="rId37"/>
    <sheet name="05,13 R1" sheetId="2061" r:id="rId38"/>
    <sheet name="05,13 R2" sheetId="2062" r:id="rId39"/>
    <sheet name="05,13 R3" sheetId="2063" r:id="rId40"/>
    <sheet name="(14)" sheetId="2064" r:id="rId41"/>
    <sheet name="05,14 R1" sheetId="2065" r:id="rId42"/>
    <sheet name="05,14 R2" sheetId="2066" r:id="rId43"/>
    <sheet name="05,14 R3" sheetId="2067" r:id="rId44"/>
    <sheet name="(15)" sheetId="2068" r:id="rId45"/>
    <sheet name="05,15 R1" sheetId="2069" r:id="rId46"/>
    <sheet name="05,15 R2" sheetId="2070" r:id="rId47"/>
    <sheet name="05,15 R3" sheetId="2071" r:id="rId48"/>
    <sheet name="(16)" sheetId="2072" r:id="rId49"/>
  </sheets>
  <definedNames>
    <definedName name="_xlnm.Print_Area" localSheetId="1">'(01)'!$A$1:$J$60</definedName>
    <definedName name="_xlnm.Print_Area" localSheetId="28">'(11)'!$A$1:$J$60</definedName>
    <definedName name="_xlnm.Print_Area" localSheetId="32">'(12)'!$A$1:$J$60</definedName>
    <definedName name="_xlnm.Print_Area" localSheetId="36">'(13)'!$A$1:$J$60</definedName>
    <definedName name="_xlnm.Print_Area" localSheetId="40">'(14)'!$A$1:$J$60</definedName>
    <definedName name="_xlnm.Print_Area" localSheetId="44">'(15)'!$A$1:$J$60</definedName>
    <definedName name="_xlnm.Print_Area" localSheetId="48">'(16)'!$A$1:$J$60</definedName>
    <definedName name="_xlnm.Print_Area" localSheetId="5">'(2)'!$A$1:$J$60</definedName>
    <definedName name="_xlnm.Print_Area" localSheetId="7">'(4)'!$A$1:$J$60</definedName>
    <definedName name="_xlnm.Print_Area" localSheetId="11">'(5)'!$A$1:$J$60</definedName>
    <definedName name="_xlnm.Print_Area" localSheetId="15">'(6)'!$A$1:$J$60</definedName>
    <definedName name="_xlnm.Print_Area" localSheetId="19">'(7)'!$A$1:$J$60</definedName>
    <definedName name="_xlnm.Print_Area" localSheetId="24">'(8)'!$A$1:$J$60</definedName>
    <definedName name="_xlnm.Print_Area" localSheetId="2">'05,01 R1'!$A$1:$J$60</definedName>
    <definedName name="_xlnm.Print_Area" localSheetId="3">'05,01 R2'!$A$1:$J$60</definedName>
    <definedName name="_xlnm.Print_Area" localSheetId="4">'05,01 R3'!$A$1:$J$60</definedName>
    <definedName name="_xlnm.Print_Area" localSheetId="6">'05,02 R3'!$A$1:$J$60</definedName>
    <definedName name="_xlnm.Print_Area" localSheetId="8">'05,04 R1'!$A$1:$J$60</definedName>
    <definedName name="_xlnm.Print_Area" localSheetId="9">'05,04 R2'!$A$1:$J$60</definedName>
    <definedName name="_xlnm.Print_Area" localSheetId="10">'05,04 R3'!$A$1:$J$60</definedName>
    <definedName name="_xlnm.Print_Area" localSheetId="12">'05,05 R1'!$A$1:$J$60</definedName>
    <definedName name="_xlnm.Print_Area" localSheetId="13">'05,05 R2'!$A$1:$J$60</definedName>
    <definedName name="_xlnm.Print_Area" localSheetId="14">'05,05 R3'!$A$1:$J$60</definedName>
    <definedName name="_xlnm.Print_Area" localSheetId="16">'05,06 R1'!$A$1:$J$60</definedName>
    <definedName name="_xlnm.Print_Area" localSheetId="17">'05,06 R2'!$A$1:$J$60</definedName>
    <definedName name="_xlnm.Print_Area" localSheetId="18">'05,06 R3'!$A$1:$J$60</definedName>
    <definedName name="_xlnm.Print_Area" localSheetId="20">'05,07 R1'!$A$1:$J$60</definedName>
    <definedName name="_xlnm.Print_Area" localSheetId="21">'05,07 R1 (2)'!$A$1:$J$60</definedName>
    <definedName name="_xlnm.Print_Area" localSheetId="22">'05,07 R2'!$A$1:$J$60</definedName>
    <definedName name="_xlnm.Print_Area" localSheetId="23">'05,07 R3'!$A$1:$J$60</definedName>
    <definedName name="_xlnm.Print_Area" localSheetId="25">'05,08 R1'!$A$1:$J$60</definedName>
    <definedName name="_xlnm.Print_Area" localSheetId="26">'05,08 R2'!$A$1:$J$60</definedName>
    <definedName name="_xlnm.Print_Area" localSheetId="27">'05,08 R3'!$A$1:$J$60</definedName>
    <definedName name="_xlnm.Print_Area" localSheetId="29">'05,11 R1'!$A$1:$J$60</definedName>
    <definedName name="_xlnm.Print_Area" localSheetId="30">'05,11 R2'!$A$1:$J$60</definedName>
    <definedName name="_xlnm.Print_Area" localSheetId="31">'05,11 R3'!$A$1:$J$60</definedName>
    <definedName name="_xlnm.Print_Area" localSheetId="33">'05,12 R1'!$A$1:$J$60</definedName>
    <definedName name="_xlnm.Print_Area" localSheetId="34">'05,12 R2'!$A$1:$J$60</definedName>
    <definedName name="_xlnm.Print_Area" localSheetId="35">'05,12 R3'!$A$1:$J$60</definedName>
    <definedName name="_xlnm.Print_Area" localSheetId="37">'05,13 R1'!$A$1:$J$60</definedName>
    <definedName name="_xlnm.Print_Area" localSheetId="38">'05,13 R2'!$A$1:$J$60</definedName>
    <definedName name="_xlnm.Print_Area" localSheetId="39">'05,13 R3'!$A$1:$J$60</definedName>
    <definedName name="_xlnm.Print_Area" localSheetId="41">'05,14 R1'!$A$1:$J$60</definedName>
    <definedName name="_xlnm.Print_Area" localSheetId="42">'05,14 R2'!$A$1:$J$60</definedName>
    <definedName name="_xlnm.Print_Area" localSheetId="43">'05,14 R3'!$A$1:$J$60</definedName>
    <definedName name="_xlnm.Print_Area" localSheetId="45">'05,15 R1'!$A$1:$J$60</definedName>
    <definedName name="_xlnm.Print_Area" localSheetId="46">'05,15 R2'!$A$1:$J$60</definedName>
    <definedName name="_xlnm.Print_Area" localSheetId="47">'05,15 R3'!$A$1:$J$60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H34" i="2043" l="1"/>
  <c r="R52" i="2073"/>
  <c r="R51" i="2073"/>
  <c r="D50" i="2073"/>
  <c r="R49" i="2073"/>
  <c r="D49" i="2073"/>
  <c r="R48" i="2073"/>
  <c r="D48" i="2073"/>
  <c r="D46" i="2073"/>
  <c r="D45" i="2073"/>
  <c r="R44" i="2073"/>
  <c r="D44" i="2073"/>
  <c r="R42" i="2073"/>
  <c r="L6" i="2073" s="1"/>
  <c r="D6" i="2073" s="1"/>
  <c r="D42" i="2073"/>
  <c r="R41" i="2073"/>
  <c r="D41" i="2073"/>
  <c r="R40" i="2073"/>
  <c r="L8" i="2073" s="1"/>
  <c r="D8" i="2073" s="1"/>
  <c r="D40" i="2073"/>
  <c r="R39" i="2073"/>
  <c r="H39" i="2073"/>
  <c r="D39" i="2073"/>
  <c r="R38" i="2073"/>
  <c r="H38" i="2073"/>
  <c r="D38" i="2073"/>
  <c r="R37" i="2073"/>
  <c r="H37" i="2073"/>
  <c r="D37" i="2073"/>
  <c r="R36" i="2073"/>
  <c r="L10" i="2073" s="1"/>
  <c r="D10" i="2073" s="1"/>
  <c r="H36" i="2073"/>
  <c r="D36" i="2073"/>
  <c r="R35" i="2073"/>
  <c r="L18" i="2073" s="1"/>
  <c r="D18" i="2073" s="1"/>
  <c r="H35" i="2073"/>
  <c r="G49" i="2073" s="1"/>
  <c r="D35" i="2073"/>
  <c r="R34" i="2073"/>
  <c r="L12" i="2073" s="1"/>
  <c r="D12" i="2073" s="1"/>
  <c r="H34" i="2073"/>
  <c r="D34" i="2073"/>
  <c r="D54" i="2073" s="1"/>
  <c r="H14" i="2073" s="1"/>
  <c r="R33" i="2073"/>
  <c r="L19" i="2073" s="1"/>
  <c r="D19" i="2073" s="1"/>
  <c r="R32" i="2073"/>
  <c r="R31" i="2073"/>
  <c r="R30" i="2073"/>
  <c r="R29" i="2073"/>
  <c r="R28" i="2073"/>
  <c r="L28" i="2073"/>
  <c r="D28" i="2073"/>
  <c r="R27" i="2073"/>
  <c r="L27" i="2073"/>
  <c r="D27" i="2073"/>
  <c r="R26" i="2073"/>
  <c r="L26" i="2073"/>
  <c r="D26" i="2073"/>
  <c r="R25" i="2073"/>
  <c r="L25" i="2073"/>
  <c r="D25" i="2073" s="1"/>
  <c r="R24" i="2073"/>
  <c r="L24" i="2073"/>
  <c r="D24" i="2073"/>
  <c r="R23" i="2073"/>
  <c r="L23" i="2073"/>
  <c r="D23" i="2073"/>
  <c r="R22" i="2073"/>
  <c r="L20" i="2073" s="1"/>
  <c r="D20" i="2073" s="1"/>
  <c r="L22" i="2073"/>
  <c r="D22" i="2073"/>
  <c r="R21" i="2073"/>
  <c r="L17" i="2073" s="1"/>
  <c r="D17" i="2073" s="1"/>
  <c r="L21" i="2073"/>
  <c r="D21" i="2073" s="1"/>
  <c r="R20" i="2073"/>
  <c r="R19" i="2073"/>
  <c r="R18" i="2073"/>
  <c r="R17" i="2073"/>
  <c r="R16" i="2073"/>
  <c r="L16" i="2073"/>
  <c r="D16" i="2073"/>
  <c r="R15" i="2073"/>
  <c r="L15" i="2073"/>
  <c r="D15" i="2073" s="1"/>
  <c r="R14" i="2073"/>
  <c r="D14" i="2073"/>
  <c r="R13" i="2073"/>
  <c r="D13" i="2073"/>
  <c r="R12" i="2073"/>
  <c r="R11" i="2073"/>
  <c r="L11" i="2073"/>
  <c r="D11" i="2073"/>
  <c r="L9" i="2073"/>
  <c r="D9" i="2073" s="1"/>
  <c r="L7" i="2073"/>
  <c r="D7" i="2073"/>
  <c r="R6" i="2073"/>
  <c r="R5" i="2073"/>
  <c r="R4" i="2073"/>
  <c r="H16" i="2045"/>
  <c r="C18" i="2045"/>
  <c r="C15" i="2045"/>
  <c r="D29" i="2073" l="1"/>
  <c r="H13" i="2073" s="1"/>
  <c r="H15" i="2073" s="1"/>
  <c r="H29" i="2073" s="1"/>
  <c r="G51" i="2073" s="1"/>
  <c r="R52" i="2072"/>
  <c r="R51" i="2072"/>
  <c r="D50" i="2072"/>
  <c r="R49" i="2072"/>
  <c r="G49" i="2072"/>
  <c r="D49" i="2072"/>
  <c r="R48" i="2072"/>
  <c r="D48" i="2072"/>
  <c r="D46" i="2072"/>
  <c r="D45" i="2072"/>
  <c r="D44" i="2072"/>
  <c r="R42" i="2072"/>
  <c r="L6" i="2072" s="1"/>
  <c r="D6" i="2072" s="1"/>
  <c r="D42" i="2072"/>
  <c r="R41" i="2072"/>
  <c r="L7" i="2072" s="1"/>
  <c r="D7" i="2072" s="1"/>
  <c r="D41" i="2072"/>
  <c r="R40" i="2072"/>
  <c r="D40" i="2072"/>
  <c r="R39" i="2072"/>
  <c r="D39" i="2072"/>
  <c r="R38" i="2072"/>
  <c r="D38" i="2072"/>
  <c r="R37" i="2072"/>
  <c r="D37" i="2072"/>
  <c r="R36" i="2072"/>
  <c r="D36" i="2072"/>
  <c r="R35" i="2072"/>
  <c r="D35" i="2072"/>
  <c r="D54" i="2072" s="1"/>
  <c r="H14" i="2072" s="1"/>
  <c r="R34" i="2072"/>
  <c r="L12" i="2072" s="1"/>
  <c r="D12" i="2072" s="1"/>
  <c r="D34" i="2072"/>
  <c r="R33" i="2072"/>
  <c r="L23" i="2072" s="1"/>
  <c r="D23" i="2072" s="1"/>
  <c r="R32" i="2072"/>
  <c r="L11" i="2072" s="1"/>
  <c r="D11" i="2072" s="1"/>
  <c r="R31" i="2072"/>
  <c r="R30" i="2072"/>
  <c r="R29" i="2072"/>
  <c r="R28" i="2072"/>
  <c r="D28" i="2072"/>
  <c r="R27" i="2072"/>
  <c r="D27" i="2072"/>
  <c r="R26" i="2072"/>
  <c r="L26" i="2072"/>
  <c r="D26" i="2072"/>
  <c r="R25" i="2072"/>
  <c r="L25" i="2072"/>
  <c r="D25" i="2072"/>
  <c r="R24" i="2072"/>
  <c r="D24" i="2072"/>
  <c r="R23" i="2072"/>
  <c r="R22" i="2072"/>
  <c r="L22" i="2072"/>
  <c r="D22" i="2072"/>
  <c r="R21" i="2072"/>
  <c r="D21" i="2072"/>
  <c r="R20" i="2072"/>
  <c r="L20" i="2072"/>
  <c r="D20" i="2072"/>
  <c r="R19" i="2072"/>
  <c r="L19" i="2072"/>
  <c r="D19" i="2072"/>
  <c r="R18" i="2072"/>
  <c r="D18" i="2072"/>
  <c r="R17" i="2072"/>
  <c r="D17" i="2072"/>
  <c r="R16" i="2072"/>
  <c r="L16" i="2072"/>
  <c r="D16" i="2072" s="1"/>
  <c r="S15" i="2072"/>
  <c r="R15" i="2072"/>
  <c r="D15" i="2072"/>
  <c r="S14" i="2072"/>
  <c r="R14" i="2072"/>
  <c r="D14" i="2072"/>
  <c r="R13" i="2072"/>
  <c r="D13" i="2072"/>
  <c r="R12" i="2072"/>
  <c r="R11" i="2072"/>
  <c r="L10" i="2072"/>
  <c r="D10" i="2072" s="1"/>
  <c r="L9" i="2072"/>
  <c r="D9" i="2072" s="1"/>
  <c r="L8" i="2072"/>
  <c r="D8" i="2072"/>
  <c r="R6" i="2072"/>
  <c r="R5" i="2072"/>
  <c r="R4" i="2072"/>
  <c r="R52" i="2071"/>
  <c r="R51" i="2071"/>
  <c r="D50" i="2071"/>
  <c r="R49" i="2071"/>
  <c r="D49" i="2071"/>
  <c r="R48" i="2071"/>
  <c r="D48" i="2071"/>
  <c r="D46" i="2071"/>
  <c r="D45" i="2071"/>
  <c r="R44" i="2071"/>
  <c r="D44" i="2071"/>
  <c r="R42" i="2071"/>
  <c r="L6" i="2071" s="1"/>
  <c r="D6" i="2071" s="1"/>
  <c r="D42" i="2071"/>
  <c r="R41" i="2071"/>
  <c r="D41" i="2071"/>
  <c r="R40" i="2071"/>
  <c r="L8" i="2071" s="1"/>
  <c r="D8" i="2071" s="1"/>
  <c r="D40" i="2071"/>
  <c r="R39" i="2071"/>
  <c r="H39" i="2071"/>
  <c r="D39" i="2071"/>
  <c r="R38" i="2071"/>
  <c r="H38" i="2071"/>
  <c r="D38" i="2071"/>
  <c r="R37" i="2071"/>
  <c r="H37" i="2071"/>
  <c r="D37" i="2071"/>
  <c r="R36" i="2071"/>
  <c r="H36" i="2071"/>
  <c r="D36" i="2071"/>
  <c r="R35" i="2071"/>
  <c r="H35" i="2071"/>
  <c r="D35" i="2071"/>
  <c r="R34" i="2071"/>
  <c r="H34" i="2071"/>
  <c r="G49" i="2071" s="1"/>
  <c r="D34" i="2071"/>
  <c r="D54" i="2071" s="1"/>
  <c r="H14" i="2071" s="1"/>
  <c r="R33" i="2071"/>
  <c r="L19" i="2071" s="1"/>
  <c r="D19" i="2071" s="1"/>
  <c r="R32" i="2071"/>
  <c r="R31" i="2071"/>
  <c r="R30" i="2071"/>
  <c r="R29" i="2071"/>
  <c r="R28" i="2071"/>
  <c r="L28" i="2071"/>
  <c r="D28" i="2071"/>
  <c r="R27" i="2071"/>
  <c r="L27" i="2071"/>
  <c r="D27" i="2071" s="1"/>
  <c r="R26" i="2071"/>
  <c r="L26" i="2071"/>
  <c r="D26" i="2071" s="1"/>
  <c r="R25" i="2071"/>
  <c r="L25" i="2071"/>
  <c r="D25" i="2071" s="1"/>
  <c r="R24" i="2071"/>
  <c r="L24" i="2071"/>
  <c r="D24" i="2071" s="1"/>
  <c r="R23" i="2071"/>
  <c r="L23" i="2071"/>
  <c r="D23" i="2071"/>
  <c r="R22" i="2071"/>
  <c r="L20" i="2071" s="1"/>
  <c r="D20" i="2071" s="1"/>
  <c r="L22" i="2071"/>
  <c r="D22" i="2071"/>
  <c r="R21" i="2071"/>
  <c r="L21" i="2071"/>
  <c r="D21" i="2071"/>
  <c r="R20" i="2071"/>
  <c r="R19" i="2071"/>
  <c r="R18" i="2071"/>
  <c r="L18" i="2071"/>
  <c r="D18" i="2071"/>
  <c r="R17" i="2071"/>
  <c r="L17" i="2071"/>
  <c r="D17" i="2071" s="1"/>
  <c r="R16" i="2071"/>
  <c r="L16" i="2071"/>
  <c r="D16" i="2071"/>
  <c r="R15" i="2071"/>
  <c r="R14" i="2071"/>
  <c r="D14" i="2071"/>
  <c r="R13" i="2071"/>
  <c r="D13" i="2071"/>
  <c r="R12" i="2071"/>
  <c r="L12" i="2071"/>
  <c r="D12" i="2071" s="1"/>
  <c r="R11" i="2071"/>
  <c r="L11" i="2071"/>
  <c r="D11" i="2071"/>
  <c r="L10" i="2071"/>
  <c r="D10" i="2071" s="1"/>
  <c r="L9" i="2071"/>
  <c r="D9" i="2071"/>
  <c r="L7" i="2071"/>
  <c r="D7" i="2071"/>
  <c r="R6" i="2071"/>
  <c r="R5" i="2071"/>
  <c r="R4" i="2071"/>
  <c r="L15" i="2071" s="1"/>
  <c r="D15" i="2071" s="1"/>
  <c r="R52" i="2070"/>
  <c r="R51" i="2070"/>
  <c r="D50" i="2070"/>
  <c r="R49" i="2070"/>
  <c r="D49" i="2070"/>
  <c r="R48" i="2070"/>
  <c r="D48" i="2070"/>
  <c r="D46" i="2070"/>
  <c r="D45" i="2070"/>
  <c r="R44" i="2070"/>
  <c r="L28" i="2070" s="1"/>
  <c r="D28" i="2070" s="1"/>
  <c r="D44" i="2070"/>
  <c r="R42" i="2070"/>
  <c r="D42" i="2070"/>
  <c r="R41" i="2070"/>
  <c r="L7" i="2070" s="1"/>
  <c r="D7" i="2070" s="1"/>
  <c r="D41" i="2070"/>
  <c r="R40" i="2070"/>
  <c r="L8" i="2070" s="1"/>
  <c r="D8" i="2070" s="1"/>
  <c r="D40" i="2070"/>
  <c r="R39" i="2070"/>
  <c r="H39" i="2070"/>
  <c r="D39" i="2070"/>
  <c r="R38" i="2070"/>
  <c r="H38" i="2070"/>
  <c r="D38" i="2070"/>
  <c r="R37" i="2070"/>
  <c r="H37" i="2070"/>
  <c r="D37" i="2070"/>
  <c r="R36" i="2070"/>
  <c r="L10" i="2070" s="1"/>
  <c r="D10" i="2070" s="1"/>
  <c r="H36" i="2070"/>
  <c r="D36" i="2070"/>
  <c r="R35" i="2070"/>
  <c r="L18" i="2070" s="1"/>
  <c r="D18" i="2070" s="1"/>
  <c r="H35" i="2070"/>
  <c r="D35" i="2070"/>
  <c r="D54" i="2070" s="1"/>
  <c r="H14" i="2070" s="1"/>
  <c r="R34" i="2070"/>
  <c r="H34" i="2070"/>
  <c r="G49" i="2070" s="1"/>
  <c r="D34" i="2070"/>
  <c r="R33" i="2070"/>
  <c r="R32" i="2070"/>
  <c r="R31" i="2070"/>
  <c r="R30" i="2070"/>
  <c r="R29" i="2070"/>
  <c r="R28" i="2070"/>
  <c r="R27" i="2070"/>
  <c r="L27" i="2070"/>
  <c r="D27" i="2070"/>
  <c r="R26" i="2070"/>
  <c r="L26" i="2070"/>
  <c r="D26" i="2070"/>
  <c r="R25" i="2070"/>
  <c r="L25" i="2070"/>
  <c r="D25" i="2070"/>
  <c r="R24" i="2070"/>
  <c r="L24" i="2070"/>
  <c r="D24" i="2070"/>
  <c r="R23" i="2070"/>
  <c r="L23" i="2070"/>
  <c r="D23" i="2070" s="1"/>
  <c r="R22" i="2070"/>
  <c r="L20" i="2070" s="1"/>
  <c r="D20" i="2070" s="1"/>
  <c r="L22" i="2070"/>
  <c r="D22" i="2070"/>
  <c r="R21" i="2070"/>
  <c r="L17" i="2070" s="1"/>
  <c r="D17" i="2070" s="1"/>
  <c r="L21" i="2070"/>
  <c r="D21" i="2070"/>
  <c r="R20" i="2070"/>
  <c r="R19" i="2070"/>
  <c r="L19" i="2070"/>
  <c r="D19" i="2070" s="1"/>
  <c r="R18" i="2070"/>
  <c r="R17" i="2070"/>
  <c r="R16" i="2070"/>
  <c r="L16" i="2070"/>
  <c r="D16" i="2070" s="1"/>
  <c r="R15" i="2070"/>
  <c r="R14" i="2070"/>
  <c r="D14" i="2070"/>
  <c r="R13" i="2070"/>
  <c r="D13" i="2070"/>
  <c r="R12" i="2070"/>
  <c r="L12" i="2070"/>
  <c r="D12" i="2070"/>
  <c r="R11" i="2070"/>
  <c r="L11" i="2070"/>
  <c r="D11" i="2070" s="1"/>
  <c r="L9" i="2070"/>
  <c r="D9" i="2070" s="1"/>
  <c r="R6" i="2070"/>
  <c r="L6" i="2070"/>
  <c r="D6" i="2070" s="1"/>
  <c r="R5" i="2070"/>
  <c r="R4" i="2070"/>
  <c r="L15" i="2070" s="1"/>
  <c r="D15" i="2070" s="1"/>
  <c r="R52" i="2069"/>
  <c r="R51" i="2069"/>
  <c r="D50" i="2069"/>
  <c r="R49" i="2069"/>
  <c r="D49" i="2069"/>
  <c r="R48" i="2069"/>
  <c r="D48" i="2069"/>
  <c r="D46" i="2069"/>
  <c r="D45" i="2069"/>
  <c r="R44" i="2069"/>
  <c r="D44" i="2069"/>
  <c r="R42" i="2069"/>
  <c r="D42" i="2069"/>
  <c r="R41" i="2069"/>
  <c r="D41" i="2069"/>
  <c r="R40" i="2069"/>
  <c r="L8" i="2069" s="1"/>
  <c r="D8" i="2069" s="1"/>
  <c r="D40" i="2069"/>
  <c r="R39" i="2069"/>
  <c r="H39" i="2069"/>
  <c r="D39" i="2069"/>
  <c r="R38" i="2069"/>
  <c r="L9" i="2069" s="1"/>
  <c r="D9" i="2069" s="1"/>
  <c r="H38" i="2069"/>
  <c r="D38" i="2069"/>
  <c r="R37" i="2069"/>
  <c r="H37" i="2069"/>
  <c r="D37" i="2069"/>
  <c r="R36" i="2069"/>
  <c r="H36" i="2069"/>
  <c r="D36" i="2069"/>
  <c r="R35" i="2069"/>
  <c r="L18" i="2069" s="1"/>
  <c r="D18" i="2069" s="1"/>
  <c r="H35" i="2069"/>
  <c r="D35" i="2069"/>
  <c r="R34" i="2069"/>
  <c r="L12" i="2069" s="1"/>
  <c r="D12" i="2069" s="1"/>
  <c r="H34" i="2069"/>
  <c r="G49" i="2069" s="1"/>
  <c r="D34" i="2069"/>
  <c r="D54" i="2069" s="1"/>
  <c r="H14" i="2069" s="1"/>
  <c r="R33" i="2069"/>
  <c r="R32" i="2069"/>
  <c r="R31" i="2069"/>
  <c r="R30" i="2069"/>
  <c r="R29" i="2069"/>
  <c r="R28" i="2069"/>
  <c r="L28" i="2069"/>
  <c r="D28" i="2069"/>
  <c r="R27" i="2069"/>
  <c r="L27" i="2069"/>
  <c r="D27" i="2069" s="1"/>
  <c r="R26" i="2069"/>
  <c r="L26" i="2069"/>
  <c r="D26" i="2069" s="1"/>
  <c r="R25" i="2069"/>
  <c r="L25" i="2069"/>
  <c r="D25" i="2069" s="1"/>
  <c r="R24" i="2069"/>
  <c r="L24" i="2069"/>
  <c r="D24" i="2069"/>
  <c r="R23" i="2069"/>
  <c r="L23" i="2069"/>
  <c r="D23" i="2069" s="1"/>
  <c r="R22" i="2069"/>
  <c r="L20" i="2069" s="1"/>
  <c r="D20" i="2069" s="1"/>
  <c r="L22" i="2069"/>
  <c r="D22" i="2069" s="1"/>
  <c r="R21" i="2069"/>
  <c r="L17" i="2069" s="1"/>
  <c r="D17" i="2069" s="1"/>
  <c r="L21" i="2069"/>
  <c r="D21" i="2069"/>
  <c r="R20" i="2069"/>
  <c r="R19" i="2069"/>
  <c r="L19" i="2069"/>
  <c r="D19" i="2069"/>
  <c r="R18" i="2069"/>
  <c r="R17" i="2069"/>
  <c r="R16" i="2069"/>
  <c r="L16" i="2069"/>
  <c r="D16" i="2069"/>
  <c r="R15" i="2069"/>
  <c r="L15" i="2069"/>
  <c r="D15" i="2069" s="1"/>
  <c r="R14" i="2069"/>
  <c r="D14" i="2069"/>
  <c r="R13" i="2069"/>
  <c r="D13" i="2069"/>
  <c r="R12" i="2069"/>
  <c r="R11" i="2069"/>
  <c r="L11" i="2069"/>
  <c r="D11" i="2069"/>
  <c r="L10" i="2069"/>
  <c r="D10" i="2069" s="1"/>
  <c r="L7" i="2069"/>
  <c r="D7" i="2069" s="1"/>
  <c r="R6" i="2069"/>
  <c r="L6" i="2069"/>
  <c r="D6" i="2069" s="1"/>
  <c r="R5" i="2069"/>
  <c r="R4" i="2069"/>
  <c r="R52" i="2068"/>
  <c r="R51" i="2068"/>
  <c r="D50" i="2068"/>
  <c r="R49" i="2068"/>
  <c r="G49" i="2068"/>
  <c r="D49" i="2068"/>
  <c r="R48" i="2068"/>
  <c r="D48" i="2068"/>
  <c r="D46" i="2068"/>
  <c r="D45" i="2068"/>
  <c r="D44" i="2068"/>
  <c r="R42" i="2068"/>
  <c r="L6" i="2068" s="1"/>
  <c r="D6" i="2068" s="1"/>
  <c r="D42" i="2068"/>
  <c r="R41" i="2068"/>
  <c r="L7" i="2068" s="1"/>
  <c r="D7" i="2068" s="1"/>
  <c r="D41" i="2068"/>
  <c r="R40" i="2068"/>
  <c r="D40" i="2068"/>
  <c r="R39" i="2068"/>
  <c r="D39" i="2068"/>
  <c r="R38" i="2068"/>
  <c r="D38" i="2068"/>
  <c r="R37" i="2068"/>
  <c r="D37" i="2068"/>
  <c r="R36" i="2068"/>
  <c r="L10" i="2068" s="1"/>
  <c r="D10" i="2068" s="1"/>
  <c r="D36" i="2068"/>
  <c r="R35" i="2068"/>
  <c r="D35" i="2068"/>
  <c r="R34" i="2068"/>
  <c r="D34" i="2068"/>
  <c r="D54" i="2068" s="1"/>
  <c r="H14" i="2068" s="1"/>
  <c r="R33" i="2068"/>
  <c r="R32" i="2068"/>
  <c r="L11" i="2068" s="1"/>
  <c r="D11" i="2068" s="1"/>
  <c r="R31" i="2068"/>
  <c r="R30" i="2068"/>
  <c r="R29" i="2068"/>
  <c r="R28" i="2068"/>
  <c r="D28" i="2068"/>
  <c r="R27" i="2068"/>
  <c r="D27" i="2068"/>
  <c r="R26" i="2068"/>
  <c r="L26" i="2068"/>
  <c r="D26" i="2068"/>
  <c r="R25" i="2068"/>
  <c r="L25" i="2068"/>
  <c r="D25" i="2068"/>
  <c r="R24" i="2068"/>
  <c r="D24" i="2068"/>
  <c r="R23" i="2068"/>
  <c r="L23" i="2068"/>
  <c r="D23" i="2068" s="1"/>
  <c r="R22" i="2068"/>
  <c r="L22" i="2068"/>
  <c r="D22" i="2068"/>
  <c r="R21" i="2068"/>
  <c r="D21" i="2068"/>
  <c r="R20" i="2068"/>
  <c r="L20" i="2068"/>
  <c r="D20" i="2068"/>
  <c r="R19" i="2068"/>
  <c r="L19" i="2068"/>
  <c r="D19" i="2068"/>
  <c r="R18" i="2068"/>
  <c r="D18" i="2068"/>
  <c r="R17" i="2068"/>
  <c r="D17" i="2068"/>
  <c r="R16" i="2068"/>
  <c r="L16" i="2068"/>
  <c r="D16" i="2068" s="1"/>
  <c r="S15" i="2068"/>
  <c r="R15" i="2068"/>
  <c r="D15" i="2068"/>
  <c r="S14" i="2068"/>
  <c r="R14" i="2068"/>
  <c r="D14" i="2068"/>
  <c r="R13" i="2068"/>
  <c r="D13" i="2068"/>
  <c r="R12" i="2068"/>
  <c r="L12" i="2068"/>
  <c r="D12" i="2068" s="1"/>
  <c r="R11" i="2068"/>
  <c r="L9" i="2068"/>
  <c r="D9" i="2068" s="1"/>
  <c r="L8" i="2068"/>
  <c r="D8" i="2068"/>
  <c r="R6" i="2068"/>
  <c r="R5" i="2068"/>
  <c r="R4" i="2068"/>
  <c r="R52" i="2067"/>
  <c r="R51" i="2067"/>
  <c r="D50" i="2067"/>
  <c r="R49" i="2067"/>
  <c r="D49" i="2067"/>
  <c r="R48" i="2067"/>
  <c r="D48" i="2067"/>
  <c r="D46" i="2067"/>
  <c r="D45" i="2067"/>
  <c r="R44" i="2067"/>
  <c r="D44" i="2067"/>
  <c r="R42" i="2067"/>
  <c r="L6" i="2067" s="1"/>
  <c r="D6" i="2067" s="1"/>
  <c r="D42" i="2067"/>
  <c r="R41" i="2067"/>
  <c r="D41" i="2067"/>
  <c r="R40" i="2067"/>
  <c r="D40" i="2067"/>
  <c r="R39" i="2067"/>
  <c r="H39" i="2067"/>
  <c r="D39" i="2067"/>
  <c r="R38" i="2067"/>
  <c r="H38" i="2067"/>
  <c r="D38" i="2067"/>
  <c r="R37" i="2067"/>
  <c r="H37" i="2067"/>
  <c r="D37" i="2067"/>
  <c r="R36" i="2067"/>
  <c r="L10" i="2067" s="1"/>
  <c r="D10" i="2067" s="1"/>
  <c r="H36" i="2067"/>
  <c r="G49" i="2067" s="1"/>
  <c r="D36" i="2067"/>
  <c r="R35" i="2067"/>
  <c r="H35" i="2067"/>
  <c r="D35" i="2067"/>
  <c r="R34" i="2067"/>
  <c r="H34" i="2067"/>
  <c r="D34" i="2067"/>
  <c r="D54" i="2067" s="1"/>
  <c r="H14" i="2067" s="1"/>
  <c r="R33" i="2067"/>
  <c r="R32" i="2067"/>
  <c r="L11" i="2067" s="1"/>
  <c r="D11" i="2067" s="1"/>
  <c r="R31" i="2067"/>
  <c r="R30" i="2067"/>
  <c r="R29" i="2067"/>
  <c r="R28" i="2067"/>
  <c r="L28" i="2067"/>
  <c r="D28" i="2067"/>
  <c r="R27" i="2067"/>
  <c r="L27" i="2067"/>
  <c r="D27" i="2067"/>
  <c r="R26" i="2067"/>
  <c r="L26" i="2067"/>
  <c r="D26" i="2067" s="1"/>
  <c r="R25" i="2067"/>
  <c r="L25" i="2067"/>
  <c r="D25" i="2067"/>
  <c r="R24" i="2067"/>
  <c r="L24" i="2067"/>
  <c r="D24" i="2067"/>
  <c r="R23" i="2067"/>
  <c r="L23" i="2067"/>
  <c r="D23" i="2067"/>
  <c r="R22" i="2067"/>
  <c r="L20" i="2067" s="1"/>
  <c r="D20" i="2067" s="1"/>
  <c r="L22" i="2067"/>
  <c r="D22" i="2067" s="1"/>
  <c r="R21" i="2067"/>
  <c r="L21" i="2067"/>
  <c r="D21" i="2067"/>
  <c r="R20" i="2067"/>
  <c r="R19" i="2067"/>
  <c r="L19" i="2067"/>
  <c r="D19" i="2067" s="1"/>
  <c r="R18" i="2067"/>
  <c r="L18" i="2067"/>
  <c r="D18" i="2067" s="1"/>
  <c r="R17" i="2067"/>
  <c r="L17" i="2067"/>
  <c r="D17" i="2067" s="1"/>
  <c r="R16" i="2067"/>
  <c r="R15" i="2067"/>
  <c r="L15" i="2067"/>
  <c r="D15" i="2067"/>
  <c r="R14" i="2067"/>
  <c r="D14" i="2067"/>
  <c r="R13" i="2067"/>
  <c r="D13" i="2067"/>
  <c r="R12" i="2067"/>
  <c r="L12" i="2067"/>
  <c r="D12" i="2067" s="1"/>
  <c r="R11" i="2067"/>
  <c r="L9" i="2067"/>
  <c r="D9" i="2067" s="1"/>
  <c r="L8" i="2067"/>
  <c r="D8" i="2067"/>
  <c r="L7" i="2067"/>
  <c r="D7" i="2067"/>
  <c r="R6" i="2067"/>
  <c r="L16" i="2067" s="1"/>
  <c r="D16" i="2067" s="1"/>
  <c r="R5" i="2067"/>
  <c r="R4" i="2067"/>
  <c r="R52" i="2066"/>
  <c r="R51" i="2066"/>
  <c r="D50" i="2066"/>
  <c r="R49" i="2066"/>
  <c r="D49" i="2066"/>
  <c r="R48" i="2066"/>
  <c r="D48" i="2066"/>
  <c r="D46" i="2066"/>
  <c r="D45" i="2066"/>
  <c r="R44" i="2066"/>
  <c r="D44" i="2066"/>
  <c r="R42" i="2066"/>
  <c r="L6" i="2066" s="1"/>
  <c r="D6" i="2066" s="1"/>
  <c r="D42" i="2066"/>
  <c r="R41" i="2066"/>
  <c r="D41" i="2066"/>
  <c r="R40" i="2066"/>
  <c r="D40" i="2066"/>
  <c r="R39" i="2066"/>
  <c r="H39" i="2066"/>
  <c r="D39" i="2066"/>
  <c r="R38" i="2066"/>
  <c r="H38" i="2066"/>
  <c r="D38" i="2066"/>
  <c r="R37" i="2066"/>
  <c r="H37" i="2066"/>
  <c r="D37" i="2066"/>
  <c r="R36" i="2066"/>
  <c r="L10" i="2066" s="1"/>
  <c r="D10" i="2066" s="1"/>
  <c r="H36" i="2066"/>
  <c r="G49" i="2066" s="1"/>
  <c r="D36" i="2066"/>
  <c r="R35" i="2066"/>
  <c r="L18" i="2066" s="1"/>
  <c r="D18" i="2066" s="1"/>
  <c r="H35" i="2066"/>
  <c r="D35" i="2066"/>
  <c r="D54" i="2066" s="1"/>
  <c r="H14" i="2066" s="1"/>
  <c r="R34" i="2066"/>
  <c r="H34" i="2066"/>
  <c r="D34" i="2066"/>
  <c r="R33" i="2066"/>
  <c r="R32" i="2066"/>
  <c r="R31" i="2066"/>
  <c r="R30" i="2066"/>
  <c r="R29" i="2066"/>
  <c r="R28" i="2066"/>
  <c r="L28" i="2066"/>
  <c r="D28" i="2066"/>
  <c r="R27" i="2066"/>
  <c r="L27" i="2066"/>
  <c r="D27" i="2066"/>
  <c r="R26" i="2066"/>
  <c r="L26" i="2066"/>
  <c r="D26" i="2066" s="1"/>
  <c r="R25" i="2066"/>
  <c r="L25" i="2066"/>
  <c r="D25" i="2066"/>
  <c r="R24" i="2066"/>
  <c r="L24" i="2066"/>
  <c r="D24" i="2066" s="1"/>
  <c r="R23" i="2066"/>
  <c r="L23" i="2066"/>
  <c r="D23" i="2066"/>
  <c r="R22" i="2066"/>
  <c r="L20" i="2066" s="1"/>
  <c r="D20" i="2066" s="1"/>
  <c r="L22" i="2066"/>
  <c r="D22" i="2066" s="1"/>
  <c r="R21" i="2066"/>
  <c r="L21" i="2066"/>
  <c r="D21" i="2066" s="1"/>
  <c r="R20" i="2066"/>
  <c r="R19" i="2066"/>
  <c r="L19" i="2066"/>
  <c r="D19" i="2066" s="1"/>
  <c r="R18" i="2066"/>
  <c r="R17" i="2066"/>
  <c r="L17" i="2066"/>
  <c r="D17" i="2066" s="1"/>
  <c r="R16" i="2066"/>
  <c r="R15" i="2066"/>
  <c r="R14" i="2066"/>
  <c r="D14" i="2066"/>
  <c r="R13" i="2066"/>
  <c r="D13" i="2066"/>
  <c r="R12" i="2066"/>
  <c r="L12" i="2066"/>
  <c r="D12" i="2066" s="1"/>
  <c r="R11" i="2066"/>
  <c r="L11" i="2066"/>
  <c r="D11" i="2066"/>
  <c r="L9" i="2066"/>
  <c r="D9" i="2066" s="1"/>
  <c r="L8" i="2066"/>
  <c r="D8" i="2066"/>
  <c r="L7" i="2066"/>
  <c r="D7" i="2066" s="1"/>
  <c r="R6" i="2066"/>
  <c r="L16" i="2066" s="1"/>
  <c r="D16" i="2066" s="1"/>
  <c r="R5" i="2066"/>
  <c r="R4" i="2066"/>
  <c r="L15" i="2066" s="1"/>
  <c r="D15" i="2066" s="1"/>
  <c r="R52" i="2065"/>
  <c r="R51" i="2065"/>
  <c r="D50" i="2065"/>
  <c r="R49" i="2065"/>
  <c r="G49" i="2065"/>
  <c r="D49" i="2065"/>
  <c r="R48" i="2065"/>
  <c r="D48" i="2065"/>
  <c r="D46" i="2065"/>
  <c r="D45" i="2065"/>
  <c r="R44" i="2065"/>
  <c r="L28" i="2065" s="1"/>
  <c r="D28" i="2065" s="1"/>
  <c r="D44" i="2065"/>
  <c r="R42" i="2065"/>
  <c r="D42" i="2065"/>
  <c r="R41" i="2065"/>
  <c r="L7" i="2065" s="1"/>
  <c r="D7" i="2065" s="1"/>
  <c r="D41" i="2065"/>
  <c r="R40" i="2065"/>
  <c r="D40" i="2065"/>
  <c r="R39" i="2065"/>
  <c r="H39" i="2065"/>
  <c r="D39" i="2065"/>
  <c r="R38" i="2065"/>
  <c r="H38" i="2065"/>
  <c r="D38" i="2065"/>
  <c r="R37" i="2065"/>
  <c r="H37" i="2065"/>
  <c r="D37" i="2065"/>
  <c r="R36" i="2065"/>
  <c r="H36" i="2065"/>
  <c r="D36" i="2065"/>
  <c r="R35" i="2065"/>
  <c r="L18" i="2065" s="1"/>
  <c r="D18" i="2065" s="1"/>
  <c r="H35" i="2065"/>
  <c r="D35" i="2065"/>
  <c r="R34" i="2065"/>
  <c r="H34" i="2065"/>
  <c r="D34" i="2065"/>
  <c r="D54" i="2065" s="1"/>
  <c r="H14" i="2065" s="1"/>
  <c r="R33" i="2065"/>
  <c r="L19" i="2065" s="1"/>
  <c r="D19" i="2065" s="1"/>
  <c r="R32" i="2065"/>
  <c r="L11" i="2065" s="1"/>
  <c r="D11" i="2065" s="1"/>
  <c r="R31" i="2065"/>
  <c r="R30" i="2065"/>
  <c r="R29" i="2065"/>
  <c r="R28" i="2065"/>
  <c r="R27" i="2065"/>
  <c r="L27" i="2065"/>
  <c r="D27" i="2065" s="1"/>
  <c r="R26" i="2065"/>
  <c r="L26" i="2065"/>
  <c r="D26" i="2065"/>
  <c r="R25" i="2065"/>
  <c r="L25" i="2065"/>
  <c r="D25" i="2065"/>
  <c r="R24" i="2065"/>
  <c r="L24" i="2065"/>
  <c r="D24" i="2065"/>
  <c r="R23" i="2065"/>
  <c r="L23" i="2065"/>
  <c r="D23" i="2065" s="1"/>
  <c r="R22" i="2065"/>
  <c r="L22" i="2065"/>
  <c r="D22" i="2065"/>
  <c r="R21" i="2065"/>
  <c r="L21" i="2065"/>
  <c r="D21" i="2065"/>
  <c r="R20" i="2065"/>
  <c r="L20" i="2065"/>
  <c r="D20" i="2065" s="1"/>
  <c r="R19" i="2065"/>
  <c r="R18" i="2065"/>
  <c r="R17" i="2065"/>
  <c r="L17" i="2065"/>
  <c r="D17" i="2065"/>
  <c r="R16" i="2065"/>
  <c r="R15" i="2065"/>
  <c r="L15" i="2065"/>
  <c r="D15" i="2065" s="1"/>
  <c r="R14" i="2065"/>
  <c r="D14" i="2065"/>
  <c r="R13" i="2065"/>
  <c r="D13" i="2065"/>
  <c r="R12" i="2065"/>
  <c r="L12" i="2065"/>
  <c r="D12" i="2065"/>
  <c r="R11" i="2065"/>
  <c r="L10" i="2065"/>
  <c r="D10" i="2065"/>
  <c r="L9" i="2065"/>
  <c r="D9" i="2065" s="1"/>
  <c r="L8" i="2065"/>
  <c r="D8" i="2065"/>
  <c r="R6" i="2065"/>
  <c r="L16" i="2065" s="1"/>
  <c r="D16" i="2065" s="1"/>
  <c r="L6" i="2065"/>
  <c r="D6" i="2065" s="1"/>
  <c r="D29" i="2065" s="1"/>
  <c r="H13" i="2065" s="1"/>
  <c r="H15" i="2065" s="1"/>
  <c r="H29" i="2065" s="1"/>
  <c r="R5" i="2065"/>
  <c r="R4" i="2065"/>
  <c r="R52" i="2064"/>
  <c r="R51" i="2064"/>
  <c r="D50" i="2064"/>
  <c r="R49" i="2064"/>
  <c r="G49" i="2064"/>
  <c r="D49" i="2064"/>
  <c r="R48" i="2064"/>
  <c r="D48" i="2064"/>
  <c r="D46" i="2064"/>
  <c r="D45" i="2064"/>
  <c r="D44" i="2064"/>
  <c r="R42" i="2064"/>
  <c r="D42" i="2064"/>
  <c r="R41" i="2064"/>
  <c r="L7" i="2064" s="1"/>
  <c r="D7" i="2064" s="1"/>
  <c r="D41" i="2064"/>
  <c r="R40" i="2064"/>
  <c r="D40" i="2064"/>
  <c r="R39" i="2064"/>
  <c r="D39" i="2064"/>
  <c r="R38" i="2064"/>
  <c r="D38" i="2064"/>
  <c r="R37" i="2064"/>
  <c r="D37" i="2064"/>
  <c r="R36" i="2064"/>
  <c r="D36" i="2064"/>
  <c r="R35" i="2064"/>
  <c r="L19" i="2064" s="1"/>
  <c r="D19" i="2064" s="1"/>
  <c r="D35" i="2064"/>
  <c r="R34" i="2064"/>
  <c r="L12" i="2064" s="1"/>
  <c r="D12" i="2064" s="1"/>
  <c r="D34" i="2064"/>
  <c r="D54" i="2064" s="1"/>
  <c r="H14" i="2064" s="1"/>
  <c r="R33" i="2064"/>
  <c r="L23" i="2064" s="1"/>
  <c r="D23" i="2064" s="1"/>
  <c r="R32" i="2064"/>
  <c r="R31" i="2064"/>
  <c r="R30" i="2064"/>
  <c r="R29" i="2064"/>
  <c r="R28" i="2064"/>
  <c r="L16" i="2064" s="1"/>
  <c r="D16" i="2064" s="1"/>
  <c r="D28" i="2064"/>
  <c r="R27" i="2064"/>
  <c r="D27" i="2064"/>
  <c r="R26" i="2064"/>
  <c r="L26" i="2064"/>
  <c r="D26" i="2064"/>
  <c r="R25" i="2064"/>
  <c r="L25" i="2064"/>
  <c r="D25" i="2064"/>
  <c r="R24" i="2064"/>
  <c r="D24" i="2064"/>
  <c r="R23" i="2064"/>
  <c r="R22" i="2064"/>
  <c r="L22" i="2064"/>
  <c r="D22" i="2064" s="1"/>
  <c r="R21" i="2064"/>
  <c r="D21" i="2064"/>
  <c r="R20" i="2064"/>
  <c r="L20" i="2064"/>
  <c r="D20" i="2064"/>
  <c r="R19" i="2064"/>
  <c r="R18" i="2064"/>
  <c r="D18" i="2064"/>
  <c r="R17" i="2064"/>
  <c r="D17" i="2064"/>
  <c r="R16" i="2064"/>
  <c r="S15" i="2064"/>
  <c r="R15" i="2064"/>
  <c r="D15" i="2064"/>
  <c r="S14" i="2064"/>
  <c r="R14" i="2064"/>
  <c r="D14" i="2064"/>
  <c r="R13" i="2064"/>
  <c r="D13" i="2064"/>
  <c r="R12" i="2064"/>
  <c r="R11" i="2064"/>
  <c r="L11" i="2064"/>
  <c r="D11" i="2064" s="1"/>
  <c r="L10" i="2064"/>
  <c r="D10" i="2064" s="1"/>
  <c r="L9" i="2064"/>
  <c r="D9" i="2064" s="1"/>
  <c r="L8" i="2064"/>
  <c r="D8" i="2064" s="1"/>
  <c r="R6" i="2064"/>
  <c r="L6" i="2064"/>
  <c r="D6" i="2064"/>
  <c r="D29" i="2064" s="1"/>
  <c r="H13" i="2064" s="1"/>
  <c r="R5" i="2064"/>
  <c r="R4" i="2064"/>
  <c r="R52" i="2063"/>
  <c r="R51" i="2063"/>
  <c r="D50" i="2063"/>
  <c r="R49" i="2063"/>
  <c r="D49" i="2063"/>
  <c r="R48" i="2063"/>
  <c r="D48" i="2063"/>
  <c r="D46" i="2063"/>
  <c r="D45" i="2063"/>
  <c r="R44" i="2063"/>
  <c r="L28" i="2063" s="1"/>
  <c r="D28" i="2063" s="1"/>
  <c r="D44" i="2063"/>
  <c r="R42" i="2063"/>
  <c r="D42" i="2063"/>
  <c r="R41" i="2063"/>
  <c r="D41" i="2063"/>
  <c r="R40" i="2063"/>
  <c r="L8" i="2063" s="1"/>
  <c r="D8" i="2063" s="1"/>
  <c r="D40" i="2063"/>
  <c r="R39" i="2063"/>
  <c r="H39" i="2063"/>
  <c r="D39" i="2063"/>
  <c r="R38" i="2063"/>
  <c r="L9" i="2063" s="1"/>
  <c r="D9" i="2063" s="1"/>
  <c r="H38" i="2063"/>
  <c r="D38" i="2063"/>
  <c r="R37" i="2063"/>
  <c r="H37" i="2063"/>
  <c r="D37" i="2063"/>
  <c r="R36" i="2063"/>
  <c r="L10" i="2063" s="1"/>
  <c r="D10" i="2063" s="1"/>
  <c r="H36" i="2063"/>
  <c r="D36" i="2063"/>
  <c r="R35" i="2063"/>
  <c r="H35" i="2063"/>
  <c r="D35" i="2063"/>
  <c r="D54" i="2063" s="1"/>
  <c r="H14" i="2063" s="1"/>
  <c r="R34" i="2063"/>
  <c r="L12" i="2063" s="1"/>
  <c r="D12" i="2063" s="1"/>
  <c r="H34" i="2063"/>
  <c r="G49" i="2063" s="1"/>
  <c r="D34" i="2063"/>
  <c r="R33" i="2063"/>
  <c r="R32" i="2063"/>
  <c r="R31" i="2063"/>
  <c r="R30" i="2063"/>
  <c r="R29" i="2063"/>
  <c r="R28" i="2063"/>
  <c r="R27" i="2063"/>
  <c r="L27" i="2063"/>
  <c r="D27" i="2063"/>
  <c r="R26" i="2063"/>
  <c r="L26" i="2063"/>
  <c r="D26" i="2063"/>
  <c r="R25" i="2063"/>
  <c r="L25" i="2063"/>
  <c r="D25" i="2063"/>
  <c r="R24" i="2063"/>
  <c r="L24" i="2063"/>
  <c r="D24" i="2063"/>
  <c r="R23" i="2063"/>
  <c r="L23" i="2063"/>
  <c r="D23" i="2063"/>
  <c r="R22" i="2063"/>
  <c r="L20" i="2063" s="1"/>
  <c r="D20" i="2063" s="1"/>
  <c r="L22" i="2063"/>
  <c r="D22" i="2063"/>
  <c r="R21" i="2063"/>
  <c r="L17" i="2063" s="1"/>
  <c r="D17" i="2063" s="1"/>
  <c r="L21" i="2063"/>
  <c r="D21" i="2063" s="1"/>
  <c r="R20" i="2063"/>
  <c r="R19" i="2063"/>
  <c r="L19" i="2063"/>
  <c r="D19" i="2063"/>
  <c r="R18" i="2063"/>
  <c r="L18" i="2063"/>
  <c r="D18" i="2063" s="1"/>
  <c r="R17" i="2063"/>
  <c r="R16" i="2063"/>
  <c r="R15" i="2063"/>
  <c r="R14" i="2063"/>
  <c r="D14" i="2063"/>
  <c r="R13" i="2063"/>
  <c r="D13" i="2063"/>
  <c r="R12" i="2063"/>
  <c r="R11" i="2063"/>
  <c r="L11" i="2063"/>
  <c r="D11" i="2063"/>
  <c r="L7" i="2063"/>
  <c r="D7" i="2063"/>
  <c r="R6" i="2063"/>
  <c r="L16" i="2063" s="1"/>
  <c r="D16" i="2063" s="1"/>
  <c r="L6" i="2063"/>
  <c r="D6" i="2063"/>
  <c r="R5" i="2063"/>
  <c r="R4" i="2063"/>
  <c r="L15" i="2063" s="1"/>
  <c r="D15" i="2063" s="1"/>
  <c r="R52" i="2062"/>
  <c r="R51" i="2062"/>
  <c r="D50" i="2062"/>
  <c r="R49" i="2062"/>
  <c r="D49" i="2062"/>
  <c r="R48" i="2062"/>
  <c r="D48" i="2062"/>
  <c r="D46" i="2062"/>
  <c r="D45" i="2062"/>
  <c r="R44" i="2062"/>
  <c r="D44" i="2062"/>
  <c r="R42" i="2062"/>
  <c r="L6" i="2062" s="1"/>
  <c r="D6" i="2062" s="1"/>
  <c r="D42" i="2062"/>
  <c r="R41" i="2062"/>
  <c r="D41" i="2062"/>
  <c r="R40" i="2062"/>
  <c r="L8" i="2062" s="1"/>
  <c r="D8" i="2062" s="1"/>
  <c r="D40" i="2062"/>
  <c r="R39" i="2062"/>
  <c r="H39" i="2062"/>
  <c r="D39" i="2062"/>
  <c r="R38" i="2062"/>
  <c r="L9" i="2062" s="1"/>
  <c r="D9" i="2062" s="1"/>
  <c r="H38" i="2062"/>
  <c r="D38" i="2062"/>
  <c r="R37" i="2062"/>
  <c r="H37" i="2062"/>
  <c r="D37" i="2062"/>
  <c r="R36" i="2062"/>
  <c r="L10" i="2062" s="1"/>
  <c r="D10" i="2062" s="1"/>
  <c r="H36" i="2062"/>
  <c r="G49" i="2062" s="1"/>
  <c r="D36" i="2062"/>
  <c r="R35" i="2062"/>
  <c r="L18" i="2062" s="1"/>
  <c r="D18" i="2062" s="1"/>
  <c r="H35" i="2062"/>
  <c r="D35" i="2062"/>
  <c r="R34" i="2062"/>
  <c r="H34" i="2062"/>
  <c r="D34" i="2062"/>
  <c r="D54" i="2062" s="1"/>
  <c r="H14" i="2062" s="1"/>
  <c r="R33" i="2062"/>
  <c r="R32" i="2062"/>
  <c r="R31" i="2062"/>
  <c r="R30" i="2062"/>
  <c r="R29" i="2062"/>
  <c r="R28" i="2062"/>
  <c r="L28" i="2062"/>
  <c r="D28" i="2062"/>
  <c r="R27" i="2062"/>
  <c r="L27" i="2062"/>
  <c r="D27" i="2062"/>
  <c r="R26" i="2062"/>
  <c r="L26" i="2062"/>
  <c r="D26" i="2062"/>
  <c r="R25" i="2062"/>
  <c r="L25" i="2062"/>
  <c r="D25" i="2062" s="1"/>
  <c r="R24" i="2062"/>
  <c r="L24" i="2062"/>
  <c r="D24" i="2062" s="1"/>
  <c r="R23" i="2062"/>
  <c r="L23" i="2062"/>
  <c r="D23" i="2062"/>
  <c r="R22" i="2062"/>
  <c r="L20" i="2062" s="1"/>
  <c r="D20" i="2062" s="1"/>
  <c r="L22" i="2062"/>
  <c r="D22" i="2062" s="1"/>
  <c r="R21" i="2062"/>
  <c r="L21" i="2062"/>
  <c r="D21" i="2062" s="1"/>
  <c r="R20" i="2062"/>
  <c r="R19" i="2062"/>
  <c r="L19" i="2062"/>
  <c r="D19" i="2062"/>
  <c r="R18" i="2062"/>
  <c r="R17" i="2062"/>
  <c r="L17" i="2062"/>
  <c r="D17" i="2062" s="1"/>
  <c r="R16" i="2062"/>
  <c r="L16" i="2062"/>
  <c r="D16" i="2062"/>
  <c r="R15" i="2062"/>
  <c r="R14" i="2062"/>
  <c r="D14" i="2062"/>
  <c r="R13" i="2062"/>
  <c r="D13" i="2062"/>
  <c r="R12" i="2062"/>
  <c r="L12" i="2062"/>
  <c r="D12" i="2062" s="1"/>
  <c r="R11" i="2062"/>
  <c r="L11" i="2062"/>
  <c r="D11" i="2062"/>
  <c r="L7" i="2062"/>
  <c r="D7" i="2062" s="1"/>
  <c r="R6" i="2062"/>
  <c r="R5" i="2062"/>
  <c r="R4" i="2062"/>
  <c r="L15" i="2062" s="1"/>
  <c r="D15" i="2062" s="1"/>
  <c r="D54" i="2061"/>
  <c r="H14" i="2061" s="1"/>
  <c r="R52" i="2061"/>
  <c r="R51" i="2061"/>
  <c r="D50" i="2061"/>
  <c r="R49" i="2061"/>
  <c r="D49" i="2061"/>
  <c r="R48" i="2061"/>
  <c r="D48" i="2061"/>
  <c r="D46" i="2061"/>
  <c r="D45" i="2061"/>
  <c r="R44" i="2061"/>
  <c r="L28" i="2061" s="1"/>
  <c r="D28" i="2061" s="1"/>
  <c r="D44" i="2061"/>
  <c r="R42" i="2061"/>
  <c r="D42" i="2061"/>
  <c r="R41" i="2061"/>
  <c r="L7" i="2061" s="1"/>
  <c r="D7" i="2061" s="1"/>
  <c r="D41" i="2061"/>
  <c r="R40" i="2061"/>
  <c r="D40" i="2061"/>
  <c r="R39" i="2061"/>
  <c r="H39" i="2061"/>
  <c r="D39" i="2061"/>
  <c r="R38" i="2061"/>
  <c r="H38" i="2061"/>
  <c r="G49" i="2061" s="1"/>
  <c r="D38" i="2061"/>
  <c r="R37" i="2061"/>
  <c r="H37" i="2061"/>
  <c r="D37" i="2061"/>
  <c r="R36" i="2061"/>
  <c r="L10" i="2061" s="1"/>
  <c r="D10" i="2061" s="1"/>
  <c r="H36" i="2061"/>
  <c r="D36" i="2061"/>
  <c r="R35" i="2061"/>
  <c r="L18" i="2061" s="1"/>
  <c r="D18" i="2061" s="1"/>
  <c r="H35" i="2061"/>
  <c r="D35" i="2061"/>
  <c r="R34" i="2061"/>
  <c r="H34" i="2061"/>
  <c r="D34" i="2061"/>
  <c r="R33" i="2061"/>
  <c r="L19" i="2061" s="1"/>
  <c r="D19" i="2061" s="1"/>
  <c r="R32" i="2061"/>
  <c r="L11" i="2061" s="1"/>
  <c r="D11" i="2061" s="1"/>
  <c r="R31" i="2061"/>
  <c r="R30" i="2061"/>
  <c r="R29" i="2061"/>
  <c r="R28" i="2061"/>
  <c r="R27" i="2061"/>
  <c r="L27" i="2061"/>
  <c r="D27" i="2061"/>
  <c r="R26" i="2061"/>
  <c r="L26" i="2061"/>
  <c r="D26" i="2061"/>
  <c r="R25" i="2061"/>
  <c r="L25" i="2061"/>
  <c r="D25" i="2061"/>
  <c r="R24" i="2061"/>
  <c r="L24" i="2061"/>
  <c r="D24" i="2061" s="1"/>
  <c r="R23" i="2061"/>
  <c r="L23" i="2061"/>
  <c r="D23" i="2061" s="1"/>
  <c r="R22" i="2061"/>
  <c r="L20" i="2061" s="1"/>
  <c r="D20" i="2061" s="1"/>
  <c r="L22" i="2061"/>
  <c r="D22" i="2061" s="1"/>
  <c r="R21" i="2061"/>
  <c r="L21" i="2061"/>
  <c r="D21" i="2061"/>
  <c r="R20" i="2061"/>
  <c r="R19" i="2061"/>
  <c r="R18" i="2061"/>
  <c r="R17" i="2061"/>
  <c r="L17" i="2061"/>
  <c r="D17" i="2061"/>
  <c r="R16" i="2061"/>
  <c r="R15" i="2061"/>
  <c r="R14" i="2061"/>
  <c r="D14" i="2061"/>
  <c r="R13" i="2061"/>
  <c r="D13" i="2061"/>
  <c r="R12" i="2061"/>
  <c r="L12" i="2061"/>
  <c r="D12" i="2061"/>
  <c r="R11" i="2061"/>
  <c r="L9" i="2061"/>
  <c r="D9" i="2061"/>
  <c r="L8" i="2061"/>
  <c r="D8" i="2061" s="1"/>
  <c r="R6" i="2061"/>
  <c r="L16" i="2061" s="1"/>
  <c r="D16" i="2061" s="1"/>
  <c r="L6" i="2061"/>
  <c r="D6" i="2061" s="1"/>
  <c r="R5" i="2061"/>
  <c r="R4" i="2061"/>
  <c r="L15" i="2061" s="1"/>
  <c r="D15" i="2061" s="1"/>
  <c r="R52" i="2060"/>
  <c r="R51" i="2060"/>
  <c r="D50" i="2060"/>
  <c r="R49" i="2060"/>
  <c r="G49" i="2060"/>
  <c r="D49" i="2060"/>
  <c r="R48" i="2060"/>
  <c r="D48" i="2060"/>
  <c r="D46" i="2060"/>
  <c r="D45" i="2060"/>
  <c r="D44" i="2060"/>
  <c r="R42" i="2060"/>
  <c r="L6" i="2060" s="1"/>
  <c r="D6" i="2060" s="1"/>
  <c r="D42" i="2060"/>
  <c r="R41" i="2060"/>
  <c r="L7" i="2060" s="1"/>
  <c r="D7" i="2060" s="1"/>
  <c r="D41" i="2060"/>
  <c r="R40" i="2060"/>
  <c r="D40" i="2060"/>
  <c r="R39" i="2060"/>
  <c r="D39" i="2060"/>
  <c r="R38" i="2060"/>
  <c r="D38" i="2060"/>
  <c r="R37" i="2060"/>
  <c r="D37" i="2060"/>
  <c r="R36" i="2060"/>
  <c r="L10" i="2060" s="1"/>
  <c r="D10" i="2060" s="1"/>
  <c r="D36" i="2060"/>
  <c r="R35" i="2060"/>
  <c r="D35" i="2060"/>
  <c r="R34" i="2060"/>
  <c r="L12" i="2060" s="1"/>
  <c r="D12" i="2060" s="1"/>
  <c r="D34" i="2060"/>
  <c r="D54" i="2060" s="1"/>
  <c r="H14" i="2060" s="1"/>
  <c r="R33" i="2060"/>
  <c r="L23" i="2060" s="1"/>
  <c r="D23" i="2060" s="1"/>
  <c r="R32" i="2060"/>
  <c r="R31" i="2060"/>
  <c r="R30" i="2060"/>
  <c r="R29" i="2060"/>
  <c r="R28" i="2060"/>
  <c r="L16" i="2060" s="1"/>
  <c r="D16" i="2060" s="1"/>
  <c r="D28" i="2060"/>
  <c r="R27" i="2060"/>
  <c r="D27" i="2060"/>
  <c r="R26" i="2060"/>
  <c r="L26" i="2060"/>
  <c r="D26" i="2060"/>
  <c r="R25" i="2060"/>
  <c r="L25" i="2060"/>
  <c r="D25" i="2060"/>
  <c r="R24" i="2060"/>
  <c r="D24" i="2060"/>
  <c r="R23" i="2060"/>
  <c r="R22" i="2060"/>
  <c r="L22" i="2060"/>
  <c r="D22" i="2060"/>
  <c r="R21" i="2060"/>
  <c r="D21" i="2060"/>
  <c r="R20" i="2060"/>
  <c r="L20" i="2060"/>
  <c r="D20" i="2060"/>
  <c r="R19" i="2060"/>
  <c r="L19" i="2060"/>
  <c r="D19" i="2060"/>
  <c r="R18" i="2060"/>
  <c r="D18" i="2060"/>
  <c r="R17" i="2060"/>
  <c r="D17" i="2060"/>
  <c r="R16" i="2060"/>
  <c r="S15" i="2060"/>
  <c r="R15" i="2060"/>
  <c r="D15" i="2060"/>
  <c r="S14" i="2060"/>
  <c r="R14" i="2060"/>
  <c r="D14" i="2060"/>
  <c r="R13" i="2060"/>
  <c r="D13" i="2060"/>
  <c r="R12" i="2060"/>
  <c r="R11" i="2060"/>
  <c r="L11" i="2060"/>
  <c r="D11" i="2060"/>
  <c r="L9" i="2060"/>
  <c r="D9" i="2060"/>
  <c r="L8" i="2060"/>
  <c r="D8" i="2060"/>
  <c r="R6" i="2060"/>
  <c r="R5" i="2060"/>
  <c r="R4" i="2060"/>
  <c r="R52" i="2059"/>
  <c r="R51" i="2059"/>
  <c r="D50" i="2059"/>
  <c r="R49" i="2059"/>
  <c r="D49" i="2059"/>
  <c r="R48" i="2059"/>
  <c r="D48" i="2059"/>
  <c r="D46" i="2059"/>
  <c r="D45" i="2059"/>
  <c r="R44" i="2059"/>
  <c r="D44" i="2059"/>
  <c r="R42" i="2059"/>
  <c r="L6" i="2059" s="1"/>
  <c r="D6" i="2059" s="1"/>
  <c r="D42" i="2059"/>
  <c r="R41" i="2059"/>
  <c r="L7" i="2059" s="1"/>
  <c r="D7" i="2059" s="1"/>
  <c r="D41" i="2059"/>
  <c r="D54" i="2059" s="1"/>
  <c r="H14" i="2059" s="1"/>
  <c r="R40" i="2059"/>
  <c r="D40" i="2059"/>
  <c r="R39" i="2059"/>
  <c r="H39" i="2059"/>
  <c r="D39" i="2059"/>
  <c r="R38" i="2059"/>
  <c r="H38" i="2059"/>
  <c r="D38" i="2059"/>
  <c r="R37" i="2059"/>
  <c r="H37" i="2059"/>
  <c r="D37" i="2059"/>
  <c r="R36" i="2059"/>
  <c r="H36" i="2059"/>
  <c r="D36" i="2059"/>
  <c r="R35" i="2059"/>
  <c r="L18" i="2059" s="1"/>
  <c r="D18" i="2059" s="1"/>
  <c r="H35" i="2059"/>
  <c r="D35" i="2059"/>
  <c r="R34" i="2059"/>
  <c r="H34" i="2059"/>
  <c r="G49" i="2059" s="1"/>
  <c r="D34" i="2059"/>
  <c r="R33" i="2059"/>
  <c r="R32" i="2059"/>
  <c r="L11" i="2059" s="1"/>
  <c r="D11" i="2059" s="1"/>
  <c r="R31" i="2059"/>
  <c r="R30" i="2059"/>
  <c r="R29" i="2059"/>
  <c r="R28" i="2059"/>
  <c r="L28" i="2059"/>
  <c r="D28" i="2059"/>
  <c r="R27" i="2059"/>
  <c r="L27" i="2059"/>
  <c r="D27" i="2059" s="1"/>
  <c r="R26" i="2059"/>
  <c r="L26" i="2059"/>
  <c r="D26" i="2059"/>
  <c r="R25" i="2059"/>
  <c r="L25" i="2059"/>
  <c r="D25" i="2059"/>
  <c r="R24" i="2059"/>
  <c r="L24" i="2059"/>
  <c r="D24" i="2059"/>
  <c r="R23" i="2059"/>
  <c r="L23" i="2059"/>
  <c r="D23" i="2059"/>
  <c r="R22" i="2059"/>
  <c r="L20" i="2059" s="1"/>
  <c r="D20" i="2059" s="1"/>
  <c r="L22" i="2059"/>
  <c r="D22" i="2059"/>
  <c r="R21" i="2059"/>
  <c r="L21" i="2059"/>
  <c r="D21" i="2059"/>
  <c r="R20" i="2059"/>
  <c r="R19" i="2059"/>
  <c r="L19" i="2059"/>
  <c r="D19" i="2059"/>
  <c r="R18" i="2059"/>
  <c r="R17" i="2059"/>
  <c r="L17" i="2059"/>
  <c r="D17" i="2059"/>
  <c r="R16" i="2059"/>
  <c r="R15" i="2059"/>
  <c r="R14" i="2059"/>
  <c r="D14" i="2059"/>
  <c r="R13" i="2059"/>
  <c r="D13" i="2059"/>
  <c r="R12" i="2059"/>
  <c r="L12" i="2059"/>
  <c r="D12" i="2059"/>
  <c r="R11" i="2059"/>
  <c r="L10" i="2059"/>
  <c r="D10" i="2059"/>
  <c r="L9" i="2059"/>
  <c r="D9" i="2059"/>
  <c r="L8" i="2059"/>
  <c r="D8" i="2059" s="1"/>
  <c r="R6" i="2059"/>
  <c r="L16" i="2059" s="1"/>
  <c r="D16" i="2059" s="1"/>
  <c r="R5" i="2059"/>
  <c r="R4" i="2059"/>
  <c r="L15" i="2059" s="1"/>
  <c r="D15" i="2059" s="1"/>
  <c r="R52" i="2058"/>
  <c r="R51" i="2058"/>
  <c r="D50" i="2058"/>
  <c r="R49" i="2058"/>
  <c r="D49" i="2058"/>
  <c r="R48" i="2058"/>
  <c r="D48" i="2058"/>
  <c r="D46" i="2058"/>
  <c r="D45" i="2058"/>
  <c r="R44" i="2058"/>
  <c r="L28" i="2058" s="1"/>
  <c r="D28" i="2058" s="1"/>
  <c r="D44" i="2058"/>
  <c r="R42" i="2058"/>
  <c r="D42" i="2058"/>
  <c r="R41" i="2058"/>
  <c r="D41" i="2058"/>
  <c r="R40" i="2058"/>
  <c r="D40" i="2058"/>
  <c r="R39" i="2058"/>
  <c r="H39" i="2058"/>
  <c r="D39" i="2058"/>
  <c r="R38" i="2058"/>
  <c r="L9" i="2058" s="1"/>
  <c r="D9" i="2058" s="1"/>
  <c r="H38" i="2058"/>
  <c r="D38" i="2058"/>
  <c r="R37" i="2058"/>
  <c r="H37" i="2058"/>
  <c r="D37" i="2058"/>
  <c r="R36" i="2058"/>
  <c r="L10" i="2058" s="1"/>
  <c r="D10" i="2058" s="1"/>
  <c r="H36" i="2058"/>
  <c r="G49" i="2058" s="1"/>
  <c r="D36" i="2058"/>
  <c r="R35" i="2058"/>
  <c r="H35" i="2058"/>
  <c r="D35" i="2058"/>
  <c r="R34" i="2058"/>
  <c r="H34" i="2058"/>
  <c r="D34" i="2058"/>
  <c r="D54" i="2058" s="1"/>
  <c r="H14" i="2058" s="1"/>
  <c r="R33" i="2058"/>
  <c r="L19" i="2058" s="1"/>
  <c r="D19" i="2058" s="1"/>
  <c r="R32" i="2058"/>
  <c r="L11" i="2058" s="1"/>
  <c r="D11" i="2058" s="1"/>
  <c r="R31" i="2058"/>
  <c r="R30" i="2058"/>
  <c r="R29" i="2058"/>
  <c r="R28" i="2058"/>
  <c r="R27" i="2058"/>
  <c r="L27" i="2058"/>
  <c r="D27" i="2058"/>
  <c r="R26" i="2058"/>
  <c r="L26" i="2058"/>
  <c r="D26" i="2058"/>
  <c r="R25" i="2058"/>
  <c r="L25" i="2058"/>
  <c r="D25" i="2058" s="1"/>
  <c r="R24" i="2058"/>
  <c r="L24" i="2058"/>
  <c r="D24" i="2058"/>
  <c r="R23" i="2058"/>
  <c r="L23" i="2058"/>
  <c r="D23" i="2058" s="1"/>
  <c r="R22" i="2058"/>
  <c r="L20" i="2058" s="1"/>
  <c r="D20" i="2058" s="1"/>
  <c r="L22" i="2058"/>
  <c r="D22" i="2058" s="1"/>
  <c r="R21" i="2058"/>
  <c r="L21" i="2058"/>
  <c r="D21" i="2058" s="1"/>
  <c r="R20" i="2058"/>
  <c r="R19" i="2058"/>
  <c r="R18" i="2058"/>
  <c r="L18" i="2058"/>
  <c r="D18" i="2058"/>
  <c r="R17" i="2058"/>
  <c r="L17" i="2058"/>
  <c r="D17" i="2058" s="1"/>
  <c r="R16" i="2058"/>
  <c r="R15" i="2058"/>
  <c r="L15" i="2058"/>
  <c r="D15" i="2058"/>
  <c r="R14" i="2058"/>
  <c r="D14" i="2058"/>
  <c r="R13" i="2058"/>
  <c r="D13" i="2058"/>
  <c r="R12" i="2058"/>
  <c r="L12" i="2058"/>
  <c r="D12" i="2058" s="1"/>
  <c r="R11" i="2058"/>
  <c r="L8" i="2058"/>
  <c r="D8" i="2058"/>
  <c r="L7" i="2058"/>
  <c r="D7" i="2058"/>
  <c r="R6" i="2058"/>
  <c r="L16" i="2058" s="1"/>
  <c r="D16" i="2058" s="1"/>
  <c r="L6" i="2058"/>
  <c r="D6" i="2058" s="1"/>
  <c r="R5" i="2058"/>
  <c r="R4" i="2058"/>
  <c r="R52" i="2057"/>
  <c r="R51" i="2057"/>
  <c r="D50" i="2057"/>
  <c r="R49" i="2057"/>
  <c r="D49" i="2057"/>
  <c r="R48" i="2057"/>
  <c r="D48" i="2057"/>
  <c r="D46" i="2057"/>
  <c r="D45" i="2057"/>
  <c r="R44" i="2057"/>
  <c r="D44" i="2057"/>
  <c r="R42" i="2057"/>
  <c r="L6" i="2057" s="1"/>
  <c r="D6" i="2057" s="1"/>
  <c r="D42" i="2057"/>
  <c r="R41" i="2057"/>
  <c r="L7" i="2057" s="1"/>
  <c r="D7" i="2057" s="1"/>
  <c r="D41" i="2057"/>
  <c r="R40" i="2057"/>
  <c r="D40" i="2057"/>
  <c r="R39" i="2057"/>
  <c r="H39" i="2057"/>
  <c r="D39" i="2057"/>
  <c r="R38" i="2057"/>
  <c r="H38" i="2057"/>
  <c r="D38" i="2057"/>
  <c r="R37" i="2057"/>
  <c r="H37" i="2057"/>
  <c r="D37" i="2057"/>
  <c r="R36" i="2057"/>
  <c r="L10" i="2057" s="1"/>
  <c r="D10" i="2057" s="1"/>
  <c r="H36" i="2057"/>
  <c r="D36" i="2057"/>
  <c r="D54" i="2057" s="1"/>
  <c r="H14" i="2057" s="1"/>
  <c r="R35" i="2057"/>
  <c r="L18" i="2057" s="1"/>
  <c r="D18" i="2057" s="1"/>
  <c r="H35" i="2057"/>
  <c r="G49" i="2057" s="1"/>
  <c r="D35" i="2057"/>
  <c r="R34" i="2057"/>
  <c r="H34" i="2057"/>
  <c r="D34" i="2057"/>
  <c r="R33" i="2057"/>
  <c r="L19" i="2057" s="1"/>
  <c r="D19" i="2057" s="1"/>
  <c r="R32" i="2057"/>
  <c r="L11" i="2057" s="1"/>
  <c r="D11" i="2057" s="1"/>
  <c r="R31" i="2057"/>
  <c r="R30" i="2057"/>
  <c r="R29" i="2057"/>
  <c r="R28" i="2057"/>
  <c r="L28" i="2057"/>
  <c r="D28" i="2057"/>
  <c r="R27" i="2057"/>
  <c r="L27" i="2057"/>
  <c r="D27" i="2057" s="1"/>
  <c r="R26" i="2057"/>
  <c r="L26" i="2057"/>
  <c r="D26" i="2057"/>
  <c r="R25" i="2057"/>
  <c r="L25" i="2057"/>
  <c r="D25" i="2057" s="1"/>
  <c r="R24" i="2057"/>
  <c r="L24" i="2057"/>
  <c r="D24" i="2057"/>
  <c r="R23" i="2057"/>
  <c r="L23" i="2057"/>
  <c r="D23" i="2057"/>
  <c r="R22" i="2057"/>
  <c r="L20" i="2057" s="1"/>
  <c r="D20" i="2057" s="1"/>
  <c r="L22" i="2057"/>
  <c r="D22" i="2057" s="1"/>
  <c r="R21" i="2057"/>
  <c r="L21" i="2057"/>
  <c r="D21" i="2057" s="1"/>
  <c r="R20" i="2057"/>
  <c r="R19" i="2057"/>
  <c r="R18" i="2057"/>
  <c r="R17" i="2057"/>
  <c r="L17" i="2057"/>
  <c r="D17" i="2057"/>
  <c r="R16" i="2057"/>
  <c r="R15" i="2057"/>
  <c r="R14" i="2057"/>
  <c r="D14" i="2057"/>
  <c r="R13" i="2057"/>
  <c r="D13" i="2057"/>
  <c r="R12" i="2057"/>
  <c r="L12" i="2057"/>
  <c r="D12" i="2057"/>
  <c r="R11" i="2057"/>
  <c r="L9" i="2057"/>
  <c r="D9" i="2057"/>
  <c r="L8" i="2057"/>
  <c r="D8" i="2057" s="1"/>
  <c r="R6" i="2057"/>
  <c r="L16" i="2057" s="1"/>
  <c r="D16" i="2057" s="1"/>
  <c r="R5" i="2057"/>
  <c r="R4" i="2057"/>
  <c r="L15" i="2057" s="1"/>
  <c r="D15" i="2057" s="1"/>
  <c r="R52" i="2056"/>
  <c r="R51" i="2056"/>
  <c r="D50" i="2056"/>
  <c r="R49" i="2056"/>
  <c r="G49" i="2056"/>
  <c r="D49" i="2056"/>
  <c r="R48" i="2056"/>
  <c r="D48" i="2056"/>
  <c r="D46" i="2056"/>
  <c r="D45" i="2056"/>
  <c r="D44" i="2056"/>
  <c r="R42" i="2056"/>
  <c r="L6" i="2056" s="1"/>
  <c r="D6" i="2056" s="1"/>
  <c r="D42" i="2056"/>
  <c r="R41" i="2056"/>
  <c r="L7" i="2056" s="1"/>
  <c r="D7" i="2056" s="1"/>
  <c r="D41" i="2056"/>
  <c r="R40" i="2056"/>
  <c r="D40" i="2056"/>
  <c r="R39" i="2056"/>
  <c r="D39" i="2056"/>
  <c r="R38" i="2056"/>
  <c r="L9" i="2056" s="1"/>
  <c r="D9" i="2056" s="1"/>
  <c r="D38" i="2056"/>
  <c r="R37" i="2056"/>
  <c r="D37" i="2056"/>
  <c r="R36" i="2056"/>
  <c r="L10" i="2056" s="1"/>
  <c r="D10" i="2056" s="1"/>
  <c r="D36" i="2056"/>
  <c r="R35" i="2056"/>
  <c r="D35" i="2056"/>
  <c r="R34" i="2056"/>
  <c r="L12" i="2056" s="1"/>
  <c r="D12" i="2056" s="1"/>
  <c r="D34" i="2056"/>
  <c r="D54" i="2056" s="1"/>
  <c r="H14" i="2056" s="1"/>
  <c r="R33" i="2056"/>
  <c r="L23" i="2056" s="1"/>
  <c r="D23" i="2056" s="1"/>
  <c r="R32" i="2056"/>
  <c r="L11" i="2056" s="1"/>
  <c r="D11" i="2056" s="1"/>
  <c r="R31" i="2056"/>
  <c r="R30" i="2056"/>
  <c r="R29" i="2056"/>
  <c r="R28" i="2056"/>
  <c r="D28" i="2056"/>
  <c r="R27" i="2056"/>
  <c r="D27" i="2056"/>
  <c r="R26" i="2056"/>
  <c r="L26" i="2056"/>
  <c r="D26" i="2056"/>
  <c r="R25" i="2056"/>
  <c r="L25" i="2056"/>
  <c r="D25" i="2056"/>
  <c r="R24" i="2056"/>
  <c r="D24" i="2056"/>
  <c r="R23" i="2056"/>
  <c r="R22" i="2056"/>
  <c r="L22" i="2056"/>
  <c r="D22" i="2056"/>
  <c r="R21" i="2056"/>
  <c r="D21" i="2056"/>
  <c r="R20" i="2056"/>
  <c r="L20" i="2056"/>
  <c r="D20" i="2056"/>
  <c r="R19" i="2056"/>
  <c r="L19" i="2056"/>
  <c r="D19" i="2056"/>
  <c r="R18" i="2056"/>
  <c r="D18" i="2056"/>
  <c r="R17" i="2056"/>
  <c r="D17" i="2056"/>
  <c r="R16" i="2056"/>
  <c r="L16" i="2056"/>
  <c r="D16" i="2056" s="1"/>
  <c r="S15" i="2056"/>
  <c r="R15" i="2056"/>
  <c r="D15" i="2056"/>
  <c r="S14" i="2056"/>
  <c r="R14" i="2056"/>
  <c r="D14" i="2056"/>
  <c r="R13" i="2056"/>
  <c r="D13" i="2056"/>
  <c r="R12" i="2056"/>
  <c r="R11" i="2056"/>
  <c r="L8" i="2056"/>
  <c r="D8" i="2056"/>
  <c r="R6" i="2056"/>
  <c r="R5" i="2056"/>
  <c r="R4" i="2056"/>
  <c r="D29" i="2072" l="1"/>
  <c r="H13" i="2072" s="1"/>
  <c r="H15" i="2072" s="1"/>
  <c r="H29" i="2072" s="1"/>
  <c r="G51" i="2072" s="1"/>
  <c r="D29" i="2071"/>
  <c r="H13" i="2071" s="1"/>
  <c r="H15" i="2071" s="1"/>
  <c r="H29" i="2071" s="1"/>
  <c r="G51" i="2071"/>
  <c r="D29" i="2070"/>
  <c r="H13" i="2070" s="1"/>
  <c r="H15" i="2070" s="1"/>
  <c r="H29" i="2070" s="1"/>
  <c r="G51" i="2070" s="1"/>
  <c r="D29" i="2069"/>
  <c r="H13" i="2069" s="1"/>
  <c r="H15" i="2069" s="1"/>
  <c r="H29" i="2069" s="1"/>
  <c r="G51" i="2069" s="1"/>
  <c r="D29" i="2068"/>
  <c r="H13" i="2068" s="1"/>
  <c r="H15" i="2068" s="1"/>
  <c r="H29" i="2068" s="1"/>
  <c r="G51" i="2068" s="1"/>
  <c r="D29" i="2067"/>
  <c r="H13" i="2067" s="1"/>
  <c r="H15" i="2067" s="1"/>
  <c r="H29" i="2067" s="1"/>
  <c r="G51" i="2067" s="1"/>
  <c r="D29" i="2066"/>
  <c r="H13" i="2066" s="1"/>
  <c r="H15" i="2066" s="1"/>
  <c r="H29" i="2066" s="1"/>
  <c r="G51" i="2066" s="1"/>
  <c r="G51" i="2065"/>
  <c r="H15" i="2064"/>
  <c r="H29" i="2064" s="1"/>
  <c r="G51" i="2064"/>
  <c r="D29" i="2063"/>
  <c r="H13" i="2063" s="1"/>
  <c r="H15" i="2063" s="1"/>
  <c r="H29" i="2063" s="1"/>
  <c r="G51" i="2063"/>
  <c r="D29" i="2062"/>
  <c r="H13" i="2062" s="1"/>
  <c r="H15" i="2062" s="1"/>
  <c r="H29" i="2062" s="1"/>
  <c r="G51" i="2062" s="1"/>
  <c r="D29" i="2061"/>
  <c r="H13" i="2061" s="1"/>
  <c r="H15" i="2061" s="1"/>
  <c r="H29" i="2061" s="1"/>
  <c r="G51" i="2061" s="1"/>
  <c r="D29" i="2060"/>
  <c r="H13" i="2060" s="1"/>
  <c r="H15" i="2060" s="1"/>
  <c r="H29" i="2060" s="1"/>
  <c r="G51" i="2060" s="1"/>
  <c r="D29" i="2059"/>
  <c r="H13" i="2059" s="1"/>
  <c r="H15" i="2059" s="1"/>
  <c r="H29" i="2059" s="1"/>
  <c r="G51" i="2059" s="1"/>
  <c r="D29" i="2058"/>
  <c r="H13" i="2058" s="1"/>
  <c r="H15" i="2058" s="1"/>
  <c r="H29" i="2058" s="1"/>
  <c r="G51" i="2058" s="1"/>
  <c r="D29" i="2057"/>
  <c r="H13" i="2057" s="1"/>
  <c r="H15" i="2057" s="1"/>
  <c r="H29" i="2057" s="1"/>
  <c r="G51" i="2057" s="1"/>
  <c r="D29" i="2056"/>
  <c r="H13" i="2056" s="1"/>
  <c r="H15" i="2056" s="1"/>
  <c r="H29" i="2056" s="1"/>
  <c r="G51" i="2056" s="1"/>
  <c r="H16" i="2041"/>
  <c r="C19" i="2041"/>
  <c r="C18" i="2041"/>
  <c r="C16" i="2041"/>
  <c r="L26" i="2039"/>
  <c r="C12" i="2039"/>
  <c r="C16" i="2039"/>
  <c r="C15" i="2039"/>
  <c r="C16" i="2037" l="1"/>
  <c r="C15" i="2037"/>
  <c r="H16" i="2037"/>
  <c r="C12" i="2035"/>
  <c r="C16" i="2035"/>
  <c r="H16" i="2033" l="1"/>
  <c r="C37" i="2033" l="1"/>
  <c r="H16" i="2055" l="1"/>
  <c r="C12" i="2055"/>
  <c r="R52" i="2055"/>
  <c r="R51" i="2055"/>
  <c r="D50" i="2055"/>
  <c r="R49" i="2055"/>
  <c r="D49" i="2055"/>
  <c r="R48" i="2055"/>
  <c r="D48" i="2055"/>
  <c r="D46" i="2055"/>
  <c r="D45" i="2055"/>
  <c r="R44" i="2055"/>
  <c r="D44" i="2055"/>
  <c r="R42" i="2055"/>
  <c r="D42" i="2055"/>
  <c r="R41" i="2055"/>
  <c r="D41" i="2055"/>
  <c r="R40" i="2055"/>
  <c r="D40" i="2055"/>
  <c r="R39" i="2055"/>
  <c r="H39" i="2055"/>
  <c r="D39" i="2055"/>
  <c r="R38" i="2055"/>
  <c r="H38" i="2055"/>
  <c r="D38" i="2055"/>
  <c r="R37" i="2055"/>
  <c r="H37" i="2055"/>
  <c r="D37" i="2055"/>
  <c r="R36" i="2055"/>
  <c r="L10" i="2055" s="1"/>
  <c r="D10" i="2055" s="1"/>
  <c r="H36" i="2055"/>
  <c r="D36" i="2055"/>
  <c r="R35" i="2055"/>
  <c r="H35" i="2055"/>
  <c r="D35" i="2055"/>
  <c r="R34" i="2055"/>
  <c r="L12" i="2055" s="1"/>
  <c r="H34" i="2055"/>
  <c r="D34" i="2055"/>
  <c r="R33" i="2055"/>
  <c r="R32" i="2055"/>
  <c r="R31" i="2055"/>
  <c r="R30" i="2055"/>
  <c r="R29" i="2055"/>
  <c r="R28" i="2055"/>
  <c r="L28" i="2055"/>
  <c r="D28" i="2055"/>
  <c r="R27" i="2055"/>
  <c r="L27" i="2055"/>
  <c r="D27" i="2055"/>
  <c r="R26" i="2055"/>
  <c r="L26" i="2055"/>
  <c r="D26" i="2055"/>
  <c r="R25" i="2055"/>
  <c r="L25" i="2055"/>
  <c r="D25" i="2055"/>
  <c r="R24" i="2055"/>
  <c r="L24" i="2055"/>
  <c r="D24" i="2055"/>
  <c r="R23" i="2055"/>
  <c r="L23" i="2055"/>
  <c r="D23" i="2055" s="1"/>
  <c r="R22" i="2055"/>
  <c r="L20" i="2055" s="1"/>
  <c r="D20" i="2055" s="1"/>
  <c r="L22" i="2055"/>
  <c r="D22" i="2055"/>
  <c r="R21" i="2055"/>
  <c r="L21" i="2055"/>
  <c r="D21" i="2055"/>
  <c r="R20" i="2055"/>
  <c r="R19" i="2055"/>
  <c r="L19" i="2055"/>
  <c r="D19" i="2055"/>
  <c r="R18" i="2055"/>
  <c r="L18" i="2055"/>
  <c r="D18" i="2055"/>
  <c r="R17" i="2055"/>
  <c r="L17" i="2055"/>
  <c r="D17" i="2055" s="1"/>
  <c r="R16" i="2055"/>
  <c r="R15" i="2055"/>
  <c r="L15" i="2055"/>
  <c r="D15" i="2055"/>
  <c r="R14" i="2055"/>
  <c r="D14" i="2055"/>
  <c r="R13" i="2055"/>
  <c r="D13" i="2055"/>
  <c r="R12" i="2055"/>
  <c r="R11" i="2055"/>
  <c r="L11" i="2055"/>
  <c r="D11" i="2055"/>
  <c r="L9" i="2055"/>
  <c r="D9" i="2055"/>
  <c r="L8" i="2055"/>
  <c r="D8" i="2055"/>
  <c r="L7" i="2055"/>
  <c r="D7" i="2055"/>
  <c r="R6" i="2055"/>
  <c r="L16" i="2055" s="1"/>
  <c r="L6" i="2055"/>
  <c r="D6" i="2055" s="1"/>
  <c r="R5" i="2055"/>
  <c r="R4" i="2055"/>
  <c r="R52" i="2054"/>
  <c r="R51" i="2054"/>
  <c r="D50" i="2054"/>
  <c r="R49" i="2054"/>
  <c r="G49" i="2054"/>
  <c r="D49" i="2054"/>
  <c r="R48" i="2054"/>
  <c r="D48" i="2054"/>
  <c r="D46" i="2054"/>
  <c r="D45" i="2054"/>
  <c r="D44" i="2054"/>
  <c r="R42" i="2054"/>
  <c r="L6" i="2054" s="1"/>
  <c r="D6" i="2054" s="1"/>
  <c r="D42" i="2054"/>
  <c r="R41" i="2054"/>
  <c r="L7" i="2054" s="1"/>
  <c r="D7" i="2054" s="1"/>
  <c r="D41" i="2054"/>
  <c r="R40" i="2054"/>
  <c r="L8" i="2054" s="1"/>
  <c r="D8" i="2054" s="1"/>
  <c r="D40" i="2054"/>
  <c r="R39" i="2054"/>
  <c r="D39" i="2054"/>
  <c r="R38" i="2054"/>
  <c r="D38" i="2054"/>
  <c r="R37" i="2054"/>
  <c r="D37" i="2054"/>
  <c r="R36" i="2054"/>
  <c r="D36" i="2054"/>
  <c r="D54" i="2054" s="1"/>
  <c r="H14" i="2054" s="1"/>
  <c r="R35" i="2054"/>
  <c r="D35" i="2054"/>
  <c r="R34" i="2054"/>
  <c r="D34" i="2054"/>
  <c r="R33" i="2054"/>
  <c r="R32" i="2054"/>
  <c r="R31" i="2054"/>
  <c r="R30" i="2054"/>
  <c r="R29" i="2054"/>
  <c r="R28" i="2054"/>
  <c r="D28" i="2054"/>
  <c r="R27" i="2054"/>
  <c r="D27" i="2054"/>
  <c r="R26" i="2054"/>
  <c r="L26" i="2054"/>
  <c r="D26" i="2054"/>
  <c r="R25" i="2054"/>
  <c r="L25" i="2054"/>
  <c r="D25" i="2054"/>
  <c r="R24" i="2054"/>
  <c r="D24" i="2054"/>
  <c r="R23" i="2054"/>
  <c r="L23" i="2054"/>
  <c r="D23" i="2054"/>
  <c r="R22" i="2054"/>
  <c r="L22" i="2054"/>
  <c r="D22" i="2054"/>
  <c r="R21" i="2054"/>
  <c r="D21" i="2054"/>
  <c r="R20" i="2054"/>
  <c r="L20" i="2054"/>
  <c r="D20" i="2054"/>
  <c r="R19" i="2054"/>
  <c r="L19" i="2054"/>
  <c r="D19" i="2054"/>
  <c r="R18" i="2054"/>
  <c r="D18" i="2054"/>
  <c r="R17" i="2054"/>
  <c r="D17" i="2054"/>
  <c r="R16" i="2054"/>
  <c r="L16" i="2054"/>
  <c r="D16" i="2054" s="1"/>
  <c r="S15" i="2054"/>
  <c r="R15" i="2054"/>
  <c r="D15" i="2054"/>
  <c r="S14" i="2054"/>
  <c r="R14" i="2054"/>
  <c r="D14" i="2054"/>
  <c r="R13" i="2054"/>
  <c r="D13" i="2054"/>
  <c r="R12" i="2054"/>
  <c r="L12" i="2054"/>
  <c r="D12" i="2054"/>
  <c r="R11" i="2054"/>
  <c r="L11" i="2054"/>
  <c r="D11" i="2054"/>
  <c r="L10" i="2054"/>
  <c r="D10" i="2054" s="1"/>
  <c r="L9" i="2054"/>
  <c r="D9" i="2054" s="1"/>
  <c r="R6" i="2054"/>
  <c r="R5" i="2054"/>
  <c r="R4" i="2054"/>
  <c r="D12" i="2055" l="1"/>
  <c r="G49" i="2055"/>
  <c r="D54" i="2055"/>
  <c r="H14" i="2055" s="1"/>
  <c r="D16" i="2055"/>
  <c r="D29" i="2055" s="1"/>
  <c r="H13" i="2055" s="1"/>
  <c r="D29" i="2054"/>
  <c r="H13" i="2054" s="1"/>
  <c r="H15" i="2054" s="1"/>
  <c r="H29" i="2054" s="1"/>
  <c r="G51" i="2054"/>
  <c r="H16" i="2029"/>
  <c r="C16" i="2029"/>
  <c r="H15" i="2055" l="1"/>
  <c r="H29" i="2055" s="1"/>
  <c r="G51" i="2055" s="1"/>
  <c r="R52" i="2053"/>
  <c r="R51" i="2053"/>
  <c r="D50" i="2053"/>
  <c r="R49" i="2053"/>
  <c r="D49" i="2053"/>
  <c r="R48" i="2053"/>
  <c r="D48" i="2053"/>
  <c r="D46" i="2053"/>
  <c r="D45" i="2053"/>
  <c r="R44" i="2053"/>
  <c r="L28" i="2053" s="1"/>
  <c r="D28" i="2053" s="1"/>
  <c r="D44" i="2053"/>
  <c r="R42" i="2053"/>
  <c r="D42" i="2053"/>
  <c r="R41" i="2053"/>
  <c r="D41" i="2053"/>
  <c r="R40" i="2053"/>
  <c r="D40" i="2053"/>
  <c r="R39" i="2053"/>
  <c r="H39" i="2053"/>
  <c r="D39" i="2053"/>
  <c r="R38" i="2053"/>
  <c r="L9" i="2053" s="1"/>
  <c r="D9" i="2053" s="1"/>
  <c r="H38" i="2053"/>
  <c r="D38" i="2053"/>
  <c r="R37" i="2053"/>
  <c r="H37" i="2053"/>
  <c r="D37" i="2053"/>
  <c r="R36" i="2053"/>
  <c r="L10" i="2053" s="1"/>
  <c r="D10" i="2053" s="1"/>
  <c r="H36" i="2053"/>
  <c r="D36" i="2053"/>
  <c r="R35" i="2053"/>
  <c r="H35" i="2053"/>
  <c r="D35" i="2053"/>
  <c r="R34" i="2053"/>
  <c r="H34" i="2053"/>
  <c r="G49" i="2053" s="1"/>
  <c r="D34" i="2053"/>
  <c r="D54" i="2053" s="1"/>
  <c r="H14" i="2053" s="1"/>
  <c r="R33" i="2053"/>
  <c r="R32" i="2053"/>
  <c r="L11" i="2053" s="1"/>
  <c r="D11" i="2053" s="1"/>
  <c r="R31" i="2053"/>
  <c r="R30" i="2053"/>
  <c r="R29" i="2053"/>
  <c r="R28" i="2053"/>
  <c r="R27" i="2053"/>
  <c r="L27" i="2053"/>
  <c r="D27" i="2053" s="1"/>
  <c r="R26" i="2053"/>
  <c r="L26" i="2053"/>
  <c r="D26" i="2053"/>
  <c r="R25" i="2053"/>
  <c r="L25" i="2053"/>
  <c r="D25" i="2053" s="1"/>
  <c r="R24" i="2053"/>
  <c r="L24" i="2053"/>
  <c r="D24" i="2053"/>
  <c r="R23" i="2053"/>
  <c r="L23" i="2053"/>
  <c r="D23" i="2053" s="1"/>
  <c r="R22" i="2053"/>
  <c r="L20" i="2053" s="1"/>
  <c r="D20" i="2053" s="1"/>
  <c r="L22" i="2053"/>
  <c r="D22" i="2053" s="1"/>
  <c r="R21" i="2053"/>
  <c r="L21" i="2053"/>
  <c r="D21" i="2053"/>
  <c r="R20" i="2053"/>
  <c r="R19" i="2053"/>
  <c r="L19" i="2053"/>
  <c r="D19" i="2053" s="1"/>
  <c r="R18" i="2053"/>
  <c r="L18" i="2053"/>
  <c r="D18" i="2053"/>
  <c r="R17" i="2053"/>
  <c r="L17" i="2053"/>
  <c r="D17" i="2053" s="1"/>
  <c r="R16" i="2053"/>
  <c r="R15" i="2053"/>
  <c r="L15" i="2053"/>
  <c r="D15" i="2053" s="1"/>
  <c r="R14" i="2053"/>
  <c r="D14" i="2053"/>
  <c r="R13" i="2053"/>
  <c r="D13" i="2053"/>
  <c r="R12" i="2053"/>
  <c r="L12" i="2053"/>
  <c r="D12" i="2053" s="1"/>
  <c r="R11" i="2053"/>
  <c r="L8" i="2053"/>
  <c r="D8" i="2053"/>
  <c r="L7" i="2053"/>
  <c r="D7" i="2053"/>
  <c r="R6" i="2053"/>
  <c r="L16" i="2053" s="1"/>
  <c r="D16" i="2053" s="1"/>
  <c r="L6" i="2053"/>
  <c r="D6" i="2053" s="1"/>
  <c r="R5" i="2053"/>
  <c r="R4" i="2053"/>
  <c r="R52" i="2052"/>
  <c r="R51" i="2052"/>
  <c r="D50" i="2052"/>
  <c r="R49" i="2052"/>
  <c r="D49" i="2052"/>
  <c r="R48" i="2052"/>
  <c r="D48" i="2052"/>
  <c r="D46" i="2052"/>
  <c r="D45" i="2052"/>
  <c r="R44" i="2052"/>
  <c r="L28" i="2052" s="1"/>
  <c r="D28" i="2052" s="1"/>
  <c r="D44" i="2052"/>
  <c r="R42" i="2052"/>
  <c r="D42" i="2052"/>
  <c r="R41" i="2052"/>
  <c r="D41" i="2052"/>
  <c r="R40" i="2052"/>
  <c r="L8" i="2052" s="1"/>
  <c r="D8" i="2052" s="1"/>
  <c r="D40" i="2052"/>
  <c r="R39" i="2052"/>
  <c r="H39" i="2052"/>
  <c r="D39" i="2052"/>
  <c r="R38" i="2052"/>
  <c r="H38" i="2052"/>
  <c r="D38" i="2052"/>
  <c r="R37" i="2052"/>
  <c r="H37" i="2052"/>
  <c r="D37" i="2052"/>
  <c r="R36" i="2052"/>
  <c r="H36" i="2052"/>
  <c r="D36" i="2052"/>
  <c r="R35" i="2052"/>
  <c r="H35" i="2052"/>
  <c r="D35" i="2052"/>
  <c r="R34" i="2052"/>
  <c r="L12" i="2052" s="1"/>
  <c r="D12" i="2052" s="1"/>
  <c r="H34" i="2052"/>
  <c r="G49" i="2052" s="1"/>
  <c r="D34" i="2052"/>
  <c r="D54" i="2052" s="1"/>
  <c r="H14" i="2052" s="1"/>
  <c r="R33" i="2052"/>
  <c r="L19" i="2052" s="1"/>
  <c r="D19" i="2052" s="1"/>
  <c r="R32" i="2052"/>
  <c r="L11" i="2052" s="1"/>
  <c r="D11" i="2052" s="1"/>
  <c r="R31" i="2052"/>
  <c r="R30" i="2052"/>
  <c r="R29" i="2052"/>
  <c r="R28" i="2052"/>
  <c r="R27" i="2052"/>
  <c r="L27" i="2052"/>
  <c r="D27" i="2052"/>
  <c r="R26" i="2052"/>
  <c r="L26" i="2052"/>
  <c r="D26" i="2052"/>
  <c r="R25" i="2052"/>
  <c r="L25" i="2052"/>
  <c r="D25" i="2052" s="1"/>
  <c r="R24" i="2052"/>
  <c r="L24" i="2052"/>
  <c r="D24" i="2052"/>
  <c r="R23" i="2052"/>
  <c r="L23" i="2052"/>
  <c r="D23" i="2052" s="1"/>
  <c r="R22" i="2052"/>
  <c r="L20" i="2052" s="1"/>
  <c r="D20" i="2052" s="1"/>
  <c r="L22" i="2052"/>
  <c r="D22" i="2052" s="1"/>
  <c r="R21" i="2052"/>
  <c r="L21" i="2052"/>
  <c r="D21" i="2052"/>
  <c r="R20" i="2052"/>
  <c r="R19" i="2052"/>
  <c r="R18" i="2052"/>
  <c r="L18" i="2052"/>
  <c r="D18" i="2052" s="1"/>
  <c r="R17" i="2052"/>
  <c r="L17" i="2052"/>
  <c r="D17" i="2052" s="1"/>
  <c r="R16" i="2052"/>
  <c r="R15" i="2052"/>
  <c r="L15" i="2052"/>
  <c r="D15" i="2052" s="1"/>
  <c r="R14" i="2052"/>
  <c r="D14" i="2052"/>
  <c r="R13" i="2052"/>
  <c r="D13" i="2052"/>
  <c r="R12" i="2052"/>
  <c r="R11" i="2052"/>
  <c r="L10" i="2052"/>
  <c r="D10" i="2052"/>
  <c r="L9" i="2052"/>
  <c r="D9" i="2052"/>
  <c r="L7" i="2052"/>
  <c r="D7" i="2052"/>
  <c r="R6" i="2052"/>
  <c r="L16" i="2052" s="1"/>
  <c r="D16" i="2052" s="1"/>
  <c r="L6" i="2052"/>
  <c r="D6" i="2052" s="1"/>
  <c r="R5" i="2052"/>
  <c r="R4" i="2052"/>
  <c r="R52" i="2051"/>
  <c r="R51" i="2051"/>
  <c r="D50" i="2051"/>
  <c r="R49" i="2051"/>
  <c r="D49" i="2051"/>
  <c r="R48" i="2051"/>
  <c r="D48" i="2051"/>
  <c r="D46" i="2051"/>
  <c r="D45" i="2051"/>
  <c r="R44" i="2051"/>
  <c r="L28" i="2051" s="1"/>
  <c r="D28" i="2051" s="1"/>
  <c r="D44" i="2051"/>
  <c r="R42" i="2051"/>
  <c r="D42" i="2051"/>
  <c r="R41" i="2051"/>
  <c r="D41" i="2051"/>
  <c r="R40" i="2051"/>
  <c r="D40" i="2051"/>
  <c r="R39" i="2051"/>
  <c r="H39" i="2051"/>
  <c r="D39" i="2051"/>
  <c r="R38" i="2051"/>
  <c r="H38" i="2051"/>
  <c r="D38" i="2051"/>
  <c r="R37" i="2051"/>
  <c r="H37" i="2051"/>
  <c r="D37" i="2051"/>
  <c r="R36" i="2051"/>
  <c r="H36" i="2051"/>
  <c r="D36" i="2051"/>
  <c r="R35" i="2051"/>
  <c r="L18" i="2051" s="1"/>
  <c r="D18" i="2051" s="1"/>
  <c r="H35" i="2051"/>
  <c r="D35" i="2051"/>
  <c r="D54" i="2051" s="1"/>
  <c r="H14" i="2051" s="1"/>
  <c r="R34" i="2051"/>
  <c r="H34" i="2051"/>
  <c r="G49" i="2051" s="1"/>
  <c r="D34" i="2051"/>
  <c r="R33" i="2051"/>
  <c r="R32" i="2051"/>
  <c r="R31" i="2051"/>
  <c r="R30" i="2051"/>
  <c r="R29" i="2051"/>
  <c r="R28" i="2051"/>
  <c r="R27" i="2051"/>
  <c r="L27" i="2051"/>
  <c r="D27" i="2051"/>
  <c r="R26" i="2051"/>
  <c r="L26" i="2051"/>
  <c r="D26" i="2051"/>
  <c r="R25" i="2051"/>
  <c r="L25" i="2051"/>
  <c r="D25" i="2051"/>
  <c r="R24" i="2051"/>
  <c r="L24" i="2051"/>
  <c r="D24" i="2051" s="1"/>
  <c r="R23" i="2051"/>
  <c r="L23" i="2051"/>
  <c r="D23" i="2051" s="1"/>
  <c r="R22" i="2051"/>
  <c r="L20" i="2051" s="1"/>
  <c r="D20" i="2051" s="1"/>
  <c r="L22" i="2051"/>
  <c r="D22" i="2051" s="1"/>
  <c r="R21" i="2051"/>
  <c r="L21" i="2051"/>
  <c r="D21" i="2051" s="1"/>
  <c r="R20" i="2051"/>
  <c r="R19" i="2051"/>
  <c r="L19" i="2051"/>
  <c r="D19" i="2051"/>
  <c r="R18" i="2051"/>
  <c r="R17" i="2051"/>
  <c r="L17" i="2051"/>
  <c r="D17" i="2051" s="1"/>
  <c r="R16" i="2051"/>
  <c r="L16" i="2051"/>
  <c r="D16" i="2051" s="1"/>
  <c r="R15" i="2051"/>
  <c r="R14" i="2051"/>
  <c r="D14" i="2051"/>
  <c r="R13" i="2051"/>
  <c r="D13" i="2051"/>
  <c r="R12" i="2051"/>
  <c r="L12" i="2051"/>
  <c r="D12" i="2051" s="1"/>
  <c r="R11" i="2051"/>
  <c r="L11" i="2051"/>
  <c r="D11" i="2051" s="1"/>
  <c r="L10" i="2051"/>
  <c r="D10" i="2051"/>
  <c r="L9" i="2051"/>
  <c r="D9" i="2051"/>
  <c r="L8" i="2051"/>
  <c r="D8" i="2051" s="1"/>
  <c r="L7" i="2051"/>
  <c r="D7" i="2051" s="1"/>
  <c r="R6" i="2051"/>
  <c r="L6" i="2051"/>
  <c r="D6" i="2051" s="1"/>
  <c r="D29" i="2051" s="1"/>
  <c r="H13" i="2051" s="1"/>
  <c r="H15" i="2051" s="1"/>
  <c r="H29" i="2051" s="1"/>
  <c r="R5" i="2051"/>
  <c r="R4" i="2051"/>
  <c r="L15" i="2051" s="1"/>
  <c r="D15" i="2051" s="1"/>
  <c r="R52" i="2050"/>
  <c r="R51" i="2050"/>
  <c r="D50" i="2050"/>
  <c r="R49" i="2050"/>
  <c r="G49" i="2050"/>
  <c r="D49" i="2050"/>
  <c r="R48" i="2050"/>
  <c r="D48" i="2050"/>
  <c r="D46" i="2050"/>
  <c r="D45" i="2050"/>
  <c r="D44" i="2050"/>
  <c r="R42" i="2050"/>
  <c r="D42" i="2050"/>
  <c r="R41" i="2050"/>
  <c r="L7" i="2050" s="1"/>
  <c r="D7" i="2050" s="1"/>
  <c r="D41" i="2050"/>
  <c r="R40" i="2050"/>
  <c r="D40" i="2050"/>
  <c r="R39" i="2050"/>
  <c r="D39" i="2050"/>
  <c r="R38" i="2050"/>
  <c r="D38" i="2050"/>
  <c r="D54" i="2050" s="1"/>
  <c r="H14" i="2050" s="1"/>
  <c r="R37" i="2050"/>
  <c r="D37" i="2050"/>
  <c r="R36" i="2050"/>
  <c r="L10" i="2050" s="1"/>
  <c r="D10" i="2050" s="1"/>
  <c r="D36" i="2050"/>
  <c r="R35" i="2050"/>
  <c r="L19" i="2050" s="1"/>
  <c r="D19" i="2050" s="1"/>
  <c r="D35" i="2050"/>
  <c r="R34" i="2050"/>
  <c r="D34" i="2050"/>
  <c r="R33" i="2050"/>
  <c r="R32" i="2050"/>
  <c r="R31" i="2050"/>
  <c r="R30" i="2050"/>
  <c r="R29" i="2050"/>
  <c r="R28" i="2050"/>
  <c r="L16" i="2050" s="1"/>
  <c r="D16" i="2050" s="1"/>
  <c r="D28" i="2050"/>
  <c r="R27" i="2050"/>
  <c r="D27" i="2050"/>
  <c r="R26" i="2050"/>
  <c r="L26" i="2050"/>
  <c r="D26" i="2050" s="1"/>
  <c r="R25" i="2050"/>
  <c r="L25" i="2050"/>
  <c r="D25" i="2050"/>
  <c r="R24" i="2050"/>
  <c r="D24" i="2050"/>
  <c r="R23" i="2050"/>
  <c r="L23" i="2050"/>
  <c r="D23" i="2050" s="1"/>
  <c r="R22" i="2050"/>
  <c r="L22" i="2050"/>
  <c r="D22" i="2050" s="1"/>
  <c r="R21" i="2050"/>
  <c r="D21" i="2050"/>
  <c r="R20" i="2050"/>
  <c r="L20" i="2050"/>
  <c r="D20" i="2050" s="1"/>
  <c r="R19" i="2050"/>
  <c r="R18" i="2050"/>
  <c r="D18" i="2050"/>
  <c r="R17" i="2050"/>
  <c r="D17" i="2050"/>
  <c r="R16" i="2050"/>
  <c r="S15" i="2050"/>
  <c r="R15" i="2050"/>
  <c r="D15" i="2050"/>
  <c r="S14" i="2050"/>
  <c r="R14" i="2050"/>
  <c r="D14" i="2050"/>
  <c r="R13" i="2050"/>
  <c r="D13" i="2050"/>
  <c r="R12" i="2050"/>
  <c r="L12" i="2050"/>
  <c r="D12" i="2050"/>
  <c r="R11" i="2050"/>
  <c r="L11" i="2050"/>
  <c r="D11" i="2050" s="1"/>
  <c r="L9" i="2050"/>
  <c r="D9" i="2050"/>
  <c r="L8" i="2050"/>
  <c r="D8" i="2050" s="1"/>
  <c r="R6" i="2050"/>
  <c r="L6" i="2050"/>
  <c r="D6" i="2050" s="1"/>
  <c r="R5" i="2050"/>
  <c r="R4" i="2050"/>
  <c r="R52" i="2049"/>
  <c r="R51" i="2049"/>
  <c r="D50" i="2049"/>
  <c r="R49" i="2049"/>
  <c r="D49" i="2049"/>
  <c r="R48" i="2049"/>
  <c r="D48" i="2049"/>
  <c r="D46" i="2049"/>
  <c r="D45" i="2049"/>
  <c r="R44" i="2049"/>
  <c r="D44" i="2049"/>
  <c r="R42" i="2049"/>
  <c r="L6" i="2049" s="1"/>
  <c r="D6" i="2049" s="1"/>
  <c r="D42" i="2049"/>
  <c r="R41" i="2049"/>
  <c r="D41" i="2049"/>
  <c r="R40" i="2049"/>
  <c r="D40" i="2049"/>
  <c r="R39" i="2049"/>
  <c r="H39" i="2049"/>
  <c r="D39" i="2049"/>
  <c r="R38" i="2049"/>
  <c r="L9" i="2049" s="1"/>
  <c r="D9" i="2049" s="1"/>
  <c r="H38" i="2049"/>
  <c r="D38" i="2049"/>
  <c r="R37" i="2049"/>
  <c r="H37" i="2049"/>
  <c r="D37" i="2049"/>
  <c r="R36" i="2049"/>
  <c r="L10" i="2049" s="1"/>
  <c r="D10" i="2049" s="1"/>
  <c r="H36" i="2049"/>
  <c r="D36" i="2049"/>
  <c r="R35" i="2049"/>
  <c r="H35" i="2049"/>
  <c r="D35" i="2049"/>
  <c r="R34" i="2049"/>
  <c r="H34" i="2049"/>
  <c r="G49" i="2049" s="1"/>
  <c r="D34" i="2049"/>
  <c r="D54" i="2049" s="1"/>
  <c r="H14" i="2049" s="1"/>
  <c r="R33" i="2049"/>
  <c r="R32" i="2049"/>
  <c r="L11" i="2049" s="1"/>
  <c r="D11" i="2049" s="1"/>
  <c r="R31" i="2049"/>
  <c r="R30" i="2049"/>
  <c r="R29" i="2049"/>
  <c r="R28" i="2049"/>
  <c r="L28" i="2049"/>
  <c r="D28" i="2049"/>
  <c r="R27" i="2049"/>
  <c r="L27" i="2049"/>
  <c r="D27" i="2049" s="1"/>
  <c r="R26" i="2049"/>
  <c r="L26" i="2049"/>
  <c r="D26" i="2049" s="1"/>
  <c r="R25" i="2049"/>
  <c r="L25" i="2049"/>
  <c r="D25" i="2049"/>
  <c r="R24" i="2049"/>
  <c r="L24" i="2049"/>
  <c r="D24" i="2049"/>
  <c r="R23" i="2049"/>
  <c r="L23" i="2049"/>
  <c r="D23" i="2049"/>
  <c r="R22" i="2049"/>
  <c r="L20" i="2049" s="1"/>
  <c r="D20" i="2049" s="1"/>
  <c r="L22" i="2049"/>
  <c r="D22" i="2049"/>
  <c r="R21" i="2049"/>
  <c r="L21" i="2049"/>
  <c r="D21" i="2049"/>
  <c r="R20" i="2049"/>
  <c r="R19" i="2049"/>
  <c r="L19" i="2049"/>
  <c r="D19" i="2049"/>
  <c r="R18" i="2049"/>
  <c r="L18" i="2049"/>
  <c r="D18" i="2049" s="1"/>
  <c r="R17" i="2049"/>
  <c r="L17" i="2049"/>
  <c r="D17" i="2049" s="1"/>
  <c r="R16" i="2049"/>
  <c r="R15" i="2049"/>
  <c r="L15" i="2049"/>
  <c r="D15" i="2049"/>
  <c r="R14" i="2049"/>
  <c r="D14" i="2049"/>
  <c r="R13" i="2049"/>
  <c r="D13" i="2049"/>
  <c r="R12" i="2049"/>
  <c r="L12" i="2049"/>
  <c r="D12" i="2049" s="1"/>
  <c r="R11" i="2049"/>
  <c r="L8" i="2049"/>
  <c r="D8" i="2049" s="1"/>
  <c r="L7" i="2049"/>
  <c r="D7" i="2049"/>
  <c r="R6" i="2049"/>
  <c r="L16" i="2049" s="1"/>
  <c r="D16" i="2049" s="1"/>
  <c r="R5" i="2049"/>
  <c r="R4" i="2049"/>
  <c r="R52" i="2048"/>
  <c r="R51" i="2048"/>
  <c r="D50" i="2048"/>
  <c r="R49" i="2048"/>
  <c r="D49" i="2048"/>
  <c r="R48" i="2048"/>
  <c r="D48" i="2048"/>
  <c r="D46" i="2048"/>
  <c r="D45" i="2048"/>
  <c r="R44" i="2048"/>
  <c r="D44" i="2048"/>
  <c r="R42" i="2048"/>
  <c r="L6" i="2048" s="1"/>
  <c r="D6" i="2048" s="1"/>
  <c r="D42" i="2048"/>
  <c r="R41" i="2048"/>
  <c r="D41" i="2048"/>
  <c r="R40" i="2048"/>
  <c r="L8" i="2048" s="1"/>
  <c r="D8" i="2048" s="1"/>
  <c r="D40" i="2048"/>
  <c r="R39" i="2048"/>
  <c r="H39" i="2048"/>
  <c r="D39" i="2048"/>
  <c r="R38" i="2048"/>
  <c r="H38" i="2048"/>
  <c r="D38" i="2048"/>
  <c r="R37" i="2048"/>
  <c r="H37" i="2048"/>
  <c r="D37" i="2048"/>
  <c r="R36" i="2048"/>
  <c r="L10" i="2048" s="1"/>
  <c r="D10" i="2048" s="1"/>
  <c r="H36" i="2048"/>
  <c r="G49" i="2048" s="1"/>
  <c r="D36" i="2048"/>
  <c r="R35" i="2048"/>
  <c r="H35" i="2048"/>
  <c r="D35" i="2048"/>
  <c r="R34" i="2048"/>
  <c r="H34" i="2048"/>
  <c r="D34" i="2048"/>
  <c r="D54" i="2048" s="1"/>
  <c r="H14" i="2048" s="1"/>
  <c r="R33" i="2048"/>
  <c r="L19" i="2048" s="1"/>
  <c r="D19" i="2048" s="1"/>
  <c r="R32" i="2048"/>
  <c r="R31" i="2048"/>
  <c r="R30" i="2048"/>
  <c r="R29" i="2048"/>
  <c r="R28" i="2048"/>
  <c r="L28" i="2048"/>
  <c r="D28" i="2048"/>
  <c r="R27" i="2048"/>
  <c r="L27" i="2048"/>
  <c r="D27" i="2048"/>
  <c r="R26" i="2048"/>
  <c r="L26" i="2048"/>
  <c r="D26" i="2048"/>
  <c r="R25" i="2048"/>
  <c r="L25" i="2048"/>
  <c r="D25" i="2048" s="1"/>
  <c r="R24" i="2048"/>
  <c r="L24" i="2048"/>
  <c r="D24" i="2048"/>
  <c r="R23" i="2048"/>
  <c r="L23" i="2048"/>
  <c r="D23" i="2048"/>
  <c r="R22" i="2048"/>
  <c r="L20" i="2048" s="1"/>
  <c r="D20" i="2048" s="1"/>
  <c r="L22" i="2048"/>
  <c r="D22" i="2048" s="1"/>
  <c r="R21" i="2048"/>
  <c r="L21" i="2048"/>
  <c r="D21" i="2048"/>
  <c r="R20" i="2048"/>
  <c r="R19" i="2048"/>
  <c r="R18" i="2048"/>
  <c r="L18" i="2048"/>
  <c r="D18" i="2048"/>
  <c r="R17" i="2048"/>
  <c r="L17" i="2048"/>
  <c r="D17" i="2048" s="1"/>
  <c r="R16" i="2048"/>
  <c r="L16" i="2048"/>
  <c r="D16" i="2048" s="1"/>
  <c r="R15" i="2048"/>
  <c r="L15" i="2048"/>
  <c r="D15" i="2048"/>
  <c r="R14" i="2048"/>
  <c r="D14" i="2048"/>
  <c r="R13" i="2048"/>
  <c r="D13" i="2048"/>
  <c r="R12" i="2048"/>
  <c r="L12" i="2048"/>
  <c r="D12" i="2048" s="1"/>
  <c r="R11" i="2048"/>
  <c r="L11" i="2048"/>
  <c r="D11" i="2048" s="1"/>
  <c r="L9" i="2048"/>
  <c r="D9" i="2048" s="1"/>
  <c r="L7" i="2048"/>
  <c r="D7" i="2048"/>
  <c r="R6" i="2048"/>
  <c r="R5" i="2048"/>
  <c r="R4" i="2048"/>
  <c r="R52" i="2047"/>
  <c r="R51" i="2047"/>
  <c r="D50" i="2047"/>
  <c r="R49" i="2047"/>
  <c r="D49" i="2047"/>
  <c r="R48" i="2047"/>
  <c r="D48" i="2047"/>
  <c r="D46" i="2047"/>
  <c r="D45" i="2047"/>
  <c r="R44" i="2047"/>
  <c r="D44" i="2047"/>
  <c r="R42" i="2047"/>
  <c r="D42" i="2047"/>
  <c r="R41" i="2047"/>
  <c r="L7" i="2047" s="1"/>
  <c r="D7" i="2047" s="1"/>
  <c r="D41" i="2047"/>
  <c r="R40" i="2047"/>
  <c r="D40" i="2047"/>
  <c r="R39" i="2047"/>
  <c r="H39" i="2047"/>
  <c r="D39" i="2047"/>
  <c r="R38" i="2047"/>
  <c r="H38" i="2047"/>
  <c r="D38" i="2047"/>
  <c r="R37" i="2047"/>
  <c r="H37" i="2047"/>
  <c r="D37" i="2047"/>
  <c r="R36" i="2047"/>
  <c r="L10" i="2047" s="1"/>
  <c r="D10" i="2047" s="1"/>
  <c r="H36" i="2047"/>
  <c r="G49" i="2047" s="1"/>
  <c r="D36" i="2047"/>
  <c r="R35" i="2047"/>
  <c r="L18" i="2047" s="1"/>
  <c r="D18" i="2047" s="1"/>
  <c r="H35" i="2047"/>
  <c r="D35" i="2047"/>
  <c r="R34" i="2047"/>
  <c r="H34" i="2047"/>
  <c r="D34" i="2047"/>
  <c r="D54" i="2047" s="1"/>
  <c r="H14" i="2047" s="1"/>
  <c r="R33" i="2047"/>
  <c r="R32" i="2047"/>
  <c r="L11" i="2047" s="1"/>
  <c r="D11" i="2047" s="1"/>
  <c r="R31" i="2047"/>
  <c r="R30" i="2047"/>
  <c r="R29" i="2047"/>
  <c r="R28" i="2047"/>
  <c r="L28" i="2047"/>
  <c r="D28" i="2047"/>
  <c r="R27" i="2047"/>
  <c r="L27" i="2047"/>
  <c r="D27" i="2047"/>
  <c r="R26" i="2047"/>
  <c r="L26" i="2047"/>
  <c r="D26" i="2047"/>
  <c r="R25" i="2047"/>
  <c r="L25" i="2047"/>
  <c r="D25" i="2047"/>
  <c r="R24" i="2047"/>
  <c r="L24" i="2047"/>
  <c r="D24" i="2047"/>
  <c r="R23" i="2047"/>
  <c r="L23" i="2047"/>
  <c r="D23" i="2047"/>
  <c r="R22" i="2047"/>
  <c r="L20" i="2047" s="1"/>
  <c r="D20" i="2047" s="1"/>
  <c r="L22" i="2047"/>
  <c r="D22" i="2047" s="1"/>
  <c r="R21" i="2047"/>
  <c r="L21" i="2047"/>
  <c r="D21" i="2047"/>
  <c r="R20" i="2047"/>
  <c r="R19" i="2047"/>
  <c r="L19" i="2047"/>
  <c r="D19" i="2047" s="1"/>
  <c r="R18" i="2047"/>
  <c r="R17" i="2047"/>
  <c r="L17" i="2047"/>
  <c r="D17" i="2047" s="1"/>
  <c r="R16" i="2047"/>
  <c r="R15" i="2047"/>
  <c r="R14" i="2047"/>
  <c r="D14" i="2047"/>
  <c r="R13" i="2047"/>
  <c r="D13" i="2047"/>
  <c r="R12" i="2047"/>
  <c r="L12" i="2047"/>
  <c r="D12" i="2047" s="1"/>
  <c r="R11" i="2047"/>
  <c r="L9" i="2047"/>
  <c r="D9" i="2047" s="1"/>
  <c r="L8" i="2047"/>
  <c r="D8" i="2047"/>
  <c r="R6" i="2047"/>
  <c r="L16" i="2047" s="1"/>
  <c r="D16" i="2047" s="1"/>
  <c r="L6" i="2047"/>
  <c r="D6" i="2047"/>
  <c r="R5" i="2047"/>
  <c r="R4" i="2047"/>
  <c r="L15" i="2047" s="1"/>
  <c r="D15" i="2047" s="1"/>
  <c r="R52" i="2046"/>
  <c r="R51" i="2046"/>
  <c r="D50" i="2046"/>
  <c r="R49" i="2046"/>
  <c r="G49" i="2046"/>
  <c r="D49" i="2046"/>
  <c r="R48" i="2046"/>
  <c r="D48" i="2046"/>
  <c r="D46" i="2046"/>
  <c r="D45" i="2046"/>
  <c r="D44" i="2046"/>
  <c r="R42" i="2046"/>
  <c r="D42" i="2046"/>
  <c r="R41" i="2046"/>
  <c r="L7" i="2046" s="1"/>
  <c r="D7" i="2046" s="1"/>
  <c r="D41" i="2046"/>
  <c r="R40" i="2046"/>
  <c r="D40" i="2046"/>
  <c r="R39" i="2046"/>
  <c r="D39" i="2046"/>
  <c r="R38" i="2046"/>
  <c r="D38" i="2046"/>
  <c r="R37" i="2046"/>
  <c r="D37" i="2046"/>
  <c r="R36" i="2046"/>
  <c r="D36" i="2046"/>
  <c r="R35" i="2046"/>
  <c r="L19" i="2046" s="1"/>
  <c r="D19" i="2046" s="1"/>
  <c r="D35" i="2046"/>
  <c r="D54" i="2046" s="1"/>
  <c r="H14" i="2046" s="1"/>
  <c r="R34" i="2046"/>
  <c r="D34" i="2046"/>
  <c r="R33" i="2046"/>
  <c r="L23" i="2046" s="1"/>
  <c r="D23" i="2046" s="1"/>
  <c r="R32" i="2046"/>
  <c r="R31" i="2046"/>
  <c r="R30" i="2046"/>
  <c r="R29" i="2046"/>
  <c r="R28" i="2046"/>
  <c r="D28" i="2046"/>
  <c r="R27" i="2046"/>
  <c r="D27" i="2046"/>
  <c r="R26" i="2046"/>
  <c r="L26" i="2046"/>
  <c r="D26" i="2046" s="1"/>
  <c r="R25" i="2046"/>
  <c r="L25" i="2046"/>
  <c r="D25" i="2046"/>
  <c r="R24" i="2046"/>
  <c r="D24" i="2046"/>
  <c r="R23" i="2046"/>
  <c r="R22" i="2046"/>
  <c r="L22" i="2046"/>
  <c r="D22" i="2046" s="1"/>
  <c r="R21" i="2046"/>
  <c r="D21" i="2046"/>
  <c r="R20" i="2046"/>
  <c r="L20" i="2046"/>
  <c r="D20" i="2046" s="1"/>
  <c r="R19" i="2046"/>
  <c r="R18" i="2046"/>
  <c r="D18" i="2046"/>
  <c r="R17" i="2046"/>
  <c r="D17" i="2046"/>
  <c r="R16" i="2046"/>
  <c r="L16" i="2046"/>
  <c r="D16" i="2046" s="1"/>
  <c r="S15" i="2046"/>
  <c r="R15" i="2046"/>
  <c r="D15" i="2046"/>
  <c r="S14" i="2046"/>
  <c r="R14" i="2046"/>
  <c r="D14" i="2046"/>
  <c r="R13" i="2046"/>
  <c r="D13" i="2046"/>
  <c r="R12" i="2046"/>
  <c r="L12" i="2046"/>
  <c r="D12" i="2046" s="1"/>
  <c r="R11" i="2046"/>
  <c r="L11" i="2046"/>
  <c r="D11" i="2046" s="1"/>
  <c r="L10" i="2046"/>
  <c r="D10" i="2046"/>
  <c r="L9" i="2046"/>
  <c r="D9" i="2046"/>
  <c r="L8" i="2046"/>
  <c r="D8" i="2046" s="1"/>
  <c r="R6" i="2046"/>
  <c r="L6" i="2046"/>
  <c r="D6" i="2046" s="1"/>
  <c r="R5" i="2046"/>
  <c r="R4" i="2046"/>
  <c r="R52" i="2045"/>
  <c r="R51" i="2045"/>
  <c r="D50" i="2045"/>
  <c r="R49" i="2045"/>
  <c r="D49" i="2045"/>
  <c r="R48" i="2045"/>
  <c r="D48" i="2045"/>
  <c r="D46" i="2045"/>
  <c r="D45" i="2045"/>
  <c r="R44" i="2045"/>
  <c r="D44" i="2045"/>
  <c r="R42" i="2045"/>
  <c r="L6" i="2045" s="1"/>
  <c r="D6" i="2045" s="1"/>
  <c r="D42" i="2045"/>
  <c r="R41" i="2045"/>
  <c r="D41" i="2045"/>
  <c r="R40" i="2045"/>
  <c r="L8" i="2045" s="1"/>
  <c r="D8" i="2045" s="1"/>
  <c r="D40" i="2045"/>
  <c r="R39" i="2045"/>
  <c r="H39" i="2045"/>
  <c r="D39" i="2045"/>
  <c r="R38" i="2045"/>
  <c r="L9" i="2045" s="1"/>
  <c r="D9" i="2045" s="1"/>
  <c r="H38" i="2045"/>
  <c r="D38" i="2045"/>
  <c r="R37" i="2045"/>
  <c r="H37" i="2045"/>
  <c r="D37" i="2045"/>
  <c r="R36" i="2045"/>
  <c r="L10" i="2045" s="1"/>
  <c r="D10" i="2045" s="1"/>
  <c r="H36" i="2045"/>
  <c r="D36" i="2045"/>
  <c r="R35" i="2045"/>
  <c r="H35" i="2045"/>
  <c r="D35" i="2045"/>
  <c r="R34" i="2045"/>
  <c r="H34" i="2045"/>
  <c r="D34" i="2045"/>
  <c r="R33" i="2045"/>
  <c r="R32" i="2045"/>
  <c r="R31" i="2045"/>
  <c r="R30" i="2045"/>
  <c r="R29" i="2045"/>
  <c r="R28" i="2045"/>
  <c r="L28" i="2045"/>
  <c r="D28" i="2045"/>
  <c r="R27" i="2045"/>
  <c r="L27" i="2045"/>
  <c r="D27" i="2045"/>
  <c r="R26" i="2045"/>
  <c r="L26" i="2045"/>
  <c r="D26" i="2045"/>
  <c r="R25" i="2045"/>
  <c r="L25" i="2045"/>
  <c r="D25" i="2045" s="1"/>
  <c r="R24" i="2045"/>
  <c r="L24" i="2045"/>
  <c r="D24" i="2045"/>
  <c r="R23" i="2045"/>
  <c r="L23" i="2045"/>
  <c r="D23" i="2045"/>
  <c r="R22" i="2045"/>
  <c r="L20" i="2045" s="1"/>
  <c r="D20" i="2045" s="1"/>
  <c r="L22" i="2045"/>
  <c r="D22" i="2045" s="1"/>
  <c r="R21" i="2045"/>
  <c r="L21" i="2045"/>
  <c r="D21" i="2045" s="1"/>
  <c r="R20" i="2045"/>
  <c r="R19" i="2045"/>
  <c r="L19" i="2045"/>
  <c r="D19" i="2045" s="1"/>
  <c r="R18" i="2045"/>
  <c r="L18" i="2045"/>
  <c r="D18" i="2045" s="1"/>
  <c r="R17" i="2045"/>
  <c r="L17" i="2045"/>
  <c r="D17" i="2045" s="1"/>
  <c r="R16" i="2045"/>
  <c r="L16" i="2045"/>
  <c r="D16" i="2045" s="1"/>
  <c r="R15" i="2045"/>
  <c r="L15" i="2045"/>
  <c r="D15" i="2045"/>
  <c r="R14" i="2045"/>
  <c r="D14" i="2045"/>
  <c r="R13" i="2045"/>
  <c r="D13" i="2045"/>
  <c r="R12" i="2045"/>
  <c r="L12" i="2045"/>
  <c r="D12" i="2045" s="1"/>
  <c r="R11" i="2045"/>
  <c r="L11" i="2045"/>
  <c r="D11" i="2045" s="1"/>
  <c r="L7" i="2045"/>
  <c r="D7" i="2045"/>
  <c r="R6" i="2045"/>
  <c r="R5" i="2045"/>
  <c r="R4" i="2045"/>
  <c r="R52" i="2044"/>
  <c r="R51" i="2044"/>
  <c r="D50" i="2044"/>
  <c r="R49" i="2044"/>
  <c r="D49" i="2044"/>
  <c r="R48" i="2044"/>
  <c r="D48" i="2044"/>
  <c r="D46" i="2044"/>
  <c r="D45" i="2044"/>
  <c r="R44" i="2044"/>
  <c r="D44" i="2044"/>
  <c r="R42" i="2044"/>
  <c r="D42" i="2044"/>
  <c r="R41" i="2044"/>
  <c r="D41" i="2044"/>
  <c r="R40" i="2044"/>
  <c r="L8" i="2044" s="1"/>
  <c r="D8" i="2044" s="1"/>
  <c r="D40" i="2044"/>
  <c r="R39" i="2044"/>
  <c r="H39" i="2044"/>
  <c r="D39" i="2044"/>
  <c r="R38" i="2044"/>
  <c r="H38" i="2044"/>
  <c r="D38" i="2044"/>
  <c r="R37" i="2044"/>
  <c r="H37" i="2044"/>
  <c r="D37" i="2044"/>
  <c r="R36" i="2044"/>
  <c r="H36" i="2044"/>
  <c r="D36" i="2044"/>
  <c r="R35" i="2044"/>
  <c r="L18" i="2044" s="1"/>
  <c r="D18" i="2044" s="1"/>
  <c r="H35" i="2044"/>
  <c r="D35" i="2044"/>
  <c r="R34" i="2044"/>
  <c r="L12" i="2044" s="1"/>
  <c r="D12" i="2044" s="1"/>
  <c r="H34" i="2044"/>
  <c r="D34" i="2044"/>
  <c r="R33" i="2044"/>
  <c r="L19" i="2044" s="1"/>
  <c r="D19" i="2044" s="1"/>
  <c r="R32" i="2044"/>
  <c r="R31" i="2044"/>
  <c r="R30" i="2044"/>
  <c r="R29" i="2044"/>
  <c r="R28" i="2044"/>
  <c r="L28" i="2044"/>
  <c r="D28" i="2044"/>
  <c r="R27" i="2044"/>
  <c r="L27" i="2044"/>
  <c r="D27" i="2044"/>
  <c r="R26" i="2044"/>
  <c r="L26" i="2044"/>
  <c r="D26" i="2044"/>
  <c r="R25" i="2044"/>
  <c r="L25" i="2044"/>
  <c r="D25" i="2044"/>
  <c r="R24" i="2044"/>
  <c r="L24" i="2044"/>
  <c r="D24" i="2044"/>
  <c r="R23" i="2044"/>
  <c r="L23" i="2044"/>
  <c r="D23" i="2044" s="1"/>
  <c r="R22" i="2044"/>
  <c r="L22" i="2044"/>
  <c r="D22" i="2044"/>
  <c r="R21" i="2044"/>
  <c r="L17" i="2044" s="1"/>
  <c r="D17" i="2044" s="1"/>
  <c r="L21" i="2044"/>
  <c r="D21" i="2044" s="1"/>
  <c r="R20" i="2044"/>
  <c r="L20" i="2044"/>
  <c r="D20" i="2044" s="1"/>
  <c r="R19" i="2044"/>
  <c r="R18" i="2044"/>
  <c r="R17" i="2044"/>
  <c r="R16" i="2044"/>
  <c r="L16" i="2044"/>
  <c r="D16" i="2044"/>
  <c r="R15" i="2044"/>
  <c r="L15" i="2044"/>
  <c r="D15" i="2044" s="1"/>
  <c r="R14" i="2044"/>
  <c r="D14" i="2044"/>
  <c r="R13" i="2044"/>
  <c r="D13" i="2044"/>
  <c r="R12" i="2044"/>
  <c r="R11" i="2044"/>
  <c r="L11" i="2044"/>
  <c r="D11" i="2044"/>
  <c r="L10" i="2044"/>
  <c r="D10" i="2044"/>
  <c r="L9" i="2044"/>
  <c r="D9" i="2044" s="1"/>
  <c r="L7" i="2044"/>
  <c r="D7" i="2044"/>
  <c r="R6" i="2044"/>
  <c r="L6" i="2044"/>
  <c r="D6" i="2044" s="1"/>
  <c r="R5" i="2044"/>
  <c r="R4" i="2044"/>
  <c r="R52" i="2043"/>
  <c r="R51" i="2043"/>
  <c r="D50" i="2043"/>
  <c r="R49" i="2043"/>
  <c r="D49" i="2043"/>
  <c r="R48" i="2043"/>
  <c r="D48" i="2043"/>
  <c r="D46" i="2043"/>
  <c r="D45" i="2043"/>
  <c r="R44" i="2043"/>
  <c r="D44" i="2043"/>
  <c r="R42" i="2043"/>
  <c r="L6" i="2043" s="1"/>
  <c r="D6" i="2043" s="1"/>
  <c r="D42" i="2043"/>
  <c r="R41" i="2043"/>
  <c r="D41" i="2043"/>
  <c r="R40" i="2043"/>
  <c r="L8" i="2043" s="1"/>
  <c r="D8" i="2043" s="1"/>
  <c r="D40" i="2043"/>
  <c r="R39" i="2043"/>
  <c r="H39" i="2043"/>
  <c r="D39" i="2043"/>
  <c r="R38" i="2043"/>
  <c r="H38" i="2043"/>
  <c r="D38" i="2043"/>
  <c r="R37" i="2043"/>
  <c r="H37" i="2043"/>
  <c r="D37" i="2043"/>
  <c r="R36" i="2043"/>
  <c r="H36" i="2043"/>
  <c r="D36" i="2043"/>
  <c r="R35" i="2043"/>
  <c r="H35" i="2043"/>
  <c r="D35" i="2043"/>
  <c r="R34" i="2043"/>
  <c r="L12" i="2043" s="1"/>
  <c r="D12" i="2043" s="1"/>
  <c r="D34" i="2043"/>
  <c r="R33" i="2043"/>
  <c r="L19" i="2043" s="1"/>
  <c r="D19" i="2043" s="1"/>
  <c r="R32" i="2043"/>
  <c r="R31" i="2043"/>
  <c r="R30" i="2043"/>
  <c r="R29" i="2043"/>
  <c r="R28" i="2043"/>
  <c r="L28" i="2043"/>
  <c r="D28" i="2043"/>
  <c r="R27" i="2043"/>
  <c r="L27" i="2043"/>
  <c r="D27" i="2043"/>
  <c r="R26" i="2043"/>
  <c r="L26" i="2043"/>
  <c r="D26" i="2043" s="1"/>
  <c r="R25" i="2043"/>
  <c r="L25" i="2043"/>
  <c r="D25" i="2043" s="1"/>
  <c r="R24" i="2043"/>
  <c r="L24" i="2043"/>
  <c r="D24" i="2043" s="1"/>
  <c r="R23" i="2043"/>
  <c r="L23" i="2043"/>
  <c r="D23" i="2043"/>
  <c r="R22" i="2043"/>
  <c r="L22" i="2043"/>
  <c r="D22" i="2043"/>
  <c r="R21" i="2043"/>
  <c r="L17" i="2043" s="1"/>
  <c r="D17" i="2043" s="1"/>
  <c r="L21" i="2043"/>
  <c r="D21" i="2043" s="1"/>
  <c r="R20" i="2043"/>
  <c r="L20" i="2043"/>
  <c r="D20" i="2043" s="1"/>
  <c r="R19" i="2043"/>
  <c r="R18" i="2043"/>
  <c r="L18" i="2043"/>
  <c r="D18" i="2043" s="1"/>
  <c r="R17" i="2043"/>
  <c r="R16" i="2043"/>
  <c r="L16" i="2043"/>
  <c r="D16" i="2043"/>
  <c r="R15" i="2043"/>
  <c r="L15" i="2043"/>
  <c r="D15" i="2043" s="1"/>
  <c r="R14" i="2043"/>
  <c r="D14" i="2043"/>
  <c r="R13" i="2043"/>
  <c r="D13" i="2043"/>
  <c r="R12" i="2043"/>
  <c r="R11" i="2043"/>
  <c r="L11" i="2043"/>
  <c r="D11" i="2043"/>
  <c r="L10" i="2043"/>
  <c r="D10" i="2043"/>
  <c r="L9" i="2043"/>
  <c r="D9" i="2043" s="1"/>
  <c r="L7" i="2043"/>
  <c r="D7" i="2043" s="1"/>
  <c r="R6" i="2043"/>
  <c r="R5" i="2043"/>
  <c r="R4" i="2043"/>
  <c r="R52" i="2042"/>
  <c r="R51" i="2042"/>
  <c r="D50" i="2042"/>
  <c r="R49" i="2042"/>
  <c r="G49" i="2042"/>
  <c r="D49" i="2042"/>
  <c r="R48" i="2042"/>
  <c r="D48" i="2042"/>
  <c r="D46" i="2042"/>
  <c r="D45" i="2042"/>
  <c r="D44" i="2042"/>
  <c r="R42" i="2042"/>
  <c r="L6" i="2042" s="1"/>
  <c r="D6" i="2042" s="1"/>
  <c r="D42" i="2042"/>
  <c r="R41" i="2042"/>
  <c r="L7" i="2042" s="1"/>
  <c r="D7" i="2042" s="1"/>
  <c r="D41" i="2042"/>
  <c r="R40" i="2042"/>
  <c r="D40" i="2042"/>
  <c r="R39" i="2042"/>
  <c r="D39" i="2042"/>
  <c r="R38" i="2042"/>
  <c r="D38" i="2042"/>
  <c r="R37" i="2042"/>
  <c r="D37" i="2042"/>
  <c r="R36" i="2042"/>
  <c r="D36" i="2042"/>
  <c r="R35" i="2042"/>
  <c r="D35" i="2042"/>
  <c r="R34" i="2042"/>
  <c r="D34" i="2042"/>
  <c r="D54" i="2042" s="1"/>
  <c r="H14" i="2042" s="1"/>
  <c r="R33" i="2042"/>
  <c r="L23" i="2042" s="1"/>
  <c r="D23" i="2042" s="1"/>
  <c r="R32" i="2042"/>
  <c r="R31" i="2042"/>
  <c r="R30" i="2042"/>
  <c r="R29" i="2042"/>
  <c r="R28" i="2042"/>
  <c r="L16" i="2042" s="1"/>
  <c r="D16" i="2042" s="1"/>
  <c r="D28" i="2042"/>
  <c r="R27" i="2042"/>
  <c r="D27" i="2042"/>
  <c r="R26" i="2042"/>
  <c r="L26" i="2042"/>
  <c r="D26" i="2042" s="1"/>
  <c r="R25" i="2042"/>
  <c r="L25" i="2042"/>
  <c r="D25" i="2042"/>
  <c r="R24" i="2042"/>
  <c r="D24" i="2042"/>
  <c r="R23" i="2042"/>
  <c r="R22" i="2042"/>
  <c r="L22" i="2042"/>
  <c r="D22" i="2042"/>
  <c r="R21" i="2042"/>
  <c r="D21" i="2042"/>
  <c r="R20" i="2042"/>
  <c r="L20" i="2042"/>
  <c r="D20" i="2042" s="1"/>
  <c r="R19" i="2042"/>
  <c r="L19" i="2042"/>
  <c r="D19" i="2042"/>
  <c r="R18" i="2042"/>
  <c r="D18" i="2042"/>
  <c r="R17" i="2042"/>
  <c r="D17" i="2042"/>
  <c r="R16" i="2042"/>
  <c r="S15" i="2042"/>
  <c r="R15" i="2042"/>
  <c r="D15" i="2042"/>
  <c r="S14" i="2042"/>
  <c r="R14" i="2042"/>
  <c r="D14" i="2042"/>
  <c r="R13" i="2042"/>
  <c r="D13" i="2042"/>
  <c r="R12" i="2042"/>
  <c r="L12" i="2042"/>
  <c r="D12" i="2042" s="1"/>
  <c r="R11" i="2042"/>
  <c r="L11" i="2042"/>
  <c r="D11" i="2042"/>
  <c r="L10" i="2042"/>
  <c r="D10" i="2042" s="1"/>
  <c r="L9" i="2042"/>
  <c r="D9" i="2042"/>
  <c r="L8" i="2042"/>
  <c r="D8" i="2042"/>
  <c r="R6" i="2042"/>
  <c r="R5" i="2042"/>
  <c r="R4" i="2042"/>
  <c r="R52" i="2041"/>
  <c r="R51" i="2041"/>
  <c r="D50" i="2041"/>
  <c r="R49" i="2041"/>
  <c r="D49" i="2041"/>
  <c r="R48" i="2041"/>
  <c r="D48" i="2041"/>
  <c r="D46" i="2041"/>
  <c r="D45" i="2041"/>
  <c r="R44" i="2041"/>
  <c r="L28" i="2041" s="1"/>
  <c r="D28" i="2041" s="1"/>
  <c r="D44" i="2041"/>
  <c r="R42" i="2041"/>
  <c r="D42" i="2041"/>
  <c r="R41" i="2041"/>
  <c r="D41" i="2041"/>
  <c r="R40" i="2041"/>
  <c r="L8" i="2041" s="1"/>
  <c r="D8" i="2041" s="1"/>
  <c r="D40" i="2041"/>
  <c r="R39" i="2041"/>
  <c r="H39" i="2041"/>
  <c r="D39" i="2041"/>
  <c r="R38" i="2041"/>
  <c r="H38" i="2041"/>
  <c r="D38" i="2041"/>
  <c r="R37" i="2041"/>
  <c r="H37" i="2041"/>
  <c r="D37" i="2041"/>
  <c r="R36" i="2041"/>
  <c r="H36" i="2041"/>
  <c r="D36" i="2041"/>
  <c r="R35" i="2041"/>
  <c r="H35" i="2041"/>
  <c r="D35" i="2041"/>
  <c r="R34" i="2041"/>
  <c r="H34" i="2041"/>
  <c r="D34" i="2041"/>
  <c r="R33" i="2041"/>
  <c r="R32" i="2041"/>
  <c r="R31" i="2041"/>
  <c r="R30" i="2041"/>
  <c r="R29" i="2041"/>
  <c r="R28" i="2041"/>
  <c r="R27" i="2041"/>
  <c r="L27" i="2041"/>
  <c r="D27" i="2041"/>
  <c r="R26" i="2041"/>
  <c r="L26" i="2041"/>
  <c r="D26" i="2041" s="1"/>
  <c r="R25" i="2041"/>
  <c r="L25" i="2041"/>
  <c r="D25" i="2041"/>
  <c r="R24" i="2041"/>
  <c r="L24" i="2041"/>
  <c r="D24" i="2041" s="1"/>
  <c r="R23" i="2041"/>
  <c r="L23" i="2041"/>
  <c r="D23" i="2041" s="1"/>
  <c r="R22" i="2041"/>
  <c r="L20" i="2041" s="1"/>
  <c r="D20" i="2041" s="1"/>
  <c r="L22" i="2041"/>
  <c r="D22" i="2041"/>
  <c r="R21" i="2041"/>
  <c r="L21" i="2041"/>
  <c r="D21" i="2041"/>
  <c r="R20" i="2041"/>
  <c r="R19" i="2041"/>
  <c r="L19" i="2041"/>
  <c r="D19" i="2041"/>
  <c r="R18" i="2041"/>
  <c r="L18" i="2041"/>
  <c r="D18" i="2041" s="1"/>
  <c r="R17" i="2041"/>
  <c r="L17" i="2041"/>
  <c r="D17" i="2041" s="1"/>
  <c r="R16" i="2041"/>
  <c r="R15" i="2041"/>
  <c r="L15" i="2041"/>
  <c r="D15" i="2041" s="1"/>
  <c r="R14" i="2041"/>
  <c r="D14" i="2041"/>
  <c r="R13" i="2041"/>
  <c r="D13" i="2041"/>
  <c r="R12" i="2041"/>
  <c r="L12" i="2041"/>
  <c r="D12" i="2041" s="1"/>
  <c r="R11" i="2041"/>
  <c r="L11" i="2041"/>
  <c r="D11" i="2041" s="1"/>
  <c r="L10" i="2041"/>
  <c r="D10" i="2041"/>
  <c r="L9" i="2041"/>
  <c r="D9" i="2041" s="1"/>
  <c r="L7" i="2041"/>
  <c r="D7" i="2041" s="1"/>
  <c r="R6" i="2041"/>
  <c r="L16" i="2041" s="1"/>
  <c r="D16" i="2041" s="1"/>
  <c r="L6" i="2041"/>
  <c r="D6" i="2041" s="1"/>
  <c r="R5" i="2041"/>
  <c r="R4" i="2041"/>
  <c r="R52" i="2040"/>
  <c r="R51" i="2040"/>
  <c r="D50" i="2040"/>
  <c r="R49" i="2040"/>
  <c r="D49" i="2040"/>
  <c r="R48" i="2040"/>
  <c r="D48" i="2040"/>
  <c r="D46" i="2040"/>
  <c r="D45" i="2040"/>
  <c r="R44" i="2040"/>
  <c r="L28" i="2040" s="1"/>
  <c r="D28" i="2040" s="1"/>
  <c r="D44" i="2040"/>
  <c r="R42" i="2040"/>
  <c r="D42" i="2040"/>
  <c r="R41" i="2040"/>
  <c r="D41" i="2040"/>
  <c r="R40" i="2040"/>
  <c r="L8" i="2040" s="1"/>
  <c r="D8" i="2040" s="1"/>
  <c r="D40" i="2040"/>
  <c r="R39" i="2040"/>
  <c r="H39" i="2040"/>
  <c r="D39" i="2040"/>
  <c r="R38" i="2040"/>
  <c r="H38" i="2040"/>
  <c r="D38" i="2040"/>
  <c r="R37" i="2040"/>
  <c r="H37" i="2040"/>
  <c r="D37" i="2040"/>
  <c r="R36" i="2040"/>
  <c r="H36" i="2040"/>
  <c r="D36" i="2040"/>
  <c r="R35" i="2040"/>
  <c r="H35" i="2040"/>
  <c r="D35" i="2040"/>
  <c r="R34" i="2040"/>
  <c r="L12" i="2040" s="1"/>
  <c r="D12" i="2040" s="1"/>
  <c r="H34" i="2040"/>
  <c r="D34" i="2040"/>
  <c r="R33" i="2040"/>
  <c r="L19" i="2040" s="1"/>
  <c r="D19" i="2040" s="1"/>
  <c r="R32" i="2040"/>
  <c r="R31" i="2040"/>
  <c r="R30" i="2040"/>
  <c r="R29" i="2040"/>
  <c r="R28" i="2040"/>
  <c r="R27" i="2040"/>
  <c r="L27" i="2040"/>
  <c r="D27" i="2040"/>
  <c r="R26" i="2040"/>
  <c r="L26" i="2040"/>
  <c r="D26" i="2040" s="1"/>
  <c r="R25" i="2040"/>
  <c r="L25" i="2040"/>
  <c r="D25" i="2040" s="1"/>
  <c r="R24" i="2040"/>
  <c r="L24" i="2040"/>
  <c r="D24" i="2040"/>
  <c r="R23" i="2040"/>
  <c r="L23" i="2040"/>
  <c r="D23" i="2040"/>
  <c r="R22" i="2040"/>
  <c r="L20" i="2040" s="1"/>
  <c r="D20" i="2040" s="1"/>
  <c r="L22" i="2040"/>
  <c r="D22" i="2040" s="1"/>
  <c r="R21" i="2040"/>
  <c r="L21" i="2040"/>
  <c r="D21" i="2040"/>
  <c r="R20" i="2040"/>
  <c r="R19" i="2040"/>
  <c r="R18" i="2040"/>
  <c r="L18" i="2040"/>
  <c r="D18" i="2040" s="1"/>
  <c r="R17" i="2040"/>
  <c r="L17" i="2040"/>
  <c r="D17" i="2040" s="1"/>
  <c r="R16" i="2040"/>
  <c r="R15" i="2040"/>
  <c r="L15" i="2040"/>
  <c r="D15" i="2040"/>
  <c r="R14" i="2040"/>
  <c r="D14" i="2040"/>
  <c r="R13" i="2040"/>
  <c r="D13" i="2040"/>
  <c r="R12" i="2040"/>
  <c r="R11" i="2040"/>
  <c r="L11" i="2040"/>
  <c r="D11" i="2040"/>
  <c r="L10" i="2040"/>
  <c r="D10" i="2040" s="1"/>
  <c r="L9" i="2040"/>
  <c r="D9" i="2040" s="1"/>
  <c r="L7" i="2040"/>
  <c r="D7" i="2040"/>
  <c r="R6" i="2040"/>
  <c r="L16" i="2040" s="1"/>
  <c r="D16" i="2040" s="1"/>
  <c r="L6" i="2040"/>
  <c r="D6" i="2040"/>
  <c r="R5" i="2040"/>
  <c r="R4" i="2040"/>
  <c r="R52" i="2039"/>
  <c r="R51" i="2039"/>
  <c r="D50" i="2039"/>
  <c r="R49" i="2039"/>
  <c r="D49" i="2039"/>
  <c r="R48" i="2039"/>
  <c r="D48" i="2039"/>
  <c r="D46" i="2039"/>
  <c r="D45" i="2039"/>
  <c r="R44" i="2039"/>
  <c r="L28" i="2039" s="1"/>
  <c r="D28" i="2039" s="1"/>
  <c r="D44" i="2039"/>
  <c r="R42" i="2039"/>
  <c r="D42" i="2039"/>
  <c r="R41" i="2039"/>
  <c r="L7" i="2039" s="1"/>
  <c r="D7" i="2039" s="1"/>
  <c r="D41" i="2039"/>
  <c r="R40" i="2039"/>
  <c r="D40" i="2039"/>
  <c r="R39" i="2039"/>
  <c r="H39" i="2039"/>
  <c r="D39" i="2039"/>
  <c r="R38" i="2039"/>
  <c r="H38" i="2039"/>
  <c r="D38" i="2039"/>
  <c r="R37" i="2039"/>
  <c r="H37" i="2039"/>
  <c r="D37" i="2039"/>
  <c r="R36" i="2039"/>
  <c r="L10" i="2039" s="1"/>
  <c r="D10" i="2039" s="1"/>
  <c r="H36" i="2039"/>
  <c r="D36" i="2039"/>
  <c r="R35" i="2039"/>
  <c r="L18" i="2039" s="1"/>
  <c r="D18" i="2039" s="1"/>
  <c r="H35" i="2039"/>
  <c r="D35" i="2039"/>
  <c r="R34" i="2039"/>
  <c r="H34" i="2039"/>
  <c r="D34" i="2039"/>
  <c r="R33" i="2039"/>
  <c r="L19" i="2039" s="1"/>
  <c r="D19" i="2039" s="1"/>
  <c r="R32" i="2039"/>
  <c r="L11" i="2039" s="1"/>
  <c r="D11" i="2039" s="1"/>
  <c r="R31" i="2039"/>
  <c r="R30" i="2039"/>
  <c r="R29" i="2039"/>
  <c r="R28" i="2039"/>
  <c r="R27" i="2039"/>
  <c r="L27" i="2039"/>
  <c r="D27" i="2039" s="1"/>
  <c r="R26" i="2039"/>
  <c r="D26" i="2039"/>
  <c r="R25" i="2039"/>
  <c r="L25" i="2039"/>
  <c r="D25" i="2039"/>
  <c r="R24" i="2039"/>
  <c r="L24" i="2039"/>
  <c r="D24" i="2039"/>
  <c r="R23" i="2039"/>
  <c r="L23" i="2039"/>
  <c r="D23" i="2039" s="1"/>
  <c r="R22" i="2039"/>
  <c r="L22" i="2039"/>
  <c r="D22" i="2039" s="1"/>
  <c r="R21" i="2039"/>
  <c r="L21" i="2039"/>
  <c r="D21" i="2039"/>
  <c r="R20" i="2039"/>
  <c r="L20" i="2039"/>
  <c r="D20" i="2039" s="1"/>
  <c r="R19" i="2039"/>
  <c r="R18" i="2039"/>
  <c r="R17" i="2039"/>
  <c r="L17" i="2039"/>
  <c r="D17" i="2039"/>
  <c r="R16" i="2039"/>
  <c r="R15" i="2039"/>
  <c r="L15" i="2039"/>
  <c r="D15" i="2039" s="1"/>
  <c r="R14" i="2039"/>
  <c r="D14" i="2039"/>
  <c r="R13" i="2039"/>
  <c r="D13" i="2039"/>
  <c r="R12" i="2039"/>
  <c r="L12" i="2039"/>
  <c r="D12" i="2039"/>
  <c r="R11" i="2039"/>
  <c r="L9" i="2039"/>
  <c r="D9" i="2039" s="1"/>
  <c r="L8" i="2039"/>
  <c r="D8" i="2039" s="1"/>
  <c r="R6" i="2039"/>
  <c r="L16" i="2039" s="1"/>
  <c r="D16" i="2039" s="1"/>
  <c r="L6" i="2039"/>
  <c r="D6" i="2039" s="1"/>
  <c r="R5" i="2039"/>
  <c r="R4" i="2039"/>
  <c r="D54" i="2038"/>
  <c r="H14" i="2038" s="1"/>
  <c r="R52" i="2038"/>
  <c r="R51" i="2038"/>
  <c r="D50" i="2038"/>
  <c r="R49" i="2038"/>
  <c r="G49" i="2038"/>
  <c r="D49" i="2038"/>
  <c r="R48" i="2038"/>
  <c r="D48" i="2038"/>
  <c r="D46" i="2038"/>
  <c r="D45" i="2038"/>
  <c r="D44" i="2038"/>
  <c r="R42" i="2038"/>
  <c r="L6" i="2038" s="1"/>
  <c r="D6" i="2038" s="1"/>
  <c r="D42" i="2038"/>
  <c r="R41" i="2038"/>
  <c r="L7" i="2038" s="1"/>
  <c r="D7" i="2038" s="1"/>
  <c r="D41" i="2038"/>
  <c r="R40" i="2038"/>
  <c r="D40" i="2038"/>
  <c r="R39" i="2038"/>
  <c r="D39" i="2038"/>
  <c r="R38" i="2038"/>
  <c r="D38" i="2038"/>
  <c r="R37" i="2038"/>
  <c r="D37" i="2038"/>
  <c r="R36" i="2038"/>
  <c r="L10" i="2038" s="1"/>
  <c r="D10" i="2038" s="1"/>
  <c r="D36" i="2038"/>
  <c r="R35" i="2038"/>
  <c r="D35" i="2038"/>
  <c r="R34" i="2038"/>
  <c r="L12" i="2038" s="1"/>
  <c r="D12" i="2038" s="1"/>
  <c r="D34" i="2038"/>
  <c r="R33" i="2038"/>
  <c r="L23" i="2038" s="1"/>
  <c r="D23" i="2038" s="1"/>
  <c r="R32" i="2038"/>
  <c r="L11" i="2038" s="1"/>
  <c r="D11" i="2038" s="1"/>
  <c r="R31" i="2038"/>
  <c r="R30" i="2038"/>
  <c r="R29" i="2038"/>
  <c r="R28" i="2038"/>
  <c r="D28" i="2038"/>
  <c r="R27" i="2038"/>
  <c r="D27" i="2038"/>
  <c r="R26" i="2038"/>
  <c r="L26" i="2038"/>
  <c r="D26" i="2038"/>
  <c r="R25" i="2038"/>
  <c r="L25" i="2038"/>
  <c r="D25" i="2038"/>
  <c r="R24" i="2038"/>
  <c r="D24" i="2038"/>
  <c r="R23" i="2038"/>
  <c r="R22" i="2038"/>
  <c r="L22" i="2038"/>
  <c r="D22" i="2038" s="1"/>
  <c r="R21" i="2038"/>
  <c r="D21" i="2038"/>
  <c r="R20" i="2038"/>
  <c r="L20" i="2038"/>
  <c r="D20" i="2038"/>
  <c r="R19" i="2038"/>
  <c r="L19" i="2038"/>
  <c r="D19" i="2038"/>
  <c r="R18" i="2038"/>
  <c r="D18" i="2038"/>
  <c r="R17" i="2038"/>
  <c r="D17" i="2038"/>
  <c r="R16" i="2038"/>
  <c r="L16" i="2038"/>
  <c r="D16" i="2038"/>
  <c r="S15" i="2038"/>
  <c r="R15" i="2038"/>
  <c r="D15" i="2038"/>
  <c r="S14" i="2038"/>
  <c r="R14" i="2038"/>
  <c r="D14" i="2038"/>
  <c r="R13" i="2038"/>
  <c r="D13" i="2038"/>
  <c r="R12" i="2038"/>
  <c r="R11" i="2038"/>
  <c r="L9" i="2038"/>
  <c r="D9" i="2038"/>
  <c r="L8" i="2038"/>
  <c r="D8" i="2038"/>
  <c r="R6" i="2038"/>
  <c r="R5" i="2038"/>
  <c r="R4" i="2038"/>
  <c r="R52" i="2037"/>
  <c r="R51" i="2037"/>
  <c r="D50" i="2037"/>
  <c r="R49" i="2037"/>
  <c r="D49" i="2037"/>
  <c r="R48" i="2037"/>
  <c r="D48" i="2037"/>
  <c r="D46" i="2037"/>
  <c r="D45" i="2037"/>
  <c r="R44" i="2037"/>
  <c r="L28" i="2037" s="1"/>
  <c r="D28" i="2037" s="1"/>
  <c r="D44" i="2037"/>
  <c r="R42" i="2037"/>
  <c r="D42" i="2037"/>
  <c r="R41" i="2037"/>
  <c r="L7" i="2037" s="1"/>
  <c r="D7" i="2037" s="1"/>
  <c r="D41" i="2037"/>
  <c r="R40" i="2037"/>
  <c r="D40" i="2037"/>
  <c r="R39" i="2037"/>
  <c r="H39" i="2037"/>
  <c r="D39" i="2037"/>
  <c r="R38" i="2037"/>
  <c r="H38" i="2037"/>
  <c r="D38" i="2037"/>
  <c r="R37" i="2037"/>
  <c r="H37" i="2037"/>
  <c r="D37" i="2037"/>
  <c r="R36" i="2037"/>
  <c r="L10" i="2037" s="1"/>
  <c r="D10" i="2037" s="1"/>
  <c r="H36" i="2037"/>
  <c r="D36" i="2037"/>
  <c r="R35" i="2037"/>
  <c r="H35" i="2037"/>
  <c r="D35" i="2037"/>
  <c r="R34" i="2037"/>
  <c r="H34" i="2037"/>
  <c r="D34" i="2037"/>
  <c r="R33" i="2037"/>
  <c r="L19" i="2037" s="1"/>
  <c r="D19" i="2037" s="1"/>
  <c r="R32" i="2037"/>
  <c r="R31" i="2037"/>
  <c r="R30" i="2037"/>
  <c r="R29" i="2037"/>
  <c r="R28" i="2037"/>
  <c r="R27" i="2037"/>
  <c r="L27" i="2037"/>
  <c r="D27" i="2037"/>
  <c r="R26" i="2037"/>
  <c r="L26" i="2037"/>
  <c r="D26" i="2037"/>
  <c r="R25" i="2037"/>
  <c r="L25" i="2037"/>
  <c r="D25" i="2037"/>
  <c r="R24" i="2037"/>
  <c r="L24" i="2037"/>
  <c r="D24" i="2037"/>
  <c r="R23" i="2037"/>
  <c r="L23" i="2037"/>
  <c r="D23" i="2037" s="1"/>
  <c r="R22" i="2037"/>
  <c r="L20" i="2037" s="1"/>
  <c r="D20" i="2037" s="1"/>
  <c r="L22" i="2037"/>
  <c r="D22" i="2037" s="1"/>
  <c r="R21" i="2037"/>
  <c r="L17" i="2037" s="1"/>
  <c r="D17" i="2037" s="1"/>
  <c r="L21" i="2037"/>
  <c r="D21" i="2037"/>
  <c r="R20" i="2037"/>
  <c r="R19" i="2037"/>
  <c r="R18" i="2037"/>
  <c r="L18" i="2037"/>
  <c r="D18" i="2037" s="1"/>
  <c r="R17" i="2037"/>
  <c r="R16" i="2037"/>
  <c r="R15" i="2037"/>
  <c r="R14" i="2037"/>
  <c r="D14" i="2037"/>
  <c r="R13" i="2037"/>
  <c r="D13" i="2037"/>
  <c r="R12" i="2037"/>
  <c r="L12" i="2037"/>
  <c r="D12" i="2037"/>
  <c r="R11" i="2037"/>
  <c r="L11" i="2037"/>
  <c r="D11" i="2037" s="1"/>
  <c r="L9" i="2037"/>
  <c r="D9" i="2037" s="1"/>
  <c r="L8" i="2037"/>
  <c r="D8" i="2037" s="1"/>
  <c r="R6" i="2037"/>
  <c r="L16" i="2037" s="1"/>
  <c r="D16" i="2037" s="1"/>
  <c r="L6" i="2037"/>
  <c r="D6" i="2037" s="1"/>
  <c r="R5" i="2037"/>
  <c r="R4" i="2037"/>
  <c r="L15" i="2037" s="1"/>
  <c r="D15" i="2037" s="1"/>
  <c r="R52" i="2036"/>
  <c r="R51" i="2036"/>
  <c r="D50" i="2036"/>
  <c r="R49" i="2036"/>
  <c r="D49" i="2036"/>
  <c r="R48" i="2036"/>
  <c r="D48" i="2036"/>
  <c r="D46" i="2036"/>
  <c r="D45" i="2036"/>
  <c r="R44" i="2036"/>
  <c r="L28" i="2036" s="1"/>
  <c r="D28" i="2036" s="1"/>
  <c r="D44" i="2036"/>
  <c r="R42" i="2036"/>
  <c r="D42" i="2036"/>
  <c r="R41" i="2036"/>
  <c r="D41" i="2036"/>
  <c r="R40" i="2036"/>
  <c r="L8" i="2036" s="1"/>
  <c r="D8" i="2036" s="1"/>
  <c r="D40" i="2036"/>
  <c r="R39" i="2036"/>
  <c r="H39" i="2036"/>
  <c r="D39" i="2036"/>
  <c r="R38" i="2036"/>
  <c r="H38" i="2036"/>
  <c r="D38" i="2036"/>
  <c r="R37" i="2036"/>
  <c r="H37" i="2036"/>
  <c r="D37" i="2036"/>
  <c r="R36" i="2036"/>
  <c r="L10" i="2036" s="1"/>
  <c r="D10" i="2036" s="1"/>
  <c r="H36" i="2036"/>
  <c r="D36" i="2036"/>
  <c r="R35" i="2036"/>
  <c r="H35" i="2036"/>
  <c r="D35" i="2036"/>
  <c r="R34" i="2036"/>
  <c r="H34" i="2036"/>
  <c r="G49" i="2036" s="1"/>
  <c r="D34" i="2036"/>
  <c r="R33" i="2036"/>
  <c r="L19" i="2036" s="1"/>
  <c r="D19" i="2036" s="1"/>
  <c r="R32" i="2036"/>
  <c r="R31" i="2036"/>
  <c r="R30" i="2036"/>
  <c r="R29" i="2036"/>
  <c r="R28" i="2036"/>
  <c r="R27" i="2036"/>
  <c r="L27" i="2036"/>
  <c r="D27" i="2036"/>
  <c r="R26" i="2036"/>
  <c r="L26" i="2036"/>
  <c r="D26" i="2036"/>
  <c r="R25" i="2036"/>
  <c r="L25" i="2036"/>
  <c r="D25" i="2036" s="1"/>
  <c r="R24" i="2036"/>
  <c r="L24" i="2036"/>
  <c r="D24" i="2036"/>
  <c r="R23" i="2036"/>
  <c r="L23" i="2036"/>
  <c r="D23" i="2036" s="1"/>
  <c r="R22" i="2036"/>
  <c r="L22" i="2036"/>
  <c r="D22" i="2036" s="1"/>
  <c r="R21" i="2036"/>
  <c r="L21" i="2036"/>
  <c r="D21" i="2036"/>
  <c r="R20" i="2036"/>
  <c r="L20" i="2036"/>
  <c r="D20" i="2036" s="1"/>
  <c r="R19" i="2036"/>
  <c r="R18" i="2036"/>
  <c r="L18" i="2036"/>
  <c r="D18" i="2036"/>
  <c r="R17" i="2036"/>
  <c r="L17" i="2036"/>
  <c r="D17" i="2036" s="1"/>
  <c r="R16" i="2036"/>
  <c r="R15" i="2036"/>
  <c r="L15" i="2036"/>
  <c r="D15" i="2036" s="1"/>
  <c r="R14" i="2036"/>
  <c r="D14" i="2036"/>
  <c r="R13" i="2036"/>
  <c r="D13" i="2036"/>
  <c r="R12" i="2036"/>
  <c r="L12" i="2036"/>
  <c r="D12" i="2036" s="1"/>
  <c r="R11" i="2036"/>
  <c r="L11" i="2036"/>
  <c r="D11" i="2036"/>
  <c r="L9" i="2036"/>
  <c r="D9" i="2036" s="1"/>
  <c r="L7" i="2036"/>
  <c r="D7" i="2036"/>
  <c r="R6" i="2036"/>
  <c r="L16" i="2036" s="1"/>
  <c r="D16" i="2036" s="1"/>
  <c r="L6" i="2036"/>
  <c r="D6" i="2036" s="1"/>
  <c r="R5" i="2036"/>
  <c r="R4" i="2036"/>
  <c r="R52" i="2035"/>
  <c r="R51" i="2035"/>
  <c r="D50" i="2035"/>
  <c r="R49" i="2035"/>
  <c r="D49" i="2035"/>
  <c r="R48" i="2035"/>
  <c r="D48" i="2035"/>
  <c r="D46" i="2035"/>
  <c r="D45" i="2035"/>
  <c r="R44" i="2035"/>
  <c r="D44" i="2035"/>
  <c r="R42" i="2035"/>
  <c r="D42" i="2035"/>
  <c r="R41" i="2035"/>
  <c r="L7" i="2035" s="1"/>
  <c r="D7" i="2035" s="1"/>
  <c r="D41" i="2035"/>
  <c r="R40" i="2035"/>
  <c r="D40" i="2035"/>
  <c r="R39" i="2035"/>
  <c r="H39" i="2035"/>
  <c r="D39" i="2035"/>
  <c r="R38" i="2035"/>
  <c r="L9" i="2035" s="1"/>
  <c r="D9" i="2035" s="1"/>
  <c r="H38" i="2035"/>
  <c r="D38" i="2035"/>
  <c r="R37" i="2035"/>
  <c r="H37" i="2035"/>
  <c r="D37" i="2035"/>
  <c r="R36" i="2035"/>
  <c r="L10" i="2035" s="1"/>
  <c r="D10" i="2035" s="1"/>
  <c r="H36" i="2035"/>
  <c r="D36" i="2035"/>
  <c r="R35" i="2035"/>
  <c r="L18" i="2035" s="1"/>
  <c r="D18" i="2035" s="1"/>
  <c r="H35" i="2035"/>
  <c r="D35" i="2035"/>
  <c r="R34" i="2035"/>
  <c r="H34" i="2035"/>
  <c r="D34" i="2035"/>
  <c r="R33" i="2035"/>
  <c r="R32" i="2035"/>
  <c r="L11" i="2035" s="1"/>
  <c r="D11" i="2035" s="1"/>
  <c r="R31" i="2035"/>
  <c r="R30" i="2035"/>
  <c r="R29" i="2035"/>
  <c r="R28" i="2035"/>
  <c r="L28" i="2035"/>
  <c r="D28" i="2035"/>
  <c r="R27" i="2035"/>
  <c r="L27" i="2035"/>
  <c r="D27" i="2035" s="1"/>
  <c r="R26" i="2035"/>
  <c r="L26" i="2035"/>
  <c r="D26" i="2035"/>
  <c r="R25" i="2035"/>
  <c r="L25" i="2035"/>
  <c r="D25" i="2035"/>
  <c r="R24" i="2035"/>
  <c r="L24" i="2035"/>
  <c r="D24" i="2035"/>
  <c r="R23" i="2035"/>
  <c r="L23" i="2035"/>
  <c r="D23" i="2035" s="1"/>
  <c r="R22" i="2035"/>
  <c r="L20" i="2035" s="1"/>
  <c r="D20" i="2035" s="1"/>
  <c r="L22" i="2035"/>
  <c r="D22" i="2035" s="1"/>
  <c r="R21" i="2035"/>
  <c r="L21" i="2035"/>
  <c r="D21" i="2035"/>
  <c r="R20" i="2035"/>
  <c r="R19" i="2035"/>
  <c r="L19" i="2035"/>
  <c r="D19" i="2035"/>
  <c r="R18" i="2035"/>
  <c r="R17" i="2035"/>
  <c r="L17" i="2035"/>
  <c r="D17" i="2035"/>
  <c r="R16" i="2035"/>
  <c r="R15" i="2035"/>
  <c r="R14" i="2035"/>
  <c r="D14" i="2035"/>
  <c r="R13" i="2035"/>
  <c r="D13" i="2035"/>
  <c r="R12" i="2035"/>
  <c r="L12" i="2035"/>
  <c r="D12" i="2035"/>
  <c r="R11" i="2035"/>
  <c r="L8" i="2035"/>
  <c r="D8" i="2035" s="1"/>
  <c r="R6" i="2035"/>
  <c r="L16" i="2035" s="1"/>
  <c r="D16" i="2035" s="1"/>
  <c r="L6" i="2035"/>
  <c r="D6" i="2035" s="1"/>
  <c r="R5" i="2035"/>
  <c r="R4" i="2035"/>
  <c r="L15" i="2035" s="1"/>
  <c r="D15" i="2035" s="1"/>
  <c r="R52" i="2034"/>
  <c r="R51" i="2034"/>
  <c r="D50" i="2034"/>
  <c r="R49" i="2034"/>
  <c r="G49" i="2034"/>
  <c r="D49" i="2034"/>
  <c r="R48" i="2034"/>
  <c r="D48" i="2034"/>
  <c r="D46" i="2034"/>
  <c r="D45" i="2034"/>
  <c r="D44" i="2034"/>
  <c r="R42" i="2034"/>
  <c r="L6" i="2034" s="1"/>
  <c r="D6" i="2034" s="1"/>
  <c r="D42" i="2034"/>
  <c r="R41" i="2034"/>
  <c r="L7" i="2034" s="1"/>
  <c r="D7" i="2034" s="1"/>
  <c r="D41" i="2034"/>
  <c r="R40" i="2034"/>
  <c r="D40" i="2034"/>
  <c r="R39" i="2034"/>
  <c r="D39" i="2034"/>
  <c r="R38" i="2034"/>
  <c r="D38" i="2034"/>
  <c r="R37" i="2034"/>
  <c r="D37" i="2034"/>
  <c r="R36" i="2034"/>
  <c r="D36" i="2034"/>
  <c r="R35" i="2034"/>
  <c r="D35" i="2034"/>
  <c r="R34" i="2034"/>
  <c r="L12" i="2034" s="1"/>
  <c r="D12" i="2034" s="1"/>
  <c r="D34" i="2034"/>
  <c r="D54" i="2034" s="1"/>
  <c r="H14" i="2034" s="1"/>
  <c r="R33" i="2034"/>
  <c r="L23" i="2034" s="1"/>
  <c r="D23" i="2034" s="1"/>
  <c r="R32" i="2034"/>
  <c r="L11" i="2034" s="1"/>
  <c r="D11" i="2034" s="1"/>
  <c r="R31" i="2034"/>
  <c r="R30" i="2034"/>
  <c r="R29" i="2034"/>
  <c r="R28" i="2034"/>
  <c r="L16" i="2034" s="1"/>
  <c r="D16" i="2034" s="1"/>
  <c r="D28" i="2034"/>
  <c r="R27" i="2034"/>
  <c r="D27" i="2034"/>
  <c r="R26" i="2034"/>
  <c r="L26" i="2034"/>
  <c r="D26" i="2034"/>
  <c r="R25" i="2034"/>
  <c r="L25" i="2034"/>
  <c r="D25" i="2034"/>
  <c r="R24" i="2034"/>
  <c r="D24" i="2034"/>
  <c r="R23" i="2034"/>
  <c r="R22" i="2034"/>
  <c r="L22" i="2034"/>
  <c r="D22" i="2034" s="1"/>
  <c r="R21" i="2034"/>
  <c r="D21" i="2034"/>
  <c r="R20" i="2034"/>
  <c r="L20" i="2034"/>
  <c r="D20" i="2034"/>
  <c r="R19" i="2034"/>
  <c r="L19" i="2034"/>
  <c r="D19" i="2034"/>
  <c r="R18" i="2034"/>
  <c r="D18" i="2034"/>
  <c r="R17" i="2034"/>
  <c r="D17" i="2034"/>
  <c r="R16" i="2034"/>
  <c r="S15" i="2034"/>
  <c r="R15" i="2034"/>
  <c r="D15" i="2034"/>
  <c r="S14" i="2034"/>
  <c r="R14" i="2034"/>
  <c r="D14" i="2034"/>
  <c r="R13" i="2034"/>
  <c r="D13" i="2034"/>
  <c r="R12" i="2034"/>
  <c r="R11" i="2034"/>
  <c r="L10" i="2034"/>
  <c r="D10" i="2034" s="1"/>
  <c r="L9" i="2034"/>
  <c r="D9" i="2034" s="1"/>
  <c r="L8" i="2034"/>
  <c r="D8" i="2034"/>
  <c r="R6" i="2034"/>
  <c r="R5" i="2034"/>
  <c r="R4" i="2034"/>
  <c r="R52" i="2033"/>
  <c r="R51" i="2033"/>
  <c r="D50" i="2033"/>
  <c r="R49" i="2033"/>
  <c r="D49" i="2033"/>
  <c r="R48" i="2033"/>
  <c r="D48" i="2033"/>
  <c r="D46" i="2033"/>
  <c r="D45" i="2033"/>
  <c r="R44" i="2033"/>
  <c r="D44" i="2033"/>
  <c r="R42" i="2033"/>
  <c r="L6" i="2033" s="1"/>
  <c r="D6" i="2033" s="1"/>
  <c r="D42" i="2033"/>
  <c r="R41" i="2033"/>
  <c r="D41" i="2033"/>
  <c r="R40" i="2033"/>
  <c r="L8" i="2033" s="1"/>
  <c r="D8" i="2033" s="1"/>
  <c r="D40" i="2033"/>
  <c r="R39" i="2033"/>
  <c r="H39" i="2033"/>
  <c r="D39" i="2033"/>
  <c r="R38" i="2033"/>
  <c r="H38" i="2033"/>
  <c r="D38" i="2033"/>
  <c r="R37" i="2033"/>
  <c r="H37" i="2033"/>
  <c r="D37" i="2033"/>
  <c r="R36" i="2033"/>
  <c r="H36" i="2033"/>
  <c r="D36" i="2033"/>
  <c r="R35" i="2033"/>
  <c r="H35" i="2033"/>
  <c r="D35" i="2033"/>
  <c r="R34" i="2033"/>
  <c r="H34" i="2033"/>
  <c r="D34" i="2033"/>
  <c r="R33" i="2033"/>
  <c r="L19" i="2033" s="1"/>
  <c r="D19" i="2033" s="1"/>
  <c r="R32" i="2033"/>
  <c r="R31" i="2033"/>
  <c r="R30" i="2033"/>
  <c r="R29" i="2033"/>
  <c r="R28" i="2033"/>
  <c r="L28" i="2033"/>
  <c r="D28" i="2033"/>
  <c r="R27" i="2033"/>
  <c r="L27" i="2033"/>
  <c r="D27" i="2033"/>
  <c r="R26" i="2033"/>
  <c r="L26" i="2033"/>
  <c r="D26" i="2033" s="1"/>
  <c r="R25" i="2033"/>
  <c r="L25" i="2033"/>
  <c r="D25" i="2033" s="1"/>
  <c r="R24" i="2033"/>
  <c r="L24" i="2033"/>
  <c r="D24" i="2033"/>
  <c r="R23" i="2033"/>
  <c r="L23" i="2033"/>
  <c r="D23" i="2033"/>
  <c r="R22" i="2033"/>
  <c r="L20" i="2033" s="1"/>
  <c r="D20" i="2033" s="1"/>
  <c r="L22" i="2033"/>
  <c r="D22" i="2033" s="1"/>
  <c r="R21" i="2033"/>
  <c r="L21" i="2033"/>
  <c r="D21" i="2033"/>
  <c r="R20" i="2033"/>
  <c r="R19" i="2033"/>
  <c r="R18" i="2033"/>
  <c r="L18" i="2033"/>
  <c r="D18" i="2033" s="1"/>
  <c r="R17" i="2033"/>
  <c r="L17" i="2033"/>
  <c r="D17" i="2033" s="1"/>
  <c r="R16" i="2033"/>
  <c r="R15" i="2033"/>
  <c r="R14" i="2033"/>
  <c r="D14" i="2033"/>
  <c r="R13" i="2033"/>
  <c r="D13" i="2033"/>
  <c r="R12" i="2033"/>
  <c r="L12" i="2033"/>
  <c r="D12" i="2033" s="1"/>
  <c r="R11" i="2033"/>
  <c r="L11" i="2033"/>
  <c r="D11" i="2033"/>
  <c r="L10" i="2033"/>
  <c r="D10" i="2033" s="1"/>
  <c r="L9" i="2033"/>
  <c r="D9" i="2033" s="1"/>
  <c r="L7" i="2033"/>
  <c r="D7" i="2033"/>
  <c r="R6" i="2033"/>
  <c r="L16" i="2033" s="1"/>
  <c r="D16" i="2033" s="1"/>
  <c r="R5" i="2033"/>
  <c r="R4" i="2033"/>
  <c r="L15" i="2033" s="1"/>
  <c r="D15" i="2033" s="1"/>
  <c r="R52" i="2032"/>
  <c r="R51" i="2032"/>
  <c r="D50" i="2032"/>
  <c r="R49" i="2032"/>
  <c r="D49" i="2032"/>
  <c r="R48" i="2032"/>
  <c r="D48" i="2032"/>
  <c r="D46" i="2032"/>
  <c r="D45" i="2032"/>
  <c r="R44" i="2032"/>
  <c r="L28" i="2032" s="1"/>
  <c r="D28" i="2032" s="1"/>
  <c r="D44" i="2032"/>
  <c r="R42" i="2032"/>
  <c r="D42" i="2032"/>
  <c r="R41" i="2032"/>
  <c r="D41" i="2032"/>
  <c r="R40" i="2032"/>
  <c r="L8" i="2032" s="1"/>
  <c r="D8" i="2032" s="1"/>
  <c r="D40" i="2032"/>
  <c r="R39" i="2032"/>
  <c r="H39" i="2032"/>
  <c r="D39" i="2032"/>
  <c r="R38" i="2032"/>
  <c r="H38" i="2032"/>
  <c r="D38" i="2032"/>
  <c r="R37" i="2032"/>
  <c r="H37" i="2032"/>
  <c r="D37" i="2032"/>
  <c r="R36" i="2032"/>
  <c r="H36" i="2032"/>
  <c r="D36" i="2032"/>
  <c r="R35" i="2032"/>
  <c r="L18" i="2032" s="1"/>
  <c r="D18" i="2032" s="1"/>
  <c r="H35" i="2032"/>
  <c r="D35" i="2032"/>
  <c r="R34" i="2032"/>
  <c r="L12" i="2032" s="1"/>
  <c r="D12" i="2032" s="1"/>
  <c r="H34" i="2032"/>
  <c r="D34" i="2032"/>
  <c r="R33" i="2032"/>
  <c r="L19" i="2032" s="1"/>
  <c r="D19" i="2032" s="1"/>
  <c r="R32" i="2032"/>
  <c r="R31" i="2032"/>
  <c r="R30" i="2032"/>
  <c r="R29" i="2032"/>
  <c r="R28" i="2032"/>
  <c r="R27" i="2032"/>
  <c r="L27" i="2032"/>
  <c r="D27" i="2032"/>
  <c r="R26" i="2032"/>
  <c r="L26" i="2032"/>
  <c r="D26" i="2032"/>
  <c r="R25" i="2032"/>
  <c r="L25" i="2032"/>
  <c r="D25" i="2032"/>
  <c r="R24" i="2032"/>
  <c r="L24" i="2032"/>
  <c r="D24" i="2032" s="1"/>
  <c r="R23" i="2032"/>
  <c r="L23" i="2032"/>
  <c r="D23" i="2032" s="1"/>
  <c r="R22" i="2032"/>
  <c r="L22" i="2032"/>
  <c r="D22" i="2032"/>
  <c r="R21" i="2032"/>
  <c r="L17" i="2032" s="1"/>
  <c r="D17" i="2032" s="1"/>
  <c r="L21" i="2032"/>
  <c r="D21" i="2032"/>
  <c r="R20" i="2032"/>
  <c r="L20" i="2032"/>
  <c r="D20" i="2032" s="1"/>
  <c r="R19" i="2032"/>
  <c r="R18" i="2032"/>
  <c r="R17" i="2032"/>
  <c r="R16" i="2032"/>
  <c r="L16" i="2032"/>
  <c r="D16" i="2032"/>
  <c r="R15" i="2032"/>
  <c r="L15" i="2032"/>
  <c r="D15" i="2032" s="1"/>
  <c r="R14" i="2032"/>
  <c r="D14" i="2032"/>
  <c r="R13" i="2032"/>
  <c r="D13" i="2032"/>
  <c r="R12" i="2032"/>
  <c r="R11" i="2032"/>
  <c r="L11" i="2032"/>
  <c r="D11" i="2032"/>
  <c r="L10" i="2032"/>
  <c r="D10" i="2032"/>
  <c r="L9" i="2032"/>
  <c r="D9" i="2032" s="1"/>
  <c r="L7" i="2032"/>
  <c r="D7" i="2032" s="1"/>
  <c r="R6" i="2032"/>
  <c r="L6" i="2032"/>
  <c r="D6" i="2032" s="1"/>
  <c r="R5" i="2032"/>
  <c r="R4" i="2032"/>
  <c r="R52" i="2031"/>
  <c r="R51" i="2031"/>
  <c r="D50" i="2031"/>
  <c r="R49" i="2031"/>
  <c r="D49" i="2031"/>
  <c r="R48" i="2031"/>
  <c r="D48" i="2031"/>
  <c r="D46" i="2031"/>
  <c r="D45" i="2031"/>
  <c r="R44" i="2031"/>
  <c r="D44" i="2031"/>
  <c r="R42" i="2031"/>
  <c r="L6" i="2031" s="1"/>
  <c r="D6" i="2031" s="1"/>
  <c r="D42" i="2031"/>
  <c r="R41" i="2031"/>
  <c r="L7" i="2031" s="1"/>
  <c r="D7" i="2031" s="1"/>
  <c r="D41" i="2031"/>
  <c r="R40" i="2031"/>
  <c r="D40" i="2031"/>
  <c r="R39" i="2031"/>
  <c r="H39" i="2031"/>
  <c r="D39" i="2031"/>
  <c r="R38" i="2031"/>
  <c r="L9" i="2031" s="1"/>
  <c r="D9" i="2031" s="1"/>
  <c r="H38" i="2031"/>
  <c r="D38" i="2031"/>
  <c r="R37" i="2031"/>
  <c r="H37" i="2031"/>
  <c r="D37" i="2031"/>
  <c r="R36" i="2031"/>
  <c r="L10" i="2031" s="1"/>
  <c r="D10" i="2031" s="1"/>
  <c r="H36" i="2031"/>
  <c r="D36" i="2031"/>
  <c r="R35" i="2031"/>
  <c r="L18" i="2031" s="1"/>
  <c r="D18" i="2031" s="1"/>
  <c r="H35" i="2031"/>
  <c r="D35" i="2031"/>
  <c r="R34" i="2031"/>
  <c r="H34" i="2031"/>
  <c r="D34" i="2031"/>
  <c r="R33" i="2031"/>
  <c r="R32" i="2031"/>
  <c r="L11" i="2031" s="1"/>
  <c r="D11" i="2031" s="1"/>
  <c r="R31" i="2031"/>
  <c r="R30" i="2031"/>
  <c r="R29" i="2031"/>
  <c r="R28" i="2031"/>
  <c r="L28" i="2031"/>
  <c r="D28" i="2031"/>
  <c r="R27" i="2031"/>
  <c r="L27" i="2031"/>
  <c r="D27" i="2031" s="1"/>
  <c r="R26" i="2031"/>
  <c r="L26" i="2031"/>
  <c r="D26" i="2031"/>
  <c r="R25" i="2031"/>
  <c r="L25" i="2031"/>
  <c r="D25" i="2031"/>
  <c r="R24" i="2031"/>
  <c r="L24" i="2031"/>
  <c r="D24" i="2031"/>
  <c r="R23" i="2031"/>
  <c r="L23" i="2031"/>
  <c r="D23" i="2031"/>
  <c r="R22" i="2031"/>
  <c r="L20" i="2031" s="1"/>
  <c r="D20" i="2031" s="1"/>
  <c r="L22" i="2031"/>
  <c r="D22" i="2031" s="1"/>
  <c r="R21" i="2031"/>
  <c r="L21" i="2031"/>
  <c r="D21" i="2031"/>
  <c r="R20" i="2031"/>
  <c r="R19" i="2031"/>
  <c r="L19" i="2031"/>
  <c r="D19" i="2031"/>
  <c r="R18" i="2031"/>
  <c r="R17" i="2031"/>
  <c r="L17" i="2031"/>
  <c r="D17" i="2031"/>
  <c r="R16" i="2031"/>
  <c r="R15" i="2031"/>
  <c r="R14" i="2031"/>
  <c r="D14" i="2031"/>
  <c r="R13" i="2031"/>
  <c r="D13" i="2031"/>
  <c r="R12" i="2031"/>
  <c r="L12" i="2031"/>
  <c r="D12" i="2031"/>
  <c r="R11" i="2031"/>
  <c r="L8" i="2031"/>
  <c r="D8" i="2031"/>
  <c r="R6" i="2031"/>
  <c r="L16" i="2031" s="1"/>
  <c r="D16" i="2031" s="1"/>
  <c r="R5" i="2031"/>
  <c r="R4" i="2031"/>
  <c r="L15" i="2031" s="1"/>
  <c r="D15" i="2031" s="1"/>
  <c r="R52" i="2030"/>
  <c r="R51" i="2030"/>
  <c r="D50" i="2030"/>
  <c r="R49" i="2030"/>
  <c r="G49" i="2030"/>
  <c r="D49" i="2030"/>
  <c r="R48" i="2030"/>
  <c r="D48" i="2030"/>
  <c r="D46" i="2030"/>
  <c r="D45" i="2030"/>
  <c r="D44" i="2030"/>
  <c r="R42" i="2030"/>
  <c r="L6" i="2030" s="1"/>
  <c r="D6" i="2030" s="1"/>
  <c r="D42" i="2030"/>
  <c r="R41" i="2030"/>
  <c r="L7" i="2030" s="1"/>
  <c r="D7" i="2030" s="1"/>
  <c r="D41" i="2030"/>
  <c r="R40" i="2030"/>
  <c r="D40" i="2030"/>
  <c r="R39" i="2030"/>
  <c r="D39" i="2030"/>
  <c r="R38" i="2030"/>
  <c r="D38" i="2030"/>
  <c r="R37" i="2030"/>
  <c r="D37" i="2030"/>
  <c r="R36" i="2030"/>
  <c r="L10" i="2030" s="1"/>
  <c r="D10" i="2030" s="1"/>
  <c r="D36" i="2030"/>
  <c r="R35" i="2030"/>
  <c r="D35" i="2030"/>
  <c r="R34" i="2030"/>
  <c r="L12" i="2030" s="1"/>
  <c r="D12" i="2030" s="1"/>
  <c r="D34" i="2030"/>
  <c r="D54" i="2030" s="1"/>
  <c r="H14" i="2030" s="1"/>
  <c r="R33" i="2030"/>
  <c r="L23" i="2030" s="1"/>
  <c r="D23" i="2030" s="1"/>
  <c r="R32" i="2030"/>
  <c r="R31" i="2030"/>
  <c r="R30" i="2030"/>
  <c r="R29" i="2030"/>
  <c r="R28" i="2030"/>
  <c r="L16" i="2030" s="1"/>
  <c r="D16" i="2030" s="1"/>
  <c r="D28" i="2030"/>
  <c r="R27" i="2030"/>
  <c r="D27" i="2030"/>
  <c r="R26" i="2030"/>
  <c r="L26" i="2030"/>
  <c r="D26" i="2030"/>
  <c r="R25" i="2030"/>
  <c r="L25" i="2030"/>
  <c r="D25" i="2030"/>
  <c r="R24" i="2030"/>
  <c r="D24" i="2030"/>
  <c r="R23" i="2030"/>
  <c r="R22" i="2030"/>
  <c r="L22" i="2030"/>
  <c r="D22" i="2030" s="1"/>
  <c r="R21" i="2030"/>
  <c r="D21" i="2030"/>
  <c r="R20" i="2030"/>
  <c r="L20" i="2030"/>
  <c r="D20" i="2030"/>
  <c r="R19" i="2030"/>
  <c r="L19" i="2030"/>
  <c r="D19" i="2030"/>
  <c r="R18" i="2030"/>
  <c r="D18" i="2030"/>
  <c r="R17" i="2030"/>
  <c r="D17" i="2030"/>
  <c r="R16" i="2030"/>
  <c r="S15" i="2030"/>
  <c r="R15" i="2030"/>
  <c r="D15" i="2030"/>
  <c r="S14" i="2030"/>
  <c r="R14" i="2030"/>
  <c r="D14" i="2030"/>
  <c r="R13" i="2030"/>
  <c r="D13" i="2030"/>
  <c r="R12" i="2030"/>
  <c r="R11" i="2030"/>
  <c r="L11" i="2030"/>
  <c r="D11" i="2030" s="1"/>
  <c r="L9" i="2030"/>
  <c r="D9" i="2030"/>
  <c r="L8" i="2030"/>
  <c r="D8" i="2030"/>
  <c r="R6" i="2030"/>
  <c r="R5" i="2030"/>
  <c r="R4" i="2030"/>
  <c r="G49" i="2045" l="1"/>
  <c r="G49" i="2044"/>
  <c r="G49" i="2043"/>
  <c r="D54" i="2045"/>
  <c r="H14" i="2045" s="1"/>
  <c r="D54" i="2044"/>
  <c r="H14" i="2044" s="1"/>
  <c r="D54" i="2043"/>
  <c r="H14" i="2043" s="1"/>
  <c r="G49" i="2041"/>
  <c r="G49" i="2040"/>
  <c r="G49" i="2039"/>
  <c r="D54" i="2041"/>
  <c r="H14" i="2041" s="1"/>
  <c r="D54" i="2040"/>
  <c r="H14" i="2040" s="1"/>
  <c r="D54" i="2039"/>
  <c r="H14" i="2039" s="1"/>
  <c r="G49" i="2037"/>
  <c r="D54" i="2037"/>
  <c r="H14" i="2037" s="1"/>
  <c r="D54" i="2036"/>
  <c r="H14" i="2036" s="1"/>
  <c r="G49" i="2035"/>
  <c r="D54" i="2035"/>
  <c r="H14" i="2035" s="1"/>
  <c r="G49" i="2033"/>
  <c r="G49" i="2032"/>
  <c r="G49" i="2031"/>
  <c r="D54" i="2033"/>
  <c r="H14" i="2033" s="1"/>
  <c r="D54" i="2032"/>
  <c r="H14" i="2032" s="1"/>
  <c r="D54" i="2031"/>
  <c r="H14" i="2031" s="1"/>
  <c r="D29" i="2053"/>
  <c r="H13" i="2053" s="1"/>
  <c r="H15" i="2053" s="1"/>
  <c r="H29" i="2053" s="1"/>
  <c r="G51" i="2053" s="1"/>
  <c r="D29" i="2052"/>
  <c r="H13" i="2052" s="1"/>
  <c r="H15" i="2052" s="1"/>
  <c r="H29" i="2052" s="1"/>
  <c r="G51" i="2052" s="1"/>
  <c r="G51" i="2051"/>
  <c r="D29" i="2050"/>
  <c r="H13" i="2050" s="1"/>
  <c r="H15" i="2050" s="1"/>
  <c r="H29" i="2050" s="1"/>
  <c r="G51" i="2050" s="1"/>
  <c r="D29" i="2049"/>
  <c r="H13" i="2049" s="1"/>
  <c r="H15" i="2049" s="1"/>
  <c r="H29" i="2049" s="1"/>
  <c r="G51" i="2049" s="1"/>
  <c r="G51" i="2048"/>
  <c r="D29" i="2048"/>
  <c r="H13" i="2048" s="1"/>
  <c r="H15" i="2048" s="1"/>
  <c r="H29" i="2048" s="1"/>
  <c r="D29" i="2047"/>
  <c r="H13" i="2047" s="1"/>
  <c r="H15" i="2047" s="1"/>
  <c r="H29" i="2047" s="1"/>
  <c r="G51" i="2047" s="1"/>
  <c r="D29" i="2046"/>
  <c r="H13" i="2046" s="1"/>
  <c r="H15" i="2046" s="1"/>
  <c r="H29" i="2046" s="1"/>
  <c r="G51" i="2046" s="1"/>
  <c r="D29" i="2045"/>
  <c r="H13" i="2045" s="1"/>
  <c r="D29" i="2044"/>
  <c r="H13" i="2044" s="1"/>
  <c r="D29" i="2043"/>
  <c r="H13" i="2043" s="1"/>
  <c r="D29" i="2042"/>
  <c r="H13" i="2042" s="1"/>
  <c r="H15" i="2042" s="1"/>
  <c r="H29" i="2042" s="1"/>
  <c r="G51" i="2042" s="1"/>
  <c r="D29" i="2041"/>
  <c r="H13" i="2041" s="1"/>
  <c r="H15" i="2041" s="1"/>
  <c r="H29" i="2041" s="1"/>
  <c r="D29" i="2040"/>
  <c r="H13" i="2040" s="1"/>
  <c r="D29" i="2039"/>
  <c r="H13" i="2039" s="1"/>
  <c r="D29" i="2038"/>
  <c r="H13" i="2038" s="1"/>
  <c r="H15" i="2038" s="1"/>
  <c r="H29" i="2038" s="1"/>
  <c r="G51" i="2038" s="1"/>
  <c r="D29" i="2037"/>
  <c r="H13" i="2037" s="1"/>
  <c r="H15" i="2037" s="1"/>
  <c r="H29" i="2037" s="1"/>
  <c r="D29" i="2036"/>
  <c r="H13" i="2036" s="1"/>
  <c r="D29" i="2035"/>
  <c r="H13" i="2035" s="1"/>
  <c r="D29" i="2034"/>
  <c r="H13" i="2034" s="1"/>
  <c r="H15" i="2034" s="1"/>
  <c r="H29" i="2034" s="1"/>
  <c r="G51" i="2034" s="1"/>
  <c r="D29" i="2033"/>
  <c r="H13" i="2033" s="1"/>
  <c r="D29" i="2032"/>
  <c r="H13" i="2032" s="1"/>
  <c r="D29" i="2031"/>
  <c r="H13" i="2031" s="1"/>
  <c r="D29" i="2030"/>
  <c r="H13" i="2030" s="1"/>
  <c r="H15" i="2030" s="1"/>
  <c r="H29" i="2030" s="1"/>
  <c r="G51" i="2030" s="1"/>
  <c r="R52" i="2029"/>
  <c r="R51" i="2029"/>
  <c r="D50" i="2029"/>
  <c r="R49" i="2029"/>
  <c r="D49" i="2029"/>
  <c r="R48" i="2029"/>
  <c r="D48" i="2029"/>
  <c r="D46" i="2029"/>
  <c r="D45" i="2029"/>
  <c r="R44" i="2029"/>
  <c r="L28" i="2029" s="1"/>
  <c r="D28" i="2029" s="1"/>
  <c r="D44" i="2029"/>
  <c r="R42" i="2029"/>
  <c r="D42" i="2029"/>
  <c r="R41" i="2029"/>
  <c r="L7" i="2029" s="1"/>
  <c r="D7" i="2029" s="1"/>
  <c r="D41" i="2029"/>
  <c r="R40" i="2029"/>
  <c r="L8" i="2029" s="1"/>
  <c r="D8" i="2029" s="1"/>
  <c r="D40" i="2029"/>
  <c r="R39" i="2029"/>
  <c r="H39" i="2029"/>
  <c r="D39" i="2029"/>
  <c r="R38" i="2029"/>
  <c r="L9" i="2029" s="1"/>
  <c r="D9" i="2029" s="1"/>
  <c r="H38" i="2029"/>
  <c r="D38" i="2029"/>
  <c r="R37" i="2029"/>
  <c r="H37" i="2029"/>
  <c r="D37" i="2029"/>
  <c r="R36" i="2029"/>
  <c r="L10" i="2029" s="1"/>
  <c r="D10" i="2029" s="1"/>
  <c r="H36" i="2029"/>
  <c r="D36" i="2029"/>
  <c r="R35" i="2029"/>
  <c r="L18" i="2029" s="1"/>
  <c r="D18" i="2029" s="1"/>
  <c r="H35" i="2029"/>
  <c r="D35" i="2029"/>
  <c r="R34" i="2029"/>
  <c r="H34" i="2029"/>
  <c r="D34" i="2029"/>
  <c r="R33" i="2029"/>
  <c r="R32" i="2029"/>
  <c r="R31" i="2029"/>
  <c r="R30" i="2029"/>
  <c r="R29" i="2029"/>
  <c r="R28" i="2029"/>
  <c r="R27" i="2029"/>
  <c r="L27" i="2029"/>
  <c r="D27" i="2029"/>
  <c r="R26" i="2029"/>
  <c r="L26" i="2029"/>
  <c r="D26" i="2029"/>
  <c r="R25" i="2029"/>
  <c r="L25" i="2029"/>
  <c r="D25" i="2029"/>
  <c r="R24" i="2029"/>
  <c r="L24" i="2029"/>
  <c r="D24" i="2029"/>
  <c r="R23" i="2029"/>
  <c r="L23" i="2029"/>
  <c r="D23" i="2029" s="1"/>
  <c r="R22" i="2029"/>
  <c r="L20" i="2029" s="1"/>
  <c r="D20" i="2029" s="1"/>
  <c r="L22" i="2029"/>
  <c r="D22" i="2029"/>
  <c r="R21" i="2029"/>
  <c r="L17" i="2029" s="1"/>
  <c r="D17" i="2029" s="1"/>
  <c r="L21" i="2029"/>
  <c r="D21" i="2029"/>
  <c r="R20" i="2029"/>
  <c r="R19" i="2029"/>
  <c r="L19" i="2029"/>
  <c r="D19" i="2029" s="1"/>
  <c r="R18" i="2029"/>
  <c r="R17" i="2029"/>
  <c r="R16" i="2029"/>
  <c r="L16" i="2029"/>
  <c r="D16" i="2029" s="1"/>
  <c r="R15" i="2029"/>
  <c r="R14" i="2029"/>
  <c r="D14" i="2029"/>
  <c r="R13" i="2029"/>
  <c r="D13" i="2029"/>
  <c r="R12" i="2029"/>
  <c r="L12" i="2029"/>
  <c r="D12" i="2029"/>
  <c r="R11" i="2029"/>
  <c r="L11" i="2029"/>
  <c r="D11" i="2029" s="1"/>
  <c r="R6" i="2029"/>
  <c r="L6" i="2029"/>
  <c r="D6" i="2029" s="1"/>
  <c r="R5" i="2029"/>
  <c r="R4" i="2029"/>
  <c r="L15" i="2029" s="1"/>
  <c r="D15" i="2029" s="1"/>
  <c r="R52" i="2028"/>
  <c r="R51" i="2028"/>
  <c r="D50" i="2028"/>
  <c r="R49" i="2028"/>
  <c r="D49" i="2028"/>
  <c r="R48" i="2028"/>
  <c r="D48" i="2028"/>
  <c r="D46" i="2028"/>
  <c r="D45" i="2028"/>
  <c r="R44" i="2028"/>
  <c r="D44" i="2028"/>
  <c r="R42" i="2028"/>
  <c r="L6" i="2028" s="1"/>
  <c r="D6" i="2028" s="1"/>
  <c r="D42" i="2028"/>
  <c r="R41" i="2028"/>
  <c r="L7" i="2028" s="1"/>
  <c r="D7" i="2028" s="1"/>
  <c r="D41" i="2028"/>
  <c r="R40" i="2028"/>
  <c r="D40" i="2028"/>
  <c r="R39" i="2028"/>
  <c r="H39" i="2028"/>
  <c r="D39" i="2028"/>
  <c r="R38" i="2028"/>
  <c r="H38" i="2028"/>
  <c r="D38" i="2028"/>
  <c r="R37" i="2028"/>
  <c r="H37" i="2028"/>
  <c r="D37" i="2028"/>
  <c r="R36" i="2028"/>
  <c r="L10" i="2028" s="1"/>
  <c r="D10" i="2028" s="1"/>
  <c r="H36" i="2028"/>
  <c r="D36" i="2028"/>
  <c r="R35" i="2028"/>
  <c r="L18" i="2028" s="1"/>
  <c r="D18" i="2028" s="1"/>
  <c r="H35" i="2028"/>
  <c r="D35" i="2028"/>
  <c r="R34" i="2028"/>
  <c r="L12" i="2028" s="1"/>
  <c r="D12" i="2028" s="1"/>
  <c r="H34" i="2028"/>
  <c r="D34" i="2028"/>
  <c r="R33" i="2028"/>
  <c r="L19" i="2028" s="1"/>
  <c r="D19" i="2028" s="1"/>
  <c r="R32" i="2028"/>
  <c r="R31" i="2028"/>
  <c r="R30" i="2028"/>
  <c r="R29" i="2028"/>
  <c r="R28" i="2028"/>
  <c r="L28" i="2028"/>
  <c r="D28" i="2028"/>
  <c r="R27" i="2028"/>
  <c r="L27" i="2028"/>
  <c r="D27" i="2028" s="1"/>
  <c r="R26" i="2028"/>
  <c r="L26" i="2028"/>
  <c r="D26" i="2028"/>
  <c r="R25" i="2028"/>
  <c r="L25" i="2028"/>
  <c r="D25" i="2028"/>
  <c r="R24" i="2028"/>
  <c r="L24" i="2028"/>
  <c r="D24" i="2028"/>
  <c r="R23" i="2028"/>
  <c r="L23" i="2028"/>
  <c r="D23" i="2028"/>
  <c r="R22" i="2028"/>
  <c r="L20" i="2028" s="1"/>
  <c r="D20" i="2028" s="1"/>
  <c r="L22" i="2028"/>
  <c r="D22" i="2028"/>
  <c r="R21" i="2028"/>
  <c r="L21" i="2028"/>
  <c r="D21" i="2028" s="1"/>
  <c r="R20" i="2028"/>
  <c r="R19" i="2028"/>
  <c r="R18" i="2028"/>
  <c r="R17" i="2028"/>
  <c r="L17" i="2028"/>
  <c r="D17" i="2028"/>
  <c r="R16" i="2028"/>
  <c r="L16" i="2028"/>
  <c r="D16" i="2028"/>
  <c r="R15" i="2028"/>
  <c r="R14" i="2028"/>
  <c r="D14" i="2028"/>
  <c r="R13" i="2028"/>
  <c r="D13" i="2028"/>
  <c r="R12" i="2028"/>
  <c r="R11" i="2028"/>
  <c r="L11" i="2028"/>
  <c r="D11" i="2028"/>
  <c r="L9" i="2028"/>
  <c r="D9" i="2028" s="1"/>
  <c r="L8" i="2028"/>
  <c r="D8" i="2028" s="1"/>
  <c r="R6" i="2028"/>
  <c r="R5" i="2028"/>
  <c r="R4" i="2028"/>
  <c r="L15" i="2028" s="1"/>
  <c r="D15" i="2028" s="1"/>
  <c r="R52" i="2027"/>
  <c r="R51" i="2027"/>
  <c r="D50" i="2027"/>
  <c r="R49" i="2027"/>
  <c r="D49" i="2027"/>
  <c r="R48" i="2027"/>
  <c r="D48" i="2027"/>
  <c r="D46" i="2027"/>
  <c r="D45" i="2027"/>
  <c r="R44" i="2027"/>
  <c r="L28" i="2027" s="1"/>
  <c r="D28" i="2027" s="1"/>
  <c r="D44" i="2027"/>
  <c r="R42" i="2027"/>
  <c r="D42" i="2027"/>
  <c r="R41" i="2027"/>
  <c r="D41" i="2027"/>
  <c r="R40" i="2027"/>
  <c r="D40" i="2027"/>
  <c r="R39" i="2027"/>
  <c r="H39" i="2027"/>
  <c r="D39" i="2027"/>
  <c r="R38" i="2027"/>
  <c r="L9" i="2027" s="1"/>
  <c r="D9" i="2027" s="1"/>
  <c r="H38" i="2027"/>
  <c r="D38" i="2027"/>
  <c r="R37" i="2027"/>
  <c r="H37" i="2027"/>
  <c r="D37" i="2027"/>
  <c r="R36" i="2027"/>
  <c r="L10" i="2027" s="1"/>
  <c r="D10" i="2027" s="1"/>
  <c r="H36" i="2027"/>
  <c r="D36" i="2027"/>
  <c r="R35" i="2027"/>
  <c r="H35" i="2027"/>
  <c r="D35" i="2027"/>
  <c r="R34" i="2027"/>
  <c r="H34" i="2027"/>
  <c r="D34" i="2027"/>
  <c r="R33" i="2027"/>
  <c r="R32" i="2027"/>
  <c r="L11" i="2027" s="1"/>
  <c r="D11" i="2027" s="1"/>
  <c r="R31" i="2027"/>
  <c r="R30" i="2027"/>
  <c r="R29" i="2027"/>
  <c r="R28" i="2027"/>
  <c r="R27" i="2027"/>
  <c r="L27" i="2027"/>
  <c r="D27" i="2027"/>
  <c r="R26" i="2027"/>
  <c r="L26" i="2027"/>
  <c r="D26" i="2027"/>
  <c r="R25" i="2027"/>
  <c r="L25" i="2027"/>
  <c r="D25" i="2027" s="1"/>
  <c r="R24" i="2027"/>
  <c r="L24" i="2027"/>
  <c r="D24" i="2027"/>
  <c r="R23" i="2027"/>
  <c r="L23" i="2027"/>
  <c r="D23" i="2027" s="1"/>
  <c r="R22" i="2027"/>
  <c r="L20" i="2027" s="1"/>
  <c r="D20" i="2027" s="1"/>
  <c r="L22" i="2027"/>
  <c r="D22" i="2027"/>
  <c r="R21" i="2027"/>
  <c r="L21" i="2027"/>
  <c r="D21" i="2027"/>
  <c r="R20" i="2027"/>
  <c r="R19" i="2027"/>
  <c r="L19" i="2027"/>
  <c r="D19" i="2027"/>
  <c r="R18" i="2027"/>
  <c r="L18" i="2027"/>
  <c r="D18" i="2027"/>
  <c r="R17" i="2027"/>
  <c r="L17" i="2027"/>
  <c r="D17" i="2027" s="1"/>
  <c r="R16" i="2027"/>
  <c r="R15" i="2027"/>
  <c r="L15" i="2027"/>
  <c r="D15" i="2027" s="1"/>
  <c r="R14" i="2027"/>
  <c r="D14" i="2027"/>
  <c r="R13" i="2027"/>
  <c r="D13" i="2027"/>
  <c r="R12" i="2027"/>
  <c r="L12" i="2027"/>
  <c r="D12" i="2027" s="1"/>
  <c r="R11" i="2027"/>
  <c r="L8" i="2027"/>
  <c r="D8" i="2027"/>
  <c r="L7" i="2027"/>
  <c r="D7" i="2027"/>
  <c r="R6" i="2027"/>
  <c r="L16" i="2027" s="1"/>
  <c r="D16" i="2027" s="1"/>
  <c r="L6" i="2027"/>
  <c r="D6" i="2027" s="1"/>
  <c r="R5" i="2027"/>
  <c r="R4" i="2027"/>
  <c r="R52" i="2026"/>
  <c r="R51" i="2026"/>
  <c r="D50" i="2026"/>
  <c r="R49" i="2026"/>
  <c r="G49" i="2026"/>
  <c r="D49" i="2026"/>
  <c r="R48" i="2026"/>
  <c r="D48" i="2026"/>
  <c r="D46" i="2026"/>
  <c r="D45" i="2026"/>
  <c r="D44" i="2026"/>
  <c r="R42" i="2026"/>
  <c r="L6" i="2026" s="1"/>
  <c r="D6" i="2026" s="1"/>
  <c r="D42" i="2026"/>
  <c r="R41" i="2026"/>
  <c r="L7" i="2026" s="1"/>
  <c r="D7" i="2026" s="1"/>
  <c r="D41" i="2026"/>
  <c r="R40" i="2026"/>
  <c r="D40" i="2026"/>
  <c r="R39" i="2026"/>
  <c r="D39" i="2026"/>
  <c r="R38" i="2026"/>
  <c r="L9" i="2026" s="1"/>
  <c r="D9" i="2026" s="1"/>
  <c r="D38" i="2026"/>
  <c r="R37" i="2026"/>
  <c r="D37" i="2026"/>
  <c r="R36" i="2026"/>
  <c r="L10" i="2026" s="1"/>
  <c r="D10" i="2026" s="1"/>
  <c r="D36" i="2026"/>
  <c r="R35" i="2026"/>
  <c r="D35" i="2026"/>
  <c r="R34" i="2026"/>
  <c r="D34" i="2026"/>
  <c r="D54" i="2026" s="1"/>
  <c r="H14" i="2026" s="1"/>
  <c r="R33" i="2026"/>
  <c r="R32" i="2026"/>
  <c r="R31" i="2026"/>
  <c r="R30" i="2026"/>
  <c r="R29" i="2026"/>
  <c r="R28" i="2026"/>
  <c r="D28" i="2026"/>
  <c r="R27" i="2026"/>
  <c r="D27" i="2026"/>
  <c r="R26" i="2026"/>
  <c r="L26" i="2026"/>
  <c r="D26" i="2026"/>
  <c r="R25" i="2026"/>
  <c r="L25" i="2026"/>
  <c r="D25" i="2026"/>
  <c r="R24" i="2026"/>
  <c r="D24" i="2026"/>
  <c r="R23" i="2026"/>
  <c r="L23" i="2026"/>
  <c r="D23" i="2026"/>
  <c r="R22" i="2026"/>
  <c r="L22" i="2026"/>
  <c r="D22" i="2026"/>
  <c r="R21" i="2026"/>
  <c r="D21" i="2026"/>
  <c r="R20" i="2026"/>
  <c r="L20" i="2026"/>
  <c r="D20" i="2026"/>
  <c r="R19" i="2026"/>
  <c r="L19" i="2026"/>
  <c r="D19" i="2026"/>
  <c r="R18" i="2026"/>
  <c r="D18" i="2026"/>
  <c r="R17" i="2026"/>
  <c r="D17" i="2026"/>
  <c r="R16" i="2026"/>
  <c r="L16" i="2026"/>
  <c r="D16" i="2026" s="1"/>
  <c r="S15" i="2026"/>
  <c r="R15" i="2026"/>
  <c r="D15" i="2026"/>
  <c r="S14" i="2026"/>
  <c r="R14" i="2026"/>
  <c r="D14" i="2026"/>
  <c r="R13" i="2026"/>
  <c r="D13" i="2026"/>
  <c r="R12" i="2026"/>
  <c r="L12" i="2026"/>
  <c r="D12" i="2026"/>
  <c r="R11" i="2026"/>
  <c r="L11" i="2026"/>
  <c r="D11" i="2026"/>
  <c r="L8" i="2026"/>
  <c r="D8" i="2026"/>
  <c r="R6" i="2026"/>
  <c r="R5" i="2026"/>
  <c r="R4" i="2026"/>
  <c r="H15" i="2045" l="1"/>
  <c r="H29" i="2045" s="1"/>
  <c r="G51" i="2045" s="1"/>
  <c r="H15" i="2044"/>
  <c r="H29" i="2044" s="1"/>
  <c r="G51" i="2044" s="1"/>
  <c r="H15" i="2043"/>
  <c r="H29" i="2043" s="1"/>
  <c r="G51" i="2043" s="1"/>
  <c r="G51" i="2041"/>
  <c r="H15" i="2040"/>
  <c r="H29" i="2040" s="1"/>
  <c r="G51" i="2040" s="1"/>
  <c r="H15" i="2039"/>
  <c r="H29" i="2039" s="1"/>
  <c r="G51" i="2039" s="1"/>
  <c r="G51" i="2037"/>
  <c r="H15" i="2036"/>
  <c r="H29" i="2036" s="1"/>
  <c r="G51" i="2036" s="1"/>
  <c r="H15" i="2035"/>
  <c r="H29" i="2035" s="1"/>
  <c r="G51" i="2035" s="1"/>
  <c r="H15" i="2033"/>
  <c r="H29" i="2033" s="1"/>
  <c r="G51" i="2033" s="1"/>
  <c r="H15" i="2032"/>
  <c r="H29" i="2032" s="1"/>
  <c r="G51" i="2032" s="1"/>
  <c r="H15" i="2031"/>
  <c r="H29" i="2031" s="1"/>
  <c r="G51" i="2031" s="1"/>
  <c r="G49" i="2029"/>
  <c r="G49" i="2028"/>
  <c r="G49" i="2027"/>
  <c r="D54" i="2029"/>
  <c r="H14" i="2029" s="1"/>
  <c r="D54" i="2028"/>
  <c r="H14" i="2028" s="1"/>
  <c r="D54" i="2027"/>
  <c r="H14" i="2027" s="1"/>
  <c r="D29" i="2029"/>
  <c r="H13" i="2029" s="1"/>
  <c r="D29" i="2028"/>
  <c r="H13" i="2028" s="1"/>
  <c r="H15" i="2028" s="1"/>
  <c r="H29" i="2028" s="1"/>
  <c r="D29" i="2027"/>
  <c r="H13" i="2027" s="1"/>
  <c r="D29" i="2026"/>
  <c r="H13" i="2026" s="1"/>
  <c r="H15" i="2026" s="1"/>
  <c r="H29" i="2026" s="1"/>
  <c r="G51" i="2026" s="1"/>
  <c r="G51" i="2028" l="1"/>
  <c r="H15" i="2029"/>
  <c r="H29" i="2029" s="1"/>
  <c r="G51" i="2029" s="1"/>
  <c r="H15" i="2027"/>
  <c r="H29" i="2027" s="1"/>
  <c r="G51" i="2027" s="1"/>
</calcChain>
</file>

<file path=xl/sharedStrings.xml><?xml version="1.0" encoding="utf-8"?>
<sst xmlns="http://schemas.openxmlformats.org/spreadsheetml/2006/main" count="6447" uniqueCount="159">
  <si>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</si>
  <si>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</si>
  <si>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</si>
  <si>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</si>
  <si>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</si>
  <si>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</si>
  <si>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</si>
  <si>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</si>
  <si>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</si>
  <si>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</si>
  <si>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</si>
  <si>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</si>
  <si>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</si>
  <si>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</si>
  <si>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</si>
  <si>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</si>
  <si>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</si>
  <si>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</si>
  <si>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</si>
  <si>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</si>
  <si>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</si>
  <si>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</si>
  <si>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</si>
  <si>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</si>
  <si>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</si>
  <si>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</si>
  <si>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</si>
  <si>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</si>
  <si>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</si>
  <si>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</si>
  <si>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</si>
  <si>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</si>
  <si>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</si>
  <si>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</si>
  <si>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</si>
  <si>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</si>
  <si>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</si>
  <si>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</si>
  <si>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</si>
  <si>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</si>
  <si>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</si>
  <si>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</si>
  <si>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</si>
  <si>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</si>
  <si>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</si>
  <si>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</si>
  <si>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</si>
  <si>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</si>
  <si>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</si>
  <si>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</si>
  <si>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</si>
  <si>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</si>
  <si>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</si>
  <si>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</si>
  <si>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</si>
  <si>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</si>
  <si>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</si>
  <si>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</si>
  <si>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</si>
  <si>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</si>
  <si>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</si>
  <si>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</si>
  <si>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</si>
  <si>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</si>
  <si>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</si>
  <si>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</si>
  <si>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</si>
  <si>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</si>
  <si>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</si>
  <si>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</si>
  <si>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</si>
  <si>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</si>
  <si>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</si>
  <si>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</si>
  <si>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</si>
  <si>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</si>
  <si>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</si>
  <si>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</si>
  <si>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</si>
  <si>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</si>
  <si>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</si>
  <si>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</si>
  <si>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</si>
  <si>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</si>
  <si>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</si>
  <si>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</si>
  <si>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</si>
  <si>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</si>
  <si>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</si>
  <si>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</si>
  <si>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</si>
  <si>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</si>
  <si>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RHSL</t>
  </si>
  <si>
    <t>S.I. NO.</t>
  </si>
  <si>
    <t>LESS: CREDIT</t>
  </si>
  <si>
    <t>ADD: COLLECTION</t>
  </si>
  <si>
    <t>CHOCO LAGER CAN</t>
  </si>
  <si>
    <t>RED HORSE 500 CAN</t>
  </si>
  <si>
    <t>RED HORSE SUPER 1000</t>
  </si>
  <si>
    <t>DANDAYO, RONNEL</t>
  </si>
  <si>
    <t>ENCLONAR, JEROME</t>
  </si>
  <si>
    <t>SALIG, JOVANI</t>
  </si>
  <si>
    <t>OTHERS/PROMO</t>
  </si>
  <si>
    <t>RHS BOTT.</t>
  </si>
  <si>
    <t>RHSL BOTT.</t>
  </si>
  <si>
    <t>SMLC/PPC/RHC</t>
  </si>
  <si>
    <t>SHORT / OVER</t>
  </si>
  <si>
    <t>PORMENTO, ESTEMARK</t>
  </si>
  <si>
    <t>BAOC, PRECILLANO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</si>
  <si>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</si>
  <si>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t>GOMORA, JURLAN</t>
  </si>
  <si>
    <t>CC/CIC/C10C</t>
  </si>
  <si>
    <r>
      <t xml:space="preserve">SHORT / </t>
    </r>
    <r>
      <rPr>
        <u/>
        <sz val="11"/>
        <rFont val="Calibri"/>
        <family val="2"/>
        <scheme val="minor"/>
      </rPr>
      <t xml:space="preserve">OVER </t>
    </r>
  </si>
  <si>
    <t>SAN MIG FREE 330ml</t>
  </si>
  <si>
    <t>SAN MIG HARD SELTZER CAN 330ml</t>
  </si>
  <si>
    <r>
      <t xml:space="preserve">SHORT / </t>
    </r>
    <r>
      <rPr>
        <u/>
        <sz val="11"/>
        <rFont val="Calibri"/>
        <family val="2"/>
        <scheme val="minor"/>
      </rPr>
      <t>OVER</t>
    </r>
  </si>
  <si>
    <t xml:space="preserve">                           RONNEL DANDAYO</t>
  </si>
  <si>
    <t>GICA, GRACE</t>
  </si>
  <si>
    <t xml:space="preserve">                            GRACE B. GICA</t>
  </si>
  <si>
    <t xml:space="preserve">                            ESTEMARK PORMENTO</t>
  </si>
  <si>
    <t>SALIG, JULIVEN</t>
  </si>
  <si>
    <t>PP BOTT.</t>
  </si>
  <si>
    <t>CB/CIB</t>
  </si>
  <si>
    <t>PAMB/CBB/SDB/CNB</t>
  </si>
  <si>
    <t>RACAZA, ALEXANDER</t>
  </si>
  <si>
    <t>FBAC/FBLC/FBLYC</t>
  </si>
  <si>
    <t>PAMC/CBC/SDC/CLC</t>
  </si>
  <si>
    <t>SMLB BOTT.</t>
  </si>
  <si>
    <t>FB BOTT</t>
  </si>
  <si>
    <t>RHP BOTT.</t>
  </si>
  <si>
    <t>SMFB BOTT.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</si>
  <si>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 xml:space="preserve">/ OVER </t>
    </r>
  </si>
  <si>
    <t>BDO</t>
  </si>
  <si>
    <t>43052</t>
  </si>
  <si>
    <t>56758</t>
  </si>
  <si>
    <r>
      <rPr>
        <sz val="11"/>
        <color theme="1"/>
        <rFont val="Calibri"/>
        <family val="2"/>
        <scheme val="minor"/>
      </rPr>
      <t xml:space="preserve">SHORT / </t>
    </r>
    <r>
      <rPr>
        <u/>
        <sz val="11"/>
        <color theme="1"/>
        <rFont val="Calibri"/>
        <family val="2"/>
        <scheme val="minor"/>
      </rPr>
      <t>OVER</t>
    </r>
  </si>
  <si>
    <t>PNB</t>
  </si>
  <si>
    <t>G-CASH</t>
  </si>
  <si>
    <t>2000002824</t>
  </si>
  <si>
    <t>2000008518</t>
  </si>
  <si>
    <r>
      <rPr>
        <sz val="11"/>
        <color rgb="FFFF0000"/>
        <rFont val="Calibri"/>
        <family val="2"/>
        <scheme val="minor"/>
      </rPr>
      <t>(</t>
    </r>
    <r>
      <rPr>
        <u/>
        <sz val="11"/>
        <color rgb="FFFF0000"/>
        <rFont val="Calibri"/>
        <family val="2"/>
        <scheme val="minor"/>
      </rPr>
      <t>SHORT</t>
    </r>
    <r>
      <rPr>
        <sz val="11"/>
        <color rgb="FFFF0000"/>
        <rFont val="Calibri"/>
        <family val="2"/>
        <scheme val="minor"/>
      </rPr>
      <t>)</t>
    </r>
    <r>
      <rPr>
        <sz val="11"/>
        <rFont val="Calibri"/>
        <family val="2"/>
        <scheme val="minor"/>
      </rPr>
      <t xml:space="preserve"> / OVER</t>
    </r>
  </si>
  <si>
    <t>BANK TRANSFER</t>
  </si>
  <si>
    <r>
      <rPr>
        <sz val="11"/>
        <color theme="1"/>
        <rFont val="Calibri"/>
        <family val="2"/>
        <scheme val="minor"/>
      </rPr>
      <t xml:space="preserve">SHORT / </t>
    </r>
    <r>
      <rPr>
        <u/>
        <sz val="11"/>
        <color theme="1"/>
        <rFont val="Calibri"/>
        <family val="2"/>
        <scheme val="minor"/>
      </rPr>
      <t>OVER</t>
    </r>
  </si>
  <si>
    <t>43053</t>
  </si>
  <si>
    <t>MGYZ</t>
  </si>
  <si>
    <t>147923</t>
  </si>
  <si>
    <t>BALWARTE</t>
  </si>
  <si>
    <t>PSBC</t>
  </si>
  <si>
    <t>2130020891</t>
  </si>
  <si>
    <t>149830</t>
  </si>
  <si>
    <t>2000005999</t>
  </si>
  <si>
    <t>2000002829</t>
  </si>
  <si>
    <t>2000008519</t>
  </si>
  <si>
    <t>SOUND CHECK</t>
  </si>
  <si>
    <t>43055</t>
  </si>
  <si>
    <t>56765</t>
  </si>
  <si>
    <t>2000008528</t>
  </si>
  <si>
    <t>2000002837</t>
  </si>
  <si>
    <t>149141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</si>
</sst>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u/>
      <sz val="11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u/>
      <sz val="11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64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1" fillId="0" borderId="10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0" fontId="24" fillId="0" borderId="16" xfId="0" applyFont="1" applyBorder="1"/>
    <xf numFmtId="0" fontId="23" fillId="0" borderId="21" xfId="0" applyFont="1" applyBorder="1"/>
    <xf numFmtId="0" fontId="23" fillId="0" borderId="0" xfId="0" applyFont="1"/>
    <xf numFmtId="0" fontId="23" fillId="0" borderId="10" xfId="0" applyFont="1" applyBorder="1"/>
    <xf numFmtId="0" fontId="23" fillId="0" borderId="16" xfId="0" applyFont="1" applyBorder="1"/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49" fontId="0" fillId="0" borderId="16" xfId="0" applyNumberFormat="1" applyFont="1" applyBorder="1" applyAlignment="1">
      <alignment horizontal="right"/>
    </xf>
    <xf numFmtId="49" fontId="23" fillId="0" borderId="16" xfId="0" applyNumberFormat="1" applyFont="1" applyBorder="1" applyAlignment="1">
      <alignment horizontal="right"/>
    </xf>
    <xf numFmtId="0" fontId="0" fillId="0" borderId="21" xfId="0" applyFont="1" applyBorder="1"/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6" xfId="0" applyBorder="1" applyAlignment="1">
      <alignment horizontal="right" vertical="center" wrapText="1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9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0" fontId="0" fillId="3" borderId="16" xfId="0" applyFill="1" applyBorder="1" applyAlignment="1">
      <alignment horizont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0" fontId="0" fillId="0" borderId="23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0" fontId="0" fillId="0" borderId="10" xfId="0" applyFont="1" applyBorder="1" applyAlignment="1">
      <alignment horizontal="right" vertical="center" wrapText="1"/>
    </xf>
    <xf numFmtId="0" fontId="0" fillId="0" borderId="21" xfId="0" applyFont="1" applyBorder="1" applyAlignment="1">
      <alignment horizontal="right" vertical="center" wrapText="1"/>
    </xf>
    <xf numFmtId="165" fontId="8" fillId="0" borderId="6" xfId="0" applyNumberFormat="1" applyFont="1" applyBorder="1" applyAlignment="1">
      <alignment horizontal="left" vertical="center"/>
    </xf>
    <xf numFmtId="165" fontId="8" fillId="0" borderId="4" xfId="0" applyNumberFormat="1" applyFont="1" applyBorder="1" applyAlignment="1">
      <alignment horizontal="left" vertical="center"/>
    </xf>
    <xf numFmtId="165" fontId="8" fillId="0" borderId="7" xfId="0" applyNumberFormat="1" applyFont="1" applyBorder="1" applyAlignment="1">
      <alignment horizontal="left" vertical="center"/>
    </xf>
    <xf numFmtId="165" fontId="8" fillId="0" borderId="50" xfId="0" applyNumberFormat="1" applyFont="1" applyBorder="1" applyAlignment="1">
      <alignment horizontal="left" vertical="center"/>
    </xf>
    <xf numFmtId="165" fontId="8" fillId="0" borderId="51" xfId="0" applyNumberFormat="1" applyFont="1" applyBorder="1" applyAlignment="1">
      <alignment horizontal="left" vertical="center"/>
    </xf>
    <xf numFmtId="165" fontId="8" fillId="0" borderId="52" xfId="0" applyNumberFormat="1" applyFont="1" applyBorder="1" applyAlignment="1">
      <alignment horizontal="left" vertical="center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165" fontId="21" fillId="0" borderId="6" xfId="0" applyNumberFormat="1" applyFont="1" applyBorder="1" applyAlignment="1">
      <alignment horizontal="left" vertical="center"/>
    </xf>
    <xf numFmtId="165" fontId="21" fillId="0" borderId="4" xfId="0" applyNumberFormat="1" applyFont="1" applyBorder="1" applyAlignment="1">
      <alignment horizontal="left" vertical="center"/>
    </xf>
    <xf numFmtId="165" fontId="21" fillId="0" borderId="7" xfId="0" applyNumberFormat="1" applyFont="1" applyBorder="1" applyAlignment="1">
      <alignment horizontal="left" vertical="center"/>
    </xf>
    <xf numFmtId="165" fontId="21" fillId="0" borderId="50" xfId="0" applyNumberFormat="1" applyFont="1" applyBorder="1" applyAlignment="1">
      <alignment horizontal="left" vertical="center"/>
    </xf>
    <xf numFmtId="165" fontId="21" fillId="0" borderId="51" xfId="0" applyNumberFormat="1" applyFont="1" applyBorder="1" applyAlignment="1">
      <alignment horizontal="left" vertical="center"/>
    </xf>
    <xf numFmtId="165" fontId="21" fillId="0" borderId="52" xfId="0" applyNumberFormat="1" applyFont="1" applyBorder="1" applyAlignment="1">
      <alignment horizontal="left" vertical="center"/>
    </xf>
    <xf numFmtId="44" fontId="0" fillId="3" borderId="16" xfId="0" applyNumberFormat="1" applyFill="1" applyBorder="1" applyAlignment="1">
      <alignment horizontal="right"/>
    </xf>
    <xf numFmtId="44" fontId="12" fillId="3" borderId="16" xfId="0" applyNumberFormat="1" applyFont="1" applyFill="1" applyBorder="1" applyAlignment="1">
      <alignment horizontal="right"/>
    </xf>
    <xf numFmtId="49" fontId="9" fillId="0" borderId="16" xfId="0" applyNumberFormat="1" applyFont="1" applyBorder="1" applyAlignment="1">
      <alignment horizontal="right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theme" Target="theme/theme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8" Type="http://schemas.openxmlformats.org/officeDocument/2006/relationships/worksheet" Target="worksheets/sheet8.xml"/><Relationship Id="rId51" Type="http://schemas.openxmlformats.org/officeDocument/2006/relationships/styles" Target="style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BDCF182-B056-433E-9699-A947CA18FC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A2988FA-1846-4B4E-89F3-861534A46E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1BE2227-E914-4014-BADD-DFE7C8C16F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BA90CF2-FC10-4F5A-8640-E531FB2DC3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7454F9A-C6C8-4986-BBC3-126FFE3201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130CAA5-10D3-492D-A947-094FED72F8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483A810-AD30-4021-9FC0-EAADB51564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F7DDB22-041D-4AB3-A35E-5DC1ED4920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5DD512E-A587-44CB-8027-9DD24AF7CB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72AE930-848F-40C2-B71F-DD9465B25D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C0A1FB1-5720-4CEE-87BC-80878C5C8E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5F8DC10-F125-41A7-B1CE-DBDC505CA6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6D74EE4-ABD6-437C-97CD-65E64AC773B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1D4CE0C-44A4-466C-9D45-3BD0C27205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709CD6F-5E27-4D5E-AC37-1EEA9CEF89D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45ED97C-E41F-4A5A-BA37-F5D565BAB5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5FE5394-6D87-4905-A9EB-BFBFE3D68E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62C7CE7-B386-4CB4-A1CB-B1171AC881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3716825-A574-4D7E-99BF-1C57B16267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4ED990E-557B-4BF5-A536-232AC69A5F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5B3DD6D-AF2B-401C-9875-734B2F654B7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11DAB7C-F2A1-4694-8FA3-14E9EB0E0E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12B7494-5C78-476E-9029-C76F3418D2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2E6B3E6-CB02-47F9-8E0B-25230D0B03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0AD28F6-BC20-4C86-BDBC-0E336E4696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C4ABAC8-6C8F-492E-AE9B-D43C9070DD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38DE3A1-F3DD-46B2-A5A2-D89B2C57FB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3B09B3D-DCF3-4261-8433-EE6B23CD4C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2CF0777-9F1C-423B-8E86-BC04E5F119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C9806D9-60C2-4214-B2B4-8285A0FE00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D97D1F1-3478-4E1D-A24D-B51DB3161C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5F417CE-5CE6-42AF-A494-FBC30D90C3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C7BF91B-E38F-43B5-B447-6D90A656D8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8C174FB-EE7A-4879-BDEA-D2607E0330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4A3D85E-55FB-4DB2-8376-2561ED3040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6B9661C-2BC5-44A7-9D82-2443A579C9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53D1798-5809-4513-810B-010AE65997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98120D3-91F2-446D-A6AB-FB950F7205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AA594DA-7C4C-4C19-9CC6-1466403382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43873CE-3FD5-4B99-A445-79F77A7648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1AFAC1F-C015-432C-947E-5DF5EBD80C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0C0BB47-287D-4709-910C-D2BB469528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2CA383B-0A5A-44D6-99C3-0CB70DFCC7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58CD908-E5B4-4668-A210-8818823698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C257415-E017-475C-A12A-96151594C9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24F9DD3-4E98-4D93-AA00-F405F62529E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BB5BA2B-D119-4A1C-BCD1-6B71395E81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26AD487-2B8F-4B11-ADA5-9DD49A3B39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4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I4" sqref="I4:J5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9CC33A-3394-4189-86DC-5D3AEFBB4E4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0" t="s">
        <v>1</v>
      </c>
      <c r="O1" s="210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1" t="s">
        <v>7</v>
      </c>
      <c r="B4" s="162"/>
      <c r="C4" s="162"/>
      <c r="D4" s="163"/>
      <c r="F4" s="211" t="s">
        <v>8</v>
      </c>
      <c r="G4" s="213"/>
      <c r="H4" s="215" t="s">
        <v>9</v>
      </c>
      <c r="I4" s="217"/>
      <c r="J4" s="21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5" t="s">
        <v>7</v>
      </c>
      <c r="B5" s="15" t="s">
        <v>11</v>
      </c>
      <c r="C5" s="9" t="s">
        <v>12</v>
      </c>
      <c r="D5" s="25" t="s">
        <v>13</v>
      </c>
      <c r="F5" s="212"/>
      <c r="G5" s="214"/>
      <c r="H5" s="216"/>
      <c r="I5" s="219"/>
      <c r="J5" s="22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6"/>
      <c r="B6" s="16"/>
      <c r="C6" s="10"/>
      <c r="D6" s="13">
        <f t="shared" ref="D6:D28" si="1">C6*L6</f>
        <v>0</v>
      </c>
      <c r="F6" s="221" t="s">
        <v>16</v>
      </c>
      <c r="G6" s="223"/>
      <c r="H6" s="224"/>
      <c r="I6" s="224"/>
      <c r="J6" s="22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6"/>
      <c r="B7" s="16"/>
      <c r="C7" s="10"/>
      <c r="D7" s="13">
        <f t="shared" si="1"/>
        <v>0</v>
      </c>
      <c r="F7" s="222"/>
      <c r="G7" s="226"/>
      <c r="H7" s="227"/>
      <c r="I7" s="227"/>
      <c r="J7" s="22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6"/>
      <c r="B8" s="16"/>
      <c r="C8" s="10"/>
      <c r="D8" s="13">
        <f t="shared" si="1"/>
        <v>0</v>
      </c>
      <c r="F8" s="229" t="s">
        <v>21</v>
      </c>
      <c r="G8" s="230"/>
      <c r="H8" s="231"/>
      <c r="I8" s="231"/>
      <c r="J8" s="23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6"/>
      <c r="B9" s="16"/>
      <c r="C9" s="10"/>
      <c r="D9" s="13">
        <f t="shared" si="1"/>
        <v>0</v>
      </c>
      <c r="F9" s="222"/>
      <c r="G9" s="233"/>
      <c r="H9" s="234"/>
      <c r="I9" s="234"/>
      <c r="J9" s="23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6"/>
      <c r="C10" s="10"/>
      <c r="D10" s="13">
        <f t="shared" si="1"/>
        <v>0</v>
      </c>
      <c r="F10" s="221" t="s">
        <v>26</v>
      </c>
      <c r="G10" s="236"/>
      <c r="H10" s="237"/>
      <c r="I10" s="237"/>
      <c r="J10" s="238"/>
      <c r="K10" s="8"/>
      <c r="L10" s="6">
        <f>R36</f>
        <v>972</v>
      </c>
      <c r="P10" s="4"/>
      <c r="Q10" s="4"/>
      <c r="R10" s="5"/>
    </row>
    <row r="11" spans="1:19" ht="15.75" x14ac:dyDescent="0.25">
      <c r="A11" s="156"/>
      <c r="B11" s="17"/>
      <c r="C11" s="10"/>
      <c r="D11" s="13">
        <f t="shared" si="1"/>
        <v>0</v>
      </c>
      <c r="F11" s="222"/>
      <c r="G11" s="233"/>
      <c r="H11" s="234"/>
      <c r="I11" s="234"/>
      <c r="J11" s="23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6"/>
      <c r="B12" s="17"/>
      <c r="C12" s="10"/>
      <c r="D12" s="48">
        <f t="shared" si="1"/>
        <v>0</v>
      </c>
      <c r="F12" s="239" t="s">
        <v>33</v>
      </c>
      <c r="G12" s="240"/>
      <c r="H12" s="240"/>
      <c r="I12" s="240"/>
      <c r="J12" s="24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6"/>
      <c r="B13" s="17"/>
      <c r="C13" s="10"/>
      <c r="D13" s="48">
        <f t="shared" si="1"/>
        <v>0</v>
      </c>
      <c r="F13" s="242" t="s">
        <v>36</v>
      </c>
      <c r="G13" s="206"/>
      <c r="H13" s="197">
        <f>D29</f>
        <v>0</v>
      </c>
      <c r="I13" s="198"/>
      <c r="J13" s="19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6"/>
      <c r="B14" s="14"/>
      <c r="C14" s="10"/>
      <c r="D14" s="31">
        <f t="shared" si="1"/>
        <v>0</v>
      </c>
      <c r="F14" s="200" t="s">
        <v>38</v>
      </c>
      <c r="G14" s="201"/>
      <c r="H14" s="202">
        <f>D54</f>
        <v>0</v>
      </c>
      <c r="I14" s="203"/>
      <c r="J14" s="20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6"/>
      <c r="B15" s="14"/>
      <c r="C15" s="10"/>
      <c r="D15" s="31">
        <f t="shared" si="1"/>
        <v>0</v>
      </c>
      <c r="F15" s="205" t="s">
        <v>39</v>
      </c>
      <c r="G15" s="206"/>
      <c r="H15" s="207">
        <f>H13-H14</f>
        <v>0</v>
      </c>
      <c r="I15" s="208"/>
      <c r="J15" s="20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6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7"/>
      <c r="I16" s="167"/>
      <c r="J16" s="16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6"/>
      <c r="C17" s="10"/>
      <c r="D17" s="48">
        <f t="shared" si="1"/>
        <v>0</v>
      </c>
      <c r="F17" s="56"/>
      <c r="G17" s="66" t="s">
        <v>44</v>
      </c>
      <c r="H17" s="178"/>
      <c r="I17" s="178"/>
      <c r="J17" s="17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6"/>
      <c r="B18" s="19"/>
      <c r="C18" s="10"/>
      <c r="D18" s="48">
        <f t="shared" si="1"/>
        <v>0</v>
      </c>
      <c r="F18" s="56"/>
      <c r="G18" s="66" t="s">
        <v>46</v>
      </c>
      <c r="H18" s="178"/>
      <c r="I18" s="178"/>
      <c r="J18" s="17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6"/>
      <c r="B19" s="14"/>
      <c r="C19" s="10"/>
      <c r="D19" s="48">
        <f t="shared" si="1"/>
        <v>0</v>
      </c>
      <c r="F19" s="56"/>
      <c r="G19" s="68" t="s">
        <v>49</v>
      </c>
      <c r="H19" s="179"/>
      <c r="I19" s="179"/>
      <c r="J19" s="17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6"/>
      <c r="B20" s="46"/>
      <c r="C20" s="10"/>
      <c r="D20" s="13">
        <f t="shared" si="1"/>
        <v>0</v>
      </c>
      <c r="F20" s="57"/>
      <c r="G20" s="70" t="s">
        <v>102</v>
      </c>
      <c r="H20" s="167"/>
      <c r="I20" s="167"/>
      <c r="J20" s="167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6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80" t="s">
        <v>13</v>
      </c>
      <c r="I21" s="181"/>
      <c r="J21" s="182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6"/>
      <c r="B22" s="46"/>
      <c r="C22" s="10"/>
      <c r="D22" s="48">
        <f t="shared" si="1"/>
        <v>0</v>
      </c>
      <c r="F22" s="77"/>
      <c r="G22" s="73"/>
      <c r="H22" s="183"/>
      <c r="I22" s="183"/>
      <c r="J22" s="183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6"/>
      <c r="B23" s="14"/>
      <c r="C23" s="10"/>
      <c r="D23" s="48">
        <f t="shared" si="1"/>
        <v>0</v>
      </c>
      <c r="F23" s="78"/>
      <c r="G23" s="79"/>
      <c r="H23" s="184"/>
      <c r="I23" s="153"/>
      <c r="J23" s="153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6"/>
      <c r="B24" s="14"/>
      <c r="C24" s="10"/>
      <c r="D24" s="48">
        <f t="shared" si="1"/>
        <v>0</v>
      </c>
      <c r="F24" s="38"/>
      <c r="G24" s="37"/>
      <c r="H24" s="184"/>
      <c r="I24" s="153"/>
      <c r="J24" s="153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6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5" t="s">
        <v>13</v>
      </c>
      <c r="I25" s="186"/>
      <c r="J25" s="187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6"/>
      <c r="B26" s="14"/>
      <c r="C26" s="10"/>
      <c r="D26" s="48">
        <f t="shared" si="1"/>
        <v>0</v>
      </c>
      <c r="F26" s="64"/>
      <c r="G26" s="59"/>
      <c r="H26" s="188"/>
      <c r="I26" s="189"/>
      <c r="J26" s="190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6"/>
      <c r="B27" s="14"/>
      <c r="C27" s="10"/>
      <c r="D27" s="44">
        <f t="shared" si="1"/>
        <v>0</v>
      </c>
      <c r="F27" s="25"/>
      <c r="G27" s="80"/>
      <c r="H27" s="191"/>
      <c r="I27" s="192"/>
      <c r="J27" s="193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7"/>
      <c r="B28" s="46"/>
      <c r="C28" s="10"/>
      <c r="D28" s="48">
        <f t="shared" si="1"/>
        <v>0</v>
      </c>
      <c r="F28" s="91"/>
      <c r="G28" s="61"/>
      <c r="H28" s="194"/>
      <c r="I28" s="195"/>
      <c r="J28" s="196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8" t="s">
        <v>36</v>
      </c>
      <c r="B29" s="169"/>
      <c r="C29" s="170"/>
      <c r="D29" s="174">
        <f>SUM(D6:D28)</f>
        <v>0</v>
      </c>
      <c r="F29" s="114" t="s">
        <v>54</v>
      </c>
      <c r="G29" s="176"/>
      <c r="H29" s="136">
        <f>H15-H16-H17-H18-H19-H20-H22-H23-H24+H26+H27</f>
        <v>0</v>
      </c>
      <c r="I29" s="137"/>
      <c r="J29" s="13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1"/>
      <c r="B30" s="172"/>
      <c r="C30" s="173"/>
      <c r="D30" s="175"/>
      <c r="F30" s="117"/>
      <c r="G30" s="177"/>
      <c r="H30" s="139"/>
      <c r="I30" s="140"/>
      <c r="J30" s="14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1" t="s">
        <v>57</v>
      </c>
      <c r="B32" s="162"/>
      <c r="C32" s="162"/>
      <c r="D32" s="163"/>
      <c r="F32" s="164" t="s">
        <v>58</v>
      </c>
      <c r="G32" s="165"/>
      <c r="H32" s="165"/>
      <c r="I32" s="165"/>
      <c r="J32" s="166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64" t="s">
        <v>13</v>
      </c>
      <c r="I33" s="165"/>
      <c r="J33" s="16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5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58"/>
      <c r="I34" s="159"/>
      <c r="J34" s="160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6"/>
      <c r="B35" s="27" t="s">
        <v>67</v>
      </c>
      <c r="C35" s="52"/>
      <c r="D35" s="30">
        <f>C35*84</f>
        <v>0</v>
      </c>
      <c r="F35" s="58">
        <v>500</v>
      </c>
      <c r="G35" s="41"/>
      <c r="H35" s="158"/>
      <c r="I35" s="159"/>
      <c r="J35" s="16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7"/>
      <c r="B36" s="26" t="s">
        <v>69</v>
      </c>
      <c r="C36" s="10"/>
      <c r="D36" s="12">
        <f>C36*1.5</f>
        <v>0</v>
      </c>
      <c r="F36" s="12">
        <v>200</v>
      </c>
      <c r="G36" s="37"/>
      <c r="H36" s="158"/>
      <c r="I36" s="159"/>
      <c r="J36" s="160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8"/>
      <c r="I37" s="159"/>
      <c r="J37" s="160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6"/>
      <c r="B38" s="29" t="s">
        <v>67</v>
      </c>
      <c r="C38" s="54"/>
      <c r="D38" s="12">
        <f>C38*84</f>
        <v>0</v>
      </c>
      <c r="F38" s="30">
        <v>50</v>
      </c>
      <c r="G38" s="39"/>
      <c r="H38" s="158"/>
      <c r="I38" s="159"/>
      <c r="J38" s="160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7"/>
      <c r="B39" s="29" t="s">
        <v>69</v>
      </c>
      <c r="C39" s="52"/>
      <c r="D39" s="31">
        <f>C39*4.5</f>
        <v>0</v>
      </c>
      <c r="F39" s="12">
        <v>20</v>
      </c>
      <c r="G39" s="37"/>
      <c r="H39" s="158"/>
      <c r="I39" s="159"/>
      <c r="J39" s="16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8"/>
      <c r="I40" s="159"/>
      <c r="J40" s="160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6"/>
      <c r="B41" s="27" t="s">
        <v>67</v>
      </c>
      <c r="C41" s="10"/>
      <c r="D41" s="12">
        <f>C41*84</f>
        <v>0</v>
      </c>
      <c r="F41" s="12">
        <v>5</v>
      </c>
      <c r="G41" s="42"/>
      <c r="H41" s="158"/>
      <c r="I41" s="159"/>
      <c r="J41" s="160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7"/>
      <c r="B42" s="27" t="s">
        <v>69</v>
      </c>
      <c r="C42" s="11"/>
      <c r="D42" s="12">
        <f>C42*2.25</f>
        <v>0</v>
      </c>
      <c r="F42" s="39" t="s">
        <v>78</v>
      </c>
      <c r="G42" s="158"/>
      <c r="H42" s="159"/>
      <c r="I42" s="159"/>
      <c r="J42" s="160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8" t="s">
        <v>80</v>
      </c>
      <c r="C43" s="11"/>
      <c r="D43" s="12"/>
      <c r="F43" s="59" t="s">
        <v>81</v>
      </c>
      <c r="G43" s="88" t="s">
        <v>82</v>
      </c>
      <c r="H43" s="150" t="s">
        <v>13</v>
      </c>
      <c r="I43" s="151"/>
      <c r="J43" s="152"/>
      <c r="K43" s="21"/>
      <c r="P43" s="4"/>
      <c r="Q43" s="4"/>
      <c r="R43" s="5"/>
    </row>
    <row r="44" spans="1:18" ht="15.75" x14ac:dyDescent="0.25">
      <c r="A44" s="129"/>
      <c r="B44" s="27" t="s">
        <v>65</v>
      </c>
      <c r="C44" s="10"/>
      <c r="D44" s="12">
        <f>C44*120</f>
        <v>0</v>
      </c>
      <c r="F44" s="37"/>
      <c r="G44" s="76"/>
      <c r="H44" s="153"/>
      <c r="I44" s="153"/>
      <c r="J44" s="153"/>
      <c r="K44" s="21"/>
      <c r="P44" s="4"/>
      <c r="Q44" s="4"/>
      <c r="R44" s="5"/>
    </row>
    <row r="45" spans="1:18" ht="15.75" x14ac:dyDescent="0.25">
      <c r="A45" s="129"/>
      <c r="B45" s="27" t="s">
        <v>67</v>
      </c>
      <c r="C45" s="33"/>
      <c r="D45" s="12">
        <f>C45*84</f>
        <v>0</v>
      </c>
      <c r="F45" s="37"/>
      <c r="G45" s="76"/>
      <c r="H45" s="153"/>
      <c r="I45" s="153"/>
      <c r="J45" s="153"/>
      <c r="K45" s="21"/>
      <c r="P45" s="4"/>
      <c r="Q45" s="4"/>
      <c r="R45" s="5"/>
    </row>
    <row r="46" spans="1:18" ht="15.75" x14ac:dyDescent="0.25">
      <c r="A46" s="129"/>
      <c r="B46" s="49" t="s">
        <v>69</v>
      </c>
      <c r="C46" s="81"/>
      <c r="D46" s="12">
        <f>C46*1.5</f>
        <v>0</v>
      </c>
      <c r="F46" s="37"/>
      <c r="G46" s="62"/>
      <c r="H46" s="154"/>
      <c r="I46" s="154"/>
      <c r="J46" s="154"/>
      <c r="K46" s="21"/>
      <c r="P46" s="4"/>
      <c r="Q46" s="4"/>
      <c r="R46" s="5"/>
    </row>
    <row r="47" spans="1:18" ht="15.75" x14ac:dyDescent="0.25">
      <c r="A47" s="130"/>
      <c r="B47" s="27"/>
      <c r="C47" s="11"/>
      <c r="D47" s="12"/>
      <c r="F47" s="59"/>
      <c r="G47" s="59"/>
      <c r="H47" s="131"/>
      <c r="I47" s="132"/>
      <c r="J47" s="133"/>
      <c r="K47" s="21"/>
      <c r="P47" s="4"/>
      <c r="Q47" s="4"/>
      <c r="R47" s="5"/>
    </row>
    <row r="48" spans="1:18" ht="15" customHeight="1" x14ac:dyDescent="0.25">
      <c r="A48" s="128" t="s">
        <v>32</v>
      </c>
      <c r="B48" s="27" t="s">
        <v>65</v>
      </c>
      <c r="C48" s="10"/>
      <c r="D48" s="12">
        <f>C48*78</f>
        <v>0</v>
      </c>
      <c r="F48" s="59"/>
      <c r="G48" s="59"/>
      <c r="H48" s="131"/>
      <c r="I48" s="132"/>
      <c r="J48" s="13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9"/>
      <c r="B49" s="29" t="s">
        <v>67</v>
      </c>
      <c r="C49" s="33"/>
      <c r="D49" s="12">
        <f>C49*42</f>
        <v>0</v>
      </c>
      <c r="F49" s="134" t="s">
        <v>85</v>
      </c>
      <c r="G49" s="136">
        <f>H34+H35+H36+H37+H38+H39+H40+H41+G42+H44+H45+H46</f>
        <v>0</v>
      </c>
      <c r="H49" s="137"/>
      <c r="I49" s="137"/>
      <c r="J49" s="13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9"/>
      <c r="B50" s="32" t="s">
        <v>69</v>
      </c>
      <c r="C50" s="11"/>
      <c r="D50" s="12">
        <f>C50*1.5</f>
        <v>0</v>
      </c>
      <c r="F50" s="135"/>
      <c r="G50" s="139"/>
      <c r="H50" s="140"/>
      <c r="I50" s="140"/>
      <c r="J50" s="141"/>
      <c r="P50" s="4"/>
      <c r="Q50" s="4"/>
      <c r="R50" s="5"/>
    </row>
    <row r="51" spans="1:18" ht="15" customHeight="1" x14ac:dyDescent="0.25">
      <c r="A51" s="129"/>
      <c r="B51" s="27"/>
      <c r="C51" s="10"/>
      <c r="D51" s="31"/>
      <c r="F51" s="142" t="s">
        <v>106</v>
      </c>
      <c r="G51" s="144">
        <f>G49-H29</f>
        <v>0</v>
      </c>
      <c r="H51" s="145"/>
      <c r="I51" s="145"/>
      <c r="J51" s="146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9"/>
      <c r="B52" s="29"/>
      <c r="C52" s="33"/>
      <c r="D52" s="45"/>
      <c r="F52" s="143"/>
      <c r="G52" s="147"/>
      <c r="H52" s="148"/>
      <c r="I52" s="148"/>
      <c r="J52" s="14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4" t="s">
        <v>89</v>
      </c>
      <c r="B54" s="115"/>
      <c r="C54" s="116"/>
      <c r="D54" s="120">
        <f>SUM(D34:D53)</f>
        <v>0</v>
      </c>
      <c r="F54" s="21"/>
      <c r="J54" s="34"/>
    </row>
    <row r="55" spans="1:18" x14ac:dyDescent="0.25">
      <c r="A55" s="117"/>
      <c r="B55" s="118"/>
      <c r="C55" s="119"/>
      <c r="D55" s="1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2" t="s">
        <v>90</v>
      </c>
      <c r="B58" s="123"/>
      <c r="C58" s="123"/>
      <c r="D58" s="124"/>
      <c r="F58" s="122" t="s">
        <v>91</v>
      </c>
      <c r="G58" s="123"/>
      <c r="H58" s="123"/>
      <c r="I58" s="123"/>
      <c r="J58" s="124"/>
    </row>
    <row r="59" spans="1:18" x14ac:dyDescent="0.25">
      <c r="A59" s="125"/>
      <c r="B59" s="126"/>
      <c r="C59" s="126"/>
      <c r="D59" s="127"/>
      <c r="F59" s="125"/>
      <c r="G59" s="126"/>
      <c r="H59" s="126"/>
      <c r="I59" s="126"/>
      <c r="J59" s="12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93C395-3269-4908-B3E7-2B57213355C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0" t="s">
        <v>1</v>
      </c>
      <c r="O1" s="210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1" t="s">
        <v>7</v>
      </c>
      <c r="B4" s="162"/>
      <c r="C4" s="162"/>
      <c r="D4" s="163"/>
      <c r="F4" s="211" t="s">
        <v>8</v>
      </c>
      <c r="G4" s="213">
        <v>1</v>
      </c>
      <c r="H4" s="215" t="s">
        <v>9</v>
      </c>
      <c r="I4" s="217">
        <v>46143</v>
      </c>
      <c r="J4" s="21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5" t="s">
        <v>7</v>
      </c>
      <c r="B5" s="15" t="s">
        <v>11</v>
      </c>
      <c r="C5" s="9" t="s">
        <v>12</v>
      </c>
      <c r="D5" s="25" t="s">
        <v>13</v>
      </c>
      <c r="F5" s="212"/>
      <c r="G5" s="214"/>
      <c r="H5" s="216"/>
      <c r="I5" s="219"/>
      <c r="J5" s="22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6"/>
      <c r="B6" s="16" t="s">
        <v>15</v>
      </c>
      <c r="C6" s="10">
        <v>704</v>
      </c>
      <c r="D6" s="13">
        <f t="shared" ref="D6:D28" si="1">C6*L6</f>
        <v>535744</v>
      </c>
      <c r="F6" s="221" t="s">
        <v>16</v>
      </c>
      <c r="G6" s="223" t="s">
        <v>99</v>
      </c>
      <c r="H6" s="224"/>
      <c r="I6" s="224"/>
      <c r="J6" s="22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6"/>
      <c r="B7" s="16" t="s">
        <v>18</v>
      </c>
      <c r="C7" s="10"/>
      <c r="D7" s="13">
        <f t="shared" si="1"/>
        <v>0</v>
      </c>
      <c r="F7" s="222"/>
      <c r="G7" s="226"/>
      <c r="H7" s="227"/>
      <c r="I7" s="227"/>
      <c r="J7" s="22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6"/>
      <c r="B8" s="16" t="s">
        <v>20</v>
      </c>
      <c r="C8" s="10"/>
      <c r="D8" s="13">
        <f t="shared" si="1"/>
        <v>0</v>
      </c>
      <c r="F8" s="229" t="s">
        <v>21</v>
      </c>
      <c r="G8" s="230" t="s">
        <v>120</v>
      </c>
      <c r="H8" s="231"/>
      <c r="I8" s="231"/>
      <c r="J8" s="23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6"/>
      <c r="B9" s="16" t="s">
        <v>23</v>
      </c>
      <c r="C9" s="10">
        <v>3</v>
      </c>
      <c r="D9" s="13">
        <f t="shared" si="1"/>
        <v>2199</v>
      </c>
      <c r="F9" s="222"/>
      <c r="G9" s="233"/>
      <c r="H9" s="234"/>
      <c r="I9" s="234"/>
      <c r="J9" s="23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6"/>
      <c r="B10" t="s">
        <v>25</v>
      </c>
      <c r="C10" s="10"/>
      <c r="D10" s="13">
        <f t="shared" si="1"/>
        <v>0</v>
      </c>
      <c r="F10" s="221" t="s">
        <v>26</v>
      </c>
      <c r="G10" s="236" t="s">
        <v>108</v>
      </c>
      <c r="H10" s="237"/>
      <c r="I10" s="237"/>
      <c r="J10" s="238"/>
      <c r="K10" s="8"/>
      <c r="L10" s="6">
        <f>R36</f>
        <v>1032</v>
      </c>
      <c r="P10" s="4"/>
      <c r="Q10" s="4"/>
      <c r="R10" s="5"/>
    </row>
    <row r="11" spans="1:18" ht="15.75" x14ac:dyDescent="0.25">
      <c r="A11" s="156"/>
      <c r="B11" s="17" t="s">
        <v>28</v>
      </c>
      <c r="C11" s="10"/>
      <c r="D11" s="13">
        <f t="shared" si="1"/>
        <v>0</v>
      </c>
      <c r="F11" s="222"/>
      <c r="G11" s="233"/>
      <c r="H11" s="234"/>
      <c r="I11" s="234"/>
      <c r="J11" s="23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6"/>
      <c r="B12" s="17" t="s">
        <v>30</v>
      </c>
      <c r="C12" s="10"/>
      <c r="D12" s="48">
        <f t="shared" si="1"/>
        <v>0</v>
      </c>
      <c r="F12" s="239" t="s">
        <v>33</v>
      </c>
      <c r="G12" s="240"/>
      <c r="H12" s="240"/>
      <c r="I12" s="240"/>
      <c r="J12" s="24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6"/>
      <c r="B13" s="17" t="s">
        <v>32</v>
      </c>
      <c r="C13" s="10">
        <v>25</v>
      </c>
      <c r="D13" s="48">
        <f t="shared" si="1"/>
        <v>7675</v>
      </c>
      <c r="F13" s="242" t="s">
        <v>36</v>
      </c>
      <c r="G13" s="206"/>
      <c r="H13" s="197">
        <f>D29</f>
        <v>545651</v>
      </c>
      <c r="I13" s="198"/>
      <c r="J13" s="19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6"/>
      <c r="B14" s="14" t="s">
        <v>35</v>
      </c>
      <c r="C14" s="10">
        <v>3</v>
      </c>
      <c r="D14" s="31">
        <f t="shared" si="1"/>
        <v>33</v>
      </c>
      <c r="F14" s="200" t="s">
        <v>38</v>
      </c>
      <c r="G14" s="201"/>
      <c r="H14" s="202">
        <f>D54</f>
        <v>100678.5</v>
      </c>
      <c r="I14" s="203"/>
      <c r="J14" s="20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6"/>
      <c r="B15" s="14" t="s">
        <v>122</v>
      </c>
      <c r="C15" s="10"/>
      <c r="D15" s="31">
        <f t="shared" si="1"/>
        <v>0</v>
      </c>
      <c r="F15" s="205" t="s">
        <v>39</v>
      </c>
      <c r="G15" s="206"/>
      <c r="H15" s="207">
        <f>H13-H14</f>
        <v>444972.5</v>
      </c>
      <c r="I15" s="208"/>
      <c r="J15" s="20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6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67">
        <v>3240</v>
      </c>
      <c r="I16" s="167"/>
      <c r="J16" s="16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6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78"/>
      <c r="I17" s="178"/>
      <c r="J17" s="17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6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78"/>
      <c r="I18" s="178"/>
      <c r="J18" s="17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6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67"/>
      <c r="I19" s="167"/>
      <c r="J19" s="16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6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67"/>
      <c r="I20" s="167"/>
      <c r="J20" s="16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6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0" t="s">
        <v>13</v>
      </c>
      <c r="I21" s="181"/>
      <c r="J21" s="18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6"/>
      <c r="B22" s="46" t="s">
        <v>103</v>
      </c>
      <c r="C22" s="10"/>
      <c r="D22" s="48">
        <f t="shared" si="1"/>
        <v>0</v>
      </c>
      <c r="F22" s="77"/>
      <c r="G22" s="73"/>
      <c r="H22" s="183"/>
      <c r="I22" s="183"/>
      <c r="J22" s="18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6"/>
      <c r="B23" s="14" t="s">
        <v>121</v>
      </c>
      <c r="C23" s="10"/>
      <c r="D23" s="48">
        <f t="shared" si="1"/>
        <v>0</v>
      </c>
      <c r="F23" s="77"/>
      <c r="G23" s="79"/>
      <c r="H23" s="251"/>
      <c r="I23" s="252"/>
      <c r="J23" s="25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6"/>
      <c r="B24" s="14" t="s">
        <v>128</v>
      </c>
      <c r="C24" s="10"/>
      <c r="D24" s="48">
        <f t="shared" si="1"/>
        <v>0</v>
      </c>
      <c r="F24" s="77"/>
      <c r="G24" s="79"/>
      <c r="H24" s="251"/>
      <c r="I24" s="252"/>
      <c r="J24" s="25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5" t="s">
        <v>13</v>
      </c>
      <c r="I25" s="186"/>
      <c r="J25" s="18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6"/>
      <c r="B26" s="14" t="s">
        <v>129</v>
      </c>
      <c r="C26" s="10"/>
      <c r="D26" s="48">
        <f t="shared" si="1"/>
        <v>0</v>
      </c>
      <c r="F26" s="75"/>
      <c r="G26" s="65"/>
      <c r="H26" s="153"/>
      <c r="I26" s="153"/>
      <c r="J26" s="15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6"/>
      <c r="B27" s="14" t="s">
        <v>130</v>
      </c>
      <c r="C27" s="10"/>
      <c r="D27" s="44">
        <f t="shared" si="1"/>
        <v>0</v>
      </c>
      <c r="F27" s="71"/>
      <c r="G27" s="88"/>
      <c r="H27" s="253"/>
      <c r="I27" s="254"/>
      <c r="J27" s="25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7"/>
      <c r="B28" s="46" t="s">
        <v>92</v>
      </c>
      <c r="C28" s="10"/>
      <c r="D28" s="48">
        <f t="shared" si="1"/>
        <v>0</v>
      </c>
      <c r="F28" s="91"/>
      <c r="G28" s="61"/>
      <c r="H28" s="194"/>
      <c r="I28" s="195"/>
      <c r="J28" s="19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8" t="s">
        <v>36</v>
      </c>
      <c r="B29" s="169"/>
      <c r="C29" s="170"/>
      <c r="D29" s="174">
        <f>SUM(D6:D28)</f>
        <v>545651</v>
      </c>
      <c r="F29" s="114" t="s">
        <v>54</v>
      </c>
      <c r="G29" s="176"/>
      <c r="H29" s="136">
        <f>H15-H16-H17-H18-H19-H20-H22-H23-H24+H26+H27+H28</f>
        <v>441732.5</v>
      </c>
      <c r="I29" s="137"/>
      <c r="J29" s="13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1"/>
      <c r="B30" s="172"/>
      <c r="C30" s="173"/>
      <c r="D30" s="175"/>
      <c r="F30" s="117"/>
      <c r="G30" s="177"/>
      <c r="H30" s="139"/>
      <c r="I30" s="140"/>
      <c r="J30" s="141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1" t="s">
        <v>57</v>
      </c>
      <c r="B32" s="162"/>
      <c r="C32" s="162"/>
      <c r="D32" s="163"/>
      <c r="F32" s="164" t="s">
        <v>58</v>
      </c>
      <c r="G32" s="165"/>
      <c r="H32" s="165"/>
      <c r="I32" s="165"/>
      <c r="J32" s="16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64" t="s">
        <v>13</v>
      </c>
      <c r="I33" s="165"/>
      <c r="J33" s="16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5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315</v>
      </c>
      <c r="H34" s="158">
        <f t="shared" ref="H34:H39" si="2">F34*G34</f>
        <v>315000</v>
      </c>
      <c r="I34" s="159"/>
      <c r="J34" s="16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6"/>
      <c r="B35" s="27" t="s">
        <v>67</v>
      </c>
      <c r="C35" s="52"/>
      <c r="D35" s="30">
        <f>C35*84</f>
        <v>0</v>
      </c>
      <c r="F35" s="58">
        <v>500</v>
      </c>
      <c r="G35" s="41">
        <v>252</v>
      </c>
      <c r="H35" s="158">
        <f t="shared" si="2"/>
        <v>126000</v>
      </c>
      <c r="I35" s="159"/>
      <c r="J35" s="16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7"/>
      <c r="B36" s="26" t="s">
        <v>69</v>
      </c>
      <c r="C36" s="10"/>
      <c r="D36" s="12">
        <f>C36*1.5</f>
        <v>0</v>
      </c>
      <c r="F36" s="12">
        <v>200</v>
      </c>
      <c r="G36" s="37"/>
      <c r="H36" s="158">
        <f t="shared" si="2"/>
        <v>0</v>
      </c>
      <c r="I36" s="159"/>
      <c r="J36" s="16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5" t="s">
        <v>71</v>
      </c>
      <c r="B37" s="28" t="s">
        <v>65</v>
      </c>
      <c r="C37" s="53">
        <v>890</v>
      </c>
      <c r="D37" s="12">
        <f>C37*111</f>
        <v>98790</v>
      </c>
      <c r="F37" s="12">
        <v>100</v>
      </c>
      <c r="G37" s="39">
        <v>5</v>
      </c>
      <c r="H37" s="158">
        <f t="shared" si="2"/>
        <v>500</v>
      </c>
      <c r="I37" s="159"/>
      <c r="J37" s="16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6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3</v>
      </c>
      <c r="H38" s="158">
        <f t="shared" si="2"/>
        <v>150</v>
      </c>
      <c r="I38" s="159"/>
      <c r="J38" s="16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7"/>
      <c r="B39" s="29" t="s">
        <v>69</v>
      </c>
      <c r="C39" s="52">
        <v>5</v>
      </c>
      <c r="D39" s="31">
        <f>C39*4.5</f>
        <v>22.5</v>
      </c>
      <c r="F39" s="12">
        <v>20</v>
      </c>
      <c r="G39" s="37">
        <v>1</v>
      </c>
      <c r="H39" s="158">
        <f t="shared" si="2"/>
        <v>20</v>
      </c>
      <c r="I39" s="159"/>
      <c r="J39" s="16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5" t="s">
        <v>75</v>
      </c>
      <c r="B40" s="27" t="s">
        <v>65</v>
      </c>
      <c r="C40" s="63">
        <v>1</v>
      </c>
      <c r="D40" s="12">
        <f>C40*111</f>
        <v>111</v>
      </c>
      <c r="F40" s="12">
        <v>10</v>
      </c>
      <c r="G40" s="42"/>
      <c r="H40" s="158"/>
      <c r="I40" s="159"/>
      <c r="J40" s="16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6"/>
      <c r="B41" s="27" t="s">
        <v>67</v>
      </c>
      <c r="C41" s="10"/>
      <c r="D41" s="12">
        <f>C41*84</f>
        <v>0</v>
      </c>
      <c r="F41" s="12">
        <v>5</v>
      </c>
      <c r="G41" s="42"/>
      <c r="H41" s="158"/>
      <c r="I41" s="159"/>
      <c r="J41" s="16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7"/>
      <c r="B42" s="27" t="s">
        <v>69</v>
      </c>
      <c r="C42" s="11"/>
      <c r="D42" s="12">
        <f>C42*2.25</f>
        <v>0</v>
      </c>
      <c r="F42" s="39" t="s">
        <v>78</v>
      </c>
      <c r="G42" s="158">
        <v>86</v>
      </c>
      <c r="H42" s="159"/>
      <c r="I42" s="159"/>
      <c r="J42" s="16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8" t="s">
        <v>80</v>
      </c>
      <c r="C43" s="11"/>
      <c r="D43" s="12"/>
      <c r="F43" s="59" t="s">
        <v>81</v>
      </c>
      <c r="G43" s="88" t="s">
        <v>82</v>
      </c>
      <c r="H43" s="150" t="s">
        <v>13</v>
      </c>
      <c r="I43" s="151"/>
      <c r="J43" s="15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9"/>
      <c r="B44" s="27" t="s">
        <v>65</v>
      </c>
      <c r="C44" s="10"/>
      <c r="D44" s="12">
        <f>C44*120</f>
        <v>0</v>
      </c>
      <c r="F44" s="37"/>
      <c r="G44" s="62"/>
      <c r="H44" s="153"/>
      <c r="I44" s="153"/>
      <c r="J44" s="15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9"/>
      <c r="B45" s="27" t="s">
        <v>67</v>
      </c>
      <c r="C45" s="33"/>
      <c r="D45" s="12">
        <f>C45*84</f>
        <v>0</v>
      </c>
      <c r="F45" s="37"/>
      <c r="G45" s="62"/>
      <c r="H45" s="153"/>
      <c r="I45" s="153"/>
      <c r="J45" s="153"/>
      <c r="K45" s="21"/>
      <c r="P45" s="4"/>
      <c r="Q45" s="4"/>
      <c r="R45" s="5"/>
    </row>
    <row r="46" spans="1:18" ht="15.75" x14ac:dyDescent="0.25">
      <c r="A46" s="129"/>
      <c r="B46" s="49" t="s">
        <v>69</v>
      </c>
      <c r="C46" s="81">
        <v>4</v>
      </c>
      <c r="D46" s="12">
        <f>C46*1.5</f>
        <v>6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30"/>
      <c r="B47" s="27"/>
      <c r="C47" s="11"/>
      <c r="D47" s="12"/>
      <c r="F47" s="59"/>
      <c r="G47" s="59"/>
      <c r="H47" s="131"/>
      <c r="I47" s="132"/>
      <c r="J47" s="133"/>
      <c r="K47" s="21"/>
      <c r="P47" s="4"/>
      <c r="Q47" s="4"/>
      <c r="R47" s="5"/>
    </row>
    <row r="48" spans="1:18" ht="15" customHeight="1" x14ac:dyDescent="0.25">
      <c r="A48" s="128" t="s">
        <v>32</v>
      </c>
      <c r="B48" s="27" t="s">
        <v>65</v>
      </c>
      <c r="C48" s="10">
        <v>15</v>
      </c>
      <c r="D48" s="12">
        <f>C48*78</f>
        <v>1170</v>
      </c>
      <c r="F48" s="59"/>
      <c r="G48" s="59"/>
      <c r="H48" s="131"/>
      <c r="I48" s="132"/>
      <c r="J48" s="13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9"/>
      <c r="B49" s="29" t="s">
        <v>67</v>
      </c>
      <c r="C49" s="33">
        <v>11</v>
      </c>
      <c r="D49" s="12">
        <f>C49*42</f>
        <v>462</v>
      </c>
      <c r="F49" s="134" t="s">
        <v>85</v>
      </c>
      <c r="G49" s="136">
        <f>H34+H35+H36+H37+H38+H39+H40+H41+G42+H44+H45+H46</f>
        <v>441756</v>
      </c>
      <c r="H49" s="137"/>
      <c r="I49" s="137"/>
      <c r="J49" s="13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9"/>
      <c r="B50" s="32" t="s">
        <v>69</v>
      </c>
      <c r="C50" s="11">
        <v>22</v>
      </c>
      <c r="D50" s="12">
        <f>C50*1.5</f>
        <v>33</v>
      </c>
      <c r="F50" s="135"/>
      <c r="G50" s="139"/>
      <c r="H50" s="140"/>
      <c r="I50" s="140"/>
      <c r="J50" s="141"/>
      <c r="O50" t="s">
        <v>114</v>
      </c>
      <c r="P50" s="4">
        <v>1204</v>
      </c>
      <c r="Q50" s="4"/>
      <c r="R50" s="5"/>
    </row>
    <row r="51" spans="1:18" ht="15" customHeight="1" x14ac:dyDescent="0.25">
      <c r="A51" s="129"/>
      <c r="B51" s="27"/>
      <c r="C51" s="10"/>
      <c r="D51" s="31"/>
      <c r="F51" s="243" t="s">
        <v>135</v>
      </c>
      <c r="G51" s="245">
        <f>G49-H29</f>
        <v>23.5</v>
      </c>
      <c r="H51" s="246"/>
      <c r="I51" s="246"/>
      <c r="J51" s="24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9"/>
      <c r="B52" s="29"/>
      <c r="C52" s="33"/>
      <c r="D52" s="45"/>
      <c r="F52" s="244"/>
      <c r="G52" s="248"/>
      <c r="H52" s="249"/>
      <c r="I52" s="249"/>
      <c r="J52" s="25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4" t="s">
        <v>89</v>
      </c>
      <c r="B54" s="115"/>
      <c r="C54" s="116"/>
      <c r="D54" s="120">
        <f>SUM(D34:D53)</f>
        <v>100678.5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7"/>
      <c r="B55" s="118"/>
      <c r="C55" s="119"/>
      <c r="D55" s="1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22" t="s">
        <v>90</v>
      </c>
      <c r="B58" s="123"/>
      <c r="C58" s="123"/>
      <c r="D58" s="124"/>
      <c r="F58" s="122" t="s">
        <v>91</v>
      </c>
      <c r="G58" s="123"/>
      <c r="H58" s="123"/>
      <c r="I58" s="123"/>
      <c r="J58" s="124"/>
    </row>
    <row r="59" spans="1:18" x14ac:dyDescent="0.25">
      <c r="A59" s="125"/>
      <c r="B59" s="126"/>
      <c r="C59" s="126"/>
      <c r="D59" s="127"/>
      <c r="F59" s="125"/>
      <c r="G59" s="126"/>
      <c r="H59" s="126"/>
      <c r="I59" s="126"/>
      <c r="J59" s="12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5AA40C-3B26-4993-85BE-2A4CA0209C2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0" t="s">
        <v>1</v>
      </c>
      <c r="O1" s="210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1" t="s">
        <v>7</v>
      </c>
      <c r="B4" s="162"/>
      <c r="C4" s="162"/>
      <c r="D4" s="163"/>
      <c r="F4" s="211" t="s">
        <v>8</v>
      </c>
      <c r="G4" s="213">
        <v>2</v>
      </c>
      <c r="H4" s="215" t="s">
        <v>9</v>
      </c>
      <c r="I4" s="217">
        <v>46143</v>
      </c>
      <c r="J4" s="21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5" t="s">
        <v>7</v>
      </c>
      <c r="B5" s="15" t="s">
        <v>11</v>
      </c>
      <c r="C5" s="9" t="s">
        <v>12</v>
      </c>
      <c r="D5" s="25" t="s">
        <v>13</v>
      </c>
      <c r="F5" s="212"/>
      <c r="G5" s="214"/>
      <c r="H5" s="216"/>
      <c r="I5" s="219"/>
      <c r="J5" s="22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6"/>
      <c r="B6" s="16" t="s">
        <v>15</v>
      </c>
      <c r="C6" s="10">
        <v>292</v>
      </c>
      <c r="D6" s="13">
        <f t="shared" ref="D6:D28" si="1">C6*L6</f>
        <v>222212</v>
      </c>
      <c r="F6" s="221" t="s">
        <v>16</v>
      </c>
      <c r="G6" s="223" t="s">
        <v>107</v>
      </c>
      <c r="H6" s="224"/>
      <c r="I6" s="224"/>
      <c r="J6" s="22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6"/>
      <c r="B7" s="16" t="s">
        <v>18</v>
      </c>
      <c r="C7" s="10">
        <v>6</v>
      </c>
      <c r="D7" s="13">
        <f t="shared" si="1"/>
        <v>4686</v>
      </c>
      <c r="F7" s="222"/>
      <c r="G7" s="226"/>
      <c r="H7" s="227"/>
      <c r="I7" s="227"/>
      <c r="J7" s="22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6"/>
      <c r="B8" s="16" t="s">
        <v>20</v>
      </c>
      <c r="C8" s="10"/>
      <c r="D8" s="13">
        <f t="shared" si="1"/>
        <v>0</v>
      </c>
      <c r="F8" s="229" t="s">
        <v>21</v>
      </c>
      <c r="G8" s="230" t="s">
        <v>100</v>
      </c>
      <c r="H8" s="231"/>
      <c r="I8" s="231"/>
      <c r="J8" s="23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6"/>
      <c r="B9" s="16" t="s">
        <v>23</v>
      </c>
      <c r="C9" s="10">
        <v>7</v>
      </c>
      <c r="D9" s="13">
        <f t="shared" si="1"/>
        <v>5131</v>
      </c>
      <c r="F9" s="222"/>
      <c r="G9" s="233"/>
      <c r="H9" s="234"/>
      <c r="I9" s="234"/>
      <c r="J9" s="23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6"/>
      <c r="B10" t="s">
        <v>25</v>
      </c>
      <c r="C10" s="10"/>
      <c r="D10" s="13">
        <f t="shared" si="1"/>
        <v>0</v>
      </c>
      <c r="F10" s="221" t="s">
        <v>26</v>
      </c>
      <c r="G10" s="236" t="s">
        <v>101</v>
      </c>
      <c r="H10" s="237"/>
      <c r="I10" s="237"/>
      <c r="J10" s="238"/>
      <c r="K10" s="8"/>
      <c r="L10" s="6">
        <f>R36</f>
        <v>1032</v>
      </c>
      <c r="P10" s="4"/>
      <c r="Q10" s="4"/>
      <c r="R10" s="5"/>
    </row>
    <row r="11" spans="1:18" ht="15.75" x14ac:dyDescent="0.25">
      <c r="A11" s="156"/>
      <c r="B11" s="17" t="s">
        <v>28</v>
      </c>
      <c r="C11" s="10"/>
      <c r="D11" s="13">
        <f t="shared" si="1"/>
        <v>0</v>
      </c>
      <c r="F11" s="222"/>
      <c r="G11" s="233"/>
      <c r="H11" s="234"/>
      <c r="I11" s="234"/>
      <c r="J11" s="23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6"/>
      <c r="B12" s="17" t="s">
        <v>30</v>
      </c>
      <c r="C12" s="10"/>
      <c r="D12" s="48">
        <f t="shared" si="1"/>
        <v>0</v>
      </c>
      <c r="F12" s="239" t="s">
        <v>33</v>
      </c>
      <c r="G12" s="240"/>
      <c r="H12" s="240"/>
      <c r="I12" s="240"/>
      <c r="J12" s="24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6"/>
      <c r="B13" s="17" t="s">
        <v>32</v>
      </c>
      <c r="C13" s="10">
        <v>7</v>
      </c>
      <c r="D13" s="48">
        <f t="shared" si="1"/>
        <v>2149</v>
      </c>
      <c r="F13" s="242" t="s">
        <v>36</v>
      </c>
      <c r="G13" s="206"/>
      <c r="H13" s="197">
        <f>D29</f>
        <v>236796</v>
      </c>
      <c r="I13" s="198"/>
      <c r="J13" s="19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6"/>
      <c r="B14" s="14" t="s">
        <v>35</v>
      </c>
      <c r="C14" s="10">
        <v>5</v>
      </c>
      <c r="D14" s="31">
        <f t="shared" si="1"/>
        <v>55</v>
      </c>
      <c r="F14" s="200" t="s">
        <v>38</v>
      </c>
      <c r="G14" s="201"/>
      <c r="H14" s="202">
        <f>D54</f>
        <v>38545.5</v>
      </c>
      <c r="I14" s="203"/>
      <c r="J14" s="20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6"/>
      <c r="B15" s="14" t="s">
        <v>122</v>
      </c>
      <c r="C15" s="10"/>
      <c r="D15" s="31">
        <f t="shared" si="1"/>
        <v>0</v>
      </c>
      <c r="F15" s="205" t="s">
        <v>39</v>
      </c>
      <c r="G15" s="206"/>
      <c r="H15" s="207">
        <f>H13-H14</f>
        <v>198250.5</v>
      </c>
      <c r="I15" s="208"/>
      <c r="J15" s="20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6"/>
      <c r="B16" s="18" t="s">
        <v>111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167">
        <v>1518</v>
      </c>
      <c r="I16" s="167"/>
      <c r="J16" s="16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6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78"/>
      <c r="I17" s="178"/>
      <c r="J17" s="17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6"/>
      <c r="B18" s="86" t="s">
        <v>125</v>
      </c>
      <c r="C18" s="10">
        <v>1</v>
      </c>
      <c r="D18" s="48">
        <f t="shared" si="1"/>
        <v>1102</v>
      </c>
      <c r="F18" s="56"/>
      <c r="G18" s="66" t="s">
        <v>46</v>
      </c>
      <c r="H18" s="178"/>
      <c r="I18" s="178"/>
      <c r="J18" s="17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6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61"/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6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78"/>
      <c r="I20" s="178"/>
      <c r="J20" s="17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6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0" t="s">
        <v>13</v>
      </c>
      <c r="I21" s="181"/>
      <c r="J21" s="18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6"/>
      <c r="B22" s="46" t="s">
        <v>103</v>
      </c>
      <c r="C22" s="10"/>
      <c r="D22" s="48">
        <f t="shared" si="1"/>
        <v>0</v>
      </c>
      <c r="F22" s="72"/>
      <c r="G22" s="73"/>
      <c r="H22" s="183"/>
      <c r="I22" s="183"/>
      <c r="J22" s="18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6"/>
      <c r="B23" s="14" t="s">
        <v>121</v>
      </c>
      <c r="C23" s="10"/>
      <c r="D23" s="48">
        <f t="shared" si="1"/>
        <v>0</v>
      </c>
      <c r="F23" s="25"/>
      <c r="G23" s="37"/>
      <c r="H23" s="184"/>
      <c r="I23" s="153"/>
      <c r="J23" s="15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6"/>
      <c r="B24" s="14" t="s">
        <v>128</v>
      </c>
      <c r="C24" s="10"/>
      <c r="D24" s="48">
        <f t="shared" si="1"/>
        <v>0</v>
      </c>
      <c r="F24" s="38"/>
      <c r="G24" s="37"/>
      <c r="H24" s="184"/>
      <c r="I24" s="153"/>
      <c r="J24" s="15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5" t="s">
        <v>13</v>
      </c>
      <c r="I25" s="186"/>
      <c r="J25" s="18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6"/>
      <c r="B26" s="14" t="s">
        <v>129</v>
      </c>
      <c r="C26" s="10"/>
      <c r="D26" s="48">
        <f t="shared" si="1"/>
        <v>0</v>
      </c>
      <c r="F26" s="64"/>
      <c r="G26" s="10"/>
      <c r="H26" s="188"/>
      <c r="I26" s="189"/>
      <c r="J26" s="19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6"/>
      <c r="B27" s="14" t="s">
        <v>130</v>
      </c>
      <c r="C27" s="10"/>
      <c r="D27" s="44">
        <f t="shared" si="1"/>
        <v>0</v>
      </c>
      <c r="F27" s="14"/>
      <c r="G27" s="14"/>
      <c r="H27" s="191"/>
      <c r="I27" s="192"/>
      <c r="J27" s="19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7"/>
      <c r="B28" s="46" t="s">
        <v>92</v>
      </c>
      <c r="C28" s="10">
        <v>1</v>
      </c>
      <c r="D28" s="48">
        <f t="shared" si="1"/>
        <v>811</v>
      </c>
      <c r="F28" s="91"/>
      <c r="G28" s="61"/>
      <c r="H28" s="194"/>
      <c r="I28" s="195"/>
      <c r="J28" s="19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8" t="s">
        <v>36</v>
      </c>
      <c r="B29" s="169"/>
      <c r="C29" s="170"/>
      <c r="D29" s="174">
        <f>SUM(D6:D28)</f>
        <v>236796</v>
      </c>
      <c r="F29" s="114" t="s">
        <v>54</v>
      </c>
      <c r="G29" s="176"/>
      <c r="H29" s="136">
        <f>H15-H16-H17-H18-H19-H20-H22-H23-H24+H26+H27</f>
        <v>196732.5</v>
      </c>
      <c r="I29" s="137"/>
      <c r="J29" s="13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1"/>
      <c r="B30" s="172"/>
      <c r="C30" s="173"/>
      <c r="D30" s="175"/>
      <c r="F30" s="117"/>
      <c r="G30" s="177"/>
      <c r="H30" s="139"/>
      <c r="I30" s="140"/>
      <c r="J30" s="141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1" t="s">
        <v>57</v>
      </c>
      <c r="B32" s="162"/>
      <c r="C32" s="162"/>
      <c r="D32" s="163"/>
      <c r="F32" s="164" t="s">
        <v>58</v>
      </c>
      <c r="G32" s="165"/>
      <c r="H32" s="165"/>
      <c r="I32" s="165"/>
      <c r="J32" s="16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64" t="s">
        <v>13</v>
      </c>
      <c r="I33" s="165"/>
      <c r="J33" s="16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5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166</v>
      </c>
      <c r="H34" s="158">
        <f>F34*G34</f>
        <v>166000</v>
      </c>
      <c r="I34" s="159"/>
      <c r="J34" s="16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6"/>
      <c r="B35" s="27" t="s">
        <v>67</v>
      </c>
      <c r="C35" s="52"/>
      <c r="D35" s="30">
        <f>C35*84</f>
        <v>0</v>
      </c>
      <c r="F35" s="58">
        <v>500</v>
      </c>
      <c r="G35" s="41">
        <v>60</v>
      </c>
      <c r="H35" s="158">
        <f t="shared" ref="H35:H39" si="2">F35*G35</f>
        <v>30000</v>
      </c>
      <c r="I35" s="159"/>
      <c r="J35" s="16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7"/>
      <c r="B36" s="26" t="s">
        <v>69</v>
      </c>
      <c r="C36" s="10"/>
      <c r="D36" s="12">
        <f>C36*1.5</f>
        <v>0</v>
      </c>
      <c r="F36" s="12">
        <v>200</v>
      </c>
      <c r="G36" s="37"/>
      <c r="H36" s="158">
        <f>F36*G36</f>
        <v>0</v>
      </c>
      <c r="I36" s="159"/>
      <c r="J36" s="16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5" t="s">
        <v>71</v>
      </c>
      <c r="B37" s="28" t="s">
        <v>65</v>
      </c>
      <c r="C37" s="53">
        <v>338</v>
      </c>
      <c r="D37" s="12">
        <f>C37*111</f>
        <v>37518</v>
      </c>
      <c r="F37" s="12">
        <v>100</v>
      </c>
      <c r="G37" s="39">
        <v>5</v>
      </c>
      <c r="H37" s="158">
        <f t="shared" si="2"/>
        <v>500</v>
      </c>
      <c r="I37" s="159"/>
      <c r="J37" s="16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6"/>
      <c r="B38" s="29" t="s">
        <v>67</v>
      </c>
      <c r="C38" s="54">
        <v>2</v>
      </c>
      <c r="D38" s="12">
        <f>C38*84</f>
        <v>168</v>
      </c>
      <c r="F38" s="30">
        <v>50</v>
      </c>
      <c r="G38" s="39"/>
      <c r="H38" s="158">
        <f t="shared" si="2"/>
        <v>0</v>
      </c>
      <c r="I38" s="159"/>
      <c r="J38" s="16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7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158">
        <f t="shared" si="2"/>
        <v>0</v>
      </c>
      <c r="I39" s="159"/>
      <c r="J39" s="16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5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42"/>
      <c r="H40" s="158"/>
      <c r="I40" s="159"/>
      <c r="J40" s="16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6"/>
      <c r="B41" s="27" t="s">
        <v>67</v>
      </c>
      <c r="C41" s="10"/>
      <c r="D41" s="12">
        <f>C41*84</f>
        <v>0</v>
      </c>
      <c r="F41" s="12">
        <v>5</v>
      </c>
      <c r="G41" s="42"/>
      <c r="H41" s="158"/>
      <c r="I41" s="159"/>
      <c r="J41" s="16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7"/>
      <c r="B42" s="27" t="s">
        <v>69</v>
      </c>
      <c r="C42" s="11">
        <v>4</v>
      </c>
      <c r="D42" s="12">
        <f>C42*2.25</f>
        <v>9</v>
      </c>
      <c r="F42" s="39" t="s">
        <v>78</v>
      </c>
      <c r="G42" s="158">
        <v>50</v>
      </c>
      <c r="H42" s="159"/>
      <c r="I42" s="159"/>
      <c r="J42" s="16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8" t="s">
        <v>80</v>
      </c>
      <c r="C43" s="11"/>
      <c r="D43" s="12"/>
      <c r="F43" s="59" t="s">
        <v>81</v>
      </c>
      <c r="G43" s="88" t="s">
        <v>82</v>
      </c>
      <c r="H43" s="150" t="s">
        <v>13</v>
      </c>
      <c r="I43" s="151"/>
      <c r="J43" s="15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9"/>
      <c r="B44" s="27" t="s">
        <v>65</v>
      </c>
      <c r="C44" s="10"/>
      <c r="D44" s="12">
        <f>C44*120</f>
        <v>0</v>
      </c>
      <c r="F44" s="37"/>
      <c r="G44" s="62"/>
      <c r="H44" s="153"/>
      <c r="I44" s="153"/>
      <c r="J44" s="15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9"/>
      <c r="B45" s="27" t="s">
        <v>67</v>
      </c>
      <c r="C45" s="33"/>
      <c r="D45" s="12">
        <f>C45*84</f>
        <v>0</v>
      </c>
      <c r="F45" s="37"/>
      <c r="G45" s="62"/>
      <c r="H45" s="153"/>
      <c r="I45" s="153"/>
      <c r="J45" s="153"/>
      <c r="K45" s="21"/>
      <c r="P45" s="4"/>
      <c r="Q45" s="4"/>
      <c r="R45" s="5"/>
    </row>
    <row r="46" spans="1:18" ht="15.75" x14ac:dyDescent="0.25">
      <c r="A46" s="129"/>
      <c r="B46" s="49" t="s">
        <v>69</v>
      </c>
      <c r="C46" s="81"/>
      <c r="D46" s="12">
        <f>C46*1.5</f>
        <v>0</v>
      </c>
      <c r="F46" s="37"/>
      <c r="G46" s="89"/>
      <c r="H46" s="154"/>
      <c r="I46" s="154"/>
      <c r="J46" s="154"/>
      <c r="K46" s="21"/>
      <c r="P46" s="4"/>
      <c r="Q46" s="4"/>
      <c r="R46" s="5"/>
    </row>
    <row r="47" spans="1:18" ht="15.75" x14ac:dyDescent="0.25">
      <c r="A47" s="130"/>
      <c r="B47" s="27"/>
      <c r="C47" s="11"/>
      <c r="D47" s="12"/>
      <c r="F47" s="59"/>
      <c r="G47" s="59"/>
      <c r="H47" s="131"/>
      <c r="I47" s="132"/>
      <c r="J47" s="133"/>
      <c r="K47" s="21"/>
      <c r="P47" s="4"/>
      <c r="Q47" s="4"/>
      <c r="R47" s="5"/>
    </row>
    <row r="48" spans="1:18" ht="15" customHeight="1" x14ac:dyDescent="0.25">
      <c r="A48" s="128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131"/>
      <c r="I48" s="132"/>
      <c r="J48" s="13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9"/>
      <c r="B49" s="29" t="s">
        <v>67</v>
      </c>
      <c r="C49" s="33">
        <v>12</v>
      </c>
      <c r="D49" s="12">
        <f>C49*42</f>
        <v>504</v>
      </c>
      <c r="F49" s="134" t="s">
        <v>85</v>
      </c>
      <c r="G49" s="136">
        <f>H34+H35+H36+H37+H38+H39+H40+H41+G42+H44+H45+H46</f>
        <v>196550</v>
      </c>
      <c r="H49" s="137"/>
      <c r="I49" s="137"/>
      <c r="J49" s="13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9"/>
      <c r="B50" s="32" t="s">
        <v>69</v>
      </c>
      <c r="C50" s="11">
        <v>16</v>
      </c>
      <c r="D50" s="12">
        <f>C50*1.5</f>
        <v>24</v>
      </c>
      <c r="F50" s="135"/>
      <c r="G50" s="139"/>
      <c r="H50" s="140"/>
      <c r="I50" s="140"/>
      <c r="J50" s="141"/>
      <c r="O50" t="s">
        <v>114</v>
      </c>
      <c r="P50" s="4">
        <v>1204</v>
      </c>
      <c r="Q50" s="4"/>
      <c r="R50" s="5"/>
    </row>
    <row r="51" spans="1:18" ht="15" customHeight="1" x14ac:dyDescent="0.25">
      <c r="A51" s="129"/>
      <c r="B51" s="27"/>
      <c r="C51" s="10"/>
      <c r="D51" s="31"/>
      <c r="F51" s="142" t="s">
        <v>131</v>
      </c>
      <c r="G51" s="255">
        <f>G49-H29</f>
        <v>-182.5</v>
      </c>
      <c r="H51" s="256"/>
      <c r="I51" s="256"/>
      <c r="J51" s="25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9"/>
      <c r="B52" s="29"/>
      <c r="C52" s="33"/>
      <c r="D52" s="45"/>
      <c r="F52" s="143"/>
      <c r="G52" s="258"/>
      <c r="H52" s="259"/>
      <c r="I52" s="259"/>
      <c r="J52" s="2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4" t="s">
        <v>89</v>
      </c>
      <c r="B54" s="115"/>
      <c r="C54" s="116"/>
      <c r="D54" s="120">
        <f>SUM(D34:D53)</f>
        <v>38545.5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7"/>
      <c r="B55" s="118"/>
      <c r="C55" s="119"/>
      <c r="D55" s="1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22" t="s">
        <v>90</v>
      </c>
      <c r="B58" s="123"/>
      <c r="C58" s="123"/>
      <c r="D58" s="124"/>
      <c r="F58" s="122" t="s">
        <v>91</v>
      </c>
      <c r="G58" s="123"/>
      <c r="H58" s="123"/>
      <c r="I58" s="123"/>
      <c r="J58" s="124"/>
    </row>
    <row r="59" spans="1:18" x14ac:dyDescent="0.25">
      <c r="A59" s="125"/>
      <c r="B59" s="126"/>
      <c r="C59" s="126"/>
      <c r="D59" s="127"/>
      <c r="F59" s="125"/>
      <c r="G59" s="126"/>
      <c r="H59" s="126"/>
      <c r="I59" s="126"/>
      <c r="J59" s="12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24AF2C-0A3E-4F26-9048-518DA5A771E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0" t="s">
        <v>1</v>
      </c>
      <c r="O1" s="210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1" t="s">
        <v>7</v>
      </c>
      <c r="B4" s="162"/>
      <c r="C4" s="162"/>
      <c r="D4" s="163"/>
      <c r="F4" s="211" t="s">
        <v>8</v>
      </c>
      <c r="G4" s="213">
        <v>3</v>
      </c>
      <c r="H4" s="215" t="s">
        <v>9</v>
      </c>
      <c r="I4" s="217">
        <v>46143</v>
      </c>
      <c r="J4" s="21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5" t="s">
        <v>7</v>
      </c>
      <c r="B5" s="15" t="s">
        <v>11</v>
      </c>
      <c r="C5" s="9" t="s">
        <v>12</v>
      </c>
      <c r="D5" s="25" t="s">
        <v>13</v>
      </c>
      <c r="F5" s="212"/>
      <c r="G5" s="214"/>
      <c r="H5" s="216"/>
      <c r="I5" s="219"/>
      <c r="J5" s="22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6"/>
      <c r="B6" s="16" t="s">
        <v>15</v>
      </c>
      <c r="C6" s="10">
        <v>530</v>
      </c>
      <c r="D6" s="13">
        <f t="shared" ref="D6:D28" si="1">C6*L6</f>
        <v>403330</v>
      </c>
      <c r="F6" s="221" t="s">
        <v>16</v>
      </c>
      <c r="G6" s="223" t="s">
        <v>117</v>
      </c>
      <c r="H6" s="224"/>
      <c r="I6" s="224"/>
      <c r="J6" s="22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6"/>
      <c r="B7" s="16" t="s">
        <v>18</v>
      </c>
      <c r="C7" s="10">
        <v>7</v>
      </c>
      <c r="D7" s="13">
        <f t="shared" si="1"/>
        <v>5467</v>
      </c>
      <c r="F7" s="222"/>
      <c r="G7" s="226"/>
      <c r="H7" s="227"/>
      <c r="I7" s="227"/>
      <c r="J7" s="22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6"/>
      <c r="B8" s="16" t="s">
        <v>20</v>
      </c>
      <c r="C8" s="10"/>
      <c r="D8" s="13">
        <f t="shared" si="1"/>
        <v>0</v>
      </c>
      <c r="F8" s="229" t="s">
        <v>21</v>
      </c>
      <c r="G8" s="230" t="s">
        <v>110</v>
      </c>
      <c r="H8" s="231"/>
      <c r="I8" s="231"/>
      <c r="J8" s="23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6"/>
      <c r="B9" s="16" t="s">
        <v>23</v>
      </c>
      <c r="C9" s="10">
        <v>56</v>
      </c>
      <c r="D9" s="13">
        <f t="shared" si="1"/>
        <v>41048</v>
      </c>
      <c r="F9" s="222"/>
      <c r="G9" s="233"/>
      <c r="H9" s="234"/>
      <c r="I9" s="234"/>
      <c r="J9" s="23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6"/>
      <c r="B10" t="s">
        <v>25</v>
      </c>
      <c r="C10" s="10"/>
      <c r="D10" s="13">
        <f t="shared" si="1"/>
        <v>0</v>
      </c>
      <c r="F10" s="221" t="s">
        <v>26</v>
      </c>
      <c r="G10" s="236" t="s">
        <v>124</v>
      </c>
      <c r="H10" s="237"/>
      <c r="I10" s="237"/>
      <c r="J10" s="238"/>
      <c r="K10" s="8"/>
      <c r="L10" s="6">
        <f>R36</f>
        <v>1032</v>
      </c>
      <c r="P10" s="4"/>
      <c r="Q10" s="4"/>
      <c r="R10" s="5"/>
    </row>
    <row r="11" spans="1:18" ht="15.75" x14ac:dyDescent="0.25">
      <c r="A11" s="156"/>
      <c r="B11" s="17" t="s">
        <v>28</v>
      </c>
      <c r="C11" s="10"/>
      <c r="D11" s="13">
        <f t="shared" si="1"/>
        <v>0</v>
      </c>
      <c r="F11" s="222"/>
      <c r="G11" s="233"/>
      <c r="H11" s="234"/>
      <c r="I11" s="234"/>
      <c r="J11" s="23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6"/>
      <c r="B12" s="17" t="s">
        <v>30</v>
      </c>
      <c r="C12" s="10"/>
      <c r="D12" s="48">
        <f t="shared" si="1"/>
        <v>0</v>
      </c>
      <c r="F12" s="239" t="s">
        <v>33</v>
      </c>
      <c r="G12" s="240"/>
      <c r="H12" s="240"/>
      <c r="I12" s="240"/>
      <c r="J12" s="24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6"/>
      <c r="B13" s="17" t="s">
        <v>32</v>
      </c>
      <c r="C13" s="10">
        <v>19</v>
      </c>
      <c r="D13" s="48">
        <f t="shared" si="1"/>
        <v>5833</v>
      </c>
      <c r="F13" s="242" t="s">
        <v>36</v>
      </c>
      <c r="G13" s="206"/>
      <c r="H13" s="197">
        <f>D29</f>
        <v>456978</v>
      </c>
      <c r="I13" s="198"/>
      <c r="J13" s="19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6"/>
      <c r="B14" s="14" t="s">
        <v>35</v>
      </c>
      <c r="C14" s="10"/>
      <c r="D14" s="31">
        <f t="shared" si="1"/>
        <v>0</v>
      </c>
      <c r="F14" s="200" t="s">
        <v>38</v>
      </c>
      <c r="G14" s="201"/>
      <c r="H14" s="202">
        <f>D54</f>
        <v>68901</v>
      </c>
      <c r="I14" s="203"/>
      <c r="J14" s="20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6"/>
      <c r="B15" s="14" t="s">
        <v>122</v>
      </c>
      <c r="C15" s="10"/>
      <c r="D15" s="31">
        <f t="shared" si="1"/>
        <v>0</v>
      </c>
      <c r="F15" s="205" t="s">
        <v>39</v>
      </c>
      <c r="G15" s="206"/>
      <c r="H15" s="207">
        <f>H13-H14</f>
        <v>388077</v>
      </c>
      <c r="I15" s="208"/>
      <c r="J15" s="20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6"/>
      <c r="B16" s="18" t="s">
        <v>111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167">
        <f>978+1080+708</f>
        <v>2766</v>
      </c>
      <c r="I16" s="167"/>
      <c r="J16" s="16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6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78"/>
      <c r="I17" s="178"/>
      <c r="J17" s="17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6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78"/>
      <c r="I18" s="178"/>
      <c r="J18" s="17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6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62"/>
      <c r="I19" s="262"/>
      <c r="J19" s="26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6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67"/>
      <c r="I20" s="167"/>
      <c r="J20" s="16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6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0" t="s">
        <v>13</v>
      </c>
      <c r="I21" s="181"/>
      <c r="J21" s="18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6"/>
      <c r="B22" s="46" t="s">
        <v>103</v>
      </c>
      <c r="C22" s="10"/>
      <c r="D22" s="48">
        <f t="shared" si="1"/>
        <v>0</v>
      </c>
      <c r="F22" s="77"/>
      <c r="G22" s="73"/>
      <c r="H22" s="183"/>
      <c r="I22" s="183"/>
      <c r="J22" s="18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6"/>
      <c r="B23" s="14" t="s">
        <v>121</v>
      </c>
      <c r="C23" s="10"/>
      <c r="D23" s="48">
        <f t="shared" si="1"/>
        <v>0</v>
      </c>
      <c r="F23" s="78"/>
      <c r="G23" s="79"/>
      <c r="H23" s="184"/>
      <c r="I23" s="153"/>
      <c r="J23" s="15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6"/>
      <c r="B24" s="14" t="s">
        <v>128</v>
      </c>
      <c r="C24" s="10"/>
      <c r="D24" s="48">
        <f t="shared" si="1"/>
        <v>0</v>
      </c>
      <c r="F24" s="38"/>
      <c r="G24" s="37"/>
      <c r="H24" s="184"/>
      <c r="I24" s="153"/>
      <c r="J24" s="15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5" t="s">
        <v>13</v>
      </c>
      <c r="I25" s="186"/>
      <c r="J25" s="18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6"/>
      <c r="B26" s="14" t="s">
        <v>129</v>
      </c>
      <c r="C26" s="10"/>
      <c r="D26" s="48">
        <f t="shared" si="1"/>
        <v>0</v>
      </c>
      <c r="F26" s="64"/>
      <c r="G26" s="59"/>
      <c r="H26" s="188"/>
      <c r="I26" s="189"/>
      <c r="J26" s="19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6"/>
      <c r="B27" s="14" t="s">
        <v>130</v>
      </c>
      <c r="C27" s="10"/>
      <c r="D27" s="44">
        <f t="shared" si="1"/>
        <v>0</v>
      </c>
      <c r="F27" s="25"/>
      <c r="G27" s="80"/>
      <c r="H27" s="191"/>
      <c r="I27" s="192"/>
      <c r="J27" s="19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7"/>
      <c r="B28" s="46" t="s">
        <v>92</v>
      </c>
      <c r="C28" s="10"/>
      <c r="D28" s="48">
        <f t="shared" si="1"/>
        <v>0</v>
      </c>
      <c r="F28" s="91"/>
      <c r="G28" s="61"/>
      <c r="H28" s="194"/>
      <c r="I28" s="195"/>
      <c r="J28" s="19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8" t="s">
        <v>36</v>
      </c>
      <c r="B29" s="169"/>
      <c r="C29" s="170"/>
      <c r="D29" s="174">
        <f>SUM(D6:D28)</f>
        <v>456978</v>
      </c>
      <c r="F29" s="114" t="s">
        <v>54</v>
      </c>
      <c r="G29" s="176"/>
      <c r="H29" s="136">
        <f>H15-H16-H17-H18-H19-H20-H22-H23-H24+H26+H27</f>
        <v>385311</v>
      </c>
      <c r="I29" s="137"/>
      <c r="J29" s="13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1"/>
      <c r="B30" s="172"/>
      <c r="C30" s="173"/>
      <c r="D30" s="175"/>
      <c r="F30" s="117"/>
      <c r="G30" s="177"/>
      <c r="H30" s="139"/>
      <c r="I30" s="140"/>
      <c r="J30" s="141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1" t="s">
        <v>57</v>
      </c>
      <c r="B32" s="162"/>
      <c r="C32" s="162"/>
      <c r="D32" s="163"/>
      <c r="F32" s="164" t="s">
        <v>58</v>
      </c>
      <c r="G32" s="165"/>
      <c r="H32" s="165"/>
      <c r="I32" s="165"/>
      <c r="J32" s="16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64" t="s">
        <v>13</v>
      </c>
      <c r="I33" s="165"/>
      <c r="J33" s="16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5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126</v>
      </c>
      <c r="H34" s="158">
        <f>F34*G34</f>
        <v>126000</v>
      </c>
      <c r="I34" s="159"/>
      <c r="J34" s="16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6"/>
      <c r="B35" s="27" t="s">
        <v>67</v>
      </c>
      <c r="C35" s="52"/>
      <c r="D35" s="30">
        <f>C35*84</f>
        <v>0</v>
      </c>
      <c r="F35" s="58">
        <v>500</v>
      </c>
      <c r="G35" s="41">
        <v>63</v>
      </c>
      <c r="H35" s="158">
        <f>F35*G35</f>
        <v>31500</v>
      </c>
      <c r="I35" s="159"/>
      <c r="J35" s="16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7"/>
      <c r="B36" s="26" t="s">
        <v>69</v>
      </c>
      <c r="C36" s="10"/>
      <c r="D36" s="12">
        <f>C36*1.5</f>
        <v>0</v>
      </c>
      <c r="F36" s="12">
        <v>200</v>
      </c>
      <c r="G36" s="37"/>
      <c r="H36" s="158">
        <f t="shared" ref="H36:H39" si="2">F36*G36</f>
        <v>0</v>
      </c>
      <c r="I36" s="159"/>
      <c r="J36" s="16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5" t="s">
        <v>71</v>
      </c>
      <c r="B37" s="28" t="s">
        <v>65</v>
      </c>
      <c r="C37" s="53">
        <v>601</v>
      </c>
      <c r="D37" s="12">
        <f>C37*111</f>
        <v>66711</v>
      </c>
      <c r="F37" s="12">
        <v>100</v>
      </c>
      <c r="G37" s="39">
        <v>46</v>
      </c>
      <c r="H37" s="158">
        <f t="shared" si="2"/>
        <v>4600</v>
      </c>
      <c r="I37" s="159"/>
      <c r="J37" s="16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6"/>
      <c r="B38" s="29" t="s">
        <v>67</v>
      </c>
      <c r="C38" s="54">
        <v>4</v>
      </c>
      <c r="D38" s="12">
        <f>C38*84</f>
        <v>336</v>
      </c>
      <c r="F38" s="30">
        <v>50</v>
      </c>
      <c r="G38" s="39">
        <v>3</v>
      </c>
      <c r="H38" s="158">
        <f t="shared" si="2"/>
        <v>150</v>
      </c>
      <c r="I38" s="159"/>
      <c r="J38" s="16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7"/>
      <c r="B39" s="29" t="s">
        <v>69</v>
      </c>
      <c r="C39" s="52"/>
      <c r="D39" s="31">
        <f>C39*4.5</f>
        <v>0</v>
      </c>
      <c r="F39" s="12">
        <v>20</v>
      </c>
      <c r="G39" s="37"/>
      <c r="H39" s="158">
        <f t="shared" si="2"/>
        <v>0</v>
      </c>
      <c r="I39" s="159"/>
      <c r="J39" s="16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5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42"/>
      <c r="H40" s="158"/>
      <c r="I40" s="159"/>
      <c r="J40" s="16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6"/>
      <c r="B41" s="27" t="s">
        <v>67</v>
      </c>
      <c r="C41" s="10"/>
      <c r="D41" s="12">
        <f>C41*84</f>
        <v>0</v>
      </c>
      <c r="F41" s="12">
        <v>5</v>
      </c>
      <c r="G41" s="42"/>
      <c r="H41" s="158"/>
      <c r="I41" s="159"/>
      <c r="J41" s="16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7"/>
      <c r="B42" s="27" t="s">
        <v>69</v>
      </c>
      <c r="C42" s="11"/>
      <c r="D42" s="12">
        <f>C42*2.25</f>
        <v>0</v>
      </c>
      <c r="F42" s="39" t="s">
        <v>78</v>
      </c>
      <c r="G42" s="158">
        <v>94</v>
      </c>
      <c r="H42" s="159"/>
      <c r="I42" s="159"/>
      <c r="J42" s="16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8" t="s">
        <v>80</v>
      </c>
      <c r="C43" s="11"/>
      <c r="D43" s="12"/>
      <c r="F43" s="59" t="s">
        <v>81</v>
      </c>
      <c r="G43" s="88" t="s">
        <v>82</v>
      </c>
      <c r="H43" s="150" t="s">
        <v>13</v>
      </c>
      <c r="I43" s="151"/>
      <c r="J43" s="15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9"/>
      <c r="B44" s="27" t="s">
        <v>65</v>
      </c>
      <c r="C44" s="10"/>
      <c r="D44" s="12">
        <f>C44*120</f>
        <v>0</v>
      </c>
      <c r="F44" s="37" t="s">
        <v>132</v>
      </c>
      <c r="G44" s="62" t="s">
        <v>133</v>
      </c>
      <c r="H44" s="153">
        <v>105524</v>
      </c>
      <c r="I44" s="153"/>
      <c r="J44" s="15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9"/>
      <c r="B45" s="27" t="s">
        <v>67</v>
      </c>
      <c r="C45" s="33"/>
      <c r="D45" s="12">
        <f>C45*84</f>
        <v>0</v>
      </c>
      <c r="F45" s="37" t="s">
        <v>132</v>
      </c>
      <c r="G45" s="62" t="s">
        <v>134</v>
      </c>
      <c r="H45" s="153">
        <v>118301</v>
      </c>
      <c r="I45" s="153"/>
      <c r="J45" s="153"/>
      <c r="K45" s="21"/>
      <c r="P45" s="4"/>
      <c r="Q45" s="4"/>
      <c r="R45" s="5"/>
    </row>
    <row r="46" spans="1:18" ht="15.75" x14ac:dyDescent="0.25">
      <c r="A46" s="129"/>
      <c r="B46" s="49" t="s">
        <v>69</v>
      </c>
      <c r="C46" s="81"/>
      <c r="D46" s="12">
        <f>C46*1.5</f>
        <v>0</v>
      </c>
      <c r="F46" s="37"/>
      <c r="G46" s="62"/>
      <c r="H46" s="154"/>
      <c r="I46" s="154"/>
      <c r="J46" s="154"/>
      <c r="K46" s="21"/>
      <c r="P46" s="4"/>
      <c r="Q46" s="4"/>
      <c r="R46" s="5"/>
    </row>
    <row r="47" spans="1:18" ht="15.75" x14ac:dyDescent="0.25">
      <c r="A47" s="130"/>
      <c r="B47" s="27"/>
      <c r="C47" s="11"/>
      <c r="D47" s="12"/>
      <c r="F47" s="59"/>
      <c r="G47" s="59"/>
      <c r="H47" s="131"/>
      <c r="I47" s="132"/>
      <c r="J47" s="133"/>
      <c r="K47" s="21"/>
      <c r="P47" s="4"/>
      <c r="Q47" s="4"/>
      <c r="R47" s="5"/>
    </row>
    <row r="48" spans="1:18" ht="15" customHeight="1" x14ac:dyDescent="0.25">
      <c r="A48" s="128" t="s">
        <v>32</v>
      </c>
      <c r="B48" s="27" t="s">
        <v>65</v>
      </c>
      <c r="C48" s="10">
        <v>17</v>
      </c>
      <c r="D48" s="12">
        <f>C48*78</f>
        <v>1326</v>
      </c>
      <c r="F48" s="59"/>
      <c r="G48" s="59"/>
      <c r="H48" s="131"/>
      <c r="I48" s="132"/>
      <c r="J48" s="13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9"/>
      <c r="B49" s="29" t="s">
        <v>67</v>
      </c>
      <c r="C49" s="33">
        <v>2</v>
      </c>
      <c r="D49" s="12">
        <f>C49*42</f>
        <v>84</v>
      </c>
      <c r="F49" s="134" t="s">
        <v>85</v>
      </c>
      <c r="G49" s="136">
        <f>H34+H35+H36+H37+H38+H39+H40+H41+G42+H44+H45+H46</f>
        <v>386169</v>
      </c>
      <c r="H49" s="137"/>
      <c r="I49" s="137"/>
      <c r="J49" s="13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9"/>
      <c r="B50" s="32" t="s">
        <v>69</v>
      </c>
      <c r="C50" s="11"/>
      <c r="D50" s="12">
        <f>C50*1.5</f>
        <v>0</v>
      </c>
      <c r="F50" s="135"/>
      <c r="G50" s="139"/>
      <c r="H50" s="140"/>
      <c r="I50" s="140"/>
      <c r="J50" s="141"/>
      <c r="O50" t="s">
        <v>114</v>
      </c>
      <c r="P50" s="4">
        <v>1204</v>
      </c>
      <c r="Q50" s="4"/>
      <c r="R50" s="5"/>
    </row>
    <row r="51" spans="1:18" ht="15" customHeight="1" x14ac:dyDescent="0.25">
      <c r="A51" s="129"/>
      <c r="B51" s="27"/>
      <c r="C51" s="10"/>
      <c r="D51" s="31"/>
      <c r="F51" s="142" t="s">
        <v>115</v>
      </c>
      <c r="G51" s="144">
        <f>G49-H29</f>
        <v>858</v>
      </c>
      <c r="H51" s="145"/>
      <c r="I51" s="145"/>
      <c r="J51" s="14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9"/>
      <c r="B52" s="29"/>
      <c r="C52" s="33"/>
      <c r="D52" s="45"/>
      <c r="F52" s="143"/>
      <c r="G52" s="147"/>
      <c r="H52" s="148"/>
      <c r="I52" s="148"/>
      <c r="J52" s="14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4" t="s">
        <v>89</v>
      </c>
      <c r="B54" s="115"/>
      <c r="C54" s="116"/>
      <c r="D54" s="120">
        <f>SUM(D34:D53)</f>
        <v>68901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7"/>
      <c r="B55" s="118"/>
      <c r="C55" s="119"/>
      <c r="D55" s="1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2" t="s">
        <v>90</v>
      </c>
      <c r="B58" s="123"/>
      <c r="C58" s="123"/>
      <c r="D58" s="124"/>
      <c r="F58" s="122" t="s">
        <v>91</v>
      </c>
      <c r="G58" s="123"/>
      <c r="H58" s="123"/>
      <c r="I58" s="123"/>
      <c r="J58" s="124"/>
    </row>
    <row r="59" spans="1:18" x14ac:dyDescent="0.25">
      <c r="A59" s="125"/>
      <c r="B59" s="126"/>
      <c r="C59" s="126"/>
      <c r="D59" s="127"/>
      <c r="F59" s="125"/>
      <c r="G59" s="126"/>
      <c r="H59" s="126"/>
      <c r="I59" s="126"/>
      <c r="J59" s="12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3441EA-BFEB-4297-B836-658118DAD3B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0" t="s">
        <v>1</v>
      </c>
      <c r="O1" s="210"/>
      <c r="P1" s="98" t="s">
        <v>2</v>
      </c>
      <c r="Q1" s="9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1" t="s">
        <v>7</v>
      </c>
      <c r="B4" s="162"/>
      <c r="C4" s="162"/>
      <c r="D4" s="163"/>
      <c r="F4" s="211" t="s">
        <v>8</v>
      </c>
      <c r="G4" s="213"/>
      <c r="H4" s="215" t="s">
        <v>9</v>
      </c>
      <c r="I4" s="217"/>
      <c r="J4" s="21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5" t="s">
        <v>7</v>
      </c>
      <c r="B5" s="15" t="s">
        <v>11</v>
      </c>
      <c r="C5" s="9" t="s">
        <v>12</v>
      </c>
      <c r="D5" s="25" t="s">
        <v>13</v>
      </c>
      <c r="F5" s="212"/>
      <c r="G5" s="214"/>
      <c r="H5" s="216"/>
      <c r="I5" s="219"/>
      <c r="J5" s="22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6"/>
      <c r="B6" s="16"/>
      <c r="C6" s="10"/>
      <c r="D6" s="13">
        <f t="shared" ref="D6:D28" si="1">C6*L6</f>
        <v>0</v>
      </c>
      <c r="F6" s="221" t="s">
        <v>16</v>
      </c>
      <c r="G6" s="223"/>
      <c r="H6" s="224"/>
      <c r="I6" s="224"/>
      <c r="J6" s="22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6"/>
      <c r="B7" s="16"/>
      <c r="C7" s="10"/>
      <c r="D7" s="13">
        <f t="shared" si="1"/>
        <v>0</v>
      </c>
      <c r="F7" s="222"/>
      <c r="G7" s="226"/>
      <c r="H7" s="227"/>
      <c r="I7" s="227"/>
      <c r="J7" s="22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6"/>
      <c r="B8" s="16"/>
      <c r="C8" s="10"/>
      <c r="D8" s="13">
        <f t="shared" si="1"/>
        <v>0</v>
      </c>
      <c r="F8" s="229" t="s">
        <v>21</v>
      </c>
      <c r="G8" s="230"/>
      <c r="H8" s="231"/>
      <c r="I8" s="231"/>
      <c r="J8" s="23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6"/>
      <c r="B9" s="16"/>
      <c r="C9" s="10"/>
      <c r="D9" s="13">
        <f t="shared" si="1"/>
        <v>0</v>
      </c>
      <c r="F9" s="222"/>
      <c r="G9" s="233"/>
      <c r="H9" s="234"/>
      <c r="I9" s="234"/>
      <c r="J9" s="23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6"/>
      <c r="C10" s="10"/>
      <c r="D10" s="13">
        <f t="shared" si="1"/>
        <v>0</v>
      </c>
      <c r="F10" s="221" t="s">
        <v>26</v>
      </c>
      <c r="G10" s="236"/>
      <c r="H10" s="237"/>
      <c r="I10" s="237"/>
      <c r="J10" s="238"/>
      <c r="K10" s="8"/>
      <c r="L10" s="6">
        <f>R36</f>
        <v>972</v>
      </c>
      <c r="P10" s="4"/>
      <c r="Q10" s="4"/>
      <c r="R10" s="5"/>
    </row>
    <row r="11" spans="1:19" ht="15.75" x14ac:dyDescent="0.25">
      <c r="A11" s="156"/>
      <c r="B11" s="17"/>
      <c r="C11" s="10"/>
      <c r="D11" s="13">
        <f t="shared" si="1"/>
        <v>0</v>
      </c>
      <c r="F11" s="222"/>
      <c r="G11" s="233"/>
      <c r="H11" s="234"/>
      <c r="I11" s="234"/>
      <c r="J11" s="23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6"/>
      <c r="B12" s="17"/>
      <c r="C12" s="10"/>
      <c r="D12" s="48">
        <f t="shared" si="1"/>
        <v>0</v>
      </c>
      <c r="F12" s="239" t="s">
        <v>33</v>
      </c>
      <c r="G12" s="240"/>
      <c r="H12" s="240"/>
      <c r="I12" s="240"/>
      <c r="J12" s="24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6"/>
      <c r="B13" s="17"/>
      <c r="C13" s="10"/>
      <c r="D13" s="48">
        <f t="shared" si="1"/>
        <v>0</v>
      </c>
      <c r="F13" s="242" t="s">
        <v>36</v>
      </c>
      <c r="G13" s="206"/>
      <c r="H13" s="197">
        <f>D29</f>
        <v>0</v>
      </c>
      <c r="I13" s="198"/>
      <c r="J13" s="19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6"/>
      <c r="B14" s="14"/>
      <c r="C14" s="10"/>
      <c r="D14" s="31">
        <f t="shared" si="1"/>
        <v>0</v>
      </c>
      <c r="F14" s="200" t="s">
        <v>38</v>
      </c>
      <c r="G14" s="201"/>
      <c r="H14" s="202">
        <f>D54</f>
        <v>0</v>
      </c>
      <c r="I14" s="203"/>
      <c r="J14" s="20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6"/>
      <c r="B15" s="14"/>
      <c r="C15" s="10"/>
      <c r="D15" s="31">
        <f t="shared" si="1"/>
        <v>0</v>
      </c>
      <c r="F15" s="205" t="s">
        <v>39</v>
      </c>
      <c r="G15" s="206"/>
      <c r="H15" s="207">
        <f>H13-H14</f>
        <v>0</v>
      </c>
      <c r="I15" s="208"/>
      <c r="J15" s="20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6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7"/>
      <c r="I16" s="167"/>
      <c r="J16" s="16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6"/>
      <c r="C17" s="10"/>
      <c r="D17" s="48">
        <f t="shared" si="1"/>
        <v>0</v>
      </c>
      <c r="F17" s="56"/>
      <c r="G17" s="66" t="s">
        <v>44</v>
      </c>
      <c r="H17" s="178"/>
      <c r="I17" s="178"/>
      <c r="J17" s="17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6"/>
      <c r="B18" s="19"/>
      <c r="C18" s="10"/>
      <c r="D18" s="48">
        <f t="shared" si="1"/>
        <v>0</v>
      </c>
      <c r="F18" s="56"/>
      <c r="G18" s="66" t="s">
        <v>46</v>
      </c>
      <c r="H18" s="178"/>
      <c r="I18" s="178"/>
      <c r="J18" s="17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6"/>
      <c r="B19" s="14"/>
      <c r="C19" s="10"/>
      <c r="D19" s="48">
        <f t="shared" si="1"/>
        <v>0</v>
      </c>
      <c r="F19" s="56"/>
      <c r="G19" s="68" t="s">
        <v>49</v>
      </c>
      <c r="H19" s="179"/>
      <c r="I19" s="179"/>
      <c r="J19" s="17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6"/>
      <c r="B20" s="46"/>
      <c r="C20" s="10"/>
      <c r="D20" s="13">
        <f t="shared" si="1"/>
        <v>0</v>
      </c>
      <c r="F20" s="57"/>
      <c r="G20" s="70" t="s">
        <v>102</v>
      </c>
      <c r="H20" s="167"/>
      <c r="I20" s="167"/>
      <c r="J20" s="167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6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80" t="s">
        <v>13</v>
      </c>
      <c r="I21" s="181"/>
      <c r="J21" s="182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6"/>
      <c r="B22" s="46"/>
      <c r="C22" s="10"/>
      <c r="D22" s="48">
        <f t="shared" si="1"/>
        <v>0</v>
      </c>
      <c r="F22" s="77"/>
      <c r="G22" s="73"/>
      <c r="H22" s="183"/>
      <c r="I22" s="183"/>
      <c r="J22" s="183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6"/>
      <c r="B23" s="14"/>
      <c r="C23" s="10"/>
      <c r="D23" s="48">
        <f t="shared" si="1"/>
        <v>0</v>
      </c>
      <c r="F23" s="78"/>
      <c r="G23" s="79"/>
      <c r="H23" s="184"/>
      <c r="I23" s="153"/>
      <c r="J23" s="153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6"/>
      <c r="B24" s="14"/>
      <c r="C24" s="10"/>
      <c r="D24" s="48">
        <f t="shared" si="1"/>
        <v>0</v>
      </c>
      <c r="F24" s="38"/>
      <c r="G24" s="37"/>
      <c r="H24" s="184"/>
      <c r="I24" s="153"/>
      <c r="J24" s="153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6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5" t="s">
        <v>13</v>
      </c>
      <c r="I25" s="186"/>
      <c r="J25" s="187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6"/>
      <c r="B26" s="14"/>
      <c r="C26" s="10"/>
      <c r="D26" s="48">
        <f t="shared" si="1"/>
        <v>0</v>
      </c>
      <c r="F26" s="64"/>
      <c r="G26" s="59"/>
      <c r="H26" s="188"/>
      <c r="I26" s="189"/>
      <c r="J26" s="190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6"/>
      <c r="B27" s="14"/>
      <c r="C27" s="10"/>
      <c r="D27" s="44">
        <f t="shared" si="1"/>
        <v>0</v>
      </c>
      <c r="F27" s="25"/>
      <c r="G27" s="80"/>
      <c r="H27" s="191"/>
      <c r="I27" s="192"/>
      <c r="J27" s="193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7"/>
      <c r="B28" s="46"/>
      <c r="C28" s="10"/>
      <c r="D28" s="48">
        <f t="shared" si="1"/>
        <v>0</v>
      </c>
      <c r="F28" s="99"/>
      <c r="G28" s="61"/>
      <c r="H28" s="194"/>
      <c r="I28" s="195"/>
      <c r="J28" s="196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8" t="s">
        <v>36</v>
      </c>
      <c r="B29" s="169"/>
      <c r="C29" s="170"/>
      <c r="D29" s="174">
        <f>SUM(D6:D28)</f>
        <v>0</v>
      </c>
      <c r="F29" s="114" t="s">
        <v>54</v>
      </c>
      <c r="G29" s="176"/>
      <c r="H29" s="136">
        <f>H15-H16-H17-H18-H19-H20-H22-H23-H24+H26+H27</f>
        <v>0</v>
      </c>
      <c r="I29" s="137"/>
      <c r="J29" s="13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1"/>
      <c r="B30" s="172"/>
      <c r="C30" s="173"/>
      <c r="D30" s="175"/>
      <c r="F30" s="117"/>
      <c r="G30" s="177"/>
      <c r="H30" s="139"/>
      <c r="I30" s="140"/>
      <c r="J30" s="14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1" t="s">
        <v>57</v>
      </c>
      <c r="B32" s="162"/>
      <c r="C32" s="162"/>
      <c r="D32" s="163"/>
      <c r="F32" s="164" t="s">
        <v>58</v>
      </c>
      <c r="G32" s="165"/>
      <c r="H32" s="165"/>
      <c r="I32" s="165"/>
      <c r="J32" s="166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0" t="s">
        <v>62</v>
      </c>
      <c r="H33" s="164" t="s">
        <v>13</v>
      </c>
      <c r="I33" s="165"/>
      <c r="J33" s="16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5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58"/>
      <c r="I34" s="159"/>
      <c r="J34" s="160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6"/>
      <c r="B35" s="27" t="s">
        <v>67</v>
      </c>
      <c r="C35" s="52"/>
      <c r="D35" s="30">
        <f>C35*84</f>
        <v>0</v>
      </c>
      <c r="F35" s="58">
        <v>500</v>
      </c>
      <c r="G35" s="41"/>
      <c r="H35" s="158"/>
      <c r="I35" s="159"/>
      <c r="J35" s="16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7"/>
      <c r="B36" s="26" t="s">
        <v>69</v>
      </c>
      <c r="C36" s="10"/>
      <c r="D36" s="12">
        <f>C36*1.5</f>
        <v>0</v>
      </c>
      <c r="F36" s="12">
        <v>200</v>
      </c>
      <c r="G36" s="37"/>
      <c r="H36" s="158"/>
      <c r="I36" s="159"/>
      <c r="J36" s="160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8"/>
      <c r="I37" s="159"/>
      <c r="J37" s="160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6"/>
      <c r="B38" s="29" t="s">
        <v>67</v>
      </c>
      <c r="C38" s="54"/>
      <c r="D38" s="12">
        <f>C38*84</f>
        <v>0</v>
      </c>
      <c r="F38" s="30">
        <v>50</v>
      </c>
      <c r="G38" s="39"/>
      <c r="H38" s="158"/>
      <c r="I38" s="159"/>
      <c r="J38" s="160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7"/>
      <c r="B39" s="29" t="s">
        <v>69</v>
      </c>
      <c r="C39" s="52"/>
      <c r="D39" s="31">
        <f>C39*4.5</f>
        <v>0</v>
      </c>
      <c r="F39" s="12">
        <v>20</v>
      </c>
      <c r="G39" s="37"/>
      <c r="H39" s="158"/>
      <c r="I39" s="159"/>
      <c r="J39" s="16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8"/>
      <c r="I40" s="159"/>
      <c r="J40" s="160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6"/>
      <c r="B41" s="27" t="s">
        <v>67</v>
      </c>
      <c r="C41" s="10"/>
      <c r="D41" s="12">
        <f>C41*84</f>
        <v>0</v>
      </c>
      <c r="F41" s="12">
        <v>5</v>
      </c>
      <c r="G41" s="42"/>
      <c r="H41" s="158"/>
      <c r="I41" s="159"/>
      <c r="J41" s="160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7"/>
      <c r="B42" s="27" t="s">
        <v>69</v>
      </c>
      <c r="C42" s="11"/>
      <c r="D42" s="12">
        <f>C42*2.25</f>
        <v>0</v>
      </c>
      <c r="F42" s="39" t="s">
        <v>78</v>
      </c>
      <c r="G42" s="158"/>
      <c r="H42" s="159"/>
      <c r="I42" s="159"/>
      <c r="J42" s="160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8" t="s">
        <v>80</v>
      </c>
      <c r="C43" s="11"/>
      <c r="D43" s="12"/>
      <c r="F43" s="59" t="s">
        <v>81</v>
      </c>
      <c r="G43" s="101" t="s">
        <v>82</v>
      </c>
      <c r="H43" s="150" t="s">
        <v>13</v>
      </c>
      <c r="I43" s="151"/>
      <c r="J43" s="152"/>
      <c r="K43" s="21"/>
      <c r="P43" s="4"/>
      <c r="Q43" s="4"/>
      <c r="R43" s="5"/>
    </row>
    <row r="44" spans="1:18" ht="15.75" x14ac:dyDescent="0.25">
      <c r="A44" s="129"/>
      <c r="B44" s="27" t="s">
        <v>65</v>
      </c>
      <c r="C44" s="10"/>
      <c r="D44" s="12">
        <f>C44*120</f>
        <v>0</v>
      </c>
      <c r="F44" s="37"/>
      <c r="G44" s="76"/>
      <c r="H44" s="153"/>
      <c r="I44" s="153"/>
      <c r="J44" s="153"/>
      <c r="K44" s="21"/>
      <c r="P44" s="4"/>
      <c r="Q44" s="4"/>
      <c r="R44" s="5"/>
    </row>
    <row r="45" spans="1:18" ht="15.75" x14ac:dyDescent="0.25">
      <c r="A45" s="129"/>
      <c r="B45" s="27" t="s">
        <v>67</v>
      </c>
      <c r="C45" s="33"/>
      <c r="D45" s="12">
        <f>C45*84</f>
        <v>0</v>
      </c>
      <c r="F45" s="37"/>
      <c r="G45" s="76"/>
      <c r="H45" s="153"/>
      <c r="I45" s="153"/>
      <c r="J45" s="153"/>
      <c r="K45" s="21"/>
      <c r="P45" s="4"/>
      <c r="Q45" s="4"/>
      <c r="R45" s="5"/>
    </row>
    <row r="46" spans="1:18" ht="15.75" x14ac:dyDescent="0.25">
      <c r="A46" s="129"/>
      <c r="B46" s="49" t="s">
        <v>69</v>
      </c>
      <c r="C46" s="81"/>
      <c r="D46" s="12">
        <f>C46*1.5</f>
        <v>0</v>
      </c>
      <c r="F46" s="37"/>
      <c r="G46" s="62"/>
      <c r="H46" s="154"/>
      <c r="I46" s="154"/>
      <c r="J46" s="154"/>
      <c r="K46" s="21"/>
      <c r="P46" s="4"/>
      <c r="Q46" s="4"/>
      <c r="R46" s="5"/>
    </row>
    <row r="47" spans="1:18" ht="15.75" x14ac:dyDescent="0.25">
      <c r="A47" s="130"/>
      <c r="B47" s="27"/>
      <c r="C47" s="11"/>
      <c r="D47" s="12"/>
      <c r="F47" s="59"/>
      <c r="G47" s="59"/>
      <c r="H47" s="131"/>
      <c r="I47" s="132"/>
      <c r="J47" s="133"/>
      <c r="K47" s="21"/>
      <c r="P47" s="4"/>
      <c r="Q47" s="4"/>
      <c r="R47" s="5"/>
    </row>
    <row r="48" spans="1:18" ht="15" customHeight="1" x14ac:dyDescent="0.25">
      <c r="A48" s="128" t="s">
        <v>32</v>
      </c>
      <c r="B48" s="27" t="s">
        <v>65</v>
      </c>
      <c r="C48" s="10"/>
      <c r="D48" s="12">
        <f>C48*78</f>
        <v>0</v>
      </c>
      <c r="F48" s="59"/>
      <c r="G48" s="59"/>
      <c r="H48" s="131"/>
      <c r="I48" s="132"/>
      <c r="J48" s="13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9"/>
      <c r="B49" s="29" t="s">
        <v>67</v>
      </c>
      <c r="C49" s="33"/>
      <c r="D49" s="12">
        <f>C49*42</f>
        <v>0</v>
      </c>
      <c r="F49" s="134" t="s">
        <v>85</v>
      </c>
      <c r="G49" s="136">
        <f>H34+H35+H36+H37+H38+H39+H40+H41+G42+H44+H45+H46</f>
        <v>0</v>
      </c>
      <c r="H49" s="137"/>
      <c r="I49" s="137"/>
      <c r="J49" s="13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9"/>
      <c r="B50" s="32" t="s">
        <v>69</v>
      </c>
      <c r="C50" s="11"/>
      <c r="D50" s="12">
        <f>C50*1.5</f>
        <v>0</v>
      </c>
      <c r="F50" s="135"/>
      <c r="G50" s="139"/>
      <c r="H50" s="140"/>
      <c r="I50" s="140"/>
      <c r="J50" s="141"/>
      <c r="P50" s="4"/>
      <c r="Q50" s="4"/>
      <c r="R50" s="5"/>
    </row>
    <row r="51" spans="1:18" ht="15" customHeight="1" x14ac:dyDescent="0.25">
      <c r="A51" s="129"/>
      <c r="B51" s="27"/>
      <c r="C51" s="10"/>
      <c r="D51" s="31"/>
      <c r="F51" s="142" t="s">
        <v>106</v>
      </c>
      <c r="G51" s="144">
        <f>G49-H29</f>
        <v>0</v>
      </c>
      <c r="H51" s="145"/>
      <c r="I51" s="145"/>
      <c r="J51" s="146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9"/>
      <c r="B52" s="29"/>
      <c r="C52" s="33"/>
      <c r="D52" s="45"/>
      <c r="F52" s="143"/>
      <c r="G52" s="147"/>
      <c r="H52" s="148"/>
      <c r="I52" s="148"/>
      <c r="J52" s="14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4" t="s">
        <v>89</v>
      </c>
      <c r="B54" s="115"/>
      <c r="C54" s="116"/>
      <c r="D54" s="120">
        <f>SUM(D34:D53)</f>
        <v>0</v>
      </c>
      <c r="F54" s="21"/>
      <c r="J54" s="34"/>
    </row>
    <row r="55" spans="1:18" x14ac:dyDescent="0.25">
      <c r="A55" s="117"/>
      <c r="B55" s="118"/>
      <c r="C55" s="119"/>
      <c r="D55" s="1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2" t="s">
        <v>90</v>
      </c>
      <c r="B58" s="123"/>
      <c r="C58" s="123"/>
      <c r="D58" s="124"/>
      <c r="F58" s="122" t="s">
        <v>91</v>
      </c>
      <c r="G58" s="123"/>
      <c r="H58" s="123"/>
      <c r="I58" s="123"/>
      <c r="J58" s="124"/>
    </row>
    <row r="59" spans="1:18" x14ac:dyDescent="0.25">
      <c r="A59" s="125"/>
      <c r="B59" s="126"/>
      <c r="C59" s="126"/>
      <c r="D59" s="127"/>
      <c r="F59" s="125"/>
      <c r="G59" s="126"/>
      <c r="H59" s="126"/>
      <c r="I59" s="126"/>
      <c r="J59" s="12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6E3FC3-EDF4-4980-97CC-739A248BF13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0" t="s">
        <v>1</v>
      </c>
      <c r="O1" s="210"/>
      <c r="P1" s="98" t="s">
        <v>2</v>
      </c>
      <c r="Q1" s="9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1" t="s">
        <v>7</v>
      </c>
      <c r="B4" s="162"/>
      <c r="C4" s="162"/>
      <c r="D4" s="163"/>
      <c r="F4" s="211" t="s">
        <v>8</v>
      </c>
      <c r="G4" s="213">
        <v>3</v>
      </c>
      <c r="H4" s="215" t="s">
        <v>9</v>
      </c>
      <c r="I4" s="217">
        <v>46144</v>
      </c>
      <c r="J4" s="21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5" t="s">
        <v>7</v>
      </c>
      <c r="B5" s="15" t="s">
        <v>11</v>
      </c>
      <c r="C5" s="9" t="s">
        <v>12</v>
      </c>
      <c r="D5" s="25" t="s">
        <v>13</v>
      </c>
      <c r="F5" s="212"/>
      <c r="G5" s="214"/>
      <c r="H5" s="216"/>
      <c r="I5" s="219"/>
      <c r="J5" s="22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6"/>
      <c r="B6" s="16" t="s">
        <v>15</v>
      </c>
      <c r="C6" s="10">
        <v>786</v>
      </c>
      <c r="D6" s="13">
        <f t="shared" ref="D6:D28" si="1">C6*L6</f>
        <v>598146</v>
      </c>
      <c r="F6" s="221" t="s">
        <v>16</v>
      </c>
      <c r="G6" s="223" t="s">
        <v>117</v>
      </c>
      <c r="H6" s="224"/>
      <c r="I6" s="224"/>
      <c r="J6" s="22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6"/>
      <c r="B7" s="16" t="s">
        <v>18</v>
      </c>
      <c r="C7" s="10">
        <v>2</v>
      </c>
      <c r="D7" s="13">
        <f t="shared" si="1"/>
        <v>1562</v>
      </c>
      <c r="F7" s="222"/>
      <c r="G7" s="226"/>
      <c r="H7" s="227"/>
      <c r="I7" s="227"/>
      <c r="J7" s="22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6"/>
      <c r="B8" s="16" t="s">
        <v>20</v>
      </c>
      <c r="C8" s="10"/>
      <c r="D8" s="13">
        <f t="shared" si="1"/>
        <v>0</v>
      </c>
      <c r="F8" s="229" t="s">
        <v>21</v>
      </c>
      <c r="G8" s="230" t="s">
        <v>110</v>
      </c>
      <c r="H8" s="231"/>
      <c r="I8" s="231"/>
      <c r="J8" s="23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6"/>
      <c r="B9" s="16" t="s">
        <v>23</v>
      </c>
      <c r="C9" s="10">
        <v>7</v>
      </c>
      <c r="D9" s="13">
        <f t="shared" si="1"/>
        <v>5131</v>
      </c>
      <c r="F9" s="222"/>
      <c r="G9" s="233"/>
      <c r="H9" s="234"/>
      <c r="I9" s="234"/>
      <c r="J9" s="23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6"/>
      <c r="B10" t="s">
        <v>25</v>
      </c>
      <c r="C10" s="10">
        <v>2</v>
      </c>
      <c r="D10" s="13">
        <f t="shared" si="1"/>
        <v>2064</v>
      </c>
      <c r="F10" s="221" t="s">
        <v>26</v>
      </c>
      <c r="G10" s="236" t="s">
        <v>124</v>
      </c>
      <c r="H10" s="237"/>
      <c r="I10" s="237"/>
      <c r="J10" s="238"/>
      <c r="K10" s="8"/>
      <c r="L10" s="6">
        <f>R36</f>
        <v>1032</v>
      </c>
      <c r="P10" s="4"/>
      <c r="Q10" s="4"/>
      <c r="R10" s="5"/>
    </row>
    <row r="11" spans="1:18" ht="15.75" x14ac:dyDescent="0.25">
      <c r="A11" s="156"/>
      <c r="B11" s="17" t="s">
        <v>28</v>
      </c>
      <c r="C11" s="10"/>
      <c r="D11" s="13">
        <f t="shared" si="1"/>
        <v>0</v>
      </c>
      <c r="F11" s="222"/>
      <c r="G11" s="233"/>
      <c r="H11" s="234"/>
      <c r="I11" s="234"/>
      <c r="J11" s="23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6"/>
      <c r="B12" s="17" t="s">
        <v>30</v>
      </c>
      <c r="C12" s="10">
        <f>15+2</f>
        <v>17</v>
      </c>
      <c r="D12" s="48">
        <f t="shared" si="1"/>
        <v>16864</v>
      </c>
      <c r="F12" s="239" t="s">
        <v>33</v>
      </c>
      <c r="G12" s="240"/>
      <c r="H12" s="240"/>
      <c r="I12" s="240"/>
      <c r="J12" s="24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6"/>
      <c r="B13" s="17" t="s">
        <v>32</v>
      </c>
      <c r="C13" s="10">
        <v>22</v>
      </c>
      <c r="D13" s="48">
        <f t="shared" si="1"/>
        <v>6754</v>
      </c>
      <c r="F13" s="242" t="s">
        <v>36</v>
      </c>
      <c r="G13" s="206"/>
      <c r="H13" s="197">
        <f>D29</f>
        <v>635011</v>
      </c>
      <c r="I13" s="198"/>
      <c r="J13" s="19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6"/>
      <c r="B14" s="14" t="s">
        <v>35</v>
      </c>
      <c r="C14" s="10"/>
      <c r="D14" s="31">
        <f t="shared" si="1"/>
        <v>0</v>
      </c>
      <c r="F14" s="200" t="s">
        <v>38</v>
      </c>
      <c r="G14" s="201"/>
      <c r="H14" s="202">
        <f>D54</f>
        <v>84996</v>
      </c>
      <c r="I14" s="203"/>
      <c r="J14" s="20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6"/>
      <c r="B15" s="14" t="s">
        <v>122</v>
      </c>
      <c r="C15" s="10">
        <v>2</v>
      </c>
      <c r="D15" s="31">
        <f t="shared" si="1"/>
        <v>1240</v>
      </c>
      <c r="F15" s="205" t="s">
        <v>39</v>
      </c>
      <c r="G15" s="206"/>
      <c r="H15" s="207">
        <f>H13-H14</f>
        <v>550015</v>
      </c>
      <c r="I15" s="208"/>
      <c r="J15" s="20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6"/>
      <c r="B16" s="18" t="s">
        <v>111</v>
      </c>
      <c r="C16" s="10">
        <v>5</v>
      </c>
      <c r="D16" s="48">
        <f t="shared" si="1"/>
        <v>3250</v>
      </c>
      <c r="F16" s="67" t="s">
        <v>41</v>
      </c>
      <c r="G16" s="66" t="s">
        <v>42</v>
      </c>
      <c r="H16" s="167">
        <f>2694+300+522</f>
        <v>3516</v>
      </c>
      <c r="I16" s="167"/>
      <c r="J16" s="16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6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78"/>
      <c r="I17" s="178"/>
      <c r="J17" s="17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6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78"/>
      <c r="I18" s="178"/>
      <c r="J18" s="17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6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62"/>
      <c r="I19" s="262"/>
      <c r="J19" s="26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6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67"/>
      <c r="I20" s="167"/>
      <c r="J20" s="16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6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0" t="s">
        <v>13</v>
      </c>
      <c r="I21" s="181"/>
      <c r="J21" s="18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6"/>
      <c r="B22" s="46" t="s">
        <v>103</v>
      </c>
      <c r="C22" s="10"/>
      <c r="D22" s="48">
        <f t="shared" si="1"/>
        <v>0</v>
      </c>
      <c r="F22" s="77"/>
      <c r="G22" s="73"/>
      <c r="H22" s="183"/>
      <c r="I22" s="183"/>
      <c r="J22" s="18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6"/>
      <c r="B23" s="14" t="s">
        <v>121</v>
      </c>
      <c r="C23" s="10"/>
      <c r="D23" s="48">
        <f t="shared" si="1"/>
        <v>0</v>
      </c>
      <c r="F23" s="78"/>
      <c r="G23" s="79"/>
      <c r="H23" s="184"/>
      <c r="I23" s="153"/>
      <c r="J23" s="15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6"/>
      <c r="B24" s="14" t="s">
        <v>128</v>
      </c>
      <c r="C24" s="10"/>
      <c r="D24" s="48">
        <f t="shared" si="1"/>
        <v>0</v>
      </c>
      <c r="F24" s="38"/>
      <c r="G24" s="37"/>
      <c r="H24" s="184"/>
      <c r="I24" s="153"/>
      <c r="J24" s="15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5" t="s">
        <v>13</v>
      </c>
      <c r="I25" s="186"/>
      <c r="J25" s="18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6"/>
      <c r="B26" s="14" t="s">
        <v>129</v>
      </c>
      <c r="C26" s="10"/>
      <c r="D26" s="48">
        <f t="shared" si="1"/>
        <v>0</v>
      </c>
      <c r="F26" s="64"/>
      <c r="G26" s="59"/>
      <c r="H26" s="188"/>
      <c r="I26" s="189"/>
      <c r="J26" s="19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6"/>
      <c r="B27" s="14" t="s">
        <v>130</v>
      </c>
      <c r="C27" s="10"/>
      <c r="D27" s="44">
        <f t="shared" si="1"/>
        <v>0</v>
      </c>
      <c r="F27" s="25"/>
      <c r="G27" s="80"/>
      <c r="H27" s="191"/>
      <c r="I27" s="192"/>
      <c r="J27" s="19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7"/>
      <c r="B28" s="46" t="s">
        <v>92</v>
      </c>
      <c r="C28" s="10"/>
      <c r="D28" s="48">
        <f t="shared" si="1"/>
        <v>0</v>
      </c>
      <c r="F28" s="99"/>
      <c r="G28" s="61"/>
      <c r="H28" s="194"/>
      <c r="I28" s="195"/>
      <c r="J28" s="19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8" t="s">
        <v>36</v>
      </c>
      <c r="B29" s="169"/>
      <c r="C29" s="170"/>
      <c r="D29" s="174">
        <f>SUM(D6:D28)</f>
        <v>635011</v>
      </c>
      <c r="F29" s="114" t="s">
        <v>54</v>
      </c>
      <c r="G29" s="176"/>
      <c r="H29" s="136">
        <f>H15-H16-H17-H18-H19-H20-H22-H23-H24+H26+H27</f>
        <v>546499</v>
      </c>
      <c r="I29" s="137"/>
      <c r="J29" s="13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1"/>
      <c r="B30" s="172"/>
      <c r="C30" s="173"/>
      <c r="D30" s="175"/>
      <c r="F30" s="117"/>
      <c r="G30" s="177"/>
      <c r="H30" s="139"/>
      <c r="I30" s="140"/>
      <c r="J30" s="141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1" t="s">
        <v>57</v>
      </c>
      <c r="B32" s="162"/>
      <c r="C32" s="162"/>
      <c r="D32" s="163"/>
      <c r="F32" s="164" t="s">
        <v>58</v>
      </c>
      <c r="G32" s="165"/>
      <c r="H32" s="165"/>
      <c r="I32" s="165"/>
      <c r="J32" s="16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0" t="s">
        <v>62</v>
      </c>
      <c r="H33" s="164" t="s">
        <v>13</v>
      </c>
      <c r="I33" s="165"/>
      <c r="J33" s="16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5" t="s">
        <v>64</v>
      </c>
      <c r="B34" s="26" t="s">
        <v>65</v>
      </c>
      <c r="C34" s="51">
        <v>6</v>
      </c>
      <c r="D34" s="30">
        <f>C34*120</f>
        <v>720</v>
      </c>
      <c r="F34" s="12">
        <v>1000</v>
      </c>
      <c r="G34" s="74">
        <v>182</v>
      </c>
      <c r="H34" s="158">
        <f>F34*G34</f>
        <v>182000</v>
      </c>
      <c r="I34" s="159"/>
      <c r="J34" s="16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6"/>
      <c r="B35" s="27" t="s">
        <v>67</v>
      </c>
      <c r="C35" s="52"/>
      <c r="D35" s="30">
        <f>C35*84</f>
        <v>0</v>
      </c>
      <c r="F35" s="58">
        <v>500</v>
      </c>
      <c r="G35" s="41">
        <v>59</v>
      </c>
      <c r="H35" s="158">
        <f>F35*G35</f>
        <v>29500</v>
      </c>
      <c r="I35" s="159"/>
      <c r="J35" s="16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7"/>
      <c r="B36" s="26" t="s">
        <v>69</v>
      </c>
      <c r="C36" s="10">
        <v>21</v>
      </c>
      <c r="D36" s="12">
        <f>C36*1.5</f>
        <v>31.5</v>
      </c>
      <c r="F36" s="12">
        <v>200</v>
      </c>
      <c r="G36" s="37"/>
      <c r="H36" s="158">
        <f t="shared" ref="H36:H39" si="2">F36*G36</f>
        <v>0</v>
      </c>
      <c r="I36" s="159"/>
      <c r="J36" s="16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5" t="s">
        <v>71</v>
      </c>
      <c r="B37" s="28" t="s">
        <v>65</v>
      </c>
      <c r="C37" s="53">
        <v>677</v>
      </c>
      <c r="D37" s="12">
        <f>C37*111</f>
        <v>75147</v>
      </c>
      <c r="F37" s="12">
        <v>100</v>
      </c>
      <c r="G37" s="39">
        <v>14</v>
      </c>
      <c r="H37" s="158">
        <f t="shared" si="2"/>
        <v>1400</v>
      </c>
      <c r="I37" s="159"/>
      <c r="J37" s="16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6"/>
      <c r="B38" s="29" t="s">
        <v>67</v>
      </c>
      <c r="C38" s="54">
        <v>23</v>
      </c>
      <c r="D38" s="12">
        <f>C38*84</f>
        <v>1932</v>
      </c>
      <c r="F38" s="30">
        <v>50</v>
      </c>
      <c r="G38" s="39"/>
      <c r="H38" s="158">
        <f t="shared" si="2"/>
        <v>0</v>
      </c>
      <c r="I38" s="159"/>
      <c r="J38" s="16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7"/>
      <c r="B39" s="29" t="s">
        <v>69</v>
      </c>
      <c r="C39" s="52"/>
      <c r="D39" s="31">
        <f>C39*4.5</f>
        <v>0</v>
      </c>
      <c r="F39" s="12">
        <v>20</v>
      </c>
      <c r="G39" s="37"/>
      <c r="H39" s="158">
        <f t="shared" si="2"/>
        <v>0</v>
      </c>
      <c r="I39" s="159"/>
      <c r="J39" s="16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5" t="s">
        <v>75</v>
      </c>
      <c r="B40" s="27" t="s">
        <v>65</v>
      </c>
      <c r="C40" s="63">
        <v>28</v>
      </c>
      <c r="D40" s="12">
        <f>C40*111</f>
        <v>3108</v>
      </c>
      <c r="F40" s="12">
        <v>10</v>
      </c>
      <c r="G40" s="42"/>
      <c r="H40" s="158"/>
      <c r="I40" s="159"/>
      <c r="J40" s="16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6"/>
      <c r="B41" s="27" t="s">
        <v>67</v>
      </c>
      <c r="C41" s="10">
        <v>2</v>
      </c>
      <c r="D41" s="12">
        <f>C41*84</f>
        <v>168</v>
      </c>
      <c r="F41" s="12">
        <v>5</v>
      </c>
      <c r="G41" s="42"/>
      <c r="H41" s="158"/>
      <c r="I41" s="159"/>
      <c r="J41" s="16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7"/>
      <c r="B42" s="27" t="s">
        <v>69</v>
      </c>
      <c r="C42" s="11"/>
      <c r="D42" s="12">
        <f>C42*2.25</f>
        <v>0</v>
      </c>
      <c r="F42" s="39" t="s">
        <v>78</v>
      </c>
      <c r="G42" s="158">
        <v>1</v>
      </c>
      <c r="H42" s="159"/>
      <c r="I42" s="159"/>
      <c r="J42" s="16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8" t="s">
        <v>80</v>
      </c>
      <c r="C43" s="11"/>
      <c r="D43" s="12"/>
      <c r="F43" s="59" t="s">
        <v>81</v>
      </c>
      <c r="G43" s="101" t="s">
        <v>82</v>
      </c>
      <c r="H43" s="150" t="s">
        <v>13</v>
      </c>
      <c r="I43" s="151"/>
      <c r="J43" s="15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9"/>
      <c r="B44" s="27" t="s">
        <v>65</v>
      </c>
      <c r="C44" s="10">
        <v>15</v>
      </c>
      <c r="D44" s="12">
        <f>C44*120</f>
        <v>1800</v>
      </c>
      <c r="F44" s="37" t="s">
        <v>136</v>
      </c>
      <c r="G44" s="102" t="s">
        <v>138</v>
      </c>
      <c r="H44" s="153">
        <v>296674</v>
      </c>
      <c r="I44" s="153"/>
      <c r="J44" s="15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9"/>
      <c r="B45" s="27" t="s">
        <v>67</v>
      </c>
      <c r="C45" s="33">
        <v>11</v>
      </c>
      <c r="D45" s="12">
        <f>C45*84</f>
        <v>924</v>
      </c>
      <c r="F45" s="37" t="s">
        <v>136</v>
      </c>
      <c r="G45" s="102" t="s">
        <v>139</v>
      </c>
      <c r="H45" s="153">
        <v>32658</v>
      </c>
      <c r="I45" s="153"/>
      <c r="J45" s="153"/>
      <c r="K45" s="21"/>
      <c r="P45" s="4"/>
      <c r="Q45" s="4"/>
      <c r="R45" s="5"/>
    </row>
    <row r="46" spans="1:18" ht="15.75" x14ac:dyDescent="0.25">
      <c r="A46" s="129"/>
      <c r="B46" s="49" t="s">
        <v>69</v>
      </c>
      <c r="C46" s="81">
        <v>21</v>
      </c>
      <c r="D46" s="12">
        <f>C46*1.5</f>
        <v>31.5</v>
      </c>
      <c r="F46" s="37" t="s">
        <v>137</v>
      </c>
      <c r="G46" s="62"/>
      <c r="H46" s="153">
        <v>4250</v>
      </c>
      <c r="I46" s="153"/>
      <c r="J46" s="153"/>
      <c r="K46" s="21"/>
      <c r="P46" s="4"/>
      <c r="Q46" s="4"/>
      <c r="R46" s="5"/>
    </row>
    <row r="47" spans="1:18" ht="15.75" x14ac:dyDescent="0.25">
      <c r="A47" s="130"/>
      <c r="B47" s="27"/>
      <c r="C47" s="11"/>
      <c r="D47" s="12"/>
      <c r="F47" s="59"/>
      <c r="G47" s="59"/>
      <c r="H47" s="131"/>
      <c r="I47" s="132"/>
      <c r="J47" s="133"/>
      <c r="K47" s="21"/>
      <c r="P47" s="4"/>
      <c r="Q47" s="4"/>
      <c r="R47" s="5"/>
    </row>
    <row r="48" spans="1:18" ht="15" customHeight="1" x14ac:dyDescent="0.25">
      <c r="A48" s="128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131"/>
      <c r="I48" s="132"/>
      <c r="J48" s="13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9"/>
      <c r="B49" s="29" t="s">
        <v>67</v>
      </c>
      <c r="C49" s="33">
        <v>14</v>
      </c>
      <c r="D49" s="12">
        <f>C49*42</f>
        <v>588</v>
      </c>
      <c r="F49" s="134" t="s">
        <v>85</v>
      </c>
      <c r="G49" s="136">
        <f>H34+H35+H36+H37+H38+H39+H40+H41+G42+H44+H45+H46</f>
        <v>546483</v>
      </c>
      <c r="H49" s="137"/>
      <c r="I49" s="137"/>
      <c r="J49" s="13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9"/>
      <c r="B50" s="32" t="s">
        <v>69</v>
      </c>
      <c r="C50" s="11"/>
      <c r="D50" s="12">
        <f>C50*1.5</f>
        <v>0</v>
      </c>
      <c r="F50" s="135"/>
      <c r="G50" s="139"/>
      <c r="H50" s="140"/>
      <c r="I50" s="140"/>
      <c r="J50" s="141"/>
      <c r="O50" t="s">
        <v>114</v>
      </c>
      <c r="P50" s="4">
        <v>1204</v>
      </c>
      <c r="Q50" s="4"/>
      <c r="R50" s="5"/>
    </row>
    <row r="51" spans="1:18" ht="15" customHeight="1" x14ac:dyDescent="0.25">
      <c r="A51" s="129"/>
      <c r="B51" s="27"/>
      <c r="C51" s="10"/>
      <c r="D51" s="31"/>
      <c r="F51" s="142" t="s">
        <v>140</v>
      </c>
      <c r="G51" s="255">
        <f>G49-H29</f>
        <v>-16</v>
      </c>
      <c r="H51" s="256"/>
      <c r="I51" s="256"/>
      <c r="J51" s="25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9"/>
      <c r="B52" s="29"/>
      <c r="C52" s="33"/>
      <c r="D52" s="45"/>
      <c r="F52" s="143"/>
      <c r="G52" s="258"/>
      <c r="H52" s="259"/>
      <c r="I52" s="259"/>
      <c r="J52" s="2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4" t="s">
        <v>89</v>
      </c>
      <c r="B54" s="115"/>
      <c r="C54" s="116"/>
      <c r="D54" s="120">
        <f>SUM(D34:D53)</f>
        <v>84996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7"/>
      <c r="B55" s="118"/>
      <c r="C55" s="119"/>
      <c r="D55" s="1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2" t="s">
        <v>90</v>
      </c>
      <c r="B58" s="123"/>
      <c r="C58" s="123"/>
      <c r="D58" s="124"/>
      <c r="F58" s="122" t="s">
        <v>91</v>
      </c>
      <c r="G58" s="123"/>
      <c r="H58" s="123"/>
      <c r="I58" s="123"/>
      <c r="J58" s="124"/>
    </row>
    <row r="59" spans="1:18" x14ac:dyDescent="0.25">
      <c r="A59" s="125"/>
      <c r="B59" s="126"/>
      <c r="C59" s="126"/>
      <c r="D59" s="127"/>
      <c r="F59" s="125"/>
      <c r="G59" s="126"/>
      <c r="H59" s="126"/>
      <c r="I59" s="126"/>
      <c r="J59" s="12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8FA120-1D1E-4EA9-9568-A1410D5DF8C1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0" t="s">
        <v>1</v>
      </c>
      <c r="O1" s="210"/>
      <c r="P1" s="95" t="s">
        <v>2</v>
      </c>
      <c r="Q1" s="9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1" t="s">
        <v>7</v>
      </c>
      <c r="B4" s="162"/>
      <c r="C4" s="162"/>
      <c r="D4" s="163"/>
      <c r="F4" s="211" t="s">
        <v>8</v>
      </c>
      <c r="G4" s="213"/>
      <c r="H4" s="215" t="s">
        <v>9</v>
      </c>
      <c r="I4" s="217"/>
      <c r="J4" s="21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5" t="s">
        <v>7</v>
      </c>
      <c r="B5" s="15" t="s">
        <v>11</v>
      </c>
      <c r="C5" s="9" t="s">
        <v>12</v>
      </c>
      <c r="D5" s="25" t="s">
        <v>13</v>
      </c>
      <c r="F5" s="212"/>
      <c r="G5" s="214"/>
      <c r="H5" s="216"/>
      <c r="I5" s="219"/>
      <c r="J5" s="22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6"/>
      <c r="B6" s="16"/>
      <c r="C6" s="10"/>
      <c r="D6" s="13">
        <f t="shared" ref="D6:D28" si="1">C6*L6</f>
        <v>0</v>
      </c>
      <c r="F6" s="221" t="s">
        <v>16</v>
      </c>
      <c r="G6" s="223"/>
      <c r="H6" s="224"/>
      <c r="I6" s="224"/>
      <c r="J6" s="22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6"/>
      <c r="B7" s="16"/>
      <c r="C7" s="10"/>
      <c r="D7" s="13">
        <f t="shared" si="1"/>
        <v>0</v>
      </c>
      <c r="F7" s="222"/>
      <c r="G7" s="226"/>
      <c r="H7" s="227"/>
      <c r="I7" s="227"/>
      <c r="J7" s="22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6"/>
      <c r="B8" s="16"/>
      <c r="C8" s="10"/>
      <c r="D8" s="13">
        <f t="shared" si="1"/>
        <v>0</v>
      </c>
      <c r="F8" s="229" t="s">
        <v>21</v>
      </c>
      <c r="G8" s="230"/>
      <c r="H8" s="231"/>
      <c r="I8" s="231"/>
      <c r="J8" s="23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6"/>
      <c r="B9" s="16"/>
      <c r="C9" s="10"/>
      <c r="D9" s="13">
        <f t="shared" si="1"/>
        <v>0</v>
      </c>
      <c r="F9" s="222"/>
      <c r="G9" s="233"/>
      <c r="H9" s="234"/>
      <c r="I9" s="234"/>
      <c r="J9" s="23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6"/>
      <c r="C10" s="10"/>
      <c r="D10" s="13">
        <f t="shared" si="1"/>
        <v>0</v>
      </c>
      <c r="F10" s="221" t="s">
        <v>26</v>
      </c>
      <c r="G10" s="236"/>
      <c r="H10" s="237"/>
      <c r="I10" s="237"/>
      <c r="J10" s="238"/>
      <c r="K10" s="8"/>
      <c r="L10" s="6">
        <f>R36</f>
        <v>972</v>
      </c>
      <c r="P10" s="4"/>
      <c r="Q10" s="4"/>
      <c r="R10" s="5"/>
    </row>
    <row r="11" spans="1:19" ht="15.75" x14ac:dyDescent="0.25">
      <c r="A11" s="156"/>
      <c r="B11" s="17"/>
      <c r="C11" s="10"/>
      <c r="D11" s="13">
        <f t="shared" si="1"/>
        <v>0</v>
      </c>
      <c r="F11" s="222"/>
      <c r="G11" s="233"/>
      <c r="H11" s="234"/>
      <c r="I11" s="234"/>
      <c r="J11" s="23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6"/>
      <c r="B12" s="17"/>
      <c r="C12" s="10"/>
      <c r="D12" s="48">
        <f t="shared" si="1"/>
        <v>0</v>
      </c>
      <c r="F12" s="239" t="s">
        <v>33</v>
      </c>
      <c r="G12" s="240"/>
      <c r="H12" s="240"/>
      <c r="I12" s="240"/>
      <c r="J12" s="24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6"/>
      <c r="B13" s="17"/>
      <c r="C13" s="10"/>
      <c r="D13" s="48">
        <f t="shared" si="1"/>
        <v>0</v>
      </c>
      <c r="F13" s="242" t="s">
        <v>36</v>
      </c>
      <c r="G13" s="206"/>
      <c r="H13" s="197">
        <f>D29</f>
        <v>0</v>
      </c>
      <c r="I13" s="198"/>
      <c r="J13" s="19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6"/>
      <c r="B14" s="14"/>
      <c r="C14" s="10"/>
      <c r="D14" s="31">
        <f t="shared" si="1"/>
        <v>0</v>
      </c>
      <c r="F14" s="200" t="s">
        <v>38</v>
      </c>
      <c r="G14" s="201"/>
      <c r="H14" s="202">
        <f>D54</f>
        <v>0</v>
      </c>
      <c r="I14" s="203"/>
      <c r="J14" s="20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6"/>
      <c r="B15" s="14"/>
      <c r="C15" s="10"/>
      <c r="D15" s="31">
        <f t="shared" si="1"/>
        <v>0</v>
      </c>
      <c r="F15" s="205" t="s">
        <v>39</v>
      </c>
      <c r="G15" s="206"/>
      <c r="H15" s="207">
        <f>H13-H14</f>
        <v>0</v>
      </c>
      <c r="I15" s="208"/>
      <c r="J15" s="20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6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7"/>
      <c r="I16" s="167"/>
      <c r="J16" s="16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6"/>
      <c r="C17" s="10"/>
      <c r="D17" s="48">
        <f t="shared" si="1"/>
        <v>0</v>
      </c>
      <c r="F17" s="56"/>
      <c r="G17" s="66" t="s">
        <v>44</v>
      </c>
      <c r="H17" s="178"/>
      <c r="I17" s="178"/>
      <c r="J17" s="17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6"/>
      <c r="B18" s="19"/>
      <c r="C18" s="10"/>
      <c r="D18" s="48">
        <f t="shared" si="1"/>
        <v>0</v>
      </c>
      <c r="F18" s="56"/>
      <c r="G18" s="66" t="s">
        <v>46</v>
      </c>
      <c r="H18" s="178"/>
      <c r="I18" s="178"/>
      <c r="J18" s="17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6"/>
      <c r="B19" s="14"/>
      <c r="C19" s="10"/>
      <c r="D19" s="48">
        <f t="shared" si="1"/>
        <v>0</v>
      </c>
      <c r="F19" s="56"/>
      <c r="G19" s="68" t="s">
        <v>49</v>
      </c>
      <c r="H19" s="179"/>
      <c r="I19" s="179"/>
      <c r="J19" s="17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6"/>
      <c r="B20" s="46"/>
      <c r="C20" s="10"/>
      <c r="D20" s="13">
        <f t="shared" si="1"/>
        <v>0</v>
      </c>
      <c r="F20" s="57"/>
      <c r="G20" s="70" t="s">
        <v>102</v>
      </c>
      <c r="H20" s="167"/>
      <c r="I20" s="167"/>
      <c r="J20" s="167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6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80" t="s">
        <v>13</v>
      </c>
      <c r="I21" s="181"/>
      <c r="J21" s="182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6"/>
      <c r="B22" s="46"/>
      <c r="C22" s="10"/>
      <c r="D22" s="48">
        <f t="shared" si="1"/>
        <v>0</v>
      </c>
      <c r="F22" s="77"/>
      <c r="G22" s="73"/>
      <c r="H22" s="183"/>
      <c r="I22" s="183"/>
      <c r="J22" s="183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6"/>
      <c r="B23" s="14"/>
      <c r="C23" s="10"/>
      <c r="D23" s="48">
        <f t="shared" si="1"/>
        <v>0</v>
      </c>
      <c r="F23" s="78"/>
      <c r="G23" s="79"/>
      <c r="H23" s="184"/>
      <c r="I23" s="153"/>
      <c r="J23" s="153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6"/>
      <c r="B24" s="14"/>
      <c r="C24" s="10"/>
      <c r="D24" s="48">
        <f t="shared" si="1"/>
        <v>0</v>
      </c>
      <c r="F24" s="38"/>
      <c r="G24" s="37"/>
      <c r="H24" s="184"/>
      <c r="I24" s="153"/>
      <c r="J24" s="153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6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5" t="s">
        <v>13</v>
      </c>
      <c r="I25" s="186"/>
      <c r="J25" s="187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6"/>
      <c r="B26" s="14"/>
      <c r="C26" s="10"/>
      <c r="D26" s="48">
        <f t="shared" si="1"/>
        <v>0</v>
      </c>
      <c r="F26" s="64"/>
      <c r="G26" s="59"/>
      <c r="H26" s="188"/>
      <c r="I26" s="189"/>
      <c r="J26" s="190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6"/>
      <c r="B27" s="14"/>
      <c r="C27" s="10"/>
      <c r="D27" s="44">
        <f t="shared" si="1"/>
        <v>0</v>
      </c>
      <c r="F27" s="25"/>
      <c r="G27" s="80"/>
      <c r="H27" s="191"/>
      <c r="I27" s="192"/>
      <c r="J27" s="193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7"/>
      <c r="B28" s="46"/>
      <c r="C28" s="10"/>
      <c r="D28" s="48">
        <f t="shared" si="1"/>
        <v>0</v>
      </c>
      <c r="F28" s="96"/>
      <c r="G28" s="61"/>
      <c r="H28" s="194"/>
      <c r="I28" s="195"/>
      <c r="J28" s="196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8" t="s">
        <v>36</v>
      </c>
      <c r="B29" s="169"/>
      <c r="C29" s="170"/>
      <c r="D29" s="174">
        <f>SUM(D6:D28)</f>
        <v>0</v>
      </c>
      <c r="F29" s="114" t="s">
        <v>54</v>
      </c>
      <c r="G29" s="176"/>
      <c r="H29" s="136">
        <f>H15-H16-H17-H18-H19-H20-H22-H23-H24+H26+H27</f>
        <v>0</v>
      </c>
      <c r="I29" s="137"/>
      <c r="J29" s="13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1"/>
      <c r="B30" s="172"/>
      <c r="C30" s="173"/>
      <c r="D30" s="175"/>
      <c r="F30" s="117"/>
      <c r="G30" s="177"/>
      <c r="H30" s="139"/>
      <c r="I30" s="140"/>
      <c r="J30" s="14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1" t="s">
        <v>57</v>
      </c>
      <c r="B32" s="162"/>
      <c r="C32" s="162"/>
      <c r="D32" s="163"/>
      <c r="F32" s="164" t="s">
        <v>58</v>
      </c>
      <c r="G32" s="165"/>
      <c r="H32" s="165"/>
      <c r="I32" s="165"/>
      <c r="J32" s="166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164" t="s">
        <v>13</v>
      </c>
      <c r="I33" s="165"/>
      <c r="J33" s="16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5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58"/>
      <c r="I34" s="159"/>
      <c r="J34" s="160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6"/>
      <c r="B35" s="27" t="s">
        <v>67</v>
      </c>
      <c r="C35" s="52"/>
      <c r="D35" s="30">
        <f>C35*84</f>
        <v>0</v>
      </c>
      <c r="F35" s="58">
        <v>500</v>
      </c>
      <c r="G35" s="41"/>
      <c r="H35" s="158"/>
      <c r="I35" s="159"/>
      <c r="J35" s="16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7"/>
      <c r="B36" s="26" t="s">
        <v>69</v>
      </c>
      <c r="C36" s="10"/>
      <c r="D36" s="12">
        <f>C36*1.5</f>
        <v>0</v>
      </c>
      <c r="F36" s="12">
        <v>200</v>
      </c>
      <c r="G36" s="37"/>
      <c r="H36" s="158"/>
      <c r="I36" s="159"/>
      <c r="J36" s="160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8"/>
      <c r="I37" s="159"/>
      <c r="J37" s="160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6"/>
      <c r="B38" s="29" t="s">
        <v>67</v>
      </c>
      <c r="C38" s="54"/>
      <c r="D38" s="12">
        <f>C38*84</f>
        <v>0</v>
      </c>
      <c r="F38" s="30">
        <v>50</v>
      </c>
      <c r="G38" s="39"/>
      <c r="H38" s="158"/>
      <c r="I38" s="159"/>
      <c r="J38" s="160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7"/>
      <c r="B39" s="29" t="s">
        <v>69</v>
      </c>
      <c r="C39" s="52"/>
      <c r="D39" s="31">
        <f>C39*4.5</f>
        <v>0</v>
      </c>
      <c r="F39" s="12">
        <v>20</v>
      </c>
      <c r="G39" s="37"/>
      <c r="H39" s="158"/>
      <c r="I39" s="159"/>
      <c r="J39" s="16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8"/>
      <c r="I40" s="159"/>
      <c r="J40" s="160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6"/>
      <c r="B41" s="27" t="s">
        <v>67</v>
      </c>
      <c r="C41" s="10"/>
      <c r="D41" s="12">
        <f>C41*84</f>
        <v>0</v>
      </c>
      <c r="F41" s="12">
        <v>5</v>
      </c>
      <c r="G41" s="42"/>
      <c r="H41" s="158"/>
      <c r="I41" s="159"/>
      <c r="J41" s="160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7"/>
      <c r="B42" s="27" t="s">
        <v>69</v>
      </c>
      <c r="C42" s="11"/>
      <c r="D42" s="12">
        <f>C42*2.25</f>
        <v>0</v>
      </c>
      <c r="F42" s="39" t="s">
        <v>78</v>
      </c>
      <c r="G42" s="158"/>
      <c r="H42" s="159"/>
      <c r="I42" s="159"/>
      <c r="J42" s="160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8" t="s">
        <v>80</v>
      </c>
      <c r="C43" s="11"/>
      <c r="D43" s="12"/>
      <c r="F43" s="59" t="s">
        <v>81</v>
      </c>
      <c r="G43" s="93" t="s">
        <v>82</v>
      </c>
      <c r="H43" s="150" t="s">
        <v>13</v>
      </c>
      <c r="I43" s="151"/>
      <c r="J43" s="152"/>
      <c r="K43" s="21"/>
      <c r="P43" s="4"/>
      <c r="Q43" s="4"/>
      <c r="R43" s="5"/>
    </row>
    <row r="44" spans="1:18" ht="15.75" x14ac:dyDescent="0.25">
      <c r="A44" s="129"/>
      <c r="B44" s="27" t="s">
        <v>65</v>
      </c>
      <c r="C44" s="10"/>
      <c r="D44" s="12">
        <f>C44*120</f>
        <v>0</v>
      </c>
      <c r="F44" s="37"/>
      <c r="G44" s="76"/>
      <c r="H44" s="153"/>
      <c r="I44" s="153"/>
      <c r="J44" s="153"/>
      <c r="K44" s="21"/>
      <c r="P44" s="4"/>
      <c r="Q44" s="4"/>
      <c r="R44" s="5"/>
    </row>
    <row r="45" spans="1:18" ht="15.75" x14ac:dyDescent="0.25">
      <c r="A45" s="129"/>
      <c r="B45" s="27" t="s">
        <v>67</v>
      </c>
      <c r="C45" s="33"/>
      <c r="D45" s="12">
        <f>C45*84</f>
        <v>0</v>
      </c>
      <c r="F45" s="37"/>
      <c r="G45" s="76"/>
      <c r="H45" s="153"/>
      <c r="I45" s="153"/>
      <c r="J45" s="153"/>
      <c r="K45" s="21"/>
      <c r="P45" s="4"/>
      <c r="Q45" s="4"/>
      <c r="R45" s="5"/>
    </row>
    <row r="46" spans="1:18" ht="15.75" x14ac:dyDescent="0.25">
      <c r="A46" s="129"/>
      <c r="B46" s="49" t="s">
        <v>69</v>
      </c>
      <c r="C46" s="81"/>
      <c r="D46" s="12">
        <f>C46*1.5</f>
        <v>0</v>
      </c>
      <c r="F46" s="37"/>
      <c r="G46" s="62"/>
      <c r="H46" s="154"/>
      <c r="I46" s="154"/>
      <c r="J46" s="154"/>
      <c r="K46" s="21"/>
      <c r="P46" s="4"/>
      <c r="Q46" s="4"/>
      <c r="R46" s="5"/>
    </row>
    <row r="47" spans="1:18" ht="15.75" x14ac:dyDescent="0.25">
      <c r="A47" s="130"/>
      <c r="B47" s="27"/>
      <c r="C47" s="11"/>
      <c r="D47" s="12"/>
      <c r="F47" s="59"/>
      <c r="G47" s="59"/>
      <c r="H47" s="131"/>
      <c r="I47" s="132"/>
      <c r="J47" s="133"/>
      <c r="K47" s="21"/>
      <c r="P47" s="4"/>
      <c r="Q47" s="4"/>
      <c r="R47" s="5"/>
    </row>
    <row r="48" spans="1:18" ht="15" customHeight="1" x14ac:dyDescent="0.25">
      <c r="A48" s="128" t="s">
        <v>32</v>
      </c>
      <c r="B48" s="27" t="s">
        <v>65</v>
      </c>
      <c r="C48" s="10"/>
      <c r="D48" s="12">
        <f>C48*78</f>
        <v>0</v>
      </c>
      <c r="F48" s="59"/>
      <c r="G48" s="59"/>
      <c r="H48" s="131"/>
      <c r="I48" s="132"/>
      <c r="J48" s="13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9"/>
      <c r="B49" s="29" t="s">
        <v>67</v>
      </c>
      <c r="C49" s="33"/>
      <c r="D49" s="12">
        <f>C49*42</f>
        <v>0</v>
      </c>
      <c r="F49" s="134" t="s">
        <v>85</v>
      </c>
      <c r="G49" s="136">
        <f>H34+H35+H36+H37+H38+H39+H40+H41+G42+H44+H45+H46</f>
        <v>0</v>
      </c>
      <c r="H49" s="137"/>
      <c r="I49" s="137"/>
      <c r="J49" s="13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9"/>
      <c r="B50" s="32" t="s">
        <v>69</v>
      </c>
      <c r="C50" s="11"/>
      <c r="D50" s="12">
        <f>C50*1.5</f>
        <v>0</v>
      </c>
      <c r="F50" s="135"/>
      <c r="G50" s="139"/>
      <c r="H50" s="140"/>
      <c r="I50" s="140"/>
      <c r="J50" s="141"/>
      <c r="P50" s="4"/>
      <c r="Q50" s="4"/>
      <c r="R50" s="5"/>
    </row>
    <row r="51" spans="1:18" ht="15" customHeight="1" x14ac:dyDescent="0.25">
      <c r="A51" s="129"/>
      <c r="B51" s="27"/>
      <c r="C51" s="10"/>
      <c r="D51" s="31"/>
      <c r="F51" s="142" t="s">
        <v>106</v>
      </c>
      <c r="G51" s="144">
        <f>G49-H29</f>
        <v>0</v>
      </c>
      <c r="H51" s="145"/>
      <c r="I51" s="145"/>
      <c r="J51" s="146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9"/>
      <c r="B52" s="29"/>
      <c r="C52" s="33"/>
      <c r="D52" s="45"/>
      <c r="F52" s="143"/>
      <c r="G52" s="147"/>
      <c r="H52" s="148"/>
      <c r="I52" s="148"/>
      <c r="J52" s="14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4" t="s">
        <v>89</v>
      </c>
      <c r="B54" s="115"/>
      <c r="C54" s="116"/>
      <c r="D54" s="120">
        <f>SUM(D34:D53)</f>
        <v>0</v>
      </c>
      <c r="F54" s="21"/>
      <c r="J54" s="34"/>
    </row>
    <row r="55" spans="1:18" x14ac:dyDescent="0.25">
      <c r="A55" s="117"/>
      <c r="B55" s="118"/>
      <c r="C55" s="119"/>
      <c r="D55" s="1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2" t="s">
        <v>90</v>
      </c>
      <c r="B58" s="123"/>
      <c r="C58" s="123"/>
      <c r="D58" s="124"/>
      <c r="F58" s="122" t="s">
        <v>91</v>
      </c>
      <c r="G58" s="123"/>
      <c r="H58" s="123"/>
      <c r="I58" s="123"/>
      <c r="J58" s="124"/>
    </row>
    <row r="59" spans="1:18" x14ac:dyDescent="0.25">
      <c r="A59" s="125"/>
      <c r="B59" s="126"/>
      <c r="C59" s="126"/>
      <c r="D59" s="127"/>
      <c r="F59" s="125"/>
      <c r="G59" s="126"/>
      <c r="H59" s="126"/>
      <c r="I59" s="126"/>
      <c r="J59" s="12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4BC8DC-9C35-494E-924A-55B35D5980D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0" t="s">
        <v>1</v>
      </c>
      <c r="O1" s="210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1" t="s">
        <v>7</v>
      </c>
      <c r="B4" s="162"/>
      <c r="C4" s="162"/>
      <c r="D4" s="163"/>
      <c r="F4" s="211" t="s">
        <v>8</v>
      </c>
      <c r="G4" s="213">
        <v>1</v>
      </c>
      <c r="H4" s="215" t="s">
        <v>9</v>
      </c>
      <c r="I4" s="217">
        <v>46146</v>
      </c>
      <c r="J4" s="21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5" t="s">
        <v>7</v>
      </c>
      <c r="B5" s="15" t="s">
        <v>11</v>
      </c>
      <c r="C5" s="9" t="s">
        <v>12</v>
      </c>
      <c r="D5" s="25" t="s">
        <v>13</v>
      </c>
      <c r="F5" s="212"/>
      <c r="G5" s="214"/>
      <c r="H5" s="216"/>
      <c r="I5" s="219"/>
      <c r="J5" s="22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6"/>
      <c r="B6" s="16" t="s">
        <v>15</v>
      </c>
      <c r="C6" s="10">
        <v>344</v>
      </c>
      <c r="D6" s="13">
        <f t="shared" ref="D6:D28" si="1">C6*L6</f>
        <v>261784</v>
      </c>
      <c r="F6" s="221" t="s">
        <v>16</v>
      </c>
      <c r="G6" s="223" t="s">
        <v>99</v>
      </c>
      <c r="H6" s="224"/>
      <c r="I6" s="224"/>
      <c r="J6" s="22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6"/>
      <c r="B7" s="16" t="s">
        <v>18</v>
      </c>
      <c r="C7" s="10">
        <v>9</v>
      </c>
      <c r="D7" s="13">
        <f t="shared" si="1"/>
        <v>7029</v>
      </c>
      <c r="F7" s="222"/>
      <c r="G7" s="226"/>
      <c r="H7" s="227"/>
      <c r="I7" s="227"/>
      <c r="J7" s="22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6"/>
      <c r="B8" s="16" t="s">
        <v>20</v>
      </c>
      <c r="C8" s="10"/>
      <c r="D8" s="13">
        <f t="shared" si="1"/>
        <v>0</v>
      </c>
      <c r="F8" s="229" t="s">
        <v>21</v>
      </c>
      <c r="G8" s="230" t="s">
        <v>120</v>
      </c>
      <c r="H8" s="231"/>
      <c r="I8" s="231"/>
      <c r="J8" s="23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6"/>
      <c r="B9" s="16" t="s">
        <v>23</v>
      </c>
      <c r="C9" s="10">
        <v>25</v>
      </c>
      <c r="D9" s="13">
        <f t="shared" si="1"/>
        <v>18325</v>
      </c>
      <c r="F9" s="222"/>
      <c r="G9" s="233"/>
      <c r="H9" s="234"/>
      <c r="I9" s="234"/>
      <c r="J9" s="23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6"/>
      <c r="B10" t="s">
        <v>25</v>
      </c>
      <c r="C10" s="10"/>
      <c r="D10" s="13">
        <f t="shared" si="1"/>
        <v>0</v>
      </c>
      <c r="F10" s="221" t="s">
        <v>26</v>
      </c>
      <c r="G10" s="236" t="s">
        <v>108</v>
      </c>
      <c r="H10" s="237"/>
      <c r="I10" s="237"/>
      <c r="J10" s="238"/>
      <c r="K10" s="8"/>
      <c r="L10" s="6">
        <f>R36</f>
        <v>1032</v>
      </c>
      <c r="P10" s="4"/>
      <c r="Q10" s="4"/>
      <c r="R10" s="5"/>
    </row>
    <row r="11" spans="1:18" ht="15.75" x14ac:dyDescent="0.25">
      <c r="A11" s="156"/>
      <c r="B11" s="17" t="s">
        <v>28</v>
      </c>
      <c r="C11" s="10"/>
      <c r="D11" s="13">
        <f t="shared" si="1"/>
        <v>0</v>
      </c>
      <c r="F11" s="222"/>
      <c r="G11" s="233"/>
      <c r="H11" s="234"/>
      <c r="I11" s="234"/>
      <c r="J11" s="23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6"/>
      <c r="B12" s="17" t="s">
        <v>30</v>
      </c>
      <c r="C12" s="10">
        <v>2</v>
      </c>
      <c r="D12" s="48">
        <f t="shared" si="1"/>
        <v>1984</v>
      </c>
      <c r="F12" s="239" t="s">
        <v>33</v>
      </c>
      <c r="G12" s="240"/>
      <c r="H12" s="240"/>
      <c r="I12" s="240"/>
      <c r="J12" s="24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6"/>
      <c r="B13" s="17" t="s">
        <v>32</v>
      </c>
      <c r="C13" s="10">
        <v>3</v>
      </c>
      <c r="D13" s="48">
        <f t="shared" si="1"/>
        <v>921</v>
      </c>
      <c r="F13" s="242" t="s">
        <v>36</v>
      </c>
      <c r="G13" s="206"/>
      <c r="H13" s="197">
        <f>D29</f>
        <v>290296</v>
      </c>
      <c r="I13" s="198"/>
      <c r="J13" s="19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6"/>
      <c r="B14" s="14" t="s">
        <v>35</v>
      </c>
      <c r="C14" s="10">
        <v>23</v>
      </c>
      <c r="D14" s="31">
        <f t="shared" si="1"/>
        <v>253</v>
      </c>
      <c r="F14" s="200" t="s">
        <v>38</v>
      </c>
      <c r="G14" s="201"/>
      <c r="H14" s="202">
        <f>D54</f>
        <v>42017.25</v>
      </c>
      <c r="I14" s="203"/>
      <c r="J14" s="20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6"/>
      <c r="B15" s="14" t="s">
        <v>122</v>
      </c>
      <c r="C15" s="10"/>
      <c r="D15" s="31">
        <f t="shared" si="1"/>
        <v>0</v>
      </c>
      <c r="F15" s="205" t="s">
        <v>39</v>
      </c>
      <c r="G15" s="206"/>
      <c r="H15" s="207">
        <f>H13-H14</f>
        <v>248278.75</v>
      </c>
      <c r="I15" s="208"/>
      <c r="J15" s="20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6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67"/>
      <c r="I16" s="167"/>
      <c r="J16" s="16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6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78"/>
      <c r="I17" s="178"/>
      <c r="J17" s="17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6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78"/>
      <c r="I18" s="178"/>
      <c r="J18" s="17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6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67"/>
      <c r="I19" s="167"/>
      <c r="J19" s="16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6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67">
        <v>200</v>
      </c>
      <c r="I20" s="167"/>
      <c r="J20" s="16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6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0" t="s">
        <v>13</v>
      </c>
      <c r="I21" s="181"/>
      <c r="J21" s="18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6"/>
      <c r="B22" s="46" t="s">
        <v>103</v>
      </c>
      <c r="C22" s="10"/>
      <c r="D22" s="48">
        <f t="shared" si="1"/>
        <v>0</v>
      </c>
      <c r="F22" s="77"/>
      <c r="G22" s="73"/>
      <c r="H22" s="183"/>
      <c r="I22" s="183"/>
      <c r="J22" s="18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6"/>
      <c r="B23" s="14" t="s">
        <v>121</v>
      </c>
      <c r="C23" s="10"/>
      <c r="D23" s="48">
        <f t="shared" si="1"/>
        <v>0</v>
      </c>
      <c r="F23" s="77"/>
      <c r="G23" s="79"/>
      <c r="H23" s="251"/>
      <c r="I23" s="252"/>
      <c r="J23" s="25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6"/>
      <c r="B24" s="14" t="s">
        <v>128</v>
      </c>
      <c r="C24" s="10"/>
      <c r="D24" s="48">
        <f t="shared" si="1"/>
        <v>0</v>
      </c>
      <c r="F24" s="77"/>
      <c r="G24" s="79"/>
      <c r="H24" s="251"/>
      <c r="I24" s="252"/>
      <c r="J24" s="25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5" t="s">
        <v>13</v>
      </c>
      <c r="I25" s="186"/>
      <c r="J25" s="18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6"/>
      <c r="B26" s="14" t="s">
        <v>129</v>
      </c>
      <c r="C26" s="10"/>
      <c r="D26" s="48">
        <f t="shared" si="1"/>
        <v>0</v>
      </c>
      <c r="F26" s="75"/>
      <c r="G26" s="65"/>
      <c r="H26" s="153"/>
      <c r="I26" s="153"/>
      <c r="J26" s="15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6"/>
      <c r="B27" s="14" t="s">
        <v>130</v>
      </c>
      <c r="C27" s="10"/>
      <c r="D27" s="44">
        <f t="shared" si="1"/>
        <v>0</v>
      </c>
      <c r="F27" s="71"/>
      <c r="G27" s="93"/>
      <c r="H27" s="253"/>
      <c r="I27" s="254"/>
      <c r="J27" s="25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7"/>
      <c r="B28" s="46" t="s">
        <v>92</v>
      </c>
      <c r="C28" s="10"/>
      <c r="D28" s="48">
        <f t="shared" si="1"/>
        <v>0</v>
      </c>
      <c r="F28" s="96"/>
      <c r="G28" s="61"/>
      <c r="H28" s="194"/>
      <c r="I28" s="195"/>
      <c r="J28" s="19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8" t="s">
        <v>36</v>
      </c>
      <c r="B29" s="169"/>
      <c r="C29" s="170"/>
      <c r="D29" s="174">
        <f>SUM(D6:D28)</f>
        <v>290296</v>
      </c>
      <c r="F29" s="114" t="s">
        <v>54</v>
      </c>
      <c r="G29" s="176"/>
      <c r="H29" s="136">
        <f>H15-H16-H17-H18-H19-H20-H22-H23-H24+H26+H27+H28</f>
        <v>248078.75</v>
      </c>
      <c r="I29" s="137"/>
      <c r="J29" s="13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1"/>
      <c r="B30" s="172"/>
      <c r="C30" s="173"/>
      <c r="D30" s="175"/>
      <c r="F30" s="117"/>
      <c r="G30" s="177"/>
      <c r="H30" s="139"/>
      <c r="I30" s="140"/>
      <c r="J30" s="141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1" t="s">
        <v>57</v>
      </c>
      <c r="B32" s="162"/>
      <c r="C32" s="162"/>
      <c r="D32" s="163"/>
      <c r="F32" s="164" t="s">
        <v>58</v>
      </c>
      <c r="G32" s="165"/>
      <c r="H32" s="165"/>
      <c r="I32" s="165"/>
      <c r="J32" s="16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164" t="s">
        <v>13</v>
      </c>
      <c r="I33" s="165"/>
      <c r="J33" s="16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5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131</v>
      </c>
      <c r="H34" s="158">
        <f t="shared" ref="H34:H39" si="2">F34*G34</f>
        <v>131000</v>
      </c>
      <c r="I34" s="159"/>
      <c r="J34" s="16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6"/>
      <c r="B35" s="27" t="s">
        <v>67</v>
      </c>
      <c r="C35" s="52"/>
      <c r="D35" s="30">
        <f>C35*84</f>
        <v>0</v>
      </c>
      <c r="F35" s="58">
        <v>500</v>
      </c>
      <c r="G35" s="41">
        <v>74</v>
      </c>
      <c r="H35" s="158">
        <f t="shared" si="2"/>
        <v>37000</v>
      </c>
      <c r="I35" s="159"/>
      <c r="J35" s="16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7"/>
      <c r="B36" s="26" t="s">
        <v>69</v>
      </c>
      <c r="C36" s="10">
        <v>1</v>
      </c>
      <c r="D36" s="12">
        <f>C36*1.5</f>
        <v>1.5</v>
      </c>
      <c r="F36" s="12">
        <v>200</v>
      </c>
      <c r="G36" s="37"/>
      <c r="H36" s="158">
        <f t="shared" si="2"/>
        <v>0</v>
      </c>
      <c r="I36" s="159"/>
      <c r="J36" s="16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5" t="s">
        <v>71</v>
      </c>
      <c r="B37" s="28" t="s">
        <v>65</v>
      </c>
      <c r="C37" s="53">
        <v>358</v>
      </c>
      <c r="D37" s="12">
        <f>C37*111</f>
        <v>39738</v>
      </c>
      <c r="F37" s="12">
        <v>100</v>
      </c>
      <c r="G37" s="39">
        <v>47</v>
      </c>
      <c r="H37" s="158">
        <f t="shared" si="2"/>
        <v>4700</v>
      </c>
      <c r="I37" s="159"/>
      <c r="J37" s="16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6"/>
      <c r="B38" s="29" t="s">
        <v>67</v>
      </c>
      <c r="C38" s="54">
        <v>3</v>
      </c>
      <c r="D38" s="12">
        <f>C38*84</f>
        <v>252</v>
      </c>
      <c r="F38" s="30">
        <v>50</v>
      </c>
      <c r="G38" s="39">
        <v>1</v>
      </c>
      <c r="H38" s="158">
        <f t="shared" si="2"/>
        <v>50</v>
      </c>
      <c r="I38" s="159"/>
      <c r="J38" s="16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7"/>
      <c r="B39" s="29" t="s">
        <v>69</v>
      </c>
      <c r="C39" s="52">
        <v>7</v>
      </c>
      <c r="D39" s="31">
        <f>C39*4.5</f>
        <v>31.5</v>
      </c>
      <c r="F39" s="12">
        <v>20</v>
      </c>
      <c r="G39" s="37"/>
      <c r="H39" s="158">
        <f t="shared" si="2"/>
        <v>0</v>
      </c>
      <c r="I39" s="159"/>
      <c r="J39" s="16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5" t="s">
        <v>75</v>
      </c>
      <c r="B40" s="27" t="s">
        <v>65</v>
      </c>
      <c r="C40" s="63">
        <v>7</v>
      </c>
      <c r="D40" s="12">
        <f>C40*111</f>
        <v>777</v>
      </c>
      <c r="F40" s="12">
        <v>10</v>
      </c>
      <c r="G40" s="42"/>
      <c r="H40" s="158"/>
      <c r="I40" s="159"/>
      <c r="J40" s="16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6"/>
      <c r="B41" s="27" t="s">
        <v>67</v>
      </c>
      <c r="C41" s="10">
        <v>8</v>
      </c>
      <c r="D41" s="12">
        <f>C41*84</f>
        <v>672</v>
      </c>
      <c r="F41" s="12">
        <v>5</v>
      </c>
      <c r="G41" s="42"/>
      <c r="H41" s="158"/>
      <c r="I41" s="159"/>
      <c r="J41" s="16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7"/>
      <c r="B42" s="27" t="s">
        <v>69</v>
      </c>
      <c r="C42" s="11">
        <v>9</v>
      </c>
      <c r="D42" s="12">
        <f>C42*2.25</f>
        <v>20.25</v>
      </c>
      <c r="F42" s="39" t="s">
        <v>78</v>
      </c>
      <c r="G42" s="158">
        <v>45</v>
      </c>
      <c r="H42" s="159"/>
      <c r="I42" s="159"/>
      <c r="J42" s="16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8" t="s">
        <v>80</v>
      </c>
      <c r="C43" s="11"/>
      <c r="D43" s="12"/>
      <c r="F43" s="59" t="s">
        <v>81</v>
      </c>
      <c r="G43" s="93" t="s">
        <v>82</v>
      </c>
      <c r="H43" s="150" t="s">
        <v>13</v>
      </c>
      <c r="I43" s="151"/>
      <c r="J43" s="15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9"/>
      <c r="B44" s="27" t="s">
        <v>65</v>
      </c>
      <c r="C44" s="10">
        <v>1</v>
      </c>
      <c r="D44" s="12">
        <f>C44*120</f>
        <v>120</v>
      </c>
      <c r="F44" s="37" t="s">
        <v>136</v>
      </c>
      <c r="G44" s="103" t="s">
        <v>141</v>
      </c>
      <c r="H44" s="153">
        <v>65000</v>
      </c>
      <c r="I44" s="153"/>
      <c r="J44" s="15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9"/>
      <c r="B45" s="27" t="s">
        <v>67</v>
      </c>
      <c r="C45" s="33">
        <v>1</v>
      </c>
      <c r="D45" s="12">
        <f>C45*84</f>
        <v>84</v>
      </c>
      <c r="F45" s="37" t="s">
        <v>137</v>
      </c>
      <c r="G45" s="62"/>
      <c r="H45" s="153">
        <v>2600</v>
      </c>
      <c r="I45" s="153"/>
      <c r="J45" s="153"/>
      <c r="K45" s="21"/>
      <c r="P45" s="4"/>
      <c r="Q45" s="4"/>
      <c r="R45" s="5"/>
    </row>
    <row r="46" spans="1:18" ht="15.75" x14ac:dyDescent="0.25">
      <c r="A46" s="129"/>
      <c r="B46" s="49" t="s">
        <v>69</v>
      </c>
      <c r="C46" s="81">
        <v>8</v>
      </c>
      <c r="D46" s="12">
        <f>C46*1.5</f>
        <v>12</v>
      </c>
      <c r="F46" s="37" t="s">
        <v>137</v>
      </c>
      <c r="G46" s="62"/>
      <c r="H46" s="153">
        <v>9750</v>
      </c>
      <c r="I46" s="153"/>
      <c r="J46" s="153"/>
      <c r="K46" s="21"/>
      <c r="P46" s="4"/>
      <c r="Q46" s="4"/>
      <c r="R46" s="5"/>
    </row>
    <row r="47" spans="1:18" ht="15.75" x14ac:dyDescent="0.25">
      <c r="A47" s="130"/>
      <c r="B47" s="27"/>
      <c r="C47" s="11"/>
      <c r="D47" s="12"/>
      <c r="F47" s="59"/>
      <c r="G47" s="59"/>
      <c r="H47" s="131"/>
      <c r="I47" s="132"/>
      <c r="J47" s="133"/>
      <c r="K47" s="21"/>
      <c r="P47" s="4"/>
      <c r="Q47" s="4"/>
      <c r="R47" s="5"/>
    </row>
    <row r="48" spans="1:18" ht="15" customHeight="1" x14ac:dyDescent="0.25">
      <c r="A48" s="128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131"/>
      <c r="I48" s="132"/>
      <c r="J48" s="13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9"/>
      <c r="B49" s="29" t="s">
        <v>67</v>
      </c>
      <c r="C49" s="33">
        <v>1</v>
      </c>
      <c r="D49" s="12">
        <f>C49*42</f>
        <v>42</v>
      </c>
      <c r="F49" s="134" t="s">
        <v>85</v>
      </c>
      <c r="G49" s="136">
        <f>H34+H35+H36+H37+H38+H39+H40+H41+G42+H44+H45+H46</f>
        <v>250145</v>
      </c>
      <c r="H49" s="137"/>
      <c r="I49" s="137"/>
      <c r="J49" s="13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9"/>
      <c r="B50" s="32" t="s">
        <v>69</v>
      </c>
      <c r="C50" s="11">
        <v>22</v>
      </c>
      <c r="D50" s="12">
        <f>C50*1.5</f>
        <v>33</v>
      </c>
      <c r="F50" s="135"/>
      <c r="G50" s="139"/>
      <c r="H50" s="140"/>
      <c r="I50" s="140"/>
      <c r="J50" s="141"/>
      <c r="O50" t="s">
        <v>114</v>
      </c>
      <c r="P50" s="4">
        <v>1204</v>
      </c>
      <c r="Q50" s="4"/>
      <c r="R50" s="5"/>
    </row>
    <row r="51" spans="1:18" ht="15" customHeight="1" x14ac:dyDescent="0.25">
      <c r="A51" s="129"/>
      <c r="B51" s="27"/>
      <c r="C51" s="10"/>
      <c r="D51" s="31"/>
      <c r="F51" s="243" t="s">
        <v>142</v>
      </c>
      <c r="G51" s="245">
        <f>G49-H29</f>
        <v>2066.25</v>
      </c>
      <c r="H51" s="246"/>
      <c r="I51" s="246"/>
      <c r="J51" s="24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9"/>
      <c r="B52" s="29"/>
      <c r="C52" s="33"/>
      <c r="D52" s="45"/>
      <c r="F52" s="244"/>
      <c r="G52" s="248"/>
      <c r="H52" s="249"/>
      <c r="I52" s="249"/>
      <c r="J52" s="25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4" t="s">
        <v>89</v>
      </c>
      <c r="B54" s="115"/>
      <c r="C54" s="116"/>
      <c r="D54" s="120">
        <f>SUM(D34:D53)</f>
        <v>42017.25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7"/>
      <c r="B55" s="118"/>
      <c r="C55" s="119"/>
      <c r="D55" s="1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22" t="s">
        <v>90</v>
      </c>
      <c r="B58" s="123"/>
      <c r="C58" s="123"/>
      <c r="D58" s="124"/>
      <c r="F58" s="122" t="s">
        <v>91</v>
      </c>
      <c r="G58" s="123"/>
      <c r="H58" s="123"/>
      <c r="I58" s="123"/>
      <c r="J58" s="124"/>
    </row>
    <row r="59" spans="1:18" x14ac:dyDescent="0.25">
      <c r="A59" s="125"/>
      <c r="B59" s="126"/>
      <c r="C59" s="126"/>
      <c r="D59" s="127"/>
      <c r="F59" s="125"/>
      <c r="G59" s="126"/>
      <c r="H59" s="126"/>
      <c r="I59" s="126"/>
      <c r="J59" s="12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DE12C-97E5-4DE5-BDD4-7748303F42B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0" t="s">
        <v>1</v>
      </c>
      <c r="O1" s="210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1" t="s">
        <v>7</v>
      </c>
      <c r="B4" s="162"/>
      <c r="C4" s="162"/>
      <c r="D4" s="163"/>
      <c r="F4" s="211" t="s">
        <v>8</v>
      </c>
      <c r="G4" s="213">
        <v>2</v>
      </c>
      <c r="H4" s="215" t="s">
        <v>9</v>
      </c>
      <c r="I4" s="217">
        <v>46146</v>
      </c>
      <c r="J4" s="21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5" t="s">
        <v>7</v>
      </c>
      <c r="B5" s="15" t="s">
        <v>11</v>
      </c>
      <c r="C5" s="9" t="s">
        <v>12</v>
      </c>
      <c r="D5" s="25" t="s">
        <v>13</v>
      </c>
      <c r="F5" s="212"/>
      <c r="G5" s="214"/>
      <c r="H5" s="216"/>
      <c r="I5" s="219"/>
      <c r="J5" s="22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6"/>
      <c r="B6" s="16" t="s">
        <v>15</v>
      </c>
      <c r="C6" s="10">
        <v>344</v>
      </c>
      <c r="D6" s="13">
        <f t="shared" ref="D6:D28" si="1">C6*L6</f>
        <v>261784</v>
      </c>
      <c r="F6" s="221" t="s">
        <v>16</v>
      </c>
      <c r="G6" s="223" t="s">
        <v>107</v>
      </c>
      <c r="H6" s="224"/>
      <c r="I6" s="224"/>
      <c r="J6" s="22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6"/>
      <c r="B7" s="16" t="s">
        <v>18</v>
      </c>
      <c r="C7" s="10">
        <v>5</v>
      </c>
      <c r="D7" s="13">
        <f t="shared" si="1"/>
        <v>3905</v>
      </c>
      <c r="F7" s="222"/>
      <c r="G7" s="226"/>
      <c r="H7" s="227"/>
      <c r="I7" s="227"/>
      <c r="J7" s="22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6"/>
      <c r="B8" s="16" t="s">
        <v>20</v>
      </c>
      <c r="C8" s="10"/>
      <c r="D8" s="13">
        <f t="shared" si="1"/>
        <v>0</v>
      </c>
      <c r="F8" s="229" t="s">
        <v>21</v>
      </c>
      <c r="G8" s="230" t="s">
        <v>100</v>
      </c>
      <c r="H8" s="231"/>
      <c r="I8" s="231"/>
      <c r="J8" s="23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6"/>
      <c r="B9" s="16" t="s">
        <v>23</v>
      </c>
      <c r="C9" s="10">
        <v>21</v>
      </c>
      <c r="D9" s="13">
        <f t="shared" si="1"/>
        <v>15393</v>
      </c>
      <c r="F9" s="222"/>
      <c r="G9" s="233"/>
      <c r="H9" s="234"/>
      <c r="I9" s="234"/>
      <c r="J9" s="23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6"/>
      <c r="B10" t="s">
        <v>25</v>
      </c>
      <c r="C10" s="10"/>
      <c r="D10" s="13">
        <f t="shared" si="1"/>
        <v>0</v>
      </c>
      <c r="F10" s="221" t="s">
        <v>26</v>
      </c>
      <c r="G10" s="236" t="s">
        <v>101</v>
      </c>
      <c r="H10" s="237"/>
      <c r="I10" s="237"/>
      <c r="J10" s="238"/>
      <c r="K10" s="8"/>
      <c r="L10" s="6">
        <f>R36</f>
        <v>1032</v>
      </c>
      <c r="P10" s="4"/>
      <c r="Q10" s="4"/>
      <c r="R10" s="5"/>
    </row>
    <row r="11" spans="1:18" ht="15.75" x14ac:dyDescent="0.25">
      <c r="A11" s="156"/>
      <c r="B11" s="17" t="s">
        <v>28</v>
      </c>
      <c r="C11" s="10"/>
      <c r="D11" s="13">
        <f t="shared" si="1"/>
        <v>0</v>
      </c>
      <c r="F11" s="222"/>
      <c r="G11" s="233"/>
      <c r="H11" s="234"/>
      <c r="I11" s="234"/>
      <c r="J11" s="23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6"/>
      <c r="B12" s="17" t="s">
        <v>30</v>
      </c>
      <c r="C12" s="10"/>
      <c r="D12" s="48">
        <f t="shared" si="1"/>
        <v>0</v>
      </c>
      <c r="F12" s="239" t="s">
        <v>33</v>
      </c>
      <c r="G12" s="240"/>
      <c r="H12" s="240"/>
      <c r="I12" s="240"/>
      <c r="J12" s="24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6"/>
      <c r="B13" s="17" t="s">
        <v>32</v>
      </c>
      <c r="C13" s="10">
        <v>12</v>
      </c>
      <c r="D13" s="48">
        <f t="shared" si="1"/>
        <v>3684</v>
      </c>
      <c r="F13" s="242" t="s">
        <v>36</v>
      </c>
      <c r="G13" s="206"/>
      <c r="H13" s="197">
        <f>D29</f>
        <v>285008</v>
      </c>
      <c r="I13" s="198"/>
      <c r="J13" s="19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6"/>
      <c r="B14" s="14" t="s">
        <v>35</v>
      </c>
      <c r="C14" s="10">
        <v>22</v>
      </c>
      <c r="D14" s="31">
        <f t="shared" si="1"/>
        <v>242</v>
      </c>
      <c r="F14" s="200" t="s">
        <v>38</v>
      </c>
      <c r="G14" s="201"/>
      <c r="H14" s="202">
        <f>D54</f>
        <v>42628.5</v>
      </c>
      <c r="I14" s="203"/>
      <c r="J14" s="20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6"/>
      <c r="B15" s="14" t="s">
        <v>122</v>
      </c>
      <c r="C15" s="10"/>
      <c r="D15" s="31">
        <f t="shared" si="1"/>
        <v>0</v>
      </c>
      <c r="F15" s="205" t="s">
        <v>39</v>
      </c>
      <c r="G15" s="206"/>
      <c r="H15" s="207">
        <f>H13-H14</f>
        <v>242379.5</v>
      </c>
      <c r="I15" s="208"/>
      <c r="J15" s="20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6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67">
        <v>1296</v>
      </c>
      <c r="I16" s="167"/>
      <c r="J16" s="16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6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78"/>
      <c r="I17" s="178"/>
      <c r="J17" s="17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6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78"/>
      <c r="I18" s="178"/>
      <c r="J18" s="17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6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61"/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6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78"/>
      <c r="I20" s="178"/>
      <c r="J20" s="17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6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0" t="s">
        <v>13</v>
      </c>
      <c r="I21" s="181"/>
      <c r="J21" s="18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6"/>
      <c r="B22" s="46" t="s">
        <v>103</v>
      </c>
      <c r="C22" s="10"/>
      <c r="D22" s="48">
        <f t="shared" si="1"/>
        <v>0</v>
      </c>
      <c r="F22" s="72"/>
      <c r="G22" s="73"/>
      <c r="H22" s="183"/>
      <c r="I22" s="183"/>
      <c r="J22" s="18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6"/>
      <c r="B23" s="14" t="s">
        <v>121</v>
      </c>
      <c r="C23" s="10"/>
      <c r="D23" s="48">
        <f t="shared" si="1"/>
        <v>0</v>
      </c>
      <c r="F23" s="25"/>
      <c r="G23" s="37"/>
      <c r="H23" s="184"/>
      <c r="I23" s="153"/>
      <c r="J23" s="15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6"/>
      <c r="B24" s="14" t="s">
        <v>128</v>
      </c>
      <c r="C24" s="10"/>
      <c r="D24" s="48">
        <f t="shared" si="1"/>
        <v>0</v>
      </c>
      <c r="F24" s="38"/>
      <c r="G24" s="37"/>
      <c r="H24" s="184"/>
      <c r="I24" s="153"/>
      <c r="J24" s="15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5" t="s">
        <v>13</v>
      </c>
      <c r="I25" s="186"/>
      <c r="J25" s="18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6"/>
      <c r="B26" s="14" t="s">
        <v>129</v>
      </c>
      <c r="C26" s="10"/>
      <c r="D26" s="48">
        <f t="shared" si="1"/>
        <v>0</v>
      </c>
      <c r="F26" s="64"/>
      <c r="G26" s="10"/>
      <c r="H26" s="188"/>
      <c r="I26" s="189"/>
      <c r="J26" s="19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6"/>
      <c r="B27" s="14" t="s">
        <v>130</v>
      </c>
      <c r="C27" s="10"/>
      <c r="D27" s="44">
        <f t="shared" si="1"/>
        <v>0</v>
      </c>
      <c r="F27" s="14"/>
      <c r="G27" s="14"/>
      <c r="H27" s="191"/>
      <c r="I27" s="192"/>
      <c r="J27" s="19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7"/>
      <c r="B28" s="46" t="s">
        <v>92</v>
      </c>
      <c r="C28" s="10"/>
      <c r="D28" s="48">
        <f t="shared" si="1"/>
        <v>0</v>
      </c>
      <c r="F28" s="96"/>
      <c r="G28" s="61"/>
      <c r="H28" s="194"/>
      <c r="I28" s="195"/>
      <c r="J28" s="19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8" t="s">
        <v>36</v>
      </c>
      <c r="B29" s="169"/>
      <c r="C29" s="170"/>
      <c r="D29" s="174">
        <f>SUM(D6:D28)</f>
        <v>285008</v>
      </c>
      <c r="F29" s="114" t="s">
        <v>54</v>
      </c>
      <c r="G29" s="176"/>
      <c r="H29" s="136">
        <f>H15-H16-H17-H18-H19-H20-H22-H23-H24+H26+H27</f>
        <v>241083.5</v>
      </c>
      <c r="I29" s="137"/>
      <c r="J29" s="13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1"/>
      <c r="B30" s="172"/>
      <c r="C30" s="173"/>
      <c r="D30" s="175"/>
      <c r="F30" s="117"/>
      <c r="G30" s="177"/>
      <c r="H30" s="139"/>
      <c r="I30" s="140"/>
      <c r="J30" s="141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1" t="s">
        <v>57</v>
      </c>
      <c r="B32" s="162"/>
      <c r="C32" s="162"/>
      <c r="D32" s="163"/>
      <c r="F32" s="164" t="s">
        <v>58</v>
      </c>
      <c r="G32" s="165"/>
      <c r="H32" s="165"/>
      <c r="I32" s="165"/>
      <c r="J32" s="16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164" t="s">
        <v>13</v>
      </c>
      <c r="I33" s="165"/>
      <c r="J33" s="16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5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221</v>
      </c>
      <c r="H34" s="158">
        <f>F34*G34</f>
        <v>221000</v>
      </c>
      <c r="I34" s="159"/>
      <c r="J34" s="16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6"/>
      <c r="B35" s="27" t="s">
        <v>67</v>
      </c>
      <c r="C35" s="52"/>
      <c r="D35" s="30">
        <f>C35*84</f>
        <v>0</v>
      </c>
      <c r="F35" s="58">
        <v>500</v>
      </c>
      <c r="G35" s="41">
        <v>37</v>
      </c>
      <c r="H35" s="158">
        <f t="shared" ref="H35:H39" si="2">F35*G35</f>
        <v>18500</v>
      </c>
      <c r="I35" s="159"/>
      <c r="J35" s="16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7"/>
      <c r="B36" s="26" t="s">
        <v>69</v>
      </c>
      <c r="C36" s="10"/>
      <c r="D36" s="12">
        <f>C36*1.5</f>
        <v>0</v>
      </c>
      <c r="F36" s="12">
        <v>200</v>
      </c>
      <c r="G36" s="37"/>
      <c r="H36" s="158">
        <f>F36*G36</f>
        <v>0</v>
      </c>
      <c r="I36" s="159"/>
      <c r="J36" s="16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5" t="s">
        <v>71</v>
      </c>
      <c r="B37" s="28" t="s">
        <v>65</v>
      </c>
      <c r="C37" s="53">
        <v>369</v>
      </c>
      <c r="D37" s="12">
        <f>C37*111</f>
        <v>40959</v>
      </c>
      <c r="F37" s="12">
        <v>100</v>
      </c>
      <c r="G37" s="39">
        <v>2</v>
      </c>
      <c r="H37" s="158">
        <f t="shared" si="2"/>
        <v>200</v>
      </c>
      <c r="I37" s="159"/>
      <c r="J37" s="16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6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1</v>
      </c>
      <c r="H38" s="158">
        <f t="shared" si="2"/>
        <v>50</v>
      </c>
      <c r="I38" s="159"/>
      <c r="J38" s="16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7"/>
      <c r="B39" s="29" t="s">
        <v>69</v>
      </c>
      <c r="C39" s="52">
        <v>4</v>
      </c>
      <c r="D39" s="31">
        <f>C39*4.5</f>
        <v>18</v>
      </c>
      <c r="F39" s="12">
        <v>20</v>
      </c>
      <c r="G39" s="37">
        <v>2</v>
      </c>
      <c r="H39" s="158">
        <f t="shared" si="2"/>
        <v>40</v>
      </c>
      <c r="I39" s="159"/>
      <c r="J39" s="16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5" t="s">
        <v>75</v>
      </c>
      <c r="B40" s="27" t="s">
        <v>65</v>
      </c>
      <c r="C40" s="63">
        <v>5</v>
      </c>
      <c r="D40" s="12">
        <f>C40*111</f>
        <v>555</v>
      </c>
      <c r="F40" s="12">
        <v>10</v>
      </c>
      <c r="G40" s="42"/>
      <c r="H40" s="158"/>
      <c r="I40" s="159"/>
      <c r="J40" s="16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6"/>
      <c r="B41" s="27" t="s">
        <v>67</v>
      </c>
      <c r="C41" s="10"/>
      <c r="D41" s="12">
        <f>C41*84</f>
        <v>0</v>
      </c>
      <c r="F41" s="12">
        <v>5</v>
      </c>
      <c r="G41" s="42"/>
      <c r="H41" s="158"/>
      <c r="I41" s="159"/>
      <c r="J41" s="16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7"/>
      <c r="B42" s="27" t="s">
        <v>69</v>
      </c>
      <c r="C42" s="11"/>
      <c r="D42" s="12">
        <f>C42*2.25</f>
        <v>0</v>
      </c>
      <c r="F42" s="39" t="s">
        <v>78</v>
      </c>
      <c r="G42" s="158">
        <v>67</v>
      </c>
      <c r="H42" s="159"/>
      <c r="I42" s="159"/>
      <c r="J42" s="16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8" t="s">
        <v>80</v>
      </c>
      <c r="C43" s="11"/>
      <c r="D43" s="12"/>
      <c r="F43" s="59" t="s">
        <v>81</v>
      </c>
      <c r="G43" s="93" t="s">
        <v>82</v>
      </c>
      <c r="H43" s="150" t="s">
        <v>13</v>
      </c>
      <c r="I43" s="151"/>
      <c r="J43" s="15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9"/>
      <c r="B44" s="27" t="s">
        <v>65</v>
      </c>
      <c r="C44" s="10"/>
      <c r="D44" s="12">
        <f>C44*120</f>
        <v>0</v>
      </c>
      <c r="F44" s="37"/>
      <c r="G44" s="62"/>
      <c r="H44" s="153"/>
      <c r="I44" s="153"/>
      <c r="J44" s="15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9"/>
      <c r="B45" s="27" t="s">
        <v>67</v>
      </c>
      <c r="C45" s="33"/>
      <c r="D45" s="12">
        <f>C45*84</f>
        <v>0</v>
      </c>
      <c r="F45" s="37"/>
      <c r="G45" s="62"/>
      <c r="H45" s="153"/>
      <c r="I45" s="153"/>
      <c r="J45" s="153"/>
      <c r="K45" s="21"/>
      <c r="P45" s="4"/>
      <c r="Q45" s="4"/>
      <c r="R45" s="5"/>
    </row>
    <row r="46" spans="1:18" ht="15.75" x14ac:dyDescent="0.25">
      <c r="A46" s="129"/>
      <c r="B46" s="49" t="s">
        <v>69</v>
      </c>
      <c r="C46" s="81"/>
      <c r="D46" s="12">
        <f>C46*1.5</f>
        <v>0</v>
      </c>
      <c r="F46" s="37"/>
      <c r="G46" s="94"/>
      <c r="H46" s="154"/>
      <c r="I46" s="154"/>
      <c r="J46" s="154"/>
      <c r="K46" s="21"/>
      <c r="P46" s="4"/>
      <c r="Q46" s="4"/>
      <c r="R46" s="5"/>
    </row>
    <row r="47" spans="1:18" ht="15.75" x14ac:dyDescent="0.25">
      <c r="A47" s="130"/>
      <c r="B47" s="27"/>
      <c r="C47" s="11"/>
      <c r="D47" s="12"/>
      <c r="F47" s="59"/>
      <c r="G47" s="59"/>
      <c r="H47" s="131"/>
      <c r="I47" s="132"/>
      <c r="J47" s="133"/>
      <c r="K47" s="21"/>
      <c r="P47" s="4"/>
      <c r="Q47" s="4"/>
      <c r="R47" s="5"/>
    </row>
    <row r="48" spans="1:18" ht="15" customHeight="1" x14ac:dyDescent="0.25">
      <c r="A48" s="128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131"/>
      <c r="I48" s="132"/>
      <c r="J48" s="13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9"/>
      <c r="B49" s="29" t="s">
        <v>67</v>
      </c>
      <c r="C49" s="33">
        <v>11</v>
      </c>
      <c r="D49" s="12">
        <f>C49*42</f>
        <v>462</v>
      </c>
      <c r="F49" s="134" t="s">
        <v>85</v>
      </c>
      <c r="G49" s="136">
        <f>H34+H35+H36+H37+H38+H39+H40+H41+G42+H44+H45+H46</f>
        <v>239857</v>
      </c>
      <c r="H49" s="137"/>
      <c r="I49" s="137"/>
      <c r="J49" s="13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9"/>
      <c r="B50" s="32" t="s">
        <v>69</v>
      </c>
      <c r="C50" s="11">
        <v>3</v>
      </c>
      <c r="D50" s="12">
        <f>C50*1.5</f>
        <v>4.5</v>
      </c>
      <c r="F50" s="135"/>
      <c r="G50" s="139"/>
      <c r="H50" s="140"/>
      <c r="I50" s="140"/>
      <c r="J50" s="141"/>
      <c r="O50" t="s">
        <v>114</v>
      </c>
      <c r="P50" s="4">
        <v>1204</v>
      </c>
      <c r="Q50" s="4"/>
      <c r="R50" s="5"/>
    </row>
    <row r="51" spans="1:18" ht="15" customHeight="1" x14ac:dyDescent="0.25">
      <c r="A51" s="129"/>
      <c r="B51" s="27"/>
      <c r="C51" s="10"/>
      <c r="D51" s="31"/>
      <c r="F51" s="142" t="s">
        <v>131</v>
      </c>
      <c r="G51" s="255">
        <f>G49-H29</f>
        <v>-1226.5</v>
      </c>
      <c r="H51" s="256"/>
      <c r="I51" s="256"/>
      <c r="J51" s="25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9"/>
      <c r="B52" s="29"/>
      <c r="C52" s="33"/>
      <c r="D52" s="45"/>
      <c r="F52" s="143"/>
      <c r="G52" s="258"/>
      <c r="H52" s="259"/>
      <c r="I52" s="259"/>
      <c r="J52" s="2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4" t="s">
        <v>89</v>
      </c>
      <c r="B54" s="115"/>
      <c r="C54" s="116"/>
      <c r="D54" s="120">
        <f>SUM(D34:D53)</f>
        <v>42628.5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7"/>
      <c r="B55" s="118"/>
      <c r="C55" s="119"/>
      <c r="D55" s="1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22" t="s">
        <v>90</v>
      </c>
      <c r="B58" s="123"/>
      <c r="C58" s="123"/>
      <c r="D58" s="124"/>
      <c r="F58" s="122" t="s">
        <v>91</v>
      </c>
      <c r="G58" s="123"/>
      <c r="H58" s="123"/>
      <c r="I58" s="123"/>
      <c r="J58" s="124"/>
    </row>
    <row r="59" spans="1:18" x14ac:dyDescent="0.25">
      <c r="A59" s="125"/>
      <c r="B59" s="126"/>
      <c r="C59" s="126"/>
      <c r="D59" s="127"/>
      <c r="F59" s="125"/>
      <c r="G59" s="126"/>
      <c r="H59" s="126"/>
      <c r="I59" s="126"/>
      <c r="J59" s="12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375459-EBEB-44EA-BD15-F3772CC98A1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0" t="s">
        <v>1</v>
      </c>
      <c r="O1" s="210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1" t="s">
        <v>7</v>
      </c>
      <c r="B4" s="162"/>
      <c r="C4" s="162"/>
      <c r="D4" s="163"/>
      <c r="F4" s="211" t="s">
        <v>8</v>
      </c>
      <c r="G4" s="213">
        <v>3</v>
      </c>
      <c r="H4" s="215" t="s">
        <v>9</v>
      </c>
      <c r="I4" s="217">
        <v>46146</v>
      </c>
      <c r="J4" s="21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5" t="s">
        <v>7</v>
      </c>
      <c r="B5" s="15" t="s">
        <v>11</v>
      </c>
      <c r="C5" s="9" t="s">
        <v>12</v>
      </c>
      <c r="D5" s="25" t="s">
        <v>13</v>
      </c>
      <c r="F5" s="212"/>
      <c r="G5" s="214"/>
      <c r="H5" s="216"/>
      <c r="I5" s="219"/>
      <c r="J5" s="22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6"/>
      <c r="B6" s="16" t="s">
        <v>15</v>
      </c>
      <c r="C6" s="10">
        <v>484</v>
      </c>
      <c r="D6" s="13">
        <f t="shared" ref="D6:D28" si="1">C6*L6</f>
        <v>368324</v>
      </c>
      <c r="F6" s="221" t="s">
        <v>16</v>
      </c>
      <c r="G6" s="223" t="s">
        <v>117</v>
      </c>
      <c r="H6" s="224"/>
      <c r="I6" s="224"/>
      <c r="J6" s="22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6"/>
      <c r="B7" s="16" t="s">
        <v>18</v>
      </c>
      <c r="C7" s="10">
        <v>11</v>
      </c>
      <c r="D7" s="13">
        <f t="shared" si="1"/>
        <v>8591</v>
      </c>
      <c r="F7" s="222"/>
      <c r="G7" s="226"/>
      <c r="H7" s="227"/>
      <c r="I7" s="227"/>
      <c r="J7" s="22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6"/>
      <c r="B8" s="16" t="s">
        <v>20</v>
      </c>
      <c r="C8" s="10"/>
      <c r="D8" s="13">
        <f t="shared" si="1"/>
        <v>0</v>
      </c>
      <c r="F8" s="229" t="s">
        <v>21</v>
      </c>
      <c r="G8" s="230" t="s">
        <v>110</v>
      </c>
      <c r="H8" s="231"/>
      <c r="I8" s="231"/>
      <c r="J8" s="23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6"/>
      <c r="B9" s="16" t="s">
        <v>23</v>
      </c>
      <c r="C9" s="10">
        <v>58</v>
      </c>
      <c r="D9" s="13">
        <f t="shared" si="1"/>
        <v>42514</v>
      </c>
      <c r="F9" s="222"/>
      <c r="G9" s="233"/>
      <c r="H9" s="234"/>
      <c r="I9" s="234"/>
      <c r="J9" s="23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6"/>
      <c r="B10" t="s">
        <v>25</v>
      </c>
      <c r="C10" s="10">
        <v>2</v>
      </c>
      <c r="D10" s="13">
        <f t="shared" si="1"/>
        <v>2064</v>
      </c>
      <c r="F10" s="221" t="s">
        <v>26</v>
      </c>
      <c r="G10" s="236" t="s">
        <v>124</v>
      </c>
      <c r="H10" s="237"/>
      <c r="I10" s="237"/>
      <c r="J10" s="238"/>
      <c r="K10" s="8"/>
      <c r="L10" s="6">
        <f>R36</f>
        <v>1032</v>
      </c>
      <c r="P10" s="4"/>
      <c r="Q10" s="4"/>
      <c r="R10" s="5"/>
    </row>
    <row r="11" spans="1:18" ht="15.75" x14ac:dyDescent="0.25">
      <c r="A11" s="156"/>
      <c r="B11" s="17" t="s">
        <v>28</v>
      </c>
      <c r="C11" s="10"/>
      <c r="D11" s="13">
        <f t="shared" si="1"/>
        <v>0</v>
      </c>
      <c r="F11" s="222"/>
      <c r="G11" s="233"/>
      <c r="H11" s="234"/>
      <c r="I11" s="234"/>
      <c r="J11" s="23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6"/>
      <c r="B12" s="17" t="s">
        <v>30</v>
      </c>
      <c r="C12" s="10"/>
      <c r="D12" s="48">
        <f t="shared" si="1"/>
        <v>0</v>
      </c>
      <c r="F12" s="239" t="s">
        <v>33</v>
      </c>
      <c r="G12" s="240"/>
      <c r="H12" s="240"/>
      <c r="I12" s="240"/>
      <c r="J12" s="24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6"/>
      <c r="B13" s="17" t="s">
        <v>32</v>
      </c>
      <c r="C13" s="10">
        <v>16</v>
      </c>
      <c r="D13" s="48">
        <f t="shared" si="1"/>
        <v>4912</v>
      </c>
      <c r="F13" s="242" t="s">
        <v>36</v>
      </c>
      <c r="G13" s="206"/>
      <c r="H13" s="197">
        <f>D29</f>
        <v>426537</v>
      </c>
      <c r="I13" s="198"/>
      <c r="J13" s="19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6"/>
      <c r="B14" s="14" t="s">
        <v>35</v>
      </c>
      <c r="C14" s="10">
        <v>12</v>
      </c>
      <c r="D14" s="31">
        <f t="shared" si="1"/>
        <v>132</v>
      </c>
      <c r="F14" s="200" t="s">
        <v>38</v>
      </c>
      <c r="G14" s="201"/>
      <c r="H14" s="202">
        <f>D54</f>
        <v>63285</v>
      </c>
      <c r="I14" s="203"/>
      <c r="J14" s="20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6"/>
      <c r="B15" s="14" t="s">
        <v>122</v>
      </c>
      <c r="C15" s="10"/>
      <c r="D15" s="31">
        <f t="shared" si="1"/>
        <v>0</v>
      </c>
      <c r="F15" s="205" t="s">
        <v>39</v>
      </c>
      <c r="G15" s="206"/>
      <c r="H15" s="207">
        <f>H13-H14</f>
        <v>363252</v>
      </c>
      <c r="I15" s="208"/>
      <c r="J15" s="20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6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67">
        <f>1296+300+732</f>
        <v>2328</v>
      </c>
      <c r="I16" s="167"/>
      <c r="J16" s="16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6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78"/>
      <c r="I17" s="178"/>
      <c r="J17" s="17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6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78"/>
      <c r="I18" s="178"/>
      <c r="J18" s="17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6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62">
        <v>50</v>
      </c>
      <c r="I19" s="262"/>
      <c r="J19" s="26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6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67"/>
      <c r="I20" s="167"/>
      <c r="J20" s="16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6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0" t="s">
        <v>13</v>
      </c>
      <c r="I21" s="181"/>
      <c r="J21" s="18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6"/>
      <c r="B22" s="46" t="s">
        <v>103</v>
      </c>
      <c r="C22" s="10"/>
      <c r="D22" s="48">
        <f t="shared" si="1"/>
        <v>0</v>
      </c>
      <c r="F22" s="77"/>
      <c r="G22" s="73"/>
      <c r="H22" s="183"/>
      <c r="I22" s="183"/>
      <c r="J22" s="18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6"/>
      <c r="B23" s="14" t="s">
        <v>121</v>
      </c>
      <c r="C23" s="10"/>
      <c r="D23" s="48">
        <f t="shared" si="1"/>
        <v>0</v>
      </c>
      <c r="F23" s="78"/>
      <c r="G23" s="79"/>
      <c r="H23" s="184"/>
      <c r="I23" s="153"/>
      <c r="J23" s="15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6"/>
      <c r="B24" s="14" t="s">
        <v>128</v>
      </c>
      <c r="C24" s="10"/>
      <c r="D24" s="48">
        <f t="shared" si="1"/>
        <v>0</v>
      </c>
      <c r="F24" s="38"/>
      <c r="G24" s="37"/>
      <c r="H24" s="184"/>
      <c r="I24" s="153"/>
      <c r="J24" s="15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5" t="s">
        <v>13</v>
      </c>
      <c r="I25" s="186"/>
      <c r="J25" s="18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6"/>
      <c r="B26" s="14" t="s">
        <v>129</v>
      </c>
      <c r="C26" s="10"/>
      <c r="D26" s="48">
        <f t="shared" si="1"/>
        <v>0</v>
      </c>
      <c r="F26" s="64"/>
      <c r="G26" s="59"/>
      <c r="H26" s="188"/>
      <c r="I26" s="189"/>
      <c r="J26" s="19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6"/>
      <c r="B27" s="14" t="s">
        <v>130</v>
      </c>
      <c r="C27" s="10"/>
      <c r="D27" s="44">
        <f t="shared" si="1"/>
        <v>0</v>
      </c>
      <c r="F27" s="25"/>
      <c r="G27" s="80"/>
      <c r="H27" s="191"/>
      <c r="I27" s="192"/>
      <c r="J27" s="19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7"/>
      <c r="B28" s="46" t="s">
        <v>92</v>
      </c>
      <c r="C28" s="10"/>
      <c r="D28" s="48">
        <f t="shared" si="1"/>
        <v>0</v>
      </c>
      <c r="F28" s="96"/>
      <c r="G28" s="61"/>
      <c r="H28" s="194"/>
      <c r="I28" s="195"/>
      <c r="J28" s="19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8" t="s">
        <v>36</v>
      </c>
      <c r="B29" s="169"/>
      <c r="C29" s="170"/>
      <c r="D29" s="174">
        <f>SUM(D6:D28)</f>
        <v>426537</v>
      </c>
      <c r="F29" s="114" t="s">
        <v>54</v>
      </c>
      <c r="G29" s="176"/>
      <c r="H29" s="136">
        <f>H15-H16-H17-H18-H19-H20-H22-H23-H24+H26+H27</f>
        <v>360874</v>
      </c>
      <c r="I29" s="137"/>
      <c r="J29" s="13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1"/>
      <c r="B30" s="172"/>
      <c r="C30" s="173"/>
      <c r="D30" s="175"/>
      <c r="F30" s="117"/>
      <c r="G30" s="177"/>
      <c r="H30" s="139"/>
      <c r="I30" s="140"/>
      <c r="J30" s="141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1" t="s">
        <v>57</v>
      </c>
      <c r="B32" s="162"/>
      <c r="C32" s="162"/>
      <c r="D32" s="163"/>
      <c r="F32" s="164" t="s">
        <v>58</v>
      </c>
      <c r="G32" s="165"/>
      <c r="H32" s="165"/>
      <c r="I32" s="165"/>
      <c r="J32" s="16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164" t="s">
        <v>13</v>
      </c>
      <c r="I33" s="165"/>
      <c r="J33" s="16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5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177</v>
      </c>
      <c r="H34" s="158">
        <f>F34*G34</f>
        <v>177000</v>
      </c>
      <c r="I34" s="159"/>
      <c r="J34" s="16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6"/>
      <c r="B35" s="27" t="s">
        <v>67</v>
      </c>
      <c r="C35" s="52"/>
      <c r="D35" s="30">
        <f>C35*84</f>
        <v>0</v>
      </c>
      <c r="F35" s="58">
        <v>500</v>
      </c>
      <c r="G35" s="41">
        <v>201</v>
      </c>
      <c r="H35" s="158">
        <f>F35*G35</f>
        <v>100500</v>
      </c>
      <c r="I35" s="159"/>
      <c r="J35" s="16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7"/>
      <c r="B36" s="26" t="s">
        <v>69</v>
      </c>
      <c r="C36" s="10"/>
      <c r="D36" s="12">
        <f>C36*1.5</f>
        <v>0</v>
      </c>
      <c r="F36" s="12">
        <v>200</v>
      </c>
      <c r="G36" s="37"/>
      <c r="H36" s="158">
        <f t="shared" ref="H36:H39" si="2">F36*G36</f>
        <v>0</v>
      </c>
      <c r="I36" s="159"/>
      <c r="J36" s="16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5" t="s">
        <v>71</v>
      </c>
      <c r="B37" s="28" t="s">
        <v>65</v>
      </c>
      <c r="C37" s="53">
        <f>432+97</f>
        <v>529</v>
      </c>
      <c r="D37" s="12">
        <f>C37*111</f>
        <v>58719</v>
      </c>
      <c r="F37" s="12">
        <v>100</v>
      </c>
      <c r="G37" s="39">
        <v>51</v>
      </c>
      <c r="H37" s="158">
        <f t="shared" si="2"/>
        <v>5100</v>
      </c>
      <c r="I37" s="159"/>
      <c r="J37" s="16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6"/>
      <c r="B38" s="29" t="s">
        <v>67</v>
      </c>
      <c r="C38" s="54">
        <v>22</v>
      </c>
      <c r="D38" s="12">
        <f>C38*84</f>
        <v>1848</v>
      </c>
      <c r="F38" s="30">
        <v>50</v>
      </c>
      <c r="G38" s="39">
        <v>12</v>
      </c>
      <c r="H38" s="158">
        <f t="shared" si="2"/>
        <v>600</v>
      </c>
      <c r="I38" s="159"/>
      <c r="J38" s="16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7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158">
        <f t="shared" si="2"/>
        <v>0</v>
      </c>
      <c r="I39" s="159"/>
      <c r="J39" s="16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5" t="s">
        <v>75</v>
      </c>
      <c r="B40" s="27" t="s">
        <v>65</v>
      </c>
      <c r="C40" s="63">
        <v>10</v>
      </c>
      <c r="D40" s="12">
        <f>C40*111</f>
        <v>1110</v>
      </c>
      <c r="F40" s="12">
        <v>10</v>
      </c>
      <c r="G40" s="42"/>
      <c r="H40" s="158"/>
      <c r="I40" s="159"/>
      <c r="J40" s="16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6"/>
      <c r="B41" s="27" t="s">
        <v>67</v>
      </c>
      <c r="C41" s="10">
        <v>3</v>
      </c>
      <c r="D41" s="12">
        <f>C41*84</f>
        <v>252</v>
      </c>
      <c r="F41" s="12">
        <v>5</v>
      </c>
      <c r="G41" s="42"/>
      <c r="H41" s="158"/>
      <c r="I41" s="159"/>
      <c r="J41" s="16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7"/>
      <c r="B42" s="27" t="s">
        <v>69</v>
      </c>
      <c r="C42" s="11">
        <v>8</v>
      </c>
      <c r="D42" s="12">
        <f>C42*2.25</f>
        <v>18</v>
      </c>
      <c r="F42" s="39" t="s">
        <v>78</v>
      </c>
      <c r="G42" s="158">
        <v>101</v>
      </c>
      <c r="H42" s="159"/>
      <c r="I42" s="159"/>
      <c r="J42" s="16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8" t="s">
        <v>80</v>
      </c>
      <c r="C43" s="11"/>
      <c r="D43" s="12"/>
      <c r="F43" s="59" t="s">
        <v>81</v>
      </c>
      <c r="G43" s="93" t="s">
        <v>82</v>
      </c>
      <c r="H43" s="150" t="s">
        <v>13</v>
      </c>
      <c r="I43" s="151"/>
      <c r="J43" s="15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9"/>
      <c r="B44" s="27" t="s">
        <v>65</v>
      </c>
      <c r="C44" s="10">
        <v>2</v>
      </c>
      <c r="D44" s="12">
        <f>C44*120</f>
        <v>240</v>
      </c>
      <c r="F44" s="37" t="s">
        <v>132</v>
      </c>
      <c r="G44" s="62" t="s">
        <v>143</v>
      </c>
      <c r="H44" s="153">
        <v>79565</v>
      </c>
      <c r="I44" s="153"/>
      <c r="J44" s="15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9"/>
      <c r="B45" s="27" t="s">
        <v>67</v>
      </c>
      <c r="C45" s="33"/>
      <c r="D45" s="12">
        <f>C45*84</f>
        <v>0</v>
      </c>
      <c r="F45" s="37"/>
      <c r="G45" s="76"/>
      <c r="H45" s="153"/>
      <c r="I45" s="153"/>
      <c r="J45" s="153"/>
      <c r="K45" s="21"/>
      <c r="P45" s="4"/>
      <c r="Q45" s="4"/>
      <c r="R45" s="5"/>
    </row>
    <row r="46" spans="1:18" ht="15.75" x14ac:dyDescent="0.25">
      <c r="A46" s="129"/>
      <c r="B46" s="49" t="s">
        <v>69</v>
      </c>
      <c r="C46" s="81"/>
      <c r="D46" s="12">
        <f>C46*1.5</f>
        <v>0</v>
      </c>
      <c r="F46" s="37"/>
      <c r="G46" s="62"/>
      <c r="H46" s="154"/>
      <c r="I46" s="154"/>
      <c r="J46" s="154"/>
      <c r="K46" s="21"/>
      <c r="P46" s="4"/>
      <c r="Q46" s="4"/>
      <c r="R46" s="5"/>
    </row>
    <row r="47" spans="1:18" ht="15.75" x14ac:dyDescent="0.25">
      <c r="A47" s="130"/>
      <c r="B47" s="27"/>
      <c r="C47" s="11"/>
      <c r="D47" s="12"/>
      <c r="F47" s="59"/>
      <c r="G47" s="59"/>
      <c r="H47" s="131"/>
      <c r="I47" s="132"/>
      <c r="J47" s="133"/>
      <c r="K47" s="21"/>
      <c r="P47" s="4"/>
      <c r="Q47" s="4"/>
      <c r="R47" s="5"/>
    </row>
    <row r="48" spans="1:18" ht="15" customHeight="1" x14ac:dyDescent="0.25">
      <c r="A48" s="128" t="s">
        <v>32</v>
      </c>
      <c r="B48" s="27" t="s">
        <v>65</v>
      </c>
      <c r="C48" s="10">
        <v>13</v>
      </c>
      <c r="D48" s="12">
        <f>C48*78</f>
        <v>1014</v>
      </c>
      <c r="F48" s="59"/>
      <c r="G48" s="59"/>
      <c r="H48" s="131"/>
      <c r="I48" s="132"/>
      <c r="J48" s="13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9"/>
      <c r="B49" s="29" t="s">
        <v>67</v>
      </c>
      <c r="C49" s="33">
        <v>1</v>
      </c>
      <c r="D49" s="12">
        <f>C49*42</f>
        <v>42</v>
      </c>
      <c r="F49" s="134" t="s">
        <v>85</v>
      </c>
      <c r="G49" s="136">
        <f>H34+H35+H36+H37+H38+H39+H40+H41+G42+H44+H45+H46</f>
        <v>362866</v>
      </c>
      <c r="H49" s="137"/>
      <c r="I49" s="137"/>
      <c r="J49" s="13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9"/>
      <c r="B50" s="32" t="s">
        <v>69</v>
      </c>
      <c r="C50" s="11">
        <v>13</v>
      </c>
      <c r="D50" s="12">
        <f>C50*1.5</f>
        <v>19.5</v>
      </c>
      <c r="F50" s="135"/>
      <c r="G50" s="139"/>
      <c r="H50" s="140"/>
      <c r="I50" s="140"/>
      <c r="J50" s="141"/>
      <c r="O50" t="s">
        <v>114</v>
      </c>
      <c r="P50" s="4">
        <v>1204</v>
      </c>
      <c r="Q50" s="4"/>
      <c r="R50" s="5"/>
    </row>
    <row r="51" spans="1:18" ht="15" customHeight="1" x14ac:dyDescent="0.25">
      <c r="A51" s="129"/>
      <c r="B51" s="27"/>
      <c r="C51" s="10"/>
      <c r="D51" s="31"/>
      <c r="F51" s="142" t="s">
        <v>115</v>
      </c>
      <c r="G51" s="144">
        <f>G49-H29</f>
        <v>1992</v>
      </c>
      <c r="H51" s="145"/>
      <c r="I51" s="145"/>
      <c r="J51" s="14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9"/>
      <c r="B52" s="29"/>
      <c r="C52" s="33"/>
      <c r="D52" s="45"/>
      <c r="F52" s="143"/>
      <c r="G52" s="147"/>
      <c r="H52" s="148"/>
      <c r="I52" s="148"/>
      <c r="J52" s="14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4" t="s">
        <v>89</v>
      </c>
      <c r="B54" s="115"/>
      <c r="C54" s="116"/>
      <c r="D54" s="120">
        <f>SUM(D34:D53)</f>
        <v>63285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7"/>
      <c r="B55" s="118"/>
      <c r="C55" s="119"/>
      <c r="D55" s="1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2" t="s">
        <v>90</v>
      </c>
      <c r="B58" s="123"/>
      <c r="C58" s="123"/>
      <c r="D58" s="124"/>
      <c r="F58" s="122" t="s">
        <v>91</v>
      </c>
      <c r="G58" s="123"/>
      <c r="H58" s="123"/>
      <c r="I58" s="123"/>
      <c r="J58" s="124"/>
    </row>
    <row r="59" spans="1:18" x14ac:dyDescent="0.25">
      <c r="A59" s="125"/>
      <c r="B59" s="126"/>
      <c r="C59" s="126"/>
      <c r="D59" s="127"/>
      <c r="F59" s="125"/>
      <c r="G59" s="126"/>
      <c r="H59" s="126"/>
      <c r="I59" s="126"/>
      <c r="J59" s="12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0B753A-9F26-44C6-A6ED-0043AF28A941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0" t="s">
        <v>1</v>
      </c>
      <c r="O1" s="210"/>
      <c r="P1" s="95" t="s">
        <v>2</v>
      </c>
      <c r="Q1" s="9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1" t="s">
        <v>7</v>
      </c>
      <c r="B4" s="162"/>
      <c r="C4" s="162"/>
      <c r="D4" s="163"/>
      <c r="F4" s="211" t="s">
        <v>8</v>
      </c>
      <c r="G4" s="213"/>
      <c r="H4" s="215" t="s">
        <v>9</v>
      </c>
      <c r="I4" s="217"/>
      <c r="J4" s="21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5" t="s">
        <v>7</v>
      </c>
      <c r="B5" s="15" t="s">
        <v>11</v>
      </c>
      <c r="C5" s="9" t="s">
        <v>12</v>
      </c>
      <c r="D5" s="25" t="s">
        <v>13</v>
      </c>
      <c r="F5" s="212"/>
      <c r="G5" s="214"/>
      <c r="H5" s="216"/>
      <c r="I5" s="219"/>
      <c r="J5" s="22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6"/>
      <c r="B6" s="16"/>
      <c r="C6" s="10"/>
      <c r="D6" s="13">
        <f t="shared" ref="D6:D28" si="1">C6*L6</f>
        <v>0</v>
      </c>
      <c r="F6" s="221" t="s">
        <v>16</v>
      </c>
      <c r="G6" s="223"/>
      <c r="H6" s="224"/>
      <c r="I6" s="224"/>
      <c r="J6" s="22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6"/>
      <c r="B7" s="16"/>
      <c r="C7" s="10"/>
      <c r="D7" s="13">
        <f t="shared" si="1"/>
        <v>0</v>
      </c>
      <c r="F7" s="222"/>
      <c r="G7" s="226"/>
      <c r="H7" s="227"/>
      <c r="I7" s="227"/>
      <c r="J7" s="22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6"/>
      <c r="B8" s="16"/>
      <c r="C8" s="10"/>
      <c r="D8" s="13">
        <f t="shared" si="1"/>
        <v>0</v>
      </c>
      <c r="F8" s="229" t="s">
        <v>21</v>
      </c>
      <c r="G8" s="230"/>
      <c r="H8" s="231"/>
      <c r="I8" s="231"/>
      <c r="J8" s="23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6"/>
      <c r="B9" s="16"/>
      <c r="C9" s="10"/>
      <c r="D9" s="13">
        <f t="shared" si="1"/>
        <v>0</v>
      </c>
      <c r="F9" s="222"/>
      <c r="G9" s="233"/>
      <c r="H9" s="234"/>
      <c r="I9" s="234"/>
      <c r="J9" s="23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6"/>
      <c r="C10" s="10"/>
      <c r="D10" s="13">
        <f t="shared" si="1"/>
        <v>0</v>
      </c>
      <c r="F10" s="221" t="s">
        <v>26</v>
      </c>
      <c r="G10" s="236"/>
      <c r="H10" s="237"/>
      <c r="I10" s="237"/>
      <c r="J10" s="238"/>
      <c r="K10" s="8"/>
      <c r="L10" s="6">
        <f>R36</f>
        <v>972</v>
      </c>
      <c r="P10" s="4"/>
      <c r="Q10" s="4"/>
      <c r="R10" s="5"/>
    </row>
    <row r="11" spans="1:19" ht="15.75" x14ac:dyDescent="0.25">
      <c r="A11" s="156"/>
      <c r="B11" s="17"/>
      <c r="C11" s="10"/>
      <c r="D11" s="13">
        <f t="shared" si="1"/>
        <v>0</v>
      </c>
      <c r="F11" s="222"/>
      <c r="G11" s="233"/>
      <c r="H11" s="234"/>
      <c r="I11" s="234"/>
      <c r="J11" s="23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6"/>
      <c r="B12" s="17"/>
      <c r="C12" s="10"/>
      <c r="D12" s="48">
        <f t="shared" si="1"/>
        <v>0</v>
      </c>
      <c r="F12" s="239" t="s">
        <v>33</v>
      </c>
      <c r="G12" s="240"/>
      <c r="H12" s="240"/>
      <c r="I12" s="240"/>
      <c r="J12" s="24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6"/>
      <c r="B13" s="17"/>
      <c r="C13" s="10"/>
      <c r="D13" s="48">
        <f t="shared" si="1"/>
        <v>0</v>
      </c>
      <c r="F13" s="242" t="s">
        <v>36</v>
      </c>
      <c r="G13" s="206"/>
      <c r="H13" s="197">
        <f>D29</f>
        <v>0</v>
      </c>
      <c r="I13" s="198"/>
      <c r="J13" s="19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6"/>
      <c r="B14" s="14"/>
      <c r="C14" s="10"/>
      <c r="D14" s="31">
        <f t="shared" si="1"/>
        <v>0</v>
      </c>
      <c r="F14" s="200" t="s">
        <v>38</v>
      </c>
      <c r="G14" s="201"/>
      <c r="H14" s="202">
        <f>D54</f>
        <v>0</v>
      </c>
      <c r="I14" s="203"/>
      <c r="J14" s="20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6"/>
      <c r="B15" s="14"/>
      <c r="C15" s="10"/>
      <c r="D15" s="31">
        <f t="shared" si="1"/>
        <v>0</v>
      </c>
      <c r="F15" s="205" t="s">
        <v>39</v>
      </c>
      <c r="G15" s="206"/>
      <c r="H15" s="207">
        <f>H13-H14</f>
        <v>0</v>
      </c>
      <c r="I15" s="208"/>
      <c r="J15" s="20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6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7"/>
      <c r="I16" s="167"/>
      <c r="J16" s="16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6"/>
      <c r="C17" s="10"/>
      <c r="D17" s="48">
        <f t="shared" si="1"/>
        <v>0</v>
      </c>
      <c r="F17" s="56"/>
      <c r="G17" s="66" t="s">
        <v>44</v>
      </c>
      <c r="H17" s="178"/>
      <c r="I17" s="178"/>
      <c r="J17" s="17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6"/>
      <c r="B18" s="19"/>
      <c r="C18" s="10"/>
      <c r="D18" s="48">
        <f t="shared" si="1"/>
        <v>0</v>
      </c>
      <c r="F18" s="56"/>
      <c r="G18" s="66" t="s">
        <v>46</v>
      </c>
      <c r="H18" s="178"/>
      <c r="I18" s="178"/>
      <c r="J18" s="17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6"/>
      <c r="B19" s="14"/>
      <c r="C19" s="10"/>
      <c r="D19" s="48">
        <f t="shared" si="1"/>
        <v>0</v>
      </c>
      <c r="F19" s="56"/>
      <c r="G19" s="68" t="s">
        <v>49</v>
      </c>
      <c r="H19" s="179"/>
      <c r="I19" s="179"/>
      <c r="J19" s="17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6"/>
      <c r="B20" s="46"/>
      <c r="C20" s="10"/>
      <c r="D20" s="13">
        <f t="shared" si="1"/>
        <v>0</v>
      </c>
      <c r="F20" s="57"/>
      <c r="G20" s="70" t="s">
        <v>102</v>
      </c>
      <c r="H20" s="167"/>
      <c r="I20" s="167"/>
      <c r="J20" s="167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6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80" t="s">
        <v>13</v>
      </c>
      <c r="I21" s="181"/>
      <c r="J21" s="182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6"/>
      <c r="B22" s="46"/>
      <c r="C22" s="10"/>
      <c r="D22" s="48">
        <f t="shared" si="1"/>
        <v>0</v>
      </c>
      <c r="F22" s="77"/>
      <c r="G22" s="73"/>
      <c r="H22" s="183"/>
      <c r="I22" s="183"/>
      <c r="J22" s="183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6"/>
      <c r="B23" s="14"/>
      <c r="C23" s="10"/>
      <c r="D23" s="48">
        <f t="shared" si="1"/>
        <v>0</v>
      </c>
      <c r="F23" s="78"/>
      <c r="G23" s="79"/>
      <c r="H23" s="184"/>
      <c r="I23" s="153"/>
      <c r="J23" s="153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6"/>
      <c r="B24" s="14"/>
      <c r="C24" s="10"/>
      <c r="D24" s="48">
        <f t="shared" si="1"/>
        <v>0</v>
      </c>
      <c r="F24" s="38"/>
      <c r="G24" s="37"/>
      <c r="H24" s="184"/>
      <c r="I24" s="153"/>
      <c r="J24" s="153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6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5" t="s">
        <v>13</v>
      </c>
      <c r="I25" s="186"/>
      <c r="J25" s="187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6"/>
      <c r="B26" s="14"/>
      <c r="C26" s="10"/>
      <c r="D26" s="48">
        <f t="shared" si="1"/>
        <v>0</v>
      </c>
      <c r="F26" s="64"/>
      <c r="G26" s="59"/>
      <c r="H26" s="188"/>
      <c r="I26" s="189"/>
      <c r="J26" s="190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6"/>
      <c r="B27" s="14"/>
      <c r="C27" s="10"/>
      <c r="D27" s="44">
        <f t="shared" si="1"/>
        <v>0</v>
      </c>
      <c r="F27" s="25"/>
      <c r="G27" s="80"/>
      <c r="H27" s="191"/>
      <c r="I27" s="192"/>
      <c r="J27" s="193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7"/>
      <c r="B28" s="46"/>
      <c r="C28" s="10"/>
      <c r="D28" s="48">
        <f t="shared" si="1"/>
        <v>0</v>
      </c>
      <c r="F28" s="96"/>
      <c r="G28" s="61"/>
      <c r="H28" s="194"/>
      <c r="I28" s="195"/>
      <c r="J28" s="196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8" t="s">
        <v>36</v>
      </c>
      <c r="B29" s="169"/>
      <c r="C29" s="170"/>
      <c r="D29" s="174">
        <f>SUM(D6:D28)</f>
        <v>0</v>
      </c>
      <c r="F29" s="114" t="s">
        <v>54</v>
      </c>
      <c r="G29" s="176"/>
      <c r="H29" s="136">
        <f>H15-H16-H17-H18-H19-H20-H22-H23-H24+H26+H27</f>
        <v>0</v>
      </c>
      <c r="I29" s="137"/>
      <c r="J29" s="13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1"/>
      <c r="B30" s="172"/>
      <c r="C30" s="173"/>
      <c r="D30" s="175"/>
      <c r="F30" s="117"/>
      <c r="G30" s="177"/>
      <c r="H30" s="139"/>
      <c r="I30" s="140"/>
      <c r="J30" s="14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1" t="s">
        <v>57</v>
      </c>
      <c r="B32" s="162"/>
      <c r="C32" s="162"/>
      <c r="D32" s="163"/>
      <c r="F32" s="164" t="s">
        <v>58</v>
      </c>
      <c r="G32" s="165"/>
      <c r="H32" s="165"/>
      <c r="I32" s="165"/>
      <c r="J32" s="166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164" t="s">
        <v>13</v>
      </c>
      <c r="I33" s="165"/>
      <c r="J33" s="16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5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58"/>
      <c r="I34" s="159"/>
      <c r="J34" s="160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6"/>
      <c r="B35" s="27" t="s">
        <v>67</v>
      </c>
      <c r="C35" s="52"/>
      <c r="D35" s="30">
        <f>C35*84</f>
        <v>0</v>
      </c>
      <c r="F35" s="58">
        <v>500</v>
      </c>
      <c r="G35" s="41"/>
      <c r="H35" s="158"/>
      <c r="I35" s="159"/>
      <c r="J35" s="16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7"/>
      <c r="B36" s="26" t="s">
        <v>69</v>
      </c>
      <c r="C36" s="10"/>
      <c r="D36" s="12">
        <f>C36*1.5</f>
        <v>0</v>
      </c>
      <c r="F36" s="12">
        <v>200</v>
      </c>
      <c r="G36" s="37"/>
      <c r="H36" s="158"/>
      <c r="I36" s="159"/>
      <c r="J36" s="160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8"/>
      <c r="I37" s="159"/>
      <c r="J37" s="160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6"/>
      <c r="B38" s="29" t="s">
        <v>67</v>
      </c>
      <c r="C38" s="54"/>
      <c r="D38" s="12">
        <f>C38*84</f>
        <v>0</v>
      </c>
      <c r="F38" s="30">
        <v>50</v>
      </c>
      <c r="G38" s="39"/>
      <c r="H38" s="158"/>
      <c r="I38" s="159"/>
      <c r="J38" s="160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7"/>
      <c r="B39" s="29" t="s">
        <v>69</v>
      </c>
      <c r="C39" s="52"/>
      <c r="D39" s="31">
        <f>C39*4.5</f>
        <v>0</v>
      </c>
      <c r="F39" s="12">
        <v>20</v>
      </c>
      <c r="G39" s="37"/>
      <c r="H39" s="158"/>
      <c r="I39" s="159"/>
      <c r="J39" s="16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8"/>
      <c r="I40" s="159"/>
      <c r="J40" s="160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6"/>
      <c r="B41" s="27" t="s">
        <v>67</v>
      </c>
      <c r="C41" s="10"/>
      <c r="D41" s="12">
        <f>C41*84</f>
        <v>0</v>
      </c>
      <c r="F41" s="12">
        <v>5</v>
      </c>
      <c r="G41" s="42"/>
      <c r="H41" s="158"/>
      <c r="I41" s="159"/>
      <c r="J41" s="160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7"/>
      <c r="B42" s="27" t="s">
        <v>69</v>
      </c>
      <c r="C42" s="11"/>
      <c r="D42" s="12">
        <f>C42*2.25</f>
        <v>0</v>
      </c>
      <c r="F42" s="39" t="s">
        <v>78</v>
      </c>
      <c r="G42" s="158"/>
      <c r="H42" s="159"/>
      <c r="I42" s="159"/>
      <c r="J42" s="160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8" t="s">
        <v>80</v>
      </c>
      <c r="C43" s="11"/>
      <c r="D43" s="12"/>
      <c r="F43" s="59" t="s">
        <v>81</v>
      </c>
      <c r="G43" s="93" t="s">
        <v>82</v>
      </c>
      <c r="H43" s="150" t="s">
        <v>13</v>
      </c>
      <c r="I43" s="151"/>
      <c r="J43" s="152"/>
      <c r="K43" s="21"/>
      <c r="P43" s="4"/>
      <c r="Q43" s="4"/>
      <c r="R43" s="5"/>
    </row>
    <row r="44" spans="1:18" ht="15.75" x14ac:dyDescent="0.25">
      <c r="A44" s="129"/>
      <c r="B44" s="27" t="s">
        <v>65</v>
      </c>
      <c r="C44" s="10"/>
      <c r="D44" s="12">
        <f>C44*120</f>
        <v>0</v>
      </c>
      <c r="F44" s="37"/>
      <c r="G44" s="76"/>
      <c r="H44" s="153"/>
      <c r="I44" s="153"/>
      <c r="J44" s="153"/>
      <c r="K44" s="21"/>
      <c r="P44" s="4"/>
      <c r="Q44" s="4"/>
      <c r="R44" s="5"/>
    </row>
    <row r="45" spans="1:18" ht="15.75" x14ac:dyDescent="0.25">
      <c r="A45" s="129"/>
      <c r="B45" s="27" t="s">
        <v>67</v>
      </c>
      <c r="C45" s="33"/>
      <c r="D45" s="12">
        <f>C45*84</f>
        <v>0</v>
      </c>
      <c r="F45" s="37"/>
      <c r="G45" s="76"/>
      <c r="H45" s="153"/>
      <c r="I45" s="153"/>
      <c r="J45" s="153"/>
      <c r="K45" s="21"/>
      <c r="P45" s="4"/>
      <c r="Q45" s="4"/>
      <c r="R45" s="5"/>
    </row>
    <row r="46" spans="1:18" ht="15.75" x14ac:dyDescent="0.25">
      <c r="A46" s="129"/>
      <c r="B46" s="49" t="s">
        <v>69</v>
      </c>
      <c r="C46" s="81"/>
      <c r="D46" s="12">
        <f>C46*1.5</f>
        <v>0</v>
      </c>
      <c r="F46" s="37"/>
      <c r="G46" s="62"/>
      <c r="H46" s="154"/>
      <c r="I46" s="154"/>
      <c r="J46" s="154"/>
      <c r="K46" s="21"/>
      <c r="P46" s="4"/>
      <c r="Q46" s="4"/>
      <c r="R46" s="5"/>
    </row>
    <row r="47" spans="1:18" ht="15.75" x14ac:dyDescent="0.25">
      <c r="A47" s="130"/>
      <c r="B47" s="27"/>
      <c r="C47" s="11"/>
      <c r="D47" s="12"/>
      <c r="F47" s="59"/>
      <c r="G47" s="59"/>
      <c r="H47" s="131"/>
      <c r="I47" s="132"/>
      <c r="J47" s="133"/>
      <c r="K47" s="21"/>
      <c r="P47" s="4"/>
      <c r="Q47" s="4"/>
      <c r="R47" s="5"/>
    </row>
    <row r="48" spans="1:18" ht="15" customHeight="1" x14ac:dyDescent="0.25">
      <c r="A48" s="128" t="s">
        <v>32</v>
      </c>
      <c r="B48" s="27" t="s">
        <v>65</v>
      </c>
      <c r="C48" s="10"/>
      <c r="D48" s="12">
        <f>C48*78</f>
        <v>0</v>
      </c>
      <c r="F48" s="59"/>
      <c r="G48" s="59"/>
      <c r="H48" s="131"/>
      <c r="I48" s="132"/>
      <c r="J48" s="13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9"/>
      <c r="B49" s="29" t="s">
        <v>67</v>
      </c>
      <c r="C49" s="33"/>
      <c r="D49" s="12">
        <f>C49*42</f>
        <v>0</v>
      </c>
      <c r="F49" s="134" t="s">
        <v>85</v>
      </c>
      <c r="G49" s="136">
        <f>H34+H35+H36+H37+H38+H39+H40+H41+G42+H44+H45+H46</f>
        <v>0</v>
      </c>
      <c r="H49" s="137"/>
      <c r="I49" s="137"/>
      <c r="J49" s="13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9"/>
      <c r="B50" s="32" t="s">
        <v>69</v>
      </c>
      <c r="C50" s="11"/>
      <c r="D50" s="12">
        <f>C50*1.5</f>
        <v>0</v>
      </c>
      <c r="F50" s="135"/>
      <c r="G50" s="139"/>
      <c r="H50" s="140"/>
      <c r="I50" s="140"/>
      <c r="J50" s="141"/>
      <c r="P50" s="4"/>
      <c r="Q50" s="4"/>
      <c r="R50" s="5"/>
    </row>
    <row r="51" spans="1:18" ht="15" customHeight="1" x14ac:dyDescent="0.25">
      <c r="A51" s="129"/>
      <c r="B51" s="27"/>
      <c r="C51" s="10"/>
      <c r="D51" s="31"/>
      <c r="F51" s="142" t="s">
        <v>106</v>
      </c>
      <c r="G51" s="144">
        <f>G49-H29</f>
        <v>0</v>
      </c>
      <c r="H51" s="145"/>
      <c r="I51" s="145"/>
      <c r="J51" s="146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9"/>
      <c r="B52" s="29"/>
      <c r="C52" s="33"/>
      <c r="D52" s="45"/>
      <c r="F52" s="143"/>
      <c r="G52" s="147"/>
      <c r="H52" s="148"/>
      <c r="I52" s="148"/>
      <c r="J52" s="14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4" t="s">
        <v>89</v>
      </c>
      <c r="B54" s="115"/>
      <c r="C54" s="116"/>
      <c r="D54" s="120">
        <f>SUM(D34:D53)</f>
        <v>0</v>
      </c>
      <c r="F54" s="21"/>
      <c r="J54" s="34"/>
    </row>
    <row r="55" spans="1:18" x14ac:dyDescent="0.25">
      <c r="A55" s="117"/>
      <c r="B55" s="118"/>
      <c r="C55" s="119"/>
      <c r="D55" s="1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2" t="s">
        <v>90</v>
      </c>
      <c r="B58" s="123"/>
      <c r="C58" s="123"/>
      <c r="D58" s="124"/>
      <c r="F58" s="122" t="s">
        <v>91</v>
      </c>
      <c r="G58" s="123"/>
      <c r="H58" s="123"/>
      <c r="I58" s="123"/>
      <c r="J58" s="124"/>
    </row>
    <row r="59" spans="1:18" x14ac:dyDescent="0.25">
      <c r="A59" s="125"/>
      <c r="B59" s="126"/>
      <c r="C59" s="126"/>
      <c r="D59" s="127"/>
      <c r="F59" s="125"/>
      <c r="G59" s="126"/>
      <c r="H59" s="126"/>
      <c r="I59" s="126"/>
      <c r="J59" s="12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081491-97FD-42F4-B570-A89C1B48DB0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0" t="s">
        <v>1</v>
      </c>
      <c r="O1" s="210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1" t="s">
        <v>7</v>
      </c>
      <c r="B4" s="162"/>
      <c r="C4" s="162"/>
      <c r="D4" s="163"/>
      <c r="F4" s="211" t="s">
        <v>8</v>
      </c>
      <c r="G4" s="213">
        <v>1</v>
      </c>
      <c r="H4" s="215" t="s">
        <v>9</v>
      </c>
      <c r="I4" s="217">
        <v>46147</v>
      </c>
      <c r="J4" s="21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5" t="s">
        <v>7</v>
      </c>
      <c r="B5" s="15" t="s">
        <v>11</v>
      </c>
      <c r="C5" s="9" t="s">
        <v>12</v>
      </c>
      <c r="D5" s="25" t="s">
        <v>13</v>
      </c>
      <c r="F5" s="212"/>
      <c r="G5" s="214"/>
      <c r="H5" s="216"/>
      <c r="I5" s="219"/>
      <c r="J5" s="22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6"/>
      <c r="B6" s="16" t="s">
        <v>15</v>
      </c>
      <c r="C6" s="10">
        <v>458</v>
      </c>
      <c r="D6" s="13">
        <f t="shared" ref="D6:D28" si="1">C6*L6</f>
        <v>348538</v>
      </c>
      <c r="F6" s="221" t="s">
        <v>16</v>
      </c>
      <c r="G6" s="223" t="s">
        <v>99</v>
      </c>
      <c r="H6" s="224"/>
      <c r="I6" s="224"/>
      <c r="J6" s="22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6"/>
      <c r="B7" s="16" t="s">
        <v>18</v>
      </c>
      <c r="C7" s="10">
        <v>12</v>
      </c>
      <c r="D7" s="13">
        <f t="shared" si="1"/>
        <v>9372</v>
      </c>
      <c r="F7" s="222"/>
      <c r="G7" s="226"/>
      <c r="H7" s="227"/>
      <c r="I7" s="227"/>
      <c r="J7" s="22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6"/>
      <c r="B8" s="16" t="s">
        <v>20</v>
      </c>
      <c r="C8" s="10"/>
      <c r="D8" s="13">
        <f t="shared" si="1"/>
        <v>0</v>
      </c>
      <c r="F8" s="229" t="s">
        <v>21</v>
      </c>
      <c r="G8" s="230" t="s">
        <v>120</v>
      </c>
      <c r="H8" s="231"/>
      <c r="I8" s="231"/>
      <c r="J8" s="23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6"/>
      <c r="B9" s="16" t="s">
        <v>23</v>
      </c>
      <c r="C9" s="10">
        <v>108</v>
      </c>
      <c r="D9" s="13">
        <f t="shared" si="1"/>
        <v>79164</v>
      </c>
      <c r="F9" s="222"/>
      <c r="G9" s="233"/>
      <c r="H9" s="234"/>
      <c r="I9" s="234"/>
      <c r="J9" s="23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6"/>
      <c r="B10" t="s">
        <v>25</v>
      </c>
      <c r="C10" s="10">
        <v>7</v>
      </c>
      <c r="D10" s="13">
        <f t="shared" si="1"/>
        <v>7224</v>
      </c>
      <c r="F10" s="221" t="s">
        <v>26</v>
      </c>
      <c r="G10" s="236" t="s">
        <v>108</v>
      </c>
      <c r="H10" s="237"/>
      <c r="I10" s="237"/>
      <c r="J10" s="238"/>
      <c r="K10" s="8"/>
      <c r="L10" s="6">
        <f>R36</f>
        <v>1032</v>
      </c>
      <c r="P10" s="4"/>
      <c r="Q10" s="4"/>
      <c r="R10" s="5"/>
    </row>
    <row r="11" spans="1:18" ht="15.75" x14ac:dyDescent="0.25">
      <c r="A11" s="156"/>
      <c r="B11" s="17" t="s">
        <v>28</v>
      </c>
      <c r="C11" s="10"/>
      <c r="D11" s="13">
        <f t="shared" si="1"/>
        <v>0</v>
      </c>
      <c r="F11" s="222"/>
      <c r="G11" s="233"/>
      <c r="H11" s="234"/>
      <c r="I11" s="234"/>
      <c r="J11" s="23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6"/>
      <c r="B12" s="17" t="s">
        <v>30</v>
      </c>
      <c r="C12" s="10">
        <f>6+5+2</f>
        <v>13</v>
      </c>
      <c r="D12" s="48">
        <f t="shared" si="1"/>
        <v>12896</v>
      </c>
      <c r="F12" s="239" t="s">
        <v>33</v>
      </c>
      <c r="G12" s="240"/>
      <c r="H12" s="240"/>
      <c r="I12" s="240"/>
      <c r="J12" s="24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6"/>
      <c r="B13" s="17" t="s">
        <v>32</v>
      </c>
      <c r="C13" s="10">
        <v>5</v>
      </c>
      <c r="D13" s="48">
        <f t="shared" si="1"/>
        <v>1535</v>
      </c>
      <c r="F13" s="242" t="s">
        <v>36</v>
      </c>
      <c r="G13" s="206"/>
      <c r="H13" s="197">
        <f>D29</f>
        <v>470610</v>
      </c>
      <c r="I13" s="198"/>
      <c r="J13" s="19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6"/>
      <c r="B14" s="14" t="s">
        <v>35</v>
      </c>
      <c r="C14" s="10">
        <v>6</v>
      </c>
      <c r="D14" s="31">
        <f t="shared" si="1"/>
        <v>66</v>
      </c>
      <c r="F14" s="200" t="s">
        <v>38</v>
      </c>
      <c r="G14" s="201"/>
      <c r="H14" s="202">
        <f>D54</f>
        <v>69966.75</v>
      </c>
      <c r="I14" s="203"/>
      <c r="J14" s="20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6"/>
      <c r="B15" s="14" t="s">
        <v>122</v>
      </c>
      <c r="C15" s="10">
        <v>1</v>
      </c>
      <c r="D15" s="31">
        <f t="shared" si="1"/>
        <v>620</v>
      </c>
      <c r="F15" s="205" t="s">
        <v>39</v>
      </c>
      <c r="G15" s="206"/>
      <c r="H15" s="207">
        <f>H13-H14</f>
        <v>400643.25</v>
      </c>
      <c r="I15" s="208"/>
      <c r="J15" s="20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6"/>
      <c r="B16" s="18" t="s">
        <v>111</v>
      </c>
      <c r="C16" s="10">
        <f>2+1</f>
        <v>3</v>
      </c>
      <c r="D16" s="48">
        <f t="shared" si="1"/>
        <v>1950</v>
      </c>
      <c r="F16" s="67" t="s">
        <v>41</v>
      </c>
      <c r="G16" s="66" t="s">
        <v>42</v>
      </c>
      <c r="H16" s="167">
        <v>2682</v>
      </c>
      <c r="I16" s="167"/>
      <c r="J16" s="16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6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78"/>
      <c r="I17" s="178"/>
      <c r="J17" s="17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6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78"/>
      <c r="I18" s="178"/>
      <c r="J18" s="17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6"/>
      <c r="B19" s="83" t="s">
        <v>105</v>
      </c>
      <c r="C19" s="10">
        <v>1</v>
      </c>
      <c r="D19" s="48">
        <f t="shared" si="1"/>
        <v>1175</v>
      </c>
      <c r="F19" s="56"/>
      <c r="G19" s="68" t="s">
        <v>49</v>
      </c>
      <c r="H19" s="167"/>
      <c r="I19" s="167"/>
      <c r="J19" s="16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6"/>
      <c r="B20" s="104" t="s">
        <v>144</v>
      </c>
      <c r="C20" s="10">
        <v>1</v>
      </c>
      <c r="D20" s="13">
        <f t="shared" si="1"/>
        <v>1582</v>
      </c>
      <c r="F20" s="57"/>
      <c r="G20" s="70" t="s">
        <v>102</v>
      </c>
      <c r="H20" s="167">
        <v>200</v>
      </c>
      <c r="I20" s="167"/>
      <c r="J20" s="16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6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0" t="s">
        <v>13</v>
      </c>
      <c r="I21" s="181"/>
      <c r="J21" s="18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6"/>
      <c r="B22" s="46" t="s">
        <v>103</v>
      </c>
      <c r="C22" s="10"/>
      <c r="D22" s="48">
        <f t="shared" si="1"/>
        <v>0</v>
      </c>
      <c r="F22" s="77" t="s">
        <v>146</v>
      </c>
      <c r="G22" s="73">
        <v>10342</v>
      </c>
      <c r="H22" s="183">
        <v>92804</v>
      </c>
      <c r="I22" s="183"/>
      <c r="J22" s="18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6"/>
      <c r="B23" s="14" t="s">
        <v>121</v>
      </c>
      <c r="C23" s="10"/>
      <c r="D23" s="48">
        <f t="shared" si="1"/>
        <v>0</v>
      </c>
      <c r="F23" s="77"/>
      <c r="G23" s="79"/>
      <c r="H23" s="251"/>
      <c r="I23" s="252"/>
      <c r="J23" s="25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6"/>
      <c r="B24" s="14" t="s">
        <v>128</v>
      </c>
      <c r="C24" s="10"/>
      <c r="D24" s="48">
        <f t="shared" si="1"/>
        <v>0</v>
      </c>
      <c r="F24" s="77"/>
      <c r="G24" s="79"/>
      <c r="H24" s="251"/>
      <c r="I24" s="252"/>
      <c r="J24" s="25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5" t="s">
        <v>13</v>
      </c>
      <c r="I25" s="186"/>
      <c r="J25" s="18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6"/>
      <c r="B26" s="14" t="s">
        <v>129</v>
      </c>
      <c r="C26" s="10"/>
      <c r="D26" s="48">
        <f t="shared" si="1"/>
        <v>0</v>
      </c>
      <c r="F26" s="75" t="s">
        <v>146</v>
      </c>
      <c r="G26" s="65">
        <v>10315</v>
      </c>
      <c r="H26" s="153">
        <v>83980</v>
      </c>
      <c r="I26" s="153"/>
      <c r="J26" s="15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6"/>
      <c r="B27" s="14" t="s">
        <v>130</v>
      </c>
      <c r="C27" s="10"/>
      <c r="D27" s="44">
        <f t="shared" si="1"/>
        <v>0</v>
      </c>
      <c r="F27" s="71"/>
      <c r="G27" s="93"/>
      <c r="H27" s="253"/>
      <c r="I27" s="254"/>
      <c r="J27" s="25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7"/>
      <c r="B28" s="46" t="s">
        <v>92</v>
      </c>
      <c r="C28" s="10">
        <v>8</v>
      </c>
      <c r="D28" s="48">
        <f t="shared" si="1"/>
        <v>6488</v>
      </c>
      <c r="F28" s="96"/>
      <c r="G28" s="61"/>
      <c r="H28" s="194"/>
      <c r="I28" s="195"/>
      <c r="J28" s="19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8" t="s">
        <v>36</v>
      </c>
      <c r="B29" s="169"/>
      <c r="C29" s="170"/>
      <c r="D29" s="174">
        <f>SUM(D6:D28)</f>
        <v>470610</v>
      </c>
      <c r="F29" s="114" t="s">
        <v>54</v>
      </c>
      <c r="G29" s="176"/>
      <c r="H29" s="136">
        <f>H15-H16-H17-H18-H19-H20-H22-H23-H24+H26+H27+H28</f>
        <v>388937.25</v>
      </c>
      <c r="I29" s="137"/>
      <c r="J29" s="13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1"/>
      <c r="B30" s="172"/>
      <c r="C30" s="173"/>
      <c r="D30" s="175"/>
      <c r="F30" s="117"/>
      <c r="G30" s="177"/>
      <c r="H30" s="139"/>
      <c r="I30" s="140"/>
      <c r="J30" s="141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1" t="s">
        <v>57</v>
      </c>
      <c r="B32" s="162"/>
      <c r="C32" s="162"/>
      <c r="D32" s="163"/>
      <c r="F32" s="164" t="s">
        <v>58</v>
      </c>
      <c r="G32" s="165"/>
      <c r="H32" s="165"/>
      <c r="I32" s="165"/>
      <c r="J32" s="16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164" t="s">
        <v>13</v>
      </c>
      <c r="I33" s="165"/>
      <c r="J33" s="16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5" t="s">
        <v>64</v>
      </c>
      <c r="B34" s="26" t="s">
        <v>65</v>
      </c>
      <c r="C34" s="51">
        <v>4</v>
      </c>
      <c r="D34" s="30">
        <f>C34*120</f>
        <v>480</v>
      </c>
      <c r="F34" s="12">
        <v>1000</v>
      </c>
      <c r="G34" s="40">
        <v>6</v>
      </c>
      <c r="H34" s="158">
        <f t="shared" ref="H34:H39" si="2">F34*G34</f>
        <v>6000</v>
      </c>
      <c r="I34" s="159"/>
      <c r="J34" s="16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6"/>
      <c r="B35" s="27" t="s">
        <v>67</v>
      </c>
      <c r="C35" s="52">
        <v>2</v>
      </c>
      <c r="D35" s="30">
        <f>C35*84</f>
        <v>168</v>
      </c>
      <c r="F35" s="58">
        <v>500</v>
      </c>
      <c r="G35" s="41">
        <v>2</v>
      </c>
      <c r="H35" s="158">
        <f t="shared" si="2"/>
        <v>1000</v>
      </c>
      <c r="I35" s="159"/>
      <c r="J35" s="16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7"/>
      <c r="B36" s="26" t="s">
        <v>69</v>
      </c>
      <c r="C36" s="10">
        <v>22</v>
      </c>
      <c r="D36" s="12">
        <f>C36*1.5</f>
        <v>33</v>
      </c>
      <c r="F36" s="12">
        <v>200</v>
      </c>
      <c r="G36" s="37"/>
      <c r="H36" s="158">
        <f t="shared" si="2"/>
        <v>0</v>
      </c>
      <c r="I36" s="159"/>
      <c r="J36" s="16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5" t="s">
        <v>71</v>
      </c>
      <c r="B37" s="28" t="s">
        <v>65</v>
      </c>
      <c r="C37" s="53">
        <v>585</v>
      </c>
      <c r="D37" s="12">
        <f>C37*111</f>
        <v>64935</v>
      </c>
      <c r="F37" s="12">
        <v>100</v>
      </c>
      <c r="G37" s="39"/>
      <c r="H37" s="158">
        <f t="shared" si="2"/>
        <v>0</v>
      </c>
      <c r="I37" s="159"/>
      <c r="J37" s="16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6"/>
      <c r="B38" s="29" t="s">
        <v>67</v>
      </c>
      <c r="C38" s="54">
        <v>12</v>
      </c>
      <c r="D38" s="12">
        <f>C38*84</f>
        <v>1008</v>
      </c>
      <c r="F38" s="30">
        <v>50</v>
      </c>
      <c r="G38" s="39"/>
      <c r="H38" s="158">
        <f t="shared" si="2"/>
        <v>0</v>
      </c>
      <c r="I38" s="159"/>
      <c r="J38" s="16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7"/>
      <c r="B39" s="29" t="s">
        <v>69</v>
      </c>
      <c r="C39" s="52">
        <v>7</v>
      </c>
      <c r="D39" s="31">
        <f>C39*4.5</f>
        <v>31.5</v>
      </c>
      <c r="F39" s="12">
        <v>20</v>
      </c>
      <c r="G39" s="37"/>
      <c r="H39" s="158">
        <f t="shared" si="2"/>
        <v>0</v>
      </c>
      <c r="I39" s="159"/>
      <c r="J39" s="16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5" t="s">
        <v>75</v>
      </c>
      <c r="B40" s="27" t="s">
        <v>65</v>
      </c>
      <c r="C40" s="63">
        <v>14</v>
      </c>
      <c r="D40" s="12">
        <f>C40*111</f>
        <v>1554</v>
      </c>
      <c r="F40" s="12">
        <v>10</v>
      </c>
      <c r="G40" s="42"/>
      <c r="H40" s="158"/>
      <c r="I40" s="159"/>
      <c r="J40" s="16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6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58"/>
      <c r="I41" s="159"/>
      <c r="J41" s="16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7"/>
      <c r="B42" s="27" t="s">
        <v>69</v>
      </c>
      <c r="C42" s="11">
        <v>11</v>
      </c>
      <c r="D42" s="12">
        <f>C42*2.25</f>
        <v>24.75</v>
      </c>
      <c r="F42" s="39" t="s">
        <v>78</v>
      </c>
      <c r="G42" s="158"/>
      <c r="H42" s="159"/>
      <c r="I42" s="159"/>
      <c r="J42" s="16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8" t="s">
        <v>80</v>
      </c>
      <c r="C43" s="11"/>
      <c r="D43" s="12"/>
      <c r="F43" s="59" t="s">
        <v>81</v>
      </c>
      <c r="G43" s="93" t="s">
        <v>82</v>
      </c>
      <c r="H43" s="150" t="s">
        <v>13</v>
      </c>
      <c r="I43" s="151"/>
      <c r="J43" s="15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9"/>
      <c r="B44" s="27" t="s">
        <v>65</v>
      </c>
      <c r="C44" s="10">
        <v>8</v>
      </c>
      <c r="D44" s="12">
        <f>C44*120</f>
        <v>960</v>
      </c>
      <c r="F44" s="37" t="s">
        <v>132</v>
      </c>
      <c r="G44" s="62" t="s">
        <v>145</v>
      </c>
      <c r="H44" s="153">
        <v>294438.25</v>
      </c>
      <c r="I44" s="153"/>
      <c r="J44" s="15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9"/>
      <c r="B45" s="27" t="s">
        <v>67</v>
      </c>
      <c r="C45" s="33">
        <v>5</v>
      </c>
      <c r="D45" s="12">
        <f>C45*84</f>
        <v>420</v>
      </c>
      <c r="F45" s="37" t="s">
        <v>136</v>
      </c>
      <c r="G45" s="103" t="s">
        <v>141</v>
      </c>
      <c r="H45" s="153">
        <v>83980</v>
      </c>
      <c r="I45" s="153"/>
      <c r="J45" s="153"/>
      <c r="K45" s="21"/>
      <c r="P45" s="4"/>
      <c r="Q45" s="4"/>
      <c r="R45" s="5"/>
    </row>
    <row r="46" spans="1:18" ht="15.75" x14ac:dyDescent="0.25">
      <c r="A46" s="129"/>
      <c r="B46" s="49" t="s">
        <v>69</v>
      </c>
      <c r="C46" s="81">
        <v>17</v>
      </c>
      <c r="D46" s="12">
        <f>C46*1.5</f>
        <v>25.5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30"/>
      <c r="B47" s="27"/>
      <c r="C47" s="11"/>
      <c r="D47" s="12"/>
      <c r="F47" s="59"/>
      <c r="G47" s="59"/>
      <c r="H47" s="131"/>
      <c r="I47" s="132"/>
      <c r="J47" s="133"/>
      <c r="K47" s="21"/>
      <c r="P47" s="4"/>
      <c r="Q47" s="4"/>
      <c r="R47" s="5"/>
    </row>
    <row r="48" spans="1:18" ht="15" customHeight="1" x14ac:dyDescent="0.25">
      <c r="A48" s="128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131"/>
      <c r="I48" s="132"/>
      <c r="J48" s="13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9"/>
      <c r="B49" s="29" t="s">
        <v>67</v>
      </c>
      <c r="C49" s="33"/>
      <c r="D49" s="12">
        <f>C49*42</f>
        <v>0</v>
      </c>
      <c r="F49" s="134" t="s">
        <v>85</v>
      </c>
      <c r="G49" s="136">
        <f>H34+H35+H36+H37+H38+H39+H40+H41+G42+H44+H45+H46</f>
        <v>385418.25</v>
      </c>
      <c r="H49" s="137"/>
      <c r="I49" s="137"/>
      <c r="J49" s="13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9"/>
      <c r="B50" s="32" t="s">
        <v>69</v>
      </c>
      <c r="C50" s="11">
        <v>6</v>
      </c>
      <c r="D50" s="12">
        <f>C50*1.5</f>
        <v>9</v>
      </c>
      <c r="F50" s="135"/>
      <c r="G50" s="139"/>
      <c r="H50" s="140"/>
      <c r="I50" s="140"/>
      <c r="J50" s="141"/>
      <c r="O50" t="s">
        <v>114</v>
      </c>
      <c r="P50" s="4">
        <v>1204</v>
      </c>
      <c r="Q50" s="4"/>
      <c r="R50" s="5"/>
    </row>
    <row r="51" spans="1:18" ht="15" customHeight="1" x14ac:dyDescent="0.25">
      <c r="A51" s="129"/>
      <c r="B51" s="27"/>
      <c r="C51" s="10"/>
      <c r="D51" s="31"/>
      <c r="F51" s="142" t="s">
        <v>109</v>
      </c>
      <c r="G51" s="255">
        <f>G49-H29</f>
        <v>-3519</v>
      </c>
      <c r="H51" s="256"/>
      <c r="I51" s="256"/>
      <c r="J51" s="25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9"/>
      <c r="B52" s="29"/>
      <c r="C52" s="33"/>
      <c r="D52" s="45"/>
      <c r="F52" s="143"/>
      <c r="G52" s="258"/>
      <c r="H52" s="259"/>
      <c r="I52" s="259"/>
      <c r="J52" s="2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4" t="s">
        <v>89</v>
      </c>
      <c r="B54" s="115"/>
      <c r="C54" s="116"/>
      <c r="D54" s="120">
        <f>SUM(D34:D53)</f>
        <v>69966.75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7"/>
      <c r="B55" s="118"/>
      <c r="C55" s="119"/>
      <c r="D55" s="1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22" t="s">
        <v>90</v>
      </c>
      <c r="B58" s="123"/>
      <c r="C58" s="123"/>
      <c r="D58" s="124"/>
      <c r="F58" s="122" t="s">
        <v>91</v>
      </c>
      <c r="G58" s="123"/>
      <c r="H58" s="123"/>
      <c r="I58" s="123"/>
      <c r="J58" s="124"/>
    </row>
    <row r="59" spans="1:18" x14ac:dyDescent="0.25">
      <c r="A59" s="125"/>
      <c r="B59" s="126"/>
      <c r="C59" s="126"/>
      <c r="D59" s="127"/>
      <c r="F59" s="125"/>
      <c r="G59" s="126"/>
      <c r="H59" s="126"/>
      <c r="I59" s="126"/>
      <c r="J59" s="12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4339C5-1B85-45D5-83F6-A2EED0AC826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0" t="s">
        <v>1</v>
      </c>
      <c r="O1" s="210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1" t="s">
        <v>7</v>
      </c>
      <c r="B4" s="162"/>
      <c r="C4" s="162"/>
      <c r="D4" s="163"/>
      <c r="F4" s="211" t="s">
        <v>8</v>
      </c>
      <c r="G4" s="213">
        <v>2</v>
      </c>
      <c r="H4" s="215" t="s">
        <v>9</v>
      </c>
      <c r="I4" s="217">
        <v>46147</v>
      </c>
      <c r="J4" s="21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5" t="s">
        <v>7</v>
      </c>
      <c r="B5" s="15" t="s">
        <v>11</v>
      </c>
      <c r="C5" s="9" t="s">
        <v>12</v>
      </c>
      <c r="D5" s="25" t="s">
        <v>13</v>
      </c>
      <c r="F5" s="212"/>
      <c r="G5" s="214"/>
      <c r="H5" s="216"/>
      <c r="I5" s="219"/>
      <c r="J5" s="22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6"/>
      <c r="B6" s="16" t="s">
        <v>15</v>
      </c>
      <c r="C6" s="10">
        <v>414</v>
      </c>
      <c r="D6" s="13">
        <f t="shared" ref="D6:D28" si="1">C6*L6</f>
        <v>315054</v>
      </c>
      <c r="F6" s="221" t="s">
        <v>16</v>
      </c>
      <c r="G6" s="223" t="s">
        <v>107</v>
      </c>
      <c r="H6" s="224"/>
      <c r="I6" s="224"/>
      <c r="J6" s="22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6"/>
      <c r="B7" s="16" t="s">
        <v>18</v>
      </c>
      <c r="C7" s="10">
        <v>11</v>
      </c>
      <c r="D7" s="13">
        <f t="shared" si="1"/>
        <v>8591</v>
      </c>
      <c r="F7" s="222"/>
      <c r="G7" s="226"/>
      <c r="H7" s="227"/>
      <c r="I7" s="227"/>
      <c r="J7" s="22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6"/>
      <c r="B8" s="16" t="s">
        <v>20</v>
      </c>
      <c r="C8" s="10"/>
      <c r="D8" s="13">
        <f t="shared" si="1"/>
        <v>0</v>
      </c>
      <c r="F8" s="229" t="s">
        <v>21</v>
      </c>
      <c r="G8" s="230" t="s">
        <v>100</v>
      </c>
      <c r="H8" s="231"/>
      <c r="I8" s="231"/>
      <c r="J8" s="23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6"/>
      <c r="B9" s="16" t="s">
        <v>23</v>
      </c>
      <c r="C9" s="10">
        <v>59</v>
      </c>
      <c r="D9" s="13">
        <f t="shared" si="1"/>
        <v>43247</v>
      </c>
      <c r="F9" s="222"/>
      <c r="G9" s="233"/>
      <c r="H9" s="234"/>
      <c r="I9" s="234"/>
      <c r="J9" s="23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6"/>
      <c r="B10" t="s">
        <v>25</v>
      </c>
      <c r="C10" s="10"/>
      <c r="D10" s="13">
        <f t="shared" si="1"/>
        <v>0</v>
      </c>
      <c r="F10" s="221" t="s">
        <v>26</v>
      </c>
      <c r="G10" s="236" t="s">
        <v>101</v>
      </c>
      <c r="H10" s="237"/>
      <c r="I10" s="237"/>
      <c r="J10" s="238"/>
      <c r="K10" s="8"/>
      <c r="L10" s="6">
        <f>R36</f>
        <v>1032</v>
      </c>
      <c r="P10" s="4"/>
      <c r="Q10" s="4"/>
      <c r="R10" s="5"/>
    </row>
    <row r="11" spans="1:18" ht="15.75" x14ac:dyDescent="0.25">
      <c r="A11" s="156"/>
      <c r="B11" s="17" t="s">
        <v>28</v>
      </c>
      <c r="C11" s="10"/>
      <c r="D11" s="13">
        <f t="shared" si="1"/>
        <v>0</v>
      </c>
      <c r="F11" s="222"/>
      <c r="G11" s="233"/>
      <c r="H11" s="234"/>
      <c r="I11" s="234"/>
      <c r="J11" s="23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6"/>
      <c r="B12" s="17" t="s">
        <v>30</v>
      </c>
      <c r="C12" s="10"/>
      <c r="D12" s="48">
        <f t="shared" si="1"/>
        <v>0</v>
      </c>
      <c r="F12" s="239" t="s">
        <v>33</v>
      </c>
      <c r="G12" s="240"/>
      <c r="H12" s="240"/>
      <c r="I12" s="240"/>
      <c r="J12" s="24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6"/>
      <c r="B13" s="17" t="s">
        <v>32</v>
      </c>
      <c r="C13" s="10">
        <v>12</v>
      </c>
      <c r="D13" s="48">
        <f t="shared" si="1"/>
        <v>3684</v>
      </c>
      <c r="F13" s="242" t="s">
        <v>36</v>
      </c>
      <c r="G13" s="206"/>
      <c r="H13" s="197">
        <f>D29</f>
        <v>371226</v>
      </c>
      <c r="I13" s="198"/>
      <c r="J13" s="19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6"/>
      <c r="B14" s="14" t="s">
        <v>35</v>
      </c>
      <c r="C14" s="10"/>
      <c r="D14" s="31">
        <f t="shared" si="1"/>
        <v>0</v>
      </c>
      <c r="F14" s="200" t="s">
        <v>38</v>
      </c>
      <c r="G14" s="201"/>
      <c r="H14" s="202">
        <f>D54</f>
        <v>57882</v>
      </c>
      <c r="I14" s="203"/>
      <c r="J14" s="20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6"/>
      <c r="B15" s="14" t="s">
        <v>122</v>
      </c>
      <c r="C15" s="10"/>
      <c r="D15" s="31">
        <f t="shared" si="1"/>
        <v>0</v>
      </c>
      <c r="F15" s="205" t="s">
        <v>39</v>
      </c>
      <c r="G15" s="206"/>
      <c r="H15" s="207">
        <f>H13-H14</f>
        <v>313344</v>
      </c>
      <c r="I15" s="208"/>
      <c r="J15" s="20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6"/>
      <c r="B16" s="18" t="s">
        <v>111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167">
        <v>2676</v>
      </c>
      <c r="I16" s="167"/>
      <c r="J16" s="16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6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78"/>
      <c r="I17" s="178"/>
      <c r="J17" s="17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6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78"/>
      <c r="I18" s="178"/>
      <c r="J18" s="17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6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61"/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6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78"/>
      <c r="I20" s="178"/>
      <c r="J20" s="17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6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0" t="s">
        <v>13</v>
      </c>
      <c r="I21" s="181"/>
      <c r="J21" s="18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6"/>
      <c r="B22" s="46" t="s">
        <v>103</v>
      </c>
      <c r="C22" s="10"/>
      <c r="D22" s="48">
        <f t="shared" si="1"/>
        <v>0</v>
      </c>
      <c r="F22" s="72"/>
      <c r="G22" s="73"/>
      <c r="H22" s="183"/>
      <c r="I22" s="183"/>
      <c r="J22" s="18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6"/>
      <c r="B23" s="14" t="s">
        <v>121</v>
      </c>
      <c r="C23" s="10"/>
      <c r="D23" s="48">
        <f t="shared" si="1"/>
        <v>0</v>
      </c>
      <c r="F23" s="25"/>
      <c r="G23" s="37"/>
      <c r="H23" s="184"/>
      <c r="I23" s="153"/>
      <c r="J23" s="15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6"/>
      <c r="B24" s="14" t="s">
        <v>128</v>
      </c>
      <c r="C24" s="10"/>
      <c r="D24" s="48">
        <f t="shared" si="1"/>
        <v>0</v>
      </c>
      <c r="F24" s="38"/>
      <c r="G24" s="37"/>
      <c r="H24" s="184"/>
      <c r="I24" s="153"/>
      <c r="J24" s="15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5" t="s">
        <v>13</v>
      </c>
      <c r="I25" s="186"/>
      <c r="J25" s="18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6"/>
      <c r="B26" s="14" t="s">
        <v>129</v>
      </c>
      <c r="C26" s="10"/>
      <c r="D26" s="48">
        <f t="shared" si="1"/>
        <v>0</v>
      </c>
      <c r="F26" s="64"/>
      <c r="G26" s="10"/>
      <c r="H26" s="188"/>
      <c r="I26" s="189"/>
      <c r="J26" s="19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6"/>
      <c r="B27" s="14" t="s">
        <v>130</v>
      </c>
      <c r="C27" s="10"/>
      <c r="D27" s="44">
        <f t="shared" si="1"/>
        <v>0</v>
      </c>
      <c r="F27" s="14"/>
      <c r="G27" s="14"/>
      <c r="H27" s="191"/>
      <c r="I27" s="192"/>
      <c r="J27" s="19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7"/>
      <c r="B28" s="46" t="s">
        <v>92</v>
      </c>
      <c r="C28" s="10"/>
      <c r="D28" s="48">
        <f t="shared" si="1"/>
        <v>0</v>
      </c>
      <c r="F28" s="96"/>
      <c r="G28" s="61"/>
      <c r="H28" s="194"/>
      <c r="I28" s="195"/>
      <c r="J28" s="19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8" t="s">
        <v>36</v>
      </c>
      <c r="B29" s="169"/>
      <c r="C29" s="170"/>
      <c r="D29" s="174">
        <f>SUM(D6:D28)</f>
        <v>371226</v>
      </c>
      <c r="F29" s="114" t="s">
        <v>54</v>
      </c>
      <c r="G29" s="176"/>
      <c r="H29" s="136">
        <f>H15-H16-H17-H18-H19-H20-H22-H23-H24+H26+H27</f>
        <v>310668</v>
      </c>
      <c r="I29" s="137"/>
      <c r="J29" s="13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1"/>
      <c r="B30" s="172"/>
      <c r="C30" s="173"/>
      <c r="D30" s="175"/>
      <c r="F30" s="117"/>
      <c r="G30" s="177"/>
      <c r="H30" s="139"/>
      <c r="I30" s="140"/>
      <c r="J30" s="141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1" t="s">
        <v>57</v>
      </c>
      <c r="B32" s="162"/>
      <c r="C32" s="162"/>
      <c r="D32" s="163"/>
      <c r="F32" s="164" t="s">
        <v>58</v>
      </c>
      <c r="G32" s="165"/>
      <c r="H32" s="165"/>
      <c r="I32" s="165"/>
      <c r="J32" s="16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164" t="s">
        <v>13</v>
      </c>
      <c r="I33" s="165"/>
      <c r="J33" s="16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5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4">
        <v>21</v>
      </c>
      <c r="H34" s="158">
        <f>F34*G34</f>
        <v>21000</v>
      </c>
      <c r="I34" s="159"/>
      <c r="J34" s="16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6"/>
      <c r="B35" s="27" t="s">
        <v>67</v>
      </c>
      <c r="C35" s="52"/>
      <c r="D35" s="30">
        <f>C35*84</f>
        <v>0</v>
      </c>
      <c r="F35" s="58">
        <v>500</v>
      </c>
      <c r="G35" s="41">
        <v>4</v>
      </c>
      <c r="H35" s="158">
        <f t="shared" ref="H35:H39" si="2">F35*G35</f>
        <v>2000</v>
      </c>
      <c r="I35" s="159"/>
      <c r="J35" s="16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7"/>
      <c r="B36" s="26" t="s">
        <v>69</v>
      </c>
      <c r="C36" s="10"/>
      <c r="D36" s="12">
        <f>C36*1.5</f>
        <v>0</v>
      </c>
      <c r="F36" s="12">
        <v>200</v>
      </c>
      <c r="G36" s="37"/>
      <c r="H36" s="158">
        <f>F36*G36</f>
        <v>0</v>
      </c>
      <c r="I36" s="159"/>
      <c r="J36" s="16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5" t="s">
        <v>71</v>
      </c>
      <c r="B37" s="28" t="s">
        <v>65</v>
      </c>
      <c r="C37" s="53">
        <v>487</v>
      </c>
      <c r="D37" s="12">
        <f>C37*111</f>
        <v>54057</v>
      </c>
      <c r="F37" s="12">
        <v>100</v>
      </c>
      <c r="G37" s="39">
        <v>3</v>
      </c>
      <c r="H37" s="158">
        <f t="shared" si="2"/>
        <v>300</v>
      </c>
      <c r="I37" s="159"/>
      <c r="J37" s="16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6"/>
      <c r="B38" s="29" t="s">
        <v>67</v>
      </c>
      <c r="C38" s="54">
        <v>14</v>
      </c>
      <c r="D38" s="12">
        <f>C38*84</f>
        <v>1176</v>
      </c>
      <c r="F38" s="30">
        <v>50</v>
      </c>
      <c r="G38" s="39"/>
      <c r="H38" s="158">
        <f t="shared" si="2"/>
        <v>0</v>
      </c>
      <c r="I38" s="159"/>
      <c r="J38" s="16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7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158">
        <f t="shared" si="2"/>
        <v>0</v>
      </c>
      <c r="I39" s="159"/>
      <c r="J39" s="16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5" t="s">
        <v>75</v>
      </c>
      <c r="B40" s="27" t="s">
        <v>65</v>
      </c>
      <c r="C40" s="63">
        <v>16</v>
      </c>
      <c r="D40" s="12">
        <f>C40*111</f>
        <v>1776</v>
      </c>
      <c r="F40" s="12">
        <v>10</v>
      </c>
      <c r="G40" s="42"/>
      <c r="H40" s="158"/>
      <c r="I40" s="159"/>
      <c r="J40" s="16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6"/>
      <c r="B41" s="27" t="s">
        <v>67</v>
      </c>
      <c r="C41" s="10"/>
      <c r="D41" s="12">
        <f>C41*84</f>
        <v>0</v>
      </c>
      <c r="F41" s="12">
        <v>5</v>
      </c>
      <c r="G41" s="42"/>
      <c r="H41" s="158"/>
      <c r="I41" s="159"/>
      <c r="J41" s="16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7"/>
      <c r="B42" s="27" t="s">
        <v>69</v>
      </c>
      <c r="C42" s="11">
        <v>4</v>
      </c>
      <c r="D42" s="12">
        <f>C42*2.25</f>
        <v>9</v>
      </c>
      <c r="F42" s="39" t="s">
        <v>78</v>
      </c>
      <c r="G42" s="158"/>
      <c r="H42" s="159"/>
      <c r="I42" s="159"/>
      <c r="J42" s="16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8" t="s">
        <v>80</v>
      </c>
      <c r="C43" s="11"/>
      <c r="D43" s="12"/>
      <c r="F43" s="59" t="s">
        <v>81</v>
      </c>
      <c r="G43" s="93" t="s">
        <v>82</v>
      </c>
      <c r="H43" s="150" t="s">
        <v>13</v>
      </c>
      <c r="I43" s="151"/>
      <c r="J43" s="15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9"/>
      <c r="B44" s="27" t="s">
        <v>65</v>
      </c>
      <c r="C44" s="10"/>
      <c r="D44" s="12">
        <f>C44*120</f>
        <v>0</v>
      </c>
      <c r="F44" s="37" t="s">
        <v>147</v>
      </c>
      <c r="G44" s="102" t="s">
        <v>148</v>
      </c>
      <c r="H44" s="153">
        <v>159300</v>
      </c>
      <c r="I44" s="153"/>
      <c r="J44" s="15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9"/>
      <c r="B45" s="27" t="s">
        <v>67</v>
      </c>
      <c r="C45" s="33"/>
      <c r="D45" s="12">
        <f>C45*84</f>
        <v>0</v>
      </c>
      <c r="F45" s="37" t="s">
        <v>132</v>
      </c>
      <c r="G45" s="62" t="s">
        <v>149</v>
      </c>
      <c r="H45" s="153">
        <v>128857</v>
      </c>
      <c r="I45" s="153"/>
      <c r="J45" s="153"/>
      <c r="K45" s="21"/>
      <c r="P45" s="4"/>
      <c r="Q45" s="4"/>
      <c r="R45" s="5"/>
    </row>
    <row r="46" spans="1:18" ht="15.75" x14ac:dyDescent="0.25">
      <c r="A46" s="129"/>
      <c r="B46" s="49" t="s">
        <v>69</v>
      </c>
      <c r="C46" s="81"/>
      <c r="D46" s="12">
        <f>C46*1.5</f>
        <v>0</v>
      </c>
      <c r="F46" s="37"/>
      <c r="G46" s="94"/>
      <c r="H46" s="154"/>
      <c r="I46" s="154"/>
      <c r="J46" s="154"/>
      <c r="K46" s="21"/>
      <c r="P46" s="4"/>
      <c r="Q46" s="4"/>
      <c r="R46" s="5"/>
    </row>
    <row r="47" spans="1:18" ht="15.75" x14ac:dyDescent="0.25">
      <c r="A47" s="130"/>
      <c r="B47" s="27"/>
      <c r="C47" s="11"/>
      <c r="D47" s="12"/>
      <c r="F47" s="59"/>
      <c r="G47" s="59"/>
      <c r="H47" s="131"/>
      <c r="I47" s="132"/>
      <c r="J47" s="133"/>
      <c r="K47" s="21"/>
      <c r="P47" s="4"/>
      <c r="Q47" s="4"/>
      <c r="R47" s="5"/>
    </row>
    <row r="48" spans="1:18" ht="15" customHeight="1" x14ac:dyDescent="0.25">
      <c r="A48" s="128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131"/>
      <c r="I48" s="132"/>
      <c r="J48" s="13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9"/>
      <c r="B49" s="29" t="s">
        <v>67</v>
      </c>
      <c r="C49" s="33">
        <v>4</v>
      </c>
      <c r="D49" s="12">
        <f>C49*42</f>
        <v>168</v>
      </c>
      <c r="F49" s="134" t="s">
        <v>85</v>
      </c>
      <c r="G49" s="136">
        <f>H34+H35+H36+H37+H38+H39+H40+H41+G42+H44+H45+H46</f>
        <v>311457</v>
      </c>
      <c r="H49" s="137"/>
      <c r="I49" s="137"/>
      <c r="J49" s="13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9"/>
      <c r="B50" s="32" t="s">
        <v>69</v>
      </c>
      <c r="C50" s="11">
        <v>11</v>
      </c>
      <c r="D50" s="12">
        <f>C50*1.5</f>
        <v>16.5</v>
      </c>
      <c r="F50" s="135"/>
      <c r="G50" s="139"/>
      <c r="H50" s="140"/>
      <c r="I50" s="140"/>
      <c r="J50" s="141"/>
      <c r="O50" t="s">
        <v>114</v>
      </c>
      <c r="P50" s="4">
        <v>1204</v>
      </c>
      <c r="Q50" s="4"/>
      <c r="R50" s="5"/>
    </row>
    <row r="51" spans="1:18" ht="15" customHeight="1" x14ac:dyDescent="0.25">
      <c r="A51" s="129"/>
      <c r="B51" s="27"/>
      <c r="C51" s="10"/>
      <c r="D51" s="31"/>
      <c r="F51" s="142" t="s">
        <v>112</v>
      </c>
      <c r="G51" s="144">
        <f>G49-H29</f>
        <v>789</v>
      </c>
      <c r="H51" s="145"/>
      <c r="I51" s="145"/>
      <c r="J51" s="14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9"/>
      <c r="B52" s="29"/>
      <c r="C52" s="33"/>
      <c r="D52" s="45"/>
      <c r="F52" s="143"/>
      <c r="G52" s="147"/>
      <c r="H52" s="148"/>
      <c r="I52" s="148"/>
      <c r="J52" s="14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4" t="s">
        <v>89</v>
      </c>
      <c r="B54" s="115"/>
      <c r="C54" s="116"/>
      <c r="D54" s="120">
        <f>SUM(D34:D53)</f>
        <v>57882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7"/>
      <c r="B55" s="118"/>
      <c r="C55" s="119"/>
      <c r="D55" s="1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22" t="s">
        <v>90</v>
      </c>
      <c r="B58" s="123"/>
      <c r="C58" s="123"/>
      <c r="D58" s="124"/>
      <c r="F58" s="122" t="s">
        <v>91</v>
      </c>
      <c r="G58" s="123"/>
      <c r="H58" s="123"/>
      <c r="I58" s="123"/>
      <c r="J58" s="124"/>
    </row>
    <row r="59" spans="1:18" x14ac:dyDescent="0.25">
      <c r="A59" s="125"/>
      <c r="B59" s="126"/>
      <c r="C59" s="126"/>
      <c r="D59" s="127"/>
      <c r="F59" s="125"/>
      <c r="G59" s="126"/>
      <c r="H59" s="126"/>
      <c r="I59" s="126"/>
      <c r="J59" s="12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CCD118-A87B-4CDB-9891-BD41483C161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0" t="s">
        <v>1</v>
      </c>
      <c r="O1" s="210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1" t="s">
        <v>7</v>
      </c>
      <c r="B4" s="162"/>
      <c r="C4" s="162"/>
      <c r="D4" s="163"/>
      <c r="F4" s="211" t="s">
        <v>8</v>
      </c>
      <c r="G4" s="213">
        <v>3</v>
      </c>
      <c r="H4" s="215" t="s">
        <v>9</v>
      </c>
      <c r="I4" s="217">
        <v>46147</v>
      </c>
      <c r="J4" s="21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5" t="s">
        <v>7</v>
      </c>
      <c r="B5" s="15" t="s">
        <v>11</v>
      </c>
      <c r="C5" s="9" t="s">
        <v>12</v>
      </c>
      <c r="D5" s="25" t="s">
        <v>13</v>
      </c>
      <c r="F5" s="212"/>
      <c r="G5" s="214"/>
      <c r="H5" s="216"/>
      <c r="I5" s="219"/>
      <c r="J5" s="22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6"/>
      <c r="B6" s="16" t="s">
        <v>15</v>
      </c>
      <c r="C6" s="10">
        <v>542</v>
      </c>
      <c r="D6" s="13">
        <f t="shared" ref="D6:D28" si="1">C6*L6</f>
        <v>412462</v>
      </c>
      <c r="F6" s="221" t="s">
        <v>16</v>
      </c>
      <c r="G6" s="223" t="s">
        <v>117</v>
      </c>
      <c r="H6" s="224"/>
      <c r="I6" s="224"/>
      <c r="J6" s="22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6"/>
      <c r="B7" s="16" t="s">
        <v>18</v>
      </c>
      <c r="C7" s="10">
        <v>12</v>
      </c>
      <c r="D7" s="13">
        <f t="shared" si="1"/>
        <v>9372</v>
      </c>
      <c r="F7" s="222"/>
      <c r="G7" s="226"/>
      <c r="H7" s="227"/>
      <c r="I7" s="227"/>
      <c r="J7" s="22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6"/>
      <c r="B8" s="16" t="s">
        <v>20</v>
      </c>
      <c r="C8" s="10"/>
      <c r="D8" s="13">
        <f t="shared" si="1"/>
        <v>0</v>
      </c>
      <c r="F8" s="229" t="s">
        <v>21</v>
      </c>
      <c r="G8" s="230" t="s">
        <v>110</v>
      </c>
      <c r="H8" s="231"/>
      <c r="I8" s="231"/>
      <c r="J8" s="23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6"/>
      <c r="B9" s="16" t="s">
        <v>23</v>
      </c>
      <c r="C9" s="10">
        <v>72</v>
      </c>
      <c r="D9" s="13">
        <f t="shared" si="1"/>
        <v>52776</v>
      </c>
      <c r="F9" s="222"/>
      <c r="G9" s="233"/>
      <c r="H9" s="234"/>
      <c r="I9" s="234"/>
      <c r="J9" s="23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6"/>
      <c r="B10" t="s">
        <v>25</v>
      </c>
      <c r="C10" s="10">
        <v>2</v>
      </c>
      <c r="D10" s="13">
        <f t="shared" si="1"/>
        <v>2064</v>
      </c>
      <c r="F10" s="221" t="s">
        <v>26</v>
      </c>
      <c r="G10" s="236" t="s">
        <v>124</v>
      </c>
      <c r="H10" s="237"/>
      <c r="I10" s="237"/>
      <c r="J10" s="238"/>
      <c r="K10" s="8"/>
      <c r="L10" s="6">
        <f>R36</f>
        <v>1032</v>
      </c>
      <c r="P10" s="4"/>
      <c r="Q10" s="4"/>
      <c r="R10" s="5"/>
    </row>
    <row r="11" spans="1:18" ht="15.75" x14ac:dyDescent="0.25">
      <c r="A11" s="156"/>
      <c r="B11" s="17" t="s">
        <v>28</v>
      </c>
      <c r="C11" s="10"/>
      <c r="D11" s="13">
        <f t="shared" si="1"/>
        <v>0</v>
      </c>
      <c r="F11" s="222"/>
      <c r="G11" s="233"/>
      <c r="H11" s="234"/>
      <c r="I11" s="234"/>
      <c r="J11" s="23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6"/>
      <c r="B12" s="17" t="s">
        <v>30</v>
      </c>
      <c r="C12" s="10"/>
      <c r="D12" s="48">
        <f t="shared" si="1"/>
        <v>0</v>
      </c>
      <c r="F12" s="239" t="s">
        <v>33</v>
      </c>
      <c r="G12" s="240"/>
      <c r="H12" s="240"/>
      <c r="I12" s="240"/>
      <c r="J12" s="24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6"/>
      <c r="B13" s="17" t="s">
        <v>32</v>
      </c>
      <c r="C13" s="10">
        <v>21</v>
      </c>
      <c r="D13" s="48">
        <f t="shared" si="1"/>
        <v>6447</v>
      </c>
      <c r="F13" s="242" t="s">
        <v>36</v>
      </c>
      <c r="G13" s="206"/>
      <c r="H13" s="197">
        <f>D29</f>
        <v>518703</v>
      </c>
      <c r="I13" s="198"/>
      <c r="J13" s="19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6"/>
      <c r="B14" s="14" t="s">
        <v>35</v>
      </c>
      <c r="C14" s="10">
        <v>12</v>
      </c>
      <c r="D14" s="31">
        <f t="shared" si="1"/>
        <v>132</v>
      </c>
      <c r="F14" s="200" t="s">
        <v>38</v>
      </c>
      <c r="G14" s="201"/>
      <c r="H14" s="202">
        <f>D54</f>
        <v>77449.5</v>
      </c>
      <c r="I14" s="203"/>
      <c r="J14" s="20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6"/>
      <c r="B15" s="14" t="s">
        <v>122</v>
      </c>
      <c r="C15" s="10">
        <f>5+5</f>
        <v>10</v>
      </c>
      <c r="D15" s="31">
        <f t="shared" si="1"/>
        <v>6200</v>
      </c>
      <c r="F15" s="205" t="s">
        <v>39</v>
      </c>
      <c r="G15" s="206"/>
      <c r="H15" s="207">
        <f>H13-H14</f>
        <v>441253.5</v>
      </c>
      <c r="I15" s="208"/>
      <c r="J15" s="20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6"/>
      <c r="B16" s="18" t="s">
        <v>111</v>
      </c>
      <c r="C16" s="10">
        <f>22+23</f>
        <v>45</v>
      </c>
      <c r="D16" s="48">
        <f t="shared" si="1"/>
        <v>29250</v>
      </c>
      <c r="F16" s="67" t="s">
        <v>41</v>
      </c>
      <c r="G16" s="66" t="s">
        <v>42</v>
      </c>
      <c r="H16" s="167">
        <f>612+1656+1092</f>
        <v>3360</v>
      </c>
      <c r="I16" s="167"/>
      <c r="J16" s="16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6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78"/>
      <c r="I17" s="178"/>
      <c r="J17" s="17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6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78"/>
      <c r="I18" s="178"/>
      <c r="J18" s="17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6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62"/>
      <c r="I19" s="262"/>
      <c r="J19" s="26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6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67"/>
      <c r="I20" s="167"/>
      <c r="J20" s="16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6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0" t="s">
        <v>13</v>
      </c>
      <c r="I21" s="181"/>
      <c r="J21" s="18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6"/>
      <c r="B22" s="46" t="s">
        <v>103</v>
      </c>
      <c r="C22" s="10"/>
      <c r="D22" s="48">
        <f t="shared" si="1"/>
        <v>0</v>
      </c>
      <c r="F22" s="77"/>
      <c r="G22" s="73"/>
      <c r="H22" s="183"/>
      <c r="I22" s="183"/>
      <c r="J22" s="18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6"/>
      <c r="B23" s="14" t="s">
        <v>121</v>
      </c>
      <c r="C23" s="10"/>
      <c r="D23" s="48">
        <f t="shared" si="1"/>
        <v>0</v>
      </c>
      <c r="F23" s="78"/>
      <c r="G23" s="79"/>
      <c r="H23" s="184"/>
      <c r="I23" s="153"/>
      <c r="J23" s="15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6"/>
      <c r="B24" s="14" t="s">
        <v>128</v>
      </c>
      <c r="C24" s="10"/>
      <c r="D24" s="48">
        <f t="shared" si="1"/>
        <v>0</v>
      </c>
      <c r="F24" s="38"/>
      <c r="G24" s="37"/>
      <c r="H24" s="184"/>
      <c r="I24" s="153"/>
      <c r="J24" s="15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5" t="s">
        <v>13</v>
      </c>
      <c r="I25" s="186"/>
      <c r="J25" s="18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6"/>
      <c r="B26" s="14" t="s">
        <v>129</v>
      </c>
      <c r="C26" s="10"/>
      <c r="D26" s="48">
        <f t="shared" si="1"/>
        <v>0</v>
      </c>
      <c r="F26" s="64"/>
      <c r="G26" s="59"/>
      <c r="H26" s="188"/>
      <c r="I26" s="189"/>
      <c r="J26" s="19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6"/>
      <c r="B27" s="14" t="s">
        <v>130</v>
      </c>
      <c r="C27" s="10"/>
      <c r="D27" s="44">
        <f t="shared" si="1"/>
        <v>0</v>
      </c>
      <c r="F27" s="25"/>
      <c r="G27" s="80"/>
      <c r="H27" s="191"/>
      <c r="I27" s="192"/>
      <c r="J27" s="19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7"/>
      <c r="B28" s="46" t="s">
        <v>92</v>
      </c>
      <c r="C28" s="10"/>
      <c r="D28" s="48">
        <f t="shared" si="1"/>
        <v>0</v>
      </c>
      <c r="F28" s="96"/>
      <c r="G28" s="61"/>
      <c r="H28" s="194"/>
      <c r="I28" s="195"/>
      <c r="J28" s="19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8" t="s">
        <v>36</v>
      </c>
      <c r="B29" s="169"/>
      <c r="C29" s="170"/>
      <c r="D29" s="174">
        <f>SUM(D6:D28)</f>
        <v>518703</v>
      </c>
      <c r="F29" s="114" t="s">
        <v>54</v>
      </c>
      <c r="G29" s="176"/>
      <c r="H29" s="136">
        <f>H15-H16-H17-H18-H19-H20-H22-H23-H24+H26+H27</f>
        <v>437893.5</v>
      </c>
      <c r="I29" s="137"/>
      <c r="J29" s="13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1"/>
      <c r="B30" s="172"/>
      <c r="C30" s="173"/>
      <c r="D30" s="175"/>
      <c r="F30" s="117"/>
      <c r="G30" s="177"/>
      <c r="H30" s="139"/>
      <c r="I30" s="140"/>
      <c r="J30" s="141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1" t="s">
        <v>57</v>
      </c>
      <c r="B32" s="162"/>
      <c r="C32" s="162"/>
      <c r="D32" s="163"/>
      <c r="F32" s="164" t="s">
        <v>58</v>
      </c>
      <c r="G32" s="165"/>
      <c r="H32" s="165"/>
      <c r="I32" s="165"/>
      <c r="J32" s="16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164" t="s">
        <v>13</v>
      </c>
      <c r="I33" s="165"/>
      <c r="J33" s="16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5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4">
        <v>61</v>
      </c>
      <c r="H34" s="158">
        <f>F34*G34</f>
        <v>61000</v>
      </c>
      <c r="I34" s="159"/>
      <c r="J34" s="16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6"/>
      <c r="B35" s="27" t="s">
        <v>67</v>
      </c>
      <c r="C35" s="52"/>
      <c r="D35" s="30">
        <f>C35*84</f>
        <v>0</v>
      </c>
      <c r="F35" s="58">
        <v>500</v>
      </c>
      <c r="G35" s="41">
        <v>6</v>
      </c>
      <c r="H35" s="158">
        <f>F35*G35</f>
        <v>3000</v>
      </c>
      <c r="I35" s="159"/>
      <c r="J35" s="16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7"/>
      <c r="B36" s="26" t="s">
        <v>69</v>
      </c>
      <c r="C36" s="10"/>
      <c r="D36" s="12">
        <f>C36*1.5</f>
        <v>0</v>
      </c>
      <c r="F36" s="12">
        <v>200</v>
      </c>
      <c r="G36" s="37"/>
      <c r="H36" s="158">
        <f t="shared" ref="H36:H39" si="2">F36*G36</f>
        <v>0</v>
      </c>
      <c r="I36" s="159"/>
      <c r="J36" s="16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5" t="s">
        <v>71</v>
      </c>
      <c r="B37" s="28" t="s">
        <v>65</v>
      </c>
      <c r="C37" s="53">
        <v>688</v>
      </c>
      <c r="D37" s="12">
        <f>C37*111</f>
        <v>76368</v>
      </c>
      <c r="F37" s="12">
        <v>100</v>
      </c>
      <c r="G37" s="39">
        <v>7</v>
      </c>
      <c r="H37" s="158">
        <f t="shared" si="2"/>
        <v>700</v>
      </c>
      <c r="I37" s="159"/>
      <c r="J37" s="16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6"/>
      <c r="B38" s="29" t="s">
        <v>67</v>
      </c>
      <c r="C38" s="54"/>
      <c r="D38" s="12">
        <f>C38*84</f>
        <v>0</v>
      </c>
      <c r="F38" s="30">
        <v>50</v>
      </c>
      <c r="G38" s="39">
        <v>3</v>
      </c>
      <c r="H38" s="158">
        <f t="shared" si="2"/>
        <v>150</v>
      </c>
      <c r="I38" s="159"/>
      <c r="J38" s="16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7"/>
      <c r="B39" s="29" t="s">
        <v>69</v>
      </c>
      <c r="C39" s="52"/>
      <c r="D39" s="31">
        <f>C39*4.5</f>
        <v>0</v>
      </c>
      <c r="F39" s="12">
        <v>20</v>
      </c>
      <c r="G39" s="37"/>
      <c r="H39" s="158">
        <f t="shared" si="2"/>
        <v>0</v>
      </c>
      <c r="I39" s="159"/>
      <c r="J39" s="16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8"/>
      <c r="I40" s="159"/>
      <c r="J40" s="16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6"/>
      <c r="B41" s="27" t="s">
        <v>67</v>
      </c>
      <c r="C41" s="10"/>
      <c r="D41" s="12">
        <f>C41*84</f>
        <v>0</v>
      </c>
      <c r="F41" s="12">
        <v>5</v>
      </c>
      <c r="G41" s="42"/>
      <c r="H41" s="158"/>
      <c r="I41" s="159"/>
      <c r="J41" s="16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7"/>
      <c r="B42" s="27" t="s">
        <v>69</v>
      </c>
      <c r="C42" s="11"/>
      <c r="D42" s="12">
        <f>C42*2.25</f>
        <v>0</v>
      </c>
      <c r="F42" s="39" t="s">
        <v>78</v>
      </c>
      <c r="G42" s="158">
        <v>58</v>
      </c>
      <c r="H42" s="159"/>
      <c r="I42" s="159"/>
      <c r="J42" s="16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8" t="s">
        <v>80</v>
      </c>
      <c r="C43" s="11"/>
      <c r="D43" s="12"/>
      <c r="F43" s="59" t="s">
        <v>81</v>
      </c>
      <c r="G43" s="93" t="s">
        <v>82</v>
      </c>
      <c r="H43" s="150" t="s">
        <v>13</v>
      </c>
      <c r="I43" s="151"/>
      <c r="J43" s="15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9"/>
      <c r="B44" s="27" t="s">
        <v>65</v>
      </c>
      <c r="C44" s="10"/>
      <c r="D44" s="12">
        <f>C44*120</f>
        <v>0</v>
      </c>
      <c r="F44" s="37" t="s">
        <v>136</v>
      </c>
      <c r="G44" s="76" t="s">
        <v>150</v>
      </c>
      <c r="H44" s="153">
        <v>61578</v>
      </c>
      <c r="I44" s="153"/>
      <c r="J44" s="15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9"/>
      <c r="B45" s="27" t="s">
        <v>67</v>
      </c>
      <c r="C45" s="33">
        <v>1</v>
      </c>
      <c r="D45" s="12">
        <f>C45*84</f>
        <v>84</v>
      </c>
      <c r="F45" s="37" t="s">
        <v>136</v>
      </c>
      <c r="G45" s="76" t="s">
        <v>151</v>
      </c>
      <c r="H45" s="153">
        <v>193355</v>
      </c>
      <c r="I45" s="153"/>
      <c r="J45" s="153"/>
      <c r="K45" s="21"/>
      <c r="P45" s="4"/>
      <c r="Q45" s="4"/>
      <c r="R45" s="5"/>
    </row>
    <row r="46" spans="1:18" ht="15.75" x14ac:dyDescent="0.25">
      <c r="A46" s="129"/>
      <c r="B46" s="49" t="s">
        <v>69</v>
      </c>
      <c r="C46" s="81">
        <v>13</v>
      </c>
      <c r="D46" s="12">
        <f>C46*1.5</f>
        <v>19.5</v>
      </c>
      <c r="F46" s="37" t="s">
        <v>136</v>
      </c>
      <c r="G46" s="76" t="s">
        <v>152</v>
      </c>
      <c r="H46" s="153">
        <v>118134</v>
      </c>
      <c r="I46" s="153"/>
      <c r="J46" s="153"/>
      <c r="K46" s="21"/>
      <c r="P46" s="4"/>
      <c r="Q46" s="4"/>
      <c r="R46" s="5"/>
    </row>
    <row r="47" spans="1:18" ht="15.75" x14ac:dyDescent="0.25">
      <c r="A47" s="130"/>
      <c r="B47" s="27"/>
      <c r="C47" s="11"/>
      <c r="D47" s="12"/>
      <c r="F47" s="59"/>
      <c r="G47" s="59"/>
      <c r="H47" s="131"/>
      <c r="I47" s="132"/>
      <c r="J47" s="133"/>
      <c r="K47" s="21"/>
      <c r="P47" s="4"/>
      <c r="Q47" s="4"/>
      <c r="R47" s="5"/>
    </row>
    <row r="48" spans="1:18" ht="15" customHeight="1" x14ac:dyDescent="0.25">
      <c r="A48" s="128" t="s">
        <v>32</v>
      </c>
      <c r="B48" s="27" t="s">
        <v>65</v>
      </c>
      <c r="C48" s="10">
        <v>11</v>
      </c>
      <c r="D48" s="12">
        <f>C48*78</f>
        <v>858</v>
      </c>
      <c r="F48" s="59"/>
      <c r="G48" s="59"/>
      <c r="H48" s="131"/>
      <c r="I48" s="132"/>
      <c r="J48" s="13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9"/>
      <c r="B49" s="29" t="s">
        <v>67</v>
      </c>
      <c r="C49" s="33"/>
      <c r="D49" s="12">
        <f>C49*42</f>
        <v>0</v>
      </c>
      <c r="F49" s="134" t="s">
        <v>85</v>
      </c>
      <c r="G49" s="136">
        <f>H34+H35+H36+H37+H38+H39+H40+H41+G42+H44+H45+H46</f>
        <v>437975</v>
      </c>
      <c r="H49" s="137"/>
      <c r="I49" s="137"/>
      <c r="J49" s="13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9"/>
      <c r="B50" s="32" t="s">
        <v>69</v>
      </c>
      <c r="C50" s="11"/>
      <c r="D50" s="12">
        <f>C50*1.5</f>
        <v>0</v>
      </c>
      <c r="F50" s="135"/>
      <c r="G50" s="139"/>
      <c r="H50" s="140"/>
      <c r="I50" s="140"/>
      <c r="J50" s="141"/>
      <c r="O50" t="s">
        <v>114</v>
      </c>
      <c r="P50" s="4">
        <v>1204</v>
      </c>
      <c r="Q50" s="4"/>
      <c r="R50" s="5"/>
    </row>
    <row r="51" spans="1:18" ht="15" customHeight="1" x14ac:dyDescent="0.25">
      <c r="A51" s="129"/>
      <c r="B51" s="27"/>
      <c r="C51" s="10"/>
      <c r="D51" s="31"/>
      <c r="F51" s="142" t="s">
        <v>115</v>
      </c>
      <c r="G51" s="144">
        <f>G49-H29</f>
        <v>81.5</v>
      </c>
      <c r="H51" s="145"/>
      <c r="I51" s="145"/>
      <c r="J51" s="14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9"/>
      <c r="B52" s="29"/>
      <c r="C52" s="33"/>
      <c r="D52" s="45"/>
      <c r="F52" s="143"/>
      <c r="G52" s="147"/>
      <c r="H52" s="148"/>
      <c r="I52" s="148"/>
      <c r="J52" s="14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4" t="s">
        <v>89</v>
      </c>
      <c r="B54" s="115"/>
      <c r="C54" s="116"/>
      <c r="D54" s="120">
        <f>SUM(D34:D53)</f>
        <v>77449.5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7"/>
      <c r="B55" s="118"/>
      <c r="C55" s="119"/>
      <c r="D55" s="1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2" t="s">
        <v>90</v>
      </c>
      <c r="B58" s="123"/>
      <c r="C58" s="123"/>
      <c r="D58" s="124"/>
      <c r="F58" s="122" t="s">
        <v>91</v>
      </c>
      <c r="G58" s="123"/>
      <c r="H58" s="123"/>
      <c r="I58" s="123"/>
      <c r="J58" s="124"/>
    </row>
    <row r="59" spans="1:18" x14ac:dyDescent="0.25">
      <c r="A59" s="125"/>
      <c r="B59" s="126"/>
      <c r="C59" s="126"/>
      <c r="D59" s="127"/>
      <c r="F59" s="125"/>
      <c r="G59" s="126"/>
      <c r="H59" s="126"/>
      <c r="I59" s="126"/>
      <c r="J59" s="12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29932F-22C0-4BDB-8974-7752840CA412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0" t="s">
        <v>1</v>
      </c>
      <c r="O1" s="210"/>
      <c r="P1" s="95" t="s">
        <v>2</v>
      </c>
      <c r="Q1" s="9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1" t="s">
        <v>7</v>
      </c>
      <c r="B4" s="162"/>
      <c r="C4" s="162"/>
      <c r="D4" s="163"/>
      <c r="F4" s="211" t="s">
        <v>8</v>
      </c>
      <c r="G4" s="213"/>
      <c r="H4" s="215" t="s">
        <v>9</v>
      </c>
      <c r="I4" s="217"/>
      <c r="J4" s="21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5" t="s">
        <v>7</v>
      </c>
      <c r="B5" s="15" t="s">
        <v>11</v>
      </c>
      <c r="C5" s="9" t="s">
        <v>12</v>
      </c>
      <c r="D5" s="25" t="s">
        <v>13</v>
      </c>
      <c r="F5" s="212"/>
      <c r="G5" s="214"/>
      <c r="H5" s="216"/>
      <c r="I5" s="219"/>
      <c r="J5" s="22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6"/>
      <c r="B6" s="16"/>
      <c r="C6" s="10"/>
      <c r="D6" s="13">
        <f t="shared" ref="D6:D28" si="1">C6*L6</f>
        <v>0</v>
      </c>
      <c r="F6" s="221" t="s">
        <v>16</v>
      </c>
      <c r="G6" s="223"/>
      <c r="H6" s="224"/>
      <c r="I6" s="224"/>
      <c r="J6" s="22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6"/>
      <c r="B7" s="16"/>
      <c r="C7" s="10"/>
      <c r="D7" s="13">
        <f t="shared" si="1"/>
        <v>0</v>
      </c>
      <c r="F7" s="222"/>
      <c r="G7" s="226"/>
      <c r="H7" s="227"/>
      <c r="I7" s="227"/>
      <c r="J7" s="22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6"/>
      <c r="B8" s="16"/>
      <c r="C8" s="10"/>
      <c r="D8" s="13">
        <f t="shared" si="1"/>
        <v>0</v>
      </c>
      <c r="F8" s="229" t="s">
        <v>21</v>
      </c>
      <c r="G8" s="230"/>
      <c r="H8" s="231"/>
      <c r="I8" s="231"/>
      <c r="J8" s="23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6"/>
      <c r="B9" s="16"/>
      <c r="C9" s="10"/>
      <c r="D9" s="13">
        <f t="shared" si="1"/>
        <v>0</v>
      </c>
      <c r="F9" s="222"/>
      <c r="G9" s="233"/>
      <c r="H9" s="234"/>
      <c r="I9" s="234"/>
      <c r="J9" s="23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6"/>
      <c r="C10" s="10"/>
      <c r="D10" s="13">
        <f t="shared" si="1"/>
        <v>0</v>
      </c>
      <c r="F10" s="221" t="s">
        <v>26</v>
      </c>
      <c r="G10" s="236"/>
      <c r="H10" s="237"/>
      <c r="I10" s="237"/>
      <c r="J10" s="238"/>
      <c r="K10" s="8"/>
      <c r="L10" s="6">
        <f>R36</f>
        <v>972</v>
      </c>
      <c r="P10" s="4"/>
      <c r="Q10" s="4"/>
      <c r="R10" s="5"/>
    </row>
    <row r="11" spans="1:19" ht="15.75" x14ac:dyDescent="0.25">
      <c r="A11" s="156"/>
      <c r="B11" s="17"/>
      <c r="C11" s="10"/>
      <c r="D11" s="13">
        <f t="shared" si="1"/>
        <v>0</v>
      </c>
      <c r="F11" s="222"/>
      <c r="G11" s="233"/>
      <c r="H11" s="234"/>
      <c r="I11" s="234"/>
      <c r="J11" s="23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6"/>
      <c r="B12" s="17"/>
      <c r="C12" s="10"/>
      <c r="D12" s="48">
        <f t="shared" si="1"/>
        <v>0</v>
      </c>
      <c r="F12" s="239" t="s">
        <v>33</v>
      </c>
      <c r="G12" s="240"/>
      <c r="H12" s="240"/>
      <c r="I12" s="240"/>
      <c r="J12" s="24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6"/>
      <c r="B13" s="17"/>
      <c r="C13" s="10"/>
      <c r="D13" s="48">
        <f t="shared" si="1"/>
        <v>0</v>
      </c>
      <c r="F13" s="242" t="s">
        <v>36</v>
      </c>
      <c r="G13" s="206"/>
      <c r="H13" s="197">
        <f>D29</f>
        <v>0</v>
      </c>
      <c r="I13" s="198"/>
      <c r="J13" s="19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6"/>
      <c r="B14" s="14"/>
      <c r="C14" s="10"/>
      <c r="D14" s="31">
        <f t="shared" si="1"/>
        <v>0</v>
      </c>
      <c r="F14" s="200" t="s">
        <v>38</v>
      </c>
      <c r="G14" s="201"/>
      <c r="H14" s="202">
        <f>D54</f>
        <v>0</v>
      </c>
      <c r="I14" s="203"/>
      <c r="J14" s="20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6"/>
      <c r="B15" s="14"/>
      <c r="C15" s="10"/>
      <c r="D15" s="31">
        <f t="shared" si="1"/>
        <v>0</v>
      </c>
      <c r="F15" s="205" t="s">
        <v>39</v>
      </c>
      <c r="G15" s="206"/>
      <c r="H15" s="207">
        <f>H13-H14</f>
        <v>0</v>
      </c>
      <c r="I15" s="208"/>
      <c r="J15" s="20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6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7"/>
      <c r="I16" s="167"/>
      <c r="J16" s="16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6"/>
      <c r="C17" s="10"/>
      <c r="D17" s="48">
        <f t="shared" si="1"/>
        <v>0</v>
      </c>
      <c r="F17" s="56"/>
      <c r="G17" s="66" t="s">
        <v>44</v>
      </c>
      <c r="H17" s="178"/>
      <c r="I17" s="178"/>
      <c r="J17" s="17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6"/>
      <c r="B18" s="19"/>
      <c r="C18" s="10"/>
      <c r="D18" s="48">
        <f t="shared" si="1"/>
        <v>0</v>
      </c>
      <c r="F18" s="56"/>
      <c r="G18" s="66" t="s">
        <v>46</v>
      </c>
      <c r="H18" s="178"/>
      <c r="I18" s="178"/>
      <c r="J18" s="17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6"/>
      <c r="B19" s="14"/>
      <c r="C19" s="10"/>
      <c r="D19" s="48">
        <f t="shared" si="1"/>
        <v>0</v>
      </c>
      <c r="F19" s="56"/>
      <c r="G19" s="68" t="s">
        <v>49</v>
      </c>
      <c r="H19" s="179"/>
      <c r="I19" s="179"/>
      <c r="J19" s="17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6"/>
      <c r="B20" s="46"/>
      <c r="C20" s="10"/>
      <c r="D20" s="13">
        <f t="shared" si="1"/>
        <v>0</v>
      </c>
      <c r="F20" s="57"/>
      <c r="G20" s="70" t="s">
        <v>102</v>
      </c>
      <c r="H20" s="167"/>
      <c r="I20" s="167"/>
      <c r="J20" s="167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6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80" t="s">
        <v>13</v>
      </c>
      <c r="I21" s="181"/>
      <c r="J21" s="182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6"/>
      <c r="B22" s="46"/>
      <c r="C22" s="10"/>
      <c r="D22" s="48">
        <f t="shared" si="1"/>
        <v>0</v>
      </c>
      <c r="F22" s="77"/>
      <c r="G22" s="73"/>
      <c r="H22" s="183"/>
      <c r="I22" s="183"/>
      <c r="J22" s="183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6"/>
      <c r="B23" s="14"/>
      <c r="C23" s="10"/>
      <c r="D23" s="48">
        <f t="shared" si="1"/>
        <v>0</v>
      </c>
      <c r="F23" s="78"/>
      <c r="G23" s="79"/>
      <c r="H23" s="184"/>
      <c r="I23" s="153"/>
      <c r="J23" s="153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6"/>
      <c r="B24" s="14"/>
      <c r="C24" s="10"/>
      <c r="D24" s="48">
        <f t="shared" si="1"/>
        <v>0</v>
      </c>
      <c r="F24" s="38"/>
      <c r="G24" s="37"/>
      <c r="H24" s="184"/>
      <c r="I24" s="153"/>
      <c r="J24" s="153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6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5" t="s">
        <v>13</v>
      </c>
      <c r="I25" s="186"/>
      <c r="J25" s="187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6"/>
      <c r="B26" s="14"/>
      <c r="C26" s="10"/>
      <c r="D26" s="48">
        <f t="shared" si="1"/>
        <v>0</v>
      </c>
      <c r="F26" s="64"/>
      <c r="G26" s="59"/>
      <c r="H26" s="188"/>
      <c r="I26" s="189"/>
      <c r="J26" s="190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6"/>
      <c r="B27" s="14"/>
      <c r="C27" s="10"/>
      <c r="D27" s="44">
        <f t="shared" si="1"/>
        <v>0</v>
      </c>
      <c r="F27" s="25"/>
      <c r="G27" s="80"/>
      <c r="H27" s="191"/>
      <c r="I27" s="192"/>
      <c r="J27" s="193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7"/>
      <c r="B28" s="46"/>
      <c r="C28" s="10"/>
      <c r="D28" s="48">
        <f t="shared" si="1"/>
        <v>0</v>
      </c>
      <c r="F28" s="96"/>
      <c r="G28" s="61"/>
      <c r="H28" s="194"/>
      <c r="I28" s="195"/>
      <c r="J28" s="196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8" t="s">
        <v>36</v>
      </c>
      <c r="B29" s="169"/>
      <c r="C29" s="170"/>
      <c r="D29" s="174">
        <f>SUM(D6:D28)</f>
        <v>0</v>
      </c>
      <c r="F29" s="114" t="s">
        <v>54</v>
      </c>
      <c r="G29" s="176"/>
      <c r="H29" s="136">
        <f>H15-H16-H17-H18-H19-H20-H22-H23-H24+H26+H27</f>
        <v>0</v>
      </c>
      <c r="I29" s="137"/>
      <c r="J29" s="13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1"/>
      <c r="B30" s="172"/>
      <c r="C30" s="173"/>
      <c r="D30" s="175"/>
      <c r="F30" s="117"/>
      <c r="G30" s="177"/>
      <c r="H30" s="139"/>
      <c r="I30" s="140"/>
      <c r="J30" s="14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1" t="s">
        <v>57</v>
      </c>
      <c r="B32" s="162"/>
      <c r="C32" s="162"/>
      <c r="D32" s="163"/>
      <c r="F32" s="164" t="s">
        <v>58</v>
      </c>
      <c r="G32" s="165"/>
      <c r="H32" s="165"/>
      <c r="I32" s="165"/>
      <c r="J32" s="166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164" t="s">
        <v>13</v>
      </c>
      <c r="I33" s="165"/>
      <c r="J33" s="16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5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58"/>
      <c r="I34" s="159"/>
      <c r="J34" s="160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6"/>
      <c r="B35" s="27" t="s">
        <v>67</v>
      </c>
      <c r="C35" s="52"/>
      <c r="D35" s="30">
        <f>C35*84</f>
        <v>0</v>
      </c>
      <c r="F35" s="58">
        <v>500</v>
      </c>
      <c r="G35" s="41"/>
      <c r="H35" s="158"/>
      <c r="I35" s="159"/>
      <c r="J35" s="16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7"/>
      <c r="B36" s="26" t="s">
        <v>69</v>
      </c>
      <c r="C36" s="10"/>
      <c r="D36" s="12">
        <f>C36*1.5</f>
        <v>0</v>
      </c>
      <c r="F36" s="12">
        <v>200</v>
      </c>
      <c r="G36" s="37"/>
      <c r="H36" s="158"/>
      <c r="I36" s="159"/>
      <c r="J36" s="160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8"/>
      <c r="I37" s="159"/>
      <c r="J37" s="160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6"/>
      <c r="B38" s="29" t="s">
        <v>67</v>
      </c>
      <c r="C38" s="54"/>
      <c r="D38" s="12">
        <f>C38*84</f>
        <v>0</v>
      </c>
      <c r="F38" s="30">
        <v>50</v>
      </c>
      <c r="G38" s="39"/>
      <c r="H38" s="158"/>
      <c r="I38" s="159"/>
      <c r="J38" s="160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7"/>
      <c r="B39" s="29" t="s">
        <v>69</v>
      </c>
      <c r="C39" s="52"/>
      <c r="D39" s="31">
        <f>C39*4.5</f>
        <v>0</v>
      </c>
      <c r="F39" s="12">
        <v>20</v>
      </c>
      <c r="G39" s="37"/>
      <c r="H39" s="158"/>
      <c r="I39" s="159"/>
      <c r="J39" s="16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8"/>
      <c r="I40" s="159"/>
      <c r="J40" s="160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6"/>
      <c r="B41" s="27" t="s">
        <v>67</v>
      </c>
      <c r="C41" s="10"/>
      <c r="D41" s="12">
        <f>C41*84</f>
        <v>0</v>
      </c>
      <c r="F41" s="12">
        <v>5</v>
      </c>
      <c r="G41" s="42"/>
      <c r="H41" s="158"/>
      <c r="I41" s="159"/>
      <c r="J41" s="160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7"/>
      <c r="B42" s="27" t="s">
        <v>69</v>
      </c>
      <c r="C42" s="11"/>
      <c r="D42" s="12">
        <f>C42*2.25</f>
        <v>0</v>
      </c>
      <c r="F42" s="39" t="s">
        <v>78</v>
      </c>
      <c r="G42" s="158"/>
      <c r="H42" s="159"/>
      <c r="I42" s="159"/>
      <c r="J42" s="160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8" t="s">
        <v>80</v>
      </c>
      <c r="C43" s="11"/>
      <c r="D43" s="12"/>
      <c r="F43" s="59" t="s">
        <v>81</v>
      </c>
      <c r="G43" s="93" t="s">
        <v>82</v>
      </c>
      <c r="H43" s="150" t="s">
        <v>13</v>
      </c>
      <c r="I43" s="151"/>
      <c r="J43" s="152"/>
      <c r="K43" s="21"/>
      <c r="P43" s="4"/>
      <c r="Q43" s="4"/>
      <c r="R43" s="5"/>
    </row>
    <row r="44" spans="1:18" ht="15.75" x14ac:dyDescent="0.25">
      <c r="A44" s="129"/>
      <c r="B44" s="27" t="s">
        <v>65</v>
      </c>
      <c r="C44" s="10"/>
      <c r="D44" s="12">
        <f>C44*120</f>
        <v>0</v>
      </c>
      <c r="F44" s="37"/>
      <c r="G44" s="76"/>
      <c r="H44" s="153"/>
      <c r="I44" s="153"/>
      <c r="J44" s="153"/>
      <c r="K44" s="21"/>
      <c r="P44" s="4"/>
      <c r="Q44" s="4"/>
      <c r="R44" s="5"/>
    </row>
    <row r="45" spans="1:18" ht="15.75" x14ac:dyDescent="0.25">
      <c r="A45" s="129"/>
      <c r="B45" s="27" t="s">
        <v>67</v>
      </c>
      <c r="C45" s="33"/>
      <c r="D45" s="12">
        <f>C45*84</f>
        <v>0</v>
      </c>
      <c r="F45" s="37"/>
      <c r="G45" s="76"/>
      <c r="H45" s="153"/>
      <c r="I45" s="153"/>
      <c r="J45" s="153"/>
      <c r="K45" s="21"/>
      <c r="P45" s="4"/>
      <c r="Q45" s="4"/>
      <c r="R45" s="5"/>
    </row>
    <row r="46" spans="1:18" ht="15.75" x14ac:dyDescent="0.25">
      <c r="A46" s="129"/>
      <c r="B46" s="49" t="s">
        <v>69</v>
      </c>
      <c r="C46" s="81"/>
      <c r="D46" s="12">
        <f>C46*1.5</f>
        <v>0</v>
      </c>
      <c r="F46" s="37"/>
      <c r="G46" s="62"/>
      <c r="H46" s="154"/>
      <c r="I46" s="154"/>
      <c r="J46" s="154"/>
      <c r="K46" s="21"/>
      <c r="P46" s="4"/>
      <c r="Q46" s="4"/>
      <c r="R46" s="5"/>
    </row>
    <row r="47" spans="1:18" ht="15.75" x14ac:dyDescent="0.25">
      <c r="A47" s="130"/>
      <c r="B47" s="27"/>
      <c r="C47" s="11"/>
      <c r="D47" s="12"/>
      <c r="F47" s="59"/>
      <c r="G47" s="59"/>
      <c r="H47" s="131"/>
      <c r="I47" s="132"/>
      <c r="J47" s="133"/>
      <c r="K47" s="21"/>
      <c r="P47" s="4"/>
      <c r="Q47" s="4"/>
      <c r="R47" s="5"/>
    </row>
    <row r="48" spans="1:18" ht="15" customHeight="1" x14ac:dyDescent="0.25">
      <c r="A48" s="128" t="s">
        <v>32</v>
      </c>
      <c r="B48" s="27" t="s">
        <v>65</v>
      </c>
      <c r="C48" s="10"/>
      <c r="D48" s="12">
        <f>C48*78</f>
        <v>0</v>
      </c>
      <c r="F48" s="59"/>
      <c r="G48" s="59"/>
      <c r="H48" s="131"/>
      <c r="I48" s="132"/>
      <c r="J48" s="13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9"/>
      <c r="B49" s="29" t="s">
        <v>67</v>
      </c>
      <c r="C49" s="33"/>
      <c r="D49" s="12">
        <f>C49*42</f>
        <v>0</v>
      </c>
      <c r="F49" s="134" t="s">
        <v>85</v>
      </c>
      <c r="G49" s="136">
        <f>H34+H35+H36+H37+H38+H39+H40+H41+G42+H44+H45+H46</f>
        <v>0</v>
      </c>
      <c r="H49" s="137"/>
      <c r="I49" s="137"/>
      <c r="J49" s="13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9"/>
      <c r="B50" s="32" t="s">
        <v>69</v>
      </c>
      <c r="C50" s="11"/>
      <c r="D50" s="12">
        <f>C50*1.5</f>
        <v>0</v>
      </c>
      <c r="F50" s="135"/>
      <c r="G50" s="139"/>
      <c r="H50" s="140"/>
      <c r="I50" s="140"/>
      <c r="J50" s="141"/>
      <c r="P50" s="4"/>
      <c r="Q50" s="4"/>
      <c r="R50" s="5"/>
    </row>
    <row r="51" spans="1:18" ht="15" customHeight="1" x14ac:dyDescent="0.25">
      <c r="A51" s="129"/>
      <c r="B51" s="27"/>
      <c r="C51" s="10"/>
      <c r="D51" s="31"/>
      <c r="F51" s="142" t="s">
        <v>106</v>
      </c>
      <c r="G51" s="144">
        <f>G49-H29</f>
        <v>0</v>
      </c>
      <c r="H51" s="145"/>
      <c r="I51" s="145"/>
      <c r="J51" s="146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9"/>
      <c r="B52" s="29"/>
      <c r="C52" s="33"/>
      <c r="D52" s="45"/>
      <c r="F52" s="143"/>
      <c r="G52" s="147"/>
      <c r="H52" s="148"/>
      <c r="I52" s="148"/>
      <c r="J52" s="14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4" t="s">
        <v>89</v>
      </c>
      <c r="B54" s="115"/>
      <c r="C54" s="116"/>
      <c r="D54" s="120">
        <f>SUM(D34:D53)</f>
        <v>0</v>
      </c>
      <c r="F54" s="21"/>
      <c r="J54" s="34"/>
    </row>
    <row r="55" spans="1:18" x14ac:dyDescent="0.25">
      <c r="A55" s="117"/>
      <c r="B55" s="118"/>
      <c r="C55" s="119"/>
      <c r="D55" s="1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2" t="s">
        <v>90</v>
      </c>
      <c r="B58" s="123"/>
      <c r="C58" s="123"/>
      <c r="D58" s="124"/>
      <c r="F58" s="122" t="s">
        <v>91</v>
      </c>
      <c r="G58" s="123"/>
      <c r="H58" s="123"/>
      <c r="I58" s="123"/>
      <c r="J58" s="124"/>
    </row>
    <row r="59" spans="1:18" x14ac:dyDescent="0.25">
      <c r="A59" s="125"/>
      <c r="B59" s="126"/>
      <c r="C59" s="126"/>
      <c r="D59" s="127"/>
      <c r="F59" s="125"/>
      <c r="G59" s="126"/>
      <c r="H59" s="126"/>
      <c r="I59" s="126"/>
      <c r="J59" s="12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E6FC69-08B4-4FA9-ABEE-1D54664A191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0" t="s">
        <v>1</v>
      </c>
      <c r="O1" s="210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1" t="s">
        <v>7</v>
      </c>
      <c r="B4" s="162"/>
      <c r="C4" s="162"/>
      <c r="D4" s="163"/>
      <c r="F4" s="211" t="s">
        <v>8</v>
      </c>
      <c r="G4" s="213">
        <v>1</v>
      </c>
      <c r="H4" s="215" t="s">
        <v>9</v>
      </c>
      <c r="I4" s="217">
        <v>46148</v>
      </c>
      <c r="J4" s="21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5" t="s">
        <v>7</v>
      </c>
      <c r="B5" s="15" t="s">
        <v>11</v>
      </c>
      <c r="C5" s="9" t="s">
        <v>12</v>
      </c>
      <c r="D5" s="25" t="s">
        <v>13</v>
      </c>
      <c r="F5" s="212"/>
      <c r="G5" s="214"/>
      <c r="H5" s="216"/>
      <c r="I5" s="219"/>
      <c r="J5" s="22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6"/>
      <c r="B6" s="16" t="s">
        <v>15</v>
      </c>
      <c r="C6" s="10">
        <v>253</v>
      </c>
      <c r="D6" s="13">
        <f t="shared" ref="D6:D28" si="1">C6*L6</f>
        <v>192533</v>
      </c>
      <c r="F6" s="221" t="s">
        <v>16</v>
      </c>
      <c r="G6" s="223" t="s">
        <v>99</v>
      </c>
      <c r="H6" s="224"/>
      <c r="I6" s="224"/>
      <c r="J6" s="22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6"/>
      <c r="B7" s="16" t="s">
        <v>18</v>
      </c>
      <c r="C7" s="10">
        <v>10</v>
      </c>
      <c r="D7" s="13">
        <f t="shared" si="1"/>
        <v>7810</v>
      </c>
      <c r="F7" s="222"/>
      <c r="G7" s="226"/>
      <c r="H7" s="227"/>
      <c r="I7" s="227"/>
      <c r="J7" s="22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6"/>
      <c r="B8" s="16" t="s">
        <v>20</v>
      </c>
      <c r="C8" s="10">
        <v>67</v>
      </c>
      <c r="D8" s="13">
        <f t="shared" si="1"/>
        <v>73231</v>
      </c>
      <c r="F8" s="229" t="s">
        <v>21</v>
      </c>
      <c r="G8" s="230" t="s">
        <v>120</v>
      </c>
      <c r="H8" s="231"/>
      <c r="I8" s="231"/>
      <c r="J8" s="23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6"/>
      <c r="B9" s="16" t="s">
        <v>23</v>
      </c>
      <c r="C9" s="10">
        <v>22</v>
      </c>
      <c r="D9" s="13">
        <f t="shared" si="1"/>
        <v>16126</v>
      </c>
      <c r="F9" s="222"/>
      <c r="G9" s="233"/>
      <c r="H9" s="234"/>
      <c r="I9" s="234"/>
      <c r="J9" s="23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6"/>
      <c r="B10" t="s">
        <v>25</v>
      </c>
      <c r="C10" s="10">
        <v>4</v>
      </c>
      <c r="D10" s="13">
        <f t="shared" si="1"/>
        <v>4128</v>
      </c>
      <c r="F10" s="221" t="s">
        <v>26</v>
      </c>
      <c r="G10" s="236" t="s">
        <v>108</v>
      </c>
      <c r="H10" s="237"/>
      <c r="I10" s="237"/>
      <c r="J10" s="238"/>
      <c r="K10" s="8"/>
      <c r="L10" s="6">
        <f>R36</f>
        <v>1032</v>
      </c>
      <c r="P10" s="4"/>
      <c r="Q10" s="4"/>
      <c r="R10" s="5"/>
    </row>
    <row r="11" spans="1:18" ht="15.75" x14ac:dyDescent="0.25">
      <c r="A11" s="156"/>
      <c r="B11" s="17" t="s">
        <v>28</v>
      </c>
      <c r="C11" s="10"/>
      <c r="D11" s="13">
        <f t="shared" si="1"/>
        <v>0</v>
      </c>
      <c r="F11" s="222"/>
      <c r="G11" s="233"/>
      <c r="H11" s="234"/>
      <c r="I11" s="234"/>
      <c r="J11" s="23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6"/>
      <c r="B12" s="17" t="s">
        <v>30</v>
      </c>
      <c r="C12" s="10">
        <f>3+1</f>
        <v>4</v>
      </c>
      <c r="D12" s="48">
        <f t="shared" si="1"/>
        <v>3968</v>
      </c>
      <c r="F12" s="239" t="s">
        <v>33</v>
      </c>
      <c r="G12" s="240"/>
      <c r="H12" s="240"/>
      <c r="I12" s="240"/>
      <c r="J12" s="24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6"/>
      <c r="B13" s="17" t="s">
        <v>32</v>
      </c>
      <c r="C13" s="10">
        <v>3</v>
      </c>
      <c r="D13" s="48">
        <f t="shared" si="1"/>
        <v>921</v>
      </c>
      <c r="F13" s="242" t="s">
        <v>36</v>
      </c>
      <c r="G13" s="206"/>
      <c r="H13" s="197">
        <f>D29</f>
        <v>302093.91666666669</v>
      </c>
      <c r="I13" s="198"/>
      <c r="J13" s="19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6"/>
      <c r="B14" s="14" t="s">
        <v>35</v>
      </c>
      <c r="C14" s="10">
        <v>18</v>
      </c>
      <c r="D14" s="31">
        <f t="shared" si="1"/>
        <v>198</v>
      </c>
      <c r="F14" s="200" t="s">
        <v>38</v>
      </c>
      <c r="G14" s="201"/>
      <c r="H14" s="202">
        <f>D54</f>
        <v>40819.5</v>
      </c>
      <c r="I14" s="203"/>
      <c r="J14" s="20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6"/>
      <c r="B15" s="14" t="s">
        <v>122</v>
      </c>
      <c r="C15" s="10">
        <f>1+1</f>
        <v>2</v>
      </c>
      <c r="D15" s="31">
        <f t="shared" si="1"/>
        <v>1240</v>
      </c>
      <c r="F15" s="205" t="s">
        <v>39</v>
      </c>
      <c r="G15" s="206"/>
      <c r="H15" s="207">
        <f>H13-H14</f>
        <v>261274.41666666669</v>
      </c>
      <c r="I15" s="208"/>
      <c r="J15" s="20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6"/>
      <c r="B16" s="18" t="s">
        <v>111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167"/>
      <c r="I16" s="167"/>
      <c r="J16" s="16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6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78"/>
      <c r="I17" s="178"/>
      <c r="J17" s="17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6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78"/>
      <c r="I18" s="178"/>
      <c r="J18" s="17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6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67"/>
      <c r="I19" s="167"/>
      <c r="J19" s="16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6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67"/>
      <c r="I20" s="167"/>
      <c r="J20" s="16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6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0" t="s">
        <v>13</v>
      </c>
      <c r="I21" s="181"/>
      <c r="J21" s="18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6"/>
      <c r="B22" s="46" t="s">
        <v>103</v>
      </c>
      <c r="C22" s="10"/>
      <c r="D22" s="48">
        <f t="shared" si="1"/>
        <v>0</v>
      </c>
      <c r="F22" s="77" t="s">
        <v>153</v>
      </c>
      <c r="G22" s="73">
        <v>10503</v>
      </c>
      <c r="H22" s="183">
        <v>70631</v>
      </c>
      <c r="I22" s="183"/>
      <c r="J22" s="18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6"/>
      <c r="B23" s="14" t="s">
        <v>121</v>
      </c>
      <c r="C23" s="10"/>
      <c r="D23" s="48">
        <f t="shared" si="1"/>
        <v>0</v>
      </c>
      <c r="F23" s="77"/>
      <c r="G23" s="79"/>
      <c r="H23" s="251"/>
      <c r="I23" s="252"/>
      <c r="J23" s="25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6"/>
      <c r="B24" s="14" t="s">
        <v>128</v>
      </c>
      <c r="C24" s="10"/>
      <c r="D24" s="48">
        <f t="shared" si="1"/>
        <v>0</v>
      </c>
      <c r="F24" s="77"/>
      <c r="G24" s="79"/>
      <c r="H24" s="251"/>
      <c r="I24" s="252"/>
      <c r="J24" s="25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5" t="s">
        <v>13</v>
      </c>
      <c r="I25" s="186"/>
      <c r="J25" s="18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6"/>
      <c r="B26" s="14" t="s">
        <v>129</v>
      </c>
      <c r="C26" s="10">
        <v>11</v>
      </c>
      <c r="D26" s="48">
        <f t="shared" si="1"/>
        <v>638.91666666666674</v>
      </c>
      <c r="F26" s="75"/>
      <c r="G26" s="65"/>
      <c r="H26" s="153"/>
      <c r="I26" s="153"/>
      <c r="J26" s="15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6"/>
      <c r="B27" s="14" t="s">
        <v>130</v>
      </c>
      <c r="C27" s="10"/>
      <c r="D27" s="44">
        <f t="shared" si="1"/>
        <v>0</v>
      </c>
      <c r="F27" s="71"/>
      <c r="G27" s="93"/>
      <c r="H27" s="253"/>
      <c r="I27" s="254"/>
      <c r="J27" s="25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7"/>
      <c r="B28" s="46" t="s">
        <v>92</v>
      </c>
      <c r="C28" s="10"/>
      <c r="D28" s="48">
        <f t="shared" si="1"/>
        <v>0</v>
      </c>
      <c r="F28" s="96"/>
      <c r="G28" s="61"/>
      <c r="H28" s="194"/>
      <c r="I28" s="195"/>
      <c r="J28" s="19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8" t="s">
        <v>36</v>
      </c>
      <c r="B29" s="169"/>
      <c r="C29" s="170"/>
      <c r="D29" s="174">
        <f>SUM(D6:D28)</f>
        <v>302093.91666666669</v>
      </c>
      <c r="F29" s="114" t="s">
        <v>54</v>
      </c>
      <c r="G29" s="176"/>
      <c r="H29" s="136">
        <f>H15-H16-H17-H18-H19-H20-H22-H23-H24+H26+H27+H28</f>
        <v>190643.41666666669</v>
      </c>
      <c r="I29" s="137"/>
      <c r="J29" s="13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1"/>
      <c r="B30" s="172"/>
      <c r="C30" s="173"/>
      <c r="D30" s="175"/>
      <c r="F30" s="117"/>
      <c r="G30" s="177"/>
      <c r="H30" s="139"/>
      <c r="I30" s="140"/>
      <c r="J30" s="141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1" t="s">
        <v>57</v>
      </c>
      <c r="B32" s="162"/>
      <c r="C32" s="162"/>
      <c r="D32" s="163"/>
      <c r="F32" s="164" t="s">
        <v>58</v>
      </c>
      <c r="G32" s="165"/>
      <c r="H32" s="165"/>
      <c r="I32" s="165"/>
      <c r="J32" s="16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164" t="s">
        <v>13</v>
      </c>
      <c r="I33" s="165"/>
      <c r="J33" s="16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5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138</v>
      </c>
      <c r="H34" s="158">
        <f t="shared" ref="H34:H39" si="2">F34*G34</f>
        <v>138000</v>
      </c>
      <c r="I34" s="159"/>
      <c r="J34" s="16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6"/>
      <c r="B35" s="27" t="s">
        <v>67</v>
      </c>
      <c r="C35" s="52"/>
      <c r="D35" s="30">
        <f>C35*84</f>
        <v>0</v>
      </c>
      <c r="F35" s="58">
        <v>500</v>
      </c>
      <c r="G35" s="41">
        <v>72</v>
      </c>
      <c r="H35" s="158">
        <f t="shared" si="2"/>
        <v>36000</v>
      </c>
      <c r="I35" s="159"/>
      <c r="J35" s="16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7"/>
      <c r="B36" s="26" t="s">
        <v>69</v>
      </c>
      <c r="C36" s="10">
        <v>1</v>
      </c>
      <c r="D36" s="12">
        <f>C36*1.5</f>
        <v>1.5</v>
      </c>
      <c r="F36" s="12">
        <v>200</v>
      </c>
      <c r="G36" s="37"/>
      <c r="H36" s="158">
        <f t="shared" si="2"/>
        <v>0</v>
      </c>
      <c r="I36" s="159"/>
      <c r="J36" s="16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5" t="s">
        <v>71</v>
      </c>
      <c r="B37" s="28" t="s">
        <v>65</v>
      </c>
      <c r="C37" s="53">
        <v>273</v>
      </c>
      <c r="D37" s="12">
        <f>C37*111</f>
        <v>30303</v>
      </c>
      <c r="F37" s="12">
        <v>100</v>
      </c>
      <c r="G37" s="39">
        <v>2</v>
      </c>
      <c r="H37" s="158">
        <f t="shared" si="2"/>
        <v>200</v>
      </c>
      <c r="I37" s="159"/>
      <c r="J37" s="16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6"/>
      <c r="B38" s="29" t="s">
        <v>67</v>
      </c>
      <c r="C38" s="54">
        <v>5</v>
      </c>
      <c r="D38" s="12">
        <f>C38*84</f>
        <v>420</v>
      </c>
      <c r="F38" s="30">
        <v>50</v>
      </c>
      <c r="G38" s="39">
        <v>14</v>
      </c>
      <c r="H38" s="158">
        <f t="shared" si="2"/>
        <v>700</v>
      </c>
      <c r="I38" s="159"/>
      <c r="J38" s="16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7"/>
      <c r="B39" s="29" t="s">
        <v>69</v>
      </c>
      <c r="C39" s="52">
        <v>3</v>
      </c>
      <c r="D39" s="31">
        <f>C39*4.5</f>
        <v>13.5</v>
      </c>
      <c r="F39" s="12">
        <v>20</v>
      </c>
      <c r="G39" s="37">
        <v>2</v>
      </c>
      <c r="H39" s="158">
        <f t="shared" si="2"/>
        <v>40</v>
      </c>
      <c r="I39" s="159"/>
      <c r="J39" s="16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5" t="s">
        <v>75</v>
      </c>
      <c r="B40" s="27" t="s">
        <v>65</v>
      </c>
      <c r="C40" s="63">
        <v>3</v>
      </c>
      <c r="D40" s="12">
        <f>C40*111</f>
        <v>333</v>
      </c>
      <c r="F40" s="12">
        <v>10</v>
      </c>
      <c r="G40" s="42"/>
      <c r="H40" s="158"/>
      <c r="I40" s="159"/>
      <c r="J40" s="16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6"/>
      <c r="B41" s="27" t="s">
        <v>67</v>
      </c>
      <c r="C41" s="10">
        <v>3</v>
      </c>
      <c r="D41" s="12">
        <f>C41*84</f>
        <v>252</v>
      </c>
      <c r="F41" s="12">
        <v>5</v>
      </c>
      <c r="G41" s="42"/>
      <c r="H41" s="158"/>
      <c r="I41" s="159"/>
      <c r="J41" s="16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7"/>
      <c r="B42" s="27" t="s">
        <v>69</v>
      </c>
      <c r="C42" s="11">
        <v>6</v>
      </c>
      <c r="D42" s="12">
        <f>C42*2.25</f>
        <v>13.5</v>
      </c>
      <c r="F42" s="39" t="s">
        <v>78</v>
      </c>
      <c r="G42" s="158">
        <v>117</v>
      </c>
      <c r="H42" s="159"/>
      <c r="I42" s="159"/>
      <c r="J42" s="16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8" t="s">
        <v>80</v>
      </c>
      <c r="C43" s="11"/>
      <c r="D43" s="12"/>
      <c r="F43" s="59" t="s">
        <v>81</v>
      </c>
      <c r="G43" s="93" t="s">
        <v>82</v>
      </c>
      <c r="H43" s="150" t="s">
        <v>13</v>
      </c>
      <c r="I43" s="151"/>
      <c r="J43" s="15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9"/>
      <c r="B44" s="27" t="s">
        <v>65</v>
      </c>
      <c r="C44" s="10">
        <v>77</v>
      </c>
      <c r="D44" s="12">
        <f>C44*120</f>
        <v>9240</v>
      </c>
      <c r="F44" s="37" t="s">
        <v>137</v>
      </c>
      <c r="G44" s="62"/>
      <c r="H44" s="153">
        <v>10000</v>
      </c>
      <c r="I44" s="153"/>
      <c r="J44" s="15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9"/>
      <c r="B45" s="27" t="s">
        <v>67</v>
      </c>
      <c r="C45" s="33"/>
      <c r="D45" s="12">
        <f>C45*84</f>
        <v>0</v>
      </c>
      <c r="F45" s="37" t="s">
        <v>137</v>
      </c>
      <c r="G45" s="62"/>
      <c r="H45" s="153">
        <v>7230</v>
      </c>
      <c r="I45" s="153"/>
      <c r="J45" s="153"/>
      <c r="K45" s="21"/>
      <c r="P45" s="4"/>
      <c r="Q45" s="4"/>
      <c r="R45" s="5"/>
    </row>
    <row r="46" spans="1:18" ht="15.75" x14ac:dyDescent="0.25">
      <c r="A46" s="129"/>
      <c r="B46" s="49" t="s">
        <v>69</v>
      </c>
      <c r="C46" s="81"/>
      <c r="D46" s="12">
        <f>C46*1.5</f>
        <v>0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30"/>
      <c r="B47" s="27"/>
      <c r="C47" s="11"/>
      <c r="D47" s="12"/>
      <c r="F47" s="59"/>
      <c r="G47" s="59"/>
      <c r="H47" s="131"/>
      <c r="I47" s="132"/>
      <c r="J47" s="133"/>
      <c r="K47" s="21"/>
      <c r="P47" s="4"/>
      <c r="Q47" s="4"/>
      <c r="R47" s="5"/>
    </row>
    <row r="48" spans="1:18" ht="15" customHeight="1" x14ac:dyDescent="0.25">
      <c r="A48" s="128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131"/>
      <c r="I48" s="132"/>
      <c r="J48" s="13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9"/>
      <c r="B49" s="29" t="s">
        <v>67</v>
      </c>
      <c r="C49" s="33"/>
      <c r="D49" s="12">
        <f>C49*42</f>
        <v>0</v>
      </c>
      <c r="F49" s="134" t="s">
        <v>85</v>
      </c>
      <c r="G49" s="136">
        <f>H34+H35+H36+H37+H38+H39+H40+H41+G42+H44+H45+H46</f>
        <v>192287</v>
      </c>
      <c r="H49" s="137"/>
      <c r="I49" s="137"/>
      <c r="J49" s="13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9"/>
      <c r="B50" s="32" t="s">
        <v>69</v>
      </c>
      <c r="C50" s="11">
        <v>6</v>
      </c>
      <c r="D50" s="12">
        <f>C50*1.5</f>
        <v>9</v>
      </c>
      <c r="F50" s="135"/>
      <c r="G50" s="139"/>
      <c r="H50" s="140"/>
      <c r="I50" s="140"/>
      <c r="J50" s="141"/>
      <c r="O50" t="s">
        <v>114</v>
      </c>
      <c r="P50" s="4">
        <v>1204</v>
      </c>
      <c r="Q50" s="4"/>
      <c r="R50" s="5"/>
    </row>
    <row r="51" spans="1:18" ht="15" customHeight="1" x14ac:dyDescent="0.25">
      <c r="A51" s="129"/>
      <c r="B51" s="27"/>
      <c r="C51" s="10"/>
      <c r="D51" s="31"/>
      <c r="F51" s="142" t="s">
        <v>115</v>
      </c>
      <c r="G51" s="144">
        <f>G49-H29</f>
        <v>1643.5833333333139</v>
      </c>
      <c r="H51" s="145"/>
      <c r="I51" s="145"/>
      <c r="J51" s="14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9"/>
      <c r="B52" s="29"/>
      <c r="C52" s="33"/>
      <c r="D52" s="45"/>
      <c r="F52" s="143"/>
      <c r="G52" s="147"/>
      <c r="H52" s="148"/>
      <c r="I52" s="148"/>
      <c r="J52" s="14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4" t="s">
        <v>89</v>
      </c>
      <c r="B54" s="115"/>
      <c r="C54" s="116"/>
      <c r="D54" s="120">
        <f>SUM(D34:D53)</f>
        <v>40819.5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7"/>
      <c r="B55" s="118"/>
      <c r="C55" s="119"/>
      <c r="D55" s="1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22" t="s">
        <v>90</v>
      </c>
      <c r="B58" s="123"/>
      <c r="C58" s="123"/>
      <c r="D58" s="124"/>
      <c r="F58" s="122" t="s">
        <v>91</v>
      </c>
      <c r="G58" s="123"/>
      <c r="H58" s="123"/>
      <c r="I58" s="123"/>
      <c r="J58" s="124"/>
    </row>
    <row r="59" spans="1:18" x14ac:dyDescent="0.25">
      <c r="A59" s="125"/>
      <c r="B59" s="126"/>
      <c r="C59" s="126"/>
      <c r="D59" s="127"/>
      <c r="F59" s="125"/>
      <c r="G59" s="126"/>
      <c r="H59" s="126"/>
      <c r="I59" s="126"/>
      <c r="J59" s="12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3FC04-D11B-4DCF-B47D-D580C4944F9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0" t="s">
        <v>1</v>
      </c>
      <c r="O1" s="210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1" t="s">
        <v>7</v>
      </c>
      <c r="B4" s="162"/>
      <c r="C4" s="162"/>
      <c r="D4" s="163"/>
      <c r="F4" s="211" t="s">
        <v>8</v>
      </c>
      <c r="G4" s="213">
        <v>2</v>
      </c>
      <c r="H4" s="215" t="s">
        <v>9</v>
      </c>
      <c r="I4" s="217">
        <v>46148</v>
      </c>
      <c r="J4" s="21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5" t="s">
        <v>7</v>
      </c>
      <c r="B5" s="15" t="s">
        <v>11</v>
      </c>
      <c r="C5" s="9" t="s">
        <v>12</v>
      </c>
      <c r="D5" s="25" t="s">
        <v>13</v>
      </c>
      <c r="F5" s="212"/>
      <c r="G5" s="214"/>
      <c r="H5" s="216"/>
      <c r="I5" s="219"/>
      <c r="J5" s="22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6"/>
      <c r="B6" s="16" t="s">
        <v>15</v>
      </c>
      <c r="C6" s="10">
        <v>368</v>
      </c>
      <c r="D6" s="13">
        <f t="shared" ref="D6:D28" si="1">C6*L6</f>
        <v>280048</v>
      </c>
      <c r="F6" s="221" t="s">
        <v>16</v>
      </c>
      <c r="G6" s="223" t="s">
        <v>107</v>
      </c>
      <c r="H6" s="224"/>
      <c r="I6" s="224"/>
      <c r="J6" s="22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6"/>
      <c r="B7" s="16" t="s">
        <v>18</v>
      </c>
      <c r="C7" s="10">
        <v>10</v>
      </c>
      <c r="D7" s="13">
        <f t="shared" si="1"/>
        <v>7810</v>
      </c>
      <c r="F7" s="222"/>
      <c r="G7" s="226"/>
      <c r="H7" s="227"/>
      <c r="I7" s="227"/>
      <c r="J7" s="22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6"/>
      <c r="B8" s="16" t="s">
        <v>20</v>
      </c>
      <c r="C8" s="10"/>
      <c r="D8" s="13">
        <f t="shared" si="1"/>
        <v>0</v>
      </c>
      <c r="F8" s="229" t="s">
        <v>21</v>
      </c>
      <c r="G8" s="230" t="s">
        <v>100</v>
      </c>
      <c r="H8" s="231"/>
      <c r="I8" s="231"/>
      <c r="J8" s="23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6"/>
      <c r="B9" s="16" t="s">
        <v>23</v>
      </c>
      <c r="C9" s="10">
        <v>54</v>
      </c>
      <c r="D9" s="13">
        <f t="shared" si="1"/>
        <v>39582</v>
      </c>
      <c r="F9" s="222"/>
      <c r="G9" s="233"/>
      <c r="H9" s="234"/>
      <c r="I9" s="234"/>
      <c r="J9" s="23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6"/>
      <c r="B10" t="s">
        <v>25</v>
      </c>
      <c r="C10" s="10"/>
      <c r="D10" s="13">
        <f t="shared" si="1"/>
        <v>0</v>
      </c>
      <c r="F10" s="221" t="s">
        <v>26</v>
      </c>
      <c r="G10" s="236" t="s">
        <v>101</v>
      </c>
      <c r="H10" s="237"/>
      <c r="I10" s="237"/>
      <c r="J10" s="238"/>
      <c r="K10" s="8"/>
      <c r="L10" s="6">
        <f>R36</f>
        <v>1032</v>
      </c>
      <c r="P10" s="4"/>
      <c r="Q10" s="4"/>
      <c r="R10" s="5"/>
    </row>
    <row r="11" spans="1:18" ht="15.75" x14ac:dyDescent="0.25">
      <c r="A11" s="156"/>
      <c r="B11" s="17" t="s">
        <v>28</v>
      </c>
      <c r="C11" s="10"/>
      <c r="D11" s="13">
        <f t="shared" si="1"/>
        <v>0</v>
      </c>
      <c r="F11" s="222"/>
      <c r="G11" s="233"/>
      <c r="H11" s="234"/>
      <c r="I11" s="234"/>
      <c r="J11" s="23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6"/>
      <c r="B12" s="17" t="s">
        <v>30</v>
      </c>
      <c r="C12" s="10"/>
      <c r="D12" s="48">
        <f t="shared" si="1"/>
        <v>0</v>
      </c>
      <c r="F12" s="239" t="s">
        <v>33</v>
      </c>
      <c r="G12" s="240"/>
      <c r="H12" s="240"/>
      <c r="I12" s="240"/>
      <c r="J12" s="24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6"/>
      <c r="B13" s="17" t="s">
        <v>32</v>
      </c>
      <c r="C13" s="10">
        <v>13</v>
      </c>
      <c r="D13" s="48">
        <f t="shared" si="1"/>
        <v>3991</v>
      </c>
      <c r="F13" s="242" t="s">
        <v>36</v>
      </c>
      <c r="G13" s="206"/>
      <c r="H13" s="197">
        <f>D29</f>
        <v>331431</v>
      </c>
      <c r="I13" s="198"/>
      <c r="J13" s="19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6"/>
      <c r="B14" s="14" t="s">
        <v>35</v>
      </c>
      <c r="C14" s="10"/>
      <c r="D14" s="31">
        <f t="shared" si="1"/>
        <v>0</v>
      </c>
      <c r="F14" s="200" t="s">
        <v>38</v>
      </c>
      <c r="G14" s="201"/>
      <c r="H14" s="202">
        <f>D54</f>
        <v>48594.75</v>
      </c>
      <c r="I14" s="203"/>
      <c r="J14" s="20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6"/>
      <c r="B15" s="14" t="s">
        <v>122</v>
      </c>
      <c r="C15" s="10"/>
      <c r="D15" s="31">
        <f t="shared" si="1"/>
        <v>0</v>
      </c>
      <c r="F15" s="205" t="s">
        <v>39</v>
      </c>
      <c r="G15" s="206"/>
      <c r="H15" s="207">
        <f>H13-H14</f>
        <v>282836.25</v>
      </c>
      <c r="I15" s="208"/>
      <c r="J15" s="20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6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67">
        <v>2076</v>
      </c>
      <c r="I16" s="167"/>
      <c r="J16" s="16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6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78"/>
      <c r="I17" s="178"/>
      <c r="J17" s="17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6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78"/>
      <c r="I18" s="178"/>
      <c r="J18" s="17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6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61"/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6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78"/>
      <c r="I20" s="178"/>
      <c r="J20" s="17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6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0" t="s">
        <v>13</v>
      </c>
      <c r="I21" s="181"/>
      <c r="J21" s="18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6"/>
      <c r="B22" s="46" t="s">
        <v>103</v>
      </c>
      <c r="C22" s="10"/>
      <c r="D22" s="48">
        <f t="shared" si="1"/>
        <v>0</v>
      </c>
      <c r="F22" s="72"/>
      <c r="G22" s="73"/>
      <c r="H22" s="183"/>
      <c r="I22" s="183"/>
      <c r="J22" s="18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6"/>
      <c r="B23" s="14" t="s">
        <v>121</v>
      </c>
      <c r="C23" s="10"/>
      <c r="D23" s="48">
        <f t="shared" si="1"/>
        <v>0</v>
      </c>
      <c r="F23" s="25"/>
      <c r="G23" s="37"/>
      <c r="H23" s="184"/>
      <c r="I23" s="153"/>
      <c r="J23" s="15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6"/>
      <c r="B24" s="14" t="s">
        <v>128</v>
      </c>
      <c r="C24" s="10"/>
      <c r="D24" s="48">
        <f t="shared" si="1"/>
        <v>0</v>
      </c>
      <c r="F24" s="38"/>
      <c r="G24" s="37"/>
      <c r="H24" s="184"/>
      <c r="I24" s="153"/>
      <c r="J24" s="15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5" t="s">
        <v>13</v>
      </c>
      <c r="I25" s="186"/>
      <c r="J25" s="18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6"/>
      <c r="B26" s="14" t="s">
        <v>129</v>
      </c>
      <c r="C26" s="10"/>
      <c r="D26" s="48">
        <f t="shared" si="1"/>
        <v>0</v>
      </c>
      <c r="F26" s="64"/>
      <c r="G26" s="10"/>
      <c r="H26" s="188"/>
      <c r="I26" s="189"/>
      <c r="J26" s="19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6"/>
      <c r="B27" s="14" t="s">
        <v>130</v>
      </c>
      <c r="C27" s="10"/>
      <c r="D27" s="44">
        <f t="shared" si="1"/>
        <v>0</v>
      </c>
      <c r="F27" s="14"/>
      <c r="G27" s="14"/>
      <c r="H27" s="191"/>
      <c r="I27" s="192"/>
      <c r="J27" s="19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7"/>
      <c r="B28" s="46" t="s">
        <v>92</v>
      </c>
      <c r="C28" s="10"/>
      <c r="D28" s="48">
        <f t="shared" si="1"/>
        <v>0</v>
      </c>
      <c r="F28" s="96"/>
      <c r="G28" s="61"/>
      <c r="H28" s="194"/>
      <c r="I28" s="195"/>
      <c r="J28" s="19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8" t="s">
        <v>36</v>
      </c>
      <c r="B29" s="169"/>
      <c r="C29" s="170"/>
      <c r="D29" s="174">
        <f>SUM(D6:D28)</f>
        <v>331431</v>
      </c>
      <c r="F29" s="114" t="s">
        <v>54</v>
      </c>
      <c r="G29" s="176"/>
      <c r="H29" s="136">
        <f>H15-H16-H17-H18-H19-H20-H22-H23-H24+H26+H27</f>
        <v>280760.25</v>
      </c>
      <c r="I29" s="137"/>
      <c r="J29" s="13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1"/>
      <c r="B30" s="172"/>
      <c r="C30" s="173"/>
      <c r="D30" s="175"/>
      <c r="F30" s="117"/>
      <c r="G30" s="177"/>
      <c r="H30" s="139"/>
      <c r="I30" s="140"/>
      <c r="J30" s="141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1" t="s">
        <v>57</v>
      </c>
      <c r="B32" s="162"/>
      <c r="C32" s="162"/>
      <c r="D32" s="163"/>
      <c r="F32" s="164" t="s">
        <v>58</v>
      </c>
      <c r="G32" s="165"/>
      <c r="H32" s="165"/>
      <c r="I32" s="165"/>
      <c r="J32" s="16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164" t="s">
        <v>13</v>
      </c>
      <c r="I33" s="165"/>
      <c r="J33" s="16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5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227</v>
      </c>
      <c r="H34" s="158">
        <f>F34*G34</f>
        <v>227000</v>
      </c>
      <c r="I34" s="159"/>
      <c r="J34" s="16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6"/>
      <c r="B35" s="27" t="s">
        <v>67</v>
      </c>
      <c r="C35" s="52"/>
      <c r="D35" s="30">
        <f>C35*84</f>
        <v>0</v>
      </c>
      <c r="F35" s="58">
        <v>500</v>
      </c>
      <c r="G35" s="41">
        <v>107</v>
      </c>
      <c r="H35" s="158">
        <f t="shared" ref="H35:H39" si="2">F35*G35</f>
        <v>53500</v>
      </c>
      <c r="I35" s="159"/>
      <c r="J35" s="16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7"/>
      <c r="B36" s="26" t="s">
        <v>69</v>
      </c>
      <c r="C36" s="10"/>
      <c r="D36" s="12">
        <f>C36*1.5</f>
        <v>0</v>
      </c>
      <c r="F36" s="12">
        <v>200</v>
      </c>
      <c r="G36" s="37"/>
      <c r="H36" s="158">
        <f>F36*G36</f>
        <v>0</v>
      </c>
      <c r="I36" s="159"/>
      <c r="J36" s="16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5" t="s">
        <v>71</v>
      </c>
      <c r="B37" s="28" t="s">
        <v>65</v>
      </c>
      <c r="C37" s="53">
        <v>430</v>
      </c>
      <c r="D37" s="12">
        <f>C37*111</f>
        <v>47730</v>
      </c>
      <c r="F37" s="12">
        <v>100</v>
      </c>
      <c r="G37" s="39">
        <v>2</v>
      </c>
      <c r="H37" s="158">
        <f t="shared" si="2"/>
        <v>200</v>
      </c>
      <c r="I37" s="159"/>
      <c r="J37" s="16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6"/>
      <c r="B38" s="29" t="s">
        <v>67</v>
      </c>
      <c r="C38" s="54">
        <v>4</v>
      </c>
      <c r="D38" s="12">
        <f>C38*84</f>
        <v>336</v>
      </c>
      <c r="F38" s="30">
        <v>50</v>
      </c>
      <c r="G38" s="39">
        <v>1</v>
      </c>
      <c r="H38" s="158">
        <f t="shared" si="2"/>
        <v>50</v>
      </c>
      <c r="I38" s="159"/>
      <c r="J38" s="16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7"/>
      <c r="B39" s="29" t="s">
        <v>69</v>
      </c>
      <c r="C39" s="52"/>
      <c r="D39" s="31">
        <f>C39*4.5</f>
        <v>0</v>
      </c>
      <c r="F39" s="12">
        <v>20</v>
      </c>
      <c r="G39" s="37"/>
      <c r="H39" s="158">
        <f t="shared" si="2"/>
        <v>0</v>
      </c>
      <c r="I39" s="159"/>
      <c r="J39" s="16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8"/>
      <c r="I40" s="159"/>
      <c r="J40" s="16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6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58"/>
      <c r="I41" s="159"/>
      <c r="J41" s="16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7"/>
      <c r="B42" s="27" t="s">
        <v>69</v>
      </c>
      <c r="C42" s="11">
        <v>11</v>
      </c>
      <c r="D42" s="12">
        <f>C42*2.25</f>
        <v>24.75</v>
      </c>
      <c r="F42" s="39" t="s">
        <v>78</v>
      </c>
      <c r="G42" s="158">
        <v>28</v>
      </c>
      <c r="H42" s="159"/>
      <c r="I42" s="159"/>
      <c r="J42" s="16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8" t="s">
        <v>80</v>
      </c>
      <c r="C43" s="11"/>
      <c r="D43" s="12"/>
      <c r="F43" s="59" t="s">
        <v>81</v>
      </c>
      <c r="G43" s="93" t="s">
        <v>82</v>
      </c>
      <c r="H43" s="150" t="s">
        <v>13</v>
      </c>
      <c r="I43" s="151"/>
      <c r="J43" s="15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9"/>
      <c r="B44" s="27" t="s">
        <v>65</v>
      </c>
      <c r="C44" s="10"/>
      <c r="D44" s="12">
        <f>C44*120</f>
        <v>0</v>
      </c>
      <c r="F44" s="37"/>
      <c r="G44" s="62"/>
      <c r="H44" s="153"/>
      <c r="I44" s="153"/>
      <c r="J44" s="15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9"/>
      <c r="B45" s="27" t="s">
        <v>67</v>
      </c>
      <c r="C45" s="33"/>
      <c r="D45" s="12">
        <f>C45*84</f>
        <v>0</v>
      </c>
      <c r="F45" s="37"/>
      <c r="G45" s="62"/>
      <c r="H45" s="153"/>
      <c r="I45" s="153"/>
      <c r="J45" s="153"/>
      <c r="K45" s="21"/>
      <c r="P45" s="4"/>
      <c r="Q45" s="4"/>
      <c r="R45" s="5"/>
    </row>
    <row r="46" spans="1:18" ht="15.75" x14ac:dyDescent="0.25">
      <c r="A46" s="129"/>
      <c r="B46" s="49" t="s">
        <v>69</v>
      </c>
      <c r="C46" s="81"/>
      <c r="D46" s="12">
        <f>C46*1.5</f>
        <v>0</v>
      </c>
      <c r="F46" s="37"/>
      <c r="G46" s="94"/>
      <c r="H46" s="154"/>
      <c r="I46" s="154"/>
      <c r="J46" s="154"/>
      <c r="K46" s="21"/>
      <c r="P46" s="4"/>
      <c r="Q46" s="4"/>
      <c r="R46" s="5"/>
    </row>
    <row r="47" spans="1:18" ht="15.75" x14ac:dyDescent="0.25">
      <c r="A47" s="130"/>
      <c r="B47" s="27"/>
      <c r="C47" s="11"/>
      <c r="D47" s="12"/>
      <c r="F47" s="59"/>
      <c r="G47" s="59"/>
      <c r="H47" s="131"/>
      <c r="I47" s="132"/>
      <c r="J47" s="133"/>
      <c r="K47" s="21"/>
      <c r="P47" s="4"/>
      <c r="Q47" s="4"/>
      <c r="R47" s="5"/>
    </row>
    <row r="48" spans="1:18" ht="15" customHeight="1" x14ac:dyDescent="0.25">
      <c r="A48" s="128" t="s">
        <v>32</v>
      </c>
      <c r="B48" s="27" t="s">
        <v>65</v>
      </c>
      <c r="C48" s="10"/>
      <c r="D48" s="12">
        <f>C48*78</f>
        <v>0</v>
      </c>
      <c r="F48" s="59"/>
      <c r="G48" s="59"/>
      <c r="H48" s="131"/>
      <c r="I48" s="132"/>
      <c r="J48" s="13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9"/>
      <c r="B49" s="29" t="s">
        <v>67</v>
      </c>
      <c r="C49" s="33">
        <v>10</v>
      </c>
      <c r="D49" s="12">
        <f>C49*42</f>
        <v>420</v>
      </c>
      <c r="F49" s="134" t="s">
        <v>85</v>
      </c>
      <c r="G49" s="136">
        <f>H34+H35+H36+H37+H38+H39+H40+H41+G42+H44+H45+H46</f>
        <v>280778</v>
      </c>
      <c r="H49" s="137"/>
      <c r="I49" s="137"/>
      <c r="J49" s="13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9"/>
      <c r="B50" s="32" t="s">
        <v>69</v>
      </c>
      <c r="C50" s="11"/>
      <c r="D50" s="12">
        <f>C50*1.5</f>
        <v>0</v>
      </c>
      <c r="F50" s="135"/>
      <c r="G50" s="139"/>
      <c r="H50" s="140"/>
      <c r="I50" s="140"/>
      <c r="J50" s="141"/>
      <c r="O50" t="s">
        <v>114</v>
      </c>
      <c r="P50" s="4">
        <v>1204</v>
      </c>
      <c r="Q50" s="4"/>
      <c r="R50" s="5"/>
    </row>
    <row r="51" spans="1:18" ht="15" customHeight="1" x14ac:dyDescent="0.25">
      <c r="A51" s="129"/>
      <c r="B51" s="27"/>
      <c r="C51" s="10"/>
      <c r="D51" s="31"/>
      <c r="F51" s="142" t="s">
        <v>112</v>
      </c>
      <c r="G51" s="144">
        <f>G49-H29</f>
        <v>17.75</v>
      </c>
      <c r="H51" s="145"/>
      <c r="I51" s="145"/>
      <c r="J51" s="14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9"/>
      <c r="B52" s="29"/>
      <c r="C52" s="33"/>
      <c r="D52" s="45"/>
      <c r="F52" s="143"/>
      <c r="G52" s="147"/>
      <c r="H52" s="148"/>
      <c r="I52" s="148"/>
      <c r="J52" s="14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4" t="s">
        <v>89</v>
      </c>
      <c r="B54" s="115"/>
      <c r="C54" s="116"/>
      <c r="D54" s="120">
        <f>SUM(D34:D53)</f>
        <v>48594.75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7"/>
      <c r="B55" s="118"/>
      <c r="C55" s="119"/>
      <c r="D55" s="1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22" t="s">
        <v>90</v>
      </c>
      <c r="B58" s="123"/>
      <c r="C58" s="123"/>
      <c r="D58" s="124"/>
      <c r="F58" s="122" t="s">
        <v>91</v>
      </c>
      <c r="G58" s="123"/>
      <c r="H58" s="123"/>
      <c r="I58" s="123"/>
      <c r="J58" s="124"/>
    </row>
    <row r="59" spans="1:18" x14ac:dyDescent="0.25">
      <c r="A59" s="125"/>
      <c r="B59" s="126"/>
      <c r="C59" s="126"/>
      <c r="D59" s="127"/>
      <c r="F59" s="125"/>
      <c r="G59" s="126"/>
      <c r="H59" s="126"/>
      <c r="I59" s="126"/>
      <c r="J59" s="12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8055C0-4DE8-46DB-BCF6-479A351D9D6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0" t="s">
        <v>1</v>
      </c>
      <c r="O1" s="210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1" t="s">
        <v>7</v>
      </c>
      <c r="B4" s="162"/>
      <c r="C4" s="162"/>
      <c r="D4" s="163"/>
      <c r="F4" s="211" t="s">
        <v>8</v>
      </c>
      <c r="G4" s="213">
        <v>3</v>
      </c>
      <c r="H4" s="215" t="s">
        <v>9</v>
      </c>
      <c r="I4" s="217">
        <v>46148</v>
      </c>
      <c r="J4" s="21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5" t="s">
        <v>7</v>
      </c>
      <c r="B5" s="15" t="s">
        <v>11</v>
      </c>
      <c r="C5" s="9" t="s">
        <v>12</v>
      </c>
      <c r="D5" s="25" t="s">
        <v>13</v>
      </c>
      <c r="F5" s="212"/>
      <c r="G5" s="214"/>
      <c r="H5" s="216"/>
      <c r="I5" s="219"/>
      <c r="J5" s="22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6"/>
      <c r="B6" s="16" t="s">
        <v>15</v>
      </c>
      <c r="C6" s="10">
        <v>331</v>
      </c>
      <c r="D6" s="13">
        <f t="shared" ref="D6:D28" si="1">C6*L6</f>
        <v>251891</v>
      </c>
      <c r="F6" s="221" t="s">
        <v>16</v>
      </c>
      <c r="G6" s="223" t="s">
        <v>117</v>
      </c>
      <c r="H6" s="224"/>
      <c r="I6" s="224"/>
      <c r="J6" s="22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6"/>
      <c r="B7" s="16" t="s">
        <v>18</v>
      </c>
      <c r="C7" s="10">
        <v>10</v>
      </c>
      <c r="D7" s="13">
        <f t="shared" si="1"/>
        <v>7810</v>
      </c>
      <c r="F7" s="222"/>
      <c r="G7" s="226"/>
      <c r="H7" s="227"/>
      <c r="I7" s="227"/>
      <c r="J7" s="22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6"/>
      <c r="B8" s="16" t="s">
        <v>20</v>
      </c>
      <c r="C8" s="10"/>
      <c r="D8" s="13">
        <f t="shared" si="1"/>
        <v>0</v>
      </c>
      <c r="F8" s="229" t="s">
        <v>21</v>
      </c>
      <c r="G8" s="230" t="s">
        <v>110</v>
      </c>
      <c r="H8" s="231"/>
      <c r="I8" s="231"/>
      <c r="J8" s="23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6"/>
      <c r="B9" s="16" t="s">
        <v>23</v>
      </c>
      <c r="C9" s="10">
        <v>58</v>
      </c>
      <c r="D9" s="13">
        <f t="shared" si="1"/>
        <v>42514</v>
      </c>
      <c r="F9" s="222"/>
      <c r="G9" s="233"/>
      <c r="H9" s="234"/>
      <c r="I9" s="234"/>
      <c r="J9" s="23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6"/>
      <c r="B10" t="s">
        <v>25</v>
      </c>
      <c r="C10" s="10">
        <v>6</v>
      </c>
      <c r="D10" s="13">
        <f t="shared" si="1"/>
        <v>6192</v>
      </c>
      <c r="F10" s="221" t="s">
        <v>26</v>
      </c>
      <c r="G10" s="236" t="s">
        <v>124</v>
      </c>
      <c r="H10" s="237"/>
      <c r="I10" s="237"/>
      <c r="J10" s="238"/>
      <c r="K10" s="8"/>
      <c r="L10" s="6">
        <f>R36</f>
        <v>1032</v>
      </c>
      <c r="P10" s="4"/>
      <c r="Q10" s="4"/>
      <c r="R10" s="5"/>
    </row>
    <row r="11" spans="1:18" ht="15.75" x14ac:dyDescent="0.25">
      <c r="A11" s="156"/>
      <c r="B11" s="17" t="s">
        <v>28</v>
      </c>
      <c r="C11" s="10"/>
      <c r="D11" s="13">
        <f t="shared" si="1"/>
        <v>0</v>
      </c>
      <c r="F11" s="222"/>
      <c r="G11" s="233"/>
      <c r="H11" s="234"/>
      <c r="I11" s="234"/>
      <c r="J11" s="23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6"/>
      <c r="B12" s="17" t="s">
        <v>30</v>
      </c>
      <c r="C12" s="10">
        <v>2</v>
      </c>
      <c r="D12" s="48">
        <f t="shared" si="1"/>
        <v>1984</v>
      </c>
      <c r="F12" s="239" t="s">
        <v>33</v>
      </c>
      <c r="G12" s="240"/>
      <c r="H12" s="240"/>
      <c r="I12" s="240"/>
      <c r="J12" s="24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6"/>
      <c r="B13" s="17" t="s">
        <v>32</v>
      </c>
      <c r="C13" s="10">
        <v>11</v>
      </c>
      <c r="D13" s="48">
        <f t="shared" si="1"/>
        <v>3377</v>
      </c>
      <c r="F13" s="242" t="s">
        <v>36</v>
      </c>
      <c r="G13" s="206"/>
      <c r="H13" s="197">
        <f>D29</f>
        <v>324737</v>
      </c>
      <c r="I13" s="198"/>
      <c r="J13" s="19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6"/>
      <c r="B14" s="14" t="s">
        <v>35</v>
      </c>
      <c r="C14" s="10">
        <v>15</v>
      </c>
      <c r="D14" s="31">
        <f t="shared" si="1"/>
        <v>165</v>
      </c>
      <c r="F14" s="200" t="s">
        <v>38</v>
      </c>
      <c r="G14" s="201"/>
      <c r="H14" s="202">
        <f>D54</f>
        <v>48459</v>
      </c>
      <c r="I14" s="203"/>
      <c r="J14" s="20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6"/>
      <c r="B15" s="14" t="s">
        <v>122</v>
      </c>
      <c r="C15" s="10"/>
      <c r="D15" s="31">
        <f t="shared" si="1"/>
        <v>0</v>
      </c>
      <c r="F15" s="205" t="s">
        <v>39</v>
      </c>
      <c r="G15" s="206"/>
      <c r="H15" s="207">
        <f>H13-H14</f>
        <v>276278</v>
      </c>
      <c r="I15" s="208"/>
      <c r="J15" s="20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6"/>
      <c r="B16" s="18" t="s">
        <v>111</v>
      </c>
      <c r="C16" s="10">
        <f>3+3</f>
        <v>6</v>
      </c>
      <c r="D16" s="48">
        <f t="shared" si="1"/>
        <v>3900</v>
      </c>
      <c r="F16" s="67" t="s">
        <v>41</v>
      </c>
      <c r="G16" s="66" t="s">
        <v>42</v>
      </c>
      <c r="H16" s="167">
        <f>690+612+888</f>
        <v>2190</v>
      </c>
      <c r="I16" s="167"/>
      <c r="J16" s="16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6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78"/>
      <c r="I17" s="178"/>
      <c r="J17" s="17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6"/>
      <c r="B18" s="86" t="s">
        <v>125</v>
      </c>
      <c r="C18" s="10">
        <f>1+1</f>
        <v>2</v>
      </c>
      <c r="D18" s="48">
        <f t="shared" si="1"/>
        <v>2204</v>
      </c>
      <c r="F18" s="56"/>
      <c r="G18" s="66" t="s">
        <v>46</v>
      </c>
      <c r="H18" s="178"/>
      <c r="I18" s="178"/>
      <c r="J18" s="17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6"/>
      <c r="B19" s="87" t="s">
        <v>105</v>
      </c>
      <c r="C19" s="10">
        <f>1+3</f>
        <v>4</v>
      </c>
      <c r="D19" s="48">
        <f t="shared" si="1"/>
        <v>4700</v>
      </c>
      <c r="F19" s="56"/>
      <c r="G19" s="68" t="s">
        <v>49</v>
      </c>
      <c r="H19" s="262">
        <v>50</v>
      </c>
      <c r="I19" s="262"/>
      <c r="J19" s="26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6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67"/>
      <c r="I20" s="167"/>
      <c r="J20" s="16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6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0" t="s">
        <v>13</v>
      </c>
      <c r="I21" s="181"/>
      <c r="J21" s="18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6"/>
      <c r="B22" s="46" t="s">
        <v>103</v>
      </c>
      <c r="C22" s="10"/>
      <c r="D22" s="48">
        <f t="shared" si="1"/>
        <v>0</v>
      </c>
      <c r="F22" s="77"/>
      <c r="G22" s="73"/>
      <c r="H22" s="183"/>
      <c r="I22" s="183"/>
      <c r="J22" s="18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6"/>
      <c r="B23" s="14" t="s">
        <v>121</v>
      </c>
      <c r="C23" s="10"/>
      <c r="D23" s="48">
        <f t="shared" si="1"/>
        <v>0</v>
      </c>
      <c r="F23" s="78"/>
      <c r="G23" s="79"/>
      <c r="H23" s="184"/>
      <c r="I23" s="153"/>
      <c r="J23" s="15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6"/>
      <c r="B24" s="14" t="s">
        <v>128</v>
      </c>
      <c r="C24" s="10"/>
      <c r="D24" s="48">
        <f t="shared" si="1"/>
        <v>0</v>
      </c>
      <c r="F24" s="38"/>
      <c r="G24" s="37"/>
      <c r="H24" s="184"/>
      <c r="I24" s="153"/>
      <c r="J24" s="15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5" t="s">
        <v>13</v>
      </c>
      <c r="I25" s="186"/>
      <c r="J25" s="18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6"/>
      <c r="B26" s="14" t="s">
        <v>129</v>
      </c>
      <c r="C26" s="10"/>
      <c r="D26" s="48">
        <f t="shared" si="1"/>
        <v>0</v>
      </c>
      <c r="F26" s="64"/>
      <c r="G26" s="59"/>
      <c r="H26" s="188"/>
      <c r="I26" s="189"/>
      <c r="J26" s="19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6"/>
      <c r="B27" s="14" t="s">
        <v>130</v>
      </c>
      <c r="C27" s="10"/>
      <c r="D27" s="44">
        <f t="shared" si="1"/>
        <v>0</v>
      </c>
      <c r="F27" s="25"/>
      <c r="G27" s="80"/>
      <c r="H27" s="191"/>
      <c r="I27" s="192"/>
      <c r="J27" s="19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7"/>
      <c r="B28" s="46" t="s">
        <v>92</v>
      </c>
      <c r="C28" s="10"/>
      <c r="D28" s="48">
        <f t="shared" si="1"/>
        <v>0</v>
      </c>
      <c r="F28" s="96"/>
      <c r="G28" s="61"/>
      <c r="H28" s="194"/>
      <c r="I28" s="195"/>
      <c r="J28" s="19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8" t="s">
        <v>36</v>
      </c>
      <c r="B29" s="169"/>
      <c r="C29" s="170"/>
      <c r="D29" s="174">
        <f>SUM(D6:D28)</f>
        <v>324737</v>
      </c>
      <c r="F29" s="114" t="s">
        <v>54</v>
      </c>
      <c r="G29" s="176"/>
      <c r="H29" s="136">
        <f>H15-H16-H17-H18-H19-H20-H22-H23-H24+H26+H27</f>
        <v>274038</v>
      </c>
      <c r="I29" s="137"/>
      <c r="J29" s="13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1"/>
      <c r="B30" s="172"/>
      <c r="C30" s="173"/>
      <c r="D30" s="175"/>
      <c r="F30" s="117"/>
      <c r="G30" s="177"/>
      <c r="H30" s="139"/>
      <c r="I30" s="140"/>
      <c r="J30" s="141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1" t="s">
        <v>57</v>
      </c>
      <c r="B32" s="162"/>
      <c r="C32" s="162"/>
      <c r="D32" s="163"/>
      <c r="F32" s="164" t="s">
        <v>58</v>
      </c>
      <c r="G32" s="165"/>
      <c r="H32" s="165"/>
      <c r="I32" s="165"/>
      <c r="J32" s="16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164" t="s">
        <v>13</v>
      </c>
      <c r="I33" s="165"/>
      <c r="J33" s="16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5" t="s">
        <v>64</v>
      </c>
      <c r="B34" s="26" t="s">
        <v>65</v>
      </c>
      <c r="C34" s="51">
        <v>3</v>
      </c>
      <c r="D34" s="30">
        <f>C34*120</f>
        <v>360</v>
      </c>
      <c r="F34" s="12">
        <v>1000</v>
      </c>
      <c r="G34" s="74">
        <v>126</v>
      </c>
      <c r="H34" s="158">
        <f>F34*G34</f>
        <v>126000</v>
      </c>
      <c r="I34" s="159"/>
      <c r="J34" s="16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6"/>
      <c r="B35" s="27" t="s">
        <v>67</v>
      </c>
      <c r="C35" s="52"/>
      <c r="D35" s="30">
        <f>C35*84</f>
        <v>0</v>
      </c>
      <c r="F35" s="58">
        <v>500</v>
      </c>
      <c r="G35" s="41">
        <v>1</v>
      </c>
      <c r="H35" s="158">
        <f>F35*G35</f>
        <v>500</v>
      </c>
      <c r="I35" s="159"/>
      <c r="J35" s="16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7"/>
      <c r="B36" s="26" t="s">
        <v>69</v>
      </c>
      <c r="C36" s="10"/>
      <c r="D36" s="12">
        <f>C36*1.5</f>
        <v>0</v>
      </c>
      <c r="F36" s="12">
        <v>200</v>
      </c>
      <c r="G36" s="37"/>
      <c r="H36" s="158">
        <f t="shared" ref="H36:H39" si="2">F36*G36</f>
        <v>0</v>
      </c>
      <c r="I36" s="159"/>
      <c r="J36" s="16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5" t="s">
        <v>71</v>
      </c>
      <c r="B37" s="28" t="s">
        <v>65</v>
      </c>
      <c r="C37" s="53">
        <v>408</v>
      </c>
      <c r="D37" s="12">
        <f>C37*111</f>
        <v>45288</v>
      </c>
      <c r="F37" s="12">
        <v>100</v>
      </c>
      <c r="G37" s="39">
        <v>1</v>
      </c>
      <c r="H37" s="158">
        <f t="shared" si="2"/>
        <v>100</v>
      </c>
      <c r="I37" s="159"/>
      <c r="J37" s="16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6"/>
      <c r="B38" s="29" t="s">
        <v>67</v>
      </c>
      <c r="C38" s="54"/>
      <c r="D38" s="12">
        <f>C38*84</f>
        <v>0</v>
      </c>
      <c r="F38" s="30">
        <v>50</v>
      </c>
      <c r="G38" s="39"/>
      <c r="H38" s="158">
        <f t="shared" si="2"/>
        <v>0</v>
      </c>
      <c r="I38" s="159"/>
      <c r="J38" s="16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7"/>
      <c r="B39" s="29" t="s">
        <v>69</v>
      </c>
      <c r="C39" s="52"/>
      <c r="D39" s="31">
        <f>C39*4.5</f>
        <v>0</v>
      </c>
      <c r="F39" s="12">
        <v>20</v>
      </c>
      <c r="G39" s="37"/>
      <c r="H39" s="158">
        <f t="shared" si="2"/>
        <v>0</v>
      </c>
      <c r="I39" s="159"/>
      <c r="J39" s="16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5" t="s">
        <v>75</v>
      </c>
      <c r="B40" s="27" t="s">
        <v>65</v>
      </c>
      <c r="C40" s="63">
        <v>17</v>
      </c>
      <c r="D40" s="12">
        <f>C40*111</f>
        <v>1887</v>
      </c>
      <c r="F40" s="12">
        <v>10</v>
      </c>
      <c r="G40" s="42"/>
      <c r="H40" s="158"/>
      <c r="I40" s="159"/>
      <c r="J40" s="16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6"/>
      <c r="B41" s="27" t="s">
        <v>67</v>
      </c>
      <c r="C41" s="10"/>
      <c r="D41" s="12">
        <f>C41*84</f>
        <v>0</v>
      </c>
      <c r="F41" s="12">
        <v>5</v>
      </c>
      <c r="G41" s="42"/>
      <c r="H41" s="158"/>
      <c r="I41" s="159"/>
      <c r="J41" s="16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7"/>
      <c r="B42" s="27" t="s">
        <v>69</v>
      </c>
      <c r="C42" s="11"/>
      <c r="D42" s="12">
        <f>C42*2.25</f>
        <v>0</v>
      </c>
      <c r="F42" s="39" t="s">
        <v>78</v>
      </c>
      <c r="G42" s="158">
        <v>2</v>
      </c>
      <c r="H42" s="159"/>
      <c r="I42" s="159"/>
      <c r="J42" s="16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8" t="s">
        <v>80</v>
      </c>
      <c r="C43" s="11"/>
      <c r="D43" s="12"/>
      <c r="F43" s="59" t="s">
        <v>81</v>
      </c>
      <c r="G43" s="93" t="s">
        <v>82</v>
      </c>
      <c r="H43" s="150" t="s">
        <v>13</v>
      </c>
      <c r="I43" s="151"/>
      <c r="J43" s="15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9"/>
      <c r="B44" s="27" t="s">
        <v>65</v>
      </c>
      <c r="C44" s="10">
        <v>5</v>
      </c>
      <c r="D44" s="12">
        <f>C44*120</f>
        <v>600</v>
      </c>
      <c r="F44" s="37" t="s">
        <v>132</v>
      </c>
      <c r="G44" s="76" t="s">
        <v>154</v>
      </c>
      <c r="H44" s="153">
        <v>79238</v>
      </c>
      <c r="I44" s="153"/>
      <c r="J44" s="15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9"/>
      <c r="B45" s="27" t="s">
        <v>67</v>
      </c>
      <c r="C45" s="33"/>
      <c r="D45" s="12">
        <f>C45*84</f>
        <v>0</v>
      </c>
      <c r="F45" s="37" t="s">
        <v>132</v>
      </c>
      <c r="G45" s="76" t="s">
        <v>155</v>
      </c>
      <c r="H45" s="153">
        <v>68148</v>
      </c>
      <c r="I45" s="153"/>
      <c r="J45" s="153"/>
      <c r="K45" s="21"/>
      <c r="P45" s="4"/>
      <c r="Q45" s="4"/>
      <c r="R45" s="5"/>
    </row>
    <row r="46" spans="1:18" ht="15.75" x14ac:dyDescent="0.25">
      <c r="A46" s="129"/>
      <c r="B46" s="49" t="s">
        <v>69</v>
      </c>
      <c r="C46" s="81"/>
      <c r="D46" s="12">
        <f>C46*1.5</f>
        <v>0</v>
      </c>
      <c r="F46" s="37"/>
      <c r="G46" s="62"/>
      <c r="H46" s="154"/>
      <c r="I46" s="154"/>
      <c r="J46" s="154"/>
      <c r="K46" s="21"/>
      <c r="P46" s="4"/>
      <c r="Q46" s="4"/>
      <c r="R46" s="5"/>
    </row>
    <row r="47" spans="1:18" ht="15.75" x14ac:dyDescent="0.25">
      <c r="A47" s="130"/>
      <c r="B47" s="27"/>
      <c r="C47" s="11"/>
      <c r="D47" s="12"/>
      <c r="F47" s="59"/>
      <c r="G47" s="59"/>
      <c r="H47" s="131"/>
      <c r="I47" s="132"/>
      <c r="J47" s="133"/>
      <c r="K47" s="21"/>
      <c r="P47" s="4"/>
      <c r="Q47" s="4"/>
      <c r="R47" s="5"/>
    </row>
    <row r="48" spans="1:18" ht="15" customHeight="1" x14ac:dyDescent="0.25">
      <c r="A48" s="128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131"/>
      <c r="I48" s="132"/>
      <c r="J48" s="13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9"/>
      <c r="B49" s="29" t="s">
        <v>67</v>
      </c>
      <c r="C49" s="33"/>
      <c r="D49" s="12">
        <f>C49*42</f>
        <v>0</v>
      </c>
      <c r="F49" s="134" t="s">
        <v>85</v>
      </c>
      <c r="G49" s="136">
        <f>H34+H35+H36+H37+H38+H39+H40+H41+G42+H44+H45+H46</f>
        <v>273988</v>
      </c>
      <c r="H49" s="137"/>
      <c r="I49" s="137"/>
      <c r="J49" s="13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9"/>
      <c r="B50" s="32" t="s">
        <v>69</v>
      </c>
      <c r="C50" s="11">
        <v>8</v>
      </c>
      <c r="D50" s="12">
        <f>C50*1.5</f>
        <v>12</v>
      </c>
      <c r="F50" s="135"/>
      <c r="G50" s="139"/>
      <c r="H50" s="140"/>
      <c r="I50" s="140"/>
      <c r="J50" s="141"/>
      <c r="O50" t="s">
        <v>114</v>
      </c>
      <c r="P50" s="4">
        <v>1204</v>
      </c>
      <c r="Q50" s="4"/>
      <c r="R50" s="5"/>
    </row>
    <row r="51" spans="1:18" ht="15" customHeight="1" x14ac:dyDescent="0.25">
      <c r="A51" s="129"/>
      <c r="B51" s="27"/>
      <c r="C51" s="10"/>
      <c r="D51" s="31"/>
      <c r="F51" s="142" t="s">
        <v>109</v>
      </c>
      <c r="G51" s="255">
        <f>G49-H29</f>
        <v>-50</v>
      </c>
      <c r="H51" s="256"/>
      <c r="I51" s="256"/>
      <c r="J51" s="25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9"/>
      <c r="B52" s="29"/>
      <c r="C52" s="33"/>
      <c r="D52" s="45"/>
      <c r="F52" s="143"/>
      <c r="G52" s="258"/>
      <c r="H52" s="259"/>
      <c r="I52" s="259"/>
      <c r="J52" s="2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4" t="s">
        <v>89</v>
      </c>
      <c r="B54" s="115"/>
      <c r="C54" s="116"/>
      <c r="D54" s="120">
        <f>SUM(D34:D53)</f>
        <v>48459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7"/>
      <c r="B55" s="118"/>
      <c r="C55" s="119"/>
      <c r="D55" s="1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2" t="s">
        <v>90</v>
      </c>
      <c r="B58" s="123"/>
      <c r="C58" s="123"/>
      <c r="D58" s="124"/>
      <c r="F58" s="122" t="s">
        <v>91</v>
      </c>
      <c r="G58" s="123"/>
      <c r="H58" s="123"/>
      <c r="I58" s="123"/>
      <c r="J58" s="124"/>
    </row>
    <row r="59" spans="1:18" x14ac:dyDescent="0.25">
      <c r="A59" s="125"/>
      <c r="B59" s="126"/>
      <c r="C59" s="126"/>
      <c r="D59" s="127"/>
      <c r="F59" s="125"/>
      <c r="G59" s="126"/>
      <c r="H59" s="126"/>
      <c r="I59" s="126"/>
      <c r="J59" s="12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59F317-0097-4DFF-B9AC-43ABCF87CCEA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0" t="s">
        <v>1</v>
      </c>
      <c r="O1" s="210"/>
      <c r="P1" s="95" t="s">
        <v>2</v>
      </c>
      <c r="Q1" s="9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1" t="s">
        <v>7</v>
      </c>
      <c r="B4" s="162"/>
      <c r="C4" s="162"/>
      <c r="D4" s="163"/>
      <c r="F4" s="211" t="s">
        <v>8</v>
      </c>
      <c r="G4" s="213"/>
      <c r="H4" s="215" t="s">
        <v>9</v>
      </c>
      <c r="I4" s="217"/>
      <c r="J4" s="21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5" t="s">
        <v>7</v>
      </c>
      <c r="B5" s="15" t="s">
        <v>11</v>
      </c>
      <c r="C5" s="9" t="s">
        <v>12</v>
      </c>
      <c r="D5" s="25" t="s">
        <v>13</v>
      </c>
      <c r="F5" s="212"/>
      <c r="G5" s="214"/>
      <c r="H5" s="216"/>
      <c r="I5" s="219"/>
      <c r="J5" s="22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6"/>
      <c r="B6" s="16"/>
      <c r="C6" s="10"/>
      <c r="D6" s="13">
        <f t="shared" ref="D6:D28" si="1">C6*L6</f>
        <v>0</v>
      </c>
      <c r="F6" s="221" t="s">
        <v>16</v>
      </c>
      <c r="G6" s="223"/>
      <c r="H6" s="224"/>
      <c r="I6" s="224"/>
      <c r="J6" s="22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6"/>
      <c r="B7" s="16"/>
      <c r="C7" s="10"/>
      <c r="D7" s="13">
        <f t="shared" si="1"/>
        <v>0</v>
      </c>
      <c r="F7" s="222"/>
      <c r="G7" s="226"/>
      <c r="H7" s="227"/>
      <c r="I7" s="227"/>
      <c r="J7" s="22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6"/>
      <c r="B8" s="16"/>
      <c r="C8" s="10"/>
      <c r="D8" s="13">
        <f t="shared" si="1"/>
        <v>0</v>
      </c>
      <c r="F8" s="229" t="s">
        <v>21</v>
      </c>
      <c r="G8" s="230"/>
      <c r="H8" s="231"/>
      <c r="I8" s="231"/>
      <c r="J8" s="23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6"/>
      <c r="B9" s="16"/>
      <c r="C9" s="10"/>
      <c r="D9" s="13">
        <f t="shared" si="1"/>
        <v>0</v>
      </c>
      <c r="F9" s="222"/>
      <c r="G9" s="233"/>
      <c r="H9" s="234"/>
      <c r="I9" s="234"/>
      <c r="J9" s="23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6"/>
      <c r="C10" s="10"/>
      <c r="D10" s="13">
        <f t="shared" si="1"/>
        <v>0</v>
      </c>
      <c r="F10" s="221" t="s">
        <v>26</v>
      </c>
      <c r="G10" s="236"/>
      <c r="H10" s="237"/>
      <c r="I10" s="237"/>
      <c r="J10" s="238"/>
      <c r="K10" s="8"/>
      <c r="L10" s="6">
        <f>R36</f>
        <v>972</v>
      </c>
      <c r="P10" s="4"/>
      <c r="Q10" s="4"/>
      <c r="R10" s="5"/>
    </row>
    <row r="11" spans="1:19" ht="15.75" x14ac:dyDescent="0.25">
      <c r="A11" s="156"/>
      <c r="B11" s="17"/>
      <c r="C11" s="10"/>
      <c r="D11" s="13">
        <f t="shared" si="1"/>
        <v>0</v>
      </c>
      <c r="F11" s="222"/>
      <c r="G11" s="233"/>
      <c r="H11" s="234"/>
      <c r="I11" s="234"/>
      <c r="J11" s="23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6"/>
      <c r="B12" s="17"/>
      <c r="C12" s="10"/>
      <c r="D12" s="48">
        <f t="shared" si="1"/>
        <v>0</v>
      </c>
      <c r="F12" s="239" t="s">
        <v>33</v>
      </c>
      <c r="G12" s="240"/>
      <c r="H12" s="240"/>
      <c r="I12" s="240"/>
      <c r="J12" s="24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6"/>
      <c r="B13" s="17"/>
      <c r="C13" s="10"/>
      <c r="D13" s="48">
        <f t="shared" si="1"/>
        <v>0</v>
      </c>
      <c r="F13" s="242" t="s">
        <v>36</v>
      </c>
      <c r="G13" s="206"/>
      <c r="H13" s="197">
        <f>D29</f>
        <v>0</v>
      </c>
      <c r="I13" s="198"/>
      <c r="J13" s="19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6"/>
      <c r="B14" s="14"/>
      <c r="C14" s="10"/>
      <c r="D14" s="31">
        <f t="shared" si="1"/>
        <v>0</v>
      </c>
      <c r="F14" s="200" t="s">
        <v>38</v>
      </c>
      <c r="G14" s="201"/>
      <c r="H14" s="202">
        <f>D54</f>
        <v>0</v>
      </c>
      <c r="I14" s="203"/>
      <c r="J14" s="20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6"/>
      <c r="B15" s="14"/>
      <c r="C15" s="10"/>
      <c r="D15" s="31">
        <f t="shared" si="1"/>
        <v>0</v>
      </c>
      <c r="F15" s="205" t="s">
        <v>39</v>
      </c>
      <c r="G15" s="206"/>
      <c r="H15" s="207">
        <f>H13-H14</f>
        <v>0</v>
      </c>
      <c r="I15" s="208"/>
      <c r="J15" s="20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6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7"/>
      <c r="I16" s="167"/>
      <c r="J16" s="16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6"/>
      <c r="C17" s="10"/>
      <c r="D17" s="48">
        <f t="shared" si="1"/>
        <v>0</v>
      </c>
      <c r="F17" s="56"/>
      <c r="G17" s="66" t="s">
        <v>44</v>
      </c>
      <c r="H17" s="178"/>
      <c r="I17" s="178"/>
      <c r="J17" s="17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6"/>
      <c r="B18" s="19"/>
      <c r="C18" s="10"/>
      <c r="D18" s="48">
        <f t="shared" si="1"/>
        <v>0</v>
      </c>
      <c r="F18" s="56"/>
      <c r="G18" s="66" t="s">
        <v>46</v>
      </c>
      <c r="H18" s="178"/>
      <c r="I18" s="178"/>
      <c r="J18" s="17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6"/>
      <c r="B19" s="14"/>
      <c r="C19" s="10"/>
      <c r="D19" s="48">
        <f t="shared" si="1"/>
        <v>0</v>
      </c>
      <c r="F19" s="56"/>
      <c r="G19" s="68" t="s">
        <v>49</v>
      </c>
      <c r="H19" s="179"/>
      <c r="I19" s="179"/>
      <c r="J19" s="17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6"/>
      <c r="B20" s="46"/>
      <c r="C20" s="10"/>
      <c r="D20" s="13">
        <f t="shared" si="1"/>
        <v>0</v>
      </c>
      <c r="F20" s="57"/>
      <c r="G20" s="70" t="s">
        <v>102</v>
      </c>
      <c r="H20" s="167"/>
      <c r="I20" s="167"/>
      <c r="J20" s="167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6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80" t="s">
        <v>13</v>
      </c>
      <c r="I21" s="181"/>
      <c r="J21" s="182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6"/>
      <c r="B22" s="46"/>
      <c r="C22" s="10"/>
      <c r="D22" s="48">
        <f t="shared" si="1"/>
        <v>0</v>
      </c>
      <c r="F22" s="77"/>
      <c r="G22" s="73"/>
      <c r="H22" s="183"/>
      <c r="I22" s="183"/>
      <c r="J22" s="183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6"/>
      <c r="B23" s="14"/>
      <c r="C23" s="10"/>
      <c r="D23" s="48">
        <f t="shared" si="1"/>
        <v>0</v>
      </c>
      <c r="F23" s="78"/>
      <c r="G23" s="79"/>
      <c r="H23" s="184"/>
      <c r="I23" s="153"/>
      <c r="J23" s="153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6"/>
      <c r="B24" s="14"/>
      <c r="C24" s="10"/>
      <c r="D24" s="48">
        <f t="shared" si="1"/>
        <v>0</v>
      </c>
      <c r="F24" s="38"/>
      <c r="G24" s="37"/>
      <c r="H24" s="184"/>
      <c r="I24" s="153"/>
      <c r="J24" s="153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6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5" t="s">
        <v>13</v>
      </c>
      <c r="I25" s="186"/>
      <c r="J25" s="187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6"/>
      <c r="B26" s="14"/>
      <c r="C26" s="10"/>
      <c r="D26" s="48">
        <f t="shared" si="1"/>
        <v>0</v>
      </c>
      <c r="F26" s="64"/>
      <c r="G26" s="59"/>
      <c r="H26" s="188"/>
      <c r="I26" s="189"/>
      <c r="J26" s="190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6"/>
      <c r="B27" s="14"/>
      <c r="C27" s="10"/>
      <c r="D27" s="44">
        <f t="shared" si="1"/>
        <v>0</v>
      </c>
      <c r="F27" s="25"/>
      <c r="G27" s="80"/>
      <c r="H27" s="191"/>
      <c r="I27" s="192"/>
      <c r="J27" s="193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7"/>
      <c r="B28" s="46"/>
      <c r="C28" s="10"/>
      <c r="D28" s="48">
        <f t="shared" si="1"/>
        <v>0</v>
      </c>
      <c r="F28" s="96"/>
      <c r="G28" s="61"/>
      <c r="H28" s="194"/>
      <c r="I28" s="195"/>
      <c r="J28" s="196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8" t="s">
        <v>36</v>
      </c>
      <c r="B29" s="169"/>
      <c r="C29" s="170"/>
      <c r="D29" s="174">
        <f>SUM(D6:D28)</f>
        <v>0</v>
      </c>
      <c r="F29" s="114" t="s">
        <v>54</v>
      </c>
      <c r="G29" s="176"/>
      <c r="H29" s="136">
        <f>H15-H16-H17-H18-H19-H20-H22-H23-H24+H26+H27</f>
        <v>0</v>
      </c>
      <c r="I29" s="137"/>
      <c r="J29" s="13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1"/>
      <c r="B30" s="172"/>
      <c r="C30" s="173"/>
      <c r="D30" s="175"/>
      <c r="F30" s="117"/>
      <c r="G30" s="177"/>
      <c r="H30" s="139"/>
      <c r="I30" s="140"/>
      <c r="J30" s="14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1" t="s">
        <v>57</v>
      </c>
      <c r="B32" s="162"/>
      <c r="C32" s="162"/>
      <c r="D32" s="163"/>
      <c r="F32" s="164" t="s">
        <v>58</v>
      </c>
      <c r="G32" s="165"/>
      <c r="H32" s="165"/>
      <c r="I32" s="165"/>
      <c r="J32" s="166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164" t="s">
        <v>13</v>
      </c>
      <c r="I33" s="165"/>
      <c r="J33" s="16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5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58"/>
      <c r="I34" s="159"/>
      <c r="J34" s="160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6"/>
      <c r="B35" s="27" t="s">
        <v>67</v>
      </c>
      <c r="C35" s="52"/>
      <c r="D35" s="30">
        <f>C35*84</f>
        <v>0</v>
      </c>
      <c r="F35" s="58">
        <v>500</v>
      </c>
      <c r="G35" s="41"/>
      <c r="H35" s="158"/>
      <c r="I35" s="159"/>
      <c r="J35" s="16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7"/>
      <c r="B36" s="26" t="s">
        <v>69</v>
      </c>
      <c r="C36" s="10"/>
      <c r="D36" s="12">
        <f>C36*1.5</f>
        <v>0</v>
      </c>
      <c r="F36" s="12">
        <v>200</v>
      </c>
      <c r="G36" s="37"/>
      <c r="H36" s="158"/>
      <c r="I36" s="159"/>
      <c r="J36" s="160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8"/>
      <c r="I37" s="159"/>
      <c r="J37" s="160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6"/>
      <c r="B38" s="29" t="s">
        <v>67</v>
      </c>
      <c r="C38" s="54"/>
      <c r="D38" s="12">
        <f>C38*84</f>
        <v>0</v>
      </c>
      <c r="F38" s="30">
        <v>50</v>
      </c>
      <c r="G38" s="39"/>
      <c r="H38" s="158"/>
      <c r="I38" s="159"/>
      <c r="J38" s="160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7"/>
      <c r="B39" s="29" t="s">
        <v>69</v>
      </c>
      <c r="C39" s="52"/>
      <c r="D39" s="31">
        <f>C39*4.5</f>
        <v>0</v>
      </c>
      <c r="F39" s="12">
        <v>20</v>
      </c>
      <c r="G39" s="37"/>
      <c r="H39" s="158"/>
      <c r="I39" s="159"/>
      <c r="J39" s="16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8"/>
      <c r="I40" s="159"/>
      <c r="J40" s="160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6"/>
      <c r="B41" s="27" t="s">
        <v>67</v>
      </c>
      <c r="C41" s="10"/>
      <c r="D41" s="12">
        <f>C41*84</f>
        <v>0</v>
      </c>
      <c r="F41" s="12">
        <v>5</v>
      </c>
      <c r="G41" s="42"/>
      <c r="H41" s="158"/>
      <c r="I41" s="159"/>
      <c r="J41" s="160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7"/>
      <c r="B42" s="27" t="s">
        <v>69</v>
      </c>
      <c r="C42" s="11"/>
      <c r="D42" s="12">
        <f>C42*2.25</f>
        <v>0</v>
      </c>
      <c r="F42" s="39" t="s">
        <v>78</v>
      </c>
      <c r="G42" s="158"/>
      <c r="H42" s="159"/>
      <c r="I42" s="159"/>
      <c r="J42" s="160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8" t="s">
        <v>80</v>
      </c>
      <c r="C43" s="11"/>
      <c r="D43" s="12"/>
      <c r="F43" s="59" t="s">
        <v>81</v>
      </c>
      <c r="G43" s="93" t="s">
        <v>82</v>
      </c>
      <c r="H43" s="150" t="s">
        <v>13</v>
      </c>
      <c r="I43" s="151"/>
      <c r="J43" s="152"/>
      <c r="K43" s="21"/>
      <c r="P43" s="4"/>
      <c r="Q43" s="4"/>
      <c r="R43" s="5"/>
    </row>
    <row r="44" spans="1:18" ht="15.75" x14ac:dyDescent="0.25">
      <c r="A44" s="129"/>
      <c r="B44" s="27" t="s">
        <v>65</v>
      </c>
      <c r="C44" s="10"/>
      <c r="D44" s="12">
        <f>C44*120</f>
        <v>0</v>
      </c>
      <c r="F44" s="37"/>
      <c r="G44" s="76"/>
      <c r="H44" s="153"/>
      <c r="I44" s="153"/>
      <c r="J44" s="153"/>
      <c r="K44" s="21"/>
      <c r="P44" s="4"/>
      <c r="Q44" s="4"/>
      <c r="R44" s="5"/>
    </row>
    <row r="45" spans="1:18" ht="15.75" x14ac:dyDescent="0.25">
      <c r="A45" s="129"/>
      <c r="B45" s="27" t="s">
        <v>67</v>
      </c>
      <c r="C45" s="33"/>
      <c r="D45" s="12">
        <f>C45*84</f>
        <v>0</v>
      </c>
      <c r="F45" s="37"/>
      <c r="G45" s="76"/>
      <c r="H45" s="153"/>
      <c r="I45" s="153"/>
      <c r="J45" s="153"/>
      <c r="K45" s="21"/>
      <c r="P45" s="4"/>
      <c r="Q45" s="4"/>
      <c r="R45" s="5"/>
    </row>
    <row r="46" spans="1:18" ht="15.75" x14ac:dyDescent="0.25">
      <c r="A46" s="129"/>
      <c r="B46" s="49" t="s">
        <v>69</v>
      </c>
      <c r="C46" s="81"/>
      <c r="D46" s="12">
        <f>C46*1.5</f>
        <v>0</v>
      </c>
      <c r="F46" s="37"/>
      <c r="G46" s="62"/>
      <c r="H46" s="154"/>
      <c r="I46" s="154"/>
      <c r="J46" s="154"/>
      <c r="K46" s="21"/>
      <c r="P46" s="4"/>
      <c r="Q46" s="4"/>
      <c r="R46" s="5"/>
    </row>
    <row r="47" spans="1:18" ht="15.75" x14ac:dyDescent="0.25">
      <c r="A47" s="130"/>
      <c r="B47" s="27"/>
      <c r="C47" s="11"/>
      <c r="D47" s="12"/>
      <c r="F47" s="59"/>
      <c r="G47" s="59"/>
      <c r="H47" s="131"/>
      <c r="I47" s="132"/>
      <c r="J47" s="133"/>
      <c r="K47" s="21"/>
      <c r="P47" s="4"/>
      <c r="Q47" s="4"/>
      <c r="R47" s="5"/>
    </row>
    <row r="48" spans="1:18" ht="15" customHeight="1" x14ac:dyDescent="0.25">
      <c r="A48" s="128" t="s">
        <v>32</v>
      </c>
      <c r="B48" s="27" t="s">
        <v>65</v>
      </c>
      <c r="C48" s="10"/>
      <c r="D48" s="12">
        <f>C48*78</f>
        <v>0</v>
      </c>
      <c r="F48" s="59"/>
      <c r="G48" s="59"/>
      <c r="H48" s="131"/>
      <c r="I48" s="132"/>
      <c r="J48" s="13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9"/>
      <c r="B49" s="29" t="s">
        <v>67</v>
      </c>
      <c r="C49" s="33"/>
      <c r="D49" s="12">
        <f>C49*42</f>
        <v>0</v>
      </c>
      <c r="F49" s="134" t="s">
        <v>85</v>
      </c>
      <c r="G49" s="136">
        <f>H34+H35+H36+H37+H38+H39+H40+H41+G42+H44+H45+H46</f>
        <v>0</v>
      </c>
      <c r="H49" s="137"/>
      <c r="I49" s="137"/>
      <c r="J49" s="13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9"/>
      <c r="B50" s="32" t="s">
        <v>69</v>
      </c>
      <c r="C50" s="11"/>
      <c r="D50" s="12">
        <f>C50*1.5</f>
        <v>0</v>
      </c>
      <c r="F50" s="135"/>
      <c r="G50" s="139"/>
      <c r="H50" s="140"/>
      <c r="I50" s="140"/>
      <c r="J50" s="141"/>
      <c r="P50" s="4"/>
      <c r="Q50" s="4"/>
      <c r="R50" s="5"/>
    </row>
    <row r="51" spans="1:18" ht="15" customHeight="1" x14ac:dyDescent="0.25">
      <c r="A51" s="129"/>
      <c r="B51" s="27"/>
      <c r="C51" s="10"/>
      <c r="D51" s="31"/>
      <c r="F51" s="142" t="s">
        <v>106</v>
      </c>
      <c r="G51" s="144">
        <f>G49-H29</f>
        <v>0</v>
      </c>
      <c r="H51" s="145"/>
      <c r="I51" s="145"/>
      <c r="J51" s="146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9"/>
      <c r="B52" s="29"/>
      <c r="C52" s="33"/>
      <c r="D52" s="45"/>
      <c r="F52" s="143"/>
      <c r="G52" s="147"/>
      <c r="H52" s="148"/>
      <c r="I52" s="148"/>
      <c r="J52" s="14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4" t="s">
        <v>89</v>
      </c>
      <c r="B54" s="115"/>
      <c r="C54" s="116"/>
      <c r="D54" s="120">
        <f>SUM(D34:D53)</f>
        <v>0</v>
      </c>
      <c r="F54" s="21"/>
      <c r="J54" s="34"/>
    </row>
    <row r="55" spans="1:18" x14ac:dyDescent="0.25">
      <c r="A55" s="117"/>
      <c r="B55" s="118"/>
      <c r="C55" s="119"/>
      <c r="D55" s="1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2" t="s">
        <v>90</v>
      </c>
      <c r="B58" s="123"/>
      <c r="C58" s="123"/>
      <c r="D58" s="124"/>
      <c r="F58" s="122" t="s">
        <v>91</v>
      </c>
      <c r="G58" s="123"/>
      <c r="H58" s="123"/>
      <c r="I58" s="123"/>
      <c r="J58" s="124"/>
    </row>
    <row r="59" spans="1:18" x14ac:dyDescent="0.25">
      <c r="A59" s="125"/>
      <c r="B59" s="126"/>
      <c r="C59" s="126"/>
      <c r="D59" s="127"/>
      <c r="F59" s="125"/>
      <c r="G59" s="126"/>
      <c r="H59" s="126"/>
      <c r="I59" s="126"/>
      <c r="J59" s="12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6A41E9-CAA6-4673-9FF6-45CBF7A22C0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0" t="s">
        <v>1</v>
      </c>
      <c r="O1" s="210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1" t="s">
        <v>7</v>
      </c>
      <c r="B4" s="162"/>
      <c r="C4" s="162"/>
      <c r="D4" s="163"/>
      <c r="F4" s="211" t="s">
        <v>8</v>
      </c>
      <c r="G4" s="213">
        <v>1</v>
      </c>
      <c r="H4" s="215" t="s">
        <v>9</v>
      </c>
      <c r="I4" s="217">
        <v>46149</v>
      </c>
      <c r="J4" s="21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5" t="s">
        <v>7</v>
      </c>
      <c r="B5" s="15" t="s">
        <v>11</v>
      </c>
      <c r="C5" s="9" t="s">
        <v>12</v>
      </c>
      <c r="D5" s="25" t="s">
        <v>13</v>
      </c>
      <c r="F5" s="212"/>
      <c r="G5" s="214"/>
      <c r="H5" s="216"/>
      <c r="I5" s="219"/>
      <c r="J5" s="22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6"/>
      <c r="B6" s="16" t="s">
        <v>15</v>
      </c>
      <c r="C6" s="10">
        <v>467</v>
      </c>
      <c r="D6" s="13">
        <f t="shared" ref="D6:D28" si="1">C6*L6</f>
        <v>355387</v>
      </c>
      <c r="F6" s="221" t="s">
        <v>16</v>
      </c>
      <c r="G6" s="223" t="s">
        <v>99</v>
      </c>
      <c r="H6" s="224"/>
      <c r="I6" s="224"/>
      <c r="J6" s="22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6"/>
      <c r="B7" s="16" t="s">
        <v>18</v>
      </c>
      <c r="C7" s="10">
        <v>48</v>
      </c>
      <c r="D7" s="13">
        <f t="shared" si="1"/>
        <v>37488</v>
      </c>
      <c r="F7" s="222"/>
      <c r="G7" s="226"/>
      <c r="H7" s="227"/>
      <c r="I7" s="227"/>
      <c r="J7" s="22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6"/>
      <c r="B8" s="16" t="s">
        <v>20</v>
      </c>
      <c r="C8" s="10"/>
      <c r="D8" s="13">
        <f t="shared" si="1"/>
        <v>0</v>
      </c>
      <c r="F8" s="229" t="s">
        <v>21</v>
      </c>
      <c r="G8" s="230" t="s">
        <v>120</v>
      </c>
      <c r="H8" s="231"/>
      <c r="I8" s="231"/>
      <c r="J8" s="23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6"/>
      <c r="B9" s="16" t="s">
        <v>23</v>
      </c>
      <c r="C9" s="10">
        <v>15</v>
      </c>
      <c r="D9" s="13">
        <f t="shared" si="1"/>
        <v>10995</v>
      </c>
      <c r="F9" s="222"/>
      <c r="G9" s="233"/>
      <c r="H9" s="234"/>
      <c r="I9" s="234"/>
      <c r="J9" s="23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6"/>
      <c r="B10" t="s">
        <v>25</v>
      </c>
      <c r="C10" s="10"/>
      <c r="D10" s="13">
        <f t="shared" si="1"/>
        <v>0</v>
      </c>
      <c r="F10" s="221" t="s">
        <v>26</v>
      </c>
      <c r="G10" s="236" t="s">
        <v>108</v>
      </c>
      <c r="H10" s="237"/>
      <c r="I10" s="237"/>
      <c r="J10" s="238"/>
      <c r="K10" s="8"/>
      <c r="L10" s="6">
        <f>R36</f>
        <v>1032</v>
      </c>
      <c r="P10" s="4"/>
      <c r="Q10" s="4"/>
      <c r="R10" s="5"/>
    </row>
    <row r="11" spans="1:18" ht="15.75" x14ac:dyDescent="0.25">
      <c r="A11" s="156"/>
      <c r="B11" s="17" t="s">
        <v>28</v>
      </c>
      <c r="C11" s="10"/>
      <c r="D11" s="13">
        <f t="shared" si="1"/>
        <v>0</v>
      </c>
      <c r="F11" s="222"/>
      <c r="G11" s="233"/>
      <c r="H11" s="234"/>
      <c r="I11" s="234"/>
      <c r="J11" s="23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6"/>
      <c r="B12" s="17" t="s">
        <v>30</v>
      </c>
      <c r="C12" s="10"/>
      <c r="D12" s="48">
        <f t="shared" si="1"/>
        <v>0</v>
      </c>
      <c r="F12" s="239" t="s">
        <v>33</v>
      </c>
      <c r="G12" s="240"/>
      <c r="H12" s="240"/>
      <c r="I12" s="240"/>
      <c r="J12" s="24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6"/>
      <c r="B13" s="17" t="s">
        <v>32</v>
      </c>
      <c r="C13" s="10">
        <v>5</v>
      </c>
      <c r="D13" s="48">
        <f t="shared" si="1"/>
        <v>1535</v>
      </c>
      <c r="F13" s="242" t="s">
        <v>36</v>
      </c>
      <c r="G13" s="206"/>
      <c r="H13" s="197">
        <f>D29</f>
        <v>405449</v>
      </c>
      <c r="I13" s="198"/>
      <c r="J13" s="19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6"/>
      <c r="B14" s="14" t="s">
        <v>35</v>
      </c>
      <c r="C14" s="10">
        <v>4</v>
      </c>
      <c r="D14" s="31">
        <f t="shared" si="1"/>
        <v>44</v>
      </c>
      <c r="F14" s="200" t="s">
        <v>38</v>
      </c>
      <c r="G14" s="201"/>
      <c r="H14" s="202">
        <f>D54</f>
        <v>70817.25</v>
      </c>
      <c r="I14" s="203"/>
      <c r="J14" s="20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6"/>
      <c r="B15" s="14" t="s">
        <v>122</v>
      </c>
      <c r="C15" s="10"/>
      <c r="D15" s="31">
        <f t="shared" si="1"/>
        <v>0</v>
      </c>
      <c r="F15" s="205" t="s">
        <v>39</v>
      </c>
      <c r="G15" s="206"/>
      <c r="H15" s="207">
        <f>H13-H14</f>
        <v>334631.75</v>
      </c>
      <c r="I15" s="208"/>
      <c r="J15" s="20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6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67">
        <v>2880</v>
      </c>
      <c r="I16" s="167"/>
      <c r="J16" s="16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6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78"/>
      <c r="I17" s="178"/>
      <c r="J17" s="17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6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78"/>
      <c r="I18" s="178"/>
      <c r="J18" s="17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6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67"/>
      <c r="I19" s="167"/>
      <c r="J19" s="16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6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67"/>
      <c r="I20" s="167"/>
      <c r="J20" s="16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6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0" t="s">
        <v>13</v>
      </c>
      <c r="I21" s="181"/>
      <c r="J21" s="18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6"/>
      <c r="B22" s="46" t="s">
        <v>103</v>
      </c>
      <c r="C22" s="10"/>
      <c r="D22" s="48">
        <f t="shared" si="1"/>
        <v>0</v>
      </c>
      <c r="F22" s="77"/>
      <c r="G22" s="73"/>
      <c r="H22" s="183"/>
      <c r="I22" s="183"/>
      <c r="J22" s="18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6"/>
      <c r="B23" s="14" t="s">
        <v>121</v>
      </c>
      <c r="C23" s="10"/>
      <c r="D23" s="48">
        <f t="shared" si="1"/>
        <v>0</v>
      </c>
      <c r="F23" s="77"/>
      <c r="G23" s="79"/>
      <c r="H23" s="251"/>
      <c r="I23" s="252"/>
      <c r="J23" s="25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6"/>
      <c r="B24" s="14" t="s">
        <v>128</v>
      </c>
      <c r="C24" s="10"/>
      <c r="D24" s="48">
        <f t="shared" si="1"/>
        <v>0</v>
      </c>
      <c r="F24" s="77"/>
      <c r="G24" s="79"/>
      <c r="H24" s="251"/>
      <c r="I24" s="252"/>
      <c r="J24" s="25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5" t="s">
        <v>13</v>
      </c>
      <c r="I25" s="186"/>
      <c r="J25" s="18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6"/>
      <c r="B26" s="14" t="s">
        <v>129</v>
      </c>
      <c r="C26" s="10"/>
      <c r="D26" s="48">
        <f t="shared" si="1"/>
        <v>0</v>
      </c>
      <c r="F26" s="75"/>
      <c r="G26" s="65"/>
      <c r="H26" s="153"/>
      <c r="I26" s="153"/>
      <c r="J26" s="15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6"/>
      <c r="B27" s="14" t="s">
        <v>130</v>
      </c>
      <c r="C27" s="10"/>
      <c r="D27" s="44">
        <f t="shared" si="1"/>
        <v>0</v>
      </c>
      <c r="F27" s="71"/>
      <c r="G27" s="93"/>
      <c r="H27" s="253"/>
      <c r="I27" s="254"/>
      <c r="J27" s="25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7"/>
      <c r="B28" s="46" t="s">
        <v>92</v>
      </c>
      <c r="C28" s="10"/>
      <c r="D28" s="48">
        <f t="shared" si="1"/>
        <v>0</v>
      </c>
      <c r="F28" s="96"/>
      <c r="G28" s="61"/>
      <c r="H28" s="194"/>
      <c r="I28" s="195"/>
      <c r="J28" s="19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8" t="s">
        <v>36</v>
      </c>
      <c r="B29" s="169"/>
      <c r="C29" s="170"/>
      <c r="D29" s="174">
        <f>SUM(D6:D28)</f>
        <v>405449</v>
      </c>
      <c r="F29" s="114" t="s">
        <v>54</v>
      </c>
      <c r="G29" s="176"/>
      <c r="H29" s="136">
        <f>H15-H16-H17-H18-H19-H20-H22-H23-H24+H26+H27+H28</f>
        <v>331751.75</v>
      </c>
      <c r="I29" s="137"/>
      <c r="J29" s="13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1"/>
      <c r="B30" s="172"/>
      <c r="C30" s="173"/>
      <c r="D30" s="175"/>
      <c r="F30" s="117"/>
      <c r="G30" s="177"/>
      <c r="H30" s="139"/>
      <c r="I30" s="140"/>
      <c r="J30" s="141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1" t="s">
        <v>57</v>
      </c>
      <c r="B32" s="162"/>
      <c r="C32" s="162"/>
      <c r="D32" s="163"/>
      <c r="F32" s="164" t="s">
        <v>58</v>
      </c>
      <c r="G32" s="165"/>
      <c r="H32" s="165"/>
      <c r="I32" s="165"/>
      <c r="J32" s="16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164" t="s">
        <v>13</v>
      </c>
      <c r="I33" s="165"/>
      <c r="J33" s="16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5" t="s">
        <v>64</v>
      </c>
      <c r="B34" s="26" t="s">
        <v>65</v>
      </c>
      <c r="C34" s="51">
        <v>3</v>
      </c>
      <c r="D34" s="30">
        <f>C34*120</f>
        <v>360</v>
      </c>
      <c r="F34" s="12">
        <v>1000</v>
      </c>
      <c r="G34" s="40">
        <v>11</v>
      </c>
      <c r="H34" s="158">
        <f t="shared" ref="H34:H39" si="2">F34*G34</f>
        <v>11000</v>
      </c>
      <c r="I34" s="159"/>
      <c r="J34" s="16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6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6</v>
      </c>
      <c r="H35" s="158">
        <f t="shared" si="2"/>
        <v>3000</v>
      </c>
      <c r="I35" s="159"/>
      <c r="J35" s="16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7"/>
      <c r="B36" s="26" t="s">
        <v>69</v>
      </c>
      <c r="C36" s="10"/>
      <c r="D36" s="12">
        <f>C36*1.5</f>
        <v>0</v>
      </c>
      <c r="F36" s="12">
        <v>200</v>
      </c>
      <c r="G36" s="37"/>
      <c r="H36" s="158">
        <f t="shared" si="2"/>
        <v>0</v>
      </c>
      <c r="I36" s="159"/>
      <c r="J36" s="16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5" t="s">
        <v>71</v>
      </c>
      <c r="B37" s="28" t="s">
        <v>65</v>
      </c>
      <c r="C37" s="53">
        <v>559</v>
      </c>
      <c r="D37" s="12">
        <f>C37*111</f>
        <v>62049</v>
      </c>
      <c r="F37" s="12">
        <v>100</v>
      </c>
      <c r="G37" s="39">
        <v>7</v>
      </c>
      <c r="H37" s="158">
        <f t="shared" si="2"/>
        <v>700</v>
      </c>
      <c r="I37" s="159"/>
      <c r="J37" s="16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6"/>
      <c r="B38" s="29" t="s">
        <v>67</v>
      </c>
      <c r="C38" s="54">
        <v>20</v>
      </c>
      <c r="D38" s="12">
        <f>C38*84</f>
        <v>1680</v>
      </c>
      <c r="F38" s="30">
        <v>50</v>
      </c>
      <c r="G38" s="39">
        <v>2</v>
      </c>
      <c r="H38" s="158">
        <f t="shared" si="2"/>
        <v>100</v>
      </c>
      <c r="I38" s="159"/>
      <c r="J38" s="16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7"/>
      <c r="B39" s="29" t="s">
        <v>69</v>
      </c>
      <c r="C39" s="52">
        <v>3</v>
      </c>
      <c r="D39" s="31">
        <f>C39*4.5</f>
        <v>13.5</v>
      </c>
      <c r="F39" s="12">
        <v>20</v>
      </c>
      <c r="G39" s="37">
        <v>1</v>
      </c>
      <c r="H39" s="158">
        <f t="shared" si="2"/>
        <v>20</v>
      </c>
      <c r="I39" s="159"/>
      <c r="J39" s="16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5" t="s">
        <v>75</v>
      </c>
      <c r="B40" s="27" t="s">
        <v>65</v>
      </c>
      <c r="C40" s="63">
        <v>18</v>
      </c>
      <c r="D40" s="12">
        <f>C40*111</f>
        <v>1998</v>
      </c>
      <c r="F40" s="12">
        <v>10</v>
      </c>
      <c r="G40" s="42"/>
      <c r="H40" s="158"/>
      <c r="I40" s="159"/>
      <c r="J40" s="16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6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58"/>
      <c r="I41" s="159"/>
      <c r="J41" s="16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7"/>
      <c r="B42" s="27" t="s">
        <v>69</v>
      </c>
      <c r="C42" s="11">
        <v>11</v>
      </c>
      <c r="D42" s="12">
        <f>C42*2.25</f>
        <v>24.75</v>
      </c>
      <c r="F42" s="39" t="s">
        <v>78</v>
      </c>
      <c r="G42" s="158">
        <v>103</v>
      </c>
      <c r="H42" s="159"/>
      <c r="I42" s="159"/>
      <c r="J42" s="16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8" t="s">
        <v>80</v>
      </c>
      <c r="C43" s="11"/>
      <c r="D43" s="12"/>
      <c r="F43" s="59" t="s">
        <v>81</v>
      </c>
      <c r="G43" s="93" t="s">
        <v>82</v>
      </c>
      <c r="H43" s="150" t="s">
        <v>13</v>
      </c>
      <c r="I43" s="151"/>
      <c r="J43" s="15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9"/>
      <c r="B44" s="27" t="s">
        <v>65</v>
      </c>
      <c r="C44" s="10">
        <v>9</v>
      </c>
      <c r="D44" s="12">
        <f>C44*120</f>
        <v>1080</v>
      </c>
      <c r="F44" s="37" t="s">
        <v>132</v>
      </c>
      <c r="G44" s="62" t="s">
        <v>158</v>
      </c>
      <c r="H44" s="153">
        <v>306035</v>
      </c>
      <c r="I44" s="153"/>
      <c r="J44" s="15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9"/>
      <c r="B45" s="27" t="s">
        <v>67</v>
      </c>
      <c r="C45" s="33"/>
      <c r="D45" s="12">
        <f>C45*84</f>
        <v>0</v>
      </c>
      <c r="F45" s="37" t="s">
        <v>136</v>
      </c>
      <c r="G45" s="103" t="s">
        <v>141</v>
      </c>
      <c r="H45" s="153">
        <v>10505</v>
      </c>
      <c r="I45" s="153"/>
      <c r="J45" s="153"/>
      <c r="K45" s="21"/>
      <c r="P45" s="4"/>
      <c r="Q45" s="4"/>
      <c r="R45" s="5"/>
    </row>
    <row r="46" spans="1:18" ht="15.75" x14ac:dyDescent="0.25">
      <c r="A46" s="129"/>
      <c r="B46" s="49" t="s">
        <v>69</v>
      </c>
      <c r="C46" s="81"/>
      <c r="D46" s="12">
        <f>C46*1.5</f>
        <v>0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30"/>
      <c r="B47" s="27"/>
      <c r="C47" s="11"/>
      <c r="D47" s="12"/>
      <c r="F47" s="59"/>
      <c r="G47" s="59"/>
      <c r="H47" s="131"/>
      <c r="I47" s="132"/>
      <c r="J47" s="133"/>
      <c r="K47" s="21"/>
      <c r="P47" s="4"/>
      <c r="Q47" s="4"/>
      <c r="R47" s="5"/>
    </row>
    <row r="48" spans="1:18" ht="15" customHeight="1" x14ac:dyDescent="0.25">
      <c r="A48" s="128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131"/>
      <c r="I48" s="132"/>
      <c r="J48" s="13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9"/>
      <c r="B49" s="29" t="s">
        <v>67</v>
      </c>
      <c r="C49" s="33">
        <v>69</v>
      </c>
      <c r="D49" s="12">
        <f>C49*42</f>
        <v>2898</v>
      </c>
      <c r="F49" s="134" t="s">
        <v>85</v>
      </c>
      <c r="G49" s="136">
        <f>H34+H35+H36+H37+H38+H39+H40+H41+G42+H44+H45+H46</f>
        <v>331463</v>
      </c>
      <c r="H49" s="137"/>
      <c r="I49" s="137"/>
      <c r="J49" s="13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9"/>
      <c r="B50" s="32" t="s">
        <v>69</v>
      </c>
      <c r="C50" s="11"/>
      <c r="D50" s="12">
        <f>C50*1.5</f>
        <v>0</v>
      </c>
      <c r="F50" s="135"/>
      <c r="G50" s="139"/>
      <c r="H50" s="140"/>
      <c r="I50" s="140"/>
      <c r="J50" s="141"/>
      <c r="O50" t="s">
        <v>114</v>
      </c>
      <c r="P50" s="4">
        <v>1204</v>
      </c>
      <c r="Q50" s="4"/>
      <c r="R50" s="5"/>
    </row>
    <row r="51" spans="1:18" ht="15" customHeight="1" x14ac:dyDescent="0.25">
      <c r="A51" s="129"/>
      <c r="B51" s="27"/>
      <c r="C51" s="10"/>
      <c r="D51" s="31"/>
      <c r="F51" s="142" t="s">
        <v>109</v>
      </c>
      <c r="G51" s="255">
        <f>G49-H29</f>
        <v>-288.75</v>
      </c>
      <c r="H51" s="256"/>
      <c r="I51" s="256"/>
      <c r="J51" s="25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9"/>
      <c r="B52" s="29"/>
      <c r="C52" s="33"/>
      <c r="D52" s="45"/>
      <c r="F52" s="143"/>
      <c r="G52" s="258"/>
      <c r="H52" s="259"/>
      <c r="I52" s="259"/>
      <c r="J52" s="2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4" t="s">
        <v>89</v>
      </c>
      <c r="B54" s="115"/>
      <c r="C54" s="116"/>
      <c r="D54" s="120">
        <f>SUM(D34:D53)</f>
        <v>70817.25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7"/>
      <c r="B55" s="118"/>
      <c r="C55" s="119"/>
      <c r="D55" s="1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22" t="s">
        <v>90</v>
      </c>
      <c r="B58" s="123"/>
      <c r="C58" s="123"/>
      <c r="D58" s="124"/>
      <c r="F58" s="122" t="s">
        <v>91</v>
      </c>
      <c r="G58" s="123"/>
      <c r="H58" s="123"/>
      <c r="I58" s="123"/>
      <c r="J58" s="124"/>
    </row>
    <row r="59" spans="1:18" x14ac:dyDescent="0.25">
      <c r="A59" s="125"/>
      <c r="B59" s="126"/>
      <c r="C59" s="126"/>
      <c r="D59" s="127"/>
      <c r="F59" s="125"/>
      <c r="G59" s="126"/>
      <c r="H59" s="126"/>
      <c r="I59" s="126"/>
      <c r="J59" s="12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77E6E-7D36-4F2D-87E7-46F54FFB6B5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0" t="s">
        <v>1</v>
      </c>
      <c r="O1" s="210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1" t="s">
        <v>7</v>
      </c>
      <c r="B4" s="162"/>
      <c r="C4" s="162"/>
      <c r="D4" s="163"/>
      <c r="F4" s="211" t="s">
        <v>8</v>
      </c>
      <c r="G4" s="213">
        <v>1</v>
      </c>
      <c r="H4" s="215" t="s">
        <v>9</v>
      </c>
      <c r="I4" s="217">
        <v>46149</v>
      </c>
      <c r="J4" s="21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5" t="s">
        <v>7</v>
      </c>
      <c r="B5" s="15" t="s">
        <v>11</v>
      </c>
      <c r="C5" s="9" t="s">
        <v>12</v>
      </c>
      <c r="D5" s="25" t="s">
        <v>13</v>
      </c>
      <c r="F5" s="212"/>
      <c r="G5" s="214"/>
      <c r="H5" s="216"/>
      <c r="I5" s="219"/>
      <c r="J5" s="22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6"/>
      <c r="B6" s="16" t="s">
        <v>15</v>
      </c>
      <c r="C6" s="10"/>
      <c r="D6" s="13">
        <f t="shared" ref="D6:D28" si="1">C6*L6</f>
        <v>0</v>
      </c>
      <c r="F6" s="221" t="s">
        <v>16</v>
      </c>
      <c r="G6" s="223" t="s">
        <v>99</v>
      </c>
      <c r="H6" s="224"/>
      <c r="I6" s="224"/>
      <c r="J6" s="22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6"/>
      <c r="B7" s="16" t="s">
        <v>18</v>
      </c>
      <c r="C7" s="10"/>
      <c r="D7" s="13">
        <f t="shared" si="1"/>
        <v>0</v>
      </c>
      <c r="F7" s="222"/>
      <c r="G7" s="226"/>
      <c r="H7" s="227"/>
      <c r="I7" s="227"/>
      <c r="J7" s="22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6"/>
      <c r="B8" s="16" t="s">
        <v>20</v>
      </c>
      <c r="C8" s="10"/>
      <c r="D8" s="13">
        <f t="shared" si="1"/>
        <v>0</v>
      </c>
      <c r="F8" s="229" t="s">
        <v>21</v>
      </c>
      <c r="G8" s="230" t="s">
        <v>120</v>
      </c>
      <c r="H8" s="231"/>
      <c r="I8" s="231"/>
      <c r="J8" s="23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6"/>
      <c r="B9" s="16" t="s">
        <v>23</v>
      </c>
      <c r="C9" s="10"/>
      <c r="D9" s="13">
        <f t="shared" si="1"/>
        <v>0</v>
      </c>
      <c r="F9" s="222"/>
      <c r="G9" s="233"/>
      <c r="H9" s="234"/>
      <c r="I9" s="234"/>
      <c r="J9" s="23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6"/>
      <c r="B10" t="s">
        <v>25</v>
      </c>
      <c r="C10" s="10"/>
      <c r="D10" s="13">
        <f t="shared" si="1"/>
        <v>0</v>
      </c>
      <c r="F10" s="221" t="s">
        <v>26</v>
      </c>
      <c r="G10" s="236" t="s">
        <v>108</v>
      </c>
      <c r="H10" s="237"/>
      <c r="I10" s="237"/>
      <c r="J10" s="238"/>
      <c r="K10" s="8"/>
      <c r="L10" s="6">
        <f>R36</f>
        <v>1032</v>
      </c>
      <c r="P10" s="4"/>
      <c r="Q10" s="4"/>
      <c r="R10" s="5"/>
    </row>
    <row r="11" spans="1:18" ht="15.75" x14ac:dyDescent="0.25">
      <c r="A11" s="156"/>
      <c r="B11" s="17" t="s">
        <v>28</v>
      </c>
      <c r="C11" s="10"/>
      <c r="D11" s="13">
        <f t="shared" si="1"/>
        <v>0</v>
      </c>
      <c r="F11" s="222"/>
      <c r="G11" s="233"/>
      <c r="H11" s="234"/>
      <c r="I11" s="234"/>
      <c r="J11" s="23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6"/>
      <c r="B12" s="17" t="s">
        <v>30</v>
      </c>
      <c r="C12" s="10"/>
      <c r="D12" s="48">
        <f t="shared" si="1"/>
        <v>0</v>
      </c>
      <c r="F12" s="239" t="s">
        <v>33</v>
      </c>
      <c r="G12" s="240"/>
      <c r="H12" s="240"/>
      <c r="I12" s="240"/>
      <c r="J12" s="24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6"/>
      <c r="B13" s="17" t="s">
        <v>32</v>
      </c>
      <c r="C13" s="10"/>
      <c r="D13" s="48">
        <f t="shared" si="1"/>
        <v>0</v>
      </c>
      <c r="F13" s="242" t="s">
        <v>36</v>
      </c>
      <c r="G13" s="206"/>
      <c r="H13" s="197">
        <f>D29</f>
        <v>0</v>
      </c>
      <c r="I13" s="198"/>
      <c r="J13" s="19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6"/>
      <c r="B14" s="14" t="s">
        <v>35</v>
      </c>
      <c r="C14" s="10"/>
      <c r="D14" s="31">
        <f t="shared" si="1"/>
        <v>0</v>
      </c>
      <c r="F14" s="200" t="s">
        <v>38</v>
      </c>
      <c r="G14" s="201"/>
      <c r="H14" s="202">
        <f>D54</f>
        <v>0</v>
      </c>
      <c r="I14" s="203"/>
      <c r="J14" s="20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6"/>
      <c r="B15" s="14" t="s">
        <v>122</v>
      </c>
      <c r="C15" s="10"/>
      <c r="D15" s="31">
        <f t="shared" si="1"/>
        <v>0</v>
      </c>
      <c r="F15" s="205" t="s">
        <v>39</v>
      </c>
      <c r="G15" s="206"/>
      <c r="H15" s="207">
        <f>H13-H14</f>
        <v>0</v>
      </c>
      <c r="I15" s="208"/>
      <c r="J15" s="20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6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67"/>
      <c r="I16" s="167"/>
      <c r="J16" s="16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6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78"/>
      <c r="I17" s="178"/>
      <c r="J17" s="17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6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78"/>
      <c r="I18" s="178"/>
      <c r="J18" s="17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6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67"/>
      <c r="I19" s="167"/>
      <c r="J19" s="16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6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67"/>
      <c r="I20" s="167"/>
      <c r="J20" s="16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6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0" t="s">
        <v>13</v>
      </c>
      <c r="I21" s="181"/>
      <c r="J21" s="18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6"/>
      <c r="B22" s="46" t="s">
        <v>103</v>
      </c>
      <c r="C22" s="10"/>
      <c r="D22" s="48">
        <f t="shared" si="1"/>
        <v>0</v>
      </c>
      <c r="F22" s="77"/>
      <c r="G22" s="73"/>
      <c r="H22" s="183"/>
      <c r="I22" s="183"/>
      <c r="J22" s="18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6"/>
      <c r="B23" s="14" t="s">
        <v>121</v>
      </c>
      <c r="C23" s="10"/>
      <c r="D23" s="48">
        <f t="shared" si="1"/>
        <v>0</v>
      </c>
      <c r="F23" s="77"/>
      <c r="G23" s="79"/>
      <c r="H23" s="251"/>
      <c r="I23" s="252"/>
      <c r="J23" s="25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6"/>
      <c r="B24" s="14" t="s">
        <v>128</v>
      </c>
      <c r="C24" s="10"/>
      <c r="D24" s="48">
        <f t="shared" si="1"/>
        <v>0</v>
      </c>
      <c r="F24" s="77"/>
      <c r="G24" s="79"/>
      <c r="H24" s="251"/>
      <c r="I24" s="252"/>
      <c r="J24" s="25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5" t="s">
        <v>13</v>
      </c>
      <c r="I25" s="186"/>
      <c r="J25" s="18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6"/>
      <c r="B26" s="14" t="s">
        <v>129</v>
      </c>
      <c r="C26" s="10"/>
      <c r="D26" s="48">
        <f t="shared" si="1"/>
        <v>0</v>
      </c>
      <c r="F26" s="75" t="s">
        <v>153</v>
      </c>
      <c r="G26" s="65">
        <v>10503</v>
      </c>
      <c r="H26" s="153">
        <v>70631</v>
      </c>
      <c r="I26" s="153"/>
      <c r="J26" s="15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6"/>
      <c r="B27" s="14" t="s">
        <v>130</v>
      </c>
      <c r="C27" s="10"/>
      <c r="D27" s="44">
        <f t="shared" si="1"/>
        <v>0</v>
      </c>
      <c r="F27" s="71"/>
      <c r="G27" s="113"/>
      <c r="H27" s="253"/>
      <c r="I27" s="254"/>
      <c r="J27" s="25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7"/>
      <c r="B28" s="46" t="s">
        <v>92</v>
      </c>
      <c r="C28" s="10"/>
      <c r="D28" s="48">
        <f t="shared" si="1"/>
        <v>0</v>
      </c>
      <c r="F28" s="111"/>
      <c r="G28" s="61"/>
      <c r="H28" s="194"/>
      <c r="I28" s="195"/>
      <c r="J28" s="19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8" t="s">
        <v>36</v>
      </c>
      <c r="B29" s="169"/>
      <c r="C29" s="170"/>
      <c r="D29" s="174">
        <f>SUM(D6:D28)</f>
        <v>0</v>
      </c>
      <c r="F29" s="114" t="s">
        <v>54</v>
      </c>
      <c r="G29" s="176"/>
      <c r="H29" s="136">
        <f>H15-H16-H17-H18-H19-H20-H22-H23-H24+H26+H27+H28</f>
        <v>70631</v>
      </c>
      <c r="I29" s="137"/>
      <c r="J29" s="13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1"/>
      <c r="B30" s="172"/>
      <c r="C30" s="173"/>
      <c r="D30" s="175"/>
      <c r="F30" s="117"/>
      <c r="G30" s="177"/>
      <c r="H30" s="139"/>
      <c r="I30" s="140"/>
      <c r="J30" s="141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1" t="s">
        <v>57</v>
      </c>
      <c r="B32" s="162"/>
      <c r="C32" s="162"/>
      <c r="D32" s="163"/>
      <c r="F32" s="164" t="s">
        <v>58</v>
      </c>
      <c r="G32" s="165"/>
      <c r="H32" s="165"/>
      <c r="I32" s="165"/>
      <c r="J32" s="16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164" t="s">
        <v>13</v>
      </c>
      <c r="I33" s="165"/>
      <c r="J33" s="16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5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70</v>
      </c>
      <c r="H34" s="158">
        <f t="shared" ref="H34:H39" si="2">F34*G34</f>
        <v>70000</v>
      </c>
      <c r="I34" s="159"/>
      <c r="J34" s="16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6"/>
      <c r="B35" s="27" t="s">
        <v>67</v>
      </c>
      <c r="C35" s="52"/>
      <c r="D35" s="30">
        <f>C35*84</f>
        <v>0</v>
      </c>
      <c r="F35" s="58">
        <v>500</v>
      </c>
      <c r="G35" s="41">
        <v>1</v>
      </c>
      <c r="H35" s="158">
        <f t="shared" si="2"/>
        <v>500</v>
      </c>
      <c r="I35" s="159"/>
      <c r="J35" s="16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7"/>
      <c r="B36" s="26" t="s">
        <v>69</v>
      </c>
      <c r="C36" s="10"/>
      <c r="D36" s="12">
        <f>C36*1.5</f>
        <v>0</v>
      </c>
      <c r="F36" s="12">
        <v>200</v>
      </c>
      <c r="G36" s="37"/>
      <c r="H36" s="158">
        <f t="shared" si="2"/>
        <v>0</v>
      </c>
      <c r="I36" s="159"/>
      <c r="J36" s="16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5" t="s">
        <v>71</v>
      </c>
      <c r="B37" s="28" t="s">
        <v>65</v>
      </c>
      <c r="C37" s="53"/>
      <c r="D37" s="12">
        <f>C37*111</f>
        <v>0</v>
      </c>
      <c r="F37" s="12">
        <v>100</v>
      </c>
      <c r="G37" s="39">
        <v>1</v>
      </c>
      <c r="H37" s="158">
        <f t="shared" si="2"/>
        <v>100</v>
      </c>
      <c r="I37" s="159"/>
      <c r="J37" s="16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6"/>
      <c r="B38" s="29" t="s">
        <v>67</v>
      </c>
      <c r="C38" s="54"/>
      <c r="D38" s="12">
        <f>C38*84</f>
        <v>0</v>
      </c>
      <c r="F38" s="30">
        <v>50</v>
      </c>
      <c r="G38" s="39"/>
      <c r="H38" s="158">
        <f t="shared" si="2"/>
        <v>0</v>
      </c>
      <c r="I38" s="159"/>
      <c r="J38" s="16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7"/>
      <c r="B39" s="29" t="s">
        <v>69</v>
      </c>
      <c r="C39" s="52"/>
      <c r="D39" s="31">
        <f>C39*4.5</f>
        <v>0</v>
      </c>
      <c r="F39" s="12">
        <v>20</v>
      </c>
      <c r="G39" s="37"/>
      <c r="H39" s="158">
        <f t="shared" si="2"/>
        <v>0</v>
      </c>
      <c r="I39" s="159"/>
      <c r="J39" s="16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8"/>
      <c r="I40" s="159"/>
      <c r="J40" s="16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6"/>
      <c r="B41" s="27" t="s">
        <v>67</v>
      </c>
      <c r="C41" s="10"/>
      <c r="D41" s="12">
        <f>C41*84</f>
        <v>0</v>
      </c>
      <c r="F41" s="12">
        <v>5</v>
      </c>
      <c r="G41" s="42"/>
      <c r="H41" s="158"/>
      <c r="I41" s="159"/>
      <c r="J41" s="16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7"/>
      <c r="B42" s="27" t="s">
        <v>69</v>
      </c>
      <c r="C42" s="11"/>
      <c r="D42" s="12">
        <f>C42*2.25</f>
        <v>0</v>
      </c>
      <c r="F42" s="39" t="s">
        <v>78</v>
      </c>
      <c r="G42" s="158">
        <v>31</v>
      </c>
      <c r="H42" s="159"/>
      <c r="I42" s="159"/>
      <c r="J42" s="16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8" t="s">
        <v>80</v>
      </c>
      <c r="C43" s="11"/>
      <c r="D43" s="12"/>
      <c r="F43" s="59" t="s">
        <v>81</v>
      </c>
      <c r="G43" s="113" t="s">
        <v>82</v>
      </c>
      <c r="H43" s="150" t="s">
        <v>13</v>
      </c>
      <c r="I43" s="151"/>
      <c r="J43" s="15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9"/>
      <c r="B44" s="27" t="s">
        <v>65</v>
      </c>
      <c r="C44" s="10"/>
      <c r="D44" s="12">
        <f>C44*120</f>
        <v>0</v>
      </c>
      <c r="F44" s="37"/>
      <c r="G44" s="62"/>
      <c r="H44" s="153"/>
      <c r="I44" s="153"/>
      <c r="J44" s="15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9"/>
      <c r="B45" s="27" t="s">
        <v>67</v>
      </c>
      <c r="C45" s="33"/>
      <c r="D45" s="12">
        <f>C45*84</f>
        <v>0</v>
      </c>
      <c r="F45" s="37"/>
      <c r="G45" s="62"/>
      <c r="H45" s="153"/>
      <c r="I45" s="153"/>
      <c r="J45" s="153"/>
      <c r="K45" s="21"/>
      <c r="P45" s="4"/>
      <c r="Q45" s="4"/>
      <c r="R45" s="5"/>
    </row>
    <row r="46" spans="1:18" ht="15.75" x14ac:dyDescent="0.25">
      <c r="A46" s="129"/>
      <c r="B46" s="49" t="s">
        <v>69</v>
      </c>
      <c r="C46" s="81"/>
      <c r="D46" s="12">
        <f>C46*1.5</f>
        <v>0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30"/>
      <c r="B47" s="27"/>
      <c r="C47" s="11"/>
      <c r="D47" s="12"/>
      <c r="F47" s="59"/>
      <c r="G47" s="59"/>
      <c r="H47" s="131"/>
      <c r="I47" s="132"/>
      <c r="J47" s="133"/>
      <c r="K47" s="21"/>
      <c r="P47" s="4"/>
      <c r="Q47" s="4"/>
      <c r="R47" s="5"/>
    </row>
    <row r="48" spans="1:18" ht="15" customHeight="1" x14ac:dyDescent="0.25">
      <c r="A48" s="128" t="s">
        <v>32</v>
      </c>
      <c r="B48" s="27" t="s">
        <v>65</v>
      </c>
      <c r="C48" s="10"/>
      <c r="D48" s="12">
        <f>C48*78</f>
        <v>0</v>
      </c>
      <c r="F48" s="59"/>
      <c r="G48" s="59"/>
      <c r="H48" s="131"/>
      <c r="I48" s="132"/>
      <c r="J48" s="13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9"/>
      <c r="B49" s="29" t="s">
        <v>67</v>
      </c>
      <c r="C49" s="33"/>
      <c r="D49" s="12">
        <f>C49*42</f>
        <v>0</v>
      </c>
      <c r="F49" s="134" t="s">
        <v>85</v>
      </c>
      <c r="G49" s="136">
        <f>H34+H35+H36+H37+H38+H39+H40+H41+G42+H44+H45+H46</f>
        <v>70631</v>
      </c>
      <c r="H49" s="137"/>
      <c r="I49" s="137"/>
      <c r="J49" s="13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9"/>
      <c r="B50" s="32" t="s">
        <v>69</v>
      </c>
      <c r="C50" s="11"/>
      <c r="D50" s="12">
        <f>C50*1.5</f>
        <v>0</v>
      </c>
      <c r="F50" s="135"/>
      <c r="G50" s="139"/>
      <c r="H50" s="140"/>
      <c r="I50" s="140"/>
      <c r="J50" s="141"/>
      <c r="O50" t="s">
        <v>114</v>
      </c>
      <c r="P50" s="4">
        <v>1204</v>
      </c>
      <c r="Q50" s="4"/>
      <c r="R50" s="5"/>
    </row>
    <row r="51" spans="1:18" ht="15" customHeight="1" x14ac:dyDescent="0.25">
      <c r="A51" s="129"/>
      <c r="B51" s="27"/>
      <c r="C51" s="10"/>
      <c r="D51" s="31"/>
      <c r="F51" s="142" t="s">
        <v>106</v>
      </c>
      <c r="G51" s="144">
        <f>G49-H29</f>
        <v>0</v>
      </c>
      <c r="H51" s="145"/>
      <c r="I51" s="145"/>
      <c r="J51" s="14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9"/>
      <c r="B52" s="29"/>
      <c r="C52" s="33"/>
      <c r="D52" s="45"/>
      <c r="F52" s="143"/>
      <c r="G52" s="147"/>
      <c r="H52" s="148"/>
      <c r="I52" s="148"/>
      <c r="J52" s="14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4" t="s">
        <v>89</v>
      </c>
      <c r="B54" s="115"/>
      <c r="C54" s="116"/>
      <c r="D54" s="120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7"/>
      <c r="B55" s="118"/>
      <c r="C55" s="119"/>
      <c r="D55" s="1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22" t="s">
        <v>90</v>
      </c>
      <c r="B58" s="123"/>
      <c r="C58" s="123"/>
      <c r="D58" s="124"/>
      <c r="F58" s="122" t="s">
        <v>91</v>
      </c>
      <c r="G58" s="123"/>
      <c r="H58" s="123"/>
      <c r="I58" s="123"/>
      <c r="J58" s="124"/>
    </row>
    <row r="59" spans="1:18" x14ac:dyDescent="0.25">
      <c r="A59" s="125"/>
      <c r="B59" s="126"/>
      <c r="C59" s="126"/>
      <c r="D59" s="127"/>
      <c r="F59" s="125"/>
      <c r="G59" s="126"/>
      <c r="H59" s="126"/>
      <c r="I59" s="126"/>
      <c r="J59" s="12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F2F2D2-8872-4F39-A6F5-FA10156504A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0" t="s">
        <v>1</v>
      </c>
      <c r="O1" s="210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1" t="s">
        <v>7</v>
      </c>
      <c r="B4" s="162"/>
      <c r="C4" s="162"/>
      <c r="D4" s="163"/>
      <c r="F4" s="211" t="s">
        <v>8</v>
      </c>
      <c r="G4" s="213">
        <v>2</v>
      </c>
      <c r="H4" s="215" t="s">
        <v>9</v>
      </c>
      <c r="I4" s="217">
        <v>46149</v>
      </c>
      <c r="J4" s="21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5" t="s">
        <v>7</v>
      </c>
      <c r="B5" s="15" t="s">
        <v>11</v>
      </c>
      <c r="C5" s="9" t="s">
        <v>12</v>
      </c>
      <c r="D5" s="25" t="s">
        <v>13</v>
      </c>
      <c r="F5" s="212"/>
      <c r="G5" s="214"/>
      <c r="H5" s="216"/>
      <c r="I5" s="219"/>
      <c r="J5" s="22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6"/>
      <c r="B6" s="16" t="s">
        <v>15</v>
      </c>
      <c r="C6" s="10">
        <v>283</v>
      </c>
      <c r="D6" s="13">
        <f t="shared" ref="D6:D28" si="1">C6*L6</f>
        <v>215363</v>
      </c>
      <c r="F6" s="221" t="s">
        <v>16</v>
      </c>
      <c r="G6" s="223" t="s">
        <v>107</v>
      </c>
      <c r="H6" s="224"/>
      <c r="I6" s="224"/>
      <c r="J6" s="22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6"/>
      <c r="B7" s="16" t="s">
        <v>18</v>
      </c>
      <c r="C7" s="10">
        <v>9</v>
      </c>
      <c r="D7" s="13">
        <f t="shared" si="1"/>
        <v>7029</v>
      </c>
      <c r="F7" s="222"/>
      <c r="G7" s="226"/>
      <c r="H7" s="227"/>
      <c r="I7" s="227"/>
      <c r="J7" s="22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6"/>
      <c r="B8" s="16" t="s">
        <v>20</v>
      </c>
      <c r="C8" s="10"/>
      <c r="D8" s="13">
        <f t="shared" si="1"/>
        <v>0</v>
      </c>
      <c r="F8" s="229" t="s">
        <v>21</v>
      </c>
      <c r="G8" s="230" t="s">
        <v>100</v>
      </c>
      <c r="H8" s="231"/>
      <c r="I8" s="231"/>
      <c r="J8" s="23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6"/>
      <c r="B9" s="16" t="s">
        <v>23</v>
      </c>
      <c r="C9" s="10">
        <v>23</v>
      </c>
      <c r="D9" s="13">
        <f t="shared" si="1"/>
        <v>16859</v>
      </c>
      <c r="F9" s="222"/>
      <c r="G9" s="233"/>
      <c r="H9" s="234"/>
      <c r="I9" s="234"/>
      <c r="J9" s="23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6"/>
      <c r="B10" t="s">
        <v>25</v>
      </c>
      <c r="C10" s="10"/>
      <c r="D10" s="13">
        <f t="shared" si="1"/>
        <v>0</v>
      </c>
      <c r="F10" s="221" t="s">
        <v>26</v>
      </c>
      <c r="G10" s="236" t="s">
        <v>101</v>
      </c>
      <c r="H10" s="237"/>
      <c r="I10" s="237"/>
      <c r="J10" s="238"/>
      <c r="K10" s="8"/>
      <c r="L10" s="6">
        <f>R36</f>
        <v>1032</v>
      </c>
      <c r="P10" s="4"/>
      <c r="Q10" s="4"/>
      <c r="R10" s="5"/>
    </row>
    <row r="11" spans="1:18" ht="15.75" x14ac:dyDescent="0.25">
      <c r="A11" s="156"/>
      <c r="B11" s="17" t="s">
        <v>28</v>
      </c>
      <c r="C11" s="10"/>
      <c r="D11" s="13">
        <f t="shared" si="1"/>
        <v>0</v>
      </c>
      <c r="F11" s="222"/>
      <c r="G11" s="233"/>
      <c r="H11" s="234"/>
      <c r="I11" s="234"/>
      <c r="J11" s="23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6"/>
      <c r="B12" s="17" t="s">
        <v>30</v>
      </c>
      <c r="C12" s="10"/>
      <c r="D12" s="48">
        <f t="shared" si="1"/>
        <v>0</v>
      </c>
      <c r="F12" s="239" t="s">
        <v>33</v>
      </c>
      <c r="G12" s="240"/>
      <c r="H12" s="240"/>
      <c r="I12" s="240"/>
      <c r="J12" s="24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6"/>
      <c r="B13" s="17" t="s">
        <v>32</v>
      </c>
      <c r="C13" s="10">
        <v>10</v>
      </c>
      <c r="D13" s="48">
        <f t="shared" si="1"/>
        <v>3070</v>
      </c>
      <c r="F13" s="242" t="s">
        <v>36</v>
      </c>
      <c r="G13" s="206"/>
      <c r="H13" s="197">
        <f>D29</f>
        <v>242941</v>
      </c>
      <c r="I13" s="198"/>
      <c r="J13" s="19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6"/>
      <c r="B14" s="14" t="s">
        <v>35</v>
      </c>
      <c r="C14" s="10"/>
      <c r="D14" s="31">
        <f t="shared" si="1"/>
        <v>0</v>
      </c>
      <c r="F14" s="200" t="s">
        <v>38</v>
      </c>
      <c r="G14" s="201"/>
      <c r="H14" s="202">
        <f>D54</f>
        <v>33151.5</v>
      </c>
      <c r="I14" s="203"/>
      <c r="J14" s="20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6"/>
      <c r="B15" s="14" t="s">
        <v>122</v>
      </c>
      <c r="C15" s="10">
        <v>1</v>
      </c>
      <c r="D15" s="31">
        <f t="shared" si="1"/>
        <v>620</v>
      </c>
      <c r="F15" s="205" t="s">
        <v>39</v>
      </c>
      <c r="G15" s="206"/>
      <c r="H15" s="207">
        <f>H13-H14</f>
        <v>209789.5</v>
      </c>
      <c r="I15" s="208"/>
      <c r="J15" s="20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6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67"/>
      <c r="I16" s="167"/>
      <c r="J16" s="16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6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78"/>
      <c r="I17" s="178"/>
      <c r="J17" s="17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6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78"/>
      <c r="I18" s="178"/>
      <c r="J18" s="17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6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61"/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6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78"/>
      <c r="I20" s="178"/>
      <c r="J20" s="17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6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0" t="s">
        <v>13</v>
      </c>
      <c r="I21" s="181"/>
      <c r="J21" s="18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6"/>
      <c r="B22" s="46" t="s">
        <v>103</v>
      </c>
      <c r="C22" s="10"/>
      <c r="D22" s="48">
        <f t="shared" si="1"/>
        <v>0</v>
      </c>
      <c r="F22" s="72"/>
      <c r="G22" s="73"/>
      <c r="H22" s="183"/>
      <c r="I22" s="183"/>
      <c r="J22" s="18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6"/>
      <c r="B23" s="14" t="s">
        <v>121</v>
      </c>
      <c r="C23" s="10"/>
      <c r="D23" s="48">
        <f t="shared" si="1"/>
        <v>0</v>
      </c>
      <c r="F23" s="25"/>
      <c r="G23" s="37"/>
      <c r="H23" s="184"/>
      <c r="I23" s="153"/>
      <c r="J23" s="15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6"/>
      <c r="B24" s="14" t="s">
        <v>128</v>
      </c>
      <c r="C24" s="10"/>
      <c r="D24" s="48">
        <f t="shared" si="1"/>
        <v>0</v>
      </c>
      <c r="F24" s="38"/>
      <c r="G24" s="37"/>
      <c r="H24" s="184"/>
      <c r="I24" s="153"/>
      <c r="J24" s="15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5" t="s">
        <v>13</v>
      </c>
      <c r="I25" s="186"/>
      <c r="J25" s="18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6"/>
      <c r="B26" s="14" t="s">
        <v>129</v>
      </c>
      <c r="C26" s="10"/>
      <c r="D26" s="48">
        <f t="shared" si="1"/>
        <v>0</v>
      </c>
      <c r="F26" s="64"/>
      <c r="G26" s="10"/>
      <c r="H26" s="188"/>
      <c r="I26" s="189"/>
      <c r="J26" s="19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6"/>
      <c r="B27" s="14" t="s">
        <v>130</v>
      </c>
      <c r="C27" s="10"/>
      <c r="D27" s="44">
        <f t="shared" si="1"/>
        <v>0</v>
      </c>
      <c r="F27" s="14"/>
      <c r="G27" s="14"/>
      <c r="H27" s="191"/>
      <c r="I27" s="192"/>
      <c r="J27" s="19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7"/>
      <c r="B28" s="46" t="s">
        <v>92</v>
      </c>
      <c r="C28" s="10"/>
      <c r="D28" s="48">
        <f t="shared" si="1"/>
        <v>0</v>
      </c>
      <c r="F28" s="96"/>
      <c r="G28" s="61"/>
      <c r="H28" s="194"/>
      <c r="I28" s="195"/>
      <c r="J28" s="19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8" t="s">
        <v>36</v>
      </c>
      <c r="B29" s="169"/>
      <c r="C29" s="170"/>
      <c r="D29" s="174">
        <f>SUM(D6:D28)</f>
        <v>242941</v>
      </c>
      <c r="F29" s="114" t="s">
        <v>54</v>
      </c>
      <c r="G29" s="176"/>
      <c r="H29" s="136">
        <f>H15-H16-H17-H18-H19-H20-H22-H23-H24+H26+H27</f>
        <v>209789.5</v>
      </c>
      <c r="I29" s="137"/>
      <c r="J29" s="13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1"/>
      <c r="B30" s="172"/>
      <c r="C30" s="173"/>
      <c r="D30" s="175"/>
      <c r="F30" s="117"/>
      <c r="G30" s="177"/>
      <c r="H30" s="139"/>
      <c r="I30" s="140"/>
      <c r="J30" s="141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1" t="s">
        <v>57</v>
      </c>
      <c r="B32" s="162"/>
      <c r="C32" s="162"/>
      <c r="D32" s="163"/>
      <c r="F32" s="164" t="s">
        <v>58</v>
      </c>
      <c r="G32" s="165"/>
      <c r="H32" s="165"/>
      <c r="I32" s="165"/>
      <c r="J32" s="16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164" t="s">
        <v>13</v>
      </c>
      <c r="I33" s="165"/>
      <c r="J33" s="16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5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179</v>
      </c>
      <c r="H34" s="158">
        <f>F34*G34</f>
        <v>179000</v>
      </c>
      <c r="I34" s="159"/>
      <c r="J34" s="16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6"/>
      <c r="B35" s="27" t="s">
        <v>67</v>
      </c>
      <c r="C35" s="52"/>
      <c r="D35" s="30">
        <f>C35*84</f>
        <v>0</v>
      </c>
      <c r="F35" s="58">
        <v>500</v>
      </c>
      <c r="G35" s="41">
        <v>44</v>
      </c>
      <c r="H35" s="158">
        <f t="shared" ref="H35:H39" si="2">F35*G35</f>
        <v>22000</v>
      </c>
      <c r="I35" s="159"/>
      <c r="J35" s="16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7"/>
      <c r="B36" s="26" t="s">
        <v>69</v>
      </c>
      <c r="C36" s="10"/>
      <c r="D36" s="12">
        <f>C36*1.5</f>
        <v>0</v>
      </c>
      <c r="F36" s="12">
        <v>200</v>
      </c>
      <c r="G36" s="37"/>
      <c r="H36" s="158">
        <f>F36*G36</f>
        <v>0</v>
      </c>
      <c r="I36" s="159"/>
      <c r="J36" s="16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5" t="s">
        <v>71</v>
      </c>
      <c r="B37" s="28" t="s">
        <v>65</v>
      </c>
      <c r="C37" s="53">
        <v>287</v>
      </c>
      <c r="D37" s="12">
        <f>C37*111</f>
        <v>31857</v>
      </c>
      <c r="F37" s="12">
        <v>100</v>
      </c>
      <c r="G37" s="39">
        <v>45</v>
      </c>
      <c r="H37" s="158">
        <f t="shared" si="2"/>
        <v>4500</v>
      </c>
      <c r="I37" s="159"/>
      <c r="J37" s="16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6"/>
      <c r="B38" s="29" t="s">
        <v>67</v>
      </c>
      <c r="C38" s="54">
        <v>15</v>
      </c>
      <c r="D38" s="12">
        <f>C38*84</f>
        <v>1260</v>
      </c>
      <c r="F38" s="30">
        <v>50</v>
      </c>
      <c r="G38" s="39"/>
      <c r="H38" s="158">
        <f t="shared" si="2"/>
        <v>0</v>
      </c>
      <c r="I38" s="159"/>
      <c r="J38" s="16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7"/>
      <c r="B39" s="29" t="s">
        <v>69</v>
      </c>
      <c r="C39" s="52">
        <v>2</v>
      </c>
      <c r="D39" s="31">
        <f>C39*4.5</f>
        <v>9</v>
      </c>
      <c r="F39" s="12">
        <v>20</v>
      </c>
      <c r="G39" s="37"/>
      <c r="H39" s="158">
        <f t="shared" si="2"/>
        <v>0</v>
      </c>
      <c r="I39" s="159"/>
      <c r="J39" s="16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8"/>
      <c r="I40" s="159"/>
      <c r="J40" s="16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6"/>
      <c r="B41" s="27" t="s">
        <v>67</v>
      </c>
      <c r="C41" s="10"/>
      <c r="D41" s="12">
        <f>C41*84</f>
        <v>0</v>
      </c>
      <c r="F41" s="12">
        <v>5</v>
      </c>
      <c r="G41" s="42"/>
      <c r="H41" s="158"/>
      <c r="I41" s="159"/>
      <c r="J41" s="16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7"/>
      <c r="B42" s="27" t="s">
        <v>69</v>
      </c>
      <c r="C42" s="11">
        <v>6</v>
      </c>
      <c r="D42" s="12">
        <f>C42*2.25</f>
        <v>13.5</v>
      </c>
      <c r="F42" s="39" t="s">
        <v>78</v>
      </c>
      <c r="G42" s="158">
        <v>295</v>
      </c>
      <c r="H42" s="159"/>
      <c r="I42" s="159"/>
      <c r="J42" s="16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8" t="s">
        <v>80</v>
      </c>
      <c r="C43" s="11"/>
      <c r="D43" s="12"/>
      <c r="F43" s="59" t="s">
        <v>81</v>
      </c>
      <c r="G43" s="93" t="s">
        <v>82</v>
      </c>
      <c r="H43" s="150" t="s">
        <v>13</v>
      </c>
      <c r="I43" s="151"/>
      <c r="J43" s="15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9"/>
      <c r="B44" s="27" t="s">
        <v>65</v>
      </c>
      <c r="C44" s="10"/>
      <c r="D44" s="12">
        <f>C44*120</f>
        <v>0</v>
      </c>
      <c r="F44" s="37"/>
      <c r="G44" s="62"/>
      <c r="H44" s="153"/>
      <c r="I44" s="153"/>
      <c r="J44" s="15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9"/>
      <c r="B45" s="27" t="s">
        <v>67</v>
      </c>
      <c r="C45" s="33"/>
      <c r="D45" s="12">
        <f>C45*84</f>
        <v>0</v>
      </c>
      <c r="F45" s="37"/>
      <c r="G45" s="62"/>
      <c r="H45" s="153"/>
      <c r="I45" s="153"/>
      <c r="J45" s="153"/>
      <c r="K45" s="21"/>
      <c r="P45" s="4"/>
      <c r="Q45" s="4"/>
      <c r="R45" s="5"/>
    </row>
    <row r="46" spans="1:18" ht="15.75" x14ac:dyDescent="0.25">
      <c r="A46" s="129"/>
      <c r="B46" s="49" t="s">
        <v>69</v>
      </c>
      <c r="C46" s="81"/>
      <c r="D46" s="12">
        <f>C46*1.5</f>
        <v>0</v>
      </c>
      <c r="F46" s="37"/>
      <c r="G46" s="94"/>
      <c r="H46" s="154"/>
      <c r="I46" s="154"/>
      <c r="J46" s="154"/>
      <c r="K46" s="21"/>
      <c r="P46" s="4"/>
      <c r="Q46" s="4"/>
      <c r="R46" s="5"/>
    </row>
    <row r="47" spans="1:18" ht="15.75" x14ac:dyDescent="0.25">
      <c r="A47" s="130"/>
      <c r="B47" s="27"/>
      <c r="C47" s="11"/>
      <c r="D47" s="12"/>
      <c r="F47" s="59"/>
      <c r="G47" s="59"/>
      <c r="H47" s="131"/>
      <c r="I47" s="132"/>
      <c r="J47" s="133"/>
      <c r="K47" s="21"/>
      <c r="P47" s="4"/>
      <c r="Q47" s="4"/>
      <c r="R47" s="5"/>
    </row>
    <row r="48" spans="1:18" ht="15" customHeight="1" x14ac:dyDescent="0.25">
      <c r="A48" s="128" t="s">
        <v>32</v>
      </c>
      <c r="B48" s="27" t="s">
        <v>65</v>
      </c>
      <c r="C48" s="10"/>
      <c r="D48" s="12">
        <f>C48*78</f>
        <v>0</v>
      </c>
      <c r="F48" s="59"/>
      <c r="G48" s="59"/>
      <c r="H48" s="131"/>
      <c r="I48" s="132"/>
      <c r="J48" s="13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9"/>
      <c r="B49" s="29" t="s">
        <v>67</v>
      </c>
      <c r="C49" s="33"/>
      <c r="D49" s="12">
        <f>C49*42</f>
        <v>0</v>
      </c>
      <c r="F49" s="134" t="s">
        <v>85</v>
      </c>
      <c r="G49" s="136">
        <f>H34+H35+H36+H37+H38+H39+H40+H41+G42+H44+H45+H46</f>
        <v>205795</v>
      </c>
      <c r="H49" s="137"/>
      <c r="I49" s="137"/>
      <c r="J49" s="13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9"/>
      <c r="B50" s="32" t="s">
        <v>69</v>
      </c>
      <c r="C50" s="11">
        <v>8</v>
      </c>
      <c r="D50" s="12">
        <f>C50*1.5</f>
        <v>12</v>
      </c>
      <c r="F50" s="135"/>
      <c r="G50" s="139"/>
      <c r="H50" s="140"/>
      <c r="I50" s="140"/>
      <c r="J50" s="141"/>
      <c r="O50" t="s">
        <v>114</v>
      </c>
      <c r="P50" s="4">
        <v>1204</v>
      </c>
      <c r="Q50" s="4"/>
      <c r="R50" s="5"/>
    </row>
    <row r="51" spans="1:18" ht="15" customHeight="1" x14ac:dyDescent="0.25">
      <c r="A51" s="129"/>
      <c r="B51" s="27"/>
      <c r="C51" s="10"/>
      <c r="D51" s="31"/>
      <c r="F51" s="142" t="s">
        <v>131</v>
      </c>
      <c r="G51" s="255">
        <f>G49-H29</f>
        <v>-3994.5</v>
      </c>
      <c r="H51" s="256"/>
      <c r="I51" s="256"/>
      <c r="J51" s="25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9"/>
      <c r="B52" s="29"/>
      <c r="C52" s="33"/>
      <c r="D52" s="45"/>
      <c r="F52" s="143"/>
      <c r="G52" s="258"/>
      <c r="H52" s="259"/>
      <c r="I52" s="259"/>
      <c r="J52" s="2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4" t="s">
        <v>89</v>
      </c>
      <c r="B54" s="115"/>
      <c r="C54" s="116"/>
      <c r="D54" s="120">
        <f>SUM(D34:D53)</f>
        <v>33151.5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7"/>
      <c r="B55" s="118"/>
      <c r="C55" s="119"/>
      <c r="D55" s="1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22" t="s">
        <v>90</v>
      </c>
      <c r="B58" s="123"/>
      <c r="C58" s="123"/>
      <c r="D58" s="124"/>
      <c r="F58" s="122" t="s">
        <v>91</v>
      </c>
      <c r="G58" s="123"/>
      <c r="H58" s="123"/>
      <c r="I58" s="123"/>
      <c r="J58" s="124"/>
    </row>
    <row r="59" spans="1:18" x14ac:dyDescent="0.25">
      <c r="A59" s="125"/>
      <c r="B59" s="126"/>
      <c r="C59" s="126"/>
      <c r="D59" s="127"/>
      <c r="F59" s="125"/>
      <c r="G59" s="126"/>
      <c r="H59" s="126"/>
      <c r="I59" s="126"/>
      <c r="J59" s="12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2FFC63-D1FB-444D-98D1-88FF8F70F8A5}">
  <dimension ref="A1:R59"/>
  <sheetViews>
    <sheetView tabSelected="1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0" t="s">
        <v>1</v>
      </c>
      <c r="O1" s="210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1" t="s">
        <v>7</v>
      </c>
      <c r="B4" s="162"/>
      <c r="C4" s="162"/>
      <c r="D4" s="163"/>
      <c r="F4" s="211" t="s">
        <v>8</v>
      </c>
      <c r="G4" s="213">
        <v>3</v>
      </c>
      <c r="H4" s="215" t="s">
        <v>9</v>
      </c>
      <c r="I4" s="217">
        <v>46149</v>
      </c>
      <c r="J4" s="21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5" t="s">
        <v>7</v>
      </c>
      <c r="B5" s="15" t="s">
        <v>11</v>
      </c>
      <c r="C5" s="9" t="s">
        <v>12</v>
      </c>
      <c r="D5" s="25" t="s">
        <v>13</v>
      </c>
      <c r="F5" s="212"/>
      <c r="G5" s="214"/>
      <c r="H5" s="216"/>
      <c r="I5" s="219"/>
      <c r="J5" s="22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6"/>
      <c r="B6" s="16" t="s">
        <v>15</v>
      </c>
      <c r="C6" s="10">
        <v>399</v>
      </c>
      <c r="D6" s="13">
        <f t="shared" ref="D6:D28" si="1">C6*L6</f>
        <v>303639</v>
      </c>
      <c r="F6" s="221" t="s">
        <v>16</v>
      </c>
      <c r="G6" s="223" t="s">
        <v>117</v>
      </c>
      <c r="H6" s="224"/>
      <c r="I6" s="224"/>
      <c r="J6" s="22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6"/>
      <c r="B7" s="16" t="s">
        <v>18</v>
      </c>
      <c r="C7" s="10">
        <v>42</v>
      </c>
      <c r="D7" s="13">
        <f t="shared" si="1"/>
        <v>32802</v>
      </c>
      <c r="F7" s="222"/>
      <c r="G7" s="226"/>
      <c r="H7" s="227"/>
      <c r="I7" s="227"/>
      <c r="J7" s="22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6"/>
      <c r="B8" s="16" t="s">
        <v>20</v>
      </c>
      <c r="C8" s="10"/>
      <c r="D8" s="13">
        <f t="shared" si="1"/>
        <v>0</v>
      </c>
      <c r="F8" s="229" t="s">
        <v>21</v>
      </c>
      <c r="G8" s="230" t="s">
        <v>110</v>
      </c>
      <c r="H8" s="231"/>
      <c r="I8" s="231"/>
      <c r="J8" s="23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6"/>
      <c r="B9" s="16" t="s">
        <v>23</v>
      </c>
      <c r="C9" s="10">
        <v>10</v>
      </c>
      <c r="D9" s="13">
        <f t="shared" si="1"/>
        <v>7330</v>
      </c>
      <c r="F9" s="222"/>
      <c r="G9" s="233"/>
      <c r="H9" s="234"/>
      <c r="I9" s="234"/>
      <c r="J9" s="23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6"/>
      <c r="B10" t="s">
        <v>25</v>
      </c>
      <c r="C10" s="10">
        <v>1</v>
      </c>
      <c r="D10" s="13">
        <f t="shared" si="1"/>
        <v>1032</v>
      </c>
      <c r="F10" s="221" t="s">
        <v>26</v>
      </c>
      <c r="G10" s="236" t="s">
        <v>124</v>
      </c>
      <c r="H10" s="237"/>
      <c r="I10" s="237"/>
      <c r="J10" s="238"/>
      <c r="K10" s="8"/>
      <c r="L10" s="6">
        <f>R36</f>
        <v>1032</v>
      </c>
      <c r="P10" s="4"/>
      <c r="Q10" s="4"/>
      <c r="R10" s="5"/>
    </row>
    <row r="11" spans="1:18" ht="15.75" x14ac:dyDescent="0.25">
      <c r="A11" s="156"/>
      <c r="B11" s="17" t="s">
        <v>28</v>
      </c>
      <c r="C11" s="10"/>
      <c r="D11" s="13">
        <f t="shared" si="1"/>
        <v>0</v>
      </c>
      <c r="F11" s="222"/>
      <c r="G11" s="233"/>
      <c r="H11" s="234"/>
      <c r="I11" s="234"/>
      <c r="J11" s="23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6"/>
      <c r="B12" s="17" t="s">
        <v>30</v>
      </c>
      <c r="C12" s="10"/>
      <c r="D12" s="48">
        <f t="shared" si="1"/>
        <v>0</v>
      </c>
      <c r="F12" s="239" t="s">
        <v>33</v>
      </c>
      <c r="G12" s="240"/>
      <c r="H12" s="240"/>
      <c r="I12" s="240"/>
      <c r="J12" s="24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6"/>
      <c r="B13" s="17" t="s">
        <v>32</v>
      </c>
      <c r="C13" s="10">
        <v>17</v>
      </c>
      <c r="D13" s="48">
        <f t="shared" si="1"/>
        <v>5219</v>
      </c>
      <c r="F13" s="242" t="s">
        <v>36</v>
      </c>
      <c r="G13" s="206"/>
      <c r="H13" s="197">
        <f>D29</f>
        <v>355053</v>
      </c>
      <c r="I13" s="198"/>
      <c r="J13" s="19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6"/>
      <c r="B14" s="14" t="s">
        <v>35</v>
      </c>
      <c r="C14" s="10">
        <v>19</v>
      </c>
      <c r="D14" s="31">
        <f t="shared" si="1"/>
        <v>209</v>
      </c>
      <c r="F14" s="200" t="s">
        <v>38</v>
      </c>
      <c r="G14" s="201"/>
      <c r="H14" s="202">
        <f>D54</f>
        <v>51516.75</v>
      </c>
      <c r="I14" s="203"/>
      <c r="J14" s="20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6"/>
      <c r="B15" s="14" t="s">
        <v>122</v>
      </c>
      <c r="C15" s="10">
        <f>3+3</f>
        <v>6</v>
      </c>
      <c r="D15" s="31">
        <f t="shared" si="1"/>
        <v>3720</v>
      </c>
      <c r="F15" s="205" t="s">
        <v>39</v>
      </c>
      <c r="G15" s="206"/>
      <c r="H15" s="207">
        <f>H13-H14</f>
        <v>303536.25</v>
      </c>
      <c r="I15" s="208"/>
      <c r="J15" s="20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6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67">
        <f>1044+648+336</f>
        <v>2028</v>
      </c>
      <c r="I16" s="167"/>
      <c r="J16" s="16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6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78"/>
      <c r="I17" s="178"/>
      <c r="J17" s="17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6"/>
      <c r="B18" s="86" t="s">
        <v>125</v>
      </c>
      <c r="C18" s="10">
        <f>1</f>
        <v>1</v>
      </c>
      <c r="D18" s="48">
        <f t="shared" si="1"/>
        <v>1102</v>
      </c>
      <c r="F18" s="56"/>
      <c r="G18" s="66" t="s">
        <v>46</v>
      </c>
      <c r="H18" s="178"/>
      <c r="I18" s="178"/>
      <c r="J18" s="17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6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62"/>
      <c r="I19" s="262"/>
      <c r="J19" s="26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6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67"/>
      <c r="I20" s="167"/>
      <c r="J20" s="16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6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0" t="s">
        <v>13</v>
      </c>
      <c r="I21" s="181"/>
      <c r="J21" s="18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6"/>
      <c r="B22" s="46" t="s">
        <v>103</v>
      </c>
      <c r="C22" s="10"/>
      <c r="D22" s="48">
        <f t="shared" si="1"/>
        <v>0</v>
      </c>
      <c r="F22" s="77"/>
      <c r="G22" s="73"/>
      <c r="H22" s="183"/>
      <c r="I22" s="183"/>
      <c r="J22" s="18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6"/>
      <c r="B23" s="14" t="s">
        <v>121</v>
      </c>
      <c r="C23" s="10"/>
      <c r="D23" s="48">
        <f t="shared" si="1"/>
        <v>0</v>
      </c>
      <c r="F23" s="78"/>
      <c r="G23" s="79"/>
      <c r="H23" s="184"/>
      <c r="I23" s="153"/>
      <c r="J23" s="15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6"/>
      <c r="B24" s="14" t="s">
        <v>128</v>
      </c>
      <c r="C24" s="10"/>
      <c r="D24" s="48">
        <f t="shared" si="1"/>
        <v>0</v>
      </c>
      <c r="F24" s="38"/>
      <c r="G24" s="37"/>
      <c r="H24" s="184"/>
      <c r="I24" s="153"/>
      <c r="J24" s="15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5" t="s">
        <v>13</v>
      </c>
      <c r="I25" s="186"/>
      <c r="J25" s="18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6"/>
      <c r="B26" s="14" t="s">
        <v>129</v>
      </c>
      <c r="C26" s="10"/>
      <c r="D26" s="48">
        <f t="shared" si="1"/>
        <v>0</v>
      </c>
      <c r="F26" s="64"/>
      <c r="G26" s="59"/>
      <c r="H26" s="188"/>
      <c r="I26" s="189"/>
      <c r="J26" s="19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6"/>
      <c r="B27" s="14" t="s">
        <v>130</v>
      </c>
      <c r="C27" s="10"/>
      <c r="D27" s="44">
        <f t="shared" si="1"/>
        <v>0</v>
      </c>
      <c r="F27" s="25"/>
      <c r="G27" s="80"/>
      <c r="H27" s="191"/>
      <c r="I27" s="192"/>
      <c r="J27" s="19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7"/>
      <c r="B28" s="46" t="s">
        <v>92</v>
      </c>
      <c r="C28" s="10"/>
      <c r="D28" s="48">
        <f t="shared" si="1"/>
        <v>0</v>
      </c>
      <c r="F28" s="96"/>
      <c r="G28" s="61"/>
      <c r="H28" s="194"/>
      <c r="I28" s="195"/>
      <c r="J28" s="19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8" t="s">
        <v>36</v>
      </c>
      <c r="B29" s="169"/>
      <c r="C29" s="170"/>
      <c r="D29" s="174">
        <f>SUM(D6:D28)</f>
        <v>355053</v>
      </c>
      <c r="F29" s="114" t="s">
        <v>54</v>
      </c>
      <c r="G29" s="176"/>
      <c r="H29" s="136">
        <f>H15-H16-H17-H18-H19-H20-H22-H23-H24+H26+H27</f>
        <v>301508.25</v>
      </c>
      <c r="I29" s="137"/>
      <c r="J29" s="13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1"/>
      <c r="B30" s="172"/>
      <c r="C30" s="173"/>
      <c r="D30" s="175"/>
      <c r="F30" s="117"/>
      <c r="G30" s="177"/>
      <c r="H30" s="139"/>
      <c r="I30" s="140"/>
      <c r="J30" s="141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1" t="s">
        <v>57</v>
      </c>
      <c r="B32" s="162"/>
      <c r="C32" s="162"/>
      <c r="D32" s="163"/>
      <c r="F32" s="164" t="s">
        <v>58</v>
      </c>
      <c r="G32" s="165"/>
      <c r="H32" s="165"/>
      <c r="I32" s="165"/>
      <c r="J32" s="16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164" t="s">
        <v>13</v>
      </c>
      <c r="I33" s="165"/>
      <c r="J33" s="16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5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4">
        <v>90</v>
      </c>
      <c r="H34" s="158">
        <f>F34*G34</f>
        <v>90000</v>
      </c>
      <c r="I34" s="159"/>
      <c r="J34" s="16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6"/>
      <c r="B35" s="27" t="s">
        <v>67</v>
      </c>
      <c r="C35" s="52"/>
      <c r="D35" s="30">
        <f>C35*84</f>
        <v>0</v>
      </c>
      <c r="F35" s="58">
        <v>500</v>
      </c>
      <c r="G35" s="41">
        <v>38</v>
      </c>
      <c r="H35" s="158">
        <f>F35*G35</f>
        <v>19000</v>
      </c>
      <c r="I35" s="159"/>
      <c r="J35" s="16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7"/>
      <c r="B36" s="26" t="s">
        <v>69</v>
      </c>
      <c r="C36" s="10"/>
      <c r="D36" s="12">
        <f>C36*1.5</f>
        <v>0</v>
      </c>
      <c r="F36" s="12">
        <v>200</v>
      </c>
      <c r="G36" s="37"/>
      <c r="H36" s="158">
        <f t="shared" ref="H36:H39" si="2">F36*G36</f>
        <v>0</v>
      </c>
      <c r="I36" s="159"/>
      <c r="J36" s="16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5" t="s">
        <v>71</v>
      </c>
      <c r="B37" s="28" t="s">
        <v>65</v>
      </c>
      <c r="C37" s="53">
        <v>366</v>
      </c>
      <c r="D37" s="12">
        <f>C37*111</f>
        <v>40626</v>
      </c>
      <c r="F37" s="12">
        <v>100</v>
      </c>
      <c r="G37" s="39">
        <v>49</v>
      </c>
      <c r="H37" s="158">
        <f t="shared" si="2"/>
        <v>4900</v>
      </c>
      <c r="I37" s="159"/>
      <c r="J37" s="16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6"/>
      <c r="B38" s="29" t="s">
        <v>67</v>
      </c>
      <c r="C38" s="54">
        <v>23</v>
      </c>
      <c r="D38" s="12">
        <f>C38*84</f>
        <v>1932</v>
      </c>
      <c r="F38" s="30">
        <v>50</v>
      </c>
      <c r="G38" s="39">
        <v>7</v>
      </c>
      <c r="H38" s="158">
        <f t="shared" si="2"/>
        <v>350</v>
      </c>
      <c r="I38" s="159"/>
      <c r="J38" s="16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7"/>
      <c r="B39" s="29" t="s">
        <v>69</v>
      </c>
      <c r="C39" s="52">
        <v>6</v>
      </c>
      <c r="D39" s="31">
        <f>C39*4.5</f>
        <v>27</v>
      </c>
      <c r="F39" s="12">
        <v>20</v>
      </c>
      <c r="G39" s="37"/>
      <c r="H39" s="158">
        <f t="shared" si="2"/>
        <v>0</v>
      </c>
      <c r="I39" s="159"/>
      <c r="J39" s="16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5" t="s">
        <v>75</v>
      </c>
      <c r="B40" s="27" t="s">
        <v>65</v>
      </c>
      <c r="C40" s="63">
        <v>51</v>
      </c>
      <c r="D40" s="12">
        <f>C40*111</f>
        <v>5661</v>
      </c>
      <c r="F40" s="12">
        <v>10</v>
      </c>
      <c r="G40" s="42"/>
      <c r="H40" s="158"/>
      <c r="I40" s="159"/>
      <c r="J40" s="16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6"/>
      <c r="B41" s="27" t="s">
        <v>67</v>
      </c>
      <c r="C41" s="10">
        <v>7</v>
      </c>
      <c r="D41" s="12">
        <f>C41*84</f>
        <v>588</v>
      </c>
      <c r="F41" s="12">
        <v>5</v>
      </c>
      <c r="G41" s="42"/>
      <c r="H41" s="158"/>
      <c r="I41" s="159"/>
      <c r="J41" s="16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7"/>
      <c r="B42" s="27" t="s">
        <v>69</v>
      </c>
      <c r="C42" s="11">
        <v>5</v>
      </c>
      <c r="D42" s="12">
        <f>C42*2.25</f>
        <v>11.25</v>
      </c>
      <c r="F42" s="39" t="s">
        <v>78</v>
      </c>
      <c r="G42" s="158">
        <v>28</v>
      </c>
      <c r="H42" s="159"/>
      <c r="I42" s="159"/>
      <c r="J42" s="16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8" t="s">
        <v>80</v>
      </c>
      <c r="C43" s="11"/>
      <c r="D43" s="12"/>
      <c r="F43" s="59" t="s">
        <v>81</v>
      </c>
      <c r="G43" s="93" t="s">
        <v>82</v>
      </c>
      <c r="H43" s="150" t="s">
        <v>13</v>
      </c>
      <c r="I43" s="151"/>
      <c r="J43" s="15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9"/>
      <c r="B44" s="27" t="s">
        <v>65</v>
      </c>
      <c r="C44" s="10">
        <v>7</v>
      </c>
      <c r="D44" s="12">
        <f>C44*120</f>
        <v>840</v>
      </c>
      <c r="F44" s="37" t="s">
        <v>136</v>
      </c>
      <c r="G44" s="263" t="s">
        <v>157</v>
      </c>
      <c r="H44" s="153">
        <v>116753</v>
      </c>
      <c r="I44" s="153"/>
      <c r="J44" s="15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9"/>
      <c r="B45" s="27" t="s">
        <v>67</v>
      </c>
      <c r="C45" s="33"/>
      <c r="D45" s="12">
        <f>C45*84</f>
        <v>0</v>
      </c>
      <c r="F45" s="37" t="s">
        <v>136</v>
      </c>
      <c r="G45" s="263" t="s">
        <v>156</v>
      </c>
      <c r="H45" s="153">
        <v>70468</v>
      </c>
      <c r="I45" s="153"/>
      <c r="J45" s="153"/>
      <c r="K45" s="21"/>
      <c r="P45" s="4"/>
      <c r="Q45" s="4"/>
      <c r="R45" s="5"/>
    </row>
    <row r="46" spans="1:18" ht="15.75" x14ac:dyDescent="0.25">
      <c r="A46" s="129"/>
      <c r="B46" s="49" t="s">
        <v>69</v>
      </c>
      <c r="C46" s="81">
        <v>9</v>
      </c>
      <c r="D46" s="12">
        <f>C46*1.5</f>
        <v>13.5</v>
      </c>
      <c r="F46" s="37"/>
      <c r="G46" s="62"/>
      <c r="H46" s="154"/>
      <c r="I46" s="154"/>
      <c r="J46" s="154"/>
      <c r="K46" s="21"/>
      <c r="P46" s="4"/>
      <c r="Q46" s="4"/>
      <c r="R46" s="5"/>
    </row>
    <row r="47" spans="1:18" ht="15.75" x14ac:dyDescent="0.25">
      <c r="A47" s="130"/>
      <c r="B47" s="27"/>
      <c r="C47" s="11"/>
      <c r="D47" s="12"/>
      <c r="F47" s="59"/>
      <c r="G47" s="59"/>
      <c r="H47" s="131"/>
      <c r="I47" s="132"/>
      <c r="J47" s="133"/>
      <c r="K47" s="21"/>
      <c r="P47" s="4"/>
      <c r="Q47" s="4"/>
      <c r="R47" s="5"/>
    </row>
    <row r="48" spans="1:18" ht="15" customHeight="1" x14ac:dyDescent="0.25">
      <c r="A48" s="128" t="s">
        <v>32</v>
      </c>
      <c r="B48" s="27" t="s">
        <v>65</v>
      </c>
      <c r="C48" s="10">
        <v>21</v>
      </c>
      <c r="D48" s="12">
        <f>C48*78</f>
        <v>1638</v>
      </c>
      <c r="F48" s="59"/>
      <c r="G48" s="59"/>
      <c r="H48" s="131"/>
      <c r="I48" s="132"/>
      <c r="J48" s="13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9"/>
      <c r="B49" s="29" t="s">
        <v>67</v>
      </c>
      <c r="C49" s="33">
        <v>1</v>
      </c>
      <c r="D49" s="12">
        <f>C49*42</f>
        <v>42</v>
      </c>
      <c r="F49" s="134" t="s">
        <v>85</v>
      </c>
      <c r="G49" s="136">
        <f>H34+H35+H36+H37+H38+H39+H40+H41+G42+H44+H45+H46</f>
        <v>301499</v>
      </c>
      <c r="H49" s="137"/>
      <c r="I49" s="137"/>
      <c r="J49" s="13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9"/>
      <c r="B50" s="32" t="s">
        <v>69</v>
      </c>
      <c r="C50" s="11">
        <v>12</v>
      </c>
      <c r="D50" s="12">
        <f>C50*1.5</f>
        <v>18</v>
      </c>
      <c r="F50" s="135"/>
      <c r="G50" s="139"/>
      <c r="H50" s="140"/>
      <c r="I50" s="140"/>
      <c r="J50" s="141"/>
      <c r="O50" t="s">
        <v>114</v>
      </c>
      <c r="P50" s="4">
        <v>1204</v>
      </c>
      <c r="Q50" s="4"/>
      <c r="R50" s="5"/>
    </row>
    <row r="51" spans="1:18" ht="15" customHeight="1" x14ac:dyDescent="0.25">
      <c r="A51" s="129"/>
      <c r="B51" s="27"/>
      <c r="C51" s="10"/>
      <c r="D51" s="31"/>
      <c r="F51" s="142" t="s">
        <v>109</v>
      </c>
      <c r="G51" s="255">
        <f>G49-H29</f>
        <v>-9.25</v>
      </c>
      <c r="H51" s="256"/>
      <c r="I51" s="256"/>
      <c r="J51" s="25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9"/>
      <c r="B52" s="29"/>
      <c r="C52" s="33"/>
      <c r="D52" s="45"/>
      <c r="F52" s="143"/>
      <c r="G52" s="258"/>
      <c r="H52" s="259"/>
      <c r="I52" s="259"/>
      <c r="J52" s="2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4" t="s">
        <v>89</v>
      </c>
      <c r="B54" s="115"/>
      <c r="C54" s="116"/>
      <c r="D54" s="120">
        <f>SUM(D34:D53)</f>
        <v>51516.75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7"/>
      <c r="B55" s="118"/>
      <c r="C55" s="119"/>
      <c r="D55" s="1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2" t="s">
        <v>90</v>
      </c>
      <c r="B58" s="123"/>
      <c r="C58" s="123"/>
      <c r="D58" s="124"/>
      <c r="F58" s="122" t="s">
        <v>91</v>
      </c>
      <c r="G58" s="123"/>
      <c r="H58" s="123"/>
      <c r="I58" s="123"/>
      <c r="J58" s="124"/>
    </row>
    <row r="59" spans="1:18" x14ac:dyDescent="0.25">
      <c r="A59" s="125"/>
      <c r="B59" s="126"/>
      <c r="C59" s="126"/>
      <c r="D59" s="127"/>
      <c r="F59" s="125"/>
      <c r="G59" s="126"/>
      <c r="H59" s="126"/>
      <c r="I59" s="126"/>
      <c r="J59" s="12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95203A-7A06-42A1-AB52-579A0D196CCE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0" t="s">
        <v>1</v>
      </c>
      <c r="O1" s="210"/>
      <c r="P1" s="95" t="s">
        <v>2</v>
      </c>
      <c r="Q1" s="9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1" t="s">
        <v>7</v>
      </c>
      <c r="B4" s="162"/>
      <c r="C4" s="162"/>
      <c r="D4" s="163"/>
      <c r="F4" s="211" t="s">
        <v>8</v>
      </c>
      <c r="G4" s="213"/>
      <c r="H4" s="215" t="s">
        <v>9</v>
      </c>
      <c r="I4" s="217"/>
      <c r="J4" s="21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5" t="s">
        <v>7</v>
      </c>
      <c r="B5" s="15" t="s">
        <v>11</v>
      </c>
      <c r="C5" s="9" t="s">
        <v>12</v>
      </c>
      <c r="D5" s="25" t="s">
        <v>13</v>
      </c>
      <c r="F5" s="212"/>
      <c r="G5" s="214"/>
      <c r="H5" s="216"/>
      <c r="I5" s="219"/>
      <c r="J5" s="22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6"/>
      <c r="B6" s="16"/>
      <c r="C6" s="10"/>
      <c r="D6" s="13">
        <f t="shared" ref="D6:D28" si="1">C6*L6</f>
        <v>0</v>
      </c>
      <c r="F6" s="221" t="s">
        <v>16</v>
      </c>
      <c r="G6" s="223"/>
      <c r="H6" s="224"/>
      <c r="I6" s="224"/>
      <c r="J6" s="22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6"/>
      <c r="B7" s="16"/>
      <c r="C7" s="10"/>
      <c r="D7" s="13">
        <f t="shared" si="1"/>
        <v>0</v>
      </c>
      <c r="F7" s="222"/>
      <c r="G7" s="226"/>
      <c r="H7" s="227"/>
      <c r="I7" s="227"/>
      <c r="J7" s="22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6"/>
      <c r="B8" s="16"/>
      <c r="C8" s="10"/>
      <c r="D8" s="13">
        <f t="shared" si="1"/>
        <v>0</v>
      </c>
      <c r="F8" s="229" t="s">
        <v>21</v>
      </c>
      <c r="G8" s="230"/>
      <c r="H8" s="231"/>
      <c r="I8" s="231"/>
      <c r="J8" s="23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6"/>
      <c r="B9" s="16"/>
      <c r="C9" s="10"/>
      <c r="D9" s="13">
        <f t="shared" si="1"/>
        <v>0</v>
      </c>
      <c r="F9" s="222"/>
      <c r="G9" s="233"/>
      <c r="H9" s="234"/>
      <c r="I9" s="234"/>
      <c r="J9" s="23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6"/>
      <c r="C10" s="10"/>
      <c r="D10" s="13">
        <f t="shared" si="1"/>
        <v>0</v>
      </c>
      <c r="F10" s="221" t="s">
        <v>26</v>
      </c>
      <c r="G10" s="236"/>
      <c r="H10" s="237"/>
      <c r="I10" s="237"/>
      <c r="J10" s="238"/>
      <c r="K10" s="8"/>
      <c r="L10" s="6">
        <f>R36</f>
        <v>972</v>
      </c>
      <c r="P10" s="4"/>
      <c r="Q10" s="4"/>
      <c r="R10" s="5"/>
    </row>
    <row r="11" spans="1:19" ht="15.75" x14ac:dyDescent="0.25">
      <c r="A11" s="156"/>
      <c r="B11" s="17"/>
      <c r="C11" s="10"/>
      <c r="D11" s="13">
        <f t="shared" si="1"/>
        <v>0</v>
      </c>
      <c r="F11" s="222"/>
      <c r="G11" s="233"/>
      <c r="H11" s="234"/>
      <c r="I11" s="234"/>
      <c r="J11" s="23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6"/>
      <c r="B12" s="17"/>
      <c r="C12" s="10"/>
      <c r="D12" s="48">
        <f t="shared" si="1"/>
        <v>0</v>
      </c>
      <c r="F12" s="239" t="s">
        <v>33</v>
      </c>
      <c r="G12" s="240"/>
      <c r="H12" s="240"/>
      <c r="I12" s="240"/>
      <c r="J12" s="24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6"/>
      <c r="B13" s="17"/>
      <c r="C13" s="10"/>
      <c r="D13" s="48">
        <f t="shared" si="1"/>
        <v>0</v>
      </c>
      <c r="F13" s="242" t="s">
        <v>36</v>
      </c>
      <c r="G13" s="206"/>
      <c r="H13" s="197">
        <f>D29</f>
        <v>0</v>
      </c>
      <c r="I13" s="198"/>
      <c r="J13" s="19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6"/>
      <c r="B14" s="14"/>
      <c r="C14" s="10"/>
      <c r="D14" s="31">
        <f t="shared" si="1"/>
        <v>0</v>
      </c>
      <c r="F14" s="200" t="s">
        <v>38</v>
      </c>
      <c r="G14" s="201"/>
      <c r="H14" s="202">
        <f>D54</f>
        <v>0</v>
      </c>
      <c r="I14" s="203"/>
      <c r="J14" s="20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6"/>
      <c r="B15" s="14"/>
      <c r="C15" s="10"/>
      <c r="D15" s="31">
        <f t="shared" si="1"/>
        <v>0</v>
      </c>
      <c r="F15" s="205" t="s">
        <v>39</v>
      </c>
      <c r="G15" s="206"/>
      <c r="H15" s="207">
        <f>H13-H14</f>
        <v>0</v>
      </c>
      <c r="I15" s="208"/>
      <c r="J15" s="20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6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7"/>
      <c r="I16" s="167"/>
      <c r="J16" s="16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6"/>
      <c r="C17" s="10"/>
      <c r="D17" s="48">
        <f t="shared" si="1"/>
        <v>0</v>
      </c>
      <c r="F17" s="56"/>
      <c r="G17" s="66" t="s">
        <v>44</v>
      </c>
      <c r="H17" s="178"/>
      <c r="I17" s="178"/>
      <c r="J17" s="17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6"/>
      <c r="B18" s="19"/>
      <c r="C18" s="10"/>
      <c r="D18" s="48">
        <f t="shared" si="1"/>
        <v>0</v>
      </c>
      <c r="F18" s="56"/>
      <c r="G18" s="66" t="s">
        <v>46</v>
      </c>
      <c r="H18" s="178"/>
      <c r="I18" s="178"/>
      <c r="J18" s="17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6"/>
      <c r="B19" s="14"/>
      <c r="C19" s="10"/>
      <c r="D19" s="48">
        <f t="shared" si="1"/>
        <v>0</v>
      </c>
      <c r="F19" s="56"/>
      <c r="G19" s="68" t="s">
        <v>49</v>
      </c>
      <c r="H19" s="179"/>
      <c r="I19" s="179"/>
      <c r="J19" s="17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6"/>
      <c r="B20" s="46"/>
      <c r="C20" s="10"/>
      <c r="D20" s="13">
        <f t="shared" si="1"/>
        <v>0</v>
      </c>
      <c r="F20" s="57"/>
      <c r="G20" s="70" t="s">
        <v>102</v>
      </c>
      <c r="H20" s="167"/>
      <c r="I20" s="167"/>
      <c r="J20" s="167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6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80" t="s">
        <v>13</v>
      </c>
      <c r="I21" s="181"/>
      <c r="J21" s="182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6"/>
      <c r="B22" s="46"/>
      <c r="C22" s="10"/>
      <c r="D22" s="48">
        <f t="shared" si="1"/>
        <v>0</v>
      </c>
      <c r="F22" s="77"/>
      <c r="G22" s="73"/>
      <c r="H22" s="183"/>
      <c r="I22" s="183"/>
      <c r="J22" s="183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6"/>
      <c r="B23" s="14"/>
      <c r="C23" s="10"/>
      <c r="D23" s="48">
        <f t="shared" si="1"/>
        <v>0</v>
      </c>
      <c r="F23" s="78"/>
      <c r="G23" s="79"/>
      <c r="H23" s="184"/>
      <c r="I23" s="153"/>
      <c r="J23" s="153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6"/>
      <c r="B24" s="14"/>
      <c r="C24" s="10"/>
      <c r="D24" s="48">
        <f t="shared" si="1"/>
        <v>0</v>
      </c>
      <c r="F24" s="38"/>
      <c r="G24" s="37"/>
      <c r="H24" s="184"/>
      <c r="I24" s="153"/>
      <c r="J24" s="153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6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5" t="s">
        <v>13</v>
      </c>
      <c r="I25" s="186"/>
      <c r="J25" s="187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6"/>
      <c r="B26" s="14"/>
      <c r="C26" s="10"/>
      <c r="D26" s="48">
        <f t="shared" si="1"/>
        <v>0</v>
      </c>
      <c r="F26" s="64"/>
      <c r="G26" s="59"/>
      <c r="H26" s="188"/>
      <c r="I26" s="189"/>
      <c r="J26" s="190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6"/>
      <c r="B27" s="14"/>
      <c r="C27" s="10"/>
      <c r="D27" s="44">
        <f t="shared" si="1"/>
        <v>0</v>
      </c>
      <c r="F27" s="25"/>
      <c r="G27" s="80"/>
      <c r="H27" s="191"/>
      <c r="I27" s="192"/>
      <c r="J27" s="193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7"/>
      <c r="B28" s="46"/>
      <c r="C28" s="10"/>
      <c r="D28" s="48">
        <f t="shared" si="1"/>
        <v>0</v>
      </c>
      <c r="F28" s="96"/>
      <c r="G28" s="61"/>
      <c r="H28" s="194"/>
      <c r="I28" s="195"/>
      <c r="J28" s="196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8" t="s">
        <v>36</v>
      </c>
      <c r="B29" s="169"/>
      <c r="C29" s="170"/>
      <c r="D29" s="174">
        <f>SUM(D6:D28)</f>
        <v>0</v>
      </c>
      <c r="F29" s="114" t="s">
        <v>54</v>
      </c>
      <c r="G29" s="176"/>
      <c r="H29" s="136">
        <f>H15-H16-H17-H18-H19-H20-H22-H23-H24+H26+H27</f>
        <v>0</v>
      </c>
      <c r="I29" s="137"/>
      <c r="J29" s="13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1"/>
      <c r="B30" s="172"/>
      <c r="C30" s="173"/>
      <c r="D30" s="175"/>
      <c r="F30" s="117"/>
      <c r="G30" s="177"/>
      <c r="H30" s="139"/>
      <c r="I30" s="140"/>
      <c r="J30" s="14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1" t="s">
        <v>57</v>
      </c>
      <c r="B32" s="162"/>
      <c r="C32" s="162"/>
      <c r="D32" s="163"/>
      <c r="F32" s="164" t="s">
        <v>58</v>
      </c>
      <c r="G32" s="165"/>
      <c r="H32" s="165"/>
      <c r="I32" s="165"/>
      <c r="J32" s="166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164" t="s">
        <v>13</v>
      </c>
      <c r="I33" s="165"/>
      <c r="J33" s="16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5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58"/>
      <c r="I34" s="159"/>
      <c r="J34" s="160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6"/>
      <c r="B35" s="27" t="s">
        <v>67</v>
      </c>
      <c r="C35" s="52"/>
      <c r="D35" s="30">
        <f>C35*84</f>
        <v>0</v>
      </c>
      <c r="F35" s="58">
        <v>500</v>
      </c>
      <c r="G35" s="41"/>
      <c r="H35" s="158"/>
      <c r="I35" s="159"/>
      <c r="J35" s="16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7"/>
      <c r="B36" s="26" t="s">
        <v>69</v>
      </c>
      <c r="C36" s="10"/>
      <c r="D36" s="12">
        <f>C36*1.5</f>
        <v>0</v>
      </c>
      <c r="F36" s="12">
        <v>200</v>
      </c>
      <c r="G36" s="37"/>
      <c r="H36" s="158"/>
      <c r="I36" s="159"/>
      <c r="J36" s="160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8"/>
      <c r="I37" s="159"/>
      <c r="J37" s="160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6"/>
      <c r="B38" s="29" t="s">
        <v>67</v>
      </c>
      <c r="C38" s="54"/>
      <c r="D38" s="12">
        <f>C38*84</f>
        <v>0</v>
      </c>
      <c r="F38" s="30">
        <v>50</v>
      </c>
      <c r="G38" s="39"/>
      <c r="H38" s="158"/>
      <c r="I38" s="159"/>
      <c r="J38" s="160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7"/>
      <c r="B39" s="29" t="s">
        <v>69</v>
      </c>
      <c r="C39" s="52"/>
      <c r="D39" s="31">
        <f>C39*4.5</f>
        <v>0</v>
      </c>
      <c r="F39" s="12">
        <v>20</v>
      </c>
      <c r="G39" s="37"/>
      <c r="H39" s="158"/>
      <c r="I39" s="159"/>
      <c r="J39" s="16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8"/>
      <c r="I40" s="159"/>
      <c r="J40" s="160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6"/>
      <c r="B41" s="27" t="s">
        <v>67</v>
      </c>
      <c r="C41" s="10"/>
      <c r="D41" s="12">
        <f>C41*84</f>
        <v>0</v>
      </c>
      <c r="F41" s="12">
        <v>5</v>
      </c>
      <c r="G41" s="42"/>
      <c r="H41" s="158"/>
      <c r="I41" s="159"/>
      <c r="J41" s="160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7"/>
      <c r="B42" s="27" t="s">
        <v>69</v>
      </c>
      <c r="C42" s="11"/>
      <c r="D42" s="12">
        <f>C42*2.25</f>
        <v>0</v>
      </c>
      <c r="F42" s="39" t="s">
        <v>78</v>
      </c>
      <c r="G42" s="158"/>
      <c r="H42" s="159"/>
      <c r="I42" s="159"/>
      <c r="J42" s="160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8" t="s">
        <v>80</v>
      </c>
      <c r="C43" s="11"/>
      <c r="D43" s="12"/>
      <c r="F43" s="59" t="s">
        <v>81</v>
      </c>
      <c r="G43" s="93" t="s">
        <v>82</v>
      </c>
      <c r="H43" s="150" t="s">
        <v>13</v>
      </c>
      <c r="I43" s="151"/>
      <c r="J43" s="152"/>
      <c r="K43" s="21"/>
      <c r="P43" s="4"/>
      <c r="Q43" s="4"/>
      <c r="R43" s="5"/>
    </row>
    <row r="44" spans="1:18" ht="15.75" x14ac:dyDescent="0.25">
      <c r="A44" s="129"/>
      <c r="B44" s="27" t="s">
        <v>65</v>
      </c>
      <c r="C44" s="10"/>
      <c r="D44" s="12">
        <f>C44*120</f>
        <v>0</v>
      </c>
      <c r="F44" s="37"/>
      <c r="G44" s="76"/>
      <c r="H44" s="153"/>
      <c r="I44" s="153"/>
      <c r="J44" s="153"/>
      <c r="K44" s="21"/>
      <c r="P44" s="4"/>
      <c r="Q44" s="4"/>
      <c r="R44" s="5"/>
    </row>
    <row r="45" spans="1:18" ht="15.75" x14ac:dyDescent="0.25">
      <c r="A45" s="129"/>
      <c r="B45" s="27" t="s">
        <v>67</v>
      </c>
      <c r="C45" s="33"/>
      <c r="D45" s="12">
        <f>C45*84</f>
        <v>0</v>
      </c>
      <c r="F45" s="37"/>
      <c r="G45" s="76"/>
      <c r="H45" s="153"/>
      <c r="I45" s="153"/>
      <c r="J45" s="153"/>
      <c r="K45" s="21"/>
      <c r="P45" s="4"/>
      <c r="Q45" s="4"/>
      <c r="R45" s="5"/>
    </row>
    <row r="46" spans="1:18" ht="15.75" x14ac:dyDescent="0.25">
      <c r="A46" s="129"/>
      <c r="B46" s="49" t="s">
        <v>69</v>
      </c>
      <c r="C46" s="81"/>
      <c r="D46" s="12">
        <f>C46*1.5</f>
        <v>0</v>
      </c>
      <c r="F46" s="37"/>
      <c r="G46" s="62"/>
      <c r="H46" s="154"/>
      <c r="I46" s="154"/>
      <c r="J46" s="154"/>
      <c r="K46" s="21"/>
      <c r="P46" s="4"/>
      <c r="Q46" s="4"/>
      <c r="R46" s="5"/>
    </row>
    <row r="47" spans="1:18" ht="15.75" x14ac:dyDescent="0.25">
      <c r="A47" s="130"/>
      <c r="B47" s="27"/>
      <c r="C47" s="11"/>
      <c r="D47" s="12"/>
      <c r="F47" s="59"/>
      <c r="G47" s="59"/>
      <c r="H47" s="131"/>
      <c r="I47" s="132"/>
      <c r="J47" s="133"/>
      <c r="K47" s="21"/>
      <c r="P47" s="4"/>
      <c r="Q47" s="4"/>
      <c r="R47" s="5"/>
    </row>
    <row r="48" spans="1:18" ht="15" customHeight="1" x14ac:dyDescent="0.25">
      <c r="A48" s="128" t="s">
        <v>32</v>
      </c>
      <c r="B48" s="27" t="s">
        <v>65</v>
      </c>
      <c r="C48" s="10"/>
      <c r="D48" s="12">
        <f>C48*78</f>
        <v>0</v>
      </c>
      <c r="F48" s="59"/>
      <c r="G48" s="59"/>
      <c r="H48" s="131"/>
      <c r="I48" s="132"/>
      <c r="J48" s="13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9"/>
      <c r="B49" s="29" t="s">
        <v>67</v>
      </c>
      <c r="C49" s="33"/>
      <c r="D49" s="12">
        <f>C49*42</f>
        <v>0</v>
      </c>
      <c r="F49" s="134" t="s">
        <v>85</v>
      </c>
      <c r="G49" s="136">
        <f>H34+H35+H36+H37+H38+H39+H40+H41+G42+H44+H45+H46</f>
        <v>0</v>
      </c>
      <c r="H49" s="137"/>
      <c r="I49" s="137"/>
      <c r="J49" s="13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9"/>
      <c r="B50" s="32" t="s">
        <v>69</v>
      </c>
      <c r="C50" s="11"/>
      <c r="D50" s="12">
        <f>C50*1.5</f>
        <v>0</v>
      </c>
      <c r="F50" s="135"/>
      <c r="G50" s="139"/>
      <c r="H50" s="140"/>
      <c r="I50" s="140"/>
      <c r="J50" s="141"/>
      <c r="P50" s="4"/>
      <c r="Q50" s="4"/>
      <c r="R50" s="5"/>
    </row>
    <row r="51" spans="1:18" ht="15" customHeight="1" x14ac:dyDescent="0.25">
      <c r="A51" s="129"/>
      <c r="B51" s="27"/>
      <c r="C51" s="10"/>
      <c r="D51" s="31"/>
      <c r="F51" s="142" t="s">
        <v>106</v>
      </c>
      <c r="G51" s="144">
        <f>G49-H29</f>
        <v>0</v>
      </c>
      <c r="H51" s="145"/>
      <c r="I51" s="145"/>
      <c r="J51" s="146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9"/>
      <c r="B52" s="29"/>
      <c r="C52" s="33"/>
      <c r="D52" s="45"/>
      <c r="F52" s="143"/>
      <c r="G52" s="147"/>
      <c r="H52" s="148"/>
      <c r="I52" s="148"/>
      <c r="J52" s="14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4" t="s">
        <v>89</v>
      </c>
      <c r="B54" s="115"/>
      <c r="C54" s="116"/>
      <c r="D54" s="120">
        <f>SUM(D34:D53)</f>
        <v>0</v>
      </c>
      <c r="F54" s="21"/>
      <c r="J54" s="34"/>
    </row>
    <row r="55" spans="1:18" x14ac:dyDescent="0.25">
      <c r="A55" s="117"/>
      <c r="B55" s="118"/>
      <c r="C55" s="119"/>
      <c r="D55" s="1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2" t="s">
        <v>90</v>
      </c>
      <c r="B58" s="123"/>
      <c r="C58" s="123"/>
      <c r="D58" s="124"/>
      <c r="F58" s="122" t="s">
        <v>91</v>
      </c>
      <c r="G58" s="123"/>
      <c r="H58" s="123"/>
      <c r="I58" s="123"/>
      <c r="J58" s="124"/>
    </row>
    <row r="59" spans="1:18" x14ac:dyDescent="0.25">
      <c r="A59" s="125"/>
      <c r="B59" s="126"/>
      <c r="C59" s="126"/>
      <c r="D59" s="127"/>
      <c r="F59" s="125"/>
      <c r="G59" s="126"/>
      <c r="H59" s="126"/>
      <c r="I59" s="126"/>
      <c r="J59" s="12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01A205-1CC3-4004-8D7D-AADC7C96844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0" t="s">
        <v>1</v>
      </c>
      <c r="O1" s="210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1" t="s">
        <v>7</v>
      </c>
      <c r="B4" s="162"/>
      <c r="C4" s="162"/>
      <c r="D4" s="163"/>
      <c r="F4" s="211" t="s">
        <v>8</v>
      </c>
      <c r="G4" s="213">
        <v>1</v>
      </c>
      <c r="H4" s="215" t="s">
        <v>9</v>
      </c>
      <c r="I4" s="217">
        <v>46150</v>
      </c>
      <c r="J4" s="21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5" t="s">
        <v>7</v>
      </c>
      <c r="B5" s="15" t="s">
        <v>11</v>
      </c>
      <c r="C5" s="9" t="s">
        <v>12</v>
      </c>
      <c r="D5" s="25" t="s">
        <v>13</v>
      </c>
      <c r="F5" s="212"/>
      <c r="G5" s="214"/>
      <c r="H5" s="216"/>
      <c r="I5" s="219"/>
      <c r="J5" s="22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6"/>
      <c r="B6" s="16" t="s">
        <v>15</v>
      </c>
      <c r="C6" s="10"/>
      <c r="D6" s="13">
        <f t="shared" ref="D6:D28" si="1">C6*L6</f>
        <v>0</v>
      </c>
      <c r="F6" s="221" t="s">
        <v>16</v>
      </c>
      <c r="G6" s="223" t="s">
        <v>99</v>
      </c>
      <c r="H6" s="224"/>
      <c r="I6" s="224"/>
      <c r="J6" s="22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6"/>
      <c r="B7" s="16" t="s">
        <v>18</v>
      </c>
      <c r="C7" s="10"/>
      <c r="D7" s="13">
        <f t="shared" si="1"/>
        <v>0</v>
      </c>
      <c r="F7" s="222"/>
      <c r="G7" s="226"/>
      <c r="H7" s="227"/>
      <c r="I7" s="227"/>
      <c r="J7" s="22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6"/>
      <c r="B8" s="16" t="s">
        <v>20</v>
      </c>
      <c r="C8" s="10"/>
      <c r="D8" s="13">
        <f t="shared" si="1"/>
        <v>0</v>
      </c>
      <c r="F8" s="229" t="s">
        <v>21</v>
      </c>
      <c r="G8" s="230" t="s">
        <v>120</v>
      </c>
      <c r="H8" s="231"/>
      <c r="I8" s="231"/>
      <c r="J8" s="23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6"/>
      <c r="B9" s="16" t="s">
        <v>23</v>
      </c>
      <c r="C9" s="10"/>
      <c r="D9" s="13">
        <f t="shared" si="1"/>
        <v>0</v>
      </c>
      <c r="F9" s="222"/>
      <c r="G9" s="233"/>
      <c r="H9" s="234"/>
      <c r="I9" s="234"/>
      <c r="J9" s="23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6"/>
      <c r="B10" t="s">
        <v>25</v>
      </c>
      <c r="C10" s="10"/>
      <c r="D10" s="13">
        <f t="shared" si="1"/>
        <v>0</v>
      </c>
      <c r="F10" s="221" t="s">
        <v>26</v>
      </c>
      <c r="G10" s="236" t="s">
        <v>108</v>
      </c>
      <c r="H10" s="237"/>
      <c r="I10" s="237"/>
      <c r="J10" s="238"/>
      <c r="K10" s="8"/>
      <c r="L10" s="6">
        <f>R36</f>
        <v>1032</v>
      </c>
      <c r="P10" s="4"/>
      <c r="Q10" s="4"/>
      <c r="R10" s="5"/>
    </row>
    <row r="11" spans="1:18" ht="15.75" x14ac:dyDescent="0.25">
      <c r="A11" s="156"/>
      <c r="B11" s="17" t="s">
        <v>28</v>
      </c>
      <c r="C11" s="10"/>
      <c r="D11" s="13">
        <f t="shared" si="1"/>
        <v>0</v>
      </c>
      <c r="F11" s="222"/>
      <c r="G11" s="233"/>
      <c r="H11" s="234"/>
      <c r="I11" s="234"/>
      <c r="J11" s="23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6"/>
      <c r="B12" s="17" t="s">
        <v>30</v>
      </c>
      <c r="C12" s="10"/>
      <c r="D12" s="48">
        <f t="shared" si="1"/>
        <v>0</v>
      </c>
      <c r="F12" s="239" t="s">
        <v>33</v>
      </c>
      <c r="G12" s="240"/>
      <c r="H12" s="240"/>
      <c r="I12" s="240"/>
      <c r="J12" s="24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6"/>
      <c r="B13" s="17" t="s">
        <v>32</v>
      </c>
      <c r="C13" s="10"/>
      <c r="D13" s="48">
        <f t="shared" si="1"/>
        <v>0</v>
      </c>
      <c r="F13" s="242" t="s">
        <v>36</v>
      </c>
      <c r="G13" s="206"/>
      <c r="H13" s="197">
        <f>D29</f>
        <v>0</v>
      </c>
      <c r="I13" s="198"/>
      <c r="J13" s="19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6"/>
      <c r="B14" s="14" t="s">
        <v>35</v>
      </c>
      <c r="C14" s="10"/>
      <c r="D14" s="31">
        <f t="shared" si="1"/>
        <v>0</v>
      </c>
      <c r="F14" s="200" t="s">
        <v>38</v>
      </c>
      <c r="G14" s="201"/>
      <c r="H14" s="202">
        <f>D54</f>
        <v>0</v>
      </c>
      <c r="I14" s="203"/>
      <c r="J14" s="20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6"/>
      <c r="B15" s="14" t="s">
        <v>122</v>
      </c>
      <c r="C15" s="10"/>
      <c r="D15" s="31">
        <f t="shared" si="1"/>
        <v>0</v>
      </c>
      <c r="F15" s="205" t="s">
        <v>39</v>
      </c>
      <c r="G15" s="206"/>
      <c r="H15" s="207">
        <f>H13-H14</f>
        <v>0</v>
      </c>
      <c r="I15" s="208"/>
      <c r="J15" s="20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6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67"/>
      <c r="I16" s="167"/>
      <c r="J16" s="16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6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78"/>
      <c r="I17" s="178"/>
      <c r="J17" s="17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6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78"/>
      <c r="I18" s="178"/>
      <c r="J18" s="17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6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67"/>
      <c r="I19" s="167"/>
      <c r="J19" s="16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6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67"/>
      <c r="I20" s="167"/>
      <c r="J20" s="16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6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0" t="s">
        <v>13</v>
      </c>
      <c r="I21" s="181"/>
      <c r="J21" s="18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6"/>
      <c r="B22" s="46" t="s">
        <v>103</v>
      </c>
      <c r="C22" s="10"/>
      <c r="D22" s="48">
        <f t="shared" si="1"/>
        <v>0</v>
      </c>
      <c r="F22" s="77"/>
      <c r="G22" s="73"/>
      <c r="H22" s="183"/>
      <c r="I22" s="183"/>
      <c r="J22" s="18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6"/>
      <c r="B23" s="14" t="s">
        <v>121</v>
      </c>
      <c r="C23" s="10"/>
      <c r="D23" s="48">
        <f t="shared" si="1"/>
        <v>0</v>
      </c>
      <c r="F23" s="77"/>
      <c r="G23" s="79"/>
      <c r="H23" s="251"/>
      <c r="I23" s="252"/>
      <c r="J23" s="25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6"/>
      <c r="B24" s="14" t="s">
        <v>128</v>
      </c>
      <c r="C24" s="10"/>
      <c r="D24" s="48">
        <f t="shared" si="1"/>
        <v>0</v>
      </c>
      <c r="F24" s="77"/>
      <c r="G24" s="79"/>
      <c r="H24" s="251"/>
      <c r="I24" s="252"/>
      <c r="J24" s="25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5" t="s">
        <v>13</v>
      </c>
      <c r="I25" s="186"/>
      <c r="J25" s="18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6"/>
      <c r="B26" s="14" t="s">
        <v>129</v>
      </c>
      <c r="C26" s="10"/>
      <c r="D26" s="48">
        <f t="shared" si="1"/>
        <v>0</v>
      </c>
      <c r="F26" s="75"/>
      <c r="G26" s="65"/>
      <c r="H26" s="153"/>
      <c r="I26" s="153"/>
      <c r="J26" s="15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6"/>
      <c r="B27" s="14" t="s">
        <v>130</v>
      </c>
      <c r="C27" s="10"/>
      <c r="D27" s="44">
        <f t="shared" si="1"/>
        <v>0</v>
      </c>
      <c r="F27" s="71"/>
      <c r="G27" s="93"/>
      <c r="H27" s="253"/>
      <c r="I27" s="254"/>
      <c r="J27" s="25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7"/>
      <c r="B28" s="46" t="s">
        <v>92</v>
      </c>
      <c r="C28" s="10"/>
      <c r="D28" s="48">
        <f t="shared" si="1"/>
        <v>0</v>
      </c>
      <c r="F28" s="96"/>
      <c r="G28" s="61"/>
      <c r="H28" s="194"/>
      <c r="I28" s="195"/>
      <c r="J28" s="19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8" t="s">
        <v>36</v>
      </c>
      <c r="B29" s="169"/>
      <c r="C29" s="170"/>
      <c r="D29" s="174">
        <f>SUM(D6:D28)</f>
        <v>0</v>
      </c>
      <c r="F29" s="114" t="s">
        <v>54</v>
      </c>
      <c r="G29" s="176"/>
      <c r="H29" s="136">
        <f>H15-H16-H17-H18-H19-H20-H22-H23-H24+H26+H27+H28</f>
        <v>0</v>
      </c>
      <c r="I29" s="137"/>
      <c r="J29" s="13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1"/>
      <c r="B30" s="172"/>
      <c r="C30" s="173"/>
      <c r="D30" s="175"/>
      <c r="F30" s="117"/>
      <c r="G30" s="177"/>
      <c r="H30" s="139"/>
      <c r="I30" s="140"/>
      <c r="J30" s="141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1" t="s">
        <v>57</v>
      </c>
      <c r="B32" s="162"/>
      <c r="C32" s="162"/>
      <c r="D32" s="163"/>
      <c r="F32" s="164" t="s">
        <v>58</v>
      </c>
      <c r="G32" s="165"/>
      <c r="H32" s="165"/>
      <c r="I32" s="165"/>
      <c r="J32" s="16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164" t="s">
        <v>13</v>
      </c>
      <c r="I33" s="165"/>
      <c r="J33" s="16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5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58">
        <f t="shared" ref="H34:H39" si="2">F34*G34</f>
        <v>0</v>
      </c>
      <c r="I34" s="159"/>
      <c r="J34" s="16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6"/>
      <c r="B35" s="27" t="s">
        <v>67</v>
      </c>
      <c r="C35" s="52"/>
      <c r="D35" s="30">
        <f>C35*84</f>
        <v>0</v>
      </c>
      <c r="F35" s="58">
        <v>500</v>
      </c>
      <c r="G35" s="41"/>
      <c r="H35" s="158">
        <f t="shared" si="2"/>
        <v>0</v>
      </c>
      <c r="I35" s="159"/>
      <c r="J35" s="16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7"/>
      <c r="B36" s="26" t="s">
        <v>69</v>
      </c>
      <c r="C36" s="10"/>
      <c r="D36" s="12">
        <f>C36*1.5</f>
        <v>0</v>
      </c>
      <c r="F36" s="12">
        <v>200</v>
      </c>
      <c r="G36" s="37"/>
      <c r="H36" s="158">
        <f t="shared" si="2"/>
        <v>0</v>
      </c>
      <c r="I36" s="159"/>
      <c r="J36" s="16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8">
        <f t="shared" si="2"/>
        <v>0</v>
      </c>
      <c r="I37" s="159"/>
      <c r="J37" s="16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6"/>
      <c r="B38" s="29" t="s">
        <v>67</v>
      </c>
      <c r="C38" s="54"/>
      <c r="D38" s="12">
        <f>C38*84</f>
        <v>0</v>
      </c>
      <c r="F38" s="30">
        <v>50</v>
      </c>
      <c r="G38" s="39"/>
      <c r="H38" s="158">
        <f t="shared" si="2"/>
        <v>0</v>
      </c>
      <c r="I38" s="159"/>
      <c r="J38" s="16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7"/>
      <c r="B39" s="29" t="s">
        <v>69</v>
      </c>
      <c r="C39" s="52"/>
      <c r="D39" s="31">
        <f>C39*4.5</f>
        <v>0</v>
      </c>
      <c r="F39" s="12">
        <v>20</v>
      </c>
      <c r="G39" s="37"/>
      <c r="H39" s="158">
        <f t="shared" si="2"/>
        <v>0</v>
      </c>
      <c r="I39" s="159"/>
      <c r="J39" s="16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8"/>
      <c r="I40" s="159"/>
      <c r="J40" s="16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6"/>
      <c r="B41" s="27" t="s">
        <v>67</v>
      </c>
      <c r="C41" s="10"/>
      <c r="D41" s="12">
        <f>C41*84</f>
        <v>0</v>
      </c>
      <c r="F41" s="12">
        <v>5</v>
      </c>
      <c r="G41" s="42"/>
      <c r="H41" s="158"/>
      <c r="I41" s="159"/>
      <c r="J41" s="16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7"/>
      <c r="B42" s="27" t="s">
        <v>69</v>
      </c>
      <c r="C42" s="11"/>
      <c r="D42" s="12">
        <f>C42*2.25</f>
        <v>0</v>
      </c>
      <c r="F42" s="39" t="s">
        <v>78</v>
      </c>
      <c r="G42" s="158"/>
      <c r="H42" s="159"/>
      <c r="I42" s="159"/>
      <c r="J42" s="16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8" t="s">
        <v>80</v>
      </c>
      <c r="C43" s="11"/>
      <c r="D43" s="12"/>
      <c r="F43" s="59" t="s">
        <v>81</v>
      </c>
      <c r="G43" s="93" t="s">
        <v>82</v>
      </c>
      <c r="H43" s="150" t="s">
        <v>13</v>
      </c>
      <c r="I43" s="151"/>
      <c r="J43" s="15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9"/>
      <c r="B44" s="27" t="s">
        <v>65</v>
      </c>
      <c r="C44" s="10"/>
      <c r="D44" s="12">
        <f>C44*120</f>
        <v>0</v>
      </c>
      <c r="F44" s="37"/>
      <c r="G44" s="62"/>
      <c r="H44" s="153"/>
      <c r="I44" s="153"/>
      <c r="J44" s="15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9"/>
      <c r="B45" s="27" t="s">
        <v>67</v>
      </c>
      <c r="C45" s="33"/>
      <c r="D45" s="12">
        <f>C45*84</f>
        <v>0</v>
      </c>
      <c r="F45" s="37"/>
      <c r="G45" s="62"/>
      <c r="H45" s="153"/>
      <c r="I45" s="153"/>
      <c r="J45" s="153"/>
      <c r="K45" s="21"/>
      <c r="P45" s="4"/>
      <c r="Q45" s="4"/>
      <c r="R45" s="5"/>
    </row>
    <row r="46" spans="1:18" ht="15.75" x14ac:dyDescent="0.25">
      <c r="A46" s="129"/>
      <c r="B46" s="49" t="s">
        <v>69</v>
      </c>
      <c r="C46" s="81"/>
      <c r="D46" s="12">
        <f>C46*1.5</f>
        <v>0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30"/>
      <c r="B47" s="27"/>
      <c r="C47" s="11"/>
      <c r="D47" s="12"/>
      <c r="F47" s="59"/>
      <c r="G47" s="59"/>
      <c r="H47" s="131"/>
      <c r="I47" s="132"/>
      <c r="J47" s="133"/>
      <c r="K47" s="21"/>
      <c r="P47" s="4"/>
      <c r="Q47" s="4"/>
      <c r="R47" s="5"/>
    </row>
    <row r="48" spans="1:18" ht="15" customHeight="1" x14ac:dyDescent="0.25">
      <c r="A48" s="128" t="s">
        <v>32</v>
      </c>
      <c r="B48" s="27" t="s">
        <v>65</v>
      </c>
      <c r="C48" s="10"/>
      <c r="D48" s="12">
        <f>C48*78</f>
        <v>0</v>
      </c>
      <c r="F48" s="59"/>
      <c r="G48" s="59"/>
      <c r="H48" s="131"/>
      <c r="I48" s="132"/>
      <c r="J48" s="13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9"/>
      <c r="B49" s="29" t="s">
        <v>67</v>
      </c>
      <c r="C49" s="33"/>
      <c r="D49" s="12">
        <f>C49*42</f>
        <v>0</v>
      </c>
      <c r="F49" s="134" t="s">
        <v>85</v>
      </c>
      <c r="G49" s="136">
        <f>H34+H35+H36+H37+H38+H39+H40+H41+G42+H44+H45+H46</f>
        <v>0</v>
      </c>
      <c r="H49" s="137"/>
      <c r="I49" s="137"/>
      <c r="J49" s="13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9"/>
      <c r="B50" s="32" t="s">
        <v>69</v>
      </c>
      <c r="C50" s="11"/>
      <c r="D50" s="12">
        <f>C50*1.5</f>
        <v>0</v>
      </c>
      <c r="F50" s="135"/>
      <c r="G50" s="139"/>
      <c r="H50" s="140"/>
      <c r="I50" s="140"/>
      <c r="J50" s="141"/>
      <c r="O50" t="s">
        <v>114</v>
      </c>
      <c r="P50" s="4">
        <v>1204</v>
      </c>
      <c r="Q50" s="4"/>
      <c r="R50" s="5"/>
    </row>
    <row r="51" spans="1:18" ht="15" customHeight="1" x14ac:dyDescent="0.25">
      <c r="A51" s="129"/>
      <c r="B51" s="27"/>
      <c r="C51" s="10"/>
      <c r="D51" s="31"/>
      <c r="F51" s="142" t="s">
        <v>109</v>
      </c>
      <c r="G51" s="255">
        <f>G49-H29</f>
        <v>0</v>
      </c>
      <c r="H51" s="256"/>
      <c r="I51" s="256"/>
      <c r="J51" s="25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9"/>
      <c r="B52" s="29"/>
      <c r="C52" s="33"/>
      <c r="D52" s="45"/>
      <c r="F52" s="143"/>
      <c r="G52" s="258"/>
      <c r="H52" s="259"/>
      <c r="I52" s="259"/>
      <c r="J52" s="2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4" t="s">
        <v>89</v>
      </c>
      <c r="B54" s="115"/>
      <c r="C54" s="116"/>
      <c r="D54" s="120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7"/>
      <c r="B55" s="118"/>
      <c r="C55" s="119"/>
      <c r="D55" s="1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22" t="s">
        <v>90</v>
      </c>
      <c r="B58" s="123"/>
      <c r="C58" s="123"/>
      <c r="D58" s="124"/>
      <c r="F58" s="122" t="s">
        <v>91</v>
      </c>
      <c r="G58" s="123"/>
      <c r="H58" s="123"/>
      <c r="I58" s="123"/>
      <c r="J58" s="124"/>
    </row>
    <row r="59" spans="1:18" x14ac:dyDescent="0.25">
      <c r="A59" s="125"/>
      <c r="B59" s="126"/>
      <c r="C59" s="126"/>
      <c r="D59" s="127"/>
      <c r="F59" s="125"/>
      <c r="G59" s="126"/>
      <c r="H59" s="126"/>
      <c r="I59" s="126"/>
      <c r="J59" s="12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6A67ED-5EE3-42FE-B708-111EF87B3F7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0" t="s">
        <v>1</v>
      </c>
      <c r="O1" s="210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1" t="s">
        <v>7</v>
      </c>
      <c r="B4" s="162"/>
      <c r="C4" s="162"/>
      <c r="D4" s="163"/>
      <c r="F4" s="211" t="s">
        <v>8</v>
      </c>
      <c r="G4" s="213">
        <v>2</v>
      </c>
      <c r="H4" s="215" t="s">
        <v>9</v>
      </c>
      <c r="I4" s="217">
        <v>46150</v>
      </c>
      <c r="J4" s="21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5" t="s">
        <v>7</v>
      </c>
      <c r="B5" s="15" t="s">
        <v>11</v>
      </c>
      <c r="C5" s="9" t="s">
        <v>12</v>
      </c>
      <c r="D5" s="25" t="s">
        <v>13</v>
      </c>
      <c r="F5" s="212"/>
      <c r="G5" s="214"/>
      <c r="H5" s="216"/>
      <c r="I5" s="219"/>
      <c r="J5" s="22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6"/>
      <c r="B6" s="16" t="s">
        <v>15</v>
      </c>
      <c r="C6" s="10"/>
      <c r="D6" s="13">
        <f t="shared" ref="D6:D28" si="1">C6*L6</f>
        <v>0</v>
      </c>
      <c r="F6" s="221" t="s">
        <v>16</v>
      </c>
      <c r="G6" s="223" t="s">
        <v>107</v>
      </c>
      <c r="H6" s="224"/>
      <c r="I6" s="224"/>
      <c r="J6" s="22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6"/>
      <c r="B7" s="16" t="s">
        <v>18</v>
      </c>
      <c r="C7" s="10"/>
      <c r="D7" s="13">
        <f t="shared" si="1"/>
        <v>0</v>
      </c>
      <c r="F7" s="222"/>
      <c r="G7" s="226"/>
      <c r="H7" s="227"/>
      <c r="I7" s="227"/>
      <c r="J7" s="22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6"/>
      <c r="B8" s="16" t="s">
        <v>20</v>
      </c>
      <c r="C8" s="10"/>
      <c r="D8" s="13">
        <f t="shared" si="1"/>
        <v>0</v>
      </c>
      <c r="F8" s="229" t="s">
        <v>21</v>
      </c>
      <c r="G8" s="230" t="s">
        <v>100</v>
      </c>
      <c r="H8" s="231"/>
      <c r="I8" s="231"/>
      <c r="J8" s="23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6"/>
      <c r="B9" s="16" t="s">
        <v>23</v>
      </c>
      <c r="C9" s="10"/>
      <c r="D9" s="13">
        <f t="shared" si="1"/>
        <v>0</v>
      </c>
      <c r="F9" s="222"/>
      <c r="G9" s="233"/>
      <c r="H9" s="234"/>
      <c r="I9" s="234"/>
      <c r="J9" s="23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6"/>
      <c r="B10" t="s">
        <v>25</v>
      </c>
      <c r="C10" s="10"/>
      <c r="D10" s="13">
        <f t="shared" si="1"/>
        <v>0</v>
      </c>
      <c r="F10" s="221" t="s">
        <v>26</v>
      </c>
      <c r="G10" s="236" t="s">
        <v>101</v>
      </c>
      <c r="H10" s="237"/>
      <c r="I10" s="237"/>
      <c r="J10" s="238"/>
      <c r="K10" s="8"/>
      <c r="L10" s="6">
        <f>R36</f>
        <v>1032</v>
      </c>
      <c r="P10" s="4"/>
      <c r="Q10" s="4"/>
      <c r="R10" s="5"/>
    </row>
    <row r="11" spans="1:18" ht="15.75" x14ac:dyDescent="0.25">
      <c r="A11" s="156"/>
      <c r="B11" s="17" t="s">
        <v>28</v>
      </c>
      <c r="C11" s="10"/>
      <c r="D11" s="13">
        <f t="shared" si="1"/>
        <v>0</v>
      </c>
      <c r="F11" s="222"/>
      <c r="G11" s="233"/>
      <c r="H11" s="234"/>
      <c r="I11" s="234"/>
      <c r="J11" s="23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6"/>
      <c r="B12" s="17" t="s">
        <v>30</v>
      </c>
      <c r="C12" s="10"/>
      <c r="D12" s="48">
        <f t="shared" si="1"/>
        <v>0</v>
      </c>
      <c r="F12" s="239" t="s">
        <v>33</v>
      </c>
      <c r="G12" s="240"/>
      <c r="H12" s="240"/>
      <c r="I12" s="240"/>
      <c r="J12" s="24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6"/>
      <c r="B13" s="17" t="s">
        <v>32</v>
      </c>
      <c r="C13" s="10"/>
      <c r="D13" s="48">
        <f t="shared" si="1"/>
        <v>0</v>
      </c>
      <c r="F13" s="242" t="s">
        <v>36</v>
      </c>
      <c r="G13" s="206"/>
      <c r="H13" s="197">
        <f>D29</f>
        <v>0</v>
      </c>
      <c r="I13" s="198"/>
      <c r="J13" s="19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6"/>
      <c r="B14" s="14" t="s">
        <v>35</v>
      </c>
      <c r="C14" s="10"/>
      <c r="D14" s="31">
        <f t="shared" si="1"/>
        <v>0</v>
      </c>
      <c r="F14" s="200" t="s">
        <v>38</v>
      </c>
      <c r="G14" s="201"/>
      <c r="H14" s="202">
        <f>D54</f>
        <v>0</v>
      </c>
      <c r="I14" s="203"/>
      <c r="J14" s="20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6"/>
      <c r="B15" s="14" t="s">
        <v>122</v>
      </c>
      <c r="C15" s="10"/>
      <c r="D15" s="31">
        <f t="shared" si="1"/>
        <v>0</v>
      </c>
      <c r="F15" s="205" t="s">
        <v>39</v>
      </c>
      <c r="G15" s="206"/>
      <c r="H15" s="207">
        <f>H13-H14</f>
        <v>0</v>
      </c>
      <c r="I15" s="208"/>
      <c r="J15" s="20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6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67"/>
      <c r="I16" s="167"/>
      <c r="J16" s="16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6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78"/>
      <c r="I17" s="178"/>
      <c r="J17" s="17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6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78"/>
      <c r="I18" s="178"/>
      <c r="J18" s="17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6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61"/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6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78"/>
      <c r="I20" s="178"/>
      <c r="J20" s="17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6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0" t="s">
        <v>13</v>
      </c>
      <c r="I21" s="181"/>
      <c r="J21" s="18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6"/>
      <c r="B22" s="46" t="s">
        <v>103</v>
      </c>
      <c r="C22" s="10"/>
      <c r="D22" s="48">
        <f t="shared" si="1"/>
        <v>0</v>
      </c>
      <c r="F22" s="72"/>
      <c r="G22" s="73"/>
      <c r="H22" s="183"/>
      <c r="I22" s="183"/>
      <c r="J22" s="18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6"/>
      <c r="B23" s="14" t="s">
        <v>121</v>
      </c>
      <c r="C23" s="10"/>
      <c r="D23" s="48">
        <f t="shared" si="1"/>
        <v>0</v>
      </c>
      <c r="F23" s="25"/>
      <c r="G23" s="37"/>
      <c r="H23" s="184"/>
      <c r="I23" s="153"/>
      <c r="J23" s="15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6"/>
      <c r="B24" s="14" t="s">
        <v>128</v>
      </c>
      <c r="C24" s="10"/>
      <c r="D24" s="48">
        <f t="shared" si="1"/>
        <v>0</v>
      </c>
      <c r="F24" s="38"/>
      <c r="G24" s="37"/>
      <c r="H24" s="184"/>
      <c r="I24" s="153"/>
      <c r="J24" s="15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5" t="s">
        <v>13</v>
      </c>
      <c r="I25" s="186"/>
      <c r="J25" s="18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6"/>
      <c r="B26" s="14" t="s">
        <v>129</v>
      </c>
      <c r="C26" s="10"/>
      <c r="D26" s="48">
        <f t="shared" si="1"/>
        <v>0</v>
      </c>
      <c r="F26" s="64"/>
      <c r="G26" s="10"/>
      <c r="H26" s="188"/>
      <c r="I26" s="189"/>
      <c r="J26" s="19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6"/>
      <c r="B27" s="14" t="s">
        <v>130</v>
      </c>
      <c r="C27" s="10"/>
      <c r="D27" s="44">
        <f t="shared" si="1"/>
        <v>0</v>
      </c>
      <c r="F27" s="14"/>
      <c r="G27" s="14"/>
      <c r="H27" s="191"/>
      <c r="I27" s="192"/>
      <c r="J27" s="19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7"/>
      <c r="B28" s="46" t="s">
        <v>92</v>
      </c>
      <c r="C28" s="10"/>
      <c r="D28" s="48">
        <f t="shared" si="1"/>
        <v>0</v>
      </c>
      <c r="F28" s="96"/>
      <c r="G28" s="61"/>
      <c r="H28" s="194"/>
      <c r="I28" s="195"/>
      <c r="J28" s="19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8" t="s">
        <v>36</v>
      </c>
      <c r="B29" s="169"/>
      <c r="C29" s="170"/>
      <c r="D29" s="174">
        <f>SUM(D6:D28)</f>
        <v>0</v>
      </c>
      <c r="F29" s="114" t="s">
        <v>54</v>
      </c>
      <c r="G29" s="176"/>
      <c r="H29" s="136">
        <f>H15-H16-H17-H18-H19-H20-H22-H23-H24+H26+H27</f>
        <v>0</v>
      </c>
      <c r="I29" s="137"/>
      <c r="J29" s="13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1"/>
      <c r="B30" s="172"/>
      <c r="C30" s="173"/>
      <c r="D30" s="175"/>
      <c r="F30" s="117"/>
      <c r="G30" s="177"/>
      <c r="H30" s="139"/>
      <c r="I30" s="140"/>
      <c r="J30" s="141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1" t="s">
        <v>57</v>
      </c>
      <c r="B32" s="162"/>
      <c r="C32" s="162"/>
      <c r="D32" s="163"/>
      <c r="F32" s="164" t="s">
        <v>58</v>
      </c>
      <c r="G32" s="165"/>
      <c r="H32" s="165"/>
      <c r="I32" s="165"/>
      <c r="J32" s="16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164" t="s">
        <v>13</v>
      </c>
      <c r="I33" s="165"/>
      <c r="J33" s="16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5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58">
        <f>F34*G34</f>
        <v>0</v>
      </c>
      <c r="I34" s="159"/>
      <c r="J34" s="16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6"/>
      <c r="B35" s="27" t="s">
        <v>67</v>
      </c>
      <c r="C35" s="52"/>
      <c r="D35" s="30">
        <f>C35*84</f>
        <v>0</v>
      </c>
      <c r="F35" s="58">
        <v>500</v>
      </c>
      <c r="G35" s="41"/>
      <c r="H35" s="158">
        <f t="shared" ref="H35:H39" si="2">F35*G35</f>
        <v>0</v>
      </c>
      <c r="I35" s="159"/>
      <c r="J35" s="16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7"/>
      <c r="B36" s="26" t="s">
        <v>69</v>
      </c>
      <c r="C36" s="10"/>
      <c r="D36" s="12">
        <f>C36*1.5</f>
        <v>0</v>
      </c>
      <c r="F36" s="12">
        <v>200</v>
      </c>
      <c r="G36" s="37"/>
      <c r="H36" s="158">
        <f>F36*G36</f>
        <v>0</v>
      </c>
      <c r="I36" s="159"/>
      <c r="J36" s="16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8">
        <f t="shared" si="2"/>
        <v>0</v>
      </c>
      <c r="I37" s="159"/>
      <c r="J37" s="16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6"/>
      <c r="B38" s="29" t="s">
        <v>67</v>
      </c>
      <c r="C38" s="54"/>
      <c r="D38" s="12">
        <f>C38*84</f>
        <v>0</v>
      </c>
      <c r="F38" s="30">
        <v>50</v>
      </c>
      <c r="G38" s="39"/>
      <c r="H38" s="158">
        <f t="shared" si="2"/>
        <v>0</v>
      </c>
      <c r="I38" s="159"/>
      <c r="J38" s="16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7"/>
      <c r="B39" s="29" t="s">
        <v>69</v>
      </c>
      <c r="C39" s="52"/>
      <c r="D39" s="31">
        <f>C39*4.5</f>
        <v>0</v>
      </c>
      <c r="F39" s="12">
        <v>20</v>
      </c>
      <c r="G39" s="37"/>
      <c r="H39" s="158">
        <f t="shared" si="2"/>
        <v>0</v>
      </c>
      <c r="I39" s="159"/>
      <c r="J39" s="16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8"/>
      <c r="I40" s="159"/>
      <c r="J40" s="16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6"/>
      <c r="B41" s="27" t="s">
        <v>67</v>
      </c>
      <c r="C41" s="10"/>
      <c r="D41" s="12">
        <f>C41*84</f>
        <v>0</v>
      </c>
      <c r="F41" s="12">
        <v>5</v>
      </c>
      <c r="G41" s="42"/>
      <c r="H41" s="158"/>
      <c r="I41" s="159"/>
      <c r="J41" s="16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7"/>
      <c r="B42" s="27" t="s">
        <v>69</v>
      </c>
      <c r="C42" s="11"/>
      <c r="D42" s="12">
        <f>C42*2.25</f>
        <v>0</v>
      </c>
      <c r="F42" s="39" t="s">
        <v>78</v>
      </c>
      <c r="G42" s="158"/>
      <c r="H42" s="159"/>
      <c r="I42" s="159"/>
      <c r="J42" s="16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8" t="s">
        <v>80</v>
      </c>
      <c r="C43" s="11"/>
      <c r="D43" s="12"/>
      <c r="F43" s="59" t="s">
        <v>81</v>
      </c>
      <c r="G43" s="93" t="s">
        <v>82</v>
      </c>
      <c r="H43" s="150" t="s">
        <v>13</v>
      </c>
      <c r="I43" s="151"/>
      <c r="J43" s="15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9"/>
      <c r="B44" s="27" t="s">
        <v>65</v>
      </c>
      <c r="C44" s="10"/>
      <c r="D44" s="12">
        <f>C44*120</f>
        <v>0</v>
      </c>
      <c r="F44" s="37"/>
      <c r="G44" s="62"/>
      <c r="H44" s="153"/>
      <c r="I44" s="153"/>
      <c r="J44" s="15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9"/>
      <c r="B45" s="27" t="s">
        <v>67</v>
      </c>
      <c r="C45" s="33"/>
      <c r="D45" s="12">
        <f>C45*84</f>
        <v>0</v>
      </c>
      <c r="F45" s="37"/>
      <c r="G45" s="62"/>
      <c r="H45" s="153"/>
      <c r="I45" s="153"/>
      <c r="J45" s="153"/>
      <c r="K45" s="21"/>
      <c r="P45" s="4"/>
      <c r="Q45" s="4"/>
      <c r="R45" s="5"/>
    </row>
    <row r="46" spans="1:18" ht="15.75" x14ac:dyDescent="0.25">
      <c r="A46" s="129"/>
      <c r="B46" s="49" t="s">
        <v>69</v>
      </c>
      <c r="C46" s="81"/>
      <c r="D46" s="12">
        <f>C46*1.5</f>
        <v>0</v>
      </c>
      <c r="F46" s="37"/>
      <c r="G46" s="94"/>
      <c r="H46" s="154"/>
      <c r="I46" s="154"/>
      <c r="J46" s="154"/>
      <c r="K46" s="21"/>
      <c r="P46" s="4"/>
      <c r="Q46" s="4"/>
      <c r="R46" s="5"/>
    </row>
    <row r="47" spans="1:18" ht="15.75" x14ac:dyDescent="0.25">
      <c r="A47" s="130"/>
      <c r="B47" s="27"/>
      <c r="C47" s="11"/>
      <c r="D47" s="12"/>
      <c r="F47" s="59"/>
      <c r="G47" s="59"/>
      <c r="H47" s="131"/>
      <c r="I47" s="132"/>
      <c r="J47" s="133"/>
      <c r="K47" s="21"/>
      <c r="P47" s="4"/>
      <c r="Q47" s="4"/>
      <c r="R47" s="5"/>
    </row>
    <row r="48" spans="1:18" ht="15" customHeight="1" x14ac:dyDescent="0.25">
      <c r="A48" s="128" t="s">
        <v>32</v>
      </c>
      <c r="B48" s="27" t="s">
        <v>65</v>
      </c>
      <c r="C48" s="10"/>
      <c r="D48" s="12">
        <f>C48*78</f>
        <v>0</v>
      </c>
      <c r="F48" s="59"/>
      <c r="G48" s="59"/>
      <c r="H48" s="131"/>
      <c r="I48" s="132"/>
      <c r="J48" s="13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9"/>
      <c r="B49" s="29" t="s">
        <v>67</v>
      </c>
      <c r="C49" s="33"/>
      <c r="D49" s="12">
        <f>C49*42</f>
        <v>0</v>
      </c>
      <c r="F49" s="134" t="s">
        <v>85</v>
      </c>
      <c r="G49" s="136">
        <f>H34+H35+H36+H37+H38+H39+H40+H41+G42+H44+H45+H46</f>
        <v>0</v>
      </c>
      <c r="H49" s="137"/>
      <c r="I49" s="137"/>
      <c r="J49" s="13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9"/>
      <c r="B50" s="32" t="s">
        <v>69</v>
      </c>
      <c r="C50" s="11"/>
      <c r="D50" s="12">
        <f>C50*1.5</f>
        <v>0</v>
      </c>
      <c r="F50" s="135"/>
      <c r="G50" s="139"/>
      <c r="H50" s="140"/>
      <c r="I50" s="140"/>
      <c r="J50" s="141"/>
      <c r="O50" t="s">
        <v>114</v>
      </c>
      <c r="P50" s="4">
        <v>1204</v>
      </c>
      <c r="Q50" s="4"/>
      <c r="R50" s="5"/>
    </row>
    <row r="51" spans="1:18" ht="15" customHeight="1" x14ac:dyDescent="0.25">
      <c r="A51" s="129"/>
      <c r="B51" s="27"/>
      <c r="C51" s="10"/>
      <c r="D51" s="31"/>
      <c r="F51" s="142" t="s">
        <v>112</v>
      </c>
      <c r="G51" s="144">
        <f>G49-H29</f>
        <v>0</v>
      </c>
      <c r="H51" s="145"/>
      <c r="I51" s="145"/>
      <c r="J51" s="14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9"/>
      <c r="B52" s="29"/>
      <c r="C52" s="33"/>
      <c r="D52" s="45"/>
      <c r="F52" s="143"/>
      <c r="G52" s="147"/>
      <c r="H52" s="148"/>
      <c r="I52" s="148"/>
      <c r="J52" s="14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4" t="s">
        <v>89</v>
      </c>
      <c r="B54" s="115"/>
      <c r="C54" s="116"/>
      <c r="D54" s="120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7"/>
      <c r="B55" s="118"/>
      <c r="C55" s="119"/>
      <c r="D55" s="1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22" t="s">
        <v>90</v>
      </c>
      <c r="B58" s="123"/>
      <c r="C58" s="123"/>
      <c r="D58" s="124"/>
      <c r="F58" s="122" t="s">
        <v>91</v>
      </c>
      <c r="G58" s="123"/>
      <c r="H58" s="123"/>
      <c r="I58" s="123"/>
      <c r="J58" s="124"/>
    </row>
    <row r="59" spans="1:18" x14ac:dyDescent="0.25">
      <c r="A59" s="125"/>
      <c r="B59" s="126"/>
      <c r="C59" s="126"/>
      <c r="D59" s="127"/>
      <c r="F59" s="125"/>
      <c r="G59" s="126"/>
      <c r="H59" s="126"/>
      <c r="I59" s="126"/>
      <c r="J59" s="12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027F19-129E-47B5-AFBE-5E474785B41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0" t="s">
        <v>1</v>
      </c>
      <c r="O1" s="210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1" t="s">
        <v>7</v>
      </c>
      <c r="B4" s="162"/>
      <c r="C4" s="162"/>
      <c r="D4" s="163"/>
      <c r="F4" s="211" t="s">
        <v>8</v>
      </c>
      <c r="G4" s="213">
        <v>3</v>
      </c>
      <c r="H4" s="215" t="s">
        <v>9</v>
      </c>
      <c r="I4" s="217">
        <v>46150</v>
      </c>
      <c r="J4" s="21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5" t="s">
        <v>7</v>
      </c>
      <c r="B5" s="15" t="s">
        <v>11</v>
      </c>
      <c r="C5" s="9" t="s">
        <v>12</v>
      </c>
      <c r="D5" s="25" t="s">
        <v>13</v>
      </c>
      <c r="F5" s="212"/>
      <c r="G5" s="214"/>
      <c r="H5" s="216"/>
      <c r="I5" s="219"/>
      <c r="J5" s="22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6"/>
      <c r="B6" s="16" t="s">
        <v>15</v>
      </c>
      <c r="C6" s="10"/>
      <c r="D6" s="13">
        <f t="shared" ref="D6:D28" si="1">C6*L6</f>
        <v>0</v>
      </c>
      <c r="F6" s="221" t="s">
        <v>16</v>
      </c>
      <c r="G6" s="223" t="s">
        <v>117</v>
      </c>
      <c r="H6" s="224"/>
      <c r="I6" s="224"/>
      <c r="J6" s="22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6"/>
      <c r="B7" s="16" t="s">
        <v>18</v>
      </c>
      <c r="C7" s="10"/>
      <c r="D7" s="13">
        <f t="shared" si="1"/>
        <v>0</v>
      </c>
      <c r="F7" s="222"/>
      <c r="G7" s="226"/>
      <c r="H7" s="227"/>
      <c r="I7" s="227"/>
      <c r="J7" s="22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6"/>
      <c r="B8" s="16" t="s">
        <v>20</v>
      </c>
      <c r="C8" s="10"/>
      <c r="D8" s="13">
        <f t="shared" si="1"/>
        <v>0</v>
      </c>
      <c r="F8" s="229" t="s">
        <v>21</v>
      </c>
      <c r="G8" s="230" t="s">
        <v>110</v>
      </c>
      <c r="H8" s="231"/>
      <c r="I8" s="231"/>
      <c r="J8" s="23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6"/>
      <c r="B9" s="16" t="s">
        <v>23</v>
      </c>
      <c r="C9" s="10"/>
      <c r="D9" s="13">
        <f t="shared" si="1"/>
        <v>0</v>
      </c>
      <c r="F9" s="222"/>
      <c r="G9" s="233"/>
      <c r="H9" s="234"/>
      <c r="I9" s="234"/>
      <c r="J9" s="23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6"/>
      <c r="B10" t="s">
        <v>25</v>
      </c>
      <c r="C10" s="10"/>
      <c r="D10" s="13">
        <f t="shared" si="1"/>
        <v>0</v>
      </c>
      <c r="F10" s="221" t="s">
        <v>26</v>
      </c>
      <c r="G10" s="236" t="s">
        <v>124</v>
      </c>
      <c r="H10" s="237"/>
      <c r="I10" s="237"/>
      <c r="J10" s="238"/>
      <c r="K10" s="8"/>
      <c r="L10" s="6">
        <f>R36</f>
        <v>1032</v>
      </c>
      <c r="P10" s="4"/>
      <c r="Q10" s="4"/>
      <c r="R10" s="5"/>
    </row>
    <row r="11" spans="1:18" ht="15.75" x14ac:dyDescent="0.25">
      <c r="A11" s="156"/>
      <c r="B11" s="17" t="s">
        <v>28</v>
      </c>
      <c r="C11" s="10"/>
      <c r="D11" s="13">
        <f t="shared" si="1"/>
        <v>0</v>
      </c>
      <c r="F11" s="222"/>
      <c r="G11" s="233"/>
      <c r="H11" s="234"/>
      <c r="I11" s="234"/>
      <c r="J11" s="23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6"/>
      <c r="B12" s="17" t="s">
        <v>30</v>
      </c>
      <c r="C12" s="10"/>
      <c r="D12" s="48">
        <f t="shared" si="1"/>
        <v>0</v>
      </c>
      <c r="F12" s="239" t="s">
        <v>33</v>
      </c>
      <c r="G12" s="240"/>
      <c r="H12" s="240"/>
      <c r="I12" s="240"/>
      <c r="J12" s="24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6"/>
      <c r="B13" s="17" t="s">
        <v>32</v>
      </c>
      <c r="C13" s="10"/>
      <c r="D13" s="48">
        <f t="shared" si="1"/>
        <v>0</v>
      </c>
      <c r="F13" s="242" t="s">
        <v>36</v>
      </c>
      <c r="G13" s="206"/>
      <c r="H13" s="197">
        <f>D29</f>
        <v>0</v>
      </c>
      <c r="I13" s="198"/>
      <c r="J13" s="19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6"/>
      <c r="B14" s="14" t="s">
        <v>35</v>
      </c>
      <c r="C14" s="10"/>
      <c r="D14" s="31">
        <f t="shared" si="1"/>
        <v>0</v>
      </c>
      <c r="F14" s="200" t="s">
        <v>38</v>
      </c>
      <c r="G14" s="201"/>
      <c r="H14" s="202">
        <f>D54</f>
        <v>0</v>
      </c>
      <c r="I14" s="203"/>
      <c r="J14" s="20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6"/>
      <c r="B15" s="14" t="s">
        <v>122</v>
      </c>
      <c r="C15" s="10"/>
      <c r="D15" s="31">
        <f t="shared" si="1"/>
        <v>0</v>
      </c>
      <c r="F15" s="205" t="s">
        <v>39</v>
      </c>
      <c r="G15" s="206"/>
      <c r="H15" s="207">
        <f>H13-H14</f>
        <v>0</v>
      </c>
      <c r="I15" s="208"/>
      <c r="J15" s="20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6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67"/>
      <c r="I16" s="167"/>
      <c r="J16" s="16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6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78"/>
      <c r="I17" s="178"/>
      <c r="J17" s="17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6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78"/>
      <c r="I18" s="178"/>
      <c r="J18" s="17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6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62"/>
      <c r="I19" s="262"/>
      <c r="J19" s="26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6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67"/>
      <c r="I20" s="167"/>
      <c r="J20" s="16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6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0" t="s">
        <v>13</v>
      </c>
      <c r="I21" s="181"/>
      <c r="J21" s="18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6"/>
      <c r="B22" s="46" t="s">
        <v>103</v>
      </c>
      <c r="C22" s="10"/>
      <c r="D22" s="48">
        <f t="shared" si="1"/>
        <v>0</v>
      </c>
      <c r="F22" s="77"/>
      <c r="G22" s="73"/>
      <c r="H22" s="183"/>
      <c r="I22" s="183"/>
      <c r="J22" s="18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6"/>
      <c r="B23" s="14" t="s">
        <v>121</v>
      </c>
      <c r="C23" s="10"/>
      <c r="D23" s="48">
        <f t="shared" si="1"/>
        <v>0</v>
      </c>
      <c r="F23" s="78"/>
      <c r="G23" s="79"/>
      <c r="H23" s="184"/>
      <c r="I23" s="153"/>
      <c r="J23" s="15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6"/>
      <c r="B24" s="14" t="s">
        <v>128</v>
      </c>
      <c r="C24" s="10"/>
      <c r="D24" s="48">
        <f t="shared" si="1"/>
        <v>0</v>
      </c>
      <c r="F24" s="38"/>
      <c r="G24" s="37"/>
      <c r="H24" s="184"/>
      <c r="I24" s="153"/>
      <c r="J24" s="15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5" t="s">
        <v>13</v>
      </c>
      <c r="I25" s="186"/>
      <c r="J25" s="18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6"/>
      <c r="B26" s="14" t="s">
        <v>129</v>
      </c>
      <c r="C26" s="10"/>
      <c r="D26" s="48">
        <f t="shared" si="1"/>
        <v>0</v>
      </c>
      <c r="F26" s="64"/>
      <c r="G26" s="59"/>
      <c r="H26" s="188"/>
      <c r="I26" s="189"/>
      <c r="J26" s="19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6"/>
      <c r="B27" s="14" t="s">
        <v>130</v>
      </c>
      <c r="C27" s="10"/>
      <c r="D27" s="44">
        <f t="shared" si="1"/>
        <v>0</v>
      </c>
      <c r="F27" s="25"/>
      <c r="G27" s="80"/>
      <c r="H27" s="191"/>
      <c r="I27" s="192"/>
      <c r="J27" s="19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7"/>
      <c r="B28" s="46" t="s">
        <v>92</v>
      </c>
      <c r="C28" s="10"/>
      <c r="D28" s="48">
        <f t="shared" si="1"/>
        <v>0</v>
      </c>
      <c r="F28" s="96"/>
      <c r="G28" s="61"/>
      <c r="H28" s="194"/>
      <c r="I28" s="195"/>
      <c r="J28" s="19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8" t="s">
        <v>36</v>
      </c>
      <c r="B29" s="169"/>
      <c r="C29" s="170"/>
      <c r="D29" s="174">
        <f>SUM(D6:D28)</f>
        <v>0</v>
      </c>
      <c r="F29" s="114" t="s">
        <v>54</v>
      </c>
      <c r="G29" s="176"/>
      <c r="H29" s="136">
        <f>H15-H16-H17-H18-H19-H20-H22-H23-H24+H26+H27</f>
        <v>0</v>
      </c>
      <c r="I29" s="137"/>
      <c r="J29" s="13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1"/>
      <c r="B30" s="172"/>
      <c r="C30" s="173"/>
      <c r="D30" s="175"/>
      <c r="F30" s="117"/>
      <c r="G30" s="177"/>
      <c r="H30" s="139"/>
      <c r="I30" s="140"/>
      <c r="J30" s="141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1" t="s">
        <v>57</v>
      </c>
      <c r="B32" s="162"/>
      <c r="C32" s="162"/>
      <c r="D32" s="163"/>
      <c r="F32" s="164" t="s">
        <v>58</v>
      </c>
      <c r="G32" s="165"/>
      <c r="H32" s="165"/>
      <c r="I32" s="165"/>
      <c r="J32" s="16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164" t="s">
        <v>13</v>
      </c>
      <c r="I33" s="165"/>
      <c r="J33" s="16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5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58">
        <f>F34*G34</f>
        <v>0</v>
      </c>
      <c r="I34" s="159"/>
      <c r="J34" s="16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6"/>
      <c r="B35" s="27" t="s">
        <v>67</v>
      </c>
      <c r="C35" s="52"/>
      <c r="D35" s="30">
        <f>C35*84</f>
        <v>0</v>
      </c>
      <c r="F35" s="58">
        <v>500</v>
      </c>
      <c r="G35" s="41"/>
      <c r="H35" s="158">
        <f>F35*G35</f>
        <v>0</v>
      </c>
      <c r="I35" s="159"/>
      <c r="J35" s="16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7"/>
      <c r="B36" s="26" t="s">
        <v>69</v>
      </c>
      <c r="C36" s="10"/>
      <c r="D36" s="12">
        <f>C36*1.5</f>
        <v>0</v>
      </c>
      <c r="F36" s="12">
        <v>200</v>
      </c>
      <c r="G36" s="37"/>
      <c r="H36" s="158">
        <f t="shared" ref="H36:H39" si="2">F36*G36</f>
        <v>0</v>
      </c>
      <c r="I36" s="159"/>
      <c r="J36" s="16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8">
        <f t="shared" si="2"/>
        <v>0</v>
      </c>
      <c r="I37" s="159"/>
      <c r="J37" s="16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6"/>
      <c r="B38" s="29" t="s">
        <v>67</v>
      </c>
      <c r="C38" s="54"/>
      <c r="D38" s="12">
        <f>C38*84</f>
        <v>0</v>
      </c>
      <c r="F38" s="30">
        <v>50</v>
      </c>
      <c r="G38" s="39"/>
      <c r="H38" s="158">
        <f t="shared" si="2"/>
        <v>0</v>
      </c>
      <c r="I38" s="159"/>
      <c r="J38" s="16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7"/>
      <c r="B39" s="29" t="s">
        <v>69</v>
      </c>
      <c r="C39" s="52"/>
      <c r="D39" s="31">
        <f>C39*4.5</f>
        <v>0</v>
      </c>
      <c r="F39" s="12">
        <v>20</v>
      </c>
      <c r="G39" s="37"/>
      <c r="H39" s="158">
        <f t="shared" si="2"/>
        <v>0</v>
      </c>
      <c r="I39" s="159"/>
      <c r="J39" s="16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8"/>
      <c r="I40" s="159"/>
      <c r="J40" s="16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6"/>
      <c r="B41" s="27" t="s">
        <v>67</v>
      </c>
      <c r="C41" s="10"/>
      <c r="D41" s="12">
        <f>C41*84</f>
        <v>0</v>
      </c>
      <c r="F41" s="12">
        <v>5</v>
      </c>
      <c r="G41" s="42"/>
      <c r="H41" s="158"/>
      <c r="I41" s="159"/>
      <c r="J41" s="16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7"/>
      <c r="B42" s="27" t="s">
        <v>69</v>
      </c>
      <c r="C42" s="11"/>
      <c r="D42" s="12">
        <f>C42*2.25</f>
        <v>0</v>
      </c>
      <c r="F42" s="39" t="s">
        <v>78</v>
      </c>
      <c r="G42" s="158"/>
      <c r="H42" s="159"/>
      <c r="I42" s="159"/>
      <c r="J42" s="16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8" t="s">
        <v>80</v>
      </c>
      <c r="C43" s="11"/>
      <c r="D43" s="12"/>
      <c r="F43" s="59" t="s">
        <v>81</v>
      </c>
      <c r="G43" s="93" t="s">
        <v>82</v>
      </c>
      <c r="H43" s="150" t="s">
        <v>13</v>
      </c>
      <c r="I43" s="151"/>
      <c r="J43" s="15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9"/>
      <c r="B44" s="27" t="s">
        <v>65</v>
      </c>
      <c r="C44" s="10"/>
      <c r="D44" s="12">
        <f>C44*120</f>
        <v>0</v>
      </c>
      <c r="F44" s="37"/>
      <c r="G44" s="76"/>
      <c r="H44" s="153"/>
      <c r="I44" s="153"/>
      <c r="J44" s="15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9"/>
      <c r="B45" s="27" t="s">
        <v>67</v>
      </c>
      <c r="C45" s="33"/>
      <c r="D45" s="12">
        <f>C45*84</f>
        <v>0</v>
      </c>
      <c r="F45" s="37"/>
      <c r="G45" s="76"/>
      <c r="H45" s="153"/>
      <c r="I45" s="153"/>
      <c r="J45" s="153"/>
      <c r="K45" s="21"/>
      <c r="P45" s="4"/>
      <c r="Q45" s="4"/>
      <c r="R45" s="5"/>
    </row>
    <row r="46" spans="1:18" ht="15.75" x14ac:dyDescent="0.25">
      <c r="A46" s="129"/>
      <c r="B46" s="49" t="s">
        <v>69</v>
      </c>
      <c r="C46" s="81"/>
      <c r="D46" s="12">
        <f>C46*1.5</f>
        <v>0</v>
      </c>
      <c r="F46" s="37"/>
      <c r="G46" s="62"/>
      <c r="H46" s="154"/>
      <c r="I46" s="154"/>
      <c r="J46" s="154"/>
      <c r="K46" s="21"/>
      <c r="P46" s="4"/>
      <c r="Q46" s="4"/>
      <c r="R46" s="5"/>
    </row>
    <row r="47" spans="1:18" ht="15.75" x14ac:dyDescent="0.25">
      <c r="A47" s="130"/>
      <c r="B47" s="27"/>
      <c r="C47" s="11"/>
      <c r="D47" s="12"/>
      <c r="F47" s="59"/>
      <c r="G47" s="59"/>
      <c r="H47" s="131"/>
      <c r="I47" s="132"/>
      <c r="J47" s="133"/>
      <c r="K47" s="21"/>
      <c r="P47" s="4"/>
      <c r="Q47" s="4"/>
      <c r="R47" s="5"/>
    </row>
    <row r="48" spans="1:18" ht="15" customHeight="1" x14ac:dyDescent="0.25">
      <c r="A48" s="128" t="s">
        <v>32</v>
      </c>
      <c r="B48" s="27" t="s">
        <v>65</v>
      </c>
      <c r="C48" s="10"/>
      <c r="D48" s="12">
        <f>C48*78</f>
        <v>0</v>
      </c>
      <c r="F48" s="59"/>
      <c r="G48" s="59"/>
      <c r="H48" s="131"/>
      <c r="I48" s="132"/>
      <c r="J48" s="13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9"/>
      <c r="B49" s="29" t="s">
        <v>67</v>
      </c>
      <c r="C49" s="33"/>
      <c r="D49" s="12">
        <f>C49*42</f>
        <v>0</v>
      </c>
      <c r="F49" s="134" t="s">
        <v>85</v>
      </c>
      <c r="G49" s="136">
        <f>H34+H35+H36+H37+H38+H39+H40+H41+G42+H44+H45+H46</f>
        <v>0</v>
      </c>
      <c r="H49" s="137"/>
      <c r="I49" s="137"/>
      <c r="J49" s="13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9"/>
      <c r="B50" s="32" t="s">
        <v>69</v>
      </c>
      <c r="C50" s="11"/>
      <c r="D50" s="12">
        <f>C50*1.5</f>
        <v>0</v>
      </c>
      <c r="F50" s="135"/>
      <c r="G50" s="139"/>
      <c r="H50" s="140"/>
      <c r="I50" s="140"/>
      <c r="J50" s="141"/>
      <c r="O50" t="s">
        <v>114</v>
      </c>
      <c r="P50" s="4">
        <v>1204</v>
      </c>
      <c r="Q50" s="4"/>
      <c r="R50" s="5"/>
    </row>
    <row r="51" spans="1:18" ht="15" customHeight="1" x14ac:dyDescent="0.25">
      <c r="A51" s="129"/>
      <c r="B51" s="27"/>
      <c r="C51" s="10"/>
      <c r="D51" s="31"/>
      <c r="F51" s="142" t="s">
        <v>115</v>
      </c>
      <c r="G51" s="144">
        <f>G49-H29</f>
        <v>0</v>
      </c>
      <c r="H51" s="145"/>
      <c r="I51" s="145"/>
      <c r="J51" s="14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9"/>
      <c r="B52" s="29"/>
      <c r="C52" s="33"/>
      <c r="D52" s="45"/>
      <c r="F52" s="143"/>
      <c r="G52" s="147"/>
      <c r="H52" s="148"/>
      <c r="I52" s="148"/>
      <c r="J52" s="14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4" t="s">
        <v>89</v>
      </c>
      <c r="B54" s="115"/>
      <c r="C54" s="116"/>
      <c r="D54" s="120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7"/>
      <c r="B55" s="118"/>
      <c r="C55" s="119"/>
      <c r="D55" s="1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2" t="s">
        <v>90</v>
      </c>
      <c r="B58" s="123"/>
      <c r="C58" s="123"/>
      <c r="D58" s="124"/>
      <c r="F58" s="122" t="s">
        <v>91</v>
      </c>
      <c r="G58" s="123"/>
      <c r="H58" s="123"/>
      <c r="I58" s="123"/>
      <c r="J58" s="124"/>
    </row>
    <row r="59" spans="1:18" x14ac:dyDescent="0.25">
      <c r="A59" s="125"/>
      <c r="B59" s="126"/>
      <c r="C59" s="126"/>
      <c r="D59" s="127"/>
      <c r="F59" s="125"/>
      <c r="G59" s="126"/>
      <c r="H59" s="126"/>
      <c r="I59" s="126"/>
      <c r="J59" s="12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35625F-E069-4BC5-B50C-6B25FD34001C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0" t="s">
        <v>1</v>
      </c>
      <c r="O1" s="210"/>
      <c r="P1" s="95" t="s">
        <v>2</v>
      </c>
      <c r="Q1" s="9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1" t="s">
        <v>7</v>
      </c>
      <c r="B4" s="162"/>
      <c r="C4" s="162"/>
      <c r="D4" s="163"/>
      <c r="F4" s="211" t="s">
        <v>8</v>
      </c>
      <c r="G4" s="213"/>
      <c r="H4" s="215" t="s">
        <v>9</v>
      </c>
      <c r="I4" s="217"/>
      <c r="J4" s="21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5" t="s">
        <v>7</v>
      </c>
      <c r="B5" s="15" t="s">
        <v>11</v>
      </c>
      <c r="C5" s="9" t="s">
        <v>12</v>
      </c>
      <c r="D5" s="25" t="s">
        <v>13</v>
      </c>
      <c r="F5" s="212"/>
      <c r="G5" s="214"/>
      <c r="H5" s="216"/>
      <c r="I5" s="219"/>
      <c r="J5" s="22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6"/>
      <c r="B6" s="16"/>
      <c r="C6" s="10"/>
      <c r="D6" s="13">
        <f t="shared" ref="D6:D28" si="1">C6*L6</f>
        <v>0</v>
      </c>
      <c r="F6" s="221" t="s">
        <v>16</v>
      </c>
      <c r="G6" s="223"/>
      <c r="H6" s="224"/>
      <c r="I6" s="224"/>
      <c r="J6" s="22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6"/>
      <c r="B7" s="16"/>
      <c r="C7" s="10"/>
      <c r="D7" s="13">
        <f t="shared" si="1"/>
        <v>0</v>
      </c>
      <c r="F7" s="222"/>
      <c r="G7" s="226"/>
      <c r="H7" s="227"/>
      <c r="I7" s="227"/>
      <c r="J7" s="22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6"/>
      <c r="B8" s="16"/>
      <c r="C8" s="10"/>
      <c r="D8" s="13">
        <f t="shared" si="1"/>
        <v>0</v>
      </c>
      <c r="F8" s="229" t="s">
        <v>21</v>
      </c>
      <c r="G8" s="230"/>
      <c r="H8" s="231"/>
      <c r="I8" s="231"/>
      <c r="J8" s="23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6"/>
      <c r="B9" s="16"/>
      <c r="C9" s="10"/>
      <c r="D9" s="13">
        <f t="shared" si="1"/>
        <v>0</v>
      </c>
      <c r="F9" s="222"/>
      <c r="G9" s="233"/>
      <c r="H9" s="234"/>
      <c r="I9" s="234"/>
      <c r="J9" s="23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6"/>
      <c r="C10" s="10"/>
      <c r="D10" s="13">
        <f t="shared" si="1"/>
        <v>0</v>
      </c>
      <c r="F10" s="221" t="s">
        <v>26</v>
      </c>
      <c r="G10" s="236"/>
      <c r="H10" s="237"/>
      <c r="I10" s="237"/>
      <c r="J10" s="238"/>
      <c r="K10" s="8"/>
      <c r="L10" s="6">
        <f>R36</f>
        <v>972</v>
      </c>
      <c r="P10" s="4"/>
      <c r="Q10" s="4"/>
      <c r="R10" s="5"/>
    </row>
    <row r="11" spans="1:19" ht="15.75" x14ac:dyDescent="0.25">
      <c r="A11" s="156"/>
      <c r="B11" s="17"/>
      <c r="C11" s="10"/>
      <c r="D11" s="13">
        <f t="shared" si="1"/>
        <v>0</v>
      </c>
      <c r="F11" s="222"/>
      <c r="G11" s="233"/>
      <c r="H11" s="234"/>
      <c r="I11" s="234"/>
      <c r="J11" s="23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6"/>
      <c r="B12" s="17"/>
      <c r="C12" s="10"/>
      <c r="D12" s="48">
        <f t="shared" si="1"/>
        <v>0</v>
      </c>
      <c r="F12" s="239" t="s">
        <v>33</v>
      </c>
      <c r="G12" s="240"/>
      <c r="H12" s="240"/>
      <c r="I12" s="240"/>
      <c r="J12" s="24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6"/>
      <c r="B13" s="17"/>
      <c r="C13" s="10"/>
      <c r="D13" s="48">
        <f t="shared" si="1"/>
        <v>0</v>
      </c>
      <c r="F13" s="242" t="s">
        <v>36</v>
      </c>
      <c r="G13" s="206"/>
      <c r="H13" s="197">
        <f>D29</f>
        <v>0</v>
      </c>
      <c r="I13" s="198"/>
      <c r="J13" s="19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6"/>
      <c r="B14" s="14"/>
      <c r="C14" s="10"/>
      <c r="D14" s="31">
        <f t="shared" si="1"/>
        <v>0</v>
      </c>
      <c r="F14" s="200" t="s">
        <v>38</v>
      </c>
      <c r="G14" s="201"/>
      <c r="H14" s="202">
        <f>D54</f>
        <v>0</v>
      </c>
      <c r="I14" s="203"/>
      <c r="J14" s="20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6"/>
      <c r="B15" s="14"/>
      <c r="C15" s="10"/>
      <c r="D15" s="31">
        <f t="shared" si="1"/>
        <v>0</v>
      </c>
      <c r="F15" s="205" t="s">
        <v>39</v>
      </c>
      <c r="G15" s="206"/>
      <c r="H15" s="207">
        <f>H13-H14</f>
        <v>0</v>
      </c>
      <c r="I15" s="208"/>
      <c r="J15" s="20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6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7"/>
      <c r="I16" s="167"/>
      <c r="J16" s="16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6"/>
      <c r="C17" s="10"/>
      <c r="D17" s="48">
        <f t="shared" si="1"/>
        <v>0</v>
      </c>
      <c r="F17" s="56"/>
      <c r="G17" s="66" t="s">
        <v>44</v>
      </c>
      <c r="H17" s="178"/>
      <c r="I17" s="178"/>
      <c r="J17" s="17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6"/>
      <c r="B18" s="19"/>
      <c r="C18" s="10"/>
      <c r="D18" s="48">
        <f t="shared" si="1"/>
        <v>0</v>
      </c>
      <c r="F18" s="56"/>
      <c r="G18" s="66" t="s">
        <v>46</v>
      </c>
      <c r="H18" s="178"/>
      <c r="I18" s="178"/>
      <c r="J18" s="17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6"/>
      <c r="B19" s="14"/>
      <c r="C19" s="10"/>
      <c r="D19" s="48">
        <f t="shared" si="1"/>
        <v>0</v>
      </c>
      <c r="F19" s="56"/>
      <c r="G19" s="68" t="s">
        <v>49</v>
      </c>
      <c r="H19" s="179"/>
      <c r="I19" s="179"/>
      <c r="J19" s="17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6"/>
      <c r="B20" s="46"/>
      <c r="C20" s="10"/>
      <c r="D20" s="13">
        <f t="shared" si="1"/>
        <v>0</v>
      </c>
      <c r="F20" s="57"/>
      <c r="G20" s="70" t="s">
        <v>102</v>
      </c>
      <c r="H20" s="167"/>
      <c r="I20" s="167"/>
      <c r="J20" s="167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6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80" t="s">
        <v>13</v>
      </c>
      <c r="I21" s="181"/>
      <c r="J21" s="182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6"/>
      <c r="B22" s="46"/>
      <c r="C22" s="10"/>
      <c r="D22" s="48">
        <f t="shared" si="1"/>
        <v>0</v>
      </c>
      <c r="F22" s="77"/>
      <c r="G22" s="73"/>
      <c r="H22" s="183"/>
      <c r="I22" s="183"/>
      <c r="J22" s="183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6"/>
      <c r="B23" s="14"/>
      <c r="C23" s="10"/>
      <c r="D23" s="48">
        <f t="shared" si="1"/>
        <v>0</v>
      </c>
      <c r="F23" s="78"/>
      <c r="G23" s="79"/>
      <c r="H23" s="184"/>
      <c r="I23" s="153"/>
      <c r="J23" s="153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6"/>
      <c r="B24" s="14"/>
      <c r="C24" s="10"/>
      <c r="D24" s="48">
        <f t="shared" si="1"/>
        <v>0</v>
      </c>
      <c r="F24" s="38"/>
      <c r="G24" s="37"/>
      <c r="H24" s="184"/>
      <c r="I24" s="153"/>
      <c r="J24" s="153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6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5" t="s">
        <v>13</v>
      </c>
      <c r="I25" s="186"/>
      <c r="J25" s="187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6"/>
      <c r="B26" s="14"/>
      <c r="C26" s="10"/>
      <c r="D26" s="48">
        <f t="shared" si="1"/>
        <v>0</v>
      </c>
      <c r="F26" s="64"/>
      <c r="G26" s="59"/>
      <c r="H26" s="188"/>
      <c r="I26" s="189"/>
      <c r="J26" s="190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6"/>
      <c r="B27" s="14"/>
      <c r="C27" s="10"/>
      <c r="D27" s="44">
        <f t="shared" si="1"/>
        <v>0</v>
      </c>
      <c r="F27" s="25"/>
      <c r="G27" s="80"/>
      <c r="H27" s="191"/>
      <c r="I27" s="192"/>
      <c r="J27" s="193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7"/>
      <c r="B28" s="46"/>
      <c r="C28" s="10"/>
      <c r="D28" s="48">
        <f t="shared" si="1"/>
        <v>0</v>
      </c>
      <c r="F28" s="96"/>
      <c r="G28" s="61"/>
      <c r="H28" s="194"/>
      <c r="I28" s="195"/>
      <c r="J28" s="196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8" t="s">
        <v>36</v>
      </c>
      <c r="B29" s="169"/>
      <c r="C29" s="170"/>
      <c r="D29" s="174">
        <f>SUM(D6:D28)</f>
        <v>0</v>
      </c>
      <c r="F29" s="114" t="s">
        <v>54</v>
      </c>
      <c r="G29" s="176"/>
      <c r="H29" s="136">
        <f>H15-H16-H17-H18-H19-H20-H22-H23-H24+H26+H27</f>
        <v>0</v>
      </c>
      <c r="I29" s="137"/>
      <c r="J29" s="13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1"/>
      <c r="B30" s="172"/>
      <c r="C30" s="173"/>
      <c r="D30" s="175"/>
      <c r="F30" s="117"/>
      <c r="G30" s="177"/>
      <c r="H30" s="139"/>
      <c r="I30" s="140"/>
      <c r="J30" s="14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1" t="s">
        <v>57</v>
      </c>
      <c r="B32" s="162"/>
      <c r="C32" s="162"/>
      <c r="D32" s="163"/>
      <c r="F32" s="164" t="s">
        <v>58</v>
      </c>
      <c r="G32" s="165"/>
      <c r="H32" s="165"/>
      <c r="I32" s="165"/>
      <c r="J32" s="166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164" t="s">
        <v>13</v>
      </c>
      <c r="I33" s="165"/>
      <c r="J33" s="16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5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58"/>
      <c r="I34" s="159"/>
      <c r="J34" s="160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6"/>
      <c r="B35" s="27" t="s">
        <v>67</v>
      </c>
      <c r="C35" s="52"/>
      <c r="D35" s="30">
        <f>C35*84</f>
        <v>0</v>
      </c>
      <c r="F35" s="58">
        <v>500</v>
      </c>
      <c r="G35" s="41"/>
      <c r="H35" s="158"/>
      <c r="I35" s="159"/>
      <c r="J35" s="16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7"/>
      <c r="B36" s="26" t="s">
        <v>69</v>
      </c>
      <c r="C36" s="10"/>
      <c r="D36" s="12">
        <f>C36*1.5</f>
        <v>0</v>
      </c>
      <c r="F36" s="12">
        <v>200</v>
      </c>
      <c r="G36" s="37"/>
      <c r="H36" s="158"/>
      <c r="I36" s="159"/>
      <c r="J36" s="160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8"/>
      <c r="I37" s="159"/>
      <c r="J37" s="160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6"/>
      <c r="B38" s="29" t="s">
        <v>67</v>
      </c>
      <c r="C38" s="54"/>
      <c r="D38" s="12">
        <f>C38*84</f>
        <v>0</v>
      </c>
      <c r="F38" s="30">
        <v>50</v>
      </c>
      <c r="G38" s="39"/>
      <c r="H38" s="158"/>
      <c r="I38" s="159"/>
      <c r="J38" s="160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7"/>
      <c r="B39" s="29" t="s">
        <v>69</v>
      </c>
      <c r="C39" s="52"/>
      <c r="D39" s="31">
        <f>C39*4.5</f>
        <v>0</v>
      </c>
      <c r="F39" s="12">
        <v>20</v>
      </c>
      <c r="G39" s="37"/>
      <c r="H39" s="158"/>
      <c r="I39" s="159"/>
      <c r="J39" s="16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8"/>
      <c r="I40" s="159"/>
      <c r="J40" s="160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6"/>
      <c r="B41" s="27" t="s">
        <v>67</v>
      </c>
      <c r="C41" s="10"/>
      <c r="D41" s="12">
        <f>C41*84</f>
        <v>0</v>
      </c>
      <c r="F41" s="12">
        <v>5</v>
      </c>
      <c r="G41" s="42"/>
      <c r="H41" s="158"/>
      <c r="I41" s="159"/>
      <c r="J41" s="160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7"/>
      <c r="B42" s="27" t="s">
        <v>69</v>
      </c>
      <c r="C42" s="11"/>
      <c r="D42" s="12">
        <f>C42*2.25</f>
        <v>0</v>
      </c>
      <c r="F42" s="39" t="s">
        <v>78</v>
      </c>
      <c r="G42" s="158"/>
      <c r="H42" s="159"/>
      <c r="I42" s="159"/>
      <c r="J42" s="160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8" t="s">
        <v>80</v>
      </c>
      <c r="C43" s="11"/>
      <c r="D43" s="12"/>
      <c r="F43" s="59" t="s">
        <v>81</v>
      </c>
      <c r="G43" s="93" t="s">
        <v>82</v>
      </c>
      <c r="H43" s="150" t="s">
        <v>13</v>
      </c>
      <c r="I43" s="151"/>
      <c r="J43" s="152"/>
      <c r="K43" s="21"/>
      <c r="P43" s="4"/>
      <c r="Q43" s="4"/>
      <c r="R43" s="5"/>
    </row>
    <row r="44" spans="1:18" ht="15.75" x14ac:dyDescent="0.25">
      <c r="A44" s="129"/>
      <c r="B44" s="27" t="s">
        <v>65</v>
      </c>
      <c r="C44" s="10"/>
      <c r="D44" s="12">
        <f>C44*120</f>
        <v>0</v>
      </c>
      <c r="F44" s="37"/>
      <c r="G44" s="76"/>
      <c r="H44" s="153"/>
      <c r="I44" s="153"/>
      <c r="J44" s="153"/>
      <c r="K44" s="21"/>
      <c r="P44" s="4"/>
      <c r="Q44" s="4"/>
      <c r="R44" s="5"/>
    </row>
    <row r="45" spans="1:18" ht="15.75" x14ac:dyDescent="0.25">
      <c r="A45" s="129"/>
      <c r="B45" s="27" t="s">
        <v>67</v>
      </c>
      <c r="C45" s="33"/>
      <c r="D45" s="12">
        <f>C45*84</f>
        <v>0</v>
      </c>
      <c r="F45" s="37"/>
      <c r="G45" s="76"/>
      <c r="H45" s="153"/>
      <c r="I45" s="153"/>
      <c r="J45" s="153"/>
      <c r="K45" s="21"/>
      <c r="P45" s="4"/>
      <c r="Q45" s="4"/>
      <c r="R45" s="5"/>
    </row>
    <row r="46" spans="1:18" ht="15.75" x14ac:dyDescent="0.25">
      <c r="A46" s="129"/>
      <c r="B46" s="49" t="s">
        <v>69</v>
      </c>
      <c r="C46" s="81"/>
      <c r="D46" s="12">
        <f>C46*1.5</f>
        <v>0</v>
      </c>
      <c r="F46" s="37"/>
      <c r="G46" s="62"/>
      <c r="H46" s="154"/>
      <c r="I46" s="154"/>
      <c r="J46" s="154"/>
      <c r="K46" s="21"/>
      <c r="P46" s="4"/>
      <c r="Q46" s="4"/>
      <c r="R46" s="5"/>
    </row>
    <row r="47" spans="1:18" ht="15.75" x14ac:dyDescent="0.25">
      <c r="A47" s="130"/>
      <c r="B47" s="27"/>
      <c r="C47" s="11"/>
      <c r="D47" s="12"/>
      <c r="F47" s="59"/>
      <c r="G47" s="59"/>
      <c r="H47" s="131"/>
      <c r="I47" s="132"/>
      <c r="J47" s="133"/>
      <c r="K47" s="21"/>
      <c r="P47" s="4"/>
      <c r="Q47" s="4"/>
      <c r="R47" s="5"/>
    </row>
    <row r="48" spans="1:18" ht="15" customHeight="1" x14ac:dyDescent="0.25">
      <c r="A48" s="128" t="s">
        <v>32</v>
      </c>
      <c r="B48" s="27" t="s">
        <v>65</v>
      </c>
      <c r="C48" s="10"/>
      <c r="D48" s="12">
        <f>C48*78</f>
        <v>0</v>
      </c>
      <c r="F48" s="59"/>
      <c r="G48" s="59"/>
      <c r="H48" s="131"/>
      <c r="I48" s="132"/>
      <c r="J48" s="13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9"/>
      <c r="B49" s="29" t="s">
        <v>67</v>
      </c>
      <c r="C49" s="33"/>
      <c r="D49" s="12">
        <f>C49*42</f>
        <v>0</v>
      </c>
      <c r="F49" s="134" t="s">
        <v>85</v>
      </c>
      <c r="G49" s="136">
        <f>H34+H35+H36+H37+H38+H39+H40+H41+G42+H44+H45+H46</f>
        <v>0</v>
      </c>
      <c r="H49" s="137"/>
      <c r="I49" s="137"/>
      <c r="J49" s="13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9"/>
      <c r="B50" s="32" t="s">
        <v>69</v>
      </c>
      <c r="C50" s="11"/>
      <c r="D50" s="12">
        <f>C50*1.5</f>
        <v>0</v>
      </c>
      <c r="F50" s="135"/>
      <c r="G50" s="139"/>
      <c r="H50" s="140"/>
      <c r="I50" s="140"/>
      <c r="J50" s="141"/>
      <c r="P50" s="4"/>
      <c r="Q50" s="4"/>
      <c r="R50" s="5"/>
    </row>
    <row r="51" spans="1:18" ht="15" customHeight="1" x14ac:dyDescent="0.25">
      <c r="A51" s="129"/>
      <c r="B51" s="27"/>
      <c r="C51" s="10"/>
      <c r="D51" s="31"/>
      <c r="F51" s="142" t="s">
        <v>106</v>
      </c>
      <c r="G51" s="144">
        <f>G49-H29</f>
        <v>0</v>
      </c>
      <c r="H51" s="145"/>
      <c r="I51" s="145"/>
      <c r="J51" s="146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9"/>
      <c r="B52" s="29"/>
      <c r="C52" s="33"/>
      <c r="D52" s="45"/>
      <c r="F52" s="143"/>
      <c r="G52" s="147"/>
      <c r="H52" s="148"/>
      <c r="I52" s="148"/>
      <c r="J52" s="14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4" t="s">
        <v>89</v>
      </c>
      <c r="B54" s="115"/>
      <c r="C54" s="116"/>
      <c r="D54" s="120">
        <f>SUM(D34:D53)</f>
        <v>0</v>
      </c>
      <c r="F54" s="21"/>
      <c r="J54" s="34"/>
    </row>
    <row r="55" spans="1:18" x14ac:dyDescent="0.25">
      <c r="A55" s="117"/>
      <c r="B55" s="118"/>
      <c r="C55" s="119"/>
      <c r="D55" s="1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2" t="s">
        <v>90</v>
      </c>
      <c r="B58" s="123"/>
      <c r="C58" s="123"/>
      <c r="D58" s="124"/>
      <c r="F58" s="122" t="s">
        <v>91</v>
      </c>
      <c r="G58" s="123"/>
      <c r="H58" s="123"/>
      <c r="I58" s="123"/>
      <c r="J58" s="124"/>
    </row>
    <row r="59" spans="1:18" x14ac:dyDescent="0.25">
      <c r="A59" s="125"/>
      <c r="B59" s="126"/>
      <c r="C59" s="126"/>
      <c r="D59" s="127"/>
      <c r="F59" s="125"/>
      <c r="G59" s="126"/>
      <c r="H59" s="126"/>
      <c r="I59" s="126"/>
      <c r="J59" s="12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35F04B-4B43-4BB4-94E5-312CCA41D04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0" t="s">
        <v>1</v>
      </c>
      <c r="O1" s="210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1" t="s">
        <v>7</v>
      </c>
      <c r="B4" s="162"/>
      <c r="C4" s="162"/>
      <c r="D4" s="163"/>
      <c r="F4" s="211" t="s">
        <v>8</v>
      </c>
      <c r="G4" s="213">
        <v>1</v>
      </c>
      <c r="H4" s="215" t="s">
        <v>9</v>
      </c>
      <c r="I4" s="217">
        <v>46153</v>
      </c>
      <c r="J4" s="21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5" t="s">
        <v>7</v>
      </c>
      <c r="B5" s="15" t="s">
        <v>11</v>
      </c>
      <c r="C5" s="9" t="s">
        <v>12</v>
      </c>
      <c r="D5" s="25" t="s">
        <v>13</v>
      </c>
      <c r="F5" s="212"/>
      <c r="G5" s="214"/>
      <c r="H5" s="216"/>
      <c r="I5" s="219"/>
      <c r="J5" s="22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6"/>
      <c r="B6" s="16" t="s">
        <v>15</v>
      </c>
      <c r="C6" s="10"/>
      <c r="D6" s="13">
        <f t="shared" ref="D6:D28" si="1">C6*L6</f>
        <v>0</v>
      </c>
      <c r="F6" s="221" t="s">
        <v>16</v>
      </c>
      <c r="G6" s="223" t="s">
        <v>99</v>
      </c>
      <c r="H6" s="224"/>
      <c r="I6" s="224"/>
      <c r="J6" s="22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6"/>
      <c r="B7" s="16" t="s">
        <v>18</v>
      </c>
      <c r="C7" s="10"/>
      <c r="D7" s="13">
        <f t="shared" si="1"/>
        <v>0</v>
      </c>
      <c r="F7" s="222"/>
      <c r="G7" s="226"/>
      <c r="H7" s="227"/>
      <c r="I7" s="227"/>
      <c r="J7" s="22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6"/>
      <c r="B8" s="16" t="s">
        <v>20</v>
      </c>
      <c r="C8" s="10"/>
      <c r="D8" s="13">
        <f t="shared" si="1"/>
        <v>0</v>
      </c>
      <c r="F8" s="229" t="s">
        <v>21</v>
      </c>
      <c r="G8" s="230" t="s">
        <v>120</v>
      </c>
      <c r="H8" s="231"/>
      <c r="I8" s="231"/>
      <c r="J8" s="23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6"/>
      <c r="B9" s="16" t="s">
        <v>23</v>
      </c>
      <c r="C9" s="10"/>
      <c r="D9" s="13">
        <f t="shared" si="1"/>
        <v>0</v>
      </c>
      <c r="F9" s="222"/>
      <c r="G9" s="233"/>
      <c r="H9" s="234"/>
      <c r="I9" s="234"/>
      <c r="J9" s="23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6"/>
      <c r="B10" t="s">
        <v>25</v>
      </c>
      <c r="C10" s="10"/>
      <c r="D10" s="13">
        <f t="shared" si="1"/>
        <v>0</v>
      </c>
      <c r="F10" s="221" t="s">
        <v>26</v>
      </c>
      <c r="G10" s="236" t="s">
        <v>108</v>
      </c>
      <c r="H10" s="237"/>
      <c r="I10" s="237"/>
      <c r="J10" s="238"/>
      <c r="K10" s="8"/>
      <c r="L10" s="6">
        <f>R36</f>
        <v>1032</v>
      </c>
      <c r="P10" s="4"/>
      <c r="Q10" s="4"/>
      <c r="R10" s="5"/>
    </row>
    <row r="11" spans="1:18" ht="15.75" x14ac:dyDescent="0.25">
      <c r="A11" s="156"/>
      <c r="B11" s="17" t="s">
        <v>28</v>
      </c>
      <c r="C11" s="10"/>
      <c r="D11" s="13">
        <f t="shared" si="1"/>
        <v>0</v>
      </c>
      <c r="F11" s="222"/>
      <c r="G11" s="233"/>
      <c r="H11" s="234"/>
      <c r="I11" s="234"/>
      <c r="J11" s="23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6"/>
      <c r="B12" s="17" t="s">
        <v>30</v>
      </c>
      <c r="C12" s="10"/>
      <c r="D12" s="48">
        <f t="shared" si="1"/>
        <v>0</v>
      </c>
      <c r="F12" s="239" t="s">
        <v>33</v>
      </c>
      <c r="G12" s="240"/>
      <c r="H12" s="240"/>
      <c r="I12" s="240"/>
      <c r="J12" s="24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6"/>
      <c r="B13" s="17" t="s">
        <v>32</v>
      </c>
      <c r="C13" s="10"/>
      <c r="D13" s="48">
        <f t="shared" si="1"/>
        <v>0</v>
      </c>
      <c r="F13" s="242" t="s">
        <v>36</v>
      </c>
      <c r="G13" s="206"/>
      <c r="H13" s="197">
        <f>D29</f>
        <v>0</v>
      </c>
      <c r="I13" s="198"/>
      <c r="J13" s="19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6"/>
      <c r="B14" s="14" t="s">
        <v>35</v>
      </c>
      <c r="C14" s="10"/>
      <c r="D14" s="31">
        <f t="shared" si="1"/>
        <v>0</v>
      </c>
      <c r="F14" s="200" t="s">
        <v>38</v>
      </c>
      <c r="G14" s="201"/>
      <c r="H14" s="202">
        <f>D54</f>
        <v>0</v>
      </c>
      <c r="I14" s="203"/>
      <c r="J14" s="20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6"/>
      <c r="B15" s="14" t="s">
        <v>122</v>
      </c>
      <c r="C15" s="10"/>
      <c r="D15" s="31">
        <f t="shared" si="1"/>
        <v>0</v>
      </c>
      <c r="F15" s="205" t="s">
        <v>39</v>
      </c>
      <c r="G15" s="206"/>
      <c r="H15" s="207">
        <f>H13-H14</f>
        <v>0</v>
      </c>
      <c r="I15" s="208"/>
      <c r="J15" s="20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6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67"/>
      <c r="I16" s="167"/>
      <c r="J16" s="16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6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78"/>
      <c r="I17" s="178"/>
      <c r="J17" s="17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6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78"/>
      <c r="I18" s="178"/>
      <c r="J18" s="17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6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67"/>
      <c r="I19" s="167"/>
      <c r="J19" s="16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6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67"/>
      <c r="I20" s="167"/>
      <c r="J20" s="16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6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0" t="s">
        <v>13</v>
      </c>
      <c r="I21" s="181"/>
      <c r="J21" s="18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6"/>
      <c r="B22" s="46" t="s">
        <v>103</v>
      </c>
      <c r="C22" s="10"/>
      <c r="D22" s="48">
        <f t="shared" si="1"/>
        <v>0</v>
      </c>
      <c r="F22" s="77"/>
      <c r="G22" s="73"/>
      <c r="H22" s="183"/>
      <c r="I22" s="183"/>
      <c r="J22" s="18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6"/>
      <c r="B23" s="14" t="s">
        <v>121</v>
      </c>
      <c r="C23" s="10"/>
      <c r="D23" s="48">
        <f t="shared" si="1"/>
        <v>0</v>
      </c>
      <c r="F23" s="77"/>
      <c r="G23" s="79"/>
      <c r="H23" s="251"/>
      <c r="I23" s="252"/>
      <c r="J23" s="25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6"/>
      <c r="B24" s="14" t="s">
        <v>128</v>
      </c>
      <c r="C24" s="10"/>
      <c r="D24" s="48">
        <f t="shared" si="1"/>
        <v>0</v>
      </c>
      <c r="F24" s="77"/>
      <c r="G24" s="79"/>
      <c r="H24" s="251"/>
      <c r="I24" s="252"/>
      <c r="J24" s="25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5" t="s">
        <v>13</v>
      </c>
      <c r="I25" s="186"/>
      <c r="J25" s="18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6"/>
      <c r="B26" s="14" t="s">
        <v>129</v>
      </c>
      <c r="C26" s="10"/>
      <c r="D26" s="48">
        <f t="shared" si="1"/>
        <v>0</v>
      </c>
      <c r="F26" s="75"/>
      <c r="G26" s="65"/>
      <c r="H26" s="153"/>
      <c r="I26" s="153"/>
      <c r="J26" s="15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6"/>
      <c r="B27" s="14" t="s">
        <v>130</v>
      </c>
      <c r="C27" s="10"/>
      <c r="D27" s="44">
        <f t="shared" si="1"/>
        <v>0</v>
      </c>
      <c r="F27" s="71"/>
      <c r="G27" s="93"/>
      <c r="H27" s="253"/>
      <c r="I27" s="254"/>
      <c r="J27" s="25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7"/>
      <c r="B28" s="46" t="s">
        <v>92</v>
      </c>
      <c r="C28" s="10"/>
      <c r="D28" s="48">
        <f t="shared" si="1"/>
        <v>0</v>
      </c>
      <c r="F28" s="96"/>
      <c r="G28" s="61"/>
      <c r="H28" s="194"/>
      <c r="I28" s="195"/>
      <c r="J28" s="19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8" t="s">
        <v>36</v>
      </c>
      <c r="B29" s="169"/>
      <c r="C29" s="170"/>
      <c r="D29" s="174">
        <f>SUM(D6:D28)</f>
        <v>0</v>
      </c>
      <c r="F29" s="114" t="s">
        <v>54</v>
      </c>
      <c r="G29" s="176"/>
      <c r="H29" s="136">
        <f>H15-H16-H17-H18-H19-H20-H22-H23-H24+H26+H27+H28</f>
        <v>0</v>
      </c>
      <c r="I29" s="137"/>
      <c r="J29" s="13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1"/>
      <c r="B30" s="172"/>
      <c r="C30" s="173"/>
      <c r="D30" s="175"/>
      <c r="F30" s="117"/>
      <c r="G30" s="177"/>
      <c r="H30" s="139"/>
      <c r="I30" s="140"/>
      <c r="J30" s="141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1" t="s">
        <v>57</v>
      </c>
      <c r="B32" s="162"/>
      <c r="C32" s="162"/>
      <c r="D32" s="163"/>
      <c r="F32" s="164" t="s">
        <v>58</v>
      </c>
      <c r="G32" s="165"/>
      <c r="H32" s="165"/>
      <c r="I32" s="165"/>
      <c r="J32" s="16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164" t="s">
        <v>13</v>
      </c>
      <c r="I33" s="165"/>
      <c r="J33" s="16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5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58">
        <f t="shared" ref="H34:H39" si="2">F34*G34</f>
        <v>0</v>
      </c>
      <c r="I34" s="159"/>
      <c r="J34" s="16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6"/>
      <c r="B35" s="27" t="s">
        <v>67</v>
      </c>
      <c r="C35" s="52"/>
      <c r="D35" s="30">
        <f>C35*84</f>
        <v>0</v>
      </c>
      <c r="F35" s="58">
        <v>500</v>
      </c>
      <c r="G35" s="41"/>
      <c r="H35" s="158">
        <f t="shared" si="2"/>
        <v>0</v>
      </c>
      <c r="I35" s="159"/>
      <c r="J35" s="16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7"/>
      <c r="B36" s="26" t="s">
        <v>69</v>
      </c>
      <c r="C36" s="10"/>
      <c r="D36" s="12">
        <f>C36*1.5</f>
        <v>0</v>
      </c>
      <c r="F36" s="12">
        <v>200</v>
      </c>
      <c r="G36" s="37"/>
      <c r="H36" s="158">
        <f t="shared" si="2"/>
        <v>0</v>
      </c>
      <c r="I36" s="159"/>
      <c r="J36" s="16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8">
        <f t="shared" si="2"/>
        <v>0</v>
      </c>
      <c r="I37" s="159"/>
      <c r="J37" s="16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6"/>
      <c r="B38" s="29" t="s">
        <v>67</v>
      </c>
      <c r="C38" s="54"/>
      <c r="D38" s="12">
        <f>C38*84</f>
        <v>0</v>
      </c>
      <c r="F38" s="30">
        <v>50</v>
      </c>
      <c r="G38" s="39"/>
      <c r="H38" s="158">
        <f t="shared" si="2"/>
        <v>0</v>
      </c>
      <c r="I38" s="159"/>
      <c r="J38" s="16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7"/>
      <c r="B39" s="29" t="s">
        <v>69</v>
      </c>
      <c r="C39" s="52"/>
      <c r="D39" s="31">
        <f>C39*4.5</f>
        <v>0</v>
      </c>
      <c r="F39" s="12">
        <v>20</v>
      </c>
      <c r="G39" s="37"/>
      <c r="H39" s="158">
        <f t="shared" si="2"/>
        <v>0</v>
      </c>
      <c r="I39" s="159"/>
      <c r="J39" s="16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8"/>
      <c r="I40" s="159"/>
      <c r="J40" s="16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6"/>
      <c r="B41" s="27" t="s">
        <v>67</v>
      </c>
      <c r="C41" s="10"/>
      <c r="D41" s="12">
        <f>C41*84</f>
        <v>0</v>
      </c>
      <c r="F41" s="12">
        <v>5</v>
      </c>
      <c r="G41" s="42"/>
      <c r="H41" s="158"/>
      <c r="I41" s="159"/>
      <c r="J41" s="16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7"/>
      <c r="B42" s="27" t="s">
        <v>69</v>
      </c>
      <c r="C42" s="11"/>
      <c r="D42" s="12">
        <f>C42*2.25</f>
        <v>0</v>
      </c>
      <c r="F42" s="39" t="s">
        <v>78</v>
      </c>
      <c r="G42" s="158"/>
      <c r="H42" s="159"/>
      <c r="I42" s="159"/>
      <c r="J42" s="16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8" t="s">
        <v>80</v>
      </c>
      <c r="C43" s="11"/>
      <c r="D43" s="12"/>
      <c r="F43" s="59" t="s">
        <v>81</v>
      </c>
      <c r="G43" s="93" t="s">
        <v>82</v>
      </c>
      <c r="H43" s="150" t="s">
        <v>13</v>
      </c>
      <c r="I43" s="151"/>
      <c r="J43" s="15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9"/>
      <c r="B44" s="27" t="s">
        <v>65</v>
      </c>
      <c r="C44" s="10"/>
      <c r="D44" s="12">
        <f>C44*120</f>
        <v>0</v>
      </c>
      <c r="F44" s="37"/>
      <c r="G44" s="62"/>
      <c r="H44" s="153"/>
      <c r="I44" s="153"/>
      <c r="J44" s="15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9"/>
      <c r="B45" s="27" t="s">
        <v>67</v>
      </c>
      <c r="C45" s="33"/>
      <c r="D45" s="12">
        <f>C45*84</f>
        <v>0</v>
      </c>
      <c r="F45" s="37"/>
      <c r="G45" s="62"/>
      <c r="H45" s="153"/>
      <c r="I45" s="153"/>
      <c r="J45" s="153"/>
      <c r="K45" s="21"/>
      <c r="P45" s="4"/>
      <c r="Q45" s="4"/>
      <c r="R45" s="5"/>
    </row>
    <row r="46" spans="1:18" ht="15.75" x14ac:dyDescent="0.25">
      <c r="A46" s="129"/>
      <c r="B46" s="49" t="s">
        <v>69</v>
      </c>
      <c r="C46" s="81"/>
      <c r="D46" s="12">
        <f>C46*1.5</f>
        <v>0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30"/>
      <c r="B47" s="27"/>
      <c r="C47" s="11"/>
      <c r="D47" s="12"/>
      <c r="F47" s="59"/>
      <c r="G47" s="59"/>
      <c r="H47" s="131"/>
      <c r="I47" s="132"/>
      <c r="J47" s="133"/>
      <c r="K47" s="21"/>
      <c r="P47" s="4"/>
      <c r="Q47" s="4"/>
      <c r="R47" s="5"/>
    </row>
    <row r="48" spans="1:18" ht="15" customHeight="1" x14ac:dyDescent="0.25">
      <c r="A48" s="128" t="s">
        <v>32</v>
      </c>
      <c r="B48" s="27" t="s">
        <v>65</v>
      </c>
      <c r="C48" s="10"/>
      <c r="D48" s="12">
        <f>C48*78</f>
        <v>0</v>
      </c>
      <c r="F48" s="59"/>
      <c r="G48" s="59"/>
      <c r="H48" s="131"/>
      <c r="I48" s="132"/>
      <c r="J48" s="13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9"/>
      <c r="B49" s="29" t="s">
        <v>67</v>
      </c>
      <c r="C49" s="33"/>
      <c r="D49" s="12">
        <f>C49*42</f>
        <v>0</v>
      </c>
      <c r="F49" s="134" t="s">
        <v>85</v>
      </c>
      <c r="G49" s="136">
        <f>H34+H35+H36+H37+H38+H39+H40+H41+G42+H44+H45+H46</f>
        <v>0</v>
      </c>
      <c r="H49" s="137"/>
      <c r="I49" s="137"/>
      <c r="J49" s="13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9"/>
      <c r="B50" s="32" t="s">
        <v>69</v>
      </c>
      <c r="C50" s="11"/>
      <c r="D50" s="12">
        <f>C50*1.5</f>
        <v>0</v>
      </c>
      <c r="F50" s="135"/>
      <c r="G50" s="139"/>
      <c r="H50" s="140"/>
      <c r="I50" s="140"/>
      <c r="J50" s="141"/>
      <c r="O50" t="s">
        <v>114</v>
      </c>
      <c r="P50" s="4">
        <v>1204</v>
      </c>
      <c r="Q50" s="4"/>
      <c r="R50" s="5"/>
    </row>
    <row r="51" spans="1:18" ht="15" customHeight="1" x14ac:dyDescent="0.25">
      <c r="A51" s="129"/>
      <c r="B51" s="27"/>
      <c r="C51" s="10"/>
      <c r="D51" s="31"/>
      <c r="F51" s="142" t="s">
        <v>109</v>
      </c>
      <c r="G51" s="255">
        <f>G49-H29</f>
        <v>0</v>
      </c>
      <c r="H51" s="256"/>
      <c r="I51" s="256"/>
      <c r="J51" s="25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9"/>
      <c r="B52" s="29"/>
      <c r="C52" s="33"/>
      <c r="D52" s="45"/>
      <c r="F52" s="143"/>
      <c r="G52" s="258"/>
      <c r="H52" s="259"/>
      <c r="I52" s="259"/>
      <c r="J52" s="2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4" t="s">
        <v>89</v>
      </c>
      <c r="B54" s="115"/>
      <c r="C54" s="116"/>
      <c r="D54" s="120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7"/>
      <c r="B55" s="118"/>
      <c r="C55" s="119"/>
      <c r="D55" s="1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22" t="s">
        <v>90</v>
      </c>
      <c r="B58" s="123"/>
      <c r="C58" s="123"/>
      <c r="D58" s="124"/>
      <c r="F58" s="122" t="s">
        <v>91</v>
      </c>
      <c r="G58" s="123"/>
      <c r="H58" s="123"/>
      <c r="I58" s="123"/>
      <c r="J58" s="124"/>
    </row>
    <row r="59" spans="1:18" x14ac:dyDescent="0.25">
      <c r="A59" s="125"/>
      <c r="B59" s="126"/>
      <c r="C59" s="126"/>
      <c r="D59" s="127"/>
      <c r="F59" s="125"/>
      <c r="G59" s="126"/>
      <c r="H59" s="126"/>
      <c r="I59" s="126"/>
      <c r="J59" s="12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11CEF7-40EE-4266-A801-E9F32214395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0" t="s">
        <v>1</v>
      </c>
      <c r="O1" s="210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1" t="s">
        <v>7</v>
      </c>
      <c r="B4" s="162"/>
      <c r="C4" s="162"/>
      <c r="D4" s="163"/>
      <c r="F4" s="211" t="s">
        <v>8</v>
      </c>
      <c r="G4" s="213">
        <v>2</v>
      </c>
      <c r="H4" s="215" t="s">
        <v>9</v>
      </c>
      <c r="I4" s="217">
        <v>46153</v>
      </c>
      <c r="J4" s="21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5" t="s">
        <v>7</v>
      </c>
      <c r="B5" s="15" t="s">
        <v>11</v>
      </c>
      <c r="C5" s="9" t="s">
        <v>12</v>
      </c>
      <c r="D5" s="25" t="s">
        <v>13</v>
      </c>
      <c r="F5" s="212"/>
      <c r="G5" s="214"/>
      <c r="H5" s="216"/>
      <c r="I5" s="219"/>
      <c r="J5" s="22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6"/>
      <c r="B6" s="16" t="s">
        <v>15</v>
      </c>
      <c r="C6" s="10"/>
      <c r="D6" s="13">
        <f t="shared" ref="D6:D28" si="1">C6*L6</f>
        <v>0</v>
      </c>
      <c r="F6" s="221" t="s">
        <v>16</v>
      </c>
      <c r="G6" s="223" t="s">
        <v>107</v>
      </c>
      <c r="H6" s="224"/>
      <c r="I6" s="224"/>
      <c r="J6" s="22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6"/>
      <c r="B7" s="16" t="s">
        <v>18</v>
      </c>
      <c r="C7" s="10"/>
      <c r="D7" s="13">
        <f t="shared" si="1"/>
        <v>0</v>
      </c>
      <c r="F7" s="222"/>
      <c r="G7" s="226"/>
      <c r="H7" s="227"/>
      <c r="I7" s="227"/>
      <c r="J7" s="22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6"/>
      <c r="B8" s="16" t="s">
        <v>20</v>
      </c>
      <c r="C8" s="10"/>
      <c r="D8" s="13">
        <f t="shared" si="1"/>
        <v>0</v>
      </c>
      <c r="F8" s="229" t="s">
        <v>21</v>
      </c>
      <c r="G8" s="230" t="s">
        <v>100</v>
      </c>
      <c r="H8" s="231"/>
      <c r="I8" s="231"/>
      <c r="J8" s="23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6"/>
      <c r="B9" s="16" t="s">
        <v>23</v>
      </c>
      <c r="C9" s="10"/>
      <c r="D9" s="13">
        <f t="shared" si="1"/>
        <v>0</v>
      </c>
      <c r="F9" s="222"/>
      <c r="G9" s="233"/>
      <c r="H9" s="234"/>
      <c r="I9" s="234"/>
      <c r="J9" s="23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6"/>
      <c r="B10" t="s">
        <v>25</v>
      </c>
      <c r="C10" s="10"/>
      <c r="D10" s="13">
        <f t="shared" si="1"/>
        <v>0</v>
      </c>
      <c r="F10" s="221" t="s">
        <v>26</v>
      </c>
      <c r="G10" s="236" t="s">
        <v>101</v>
      </c>
      <c r="H10" s="237"/>
      <c r="I10" s="237"/>
      <c r="J10" s="238"/>
      <c r="K10" s="8"/>
      <c r="L10" s="6">
        <f>R36</f>
        <v>1032</v>
      </c>
      <c r="P10" s="4"/>
      <c r="Q10" s="4"/>
      <c r="R10" s="5"/>
    </row>
    <row r="11" spans="1:18" ht="15.75" x14ac:dyDescent="0.25">
      <c r="A11" s="156"/>
      <c r="B11" s="17" t="s">
        <v>28</v>
      </c>
      <c r="C11" s="10"/>
      <c r="D11" s="13">
        <f t="shared" si="1"/>
        <v>0</v>
      </c>
      <c r="F11" s="222"/>
      <c r="G11" s="233"/>
      <c r="H11" s="234"/>
      <c r="I11" s="234"/>
      <c r="J11" s="23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6"/>
      <c r="B12" s="17" t="s">
        <v>30</v>
      </c>
      <c r="C12" s="10"/>
      <c r="D12" s="48">
        <f t="shared" si="1"/>
        <v>0</v>
      </c>
      <c r="F12" s="239" t="s">
        <v>33</v>
      </c>
      <c r="G12" s="240"/>
      <c r="H12" s="240"/>
      <c r="I12" s="240"/>
      <c r="J12" s="24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6"/>
      <c r="B13" s="17" t="s">
        <v>32</v>
      </c>
      <c r="C13" s="10"/>
      <c r="D13" s="48">
        <f t="shared" si="1"/>
        <v>0</v>
      </c>
      <c r="F13" s="242" t="s">
        <v>36</v>
      </c>
      <c r="G13" s="206"/>
      <c r="H13" s="197">
        <f>D29</f>
        <v>0</v>
      </c>
      <c r="I13" s="198"/>
      <c r="J13" s="19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6"/>
      <c r="B14" s="14" t="s">
        <v>35</v>
      </c>
      <c r="C14" s="10"/>
      <c r="D14" s="31">
        <f t="shared" si="1"/>
        <v>0</v>
      </c>
      <c r="F14" s="200" t="s">
        <v>38</v>
      </c>
      <c r="G14" s="201"/>
      <c r="H14" s="202">
        <f>D54</f>
        <v>0</v>
      </c>
      <c r="I14" s="203"/>
      <c r="J14" s="20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6"/>
      <c r="B15" s="14" t="s">
        <v>122</v>
      </c>
      <c r="C15" s="10"/>
      <c r="D15" s="31">
        <f t="shared" si="1"/>
        <v>0</v>
      </c>
      <c r="F15" s="205" t="s">
        <v>39</v>
      </c>
      <c r="G15" s="206"/>
      <c r="H15" s="207">
        <f>H13-H14</f>
        <v>0</v>
      </c>
      <c r="I15" s="208"/>
      <c r="J15" s="20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6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67"/>
      <c r="I16" s="167"/>
      <c r="J16" s="16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6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78"/>
      <c r="I17" s="178"/>
      <c r="J17" s="17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6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78"/>
      <c r="I18" s="178"/>
      <c r="J18" s="17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6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61"/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6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78"/>
      <c r="I20" s="178"/>
      <c r="J20" s="17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6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0" t="s">
        <v>13</v>
      </c>
      <c r="I21" s="181"/>
      <c r="J21" s="18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6"/>
      <c r="B22" s="46" t="s">
        <v>103</v>
      </c>
      <c r="C22" s="10"/>
      <c r="D22" s="48">
        <f t="shared" si="1"/>
        <v>0</v>
      </c>
      <c r="F22" s="72"/>
      <c r="G22" s="73"/>
      <c r="H22" s="183"/>
      <c r="I22" s="183"/>
      <c r="J22" s="18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6"/>
      <c r="B23" s="14" t="s">
        <v>121</v>
      </c>
      <c r="C23" s="10"/>
      <c r="D23" s="48">
        <f t="shared" si="1"/>
        <v>0</v>
      </c>
      <c r="F23" s="25"/>
      <c r="G23" s="37"/>
      <c r="H23" s="184"/>
      <c r="I23" s="153"/>
      <c r="J23" s="15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6"/>
      <c r="B24" s="14" t="s">
        <v>128</v>
      </c>
      <c r="C24" s="10"/>
      <c r="D24" s="48">
        <f t="shared" si="1"/>
        <v>0</v>
      </c>
      <c r="F24" s="38"/>
      <c r="G24" s="37"/>
      <c r="H24" s="184"/>
      <c r="I24" s="153"/>
      <c r="J24" s="15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5" t="s">
        <v>13</v>
      </c>
      <c r="I25" s="186"/>
      <c r="J25" s="18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6"/>
      <c r="B26" s="14" t="s">
        <v>129</v>
      </c>
      <c r="C26" s="10"/>
      <c r="D26" s="48">
        <f t="shared" si="1"/>
        <v>0</v>
      </c>
      <c r="F26" s="64"/>
      <c r="G26" s="10"/>
      <c r="H26" s="188"/>
      <c r="I26" s="189"/>
      <c r="J26" s="19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6"/>
      <c r="B27" s="14" t="s">
        <v>130</v>
      </c>
      <c r="C27" s="10"/>
      <c r="D27" s="44">
        <f t="shared" si="1"/>
        <v>0</v>
      </c>
      <c r="F27" s="14"/>
      <c r="G27" s="14"/>
      <c r="H27" s="191"/>
      <c r="I27" s="192"/>
      <c r="J27" s="19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7"/>
      <c r="B28" s="46" t="s">
        <v>92</v>
      </c>
      <c r="C28" s="10"/>
      <c r="D28" s="48">
        <f t="shared" si="1"/>
        <v>0</v>
      </c>
      <c r="F28" s="96"/>
      <c r="G28" s="61"/>
      <c r="H28" s="194"/>
      <c r="I28" s="195"/>
      <c r="J28" s="19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8" t="s">
        <v>36</v>
      </c>
      <c r="B29" s="169"/>
      <c r="C29" s="170"/>
      <c r="D29" s="174">
        <f>SUM(D6:D28)</f>
        <v>0</v>
      </c>
      <c r="F29" s="114" t="s">
        <v>54</v>
      </c>
      <c r="G29" s="176"/>
      <c r="H29" s="136">
        <f>H15-H16-H17-H18-H19-H20-H22-H23-H24+H26+H27</f>
        <v>0</v>
      </c>
      <c r="I29" s="137"/>
      <c r="J29" s="13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1"/>
      <c r="B30" s="172"/>
      <c r="C30" s="173"/>
      <c r="D30" s="175"/>
      <c r="F30" s="117"/>
      <c r="G30" s="177"/>
      <c r="H30" s="139"/>
      <c r="I30" s="140"/>
      <c r="J30" s="141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1" t="s">
        <v>57</v>
      </c>
      <c r="B32" s="162"/>
      <c r="C32" s="162"/>
      <c r="D32" s="163"/>
      <c r="F32" s="164" t="s">
        <v>58</v>
      </c>
      <c r="G32" s="165"/>
      <c r="H32" s="165"/>
      <c r="I32" s="165"/>
      <c r="J32" s="16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164" t="s">
        <v>13</v>
      </c>
      <c r="I33" s="165"/>
      <c r="J33" s="16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5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58">
        <f>F34*G34</f>
        <v>0</v>
      </c>
      <c r="I34" s="159"/>
      <c r="J34" s="16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6"/>
      <c r="B35" s="27" t="s">
        <v>67</v>
      </c>
      <c r="C35" s="52"/>
      <c r="D35" s="30">
        <f>C35*84</f>
        <v>0</v>
      </c>
      <c r="F35" s="58">
        <v>500</v>
      </c>
      <c r="G35" s="41"/>
      <c r="H35" s="158">
        <f t="shared" ref="H35:H39" si="2">F35*G35</f>
        <v>0</v>
      </c>
      <c r="I35" s="159"/>
      <c r="J35" s="16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7"/>
      <c r="B36" s="26" t="s">
        <v>69</v>
      </c>
      <c r="C36" s="10"/>
      <c r="D36" s="12">
        <f>C36*1.5</f>
        <v>0</v>
      </c>
      <c r="F36" s="12">
        <v>200</v>
      </c>
      <c r="G36" s="37"/>
      <c r="H36" s="158">
        <f>F36*G36</f>
        <v>0</v>
      </c>
      <c r="I36" s="159"/>
      <c r="J36" s="16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8">
        <f t="shared" si="2"/>
        <v>0</v>
      </c>
      <c r="I37" s="159"/>
      <c r="J37" s="16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6"/>
      <c r="B38" s="29" t="s">
        <v>67</v>
      </c>
      <c r="C38" s="54"/>
      <c r="D38" s="12">
        <f>C38*84</f>
        <v>0</v>
      </c>
      <c r="F38" s="30">
        <v>50</v>
      </c>
      <c r="G38" s="39"/>
      <c r="H38" s="158">
        <f t="shared" si="2"/>
        <v>0</v>
      </c>
      <c r="I38" s="159"/>
      <c r="J38" s="16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7"/>
      <c r="B39" s="29" t="s">
        <v>69</v>
      </c>
      <c r="C39" s="52"/>
      <c r="D39" s="31">
        <f>C39*4.5</f>
        <v>0</v>
      </c>
      <c r="F39" s="12">
        <v>20</v>
      </c>
      <c r="G39" s="37"/>
      <c r="H39" s="158">
        <f t="shared" si="2"/>
        <v>0</v>
      </c>
      <c r="I39" s="159"/>
      <c r="J39" s="16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8"/>
      <c r="I40" s="159"/>
      <c r="J40" s="16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6"/>
      <c r="B41" s="27" t="s">
        <v>67</v>
      </c>
      <c r="C41" s="10"/>
      <c r="D41" s="12">
        <f>C41*84</f>
        <v>0</v>
      </c>
      <c r="F41" s="12">
        <v>5</v>
      </c>
      <c r="G41" s="42"/>
      <c r="H41" s="158"/>
      <c r="I41" s="159"/>
      <c r="J41" s="16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7"/>
      <c r="B42" s="27" t="s">
        <v>69</v>
      </c>
      <c r="C42" s="11"/>
      <c r="D42" s="12">
        <f>C42*2.25</f>
        <v>0</v>
      </c>
      <c r="F42" s="39" t="s">
        <v>78</v>
      </c>
      <c r="G42" s="158"/>
      <c r="H42" s="159"/>
      <c r="I42" s="159"/>
      <c r="J42" s="16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8" t="s">
        <v>80</v>
      </c>
      <c r="C43" s="11"/>
      <c r="D43" s="12"/>
      <c r="F43" s="59" t="s">
        <v>81</v>
      </c>
      <c r="G43" s="93" t="s">
        <v>82</v>
      </c>
      <c r="H43" s="150" t="s">
        <v>13</v>
      </c>
      <c r="I43" s="151"/>
      <c r="J43" s="15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9"/>
      <c r="B44" s="27" t="s">
        <v>65</v>
      </c>
      <c r="C44" s="10"/>
      <c r="D44" s="12">
        <f>C44*120</f>
        <v>0</v>
      </c>
      <c r="F44" s="37"/>
      <c r="G44" s="62"/>
      <c r="H44" s="153"/>
      <c r="I44" s="153"/>
      <c r="J44" s="15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9"/>
      <c r="B45" s="27" t="s">
        <v>67</v>
      </c>
      <c r="C45" s="33"/>
      <c r="D45" s="12">
        <f>C45*84</f>
        <v>0</v>
      </c>
      <c r="F45" s="37"/>
      <c r="G45" s="62"/>
      <c r="H45" s="153"/>
      <c r="I45" s="153"/>
      <c r="J45" s="153"/>
      <c r="K45" s="21"/>
      <c r="P45" s="4"/>
      <c r="Q45" s="4"/>
      <c r="R45" s="5"/>
    </row>
    <row r="46" spans="1:18" ht="15.75" x14ac:dyDescent="0.25">
      <c r="A46" s="129"/>
      <c r="B46" s="49" t="s">
        <v>69</v>
      </c>
      <c r="C46" s="81"/>
      <c r="D46" s="12">
        <f>C46*1.5</f>
        <v>0</v>
      </c>
      <c r="F46" s="37"/>
      <c r="G46" s="94"/>
      <c r="H46" s="154"/>
      <c r="I46" s="154"/>
      <c r="J46" s="154"/>
      <c r="K46" s="21"/>
      <c r="P46" s="4"/>
      <c r="Q46" s="4"/>
      <c r="R46" s="5"/>
    </row>
    <row r="47" spans="1:18" ht="15.75" x14ac:dyDescent="0.25">
      <c r="A47" s="130"/>
      <c r="B47" s="27"/>
      <c r="C47" s="11"/>
      <c r="D47" s="12"/>
      <c r="F47" s="59"/>
      <c r="G47" s="59"/>
      <c r="H47" s="131"/>
      <c r="I47" s="132"/>
      <c r="J47" s="133"/>
      <c r="K47" s="21"/>
      <c r="P47" s="4"/>
      <c r="Q47" s="4"/>
      <c r="R47" s="5"/>
    </row>
    <row r="48" spans="1:18" ht="15" customHeight="1" x14ac:dyDescent="0.25">
      <c r="A48" s="128" t="s">
        <v>32</v>
      </c>
      <c r="B48" s="27" t="s">
        <v>65</v>
      </c>
      <c r="C48" s="10"/>
      <c r="D48" s="12">
        <f>C48*78</f>
        <v>0</v>
      </c>
      <c r="F48" s="59"/>
      <c r="G48" s="59"/>
      <c r="H48" s="131"/>
      <c r="I48" s="132"/>
      <c r="J48" s="13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9"/>
      <c r="B49" s="29" t="s">
        <v>67</v>
      </c>
      <c r="C49" s="33"/>
      <c r="D49" s="12">
        <f>C49*42</f>
        <v>0</v>
      </c>
      <c r="F49" s="134" t="s">
        <v>85</v>
      </c>
      <c r="G49" s="136">
        <f>H34+H35+H36+H37+H38+H39+H40+H41+G42+H44+H45+H46</f>
        <v>0</v>
      </c>
      <c r="H49" s="137"/>
      <c r="I49" s="137"/>
      <c r="J49" s="13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9"/>
      <c r="B50" s="32" t="s">
        <v>69</v>
      </c>
      <c r="C50" s="11"/>
      <c r="D50" s="12">
        <f>C50*1.5</f>
        <v>0</v>
      </c>
      <c r="F50" s="135"/>
      <c r="G50" s="139"/>
      <c r="H50" s="140"/>
      <c r="I50" s="140"/>
      <c r="J50" s="141"/>
      <c r="O50" t="s">
        <v>114</v>
      </c>
      <c r="P50" s="4">
        <v>1204</v>
      </c>
      <c r="Q50" s="4"/>
      <c r="R50" s="5"/>
    </row>
    <row r="51" spans="1:18" ht="15" customHeight="1" x14ac:dyDescent="0.25">
      <c r="A51" s="129"/>
      <c r="B51" s="27"/>
      <c r="C51" s="10"/>
      <c r="D51" s="31"/>
      <c r="F51" s="142" t="s">
        <v>112</v>
      </c>
      <c r="G51" s="144">
        <f>G49-H29</f>
        <v>0</v>
      </c>
      <c r="H51" s="145"/>
      <c r="I51" s="145"/>
      <c r="J51" s="14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9"/>
      <c r="B52" s="29"/>
      <c r="C52" s="33"/>
      <c r="D52" s="45"/>
      <c r="F52" s="143"/>
      <c r="G52" s="147"/>
      <c r="H52" s="148"/>
      <c r="I52" s="148"/>
      <c r="J52" s="14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4" t="s">
        <v>89</v>
      </c>
      <c r="B54" s="115"/>
      <c r="C54" s="116"/>
      <c r="D54" s="120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7"/>
      <c r="B55" s="118"/>
      <c r="C55" s="119"/>
      <c r="D55" s="1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22" t="s">
        <v>90</v>
      </c>
      <c r="B58" s="123"/>
      <c r="C58" s="123"/>
      <c r="D58" s="124"/>
      <c r="F58" s="122" t="s">
        <v>91</v>
      </c>
      <c r="G58" s="123"/>
      <c r="H58" s="123"/>
      <c r="I58" s="123"/>
      <c r="J58" s="124"/>
    </row>
    <row r="59" spans="1:18" x14ac:dyDescent="0.25">
      <c r="A59" s="125"/>
      <c r="B59" s="126"/>
      <c r="C59" s="126"/>
      <c r="D59" s="127"/>
      <c r="F59" s="125"/>
      <c r="G59" s="126"/>
      <c r="H59" s="126"/>
      <c r="I59" s="126"/>
      <c r="J59" s="12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2356DE-0757-4D68-9F36-AC6D547EC76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0" t="s">
        <v>1</v>
      </c>
      <c r="O1" s="210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1" t="s">
        <v>7</v>
      </c>
      <c r="B4" s="162"/>
      <c r="C4" s="162"/>
      <c r="D4" s="163"/>
      <c r="F4" s="211" t="s">
        <v>8</v>
      </c>
      <c r="G4" s="213">
        <v>3</v>
      </c>
      <c r="H4" s="215" t="s">
        <v>9</v>
      </c>
      <c r="I4" s="217">
        <v>46153</v>
      </c>
      <c r="J4" s="21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5" t="s">
        <v>7</v>
      </c>
      <c r="B5" s="15" t="s">
        <v>11</v>
      </c>
      <c r="C5" s="9" t="s">
        <v>12</v>
      </c>
      <c r="D5" s="25" t="s">
        <v>13</v>
      </c>
      <c r="F5" s="212"/>
      <c r="G5" s="214"/>
      <c r="H5" s="216"/>
      <c r="I5" s="219"/>
      <c r="J5" s="22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6"/>
      <c r="B6" s="16" t="s">
        <v>15</v>
      </c>
      <c r="C6" s="10"/>
      <c r="D6" s="13">
        <f t="shared" ref="D6:D28" si="1">C6*L6</f>
        <v>0</v>
      </c>
      <c r="F6" s="221" t="s">
        <v>16</v>
      </c>
      <c r="G6" s="223" t="s">
        <v>117</v>
      </c>
      <c r="H6" s="224"/>
      <c r="I6" s="224"/>
      <c r="J6" s="22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6"/>
      <c r="B7" s="16" t="s">
        <v>18</v>
      </c>
      <c r="C7" s="10"/>
      <c r="D7" s="13">
        <f t="shared" si="1"/>
        <v>0</v>
      </c>
      <c r="F7" s="222"/>
      <c r="G7" s="226"/>
      <c r="H7" s="227"/>
      <c r="I7" s="227"/>
      <c r="J7" s="22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6"/>
      <c r="B8" s="16" t="s">
        <v>20</v>
      </c>
      <c r="C8" s="10"/>
      <c r="D8" s="13">
        <f t="shared" si="1"/>
        <v>0</v>
      </c>
      <c r="F8" s="229" t="s">
        <v>21</v>
      </c>
      <c r="G8" s="230" t="s">
        <v>110</v>
      </c>
      <c r="H8" s="231"/>
      <c r="I8" s="231"/>
      <c r="J8" s="23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6"/>
      <c r="B9" s="16" t="s">
        <v>23</v>
      </c>
      <c r="C9" s="10"/>
      <c r="D9" s="13">
        <f t="shared" si="1"/>
        <v>0</v>
      </c>
      <c r="F9" s="222"/>
      <c r="G9" s="233"/>
      <c r="H9" s="234"/>
      <c r="I9" s="234"/>
      <c r="J9" s="23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6"/>
      <c r="B10" t="s">
        <v>25</v>
      </c>
      <c r="C10" s="10"/>
      <c r="D10" s="13">
        <f t="shared" si="1"/>
        <v>0</v>
      </c>
      <c r="F10" s="221" t="s">
        <v>26</v>
      </c>
      <c r="G10" s="236" t="s">
        <v>124</v>
      </c>
      <c r="H10" s="237"/>
      <c r="I10" s="237"/>
      <c r="J10" s="238"/>
      <c r="K10" s="8"/>
      <c r="L10" s="6">
        <f>R36</f>
        <v>1032</v>
      </c>
      <c r="P10" s="4"/>
      <c r="Q10" s="4"/>
      <c r="R10" s="5"/>
    </row>
    <row r="11" spans="1:18" ht="15.75" x14ac:dyDescent="0.25">
      <c r="A11" s="156"/>
      <c r="B11" s="17" t="s">
        <v>28</v>
      </c>
      <c r="C11" s="10"/>
      <c r="D11" s="13">
        <f t="shared" si="1"/>
        <v>0</v>
      </c>
      <c r="F11" s="222"/>
      <c r="G11" s="233"/>
      <c r="H11" s="234"/>
      <c r="I11" s="234"/>
      <c r="J11" s="23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6"/>
      <c r="B12" s="17" t="s">
        <v>30</v>
      </c>
      <c r="C12" s="10"/>
      <c r="D12" s="48">
        <f t="shared" si="1"/>
        <v>0</v>
      </c>
      <c r="F12" s="239" t="s">
        <v>33</v>
      </c>
      <c r="G12" s="240"/>
      <c r="H12" s="240"/>
      <c r="I12" s="240"/>
      <c r="J12" s="24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6"/>
      <c r="B13" s="17" t="s">
        <v>32</v>
      </c>
      <c r="C13" s="10"/>
      <c r="D13" s="48">
        <f t="shared" si="1"/>
        <v>0</v>
      </c>
      <c r="F13" s="242" t="s">
        <v>36</v>
      </c>
      <c r="G13" s="206"/>
      <c r="H13" s="197">
        <f>D29</f>
        <v>0</v>
      </c>
      <c r="I13" s="198"/>
      <c r="J13" s="19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6"/>
      <c r="B14" s="14" t="s">
        <v>35</v>
      </c>
      <c r="C14" s="10"/>
      <c r="D14" s="31">
        <f t="shared" si="1"/>
        <v>0</v>
      </c>
      <c r="F14" s="200" t="s">
        <v>38</v>
      </c>
      <c r="G14" s="201"/>
      <c r="H14" s="202">
        <f>D54</f>
        <v>0</v>
      </c>
      <c r="I14" s="203"/>
      <c r="J14" s="20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6"/>
      <c r="B15" s="14" t="s">
        <v>122</v>
      </c>
      <c r="C15" s="10"/>
      <c r="D15" s="31">
        <f t="shared" si="1"/>
        <v>0</v>
      </c>
      <c r="F15" s="205" t="s">
        <v>39</v>
      </c>
      <c r="G15" s="206"/>
      <c r="H15" s="207">
        <f>H13-H14</f>
        <v>0</v>
      </c>
      <c r="I15" s="208"/>
      <c r="J15" s="20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6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67"/>
      <c r="I16" s="167"/>
      <c r="J16" s="16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6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78"/>
      <c r="I17" s="178"/>
      <c r="J17" s="17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6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78"/>
      <c r="I18" s="178"/>
      <c r="J18" s="17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6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62"/>
      <c r="I19" s="262"/>
      <c r="J19" s="26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6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67"/>
      <c r="I20" s="167"/>
      <c r="J20" s="16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6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0" t="s">
        <v>13</v>
      </c>
      <c r="I21" s="181"/>
      <c r="J21" s="18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6"/>
      <c r="B22" s="46" t="s">
        <v>103</v>
      </c>
      <c r="C22" s="10"/>
      <c r="D22" s="48">
        <f t="shared" si="1"/>
        <v>0</v>
      </c>
      <c r="F22" s="77"/>
      <c r="G22" s="73"/>
      <c r="H22" s="183"/>
      <c r="I22" s="183"/>
      <c r="J22" s="18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6"/>
      <c r="B23" s="14" t="s">
        <v>121</v>
      </c>
      <c r="C23" s="10"/>
      <c r="D23" s="48">
        <f t="shared" si="1"/>
        <v>0</v>
      </c>
      <c r="F23" s="78"/>
      <c r="G23" s="79"/>
      <c r="H23" s="184"/>
      <c r="I23" s="153"/>
      <c r="J23" s="15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6"/>
      <c r="B24" s="14" t="s">
        <v>128</v>
      </c>
      <c r="C24" s="10"/>
      <c r="D24" s="48">
        <f t="shared" si="1"/>
        <v>0</v>
      </c>
      <c r="F24" s="38"/>
      <c r="G24" s="37"/>
      <c r="H24" s="184"/>
      <c r="I24" s="153"/>
      <c r="J24" s="15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5" t="s">
        <v>13</v>
      </c>
      <c r="I25" s="186"/>
      <c r="J25" s="18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6"/>
      <c r="B26" s="14" t="s">
        <v>129</v>
      </c>
      <c r="C26" s="10"/>
      <c r="D26" s="48">
        <f t="shared" si="1"/>
        <v>0</v>
      </c>
      <c r="F26" s="64"/>
      <c r="G26" s="59"/>
      <c r="H26" s="188"/>
      <c r="I26" s="189"/>
      <c r="J26" s="19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6"/>
      <c r="B27" s="14" t="s">
        <v>130</v>
      </c>
      <c r="C27" s="10"/>
      <c r="D27" s="44">
        <f t="shared" si="1"/>
        <v>0</v>
      </c>
      <c r="F27" s="25"/>
      <c r="G27" s="80"/>
      <c r="H27" s="191"/>
      <c r="I27" s="192"/>
      <c r="J27" s="19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7"/>
      <c r="B28" s="46" t="s">
        <v>92</v>
      </c>
      <c r="C28" s="10"/>
      <c r="D28" s="48">
        <f t="shared" si="1"/>
        <v>0</v>
      </c>
      <c r="F28" s="96"/>
      <c r="G28" s="61"/>
      <c r="H28" s="194"/>
      <c r="I28" s="195"/>
      <c r="J28" s="19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8" t="s">
        <v>36</v>
      </c>
      <c r="B29" s="169"/>
      <c r="C29" s="170"/>
      <c r="D29" s="174">
        <f>SUM(D6:D28)</f>
        <v>0</v>
      </c>
      <c r="F29" s="114" t="s">
        <v>54</v>
      </c>
      <c r="G29" s="176"/>
      <c r="H29" s="136">
        <f>H15-H16-H17-H18-H19-H20-H22-H23-H24+H26+H27</f>
        <v>0</v>
      </c>
      <c r="I29" s="137"/>
      <c r="J29" s="13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1"/>
      <c r="B30" s="172"/>
      <c r="C30" s="173"/>
      <c r="D30" s="175"/>
      <c r="F30" s="117"/>
      <c r="G30" s="177"/>
      <c r="H30" s="139"/>
      <c r="I30" s="140"/>
      <c r="J30" s="141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1" t="s">
        <v>57</v>
      </c>
      <c r="B32" s="162"/>
      <c r="C32" s="162"/>
      <c r="D32" s="163"/>
      <c r="F32" s="164" t="s">
        <v>58</v>
      </c>
      <c r="G32" s="165"/>
      <c r="H32" s="165"/>
      <c r="I32" s="165"/>
      <c r="J32" s="16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164" t="s">
        <v>13</v>
      </c>
      <c r="I33" s="165"/>
      <c r="J33" s="16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5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58">
        <f>F34*G34</f>
        <v>0</v>
      </c>
      <c r="I34" s="159"/>
      <c r="J34" s="16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6"/>
      <c r="B35" s="27" t="s">
        <v>67</v>
      </c>
      <c r="C35" s="52"/>
      <c r="D35" s="30">
        <f>C35*84</f>
        <v>0</v>
      </c>
      <c r="F35" s="58">
        <v>500</v>
      </c>
      <c r="G35" s="41"/>
      <c r="H35" s="158">
        <f>F35*G35</f>
        <v>0</v>
      </c>
      <c r="I35" s="159"/>
      <c r="J35" s="16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7"/>
      <c r="B36" s="26" t="s">
        <v>69</v>
      </c>
      <c r="C36" s="10"/>
      <c r="D36" s="12">
        <f>C36*1.5</f>
        <v>0</v>
      </c>
      <c r="F36" s="12">
        <v>200</v>
      </c>
      <c r="G36" s="37"/>
      <c r="H36" s="158">
        <f t="shared" ref="H36:H39" si="2">F36*G36</f>
        <v>0</v>
      </c>
      <c r="I36" s="159"/>
      <c r="J36" s="16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8">
        <f t="shared" si="2"/>
        <v>0</v>
      </c>
      <c r="I37" s="159"/>
      <c r="J37" s="16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6"/>
      <c r="B38" s="29" t="s">
        <v>67</v>
      </c>
      <c r="C38" s="54"/>
      <c r="D38" s="12">
        <f>C38*84</f>
        <v>0</v>
      </c>
      <c r="F38" s="30">
        <v>50</v>
      </c>
      <c r="G38" s="39"/>
      <c r="H38" s="158">
        <f t="shared" si="2"/>
        <v>0</v>
      </c>
      <c r="I38" s="159"/>
      <c r="J38" s="16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7"/>
      <c r="B39" s="29" t="s">
        <v>69</v>
      </c>
      <c r="C39" s="52"/>
      <c r="D39" s="31">
        <f>C39*4.5</f>
        <v>0</v>
      </c>
      <c r="F39" s="12">
        <v>20</v>
      </c>
      <c r="G39" s="37"/>
      <c r="H39" s="158">
        <f t="shared" si="2"/>
        <v>0</v>
      </c>
      <c r="I39" s="159"/>
      <c r="J39" s="16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8"/>
      <c r="I40" s="159"/>
      <c r="J40" s="16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6"/>
      <c r="B41" s="27" t="s">
        <v>67</v>
      </c>
      <c r="C41" s="10"/>
      <c r="D41" s="12">
        <f>C41*84</f>
        <v>0</v>
      </c>
      <c r="F41" s="12">
        <v>5</v>
      </c>
      <c r="G41" s="42"/>
      <c r="H41" s="158"/>
      <c r="I41" s="159"/>
      <c r="J41" s="16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7"/>
      <c r="B42" s="27" t="s">
        <v>69</v>
      </c>
      <c r="C42" s="11"/>
      <c r="D42" s="12">
        <f>C42*2.25</f>
        <v>0</v>
      </c>
      <c r="F42" s="39" t="s">
        <v>78</v>
      </c>
      <c r="G42" s="158"/>
      <c r="H42" s="159"/>
      <c r="I42" s="159"/>
      <c r="J42" s="16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8" t="s">
        <v>80</v>
      </c>
      <c r="C43" s="11"/>
      <c r="D43" s="12"/>
      <c r="F43" s="59" t="s">
        <v>81</v>
      </c>
      <c r="G43" s="93" t="s">
        <v>82</v>
      </c>
      <c r="H43" s="150" t="s">
        <v>13</v>
      </c>
      <c r="I43" s="151"/>
      <c r="J43" s="15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9"/>
      <c r="B44" s="27" t="s">
        <v>65</v>
      </c>
      <c r="C44" s="10"/>
      <c r="D44" s="12">
        <f>C44*120</f>
        <v>0</v>
      </c>
      <c r="F44" s="37"/>
      <c r="G44" s="76"/>
      <c r="H44" s="153"/>
      <c r="I44" s="153"/>
      <c r="J44" s="15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9"/>
      <c r="B45" s="27" t="s">
        <v>67</v>
      </c>
      <c r="C45" s="33"/>
      <c r="D45" s="12">
        <f>C45*84</f>
        <v>0</v>
      </c>
      <c r="F45" s="37"/>
      <c r="G45" s="76"/>
      <c r="H45" s="153"/>
      <c r="I45" s="153"/>
      <c r="J45" s="153"/>
      <c r="K45" s="21"/>
      <c r="P45" s="4"/>
      <c r="Q45" s="4"/>
      <c r="R45" s="5"/>
    </row>
    <row r="46" spans="1:18" ht="15.75" x14ac:dyDescent="0.25">
      <c r="A46" s="129"/>
      <c r="B46" s="49" t="s">
        <v>69</v>
      </c>
      <c r="C46" s="81"/>
      <c r="D46" s="12">
        <f>C46*1.5</f>
        <v>0</v>
      </c>
      <c r="F46" s="37"/>
      <c r="G46" s="62"/>
      <c r="H46" s="154"/>
      <c r="I46" s="154"/>
      <c r="J46" s="154"/>
      <c r="K46" s="21"/>
      <c r="P46" s="4"/>
      <c r="Q46" s="4"/>
      <c r="R46" s="5"/>
    </row>
    <row r="47" spans="1:18" ht="15.75" x14ac:dyDescent="0.25">
      <c r="A47" s="130"/>
      <c r="B47" s="27"/>
      <c r="C47" s="11"/>
      <c r="D47" s="12"/>
      <c r="F47" s="59"/>
      <c r="G47" s="59"/>
      <c r="H47" s="131"/>
      <c r="I47" s="132"/>
      <c r="J47" s="133"/>
      <c r="K47" s="21"/>
      <c r="P47" s="4"/>
      <c r="Q47" s="4"/>
      <c r="R47" s="5"/>
    </row>
    <row r="48" spans="1:18" ht="15" customHeight="1" x14ac:dyDescent="0.25">
      <c r="A48" s="128" t="s">
        <v>32</v>
      </c>
      <c r="B48" s="27" t="s">
        <v>65</v>
      </c>
      <c r="C48" s="10"/>
      <c r="D48" s="12">
        <f>C48*78</f>
        <v>0</v>
      </c>
      <c r="F48" s="59"/>
      <c r="G48" s="59"/>
      <c r="H48" s="131"/>
      <c r="I48" s="132"/>
      <c r="J48" s="13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9"/>
      <c r="B49" s="29" t="s">
        <v>67</v>
      </c>
      <c r="C49" s="33"/>
      <c r="D49" s="12">
        <f>C49*42</f>
        <v>0</v>
      </c>
      <c r="F49" s="134" t="s">
        <v>85</v>
      </c>
      <c r="G49" s="136">
        <f>H34+H35+H36+H37+H38+H39+H40+H41+G42+H44+H45+H46</f>
        <v>0</v>
      </c>
      <c r="H49" s="137"/>
      <c r="I49" s="137"/>
      <c r="J49" s="13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9"/>
      <c r="B50" s="32" t="s">
        <v>69</v>
      </c>
      <c r="C50" s="11"/>
      <c r="D50" s="12">
        <f>C50*1.5</f>
        <v>0</v>
      </c>
      <c r="F50" s="135"/>
      <c r="G50" s="139"/>
      <c r="H50" s="140"/>
      <c r="I50" s="140"/>
      <c r="J50" s="141"/>
      <c r="O50" t="s">
        <v>114</v>
      </c>
      <c r="P50" s="4">
        <v>1204</v>
      </c>
      <c r="Q50" s="4"/>
      <c r="R50" s="5"/>
    </row>
    <row r="51" spans="1:18" ht="15" customHeight="1" x14ac:dyDescent="0.25">
      <c r="A51" s="129"/>
      <c r="B51" s="27"/>
      <c r="C51" s="10"/>
      <c r="D51" s="31"/>
      <c r="F51" s="142" t="s">
        <v>115</v>
      </c>
      <c r="G51" s="144">
        <f>G49-H29</f>
        <v>0</v>
      </c>
      <c r="H51" s="145"/>
      <c r="I51" s="145"/>
      <c r="J51" s="14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9"/>
      <c r="B52" s="29"/>
      <c r="C52" s="33"/>
      <c r="D52" s="45"/>
      <c r="F52" s="143"/>
      <c r="G52" s="147"/>
      <c r="H52" s="148"/>
      <c r="I52" s="148"/>
      <c r="J52" s="14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4" t="s">
        <v>89</v>
      </c>
      <c r="B54" s="115"/>
      <c r="C54" s="116"/>
      <c r="D54" s="120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7"/>
      <c r="B55" s="118"/>
      <c r="C55" s="119"/>
      <c r="D55" s="1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2" t="s">
        <v>90</v>
      </c>
      <c r="B58" s="123"/>
      <c r="C58" s="123"/>
      <c r="D58" s="124"/>
      <c r="F58" s="122" t="s">
        <v>91</v>
      </c>
      <c r="G58" s="123"/>
      <c r="H58" s="123"/>
      <c r="I58" s="123"/>
      <c r="J58" s="124"/>
    </row>
    <row r="59" spans="1:18" x14ac:dyDescent="0.25">
      <c r="A59" s="125"/>
      <c r="B59" s="126"/>
      <c r="C59" s="126"/>
      <c r="D59" s="127"/>
      <c r="F59" s="125"/>
      <c r="G59" s="126"/>
      <c r="H59" s="126"/>
      <c r="I59" s="126"/>
      <c r="J59" s="12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49A070-2B26-49D3-99F7-A4706756C6BE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0" t="s">
        <v>1</v>
      </c>
      <c r="O1" s="210"/>
      <c r="P1" s="107" t="s">
        <v>2</v>
      </c>
      <c r="Q1" s="10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1" t="s">
        <v>7</v>
      </c>
      <c r="B4" s="162"/>
      <c r="C4" s="162"/>
      <c r="D4" s="163"/>
      <c r="F4" s="211" t="s">
        <v>8</v>
      </c>
      <c r="G4" s="213"/>
      <c r="H4" s="215" t="s">
        <v>9</v>
      </c>
      <c r="I4" s="217"/>
      <c r="J4" s="21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5" t="s">
        <v>7</v>
      </c>
      <c r="B5" s="15" t="s">
        <v>11</v>
      </c>
      <c r="C5" s="9" t="s">
        <v>12</v>
      </c>
      <c r="D5" s="25" t="s">
        <v>13</v>
      </c>
      <c r="F5" s="212"/>
      <c r="G5" s="214"/>
      <c r="H5" s="216"/>
      <c r="I5" s="219"/>
      <c r="J5" s="22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6"/>
      <c r="B6" s="16"/>
      <c r="C6" s="10"/>
      <c r="D6" s="13">
        <f t="shared" ref="D6:D28" si="1">C6*L6</f>
        <v>0</v>
      </c>
      <c r="F6" s="221" t="s">
        <v>16</v>
      </c>
      <c r="G6" s="223"/>
      <c r="H6" s="224"/>
      <c r="I6" s="224"/>
      <c r="J6" s="22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6"/>
      <c r="B7" s="16"/>
      <c r="C7" s="10"/>
      <c r="D7" s="13">
        <f t="shared" si="1"/>
        <v>0</v>
      </c>
      <c r="F7" s="222"/>
      <c r="G7" s="226"/>
      <c r="H7" s="227"/>
      <c r="I7" s="227"/>
      <c r="J7" s="22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6"/>
      <c r="B8" s="16"/>
      <c r="C8" s="10"/>
      <c r="D8" s="13">
        <f t="shared" si="1"/>
        <v>0</v>
      </c>
      <c r="F8" s="229" t="s">
        <v>21</v>
      </c>
      <c r="G8" s="230"/>
      <c r="H8" s="231"/>
      <c r="I8" s="231"/>
      <c r="J8" s="23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6"/>
      <c r="B9" s="16"/>
      <c r="C9" s="10"/>
      <c r="D9" s="13">
        <f t="shared" si="1"/>
        <v>0</v>
      </c>
      <c r="F9" s="222"/>
      <c r="G9" s="233"/>
      <c r="H9" s="234"/>
      <c r="I9" s="234"/>
      <c r="J9" s="23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6"/>
      <c r="C10" s="10"/>
      <c r="D10" s="13">
        <f t="shared" si="1"/>
        <v>0</v>
      </c>
      <c r="F10" s="221" t="s">
        <v>26</v>
      </c>
      <c r="G10" s="236"/>
      <c r="H10" s="237"/>
      <c r="I10" s="237"/>
      <c r="J10" s="238"/>
      <c r="K10" s="8"/>
      <c r="L10" s="6">
        <f>R36</f>
        <v>972</v>
      </c>
      <c r="P10" s="4"/>
      <c r="Q10" s="4"/>
      <c r="R10" s="5"/>
    </row>
    <row r="11" spans="1:19" ht="15.75" x14ac:dyDescent="0.25">
      <c r="A11" s="156"/>
      <c r="B11" s="17"/>
      <c r="C11" s="10"/>
      <c r="D11" s="13">
        <f t="shared" si="1"/>
        <v>0</v>
      </c>
      <c r="F11" s="222"/>
      <c r="G11" s="233"/>
      <c r="H11" s="234"/>
      <c r="I11" s="234"/>
      <c r="J11" s="23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6"/>
      <c r="B12" s="17"/>
      <c r="C12" s="10"/>
      <c r="D12" s="48">
        <f t="shared" si="1"/>
        <v>0</v>
      </c>
      <c r="F12" s="239" t="s">
        <v>33</v>
      </c>
      <c r="G12" s="240"/>
      <c r="H12" s="240"/>
      <c r="I12" s="240"/>
      <c r="J12" s="24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6"/>
      <c r="B13" s="17"/>
      <c r="C13" s="10"/>
      <c r="D13" s="48">
        <f t="shared" si="1"/>
        <v>0</v>
      </c>
      <c r="F13" s="242" t="s">
        <v>36</v>
      </c>
      <c r="G13" s="206"/>
      <c r="H13" s="197">
        <f>D29</f>
        <v>0</v>
      </c>
      <c r="I13" s="198"/>
      <c r="J13" s="19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6"/>
      <c r="B14" s="14"/>
      <c r="C14" s="10"/>
      <c r="D14" s="31">
        <f t="shared" si="1"/>
        <v>0</v>
      </c>
      <c r="F14" s="200" t="s">
        <v>38</v>
      </c>
      <c r="G14" s="201"/>
      <c r="H14" s="202">
        <f>D54</f>
        <v>0</v>
      </c>
      <c r="I14" s="203"/>
      <c r="J14" s="20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6"/>
      <c r="B15" s="14"/>
      <c r="C15" s="10"/>
      <c r="D15" s="31">
        <f t="shared" si="1"/>
        <v>0</v>
      </c>
      <c r="F15" s="205" t="s">
        <v>39</v>
      </c>
      <c r="G15" s="206"/>
      <c r="H15" s="207">
        <f>H13-H14</f>
        <v>0</v>
      </c>
      <c r="I15" s="208"/>
      <c r="J15" s="20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6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7"/>
      <c r="I16" s="167"/>
      <c r="J16" s="16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6"/>
      <c r="C17" s="10"/>
      <c r="D17" s="48">
        <f t="shared" si="1"/>
        <v>0</v>
      </c>
      <c r="F17" s="56"/>
      <c r="G17" s="66" t="s">
        <v>44</v>
      </c>
      <c r="H17" s="178"/>
      <c r="I17" s="178"/>
      <c r="J17" s="17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6"/>
      <c r="B18" s="19"/>
      <c r="C18" s="10"/>
      <c r="D18" s="48">
        <f t="shared" si="1"/>
        <v>0</v>
      </c>
      <c r="F18" s="56"/>
      <c r="G18" s="66" t="s">
        <v>46</v>
      </c>
      <c r="H18" s="178"/>
      <c r="I18" s="178"/>
      <c r="J18" s="17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6"/>
      <c r="B19" s="14"/>
      <c r="C19" s="10"/>
      <c r="D19" s="48">
        <f t="shared" si="1"/>
        <v>0</v>
      </c>
      <c r="F19" s="56"/>
      <c r="G19" s="68" t="s">
        <v>49</v>
      </c>
      <c r="H19" s="179"/>
      <c r="I19" s="179"/>
      <c r="J19" s="17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6"/>
      <c r="B20" s="46"/>
      <c r="C20" s="10"/>
      <c r="D20" s="13">
        <f t="shared" si="1"/>
        <v>0</v>
      </c>
      <c r="F20" s="57"/>
      <c r="G20" s="70" t="s">
        <v>102</v>
      </c>
      <c r="H20" s="167"/>
      <c r="I20" s="167"/>
      <c r="J20" s="167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6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80" t="s">
        <v>13</v>
      </c>
      <c r="I21" s="181"/>
      <c r="J21" s="182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6"/>
      <c r="B22" s="46"/>
      <c r="C22" s="10"/>
      <c r="D22" s="48">
        <f t="shared" si="1"/>
        <v>0</v>
      </c>
      <c r="F22" s="77"/>
      <c r="G22" s="73"/>
      <c r="H22" s="183"/>
      <c r="I22" s="183"/>
      <c r="J22" s="183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6"/>
      <c r="B23" s="14"/>
      <c r="C23" s="10"/>
      <c r="D23" s="48">
        <f t="shared" si="1"/>
        <v>0</v>
      </c>
      <c r="F23" s="78"/>
      <c r="G23" s="79"/>
      <c r="H23" s="184"/>
      <c r="I23" s="153"/>
      <c r="J23" s="153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6"/>
      <c r="B24" s="14"/>
      <c r="C24" s="10"/>
      <c r="D24" s="48">
        <f t="shared" si="1"/>
        <v>0</v>
      </c>
      <c r="F24" s="38"/>
      <c r="G24" s="37"/>
      <c r="H24" s="184"/>
      <c r="I24" s="153"/>
      <c r="J24" s="153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6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5" t="s">
        <v>13</v>
      </c>
      <c r="I25" s="186"/>
      <c r="J25" s="187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6"/>
      <c r="B26" s="14"/>
      <c r="C26" s="10"/>
      <c r="D26" s="48">
        <f t="shared" si="1"/>
        <v>0</v>
      </c>
      <c r="F26" s="64"/>
      <c r="G26" s="59"/>
      <c r="H26" s="188"/>
      <c r="I26" s="189"/>
      <c r="J26" s="190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6"/>
      <c r="B27" s="14"/>
      <c r="C27" s="10"/>
      <c r="D27" s="44">
        <f t="shared" si="1"/>
        <v>0</v>
      </c>
      <c r="F27" s="25"/>
      <c r="G27" s="80"/>
      <c r="H27" s="191"/>
      <c r="I27" s="192"/>
      <c r="J27" s="193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7"/>
      <c r="B28" s="46"/>
      <c r="C28" s="10"/>
      <c r="D28" s="48">
        <f t="shared" si="1"/>
        <v>0</v>
      </c>
      <c r="F28" s="108"/>
      <c r="G28" s="61"/>
      <c r="H28" s="194"/>
      <c r="I28" s="195"/>
      <c r="J28" s="196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8" t="s">
        <v>36</v>
      </c>
      <c r="B29" s="169"/>
      <c r="C29" s="170"/>
      <c r="D29" s="174">
        <f>SUM(D6:D28)</f>
        <v>0</v>
      </c>
      <c r="F29" s="114" t="s">
        <v>54</v>
      </c>
      <c r="G29" s="176"/>
      <c r="H29" s="136">
        <f>H15-H16-H17-H18-H19-H20-H22-H23-H24+H26+H27</f>
        <v>0</v>
      </c>
      <c r="I29" s="137"/>
      <c r="J29" s="13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1"/>
      <c r="B30" s="172"/>
      <c r="C30" s="173"/>
      <c r="D30" s="175"/>
      <c r="F30" s="117"/>
      <c r="G30" s="177"/>
      <c r="H30" s="139"/>
      <c r="I30" s="140"/>
      <c r="J30" s="14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1" t="s">
        <v>57</v>
      </c>
      <c r="B32" s="162"/>
      <c r="C32" s="162"/>
      <c r="D32" s="163"/>
      <c r="F32" s="164" t="s">
        <v>58</v>
      </c>
      <c r="G32" s="165"/>
      <c r="H32" s="165"/>
      <c r="I32" s="165"/>
      <c r="J32" s="166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9" t="s">
        <v>62</v>
      </c>
      <c r="H33" s="164" t="s">
        <v>13</v>
      </c>
      <c r="I33" s="165"/>
      <c r="J33" s="16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5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58"/>
      <c r="I34" s="159"/>
      <c r="J34" s="160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6"/>
      <c r="B35" s="27" t="s">
        <v>67</v>
      </c>
      <c r="C35" s="52"/>
      <c r="D35" s="30">
        <f>C35*84</f>
        <v>0</v>
      </c>
      <c r="F35" s="58">
        <v>500</v>
      </c>
      <c r="G35" s="41"/>
      <c r="H35" s="158"/>
      <c r="I35" s="159"/>
      <c r="J35" s="16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7"/>
      <c r="B36" s="26" t="s">
        <v>69</v>
      </c>
      <c r="C36" s="10"/>
      <c r="D36" s="12">
        <f>C36*1.5</f>
        <v>0</v>
      </c>
      <c r="F36" s="12">
        <v>200</v>
      </c>
      <c r="G36" s="37"/>
      <c r="H36" s="158"/>
      <c r="I36" s="159"/>
      <c r="J36" s="160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8"/>
      <c r="I37" s="159"/>
      <c r="J37" s="160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6"/>
      <c r="B38" s="29" t="s">
        <v>67</v>
      </c>
      <c r="C38" s="54"/>
      <c r="D38" s="12">
        <f>C38*84</f>
        <v>0</v>
      </c>
      <c r="F38" s="30">
        <v>50</v>
      </c>
      <c r="G38" s="39"/>
      <c r="H38" s="158"/>
      <c r="I38" s="159"/>
      <c r="J38" s="160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7"/>
      <c r="B39" s="29" t="s">
        <v>69</v>
      </c>
      <c r="C39" s="52"/>
      <c r="D39" s="31">
        <f>C39*4.5</f>
        <v>0</v>
      </c>
      <c r="F39" s="12">
        <v>20</v>
      </c>
      <c r="G39" s="37"/>
      <c r="H39" s="158"/>
      <c r="I39" s="159"/>
      <c r="J39" s="16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8"/>
      <c r="I40" s="159"/>
      <c r="J40" s="160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6"/>
      <c r="B41" s="27" t="s">
        <v>67</v>
      </c>
      <c r="C41" s="10"/>
      <c r="D41" s="12">
        <f>C41*84</f>
        <v>0</v>
      </c>
      <c r="F41" s="12">
        <v>5</v>
      </c>
      <c r="G41" s="42"/>
      <c r="H41" s="158"/>
      <c r="I41" s="159"/>
      <c r="J41" s="160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7"/>
      <c r="B42" s="27" t="s">
        <v>69</v>
      </c>
      <c r="C42" s="11"/>
      <c r="D42" s="12">
        <f>C42*2.25</f>
        <v>0</v>
      </c>
      <c r="F42" s="39" t="s">
        <v>78</v>
      </c>
      <c r="G42" s="158"/>
      <c r="H42" s="159"/>
      <c r="I42" s="159"/>
      <c r="J42" s="160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8" t="s">
        <v>80</v>
      </c>
      <c r="C43" s="11"/>
      <c r="D43" s="12"/>
      <c r="F43" s="59" t="s">
        <v>81</v>
      </c>
      <c r="G43" s="105" t="s">
        <v>82</v>
      </c>
      <c r="H43" s="150" t="s">
        <v>13</v>
      </c>
      <c r="I43" s="151"/>
      <c r="J43" s="152"/>
      <c r="K43" s="21"/>
      <c r="P43" s="4"/>
      <c r="Q43" s="4"/>
      <c r="R43" s="5"/>
    </row>
    <row r="44" spans="1:18" ht="15.75" x14ac:dyDescent="0.25">
      <c r="A44" s="129"/>
      <c r="B44" s="27" t="s">
        <v>65</v>
      </c>
      <c r="C44" s="10"/>
      <c r="D44" s="12">
        <f>C44*120</f>
        <v>0</v>
      </c>
      <c r="F44" s="37"/>
      <c r="G44" s="76"/>
      <c r="H44" s="153"/>
      <c r="I44" s="153"/>
      <c r="J44" s="153"/>
      <c r="K44" s="21"/>
      <c r="P44" s="4"/>
      <c r="Q44" s="4"/>
      <c r="R44" s="5"/>
    </row>
    <row r="45" spans="1:18" ht="15.75" x14ac:dyDescent="0.25">
      <c r="A45" s="129"/>
      <c r="B45" s="27" t="s">
        <v>67</v>
      </c>
      <c r="C45" s="33"/>
      <c r="D45" s="12">
        <f>C45*84</f>
        <v>0</v>
      </c>
      <c r="F45" s="37"/>
      <c r="G45" s="76"/>
      <c r="H45" s="153"/>
      <c r="I45" s="153"/>
      <c r="J45" s="153"/>
      <c r="K45" s="21"/>
      <c r="P45" s="4"/>
      <c r="Q45" s="4"/>
      <c r="R45" s="5"/>
    </row>
    <row r="46" spans="1:18" ht="15.75" x14ac:dyDescent="0.25">
      <c r="A46" s="129"/>
      <c r="B46" s="49" t="s">
        <v>69</v>
      </c>
      <c r="C46" s="81"/>
      <c r="D46" s="12">
        <f>C46*1.5</f>
        <v>0</v>
      </c>
      <c r="F46" s="37"/>
      <c r="G46" s="62"/>
      <c r="H46" s="154"/>
      <c r="I46" s="154"/>
      <c r="J46" s="154"/>
      <c r="K46" s="21"/>
      <c r="P46" s="4"/>
      <c r="Q46" s="4"/>
      <c r="R46" s="5"/>
    </row>
    <row r="47" spans="1:18" ht="15.75" x14ac:dyDescent="0.25">
      <c r="A47" s="130"/>
      <c r="B47" s="27"/>
      <c r="C47" s="11"/>
      <c r="D47" s="12"/>
      <c r="F47" s="59"/>
      <c r="G47" s="59"/>
      <c r="H47" s="131"/>
      <c r="I47" s="132"/>
      <c r="J47" s="133"/>
      <c r="K47" s="21"/>
      <c r="P47" s="4"/>
      <c r="Q47" s="4"/>
      <c r="R47" s="5"/>
    </row>
    <row r="48" spans="1:18" ht="15" customHeight="1" x14ac:dyDescent="0.25">
      <c r="A48" s="128" t="s">
        <v>32</v>
      </c>
      <c r="B48" s="27" t="s">
        <v>65</v>
      </c>
      <c r="C48" s="10"/>
      <c r="D48" s="12">
        <f>C48*78</f>
        <v>0</v>
      </c>
      <c r="F48" s="59"/>
      <c r="G48" s="59"/>
      <c r="H48" s="131"/>
      <c r="I48" s="132"/>
      <c r="J48" s="13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9"/>
      <c r="B49" s="29" t="s">
        <v>67</v>
      </c>
      <c r="C49" s="33"/>
      <c r="D49" s="12">
        <f>C49*42</f>
        <v>0</v>
      </c>
      <c r="F49" s="134" t="s">
        <v>85</v>
      </c>
      <c r="G49" s="136">
        <f>H34+H35+H36+H37+H38+H39+H40+H41+G42+H44+H45+H46</f>
        <v>0</v>
      </c>
      <c r="H49" s="137"/>
      <c r="I49" s="137"/>
      <c r="J49" s="13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9"/>
      <c r="B50" s="32" t="s">
        <v>69</v>
      </c>
      <c r="C50" s="11"/>
      <c r="D50" s="12">
        <f>C50*1.5</f>
        <v>0</v>
      </c>
      <c r="F50" s="135"/>
      <c r="G50" s="139"/>
      <c r="H50" s="140"/>
      <c r="I50" s="140"/>
      <c r="J50" s="141"/>
      <c r="P50" s="4"/>
      <c r="Q50" s="4"/>
      <c r="R50" s="5"/>
    </row>
    <row r="51" spans="1:18" ht="15" customHeight="1" x14ac:dyDescent="0.25">
      <c r="A51" s="129"/>
      <c r="B51" s="27"/>
      <c r="C51" s="10"/>
      <c r="D51" s="31"/>
      <c r="F51" s="142" t="s">
        <v>106</v>
      </c>
      <c r="G51" s="144">
        <f>G49-H29</f>
        <v>0</v>
      </c>
      <c r="H51" s="145"/>
      <c r="I51" s="145"/>
      <c r="J51" s="146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9"/>
      <c r="B52" s="29"/>
      <c r="C52" s="33"/>
      <c r="D52" s="45"/>
      <c r="F52" s="143"/>
      <c r="G52" s="147"/>
      <c r="H52" s="148"/>
      <c r="I52" s="148"/>
      <c r="J52" s="14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4" t="s">
        <v>89</v>
      </c>
      <c r="B54" s="115"/>
      <c r="C54" s="116"/>
      <c r="D54" s="120">
        <f>SUM(D34:D53)</f>
        <v>0</v>
      </c>
      <c r="F54" s="21"/>
      <c r="J54" s="34"/>
    </row>
    <row r="55" spans="1:18" x14ac:dyDescent="0.25">
      <c r="A55" s="117"/>
      <c r="B55" s="118"/>
      <c r="C55" s="119"/>
      <c r="D55" s="1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2" t="s">
        <v>90</v>
      </c>
      <c r="B58" s="123"/>
      <c r="C58" s="123"/>
      <c r="D58" s="124"/>
      <c r="F58" s="122" t="s">
        <v>91</v>
      </c>
      <c r="G58" s="123"/>
      <c r="H58" s="123"/>
      <c r="I58" s="123"/>
      <c r="J58" s="124"/>
    </row>
    <row r="59" spans="1:18" x14ac:dyDescent="0.25">
      <c r="A59" s="125"/>
      <c r="B59" s="126"/>
      <c r="C59" s="126"/>
      <c r="D59" s="127"/>
      <c r="F59" s="125"/>
      <c r="G59" s="126"/>
      <c r="H59" s="126"/>
      <c r="I59" s="126"/>
      <c r="J59" s="12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255631-AF90-414A-8303-EF0A633D452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0" t="s">
        <v>1</v>
      </c>
      <c r="O1" s="210"/>
      <c r="P1" s="107" t="s">
        <v>2</v>
      </c>
      <c r="Q1" s="10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1" t="s">
        <v>7</v>
      </c>
      <c r="B4" s="162"/>
      <c r="C4" s="162"/>
      <c r="D4" s="163"/>
      <c r="F4" s="211" t="s">
        <v>8</v>
      </c>
      <c r="G4" s="213">
        <v>1</v>
      </c>
      <c r="H4" s="215" t="s">
        <v>9</v>
      </c>
      <c r="I4" s="217">
        <v>46154</v>
      </c>
      <c r="J4" s="21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5" t="s">
        <v>7</v>
      </c>
      <c r="B5" s="15" t="s">
        <v>11</v>
      </c>
      <c r="C5" s="9" t="s">
        <v>12</v>
      </c>
      <c r="D5" s="25" t="s">
        <v>13</v>
      </c>
      <c r="F5" s="212"/>
      <c r="G5" s="214"/>
      <c r="H5" s="216"/>
      <c r="I5" s="219"/>
      <c r="J5" s="22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6"/>
      <c r="B6" s="16" t="s">
        <v>15</v>
      </c>
      <c r="C6" s="10"/>
      <c r="D6" s="13">
        <f t="shared" ref="D6:D28" si="1">C6*L6</f>
        <v>0</v>
      </c>
      <c r="F6" s="221" t="s">
        <v>16</v>
      </c>
      <c r="G6" s="223" t="s">
        <v>99</v>
      </c>
      <c r="H6" s="224"/>
      <c r="I6" s="224"/>
      <c r="J6" s="22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6"/>
      <c r="B7" s="16" t="s">
        <v>18</v>
      </c>
      <c r="C7" s="10"/>
      <c r="D7" s="13">
        <f t="shared" si="1"/>
        <v>0</v>
      </c>
      <c r="F7" s="222"/>
      <c r="G7" s="226"/>
      <c r="H7" s="227"/>
      <c r="I7" s="227"/>
      <c r="J7" s="22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6"/>
      <c r="B8" s="16" t="s">
        <v>20</v>
      </c>
      <c r="C8" s="10"/>
      <c r="D8" s="13">
        <f t="shared" si="1"/>
        <v>0</v>
      </c>
      <c r="F8" s="229" t="s">
        <v>21</v>
      </c>
      <c r="G8" s="230" t="s">
        <v>120</v>
      </c>
      <c r="H8" s="231"/>
      <c r="I8" s="231"/>
      <c r="J8" s="23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6"/>
      <c r="B9" s="16" t="s">
        <v>23</v>
      </c>
      <c r="C9" s="10"/>
      <c r="D9" s="13">
        <f t="shared" si="1"/>
        <v>0</v>
      </c>
      <c r="F9" s="222"/>
      <c r="G9" s="233"/>
      <c r="H9" s="234"/>
      <c r="I9" s="234"/>
      <c r="J9" s="23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6"/>
      <c r="B10" t="s">
        <v>25</v>
      </c>
      <c r="C10" s="10"/>
      <c r="D10" s="13">
        <f t="shared" si="1"/>
        <v>0</v>
      </c>
      <c r="F10" s="221" t="s">
        <v>26</v>
      </c>
      <c r="G10" s="236" t="s">
        <v>108</v>
      </c>
      <c r="H10" s="237"/>
      <c r="I10" s="237"/>
      <c r="J10" s="238"/>
      <c r="K10" s="8"/>
      <c r="L10" s="6">
        <f>R36</f>
        <v>1032</v>
      </c>
      <c r="P10" s="4"/>
      <c r="Q10" s="4"/>
      <c r="R10" s="5"/>
    </row>
    <row r="11" spans="1:18" ht="15.75" x14ac:dyDescent="0.25">
      <c r="A11" s="156"/>
      <c r="B11" s="17" t="s">
        <v>28</v>
      </c>
      <c r="C11" s="10"/>
      <c r="D11" s="13">
        <f t="shared" si="1"/>
        <v>0</v>
      </c>
      <c r="F11" s="222"/>
      <c r="G11" s="233"/>
      <c r="H11" s="234"/>
      <c r="I11" s="234"/>
      <c r="J11" s="23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6"/>
      <c r="B12" s="17" t="s">
        <v>30</v>
      </c>
      <c r="C12" s="10"/>
      <c r="D12" s="48">
        <f t="shared" si="1"/>
        <v>0</v>
      </c>
      <c r="F12" s="239" t="s">
        <v>33</v>
      </c>
      <c r="G12" s="240"/>
      <c r="H12" s="240"/>
      <c r="I12" s="240"/>
      <c r="J12" s="24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6"/>
      <c r="B13" s="17" t="s">
        <v>32</v>
      </c>
      <c r="C13" s="10"/>
      <c r="D13" s="48">
        <f t="shared" si="1"/>
        <v>0</v>
      </c>
      <c r="F13" s="242" t="s">
        <v>36</v>
      </c>
      <c r="G13" s="206"/>
      <c r="H13" s="197">
        <f>D29</f>
        <v>0</v>
      </c>
      <c r="I13" s="198"/>
      <c r="J13" s="19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6"/>
      <c r="B14" s="14" t="s">
        <v>35</v>
      </c>
      <c r="C14" s="10"/>
      <c r="D14" s="31">
        <f t="shared" si="1"/>
        <v>0</v>
      </c>
      <c r="F14" s="200" t="s">
        <v>38</v>
      </c>
      <c r="G14" s="201"/>
      <c r="H14" s="202">
        <f>D54</f>
        <v>0</v>
      </c>
      <c r="I14" s="203"/>
      <c r="J14" s="20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6"/>
      <c r="B15" s="14" t="s">
        <v>122</v>
      </c>
      <c r="C15" s="10"/>
      <c r="D15" s="31">
        <f t="shared" si="1"/>
        <v>0</v>
      </c>
      <c r="F15" s="205" t="s">
        <v>39</v>
      </c>
      <c r="G15" s="206"/>
      <c r="H15" s="207">
        <f>H13-H14</f>
        <v>0</v>
      </c>
      <c r="I15" s="208"/>
      <c r="J15" s="20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6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67"/>
      <c r="I16" s="167"/>
      <c r="J16" s="16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6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78"/>
      <c r="I17" s="178"/>
      <c r="J17" s="17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6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78"/>
      <c r="I18" s="178"/>
      <c r="J18" s="17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6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67"/>
      <c r="I19" s="167"/>
      <c r="J19" s="16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6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67"/>
      <c r="I20" s="167"/>
      <c r="J20" s="16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6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0" t="s">
        <v>13</v>
      </c>
      <c r="I21" s="181"/>
      <c r="J21" s="18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6"/>
      <c r="B22" s="46" t="s">
        <v>103</v>
      </c>
      <c r="C22" s="10"/>
      <c r="D22" s="48">
        <f t="shared" si="1"/>
        <v>0</v>
      </c>
      <c r="F22" s="77"/>
      <c r="G22" s="73"/>
      <c r="H22" s="183"/>
      <c r="I22" s="183"/>
      <c r="J22" s="18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6"/>
      <c r="B23" s="14" t="s">
        <v>121</v>
      </c>
      <c r="C23" s="10"/>
      <c r="D23" s="48">
        <f t="shared" si="1"/>
        <v>0</v>
      </c>
      <c r="F23" s="77"/>
      <c r="G23" s="79"/>
      <c r="H23" s="251"/>
      <c r="I23" s="252"/>
      <c r="J23" s="25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6"/>
      <c r="B24" s="14" t="s">
        <v>128</v>
      </c>
      <c r="C24" s="10"/>
      <c r="D24" s="48">
        <f t="shared" si="1"/>
        <v>0</v>
      </c>
      <c r="F24" s="77"/>
      <c r="G24" s="79"/>
      <c r="H24" s="251"/>
      <c r="I24" s="252"/>
      <c r="J24" s="25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5" t="s">
        <v>13</v>
      </c>
      <c r="I25" s="186"/>
      <c r="J25" s="18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6"/>
      <c r="B26" s="14" t="s">
        <v>129</v>
      </c>
      <c r="C26" s="10"/>
      <c r="D26" s="48">
        <f t="shared" si="1"/>
        <v>0</v>
      </c>
      <c r="F26" s="75"/>
      <c r="G26" s="65"/>
      <c r="H26" s="153"/>
      <c r="I26" s="153"/>
      <c r="J26" s="15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6"/>
      <c r="B27" s="14" t="s">
        <v>130</v>
      </c>
      <c r="C27" s="10"/>
      <c r="D27" s="44">
        <f t="shared" si="1"/>
        <v>0</v>
      </c>
      <c r="F27" s="71"/>
      <c r="G27" s="105"/>
      <c r="H27" s="253"/>
      <c r="I27" s="254"/>
      <c r="J27" s="25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7"/>
      <c r="B28" s="46" t="s">
        <v>92</v>
      </c>
      <c r="C28" s="10"/>
      <c r="D28" s="48">
        <f t="shared" si="1"/>
        <v>0</v>
      </c>
      <c r="F28" s="108"/>
      <c r="G28" s="61"/>
      <c r="H28" s="194"/>
      <c r="I28" s="195"/>
      <c r="J28" s="19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8" t="s">
        <v>36</v>
      </c>
      <c r="B29" s="169"/>
      <c r="C29" s="170"/>
      <c r="D29" s="174">
        <f>SUM(D6:D28)</f>
        <v>0</v>
      </c>
      <c r="F29" s="114" t="s">
        <v>54</v>
      </c>
      <c r="G29" s="176"/>
      <c r="H29" s="136">
        <f>H15-H16-H17-H18-H19-H20-H22-H23-H24+H26+H27+H28</f>
        <v>0</v>
      </c>
      <c r="I29" s="137"/>
      <c r="J29" s="13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1"/>
      <c r="B30" s="172"/>
      <c r="C30" s="173"/>
      <c r="D30" s="175"/>
      <c r="F30" s="117"/>
      <c r="G30" s="177"/>
      <c r="H30" s="139"/>
      <c r="I30" s="140"/>
      <c r="J30" s="141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1" t="s">
        <v>57</v>
      </c>
      <c r="B32" s="162"/>
      <c r="C32" s="162"/>
      <c r="D32" s="163"/>
      <c r="F32" s="164" t="s">
        <v>58</v>
      </c>
      <c r="G32" s="165"/>
      <c r="H32" s="165"/>
      <c r="I32" s="165"/>
      <c r="J32" s="16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9" t="s">
        <v>62</v>
      </c>
      <c r="H33" s="164" t="s">
        <v>13</v>
      </c>
      <c r="I33" s="165"/>
      <c r="J33" s="16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5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58">
        <f t="shared" ref="H34:H39" si="2">F34*G34</f>
        <v>0</v>
      </c>
      <c r="I34" s="159"/>
      <c r="J34" s="16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6"/>
      <c r="B35" s="27" t="s">
        <v>67</v>
      </c>
      <c r="C35" s="52"/>
      <c r="D35" s="30">
        <f>C35*84</f>
        <v>0</v>
      </c>
      <c r="F35" s="58">
        <v>500</v>
      </c>
      <c r="G35" s="41"/>
      <c r="H35" s="158">
        <f t="shared" si="2"/>
        <v>0</v>
      </c>
      <c r="I35" s="159"/>
      <c r="J35" s="16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7"/>
      <c r="B36" s="26" t="s">
        <v>69</v>
      </c>
      <c r="C36" s="10"/>
      <c r="D36" s="12">
        <f>C36*1.5</f>
        <v>0</v>
      </c>
      <c r="F36" s="12">
        <v>200</v>
      </c>
      <c r="G36" s="37"/>
      <c r="H36" s="158">
        <f t="shared" si="2"/>
        <v>0</v>
      </c>
      <c r="I36" s="159"/>
      <c r="J36" s="16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8">
        <f t="shared" si="2"/>
        <v>0</v>
      </c>
      <c r="I37" s="159"/>
      <c r="J37" s="16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6"/>
      <c r="B38" s="29" t="s">
        <v>67</v>
      </c>
      <c r="C38" s="54"/>
      <c r="D38" s="12">
        <f>C38*84</f>
        <v>0</v>
      </c>
      <c r="F38" s="30">
        <v>50</v>
      </c>
      <c r="G38" s="39"/>
      <c r="H38" s="158">
        <f t="shared" si="2"/>
        <v>0</v>
      </c>
      <c r="I38" s="159"/>
      <c r="J38" s="16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7"/>
      <c r="B39" s="29" t="s">
        <v>69</v>
      </c>
      <c r="C39" s="52"/>
      <c r="D39" s="31">
        <f>C39*4.5</f>
        <v>0</v>
      </c>
      <c r="F39" s="12">
        <v>20</v>
      </c>
      <c r="G39" s="37"/>
      <c r="H39" s="158">
        <f t="shared" si="2"/>
        <v>0</v>
      </c>
      <c r="I39" s="159"/>
      <c r="J39" s="16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8"/>
      <c r="I40" s="159"/>
      <c r="J40" s="16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6"/>
      <c r="B41" s="27" t="s">
        <v>67</v>
      </c>
      <c r="C41" s="10"/>
      <c r="D41" s="12">
        <f>C41*84</f>
        <v>0</v>
      </c>
      <c r="F41" s="12">
        <v>5</v>
      </c>
      <c r="G41" s="42"/>
      <c r="H41" s="158"/>
      <c r="I41" s="159"/>
      <c r="J41" s="16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7"/>
      <c r="B42" s="27" t="s">
        <v>69</v>
      </c>
      <c r="C42" s="11"/>
      <c r="D42" s="12">
        <f>C42*2.25</f>
        <v>0</v>
      </c>
      <c r="F42" s="39" t="s">
        <v>78</v>
      </c>
      <c r="G42" s="158"/>
      <c r="H42" s="159"/>
      <c r="I42" s="159"/>
      <c r="J42" s="16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8" t="s">
        <v>80</v>
      </c>
      <c r="C43" s="11"/>
      <c r="D43" s="12"/>
      <c r="F43" s="59" t="s">
        <v>81</v>
      </c>
      <c r="G43" s="105" t="s">
        <v>82</v>
      </c>
      <c r="H43" s="150" t="s">
        <v>13</v>
      </c>
      <c r="I43" s="151"/>
      <c r="J43" s="15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9"/>
      <c r="B44" s="27" t="s">
        <v>65</v>
      </c>
      <c r="C44" s="10"/>
      <c r="D44" s="12">
        <f>C44*120</f>
        <v>0</v>
      </c>
      <c r="F44" s="37"/>
      <c r="G44" s="62"/>
      <c r="H44" s="153"/>
      <c r="I44" s="153"/>
      <c r="J44" s="15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9"/>
      <c r="B45" s="27" t="s">
        <v>67</v>
      </c>
      <c r="C45" s="33"/>
      <c r="D45" s="12">
        <f>C45*84</f>
        <v>0</v>
      </c>
      <c r="F45" s="37"/>
      <c r="G45" s="62"/>
      <c r="H45" s="153"/>
      <c r="I45" s="153"/>
      <c r="J45" s="153"/>
      <c r="K45" s="21"/>
      <c r="P45" s="4"/>
      <c r="Q45" s="4"/>
      <c r="R45" s="5"/>
    </row>
    <row r="46" spans="1:18" ht="15.75" x14ac:dyDescent="0.25">
      <c r="A46" s="129"/>
      <c r="B46" s="49" t="s">
        <v>69</v>
      </c>
      <c r="C46" s="81"/>
      <c r="D46" s="12">
        <f>C46*1.5</f>
        <v>0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30"/>
      <c r="B47" s="27"/>
      <c r="C47" s="11"/>
      <c r="D47" s="12"/>
      <c r="F47" s="59"/>
      <c r="G47" s="59"/>
      <c r="H47" s="131"/>
      <c r="I47" s="132"/>
      <c r="J47" s="133"/>
      <c r="K47" s="21"/>
      <c r="P47" s="4"/>
      <c r="Q47" s="4"/>
      <c r="R47" s="5"/>
    </row>
    <row r="48" spans="1:18" ht="15" customHeight="1" x14ac:dyDescent="0.25">
      <c r="A48" s="128" t="s">
        <v>32</v>
      </c>
      <c r="B48" s="27" t="s">
        <v>65</v>
      </c>
      <c r="C48" s="10"/>
      <c r="D48" s="12">
        <f>C48*78</f>
        <v>0</v>
      </c>
      <c r="F48" s="59"/>
      <c r="G48" s="59"/>
      <c r="H48" s="131"/>
      <c r="I48" s="132"/>
      <c r="J48" s="13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9"/>
      <c r="B49" s="29" t="s">
        <v>67</v>
      </c>
      <c r="C49" s="33"/>
      <c r="D49" s="12">
        <f>C49*42</f>
        <v>0</v>
      </c>
      <c r="F49" s="134" t="s">
        <v>85</v>
      </c>
      <c r="G49" s="136">
        <f>H34+H35+H36+H37+H38+H39+H40+H41+G42+H44+H45+H46</f>
        <v>0</v>
      </c>
      <c r="H49" s="137"/>
      <c r="I49" s="137"/>
      <c r="J49" s="13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9"/>
      <c r="B50" s="32" t="s">
        <v>69</v>
      </c>
      <c r="C50" s="11"/>
      <c r="D50" s="12">
        <f>C50*1.5</f>
        <v>0</v>
      </c>
      <c r="F50" s="135"/>
      <c r="G50" s="139"/>
      <c r="H50" s="140"/>
      <c r="I50" s="140"/>
      <c r="J50" s="141"/>
      <c r="O50" t="s">
        <v>114</v>
      </c>
      <c r="P50" s="4">
        <v>1204</v>
      </c>
      <c r="Q50" s="4"/>
      <c r="R50" s="5"/>
    </row>
    <row r="51" spans="1:18" ht="15" customHeight="1" x14ac:dyDescent="0.25">
      <c r="A51" s="129"/>
      <c r="B51" s="27"/>
      <c r="C51" s="10"/>
      <c r="D51" s="31"/>
      <c r="F51" s="142" t="s">
        <v>109</v>
      </c>
      <c r="G51" s="255">
        <f>G49-H29</f>
        <v>0</v>
      </c>
      <c r="H51" s="256"/>
      <c r="I51" s="256"/>
      <c r="J51" s="25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9"/>
      <c r="B52" s="29"/>
      <c r="C52" s="33"/>
      <c r="D52" s="45"/>
      <c r="F52" s="143"/>
      <c r="G52" s="258"/>
      <c r="H52" s="259"/>
      <c r="I52" s="259"/>
      <c r="J52" s="2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4" t="s">
        <v>89</v>
      </c>
      <c r="B54" s="115"/>
      <c r="C54" s="116"/>
      <c r="D54" s="120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7"/>
      <c r="B55" s="118"/>
      <c r="C55" s="119"/>
      <c r="D55" s="1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22" t="s">
        <v>90</v>
      </c>
      <c r="B58" s="123"/>
      <c r="C58" s="123"/>
      <c r="D58" s="124"/>
      <c r="F58" s="122" t="s">
        <v>91</v>
      </c>
      <c r="G58" s="123"/>
      <c r="H58" s="123"/>
      <c r="I58" s="123"/>
      <c r="J58" s="124"/>
    </row>
    <row r="59" spans="1:18" x14ac:dyDescent="0.25">
      <c r="A59" s="125"/>
      <c r="B59" s="126"/>
      <c r="C59" s="126"/>
      <c r="D59" s="127"/>
      <c r="F59" s="125"/>
      <c r="G59" s="126"/>
      <c r="H59" s="126"/>
      <c r="I59" s="126"/>
      <c r="J59" s="12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EFD090-C2CE-46BD-B4A6-EF20290A151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0" t="s">
        <v>1</v>
      </c>
      <c r="O1" s="210"/>
      <c r="P1" s="107" t="s">
        <v>2</v>
      </c>
      <c r="Q1" s="10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1" t="s">
        <v>7</v>
      </c>
      <c r="B4" s="162"/>
      <c r="C4" s="162"/>
      <c r="D4" s="163"/>
      <c r="F4" s="211" t="s">
        <v>8</v>
      </c>
      <c r="G4" s="213">
        <v>2</v>
      </c>
      <c r="H4" s="215" t="s">
        <v>9</v>
      </c>
      <c r="I4" s="217">
        <v>46154</v>
      </c>
      <c r="J4" s="21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5" t="s">
        <v>7</v>
      </c>
      <c r="B5" s="15" t="s">
        <v>11</v>
      </c>
      <c r="C5" s="9" t="s">
        <v>12</v>
      </c>
      <c r="D5" s="25" t="s">
        <v>13</v>
      </c>
      <c r="F5" s="212"/>
      <c r="G5" s="214"/>
      <c r="H5" s="216"/>
      <c r="I5" s="219"/>
      <c r="J5" s="22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6"/>
      <c r="B6" s="16" t="s">
        <v>15</v>
      </c>
      <c r="C6" s="10"/>
      <c r="D6" s="13">
        <f t="shared" ref="D6:D28" si="1">C6*L6</f>
        <v>0</v>
      </c>
      <c r="F6" s="221" t="s">
        <v>16</v>
      </c>
      <c r="G6" s="223" t="s">
        <v>107</v>
      </c>
      <c r="H6" s="224"/>
      <c r="I6" s="224"/>
      <c r="J6" s="22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6"/>
      <c r="B7" s="16" t="s">
        <v>18</v>
      </c>
      <c r="C7" s="10"/>
      <c r="D7" s="13">
        <f t="shared" si="1"/>
        <v>0</v>
      </c>
      <c r="F7" s="222"/>
      <c r="G7" s="226"/>
      <c r="H7" s="227"/>
      <c r="I7" s="227"/>
      <c r="J7" s="22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6"/>
      <c r="B8" s="16" t="s">
        <v>20</v>
      </c>
      <c r="C8" s="10"/>
      <c r="D8" s="13">
        <f t="shared" si="1"/>
        <v>0</v>
      </c>
      <c r="F8" s="229" t="s">
        <v>21</v>
      </c>
      <c r="G8" s="230" t="s">
        <v>100</v>
      </c>
      <c r="H8" s="231"/>
      <c r="I8" s="231"/>
      <c r="J8" s="23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6"/>
      <c r="B9" s="16" t="s">
        <v>23</v>
      </c>
      <c r="C9" s="10"/>
      <c r="D9" s="13">
        <f t="shared" si="1"/>
        <v>0</v>
      </c>
      <c r="F9" s="222"/>
      <c r="G9" s="233"/>
      <c r="H9" s="234"/>
      <c r="I9" s="234"/>
      <c r="J9" s="23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6"/>
      <c r="B10" t="s">
        <v>25</v>
      </c>
      <c r="C10" s="10"/>
      <c r="D10" s="13">
        <f t="shared" si="1"/>
        <v>0</v>
      </c>
      <c r="F10" s="221" t="s">
        <v>26</v>
      </c>
      <c r="G10" s="236" t="s">
        <v>101</v>
      </c>
      <c r="H10" s="237"/>
      <c r="I10" s="237"/>
      <c r="J10" s="238"/>
      <c r="K10" s="8"/>
      <c r="L10" s="6">
        <f>R36</f>
        <v>1032</v>
      </c>
      <c r="P10" s="4"/>
      <c r="Q10" s="4"/>
      <c r="R10" s="5"/>
    </row>
    <row r="11" spans="1:18" ht="15.75" x14ac:dyDescent="0.25">
      <c r="A11" s="156"/>
      <c r="B11" s="17" t="s">
        <v>28</v>
      </c>
      <c r="C11" s="10"/>
      <c r="D11" s="13">
        <f t="shared" si="1"/>
        <v>0</v>
      </c>
      <c r="F11" s="222"/>
      <c r="G11" s="233"/>
      <c r="H11" s="234"/>
      <c r="I11" s="234"/>
      <c r="J11" s="23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6"/>
      <c r="B12" s="17" t="s">
        <v>30</v>
      </c>
      <c r="C12" s="10"/>
      <c r="D12" s="48">
        <f t="shared" si="1"/>
        <v>0</v>
      </c>
      <c r="F12" s="239" t="s">
        <v>33</v>
      </c>
      <c r="G12" s="240"/>
      <c r="H12" s="240"/>
      <c r="I12" s="240"/>
      <c r="J12" s="24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6"/>
      <c r="B13" s="17" t="s">
        <v>32</v>
      </c>
      <c r="C13" s="10"/>
      <c r="D13" s="48">
        <f t="shared" si="1"/>
        <v>0</v>
      </c>
      <c r="F13" s="242" t="s">
        <v>36</v>
      </c>
      <c r="G13" s="206"/>
      <c r="H13" s="197">
        <f>D29</f>
        <v>0</v>
      </c>
      <c r="I13" s="198"/>
      <c r="J13" s="19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6"/>
      <c r="B14" s="14" t="s">
        <v>35</v>
      </c>
      <c r="C14" s="10"/>
      <c r="D14" s="31">
        <f t="shared" si="1"/>
        <v>0</v>
      </c>
      <c r="F14" s="200" t="s">
        <v>38</v>
      </c>
      <c r="G14" s="201"/>
      <c r="H14" s="202">
        <f>D54</f>
        <v>0</v>
      </c>
      <c r="I14" s="203"/>
      <c r="J14" s="20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6"/>
      <c r="B15" s="14" t="s">
        <v>122</v>
      </c>
      <c r="C15" s="10"/>
      <c r="D15" s="31">
        <f t="shared" si="1"/>
        <v>0</v>
      </c>
      <c r="F15" s="205" t="s">
        <v>39</v>
      </c>
      <c r="G15" s="206"/>
      <c r="H15" s="207">
        <f>H13-H14</f>
        <v>0</v>
      </c>
      <c r="I15" s="208"/>
      <c r="J15" s="20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6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67"/>
      <c r="I16" s="167"/>
      <c r="J16" s="16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6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78"/>
      <c r="I17" s="178"/>
      <c r="J17" s="17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6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78"/>
      <c r="I18" s="178"/>
      <c r="J18" s="17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6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61"/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6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78"/>
      <c r="I20" s="178"/>
      <c r="J20" s="17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6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0" t="s">
        <v>13</v>
      </c>
      <c r="I21" s="181"/>
      <c r="J21" s="18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6"/>
      <c r="B22" s="46" t="s">
        <v>103</v>
      </c>
      <c r="C22" s="10"/>
      <c r="D22" s="48">
        <f t="shared" si="1"/>
        <v>0</v>
      </c>
      <c r="F22" s="72"/>
      <c r="G22" s="73"/>
      <c r="H22" s="183"/>
      <c r="I22" s="183"/>
      <c r="J22" s="18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6"/>
      <c r="B23" s="14" t="s">
        <v>121</v>
      </c>
      <c r="C23" s="10"/>
      <c r="D23" s="48">
        <f t="shared" si="1"/>
        <v>0</v>
      </c>
      <c r="F23" s="25"/>
      <c r="G23" s="37"/>
      <c r="H23" s="184"/>
      <c r="I23" s="153"/>
      <c r="J23" s="15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6"/>
      <c r="B24" s="14" t="s">
        <v>128</v>
      </c>
      <c r="C24" s="10"/>
      <c r="D24" s="48">
        <f t="shared" si="1"/>
        <v>0</v>
      </c>
      <c r="F24" s="38"/>
      <c r="G24" s="37"/>
      <c r="H24" s="184"/>
      <c r="I24" s="153"/>
      <c r="J24" s="15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5" t="s">
        <v>13</v>
      </c>
      <c r="I25" s="186"/>
      <c r="J25" s="18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6"/>
      <c r="B26" s="14" t="s">
        <v>129</v>
      </c>
      <c r="C26" s="10"/>
      <c r="D26" s="48">
        <f t="shared" si="1"/>
        <v>0</v>
      </c>
      <c r="F26" s="64"/>
      <c r="G26" s="10"/>
      <c r="H26" s="188"/>
      <c r="I26" s="189"/>
      <c r="J26" s="19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6"/>
      <c r="B27" s="14" t="s">
        <v>130</v>
      </c>
      <c r="C27" s="10"/>
      <c r="D27" s="44">
        <f t="shared" si="1"/>
        <v>0</v>
      </c>
      <c r="F27" s="14"/>
      <c r="G27" s="14"/>
      <c r="H27" s="191"/>
      <c r="I27" s="192"/>
      <c r="J27" s="19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7"/>
      <c r="B28" s="46" t="s">
        <v>92</v>
      </c>
      <c r="C28" s="10"/>
      <c r="D28" s="48">
        <f t="shared" si="1"/>
        <v>0</v>
      </c>
      <c r="F28" s="108"/>
      <c r="G28" s="61"/>
      <c r="H28" s="194"/>
      <c r="I28" s="195"/>
      <c r="J28" s="19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8" t="s">
        <v>36</v>
      </c>
      <c r="B29" s="169"/>
      <c r="C29" s="170"/>
      <c r="D29" s="174">
        <f>SUM(D6:D28)</f>
        <v>0</v>
      </c>
      <c r="F29" s="114" t="s">
        <v>54</v>
      </c>
      <c r="G29" s="176"/>
      <c r="H29" s="136">
        <f>H15-H16-H17-H18-H19-H20-H22-H23-H24+H26+H27</f>
        <v>0</v>
      </c>
      <c r="I29" s="137"/>
      <c r="J29" s="13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1"/>
      <c r="B30" s="172"/>
      <c r="C30" s="173"/>
      <c r="D30" s="175"/>
      <c r="F30" s="117"/>
      <c r="G30" s="177"/>
      <c r="H30" s="139"/>
      <c r="I30" s="140"/>
      <c r="J30" s="141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1" t="s">
        <v>57</v>
      </c>
      <c r="B32" s="162"/>
      <c r="C32" s="162"/>
      <c r="D32" s="163"/>
      <c r="F32" s="164" t="s">
        <v>58</v>
      </c>
      <c r="G32" s="165"/>
      <c r="H32" s="165"/>
      <c r="I32" s="165"/>
      <c r="J32" s="16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9" t="s">
        <v>62</v>
      </c>
      <c r="H33" s="164" t="s">
        <v>13</v>
      </c>
      <c r="I33" s="165"/>
      <c r="J33" s="16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5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58">
        <f>F34*G34</f>
        <v>0</v>
      </c>
      <c r="I34" s="159"/>
      <c r="J34" s="16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6"/>
      <c r="B35" s="27" t="s">
        <v>67</v>
      </c>
      <c r="C35" s="52"/>
      <c r="D35" s="30">
        <f>C35*84</f>
        <v>0</v>
      </c>
      <c r="F35" s="58">
        <v>500</v>
      </c>
      <c r="G35" s="41"/>
      <c r="H35" s="158">
        <f t="shared" ref="H35:H39" si="2">F35*G35</f>
        <v>0</v>
      </c>
      <c r="I35" s="159"/>
      <c r="J35" s="16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7"/>
      <c r="B36" s="26" t="s">
        <v>69</v>
      </c>
      <c r="C36" s="10"/>
      <c r="D36" s="12">
        <f>C36*1.5</f>
        <v>0</v>
      </c>
      <c r="F36" s="12">
        <v>200</v>
      </c>
      <c r="G36" s="37"/>
      <c r="H36" s="158">
        <f>F36*G36</f>
        <v>0</v>
      </c>
      <c r="I36" s="159"/>
      <c r="J36" s="16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8">
        <f t="shared" si="2"/>
        <v>0</v>
      </c>
      <c r="I37" s="159"/>
      <c r="J37" s="16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6"/>
      <c r="B38" s="29" t="s">
        <v>67</v>
      </c>
      <c r="C38" s="54"/>
      <c r="D38" s="12">
        <f>C38*84</f>
        <v>0</v>
      </c>
      <c r="F38" s="30">
        <v>50</v>
      </c>
      <c r="G38" s="39"/>
      <c r="H38" s="158">
        <f t="shared" si="2"/>
        <v>0</v>
      </c>
      <c r="I38" s="159"/>
      <c r="J38" s="16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7"/>
      <c r="B39" s="29" t="s">
        <v>69</v>
      </c>
      <c r="C39" s="52"/>
      <c r="D39" s="31">
        <f>C39*4.5</f>
        <v>0</v>
      </c>
      <c r="F39" s="12">
        <v>20</v>
      </c>
      <c r="G39" s="37"/>
      <c r="H39" s="158">
        <f t="shared" si="2"/>
        <v>0</v>
      </c>
      <c r="I39" s="159"/>
      <c r="J39" s="16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8"/>
      <c r="I40" s="159"/>
      <c r="J40" s="16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6"/>
      <c r="B41" s="27" t="s">
        <v>67</v>
      </c>
      <c r="C41" s="10"/>
      <c r="D41" s="12">
        <f>C41*84</f>
        <v>0</v>
      </c>
      <c r="F41" s="12">
        <v>5</v>
      </c>
      <c r="G41" s="42"/>
      <c r="H41" s="158"/>
      <c r="I41" s="159"/>
      <c r="J41" s="16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7"/>
      <c r="B42" s="27" t="s">
        <v>69</v>
      </c>
      <c r="C42" s="11"/>
      <c r="D42" s="12">
        <f>C42*2.25</f>
        <v>0</v>
      </c>
      <c r="F42" s="39" t="s">
        <v>78</v>
      </c>
      <c r="G42" s="158"/>
      <c r="H42" s="159"/>
      <c r="I42" s="159"/>
      <c r="J42" s="16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8" t="s">
        <v>80</v>
      </c>
      <c r="C43" s="11"/>
      <c r="D43" s="12"/>
      <c r="F43" s="59" t="s">
        <v>81</v>
      </c>
      <c r="G43" s="105" t="s">
        <v>82</v>
      </c>
      <c r="H43" s="150" t="s">
        <v>13</v>
      </c>
      <c r="I43" s="151"/>
      <c r="J43" s="15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9"/>
      <c r="B44" s="27" t="s">
        <v>65</v>
      </c>
      <c r="C44" s="10"/>
      <c r="D44" s="12">
        <f>C44*120</f>
        <v>0</v>
      </c>
      <c r="F44" s="37"/>
      <c r="G44" s="62"/>
      <c r="H44" s="153"/>
      <c r="I44" s="153"/>
      <c r="J44" s="15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9"/>
      <c r="B45" s="27" t="s">
        <v>67</v>
      </c>
      <c r="C45" s="33"/>
      <c r="D45" s="12">
        <f>C45*84</f>
        <v>0</v>
      </c>
      <c r="F45" s="37"/>
      <c r="G45" s="62"/>
      <c r="H45" s="153"/>
      <c r="I45" s="153"/>
      <c r="J45" s="153"/>
      <c r="K45" s="21"/>
      <c r="P45" s="4"/>
      <c r="Q45" s="4"/>
      <c r="R45" s="5"/>
    </row>
    <row r="46" spans="1:18" ht="15.75" x14ac:dyDescent="0.25">
      <c r="A46" s="129"/>
      <c r="B46" s="49" t="s">
        <v>69</v>
      </c>
      <c r="C46" s="81"/>
      <c r="D46" s="12">
        <f>C46*1.5</f>
        <v>0</v>
      </c>
      <c r="F46" s="37"/>
      <c r="G46" s="106"/>
      <c r="H46" s="154"/>
      <c r="I46" s="154"/>
      <c r="J46" s="154"/>
      <c r="K46" s="21"/>
      <c r="P46" s="4"/>
      <c r="Q46" s="4"/>
      <c r="R46" s="5"/>
    </row>
    <row r="47" spans="1:18" ht="15.75" x14ac:dyDescent="0.25">
      <c r="A47" s="130"/>
      <c r="B47" s="27"/>
      <c r="C47" s="11"/>
      <c r="D47" s="12"/>
      <c r="F47" s="59"/>
      <c r="G47" s="59"/>
      <c r="H47" s="131"/>
      <c r="I47" s="132"/>
      <c r="J47" s="133"/>
      <c r="K47" s="21"/>
      <c r="P47" s="4"/>
      <c r="Q47" s="4"/>
      <c r="R47" s="5"/>
    </row>
    <row r="48" spans="1:18" ht="15" customHeight="1" x14ac:dyDescent="0.25">
      <c r="A48" s="128" t="s">
        <v>32</v>
      </c>
      <c r="B48" s="27" t="s">
        <v>65</v>
      </c>
      <c r="C48" s="10"/>
      <c r="D48" s="12">
        <f>C48*78</f>
        <v>0</v>
      </c>
      <c r="F48" s="59"/>
      <c r="G48" s="59"/>
      <c r="H48" s="131"/>
      <c r="I48" s="132"/>
      <c r="J48" s="13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9"/>
      <c r="B49" s="29" t="s">
        <v>67</v>
      </c>
      <c r="C49" s="33"/>
      <c r="D49" s="12">
        <f>C49*42</f>
        <v>0</v>
      </c>
      <c r="F49" s="134" t="s">
        <v>85</v>
      </c>
      <c r="G49" s="136">
        <f>H34+H35+H36+H37+H38+H39+H40+H41+G42+H44+H45+H46</f>
        <v>0</v>
      </c>
      <c r="H49" s="137"/>
      <c r="I49" s="137"/>
      <c r="J49" s="13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9"/>
      <c r="B50" s="32" t="s">
        <v>69</v>
      </c>
      <c r="C50" s="11"/>
      <c r="D50" s="12">
        <f>C50*1.5</f>
        <v>0</v>
      </c>
      <c r="F50" s="135"/>
      <c r="G50" s="139"/>
      <c r="H50" s="140"/>
      <c r="I50" s="140"/>
      <c r="J50" s="141"/>
      <c r="O50" t="s">
        <v>114</v>
      </c>
      <c r="P50" s="4">
        <v>1204</v>
      </c>
      <c r="Q50" s="4"/>
      <c r="R50" s="5"/>
    </row>
    <row r="51" spans="1:18" ht="15" customHeight="1" x14ac:dyDescent="0.25">
      <c r="A51" s="129"/>
      <c r="B51" s="27"/>
      <c r="C51" s="10"/>
      <c r="D51" s="31"/>
      <c r="F51" s="142" t="s">
        <v>112</v>
      </c>
      <c r="G51" s="144">
        <f>G49-H29</f>
        <v>0</v>
      </c>
      <c r="H51" s="145"/>
      <c r="I51" s="145"/>
      <c r="J51" s="14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9"/>
      <c r="B52" s="29"/>
      <c r="C52" s="33"/>
      <c r="D52" s="45"/>
      <c r="F52" s="143"/>
      <c r="G52" s="147"/>
      <c r="H52" s="148"/>
      <c r="I52" s="148"/>
      <c r="J52" s="14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4" t="s">
        <v>89</v>
      </c>
      <c r="B54" s="115"/>
      <c r="C54" s="116"/>
      <c r="D54" s="120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7"/>
      <c r="B55" s="118"/>
      <c r="C55" s="119"/>
      <c r="D55" s="1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22" t="s">
        <v>90</v>
      </c>
      <c r="B58" s="123"/>
      <c r="C58" s="123"/>
      <c r="D58" s="124"/>
      <c r="F58" s="122" t="s">
        <v>91</v>
      </c>
      <c r="G58" s="123"/>
      <c r="H58" s="123"/>
      <c r="I58" s="123"/>
      <c r="J58" s="124"/>
    </row>
    <row r="59" spans="1:18" x14ac:dyDescent="0.25">
      <c r="A59" s="125"/>
      <c r="B59" s="126"/>
      <c r="C59" s="126"/>
      <c r="D59" s="127"/>
      <c r="F59" s="125"/>
      <c r="G59" s="126"/>
      <c r="H59" s="126"/>
      <c r="I59" s="126"/>
      <c r="J59" s="12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7CADB1-C1A1-49F5-943A-8AFB6D23C88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0" t="s">
        <v>1</v>
      </c>
      <c r="O1" s="210"/>
      <c r="P1" s="107" t="s">
        <v>2</v>
      </c>
      <c r="Q1" s="10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1" t="s">
        <v>7</v>
      </c>
      <c r="B4" s="162"/>
      <c r="C4" s="162"/>
      <c r="D4" s="163"/>
      <c r="F4" s="211" t="s">
        <v>8</v>
      </c>
      <c r="G4" s="213">
        <v>3</v>
      </c>
      <c r="H4" s="215" t="s">
        <v>9</v>
      </c>
      <c r="I4" s="217">
        <v>46154</v>
      </c>
      <c r="J4" s="21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5" t="s">
        <v>7</v>
      </c>
      <c r="B5" s="15" t="s">
        <v>11</v>
      </c>
      <c r="C5" s="9" t="s">
        <v>12</v>
      </c>
      <c r="D5" s="25" t="s">
        <v>13</v>
      </c>
      <c r="F5" s="212"/>
      <c r="G5" s="214"/>
      <c r="H5" s="216"/>
      <c r="I5" s="219"/>
      <c r="J5" s="22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6"/>
      <c r="B6" s="16" t="s">
        <v>15</v>
      </c>
      <c r="C6" s="10"/>
      <c r="D6" s="13">
        <f t="shared" ref="D6:D28" si="1">C6*L6</f>
        <v>0</v>
      </c>
      <c r="F6" s="221" t="s">
        <v>16</v>
      </c>
      <c r="G6" s="223" t="s">
        <v>117</v>
      </c>
      <c r="H6" s="224"/>
      <c r="I6" s="224"/>
      <c r="J6" s="22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6"/>
      <c r="B7" s="16" t="s">
        <v>18</v>
      </c>
      <c r="C7" s="10"/>
      <c r="D7" s="13">
        <f t="shared" si="1"/>
        <v>0</v>
      </c>
      <c r="F7" s="222"/>
      <c r="G7" s="226"/>
      <c r="H7" s="227"/>
      <c r="I7" s="227"/>
      <c r="J7" s="22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6"/>
      <c r="B8" s="16" t="s">
        <v>20</v>
      </c>
      <c r="C8" s="10"/>
      <c r="D8" s="13">
        <f t="shared" si="1"/>
        <v>0</v>
      </c>
      <c r="F8" s="229" t="s">
        <v>21</v>
      </c>
      <c r="G8" s="230" t="s">
        <v>110</v>
      </c>
      <c r="H8" s="231"/>
      <c r="I8" s="231"/>
      <c r="J8" s="23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6"/>
      <c r="B9" s="16" t="s">
        <v>23</v>
      </c>
      <c r="C9" s="10"/>
      <c r="D9" s="13">
        <f t="shared" si="1"/>
        <v>0</v>
      </c>
      <c r="F9" s="222"/>
      <c r="G9" s="233"/>
      <c r="H9" s="234"/>
      <c r="I9" s="234"/>
      <c r="J9" s="23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6"/>
      <c r="B10" t="s">
        <v>25</v>
      </c>
      <c r="C10" s="10"/>
      <c r="D10" s="13">
        <f t="shared" si="1"/>
        <v>0</v>
      </c>
      <c r="F10" s="221" t="s">
        <v>26</v>
      </c>
      <c r="G10" s="236" t="s">
        <v>124</v>
      </c>
      <c r="H10" s="237"/>
      <c r="I10" s="237"/>
      <c r="J10" s="238"/>
      <c r="K10" s="8"/>
      <c r="L10" s="6">
        <f>R36</f>
        <v>1032</v>
      </c>
      <c r="P10" s="4"/>
      <c r="Q10" s="4"/>
      <c r="R10" s="5"/>
    </row>
    <row r="11" spans="1:18" ht="15.75" x14ac:dyDescent="0.25">
      <c r="A11" s="156"/>
      <c r="B11" s="17" t="s">
        <v>28</v>
      </c>
      <c r="C11" s="10"/>
      <c r="D11" s="13">
        <f t="shared" si="1"/>
        <v>0</v>
      </c>
      <c r="F11" s="222"/>
      <c r="G11" s="233"/>
      <c r="H11" s="234"/>
      <c r="I11" s="234"/>
      <c r="J11" s="23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6"/>
      <c r="B12" s="17" t="s">
        <v>30</v>
      </c>
      <c r="C12" s="10"/>
      <c r="D12" s="48">
        <f t="shared" si="1"/>
        <v>0</v>
      </c>
      <c r="F12" s="239" t="s">
        <v>33</v>
      </c>
      <c r="G12" s="240"/>
      <c r="H12" s="240"/>
      <c r="I12" s="240"/>
      <c r="J12" s="24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6"/>
      <c r="B13" s="17" t="s">
        <v>32</v>
      </c>
      <c r="C13" s="10"/>
      <c r="D13" s="48">
        <f t="shared" si="1"/>
        <v>0</v>
      </c>
      <c r="F13" s="242" t="s">
        <v>36</v>
      </c>
      <c r="G13" s="206"/>
      <c r="H13" s="197">
        <f>D29</f>
        <v>0</v>
      </c>
      <c r="I13" s="198"/>
      <c r="J13" s="19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6"/>
      <c r="B14" s="14" t="s">
        <v>35</v>
      </c>
      <c r="C14" s="10"/>
      <c r="D14" s="31">
        <f t="shared" si="1"/>
        <v>0</v>
      </c>
      <c r="F14" s="200" t="s">
        <v>38</v>
      </c>
      <c r="G14" s="201"/>
      <c r="H14" s="202">
        <f>D54</f>
        <v>0</v>
      </c>
      <c r="I14" s="203"/>
      <c r="J14" s="20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6"/>
      <c r="B15" s="14" t="s">
        <v>122</v>
      </c>
      <c r="C15" s="10"/>
      <c r="D15" s="31">
        <f t="shared" si="1"/>
        <v>0</v>
      </c>
      <c r="F15" s="205" t="s">
        <v>39</v>
      </c>
      <c r="G15" s="206"/>
      <c r="H15" s="207">
        <f>H13-H14</f>
        <v>0</v>
      </c>
      <c r="I15" s="208"/>
      <c r="J15" s="20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6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67"/>
      <c r="I16" s="167"/>
      <c r="J16" s="16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6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78"/>
      <c r="I17" s="178"/>
      <c r="J17" s="17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6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78"/>
      <c r="I18" s="178"/>
      <c r="J18" s="17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6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62"/>
      <c r="I19" s="262"/>
      <c r="J19" s="26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6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67"/>
      <c r="I20" s="167"/>
      <c r="J20" s="16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6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0" t="s">
        <v>13</v>
      </c>
      <c r="I21" s="181"/>
      <c r="J21" s="18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6"/>
      <c r="B22" s="46" t="s">
        <v>103</v>
      </c>
      <c r="C22" s="10"/>
      <c r="D22" s="48">
        <f t="shared" si="1"/>
        <v>0</v>
      </c>
      <c r="F22" s="77"/>
      <c r="G22" s="73"/>
      <c r="H22" s="183"/>
      <c r="I22" s="183"/>
      <c r="J22" s="18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6"/>
      <c r="B23" s="14" t="s">
        <v>121</v>
      </c>
      <c r="C23" s="10"/>
      <c r="D23" s="48">
        <f t="shared" si="1"/>
        <v>0</v>
      </c>
      <c r="F23" s="78"/>
      <c r="G23" s="79"/>
      <c r="H23" s="184"/>
      <c r="I23" s="153"/>
      <c r="J23" s="15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6"/>
      <c r="B24" s="14" t="s">
        <v>128</v>
      </c>
      <c r="C24" s="10"/>
      <c r="D24" s="48">
        <f t="shared" si="1"/>
        <v>0</v>
      </c>
      <c r="F24" s="38"/>
      <c r="G24" s="37"/>
      <c r="H24" s="184"/>
      <c r="I24" s="153"/>
      <c r="J24" s="15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5" t="s">
        <v>13</v>
      </c>
      <c r="I25" s="186"/>
      <c r="J25" s="18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6"/>
      <c r="B26" s="14" t="s">
        <v>129</v>
      </c>
      <c r="C26" s="10"/>
      <c r="D26" s="48">
        <f t="shared" si="1"/>
        <v>0</v>
      </c>
      <c r="F26" s="64"/>
      <c r="G26" s="59"/>
      <c r="H26" s="188"/>
      <c r="I26" s="189"/>
      <c r="J26" s="19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6"/>
      <c r="B27" s="14" t="s">
        <v>130</v>
      </c>
      <c r="C27" s="10"/>
      <c r="D27" s="44">
        <f t="shared" si="1"/>
        <v>0</v>
      </c>
      <c r="F27" s="25"/>
      <c r="G27" s="80"/>
      <c r="H27" s="191"/>
      <c r="I27" s="192"/>
      <c r="J27" s="19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7"/>
      <c r="B28" s="46" t="s">
        <v>92</v>
      </c>
      <c r="C28" s="10"/>
      <c r="D28" s="48">
        <f t="shared" si="1"/>
        <v>0</v>
      </c>
      <c r="F28" s="108"/>
      <c r="G28" s="61"/>
      <c r="H28" s="194"/>
      <c r="I28" s="195"/>
      <c r="J28" s="19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8" t="s">
        <v>36</v>
      </c>
      <c r="B29" s="169"/>
      <c r="C29" s="170"/>
      <c r="D29" s="174">
        <f>SUM(D6:D28)</f>
        <v>0</v>
      </c>
      <c r="F29" s="114" t="s">
        <v>54</v>
      </c>
      <c r="G29" s="176"/>
      <c r="H29" s="136">
        <f>H15-H16-H17-H18-H19-H20-H22-H23-H24+H26+H27</f>
        <v>0</v>
      </c>
      <c r="I29" s="137"/>
      <c r="J29" s="13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1"/>
      <c r="B30" s="172"/>
      <c r="C30" s="173"/>
      <c r="D30" s="175"/>
      <c r="F30" s="117"/>
      <c r="G30" s="177"/>
      <c r="H30" s="139"/>
      <c r="I30" s="140"/>
      <c r="J30" s="141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1" t="s">
        <v>57</v>
      </c>
      <c r="B32" s="162"/>
      <c r="C32" s="162"/>
      <c r="D32" s="163"/>
      <c r="F32" s="164" t="s">
        <v>58</v>
      </c>
      <c r="G32" s="165"/>
      <c r="H32" s="165"/>
      <c r="I32" s="165"/>
      <c r="J32" s="16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9" t="s">
        <v>62</v>
      </c>
      <c r="H33" s="164" t="s">
        <v>13</v>
      </c>
      <c r="I33" s="165"/>
      <c r="J33" s="16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5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58">
        <f>F34*G34</f>
        <v>0</v>
      </c>
      <c r="I34" s="159"/>
      <c r="J34" s="16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6"/>
      <c r="B35" s="27" t="s">
        <v>67</v>
      </c>
      <c r="C35" s="52"/>
      <c r="D35" s="30">
        <f>C35*84</f>
        <v>0</v>
      </c>
      <c r="F35" s="58">
        <v>500</v>
      </c>
      <c r="G35" s="41"/>
      <c r="H35" s="158">
        <f>F35*G35</f>
        <v>0</v>
      </c>
      <c r="I35" s="159"/>
      <c r="J35" s="16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7"/>
      <c r="B36" s="26" t="s">
        <v>69</v>
      </c>
      <c r="C36" s="10"/>
      <c r="D36" s="12">
        <f>C36*1.5</f>
        <v>0</v>
      </c>
      <c r="F36" s="12">
        <v>200</v>
      </c>
      <c r="G36" s="37"/>
      <c r="H36" s="158">
        <f t="shared" ref="H36:H39" si="2">F36*G36</f>
        <v>0</v>
      </c>
      <c r="I36" s="159"/>
      <c r="J36" s="16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8">
        <f t="shared" si="2"/>
        <v>0</v>
      </c>
      <c r="I37" s="159"/>
      <c r="J37" s="16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6"/>
      <c r="B38" s="29" t="s">
        <v>67</v>
      </c>
      <c r="C38" s="54"/>
      <c r="D38" s="12">
        <f>C38*84</f>
        <v>0</v>
      </c>
      <c r="F38" s="30">
        <v>50</v>
      </c>
      <c r="G38" s="39"/>
      <c r="H38" s="158">
        <f t="shared" si="2"/>
        <v>0</v>
      </c>
      <c r="I38" s="159"/>
      <c r="J38" s="16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7"/>
      <c r="B39" s="29" t="s">
        <v>69</v>
      </c>
      <c r="C39" s="52"/>
      <c r="D39" s="31">
        <f>C39*4.5</f>
        <v>0</v>
      </c>
      <c r="F39" s="12">
        <v>20</v>
      </c>
      <c r="G39" s="37"/>
      <c r="H39" s="158">
        <f t="shared" si="2"/>
        <v>0</v>
      </c>
      <c r="I39" s="159"/>
      <c r="J39" s="16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8"/>
      <c r="I40" s="159"/>
      <c r="J40" s="16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6"/>
      <c r="B41" s="27" t="s">
        <v>67</v>
      </c>
      <c r="C41" s="10"/>
      <c r="D41" s="12">
        <f>C41*84</f>
        <v>0</v>
      </c>
      <c r="F41" s="12">
        <v>5</v>
      </c>
      <c r="G41" s="42"/>
      <c r="H41" s="158"/>
      <c r="I41" s="159"/>
      <c r="J41" s="16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7"/>
      <c r="B42" s="27" t="s">
        <v>69</v>
      </c>
      <c r="C42" s="11"/>
      <c r="D42" s="12">
        <f>C42*2.25</f>
        <v>0</v>
      </c>
      <c r="F42" s="39" t="s">
        <v>78</v>
      </c>
      <c r="G42" s="158"/>
      <c r="H42" s="159"/>
      <c r="I42" s="159"/>
      <c r="J42" s="16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8" t="s">
        <v>80</v>
      </c>
      <c r="C43" s="11"/>
      <c r="D43" s="12"/>
      <c r="F43" s="59" t="s">
        <v>81</v>
      </c>
      <c r="G43" s="105" t="s">
        <v>82</v>
      </c>
      <c r="H43" s="150" t="s">
        <v>13</v>
      </c>
      <c r="I43" s="151"/>
      <c r="J43" s="15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9"/>
      <c r="B44" s="27" t="s">
        <v>65</v>
      </c>
      <c r="C44" s="10"/>
      <c r="D44" s="12">
        <f>C44*120</f>
        <v>0</v>
      </c>
      <c r="F44" s="37"/>
      <c r="G44" s="76"/>
      <c r="H44" s="153"/>
      <c r="I44" s="153"/>
      <c r="J44" s="15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9"/>
      <c r="B45" s="27" t="s">
        <v>67</v>
      </c>
      <c r="C45" s="33"/>
      <c r="D45" s="12">
        <f>C45*84</f>
        <v>0</v>
      </c>
      <c r="F45" s="37"/>
      <c r="G45" s="76"/>
      <c r="H45" s="153"/>
      <c r="I45" s="153"/>
      <c r="J45" s="153"/>
      <c r="K45" s="21"/>
      <c r="P45" s="4"/>
      <c r="Q45" s="4"/>
      <c r="R45" s="5"/>
    </row>
    <row r="46" spans="1:18" ht="15.75" x14ac:dyDescent="0.25">
      <c r="A46" s="129"/>
      <c r="B46" s="49" t="s">
        <v>69</v>
      </c>
      <c r="C46" s="81"/>
      <c r="D46" s="12">
        <f>C46*1.5</f>
        <v>0</v>
      </c>
      <c r="F46" s="37"/>
      <c r="G46" s="62"/>
      <c r="H46" s="154"/>
      <c r="I46" s="154"/>
      <c r="J46" s="154"/>
      <c r="K46" s="21"/>
      <c r="P46" s="4"/>
      <c r="Q46" s="4"/>
      <c r="R46" s="5"/>
    </row>
    <row r="47" spans="1:18" ht="15.75" x14ac:dyDescent="0.25">
      <c r="A47" s="130"/>
      <c r="B47" s="27"/>
      <c r="C47" s="11"/>
      <c r="D47" s="12"/>
      <c r="F47" s="59"/>
      <c r="G47" s="59"/>
      <c r="H47" s="131"/>
      <c r="I47" s="132"/>
      <c r="J47" s="133"/>
      <c r="K47" s="21"/>
      <c r="P47" s="4"/>
      <c r="Q47" s="4"/>
      <c r="R47" s="5"/>
    </row>
    <row r="48" spans="1:18" ht="15" customHeight="1" x14ac:dyDescent="0.25">
      <c r="A48" s="128" t="s">
        <v>32</v>
      </c>
      <c r="B48" s="27" t="s">
        <v>65</v>
      </c>
      <c r="C48" s="10"/>
      <c r="D48" s="12">
        <f>C48*78</f>
        <v>0</v>
      </c>
      <c r="F48" s="59"/>
      <c r="G48" s="59"/>
      <c r="H48" s="131"/>
      <c r="I48" s="132"/>
      <c r="J48" s="13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9"/>
      <c r="B49" s="29" t="s">
        <v>67</v>
      </c>
      <c r="C49" s="33"/>
      <c r="D49" s="12">
        <f>C49*42</f>
        <v>0</v>
      </c>
      <c r="F49" s="134" t="s">
        <v>85</v>
      </c>
      <c r="G49" s="136">
        <f>H34+H35+H36+H37+H38+H39+H40+H41+G42+H44+H45+H46</f>
        <v>0</v>
      </c>
      <c r="H49" s="137"/>
      <c r="I49" s="137"/>
      <c r="J49" s="13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9"/>
      <c r="B50" s="32" t="s">
        <v>69</v>
      </c>
      <c r="C50" s="11"/>
      <c r="D50" s="12">
        <f>C50*1.5</f>
        <v>0</v>
      </c>
      <c r="F50" s="135"/>
      <c r="G50" s="139"/>
      <c r="H50" s="140"/>
      <c r="I50" s="140"/>
      <c r="J50" s="141"/>
      <c r="O50" t="s">
        <v>114</v>
      </c>
      <c r="P50" s="4">
        <v>1204</v>
      </c>
      <c r="Q50" s="4"/>
      <c r="R50" s="5"/>
    </row>
    <row r="51" spans="1:18" ht="15" customHeight="1" x14ac:dyDescent="0.25">
      <c r="A51" s="129"/>
      <c r="B51" s="27"/>
      <c r="C51" s="10"/>
      <c r="D51" s="31"/>
      <c r="F51" s="142" t="s">
        <v>115</v>
      </c>
      <c r="G51" s="144">
        <f>G49-H29</f>
        <v>0</v>
      </c>
      <c r="H51" s="145"/>
      <c r="I51" s="145"/>
      <c r="J51" s="14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9"/>
      <c r="B52" s="29"/>
      <c r="C52" s="33"/>
      <c r="D52" s="45"/>
      <c r="F52" s="143"/>
      <c r="G52" s="147"/>
      <c r="H52" s="148"/>
      <c r="I52" s="148"/>
      <c r="J52" s="14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4" t="s">
        <v>89</v>
      </c>
      <c r="B54" s="115"/>
      <c r="C54" s="116"/>
      <c r="D54" s="120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7"/>
      <c r="B55" s="118"/>
      <c r="C55" s="119"/>
      <c r="D55" s="1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2" t="s">
        <v>90</v>
      </c>
      <c r="B58" s="123"/>
      <c r="C58" s="123"/>
      <c r="D58" s="124"/>
      <c r="F58" s="122" t="s">
        <v>91</v>
      </c>
      <c r="G58" s="123"/>
      <c r="H58" s="123"/>
      <c r="I58" s="123"/>
      <c r="J58" s="124"/>
    </row>
    <row r="59" spans="1:18" x14ac:dyDescent="0.25">
      <c r="A59" s="125"/>
      <c r="B59" s="126"/>
      <c r="C59" s="126"/>
      <c r="D59" s="127"/>
      <c r="F59" s="125"/>
      <c r="G59" s="126"/>
      <c r="H59" s="126"/>
      <c r="I59" s="126"/>
      <c r="J59" s="12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2A82DE-848E-4D18-B3B6-32FC97A7F698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0" t="s">
        <v>1</v>
      </c>
      <c r="O1" s="210"/>
      <c r="P1" s="107" t="s">
        <v>2</v>
      </c>
      <c r="Q1" s="10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1" t="s">
        <v>7</v>
      </c>
      <c r="B4" s="162"/>
      <c r="C4" s="162"/>
      <c r="D4" s="163"/>
      <c r="F4" s="211" t="s">
        <v>8</v>
      </c>
      <c r="G4" s="213"/>
      <c r="H4" s="215" t="s">
        <v>9</v>
      </c>
      <c r="I4" s="217"/>
      <c r="J4" s="21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5" t="s">
        <v>7</v>
      </c>
      <c r="B5" s="15" t="s">
        <v>11</v>
      </c>
      <c r="C5" s="9" t="s">
        <v>12</v>
      </c>
      <c r="D5" s="25" t="s">
        <v>13</v>
      </c>
      <c r="F5" s="212"/>
      <c r="G5" s="214"/>
      <c r="H5" s="216"/>
      <c r="I5" s="219"/>
      <c r="J5" s="22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6"/>
      <c r="B6" s="16"/>
      <c r="C6" s="10"/>
      <c r="D6" s="13">
        <f t="shared" ref="D6:D28" si="1">C6*L6</f>
        <v>0</v>
      </c>
      <c r="F6" s="221" t="s">
        <v>16</v>
      </c>
      <c r="G6" s="223"/>
      <c r="H6" s="224"/>
      <c r="I6" s="224"/>
      <c r="J6" s="22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6"/>
      <c r="B7" s="16"/>
      <c r="C7" s="10"/>
      <c r="D7" s="13">
        <f t="shared" si="1"/>
        <v>0</v>
      </c>
      <c r="F7" s="222"/>
      <c r="G7" s="226"/>
      <c r="H7" s="227"/>
      <c r="I7" s="227"/>
      <c r="J7" s="22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6"/>
      <c r="B8" s="16"/>
      <c r="C8" s="10"/>
      <c r="D8" s="13">
        <f t="shared" si="1"/>
        <v>0</v>
      </c>
      <c r="F8" s="229" t="s">
        <v>21</v>
      </c>
      <c r="G8" s="230"/>
      <c r="H8" s="231"/>
      <c r="I8" s="231"/>
      <c r="J8" s="23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6"/>
      <c r="B9" s="16"/>
      <c r="C9" s="10"/>
      <c r="D9" s="13">
        <f t="shared" si="1"/>
        <v>0</v>
      </c>
      <c r="F9" s="222"/>
      <c r="G9" s="233"/>
      <c r="H9" s="234"/>
      <c r="I9" s="234"/>
      <c r="J9" s="23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6"/>
      <c r="C10" s="10"/>
      <c r="D10" s="13">
        <f t="shared" si="1"/>
        <v>0</v>
      </c>
      <c r="F10" s="221" t="s">
        <v>26</v>
      </c>
      <c r="G10" s="236"/>
      <c r="H10" s="237"/>
      <c r="I10" s="237"/>
      <c r="J10" s="238"/>
      <c r="K10" s="8"/>
      <c r="L10" s="6">
        <f>R36</f>
        <v>972</v>
      </c>
      <c r="P10" s="4"/>
      <c r="Q10" s="4"/>
      <c r="R10" s="5"/>
    </row>
    <row r="11" spans="1:19" ht="15.75" x14ac:dyDescent="0.25">
      <c r="A11" s="156"/>
      <c r="B11" s="17"/>
      <c r="C11" s="10"/>
      <c r="D11" s="13">
        <f t="shared" si="1"/>
        <v>0</v>
      </c>
      <c r="F11" s="222"/>
      <c r="G11" s="233"/>
      <c r="H11" s="234"/>
      <c r="I11" s="234"/>
      <c r="J11" s="23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6"/>
      <c r="B12" s="17"/>
      <c r="C12" s="10"/>
      <c r="D12" s="48">
        <f t="shared" si="1"/>
        <v>0</v>
      </c>
      <c r="F12" s="239" t="s">
        <v>33</v>
      </c>
      <c r="G12" s="240"/>
      <c r="H12" s="240"/>
      <c r="I12" s="240"/>
      <c r="J12" s="24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6"/>
      <c r="B13" s="17"/>
      <c r="C13" s="10"/>
      <c r="D13" s="48">
        <f t="shared" si="1"/>
        <v>0</v>
      </c>
      <c r="F13" s="242" t="s">
        <v>36</v>
      </c>
      <c r="G13" s="206"/>
      <c r="H13" s="197">
        <f>D29</f>
        <v>0</v>
      </c>
      <c r="I13" s="198"/>
      <c r="J13" s="19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6"/>
      <c r="B14" s="14"/>
      <c r="C14" s="10"/>
      <c r="D14" s="31">
        <f t="shared" si="1"/>
        <v>0</v>
      </c>
      <c r="F14" s="200" t="s">
        <v>38</v>
      </c>
      <c r="G14" s="201"/>
      <c r="H14" s="202">
        <f>D54</f>
        <v>0</v>
      </c>
      <c r="I14" s="203"/>
      <c r="J14" s="20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6"/>
      <c r="B15" s="14"/>
      <c r="C15" s="10"/>
      <c r="D15" s="31">
        <f t="shared" si="1"/>
        <v>0</v>
      </c>
      <c r="F15" s="205" t="s">
        <v>39</v>
      </c>
      <c r="G15" s="206"/>
      <c r="H15" s="207">
        <f>H13-H14</f>
        <v>0</v>
      </c>
      <c r="I15" s="208"/>
      <c r="J15" s="20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6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7"/>
      <c r="I16" s="167"/>
      <c r="J16" s="16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6"/>
      <c r="C17" s="10"/>
      <c r="D17" s="48">
        <f t="shared" si="1"/>
        <v>0</v>
      </c>
      <c r="F17" s="56"/>
      <c r="G17" s="66" t="s">
        <v>44</v>
      </c>
      <c r="H17" s="178"/>
      <c r="I17" s="178"/>
      <c r="J17" s="17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6"/>
      <c r="B18" s="19"/>
      <c r="C18" s="10"/>
      <c r="D18" s="48">
        <f t="shared" si="1"/>
        <v>0</v>
      </c>
      <c r="F18" s="56"/>
      <c r="G18" s="66" t="s">
        <v>46</v>
      </c>
      <c r="H18" s="178"/>
      <c r="I18" s="178"/>
      <c r="J18" s="17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6"/>
      <c r="B19" s="14"/>
      <c r="C19" s="10"/>
      <c r="D19" s="48">
        <f t="shared" si="1"/>
        <v>0</v>
      </c>
      <c r="F19" s="56"/>
      <c r="G19" s="68" t="s">
        <v>49</v>
      </c>
      <c r="H19" s="179"/>
      <c r="I19" s="179"/>
      <c r="J19" s="17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6"/>
      <c r="B20" s="46"/>
      <c r="C20" s="10"/>
      <c r="D20" s="13">
        <f t="shared" si="1"/>
        <v>0</v>
      </c>
      <c r="F20" s="57"/>
      <c r="G20" s="70" t="s">
        <v>102</v>
      </c>
      <c r="H20" s="167"/>
      <c r="I20" s="167"/>
      <c r="J20" s="167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6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80" t="s">
        <v>13</v>
      </c>
      <c r="I21" s="181"/>
      <c r="J21" s="182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6"/>
      <c r="B22" s="46"/>
      <c r="C22" s="10"/>
      <c r="D22" s="48">
        <f t="shared" si="1"/>
        <v>0</v>
      </c>
      <c r="F22" s="77"/>
      <c r="G22" s="73"/>
      <c r="H22" s="183"/>
      <c r="I22" s="183"/>
      <c r="J22" s="183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6"/>
      <c r="B23" s="14"/>
      <c r="C23" s="10"/>
      <c r="D23" s="48">
        <f t="shared" si="1"/>
        <v>0</v>
      </c>
      <c r="F23" s="78"/>
      <c r="G23" s="79"/>
      <c r="H23" s="184"/>
      <c r="I23" s="153"/>
      <c r="J23" s="153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6"/>
      <c r="B24" s="14"/>
      <c r="C24" s="10"/>
      <c r="D24" s="48">
        <f t="shared" si="1"/>
        <v>0</v>
      </c>
      <c r="F24" s="38"/>
      <c r="G24" s="37"/>
      <c r="H24" s="184"/>
      <c r="I24" s="153"/>
      <c r="J24" s="153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6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5" t="s">
        <v>13</v>
      </c>
      <c r="I25" s="186"/>
      <c r="J25" s="187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6"/>
      <c r="B26" s="14"/>
      <c r="C26" s="10"/>
      <c r="D26" s="48">
        <f t="shared" si="1"/>
        <v>0</v>
      </c>
      <c r="F26" s="64"/>
      <c r="G26" s="59"/>
      <c r="H26" s="188"/>
      <c r="I26" s="189"/>
      <c r="J26" s="190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6"/>
      <c r="B27" s="14"/>
      <c r="C27" s="10"/>
      <c r="D27" s="44">
        <f t="shared" si="1"/>
        <v>0</v>
      </c>
      <c r="F27" s="25"/>
      <c r="G27" s="80"/>
      <c r="H27" s="191"/>
      <c r="I27" s="192"/>
      <c r="J27" s="193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7"/>
      <c r="B28" s="46"/>
      <c r="C28" s="10"/>
      <c r="D28" s="48">
        <f t="shared" si="1"/>
        <v>0</v>
      </c>
      <c r="F28" s="108"/>
      <c r="G28" s="61"/>
      <c r="H28" s="194"/>
      <c r="I28" s="195"/>
      <c r="J28" s="196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8" t="s">
        <v>36</v>
      </c>
      <c r="B29" s="169"/>
      <c r="C29" s="170"/>
      <c r="D29" s="174">
        <f>SUM(D6:D28)</f>
        <v>0</v>
      </c>
      <c r="F29" s="114" t="s">
        <v>54</v>
      </c>
      <c r="G29" s="176"/>
      <c r="H29" s="136">
        <f>H15-H16-H17-H18-H19-H20-H22-H23-H24+H26+H27</f>
        <v>0</v>
      </c>
      <c r="I29" s="137"/>
      <c r="J29" s="13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1"/>
      <c r="B30" s="172"/>
      <c r="C30" s="173"/>
      <c r="D30" s="175"/>
      <c r="F30" s="117"/>
      <c r="G30" s="177"/>
      <c r="H30" s="139"/>
      <c r="I30" s="140"/>
      <c r="J30" s="14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1" t="s">
        <v>57</v>
      </c>
      <c r="B32" s="162"/>
      <c r="C32" s="162"/>
      <c r="D32" s="163"/>
      <c r="F32" s="164" t="s">
        <v>58</v>
      </c>
      <c r="G32" s="165"/>
      <c r="H32" s="165"/>
      <c r="I32" s="165"/>
      <c r="J32" s="166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9" t="s">
        <v>62</v>
      </c>
      <c r="H33" s="164" t="s">
        <v>13</v>
      </c>
      <c r="I33" s="165"/>
      <c r="J33" s="16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5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58"/>
      <c r="I34" s="159"/>
      <c r="J34" s="160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6"/>
      <c r="B35" s="27" t="s">
        <v>67</v>
      </c>
      <c r="C35" s="52"/>
      <c r="D35" s="30">
        <f>C35*84</f>
        <v>0</v>
      </c>
      <c r="F35" s="58">
        <v>500</v>
      </c>
      <c r="G35" s="41"/>
      <c r="H35" s="158"/>
      <c r="I35" s="159"/>
      <c r="J35" s="16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7"/>
      <c r="B36" s="26" t="s">
        <v>69</v>
      </c>
      <c r="C36" s="10"/>
      <c r="D36" s="12">
        <f>C36*1.5</f>
        <v>0</v>
      </c>
      <c r="F36" s="12">
        <v>200</v>
      </c>
      <c r="G36" s="37"/>
      <c r="H36" s="158"/>
      <c r="I36" s="159"/>
      <c r="J36" s="160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8"/>
      <c r="I37" s="159"/>
      <c r="J37" s="160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6"/>
      <c r="B38" s="29" t="s">
        <v>67</v>
      </c>
      <c r="C38" s="54"/>
      <c r="D38" s="12">
        <f>C38*84</f>
        <v>0</v>
      </c>
      <c r="F38" s="30">
        <v>50</v>
      </c>
      <c r="G38" s="39"/>
      <c r="H38" s="158"/>
      <c r="I38" s="159"/>
      <c r="J38" s="160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7"/>
      <c r="B39" s="29" t="s">
        <v>69</v>
      </c>
      <c r="C39" s="52"/>
      <c r="D39" s="31">
        <f>C39*4.5</f>
        <v>0</v>
      </c>
      <c r="F39" s="12">
        <v>20</v>
      </c>
      <c r="G39" s="37"/>
      <c r="H39" s="158"/>
      <c r="I39" s="159"/>
      <c r="J39" s="16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8"/>
      <c r="I40" s="159"/>
      <c r="J40" s="160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6"/>
      <c r="B41" s="27" t="s">
        <v>67</v>
      </c>
      <c r="C41" s="10"/>
      <c r="D41" s="12">
        <f>C41*84</f>
        <v>0</v>
      </c>
      <c r="F41" s="12">
        <v>5</v>
      </c>
      <c r="G41" s="42"/>
      <c r="H41" s="158"/>
      <c r="I41" s="159"/>
      <c r="J41" s="160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7"/>
      <c r="B42" s="27" t="s">
        <v>69</v>
      </c>
      <c r="C42" s="11"/>
      <c r="D42" s="12">
        <f>C42*2.25</f>
        <v>0</v>
      </c>
      <c r="F42" s="39" t="s">
        <v>78</v>
      </c>
      <c r="G42" s="158"/>
      <c r="H42" s="159"/>
      <c r="I42" s="159"/>
      <c r="J42" s="160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8" t="s">
        <v>80</v>
      </c>
      <c r="C43" s="11"/>
      <c r="D43" s="12"/>
      <c r="F43" s="59" t="s">
        <v>81</v>
      </c>
      <c r="G43" s="105" t="s">
        <v>82</v>
      </c>
      <c r="H43" s="150" t="s">
        <v>13</v>
      </c>
      <c r="I43" s="151"/>
      <c r="J43" s="152"/>
      <c r="K43" s="21"/>
      <c r="P43" s="4"/>
      <c r="Q43" s="4"/>
      <c r="R43" s="5"/>
    </row>
    <row r="44" spans="1:18" ht="15.75" x14ac:dyDescent="0.25">
      <c r="A44" s="129"/>
      <c r="B44" s="27" t="s">
        <v>65</v>
      </c>
      <c r="C44" s="10"/>
      <c r="D44" s="12">
        <f>C44*120</f>
        <v>0</v>
      </c>
      <c r="F44" s="37"/>
      <c r="G44" s="76"/>
      <c r="H44" s="153"/>
      <c r="I44" s="153"/>
      <c r="J44" s="153"/>
      <c r="K44" s="21"/>
      <c r="P44" s="4"/>
      <c r="Q44" s="4"/>
      <c r="R44" s="5"/>
    </row>
    <row r="45" spans="1:18" ht="15.75" x14ac:dyDescent="0.25">
      <c r="A45" s="129"/>
      <c r="B45" s="27" t="s">
        <v>67</v>
      </c>
      <c r="C45" s="33"/>
      <c r="D45" s="12">
        <f>C45*84</f>
        <v>0</v>
      </c>
      <c r="F45" s="37"/>
      <c r="G45" s="76"/>
      <c r="H45" s="153"/>
      <c r="I45" s="153"/>
      <c r="J45" s="153"/>
      <c r="K45" s="21"/>
      <c r="P45" s="4"/>
      <c r="Q45" s="4"/>
      <c r="R45" s="5"/>
    </row>
    <row r="46" spans="1:18" ht="15.75" x14ac:dyDescent="0.25">
      <c r="A46" s="129"/>
      <c r="B46" s="49" t="s">
        <v>69</v>
      </c>
      <c r="C46" s="81"/>
      <c r="D46" s="12">
        <f>C46*1.5</f>
        <v>0</v>
      </c>
      <c r="F46" s="37"/>
      <c r="G46" s="62"/>
      <c r="H46" s="154"/>
      <c r="I46" s="154"/>
      <c r="J46" s="154"/>
      <c r="K46" s="21"/>
      <c r="P46" s="4"/>
      <c r="Q46" s="4"/>
      <c r="R46" s="5"/>
    </row>
    <row r="47" spans="1:18" ht="15.75" x14ac:dyDescent="0.25">
      <c r="A47" s="130"/>
      <c r="B47" s="27"/>
      <c r="C47" s="11"/>
      <c r="D47" s="12"/>
      <c r="F47" s="59"/>
      <c r="G47" s="59"/>
      <c r="H47" s="131"/>
      <c r="I47" s="132"/>
      <c r="J47" s="133"/>
      <c r="K47" s="21"/>
      <c r="P47" s="4"/>
      <c r="Q47" s="4"/>
      <c r="R47" s="5"/>
    </row>
    <row r="48" spans="1:18" ht="15" customHeight="1" x14ac:dyDescent="0.25">
      <c r="A48" s="128" t="s">
        <v>32</v>
      </c>
      <c r="B48" s="27" t="s">
        <v>65</v>
      </c>
      <c r="C48" s="10"/>
      <c r="D48" s="12">
        <f>C48*78</f>
        <v>0</v>
      </c>
      <c r="F48" s="59"/>
      <c r="G48" s="59"/>
      <c r="H48" s="131"/>
      <c r="I48" s="132"/>
      <c r="J48" s="13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9"/>
      <c r="B49" s="29" t="s">
        <v>67</v>
      </c>
      <c r="C49" s="33"/>
      <c r="D49" s="12">
        <f>C49*42</f>
        <v>0</v>
      </c>
      <c r="F49" s="134" t="s">
        <v>85</v>
      </c>
      <c r="G49" s="136">
        <f>H34+H35+H36+H37+H38+H39+H40+H41+G42+H44+H45+H46</f>
        <v>0</v>
      </c>
      <c r="H49" s="137"/>
      <c r="I49" s="137"/>
      <c r="J49" s="13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9"/>
      <c r="B50" s="32" t="s">
        <v>69</v>
      </c>
      <c r="C50" s="11"/>
      <c r="D50" s="12">
        <f>C50*1.5</f>
        <v>0</v>
      </c>
      <c r="F50" s="135"/>
      <c r="G50" s="139"/>
      <c r="H50" s="140"/>
      <c r="I50" s="140"/>
      <c r="J50" s="141"/>
      <c r="P50" s="4"/>
      <c r="Q50" s="4"/>
      <c r="R50" s="5"/>
    </row>
    <row r="51" spans="1:18" ht="15" customHeight="1" x14ac:dyDescent="0.25">
      <c r="A51" s="129"/>
      <c r="B51" s="27"/>
      <c r="C51" s="10"/>
      <c r="D51" s="31"/>
      <c r="F51" s="142" t="s">
        <v>106</v>
      </c>
      <c r="G51" s="144">
        <f>G49-H29</f>
        <v>0</v>
      </c>
      <c r="H51" s="145"/>
      <c r="I51" s="145"/>
      <c r="J51" s="146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9"/>
      <c r="B52" s="29"/>
      <c r="C52" s="33"/>
      <c r="D52" s="45"/>
      <c r="F52" s="143"/>
      <c r="G52" s="147"/>
      <c r="H52" s="148"/>
      <c r="I52" s="148"/>
      <c r="J52" s="14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4" t="s">
        <v>89</v>
      </c>
      <c r="B54" s="115"/>
      <c r="C54" s="116"/>
      <c r="D54" s="120">
        <f>SUM(D34:D53)</f>
        <v>0</v>
      </c>
      <c r="F54" s="21"/>
      <c r="J54" s="34"/>
    </row>
    <row r="55" spans="1:18" x14ac:dyDescent="0.25">
      <c r="A55" s="117"/>
      <c r="B55" s="118"/>
      <c r="C55" s="119"/>
      <c r="D55" s="1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2" t="s">
        <v>90</v>
      </c>
      <c r="B58" s="123"/>
      <c r="C58" s="123"/>
      <c r="D58" s="124"/>
      <c r="F58" s="122" t="s">
        <v>91</v>
      </c>
      <c r="G58" s="123"/>
      <c r="H58" s="123"/>
      <c r="I58" s="123"/>
      <c r="J58" s="124"/>
    </row>
    <row r="59" spans="1:18" x14ac:dyDescent="0.25">
      <c r="A59" s="125"/>
      <c r="B59" s="126"/>
      <c r="C59" s="126"/>
      <c r="D59" s="127"/>
      <c r="F59" s="125"/>
      <c r="G59" s="126"/>
      <c r="H59" s="126"/>
      <c r="I59" s="126"/>
      <c r="J59" s="12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0000AB-57DA-4F70-BEF5-1E4FB759994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0" t="s">
        <v>1</v>
      </c>
      <c r="O1" s="210"/>
      <c r="P1" s="107" t="s">
        <v>2</v>
      </c>
      <c r="Q1" s="10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1" t="s">
        <v>7</v>
      </c>
      <c r="B4" s="162"/>
      <c r="C4" s="162"/>
      <c r="D4" s="163"/>
      <c r="F4" s="211" t="s">
        <v>8</v>
      </c>
      <c r="G4" s="213">
        <v>1</v>
      </c>
      <c r="H4" s="215" t="s">
        <v>9</v>
      </c>
      <c r="I4" s="217">
        <v>46155</v>
      </c>
      <c r="J4" s="21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5" t="s">
        <v>7</v>
      </c>
      <c r="B5" s="15" t="s">
        <v>11</v>
      </c>
      <c r="C5" s="9" t="s">
        <v>12</v>
      </c>
      <c r="D5" s="25" t="s">
        <v>13</v>
      </c>
      <c r="F5" s="212"/>
      <c r="G5" s="214"/>
      <c r="H5" s="216"/>
      <c r="I5" s="219"/>
      <c r="J5" s="22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6"/>
      <c r="B6" s="16" t="s">
        <v>15</v>
      </c>
      <c r="C6" s="10"/>
      <c r="D6" s="13">
        <f t="shared" ref="D6:D28" si="1">C6*L6</f>
        <v>0</v>
      </c>
      <c r="F6" s="221" t="s">
        <v>16</v>
      </c>
      <c r="G6" s="223" t="s">
        <v>99</v>
      </c>
      <c r="H6" s="224"/>
      <c r="I6" s="224"/>
      <c r="J6" s="22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6"/>
      <c r="B7" s="16" t="s">
        <v>18</v>
      </c>
      <c r="C7" s="10"/>
      <c r="D7" s="13">
        <f t="shared" si="1"/>
        <v>0</v>
      </c>
      <c r="F7" s="222"/>
      <c r="G7" s="226"/>
      <c r="H7" s="227"/>
      <c r="I7" s="227"/>
      <c r="J7" s="22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6"/>
      <c r="B8" s="16" t="s">
        <v>20</v>
      </c>
      <c r="C8" s="10"/>
      <c r="D8" s="13">
        <f t="shared" si="1"/>
        <v>0</v>
      </c>
      <c r="F8" s="229" t="s">
        <v>21</v>
      </c>
      <c r="G8" s="230" t="s">
        <v>120</v>
      </c>
      <c r="H8" s="231"/>
      <c r="I8" s="231"/>
      <c r="J8" s="23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6"/>
      <c r="B9" s="16" t="s">
        <v>23</v>
      </c>
      <c r="C9" s="10"/>
      <c r="D9" s="13">
        <f t="shared" si="1"/>
        <v>0</v>
      </c>
      <c r="F9" s="222"/>
      <c r="G9" s="233"/>
      <c r="H9" s="234"/>
      <c r="I9" s="234"/>
      <c r="J9" s="23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6"/>
      <c r="B10" t="s">
        <v>25</v>
      </c>
      <c r="C10" s="10"/>
      <c r="D10" s="13">
        <f t="shared" si="1"/>
        <v>0</v>
      </c>
      <c r="F10" s="221" t="s">
        <v>26</v>
      </c>
      <c r="G10" s="236" t="s">
        <v>108</v>
      </c>
      <c r="H10" s="237"/>
      <c r="I10" s="237"/>
      <c r="J10" s="238"/>
      <c r="K10" s="8"/>
      <c r="L10" s="6">
        <f>R36</f>
        <v>1032</v>
      </c>
      <c r="P10" s="4"/>
      <c r="Q10" s="4"/>
      <c r="R10" s="5"/>
    </row>
    <row r="11" spans="1:18" ht="15.75" x14ac:dyDescent="0.25">
      <c r="A11" s="156"/>
      <c r="B11" s="17" t="s">
        <v>28</v>
      </c>
      <c r="C11" s="10"/>
      <c r="D11" s="13">
        <f t="shared" si="1"/>
        <v>0</v>
      </c>
      <c r="F11" s="222"/>
      <c r="G11" s="233"/>
      <c r="H11" s="234"/>
      <c r="I11" s="234"/>
      <c r="J11" s="23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6"/>
      <c r="B12" s="17" t="s">
        <v>30</v>
      </c>
      <c r="C12" s="10"/>
      <c r="D12" s="48">
        <f t="shared" si="1"/>
        <v>0</v>
      </c>
      <c r="F12" s="239" t="s">
        <v>33</v>
      </c>
      <c r="G12" s="240"/>
      <c r="H12" s="240"/>
      <c r="I12" s="240"/>
      <c r="J12" s="24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6"/>
      <c r="B13" s="17" t="s">
        <v>32</v>
      </c>
      <c r="C13" s="10"/>
      <c r="D13" s="48">
        <f t="shared" si="1"/>
        <v>0</v>
      </c>
      <c r="F13" s="242" t="s">
        <v>36</v>
      </c>
      <c r="G13" s="206"/>
      <c r="H13" s="197">
        <f>D29</f>
        <v>0</v>
      </c>
      <c r="I13" s="198"/>
      <c r="J13" s="19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6"/>
      <c r="B14" s="14" t="s">
        <v>35</v>
      </c>
      <c r="C14" s="10"/>
      <c r="D14" s="31">
        <f t="shared" si="1"/>
        <v>0</v>
      </c>
      <c r="F14" s="200" t="s">
        <v>38</v>
      </c>
      <c r="G14" s="201"/>
      <c r="H14" s="202">
        <f>D54</f>
        <v>0</v>
      </c>
      <c r="I14" s="203"/>
      <c r="J14" s="20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6"/>
      <c r="B15" s="14" t="s">
        <v>122</v>
      </c>
      <c r="C15" s="10"/>
      <c r="D15" s="31">
        <f t="shared" si="1"/>
        <v>0</v>
      </c>
      <c r="F15" s="205" t="s">
        <v>39</v>
      </c>
      <c r="G15" s="206"/>
      <c r="H15" s="207">
        <f>H13-H14</f>
        <v>0</v>
      </c>
      <c r="I15" s="208"/>
      <c r="J15" s="20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6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67"/>
      <c r="I16" s="167"/>
      <c r="J16" s="16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6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78"/>
      <c r="I17" s="178"/>
      <c r="J17" s="17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6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78"/>
      <c r="I18" s="178"/>
      <c r="J18" s="17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6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67"/>
      <c r="I19" s="167"/>
      <c r="J19" s="16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6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67"/>
      <c r="I20" s="167"/>
      <c r="J20" s="16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6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0" t="s">
        <v>13</v>
      </c>
      <c r="I21" s="181"/>
      <c r="J21" s="18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6"/>
      <c r="B22" s="46" t="s">
        <v>103</v>
      </c>
      <c r="C22" s="10"/>
      <c r="D22" s="48">
        <f t="shared" si="1"/>
        <v>0</v>
      </c>
      <c r="F22" s="77"/>
      <c r="G22" s="73"/>
      <c r="H22" s="183"/>
      <c r="I22" s="183"/>
      <c r="J22" s="18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6"/>
      <c r="B23" s="14" t="s">
        <v>121</v>
      </c>
      <c r="C23" s="10"/>
      <c r="D23" s="48">
        <f t="shared" si="1"/>
        <v>0</v>
      </c>
      <c r="F23" s="77"/>
      <c r="G23" s="79"/>
      <c r="H23" s="251"/>
      <c r="I23" s="252"/>
      <c r="J23" s="25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6"/>
      <c r="B24" s="14" t="s">
        <v>128</v>
      </c>
      <c r="C24" s="10"/>
      <c r="D24" s="48">
        <f t="shared" si="1"/>
        <v>0</v>
      </c>
      <c r="F24" s="77"/>
      <c r="G24" s="79"/>
      <c r="H24" s="251"/>
      <c r="I24" s="252"/>
      <c r="J24" s="25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5" t="s">
        <v>13</v>
      </c>
      <c r="I25" s="186"/>
      <c r="J25" s="18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6"/>
      <c r="B26" s="14" t="s">
        <v>129</v>
      </c>
      <c r="C26" s="10"/>
      <c r="D26" s="48">
        <f t="shared" si="1"/>
        <v>0</v>
      </c>
      <c r="F26" s="75"/>
      <c r="G26" s="65"/>
      <c r="H26" s="153"/>
      <c r="I26" s="153"/>
      <c r="J26" s="15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6"/>
      <c r="B27" s="14" t="s">
        <v>130</v>
      </c>
      <c r="C27" s="10"/>
      <c r="D27" s="44">
        <f t="shared" si="1"/>
        <v>0</v>
      </c>
      <c r="F27" s="71"/>
      <c r="G27" s="105"/>
      <c r="H27" s="253"/>
      <c r="I27" s="254"/>
      <c r="J27" s="25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7"/>
      <c r="B28" s="46" t="s">
        <v>92</v>
      </c>
      <c r="C28" s="10"/>
      <c r="D28" s="48">
        <f t="shared" si="1"/>
        <v>0</v>
      </c>
      <c r="F28" s="108"/>
      <c r="G28" s="61"/>
      <c r="H28" s="194"/>
      <c r="I28" s="195"/>
      <c r="J28" s="19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8" t="s">
        <v>36</v>
      </c>
      <c r="B29" s="169"/>
      <c r="C29" s="170"/>
      <c r="D29" s="174">
        <f>SUM(D6:D28)</f>
        <v>0</v>
      </c>
      <c r="F29" s="114" t="s">
        <v>54</v>
      </c>
      <c r="G29" s="176"/>
      <c r="H29" s="136">
        <f>H15-H16-H17-H18-H19-H20-H22-H23-H24+H26+H27+H28</f>
        <v>0</v>
      </c>
      <c r="I29" s="137"/>
      <c r="J29" s="13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1"/>
      <c r="B30" s="172"/>
      <c r="C30" s="173"/>
      <c r="D30" s="175"/>
      <c r="F30" s="117"/>
      <c r="G30" s="177"/>
      <c r="H30" s="139"/>
      <c r="I30" s="140"/>
      <c r="J30" s="141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1" t="s">
        <v>57</v>
      </c>
      <c r="B32" s="162"/>
      <c r="C32" s="162"/>
      <c r="D32" s="163"/>
      <c r="F32" s="164" t="s">
        <v>58</v>
      </c>
      <c r="G32" s="165"/>
      <c r="H32" s="165"/>
      <c r="I32" s="165"/>
      <c r="J32" s="16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9" t="s">
        <v>62</v>
      </c>
      <c r="H33" s="164" t="s">
        <v>13</v>
      </c>
      <c r="I33" s="165"/>
      <c r="J33" s="16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5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58">
        <f t="shared" ref="H34:H39" si="2">F34*G34</f>
        <v>0</v>
      </c>
      <c r="I34" s="159"/>
      <c r="J34" s="16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6"/>
      <c r="B35" s="27" t="s">
        <v>67</v>
      </c>
      <c r="C35" s="52"/>
      <c r="D35" s="30">
        <f>C35*84</f>
        <v>0</v>
      </c>
      <c r="F35" s="58">
        <v>500</v>
      </c>
      <c r="G35" s="41"/>
      <c r="H35" s="158">
        <f t="shared" si="2"/>
        <v>0</v>
      </c>
      <c r="I35" s="159"/>
      <c r="J35" s="16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7"/>
      <c r="B36" s="26" t="s">
        <v>69</v>
      </c>
      <c r="C36" s="10"/>
      <c r="D36" s="12">
        <f>C36*1.5</f>
        <v>0</v>
      </c>
      <c r="F36" s="12">
        <v>200</v>
      </c>
      <c r="G36" s="37"/>
      <c r="H36" s="158">
        <f t="shared" si="2"/>
        <v>0</v>
      </c>
      <c r="I36" s="159"/>
      <c r="J36" s="16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8">
        <f t="shared" si="2"/>
        <v>0</v>
      </c>
      <c r="I37" s="159"/>
      <c r="J37" s="16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6"/>
      <c r="B38" s="29" t="s">
        <v>67</v>
      </c>
      <c r="C38" s="54"/>
      <c r="D38" s="12">
        <f>C38*84</f>
        <v>0</v>
      </c>
      <c r="F38" s="30">
        <v>50</v>
      </c>
      <c r="G38" s="39"/>
      <c r="H38" s="158">
        <f t="shared" si="2"/>
        <v>0</v>
      </c>
      <c r="I38" s="159"/>
      <c r="J38" s="16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7"/>
      <c r="B39" s="29" t="s">
        <v>69</v>
      </c>
      <c r="C39" s="52"/>
      <c r="D39" s="31">
        <f>C39*4.5</f>
        <v>0</v>
      </c>
      <c r="F39" s="12">
        <v>20</v>
      </c>
      <c r="G39" s="37"/>
      <c r="H39" s="158">
        <f t="shared" si="2"/>
        <v>0</v>
      </c>
      <c r="I39" s="159"/>
      <c r="J39" s="16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8"/>
      <c r="I40" s="159"/>
      <c r="J40" s="16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6"/>
      <c r="B41" s="27" t="s">
        <v>67</v>
      </c>
      <c r="C41" s="10"/>
      <c r="D41" s="12">
        <f>C41*84</f>
        <v>0</v>
      </c>
      <c r="F41" s="12">
        <v>5</v>
      </c>
      <c r="G41" s="42"/>
      <c r="H41" s="158"/>
      <c r="I41" s="159"/>
      <c r="J41" s="16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7"/>
      <c r="B42" s="27" t="s">
        <v>69</v>
      </c>
      <c r="C42" s="11"/>
      <c r="D42" s="12">
        <f>C42*2.25</f>
        <v>0</v>
      </c>
      <c r="F42" s="39" t="s">
        <v>78</v>
      </c>
      <c r="G42" s="158"/>
      <c r="H42" s="159"/>
      <c r="I42" s="159"/>
      <c r="J42" s="16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8" t="s">
        <v>80</v>
      </c>
      <c r="C43" s="11"/>
      <c r="D43" s="12"/>
      <c r="F43" s="59" t="s">
        <v>81</v>
      </c>
      <c r="G43" s="105" t="s">
        <v>82</v>
      </c>
      <c r="H43" s="150" t="s">
        <v>13</v>
      </c>
      <c r="I43" s="151"/>
      <c r="J43" s="15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9"/>
      <c r="B44" s="27" t="s">
        <v>65</v>
      </c>
      <c r="C44" s="10"/>
      <c r="D44" s="12">
        <f>C44*120</f>
        <v>0</v>
      </c>
      <c r="F44" s="37"/>
      <c r="G44" s="62"/>
      <c r="H44" s="153"/>
      <c r="I44" s="153"/>
      <c r="J44" s="15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9"/>
      <c r="B45" s="27" t="s">
        <v>67</v>
      </c>
      <c r="C45" s="33"/>
      <c r="D45" s="12">
        <f>C45*84</f>
        <v>0</v>
      </c>
      <c r="F45" s="37"/>
      <c r="G45" s="62"/>
      <c r="H45" s="153"/>
      <c r="I45" s="153"/>
      <c r="J45" s="153"/>
      <c r="K45" s="21"/>
      <c r="P45" s="4"/>
      <c r="Q45" s="4"/>
      <c r="R45" s="5"/>
    </row>
    <row r="46" spans="1:18" ht="15.75" x14ac:dyDescent="0.25">
      <c r="A46" s="129"/>
      <c r="B46" s="49" t="s">
        <v>69</v>
      </c>
      <c r="C46" s="81"/>
      <c r="D46" s="12">
        <f>C46*1.5</f>
        <v>0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30"/>
      <c r="B47" s="27"/>
      <c r="C47" s="11"/>
      <c r="D47" s="12"/>
      <c r="F47" s="59"/>
      <c r="G47" s="59"/>
      <c r="H47" s="131"/>
      <c r="I47" s="132"/>
      <c r="J47" s="133"/>
      <c r="K47" s="21"/>
      <c r="P47" s="4"/>
      <c r="Q47" s="4"/>
      <c r="R47" s="5"/>
    </row>
    <row r="48" spans="1:18" ht="15" customHeight="1" x14ac:dyDescent="0.25">
      <c r="A48" s="128" t="s">
        <v>32</v>
      </c>
      <c r="B48" s="27" t="s">
        <v>65</v>
      </c>
      <c r="C48" s="10"/>
      <c r="D48" s="12">
        <f>C48*78</f>
        <v>0</v>
      </c>
      <c r="F48" s="59"/>
      <c r="G48" s="59"/>
      <c r="H48" s="131"/>
      <c r="I48" s="132"/>
      <c r="J48" s="13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9"/>
      <c r="B49" s="29" t="s">
        <v>67</v>
      </c>
      <c r="C49" s="33"/>
      <c r="D49" s="12">
        <f>C49*42</f>
        <v>0</v>
      </c>
      <c r="F49" s="134" t="s">
        <v>85</v>
      </c>
      <c r="G49" s="136">
        <f>H34+H35+H36+H37+H38+H39+H40+H41+G42+H44+H45+H46</f>
        <v>0</v>
      </c>
      <c r="H49" s="137"/>
      <c r="I49" s="137"/>
      <c r="J49" s="13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9"/>
      <c r="B50" s="32" t="s">
        <v>69</v>
      </c>
      <c r="C50" s="11"/>
      <c r="D50" s="12">
        <f>C50*1.5</f>
        <v>0</v>
      </c>
      <c r="F50" s="135"/>
      <c r="G50" s="139"/>
      <c r="H50" s="140"/>
      <c r="I50" s="140"/>
      <c r="J50" s="141"/>
      <c r="O50" t="s">
        <v>114</v>
      </c>
      <c r="P50" s="4">
        <v>1204</v>
      </c>
      <c r="Q50" s="4"/>
      <c r="R50" s="5"/>
    </row>
    <row r="51" spans="1:18" ht="15" customHeight="1" x14ac:dyDescent="0.25">
      <c r="A51" s="129"/>
      <c r="B51" s="27"/>
      <c r="C51" s="10"/>
      <c r="D51" s="31"/>
      <c r="F51" s="142" t="s">
        <v>109</v>
      </c>
      <c r="G51" s="255">
        <f>G49-H29</f>
        <v>0</v>
      </c>
      <c r="H51" s="256"/>
      <c r="I51" s="256"/>
      <c r="J51" s="25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9"/>
      <c r="B52" s="29"/>
      <c r="C52" s="33"/>
      <c r="D52" s="45"/>
      <c r="F52" s="143"/>
      <c r="G52" s="258"/>
      <c r="H52" s="259"/>
      <c r="I52" s="259"/>
      <c r="J52" s="2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4" t="s">
        <v>89</v>
      </c>
      <c r="B54" s="115"/>
      <c r="C54" s="116"/>
      <c r="D54" s="120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7"/>
      <c r="B55" s="118"/>
      <c r="C55" s="119"/>
      <c r="D55" s="1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22" t="s">
        <v>90</v>
      </c>
      <c r="B58" s="123"/>
      <c r="C58" s="123"/>
      <c r="D58" s="124"/>
      <c r="F58" s="122" t="s">
        <v>91</v>
      </c>
      <c r="G58" s="123"/>
      <c r="H58" s="123"/>
      <c r="I58" s="123"/>
      <c r="J58" s="124"/>
    </row>
    <row r="59" spans="1:18" x14ac:dyDescent="0.25">
      <c r="A59" s="125"/>
      <c r="B59" s="126"/>
      <c r="C59" s="126"/>
      <c r="D59" s="127"/>
      <c r="F59" s="125"/>
      <c r="G59" s="126"/>
      <c r="H59" s="126"/>
      <c r="I59" s="126"/>
      <c r="J59" s="12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D91635-EC5E-4041-8C33-B85E2C196ED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0" t="s">
        <v>1</v>
      </c>
      <c r="O1" s="210"/>
      <c r="P1" s="107" t="s">
        <v>2</v>
      </c>
      <c r="Q1" s="10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1" t="s">
        <v>7</v>
      </c>
      <c r="B4" s="162"/>
      <c r="C4" s="162"/>
      <c r="D4" s="163"/>
      <c r="F4" s="211" t="s">
        <v>8</v>
      </c>
      <c r="G4" s="213">
        <v>2</v>
      </c>
      <c r="H4" s="215" t="s">
        <v>9</v>
      </c>
      <c r="I4" s="217">
        <v>46155</v>
      </c>
      <c r="J4" s="21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5" t="s">
        <v>7</v>
      </c>
      <c r="B5" s="15" t="s">
        <v>11</v>
      </c>
      <c r="C5" s="9" t="s">
        <v>12</v>
      </c>
      <c r="D5" s="25" t="s">
        <v>13</v>
      </c>
      <c r="F5" s="212"/>
      <c r="G5" s="214"/>
      <c r="H5" s="216"/>
      <c r="I5" s="219"/>
      <c r="J5" s="22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6"/>
      <c r="B6" s="16" t="s">
        <v>15</v>
      </c>
      <c r="C6" s="10"/>
      <c r="D6" s="13">
        <f t="shared" ref="D6:D28" si="1">C6*L6</f>
        <v>0</v>
      </c>
      <c r="F6" s="221" t="s">
        <v>16</v>
      </c>
      <c r="G6" s="223" t="s">
        <v>107</v>
      </c>
      <c r="H6" s="224"/>
      <c r="I6" s="224"/>
      <c r="J6" s="22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6"/>
      <c r="B7" s="16" t="s">
        <v>18</v>
      </c>
      <c r="C7" s="10"/>
      <c r="D7" s="13">
        <f t="shared" si="1"/>
        <v>0</v>
      </c>
      <c r="F7" s="222"/>
      <c r="G7" s="226"/>
      <c r="H7" s="227"/>
      <c r="I7" s="227"/>
      <c r="J7" s="22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6"/>
      <c r="B8" s="16" t="s">
        <v>20</v>
      </c>
      <c r="C8" s="10"/>
      <c r="D8" s="13">
        <f t="shared" si="1"/>
        <v>0</v>
      </c>
      <c r="F8" s="229" t="s">
        <v>21</v>
      </c>
      <c r="G8" s="230" t="s">
        <v>100</v>
      </c>
      <c r="H8" s="231"/>
      <c r="I8" s="231"/>
      <c r="J8" s="23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6"/>
      <c r="B9" s="16" t="s">
        <v>23</v>
      </c>
      <c r="C9" s="10"/>
      <c r="D9" s="13">
        <f t="shared" si="1"/>
        <v>0</v>
      </c>
      <c r="F9" s="222"/>
      <c r="G9" s="233"/>
      <c r="H9" s="234"/>
      <c r="I9" s="234"/>
      <c r="J9" s="23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6"/>
      <c r="B10" t="s">
        <v>25</v>
      </c>
      <c r="C10" s="10"/>
      <c r="D10" s="13">
        <f t="shared" si="1"/>
        <v>0</v>
      </c>
      <c r="F10" s="221" t="s">
        <v>26</v>
      </c>
      <c r="G10" s="236" t="s">
        <v>101</v>
      </c>
      <c r="H10" s="237"/>
      <c r="I10" s="237"/>
      <c r="J10" s="238"/>
      <c r="K10" s="8"/>
      <c r="L10" s="6">
        <f>R36</f>
        <v>1032</v>
      </c>
      <c r="P10" s="4"/>
      <c r="Q10" s="4"/>
      <c r="R10" s="5"/>
    </row>
    <row r="11" spans="1:18" ht="15.75" x14ac:dyDescent="0.25">
      <c r="A11" s="156"/>
      <c r="B11" s="17" t="s">
        <v>28</v>
      </c>
      <c r="C11" s="10"/>
      <c r="D11" s="13">
        <f t="shared" si="1"/>
        <v>0</v>
      </c>
      <c r="F11" s="222"/>
      <c r="G11" s="233"/>
      <c r="H11" s="234"/>
      <c r="I11" s="234"/>
      <c r="J11" s="23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6"/>
      <c r="B12" s="17" t="s">
        <v>30</v>
      </c>
      <c r="C12" s="10"/>
      <c r="D12" s="48">
        <f t="shared" si="1"/>
        <v>0</v>
      </c>
      <c r="F12" s="239" t="s">
        <v>33</v>
      </c>
      <c r="G12" s="240"/>
      <c r="H12" s="240"/>
      <c r="I12" s="240"/>
      <c r="J12" s="24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6"/>
      <c r="B13" s="17" t="s">
        <v>32</v>
      </c>
      <c r="C13" s="10"/>
      <c r="D13" s="48">
        <f t="shared" si="1"/>
        <v>0</v>
      </c>
      <c r="F13" s="242" t="s">
        <v>36</v>
      </c>
      <c r="G13" s="206"/>
      <c r="H13" s="197">
        <f>D29</f>
        <v>0</v>
      </c>
      <c r="I13" s="198"/>
      <c r="J13" s="19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6"/>
      <c r="B14" s="14" t="s">
        <v>35</v>
      </c>
      <c r="C14" s="10"/>
      <c r="D14" s="31">
        <f t="shared" si="1"/>
        <v>0</v>
      </c>
      <c r="F14" s="200" t="s">
        <v>38</v>
      </c>
      <c r="G14" s="201"/>
      <c r="H14" s="202">
        <f>D54</f>
        <v>0</v>
      </c>
      <c r="I14" s="203"/>
      <c r="J14" s="20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6"/>
      <c r="B15" s="14" t="s">
        <v>122</v>
      </c>
      <c r="C15" s="10"/>
      <c r="D15" s="31">
        <f t="shared" si="1"/>
        <v>0</v>
      </c>
      <c r="F15" s="205" t="s">
        <v>39</v>
      </c>
      <c r="G15" s="206"/>
      <c r="H15" s="207">
        <f>H13-H14</f>
        <v>0</v>
      </c>
      <c r="I15" s="208"/>
      <c r="J15" s="20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6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67"/>
      <c r="I16" s="167"/>
      <c r="J16" s="16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6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78"/>
      <c r="I17" s="178"/>
      <c r="J17" s="17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6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78"/>
      <c r="I18" s="178"/>
      <c r="J18" s="17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6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61"/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6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78"/>
      <c r="I20" s="178"/>
      <c r="J20" s="17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6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0" t="s">
        <v>13</v>
      </c>
      <c r="I21" s="181"/>
      <c r="J21" s="18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6"/>
      <c r="B22" s="46" t="s">
        <v>103</v>
      </c>
      <c r="C22" s="10"/>
      <c r="D22" s="48">
        <f t="shared" si="1"/>
        <v>0</v>
      </c>
      <c r="F22" s="72"/>
      <c r="G22" s="73"/>
      <c r="H22" s="183"/>
      <c r="I22" s="183"/>
      <c r="J22" s="18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6"/>
      <c r="B23" s="14" t="s">
        <v>121</v>
      </c>
      <c r="C23" s="10"/>
      <c r="D23" s="48">
        <f t="shared" si="1"/>
        <v>0</v>
      </c>
      <c r="F23" s="25"/>
      <c r="G23" s="37"/>
      <c r="H23" s="184"/>
      <c r="I23" s="153"/>
      <c r="J23" s="15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6"/>
      <c r="B24" s="14" t="s">
        <v>128</v>
      </c>
      <c r="C24" s="10"/>
      <c r="D24" s="48">
        <f t="shared" si="1"/>
        <v>0</v>
      </c>
      <c r="F24" s="38"/>
      <c r="G24" s="37"/>
      <c r="H24" s="184"/>
      <c r="I24" s="153"/>
      <c r="J24" s="15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5" t="s">
        <v>13</v>
      </c>
      <c r="I25" s="186"/>
      <c r="J25" s="18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6"/>
      <c r="B26" s="14" t="s">
        <v>129</v>
      </c>
      <c r="C26" s="10"/>
      <c r="D26" s="48">
        <f t="shared" si="1"/>
        <v>0</v>
      </c>
      <c r="F26" s="64"/>
      <c r="G26" s="10"/>
      <c r="H26" s="188"/>
      <c r="I26" s="189"/>
      <c r="J26" s="19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6"/>
      <c r="B27" s="14" t="s">
        <v>130</v>
      </c>
      <c r="C27" s="10"/>
      <c r="D27" s="44">
        <f t="shared" si="1"/>
        <v>0</v>
      </c>
      <c r="F27" s="14"/>
      <c r="G27" s="14"/>
      <c r="H27" s="191"/>
      <c r="I27" s="192"/>
      <c r="J27" s="19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7"/>
      <c r="B28" s="46" t="s">
        <v>92</v>
      </c>
      <c r="C28" s="10"/>
      <c r="D28" s="48">
        <f t="shared" si="1"/>
        <v>0</v>
      </c>
      <c r="F28" s="108"/>
      <c r="G28" s="61"/>
      <c r="H28" s="194"/>
      <c r="I28" s="195"/>
      <c r="J28" s="19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8" t="s">
        <v>36</v>
      </c>
      <c r="B29" s="169"/>
      <c r="C29" s="170"/>
      <c r="D29" s="174">
        <f>SUM(D6:D28)</f>
        <v>0</v>
      </c>
      <c r="F29" s="114" t="s">
        <v>54</v>
      </c>
      <c r="G29" s="176"/>
      <c r="H29" s="136">
        <f>H15-H16-H17-H18-H19-H20-H22-H23-H24+H26+H27</f>
        <v>0</v>
      </c>
      <c r="I29" s="137"/>
      <c r="J29" s="13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1"/>
      <c r="B30" s="172"/>
      <c r="C30" s="173"/>
      <c r="D30" s="175"/>
      <c r="F30" s="117"/>
      <c r="G30" s="177"/>
      <c r="H30" s="139"/>
      <c r="I30" s="140"/>
      <c r="J30" s="141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1" t="s">
        <v>57</v>
      </c>
      <c r="B32" s="162"/>
      <c r="C32" s="162"/>
      <c r="D32" s="163"/>
      <c r="F32" s="164" t="s">
        <v>58</v>
      </c>
      <c r="G32" s="165"/>
      <c r="H32" s="165"/>
      <c r="I32" s="165"/>
      <c r="J32" s="16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9" t="s">
        <v>62</v>
      </c>
      <c r="H33" s="164" t="s">
        <v>13</v>
      </c>
      <c r="I33" s="165"/>
      <c r="J33" s="16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5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58">
        <f>F34*G34</f>
        <v>0</v>
      </c>
      <c r="I34" s="159"/>
      <c r="J34" s="16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6"/>
      <c r="B35" s="27" t="s">
        <v>67</v>
      </c>
      <c r="C35" s="52"/>
      <c r="D35" s="30">
        <f>C35*84</f>
        <v>0</v>
      </c>
      <c r="F35" s="58">
        <v>500</v>
      </c>
      <c r="G35" s="41"/>
      <c r="H35" s="158">
        <f t="shared" ref="H35:H39" si="2">F35*G35</f>
        <v>0</v>
      </c>
      <c r="I35" s="159"/>
      <c r="J35" s="16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7"/>
      <c r="B36" s="26" t="s">
        <v>69</v>
      </c>
      <c r="C36" s="10"/>
      <c r="D36" s="12">
        <f>C36*1.5</f>
        <v>0</v>
      </c>
      <c r="F36" s="12">
        <v>200</v>
      </c>
      <c r="G36" s="37"/>
      <c r="H36" s="158">
        <f>F36*G36</f>
        <v>0</v>
      </c>
      <c r="I36" s="159"/>
      <c r="J36" s="16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8">
        <f t="shared" si="2"/>
        <v>0</v>
      </c>
      <c r="I37" s="159"/>
      <c r="J37" s="16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6"/>
      <c r="B38" s="29" t="s">
        <v>67</v>
      </c>
      <c r="C38" s="54"/>
      <c r="D38" s="12">
        <f>C38*84</f>
        <v>0</v>
      </c>
      <c r="F38" s="30">
        <v>50</v>
      </c>
      <c r="G38" s="39"/>
      <c r="H38" s="158">
        <f t="shared" si="2"/>
        <v>0</v>
      </c>
      <c r="I38" s="159"/>
      <c r="J38" s="16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7"/>
      <c r="B39" s="29" t="s">
        <v>69</v>
      </c>
      <c r="C39" s="52"/>
      <c r="D39" s="31">
        <f>C39*4.5</f>
        <v>0</v>
      </c>
      <c r="F39" s="12">
        <v>20</v>
      </c>
      <c r="G39" s="37"/>
      <c r="H39" s="158">
        <f t="shared" si="2"/>
        <v>0</v>
      </c>
      <c r="I39" s="159"/>
      <c r="J39" s="16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8"/>
      <c r="I40" s="159"/>
      <c r="J40" s="16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6"/>
      <c r="B41" s="27" t="s">
        <v>67</v>
      </c>
      <c r="C41" s="10"/>
      <c r="D41" s="12">
        <f>C41*84</f>
        <v>0</v>
      </c>
      <c r="F41" s="12">
        <v>5</v>
      </c>
      <c r="G41" s="42"/>
      <c r="H41" s="158"/>
      <c r="I41" s="159"/>
      <c r="J41" s="16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7"/>
      <c r="B42" s="27" t="s">
        <v>69</v>
      </c>
      <c r="C42" s="11"/>
      <c r="D42" s="12">
        <f>C42*2.25</f>
        <v>0</v>
      </c>
      <c r="F42" s="39" t="s">
        <v>78</v>
      </c>
      <c r="G42" s="158"/>
      <c r="H42" s="159"/>
      <c r="I42" s="159"/>
      <c r="J42" s="16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8" t="s">
        <v>80</v>
      </c>
      <c r="C43" s="11"/>
      <c r="D43" s="12"/>
      <c r="F43" s="59" t="s">
        <v>81</v>
      </c>
      <c r="G43" s="105" t="s">
        <v>82</v>
      </c>
      <c r="H43" s="150" t="s">
        <v>13</v>
      </c>
      <c r="I43" s="151"/>
      <c r="J43" s="15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9"/>
      <c r="B44" s="27" t="s">
        <v>65</v>
      </c>
      <c r="C44" s="10"/>
      <c r="D44" s="12">
        <f>C44*120</f>
        <v>0</v>
      </c>
      <c r="F44" s="37"/>
      <c r="G44" s="62"/>
      <c r="H44" s="153"/>
      <c r="I44" s="153"/>
      <c r="J44" s="15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9"/>
      <c r="B45" s="27" t="s">
        <v>67</v>
      </c>
      <c r="C45" s="33"/>
      <c r="D45" s="12">
        <f>C45*84</f>
        <v>0</v>
      </c>
      <c r="F45" s="37"/>
      <c r="G45" s="62"/>
      <c r="H45" s="153"/>
      <c r="I45" s="153"/>
      <c r="J45" s="153"/>
      <c r="K45" s="21"/>
      <c r="P45" s="4"/>
      <c r="Q45" s="4"/>
      <c r="R45" s="5"/>
    </row>
    <row r="46" spans="1:18" ht="15.75" x14ac:dyDescent="0.25">
      <c r="A46" s="129"/>
      <c r="B46" s="49" t="s">
        <v>69</v>
      </c>
      <c r="C46" s="81"/>
      <c r="D46" s="12">
        <f>C46*1.5</f>
        <v>0</v>
      </c>
      <c r="F46" s="37"/>
      <c r="G46" s="106"/>
      <c r="H46" s="154"/>
      <c r="I46" s="154"/>
      <c r="J46" s="154"/>
      <c r="K46" s="21"/>
      <c r="P46" s="4"/>
      <c r="Q46" s="4"/>
      <c r="R46" s="5"/>
    </row>
    <row r="47" spans="1:18" ht="15.75" x14ac:dyDescent="0.25">
      <c r="A47" s="130"/>
      <c r="B47" s="27"/>
      <c r="C47" s="11"/>
      <c r="D47" s="12"/>
      <c r="F47" s="59"/>
      <c r="G47" s="59"/>
      <c r="H47" s="131"/>
      <c r="I47" s="132"/>
      <c r="J47" s="133"/>
      <c r="K47" s="21"/>
      <c r="P47" s="4"/>
      <c r="Q47" s="4"/>
      <c r="R47" s="5"/>
    </row>
    <row r="48" spans="1:18" ht="15" customHeight="1" x14ac:dyDescent="0.25">
      <c r="A48" s="128" t="s">
        <v>32</v>
      </c>
      <c r="B48" s="27" t="s">
        <v>65</v>
      </c>
      <c r="C48" s="10"/>
      <c r="D48" s="12">
        <f>C48*78</f>
        <v>0</v>
      </c>
      <c r="F48" s="59"/>
      <c r="G48" s="59"/>
      <c r="H48" s="131"/>
      <c r="I48" s="132"/>
      <c r="J48" s="13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9"/>
      <c r="B49" s="29" t="s">
        <v>67</v>
      </c>
      <c r="C49" s="33"/>
      <c r="D49" s="12">
        <f>C49*42</f>
        <v>0</v>
      </c>
      <c r="F49" s="134" t="s">
        <v>85</v>
      </c>
      <c r="G49" s="136">
        <f>H34+H35+H36+H37+H38+H39+H40+H41+G42+H44+H45+H46</f>
        <v>0</v>
      </c>
      <c r="H49" s="137"/>
      <c r="I49" s="137"/>
      <c r="J49" s="13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9"/>
      <c r="B50" s="32" t="s">
        <v>69</v>
      </c>
      <c r="C50" s="11"/>
      <c r="D50" s="12">
        <f>C50*1.5</f>
        <v>0</v>
      </c>
      <c r="F50" s="135"/>
      <c r="G50" s="139"/>
      <c r="H50" s="140"/>
      <c r="I50" s="140"/>
      <c r="J50" s="141"/>
      <c r="O50" t="s">
        <v>114</v>
      </c>
      <c r="P50" s="4">
        <v>1204</v>
      </c>
      <c r="Q50" s="4"/>
      <c r="R50" s="5"/>
    </row>
    <row r="51" spans="1:18" ht="15" customHeight="1" x14ac:dyDescent="0.25">
      <c r="A51" s="129"/>
      <c r="B51" s="27"/>
      <c r="C51" s="10"/>
      <c r="D51" s="31"/>
      <c r="F51" s="142" t="s">
        <v>112</v>
      </c>
      <c r="G51" s="144">
        <f>G49-H29</f>
        <v>0</v>
      </c>
      <c r="H51" s="145"/>
      <c r="I51" s="145"/>
      <c r="J51" s="14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9"/>
      <c r="B52" s="29"/>
      <c r="C52" s="33"/>
      <c r="D52" s="45"/>
      <c r="F52" s="143"/>
      <c r="G52" s="147"/>
      <c r="H52" s="148"/>
      <c r="I52" s="148"/>
      <c r="J52" s="14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4" t="s">
        <v>89</v>
      </c>
      <c r="B54" s="115"/>
      <c r="C54" s="116"/>
      <c r="D54" s="120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7"/>
      <c r="B55" s="118"/>
      <c r="C55" s="119"/>
      <c r="D55" s="1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22" t="s">
        <v>90</v>
      </c>
      <c r="B58" s="123"/>
      <c r="C58" s="123"/>
      <c r="D58" s="124"/>
      <c r="F58" s="122" t="s">
        <v>91</v>
      </c>
      <c r="G58" s="123"/>
      <c r="H58" s="123"/>
      <c r="I58" s="123"/>
      <c r="J58" s="124"/>
    </row>
    <row r="59" spans="1:18" x14ac:dyDescent="0.25">
      <c r="A59" s="125"/>
      <c r="B59" s="126"/>
      <c r="C59" s="126"/>
      <c r="D59" s="127"/>
      <c r="F59" s="125"/>
      <c r="G59" s="126"/>
      <c r="H59" s="126"/>
      <c r="I59" s="126"/>
      <c r="J59" s="12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856F6A-0CF6-4172-83F9-07AD0F9C08D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0" t="s">
        <v>1</v>
      </c>
      <c r="O1" s="210"/>
      <c r="P1" s="107" t="s">
        <v>2</v>
      </c>
      <c r="Q1" s="10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1" t="s">
        <v>7</v>
      </c>
      <c r="B4" s="162"/>
      <c r="C4" s="162"/>
      <c r="D4" s="163"/>
      <c r="F4" s="211" t="s">
        <v>8</v>
      </c>
      <c r="G4" s="213">
        <v>3</v>
      </c>
      <c r="H4" s="215" t="s">
        <v>9</v>
      </c>
      <c r="I4" s="217">
        <v>46155</v>
      </c>
      <c r="J4" s="21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5" t="s">
        <v>7</v>
      </c>
      <c r="B5" s="15" t="s">
        <v>11</v>
      </c>
      <c r="C5" s="9" t="s">
        <v>12</v>
      </c>
      <c r="D5" s="25" t="s">
        <v>13</v>
      </c>
      <c r="F5" s="212"/>
      <c r="G5" s="214"/>
      <c r="H5" s="216"/>
      <c r="I5" s="219"/>
      <c r="J5" s="22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6"/>
      <c r="B6" s="16" t="s">
        <v>15</v>
      </c>
      <c r="C6" s="10"/>
      <c r="D6" s="13">
        <f t="shared" ref="D6:D28" si="1">C6*L6</f>
        <v>0</v>
      </c>
      <c r="F6" s="221" t="s">
        <v>16</v>
      </c>
      <c r="G6" s="223" t="s">
        <v>117</v>
      </c>
      <c r="H6" s="224"/>
      <c r="I6" s="224"/>
      <c r="J6" s="22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6"/>
      <c r="B7" s="16" t="s">
        <v>18</v>
      </c>
      <c r="C7" s="10"/>
      <c r="D7" s="13">
        <f t="shared" si="1"/>
        <v>0</v>
      </c>
      <c r="F7" s="222"/>
      <c r="G7" s="226"/>
      <c r="H7" s="227"/>
      <c r="I7" s="227"/>
      <c r="J7" s="22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6"/>
      <c r="B8" s="16" t="s">
        <v>20</v>
      </c>
      <c r="C8" s="10"/>
      <c r="D8" s="13">
        <f t="shared" si="1"/>
        <v>0</v>
      </c>
      <c r="F8" s="229" t="s">
        <v>21</v>
      </c>
      <c r="G8" s="230" t="s">
        <v>110</v>
      </c>
      <c r="H8" s="231"/>
      <c r="I8" s="231"/>
      <c r="J8" s="23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6"/>
      <c r="B9" s="16" t="s">
        <v>23</v>
      </c>
      <c r="C9" s="10"/>
      <c r="D9" s="13">
        <f t="shared" si="1"/>
        <v>0</v>
      </c>
      <c r="F9" s="222"/>
      <c r="G9" s="233"/>
      <c r="H9" s="234"/>
      <c r="I9" s="234"/>
      <c r="J9" s="23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6"/>
      <c r="B10" t="s">
        <v>25</v>
      </c>
      <c r="C10" s="10"/>
      <c r="D10" s="13">
        <f t="shared" si="1"/>
        <v>0</v>
      </c>
      <c r="F10" s="221" t="s">
        <v>26</v>
      </c>
      <c r="G10" s="236" t="s">
        <v>124</v>
      </c>
      <c r="H10" s="237"/>
      <c r="I10" s="237"/>
      <c r="J10" s="238"/>
      <c r="K10" s="8"/>
      <c r="L10" s="6">
        <f>R36</f>
        <v>1032</v>
      </c>
      <c r="P10" s="4"/>
      <c r="Q10" s="4"/>
      <c r="R10" s="5"/>
    </row>
    <row r="11" spans="1:18" ht="15.75" x14ac:dyDescent="0.25">
      <c r="A11" s="156"/>
      <c r="B11" s="17" t="s">
        <v>28</v>
      </c>
      <c r="C11" s="10"/>
      <c r="D11" s="13">
        <f t="shared" si="1"/>
        <v>0</v>
      </c>
      <c r="F11" s="222"/>
      <c r="G11" s="233"/>
      <c r="H11" s="234"/>
      <c r="I11" s="234"/>
      <c r="J11" s="23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6"/>
      <c r="B12" s="17" t="s">
        <v>30</v>
      </c>
      <c r="C12" s="10"/>
      <c r="D12" s="48">
        <f t="shared" si="1"/>
        <v>0</v>
      </c>
      <c r="F12" s="239" t="s">
        <v>33</v>
      </c>
      <c r="G12" s="240"/>
      <c r="H12" s="240"/>
      <c r="I12" s="240"/>
      <c r="J12" s="24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6"/>
      <c r="B13" s="17" t="s">
        <v>32</v>
      </c>
      <c r="C13" s="10"/>
      <c r="D13" s="48">
        <f t="shared" si="1"/>
        <v>0</v>
      </c>
      <c r="F13" s="242" t="s">
        <v>36</v>
      </c>
      <c r="G13" s="206"/>
      <c r="H13" s="197">
        <f>D29</f>
        <v>0</v>
      </c>
      <c r="I13" s="198"/>
      <c r="J13" s="19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6"/>
      <c r="B14" s="14" t="s">
        <v>35</v>
      </c>
      <c r="C14" s="10"/>
      <c r="D14" s="31">
        <f t="shared" si="1"/>
        <v>0</v>
      </c>
      <c r="F14" s="200" t="s">
        <v>38</v>
      </c>
      <c r="G14" s="201"/>
      <c r="H14" s="202">
        <f>D54</f>
        <v>0</v>
      </c>
      <c r="I14" s="203"/>
      <c r="J14" s="20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6"/>
      <c r="B15" s="14" t="s">
        <v>122</v>
      </c>
      <c r="C15" s="10"/>
      <c r="D15" s="31">
        <f t="shared" si="1"/>
        <v>0</v>
      </c>
      <c r="F15" s="205" t="s">
        <v>39</v>
      </c>
      <c r="G15" s="206"/>
      <c r="H15" s="207">
        <f>H13-H14</f>
        <v>0</v>
      </c>
      <c r="I15" s="208"/>
      <c r="J15" s="20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6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67"/>
      <c r="I16" s="167"/>
      <c r="J16" s="16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6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78"/>
      <c r="I17" s="178"/>
      <c r="J17" s="17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6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78"/>
      <c r="I18" s="178"/>
      <c r="J18" s="17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6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62"/>
      <c r="I19" s="262"/>
      <c r="J19" s="26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6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67"/>
      <c r="I20" s="167"/>
      <c r="J20" s="16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6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0" t="s">
        <v>13</v>
      </c>
      <c r="I21" s="181"/>
      <c r="J21" s="18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6"/>
      <c r="B22" s="46" t="s">
        <v>103</v>
      </c>
      <c r="C22" s="10"/>
      <c r="D22" s="48">
        <f t="shared" si="1"/>
        <v>0</v>
      </c>
      <c r="F22" s="77"/>
      <c r="G22" s="73"/>
      <c r="H22" s="183"/>
      <c r="I22" s="183"/>
      <c r="J22" s="18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6"/>
      <c r="B23" s="14" t="s">
        <v>121</v>
      </c>
      <c r="C23" s="10"/>
      <c r="D23" s="48">
        <f t="shared" si="1"/>
        <v>0</v>
      </c>
      <c r="F23" s="78"/>
      <c r="G23" s="79"/>
      <c r="H23" s="184"/>
      <c r="I23" s="153"/>
      <c r="J23" s="15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6"/>
      <c r="B24" s="14" t="s">
        <v>128</v>
      </c>
      <c r="C24" s="10"/>
      <c r="D24" s="48">
        <f t="shared" si="1"/>
        <v>0</v>
      </c>
      <c r="F24" s="38"/>
      <c r="G24" s="37"/>
      <c r="H24" s="184"/>
      <c r="I24" s="153"/>
      <c r="J24" s="15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5" t="s">
        <v>13</v>
      </c>
      <c r="I25" s="186"/>
      <c r="J25" s="18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6"/>
      <c r="B26" s="14" t="s">
        <v>129</v>
      </c>
      <c r="C26" s="10"/>
      <c r="D26" s="48">
        <f t="shared" si="1"/>
        <v>0</v>
      </c>
      <c r="F26" s="64"/>
      <c r="G26" s="59"/>
      <c r="H26" s="188"/>
      <c r="I26" s="189"/>
      <c r="J26" s="19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6"/>
      <c r="B27" s="14" t="s">
        <v>130</v>
      </c>
      <c r="C27" s="10"/>
      <c r="D27" s="44">
        <f t="shared" si="1"/>
        <v>0</v>
      </c>
      <c r="F27" s="25"/>
      <c r="G27" s="80"/>
      <c r="H27" s="191"/>
      <c r="I27" s="192"/>
      <c r="J27" s="19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7"/>
      <c r="B28" s="46" t="s">
        <v>92</v>
      </c>
      <c r="C28" s="10"/>
      <c r="D28" s="48">
        <f t="shared" si="1"/>
        <v>0</v>
      </c>
      <c r="F28" s="108"/>
      <c r="G28" s="61"/>
      <c r="H28" s="194"/>
      <c r="I28" s="195"/>
      <c r="J28" s="19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8" t="s">
        <v>36</v>
      </c>
      <c r="B29" s="169"/>
      <c r="C29" s="170"/>
      <c r="D29" s="174">
        <f>SUM(D6:D28)</f>
        <v>0</v>
      </c>
      <c r="F29" s="114" t="s">
        <v>54</v>
      </c>
      <c r="G29" s="176"/>
      <c r="H29" s="136">
        <f>H15-H16-H17-H18-H19-H20-H22-H23-H24+H26+H27</f>
        <v>0</v>
      </c>
      <c r="I29" s="137"/>
      <c r="J29" s="13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1"/>
      <c r="B30" s="172"/>
      <c r="C30" s="173"/>
      <c r="D30" s="175"/>
      <c r="F30" s="117"/>
      <c r="G30" s="177"/>
      <c r="H30" s="139"/>
      <c r="I30" s="140"/>
      <c r="J30" s="141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1" t="s">
        <v>57</v>
      </c>
      <c r="B32" s="162"/>
      <c r="C32" s="162"/>
      <c r="D32" s="163"/>
      <c r="F32" s="164" t="s">
        <v>58</v>
      </c>
      <c r="G32" s="165"/>
      <c r="H32" s="165"/>
      <c r="I32" s="165"/>
      <c r="J32" s="16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9" t="s">
        <v>62</v>
      </c>
      <c r="H33" s="164" t="s">
        <v>13</v>
      </c>
      <c r="I33" s="165"/>
      <c r="J33" s="16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5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58">
        <f>F34*G34</f>
        <v>0</v>
      </c>
      <c r="I34" s="159"/>
      <c r="J34" s="16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6"/>
      <c r="B35" s="27" t="s">
        <v>67</v>
      </c>
      <c r="C35" s="52"/>
      <c r="D35" s="30">
        <f>C35*84</f>
        <v>0</v>
      </c>
      <c r="F35" s="58">
        <v>500</v>
      </c>
      <c r="G35" s="41"/>
      <c r="H35" s="158">
        <f>F35*G35</f>
        <v>0</v>
      </c>
      <c r="I35" s="159"/>
      <c r="J35" s="16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7"/>
      <c r="B36" s="26" t="s">
        <v>69</v>
      </c>
      <c r="C36" s="10"/>
      <c r="D36" s="12">
        <f>C36*1.5</f>
        <v>0</v>
      </c>
      <c r="F36" s="12">
        <v>200</v>
      </c>
      <c r="G36" s="37"/>
      <c r="H36" s="158">
        <f t="shared" ref="H36:H39" si="2">F36*G36</f>
        <v>0</v>
      </c>
      <c r="I36" s="159"/>
      <c r="J36" s="16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8">
        <f t="shared" si="2"/>
        <v>0</v>
      </c>
      <c r="I37" s="159"/>
      <c r="J37" s="16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6"/>
      <c r="B38" s="29" t="s">
        <v>67</v>
      </c>
      <c r="C38" s="54"/>
      <c r="D38" s="12">
        <f>C38*84</f>
        <v>0</v>
      </c>
      <c r="F38" s="30">
        <v>50</v>
      </c>
      <c r="G38" s="39"/>
      <c r="H38" s="158">
        <f t="shared" si="2"/>
        <v>0</v>
      </c>
      <c r="I38" s="159"/>
      <c r="J38" s="16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7"/>
      <c r="B39" s="29" t="s">
        <v>69</v>
      </c>
      <c r="C39" s="52"/>
      <c r="D39" s="31">
        <f>C39*4.5</f>
        <v>0</v>
      </c>
      <c r="F39" s="12">
        <v>20</v>
      </c>
      <c r="G39" s="37"/>
      <c r="H39" s="158">
        <f t="shared" si="2"/>
        <v>0</v>
      </c>
      <c r="I39" s="159"/>
      <c r="J39" s="16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8"/>
      <c r="I40" s="159"/>
      <c r="J40" s="16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6"/>
      <c r="B41" s="27" t="s">
        <v>67</v>
      </c>
      <c r="C41" s="10"/>
      <c r="D41" s="12">
        <f>C41*84</f>
        <v>0</v>
      </c>
      <c r="F41" s="12">
        <v>5</v>
      </c>
      <c r="G41" s="42"/>
      <c r="H41" s="158"/>
      <c r="I41" s="159"/>
      <c r="J41" s="16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7"/>
      <c r="B42" s="27" t="s">
        <v>69</v>
      </c>
      <c r="C42" s="11"/>
      <c r="D42" s="12">
        <f>C42*2.25</f>
        <v>0</v>
      </c>
      <c r="F42" s="39" t="s">
        <v>78</v>
      </c>
      <c r="G42" s="158"/>
      <c r="H42" s="159"/>
      <c r="I42" s="159"/>
      <c r="J42" s="16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8" t="s">
        <v>80</v>
      </c>
      <c r="C43" s="11"/>
      <c r="D43" s="12"/>
      <c r="F43" s="59" t="s">
        <v>81</v>
      </c>
      <c r="G43" s="105" t="s">
        <v>82</v>
      </c>
      <c r="H43" s="150" t="s">
        <v>13</v>
      </c>
      <c r="I43" s="151"/>
      <c r="J43" s="15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9"/>
      <c r="B44" s="27" t="s">
        <v>65</v>
      </c>
      <c r="C44" s="10"/>
      <c r="D44" s="12">
        <f>C44*120</f>
        <v>0</v>
      </c>
      <c r="F44" s="37"/>
      <c r="G44" s="76"/>
      <c r="H44" s="153"/>
      <c r="I44" s="153"/>
      <c r="J44" s="15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9"/>
      <c r="B45" s="27" t="s">
        <v>67</v>
      </c>
      <c r="C45" s="33"/>
      <c r="D45" s="12">
        <f>C45*84</f>
        <v>0</v>
      </c>
      <c r="F45" s="37"/>
      <c r="G45" s="76"/>
      <c r="H45" s="153"/>
      <c r="I45" s="153"/>
      <c r="J45" s="153"/>
      <c r="K45" s="21"/>
      <c r="P45" s="4"/>
      <c r="Q45" s="4"/>
      <c r="R45" s="5"/>
    </row>
    <row r="46" spans="1:18" ht="15.75" x14ac:dyDescent="0.25">
      <c r="A46" s="129"/>
      <c r="B46" s="49" t="s">
        <v>69</v>
      </c>
      <c r="C46" s="81"/>
      <c r="D46" s="12">
        <f>C46*1.5</f>
        <v>0</v>
      </c>
      <c r="F46" s="37"/>
      <c r="G46" s="62"/>
      <c r="H46" s="154"/>
      <c r="I46" s="154"/>
      <c r="J46" s="154"/>
      <c r="K46" s="21"/>
      <c r="P46" s="4"/>
      <c r="Q46" s="4"/>
      <c r="R46" s="5"/>
    </row>
    <row r="47" spans="1:18" ht="15.75" x14ac:dyDescent="0.25">
      <c r="A47" s="130"/>
      <c r="B47" s="27"/>
      <c r="C47" s="11"/>
      <c r="D47" s="12"/>
      <c r="F47" s="59"/>
      <c r="G47" s="59"/>
      <c r="H47" s="131"/>
      <c r="I47" s="132"/>
      <c r="J47" s="133"/>
      <c r="K47" s="21"/>
      <c r="P47" s="4"/>
      <c r="Q47" s="4"/>
      <c r="R47" s="5"/>
    </row>
    <row r="48" spans="1:18" ht="15" customHeight="1" x14ac:dyDescent="0.25">
      <c r="A48" s="128" t="s">
        <v>32</v>
      </c>
      <c r="B48" s="27" t="s">
        <v>65</v>
      </c>
      <c r="C48" s="10"/>
      <c r="D48" s="12">
        <f>C48*78</f>
        <v>0</v>
      </c>
      <c r="F48" s="59"/>
      <c r="G48" s="59"/>
      <c r="H48" s="131"/>
      <c r="I48" s="132"/>
      <c r="J48" s="13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9"/>
      <c r="B49" s="29" t="s">
        <v>67</v>
      </c>
      <c r="C49" s="33"/>
      <c r="D49" s="12">
        <f>C49*42</f>
        <v>0</v>
      </c>
      <c r="F49" s="134" t="s">
        <v>85</v>
      </c>
      <c r="G49" s="136">
        <f>H34+H35+H36+H37+H38+H39+H40+H41+G42+H44+H45+H46</f>
        <v>0</v>
      </c>
      <c r="H49" s="137"/>
      <c r="I49" s="137"/>
      <c r="J49" s="13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9"/>
      <c r="B50" s="32" t="s">
        <v>69</v>
      </c>
      <c r="C50" s="11"/>
      <c r="D50" s="12">
        <f>C50*1.5</f>
        <v>0</v>
      </c>
      <c r="F50" s="135"/>
      <c r="G50" s="139"/>
      <c r="H50" s="140"/>
      <c r="I50" s="140"/>
      <c r="J50" s="141"/>
      <c r="O50" t="s">
        <v>114</v>
      </c>
      <c r="P50" s="4">
        <v>1204</v>
      </c>
      <c r="Q50" s="4"/>
      <c r="R50" s="5"/>
    </row>
    <row r="51" spans="1:18" ht="15" customHeight="1" x14ac:dyDescent="0.25">
      <c r="A51" s="129"/>
      <c r="B51" s="27"/>
      <c r="C51" s="10"/>
      <c r="D51" s="31"/>
      <c r="F51" s="142" t="s">
        <v>115</v>
      </c>
      <c r="G51" s="144">
        <f>G49-H29</f>
        <v>0</v>
      </c>
      <c r="H51" s="145"/>
      <c r="I51" s="145"/>
      <c r="J51" s="14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9"/>
      <c r="B52" s="29"/>
      <c r="C52" s="33"/>
      <c r="D52" s="45"/>
      <c r="F52" s="143"/>
      <c r="G52" s="147"/>
      <c r="H52" s="148"/>
      <c r="I52" s="148"/>
      <c r="J52" s="14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4" t="s">
        <v>89</v>
      </c>
      <c r="B54" s="115"/>
      <c r="C54" s="116"/>
      <c r="D54" s="120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7"/>
      <c r="B55" s="118"/>
      <c r="C55" s="119"/>
      <c r="D55" s="1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2" t="s">
        <v>90</v>
      </c>
      <c r="B58" s="123"/>
      <c r="C58" s="123"/>
      <c r="D58" s="124"/>
      <c r="F58" s="122" t="s">
        <v>91</v>
      </c>
      <c r="G58" s="123"/>
      <c r="H58" s="123"/>
      <c r="I58" s="123"/>
      <c r="J58" s="124"/>
    </row>
    <row r="59" spans="1:18" x14ac:dyDescent="0.25">
      <c r="A59" s="125"/>
      <c r="B59" s="126"/>
      <c r="C59" s="126"/>
      <c r="D59" s="127"/>
      <c r="F59" s="125"/>
      <c r="G59" s="126"/>
      <c r="H59" s="126"/>
      <c r="I59" s="126"/>
      <c r="J59" s="12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BDC929-679D-4984-9828-75E8A904ADCB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0" t="s">
        <v>1</v>
      </c>
      <c r="O1" s="210"/>
      <c r="P1" s="107" t="s">
        <v>2</v>
      </c>
      <c r="Q1" s="10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1" t="s">
        <v>7</v>
      </c>
      <c r="B4" s="162"/>
      <c r="C4" s="162"/>
      <c r="D4" s="163"/>
      <c r="F4" s="211" t="s">
        <v>8</v>
      </c>
      <c r="G4" s="213"/>
      <c r="H4" s="215" t="s">
        <v>9</v>
      </c>
      <c r="I4" s="217"/>
      <c r="J4" s="21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5" t="s">
        <v>7</v>
      </c>
      <c r="B5" s="15" t="s">
        <v>11</v>
      </c>
      <c r="C5" s="9" t="s">
        <v>12</v>
      </c>
      <c r="D5" s="25" t="s">
        <v>13</v>
      </c>
      <c r="F5" s="212"/>
      <c r="G5" s="214"/>
      <c r="H5" s="216"/>
      <c r="I5" s="219"/>
      <c r="J5" s="22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6"/>
      <c r="B6" s="16"/>
      <c r="C6" s="10"/>
      <c r="D6" s="13">
        <f t="shared" ref="D6:D28" si="1">C6*L6</f>
        <v>0</v>
      </c>
      <c r="F6" s="221" t="s">
        <v>16</v>
      </c>
      <c r="G6" s="223"/>
      <c r="H6" s="224"/>
      <c r="I6" s="224"/>
      <c r="J6" s="22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6"/>
      <c r="B7" s="16"/>
      <c r="C7" s="10"/>
      <c r="D7" s="13">
        <f t="shared" si="1"/>
        <v>0</v>
      </c>
      <c r="F7" s="222"/>
      <c r="G7" s="226"/>
      <c r="H7" s="227"/>
      <c r="I7" s="227"/>
      <c r="J7" s="22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6"/>
      <c r="B8" s="16"/>
      <c r="C8" s="10"/>
      <c r="D8" s="13">
        <f t="shared" si="1"/>
        <v>0</v>
      </c>
      <c r="F8" s="229" t="s">
        <v>21</v>
      </c>
      <c r="G8" s="230"/>
      <c r="H8" s="231"/>
      <c r="I8" s="231"/>
      <c r="J8" s="23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6"/>
      <c r="B9" s="16"/>
      <c r="C9" s="10"/>
      <c r="D9" s="13">
        <f t="shared" si="1"/>
        <v>0</v>
      </c>
      <c r="F9" s="222"/>
      <c r="G9" s="233"/>
      <c r="H9" s="234"/>
      <c r="I9" s="234"/>
      <c r="J9" s="23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6"/>
      <c r="C10" s="10"/>
      <c r="D10" s="13">
        <f t="shared" si="1"/>
        <v>0</v>
      </c>
      <c r="F10" s="221" t="s">
        <v>26</v>
      </c>
      <c r="G10" s="236"/>
      <c r="H10" s="237"/>
      <c r="I10" s="237"/>
      <c r="J10" s="238"/>
      <c r="K10" s="8"/>
      <c r="L10" s="6">
        <f>R36</f>
        <v>972</v>
      </c>
      <c r="P10" s="4"/>
      <c r="Q10" s="4"/>
      <c r="R10" s="5"/>
    </row>
    <row r="11" spans="1:19" ht="15.75" x14ac:dyDescent="0.25">
      <c r="A11" s="156"/>
      <c r="B11" s="17"/>
      <c r="C11" s="10"/>
      <c r="D11" s="13">
        <f t="shared" si="1"/>
        <v>0</v>
      </c>
      <c r="F11" s="222"/>
      <c r="G11" s="233"/>
      <c r="H11" s="234"/>
      <c r="I11" s="234"/>
      <c r="J11" s="23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6"/>
      <c r="B12" s="17"/>
      <c r="C12" s="10"/>
      <c r="D12" s="48">
        <f t="shared" si="1"/>
        <v>0</v>
      </c>
      <c r="F12" s="239" t="s">
        <v>33</v>
      </c>
      <c r="G12" s="240"/>
      <c r="H12" s="240"/>
      <c r="I12" s="240"/>
      <c r="J12" s="24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6"/>
      <c r="B13" s="17"/>
      <c r="C13" s="10"/>
      <c r="D13" s="48">
        <f t="shared" si="1"/>
        <v>0</v>
      </c>
      <c r="F13" s="242" t="s">
        <v>36</v>
      </c>
      <c r="G13" s="206"/>
      <c r="H13" s="197">
        <f>D29</f>
        <v>0</v>
      </c>
      <c r="I13" s="198"/>
      <c r="J13" s="19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6"/>
      <c r="B14" s="14"/>
      <c r="C14" s="10"/>
      <c r="D14" s="31">
        <f t="shared" si="1"/>
        <v>0</v>
      </c>
      <c r="F14" s="200" t="s">
        <v>38</v>
      </c>
      <c r="G14" s="201"/>
      <c r="H14" s="202">
        <f>D54</f>
        <v>0</v>
      </c>
      <c r="I14" s="203"/>
      <c r="J14" s="20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6"/>
      <c r="B15" s="14"/>
      <c r="C15" s="10"/>
      <c r="D15" s="31">
        <f t="shared" si="1"/>
        <v>0</v>
      </c>
      <c r="F15" s="205" t="s">
        <v>39</v>
      </c>
      <c r="G15" s="206"/>
      <c r="H15" s="207">
        <f>H13-H14</f>
        <v>0</v>
      </c>
      <c r="I15" s="208"/>
      <c r="J15" s="20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6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7"/>
      <c r="I16" s="167"/>
      <c r="J16" s="16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6"/>
      <c r="C17" s="10"/>
      <c r="D17" s="48">
        <f t="shared" si="1"/>
        <v>0</v>
      </c>
      <c r="F17" s="56"/>
      <c r="G17" s="66" t="s">
        <v>44</v>
      </c>
      <c r="H17" s="178"/>
      <c r="I17" s="178"/>
      <c r="J17" s="17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6"/>
      <c r="B18" s="19"/>
      <c r="C18" s="10"/>
      <c r="D18" s="48">
        <f t="shared" si="1"/>
        <v>0</v>
      </c>
      <c r="F18" s="56"/>
      <c r="G18" s="66" t="s">
        <v>46</v>
      </c>
      <c r="H18" s="178"/>
      <c r="I18" s="178"/>
      <c r="J18" s="17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6"/>
      <c r="B19" s="14"/>
      <c r="C19" s="10"/>
      <c r="D19" s="48">
        <f t="shared" si="1"/>
        <v>0</v>
      </c>
      <c r="F19" s="56"/>
      <c r="G19" s="68" t="s">
        <v>49</v>
      </c>
      <c r="H19" s="179"/>
      <c r="I19" s="179"/>
      <c r="J19" s="17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6"/>
      <c r="B20" s="46"/>
      <c r="C20" s="10"/>
      <c r="D20" s="13">
        <f t="shared" si="1"/>
        <v>0</v>
      </c>
      <c r="F20" s="57"/>
      <c r="G20" s="70" t="s">
        <v>102</v>
      </c>
      <c r="H20" s="167"/>
      <c r="I20" s="167"/>
      <c r="J20" s="167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6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80" t="s">
        <v>13</v>
      </c>
      <c r="I21" s="181"/>
      <c r="J21" s="182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6"/>
      <c r="B22" s="46"/>
      <c r="C22" s="10"/>
      <c r="D22" s="48">
        <f t="shared" si="1"/>
        <v>0</v>
      </c>
      <c r="F22" s="77"/>
      <c r="G22" s="73"/>
      <c r="H22" s="183"/>
      <c r="I22" s="183"/>
      <c r="J22" s="183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6"/>
      <c r="B23" s="14"/>
      <c r="C23" s="10"/>
      <c r="D23" s="48">
        <f t="shared" si="1"/>
        <v>0</v>
      </c>
      <c r="F23" s="78"/>
      <c r="G23" s="79"/>
      <c r="H23" s="184"/>
      <c r="I23" s="153"/>
      <c r="J23" s="153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6"/>
      <c r="B24" s="14"/>
      <c r="C24" s="10"/>
      <c r="D24" s="48">
        <f t="shared" si="1"/>
        <v>0</v>
      </c>
      <c r="F24" s="38"/>
      <c r="G24" s="37"/>
      <c r="H24" s="184"/>
      <c r="I24" s="153"/>
      <c r="J24" s="153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6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5" t="s">
        <v>13</v>
      </c>
      <c r="I25" s="186"/>
      <c r="J25" s="187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6"/>
      <c r="B26" s="14"/>
      <c r="C26" s="10"/>
      <c r="D26" s="48">
        <f t="shared" si="1"/>
        <v>0</v>
      </c>
      <c r="F26" s="64"/>
      <c r="G26" s="59"/>
      <c r="H26" s="188"/>
      <c r="I26" s="189"/>
      <c r="J26" s="190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6"/>
      <c r="B27" s="14"/>
      <c r="C27" s="10"/>
      <c r="D27" s="44">
        <f t="shared" si="1"/>
        <v>0</v>
      </c>
      <c r="F27" s="25"/>
      <c r="G27" s="80"/>
      <c r="H27" s="191"/>
      <c r="I27" s="192"/>
      <c r="J27" s="193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7"/>
      <c r="B28" s="46"/>
      <c r="C28" s="10"/>
      <c r="D28" s="48">
        <f t="shared" si="1"/>
        <v>0</v>
      </c>
      <c r="F28" s="108"/>
      <c r="G28" s="61"/>
      <c r="H28" s="194"/>
      <c r="I28" s="195"/>
      <c r="J28" s="196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8" t="s">
        <v>36</v>
      </c>
      <c r="B29" s="169"/>
      <c r="C29" s="170"/>
      <c r="D29" s="174">
        <f>SUM(D6:D28)</f>
        <v>0</v>
      </c>
      <c r="F29" s="114" t="s">
        <v>54</v>
      </c>
      <c r="G29" s="176"/>
      <c r="H29" s="136">
        <f>H15-H16-H17-H18-H19-H20-H22-H23-H24+H26+H27</f>
        <v>0</v>
      </c>
      <c r="I29" s="137"/>
      <c r="J29" s="13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1"/>
      <c r="B30" s="172"/>
      <c r="C30" s="173"/>
      <c r="D30" s="175"/>
      <c r="F30" s="117"/>
      <c r="G30" s="177"/>
      <c r="H30" s="139"/>
      <c r="I30" s="140"/>
      <c r="J30" s="14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1" t="s">
        <v>57</v>
      </c>
      <c r="B32" s="162"/>
      <c r="C32" s="162"/>
      <c r="D32" s="163"/>
      <c r="F32" s="164" t="s">
        <v>58</v>
      </c>
      <c r="G32" s="165"/>
      <c r="H32" s="165"/>
      <c r="I32" s="165"/>
      <c r="J32" s="166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9" t="s">
        <v>62</v>
      </c>
      <c r="H33" s="164" t="s">
        <v>13</v>
      </c>
      <c r="I33" s="165"/>
      <c r="J33" s="16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5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58"/>
      <c r="I34" s="159"/>
      <c r="J34" s="160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6"/>
      <c r="B35" s="27" t="s">
        <v>67</v>
      </c>
      <c r="C35" s="52"/>
      <c r="D35" s="30">
        <f>C35*84</f>
        <v>0</v>
      </c>
      <c r="F35" s="58">
        <v>500</v>
      </c>
      <c r="G35" s="41"/>
      <c r="H35" s="158"/>
      <c r="I35" s="159"/>
      <c r="J35" s="16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7"/>
      <c r="B36" s="26" t="s">
        <v>69</v>
      </c>
      <c r="C36" s="10"/>
      <c r="D36" s="12">
        <f>C36*1.5</f>
        <v>0</v>
      </c>
      <c r="F36" s="12">
        <v>200</v>
      </c>
      <c r="G36" s="37"/>
      <c r="H36" s="158"/>
      <c r="I36" s="159"/>
      <c r="J36" s="160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8"/>
      <c r="I37" s="159"/>
      <c r="J37" s="160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6"/>
      <c r="B38" s="29" t="s">
        <v>67</v>
      </c>
      <c r="C38" s="54"/>
      <c r="D38" s="12">
        <f>C38*84</f>
        <v>0</v>
      </c>
      <c r="F38" s="30">
        <v>50</v>
      </c>
      <c r="G38" s="39"/>
      <c r="H38" s="158"/>
      <c r="I38" s="159"/>
      <c r="J38" s="160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7"/>
      <c r="B39" s="29" t="s">
        <v>69</v>
      </c>
      <c r="C39" s="52"/>
      <c r="D39" s="31">
        <f>C39*4.5</f>
        <v>0</v>
      </c>
      <c r="F39" s="12">
        <v>20</v>
      </c>
      <c r="G39" s="37"/>
      <c r="H39" s="158"/>
      <c r="I39" s="159"/>
      <c r="J39" s="16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8"/>
      <c r="I40" s="159"/>
      <c r="J40" s="160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6"/>
      <c r="B41" s="27" t="s">
        <v>67</v>
      </c>
      <c r="C41" s="10"/>
      <c r="D41" s="12">
        <f>C41*84</f>
        <v>0</v>
      </c>
      <c r="F41" s="12">
        <v>5</v>
      </c>
      <c r="G41" s="42"/>
      <c r="H41" s="158"/>
      <c r="I41" s="159"/>
      <c r="J41" s="160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7"/>
      <c r="B42" s="27" t="s">
        <v>69</v>
      </c>
      <c r="C42" s="11"/>
      <c r="D42" s="12">
        <f>C42*2.25</f>
        <v>0</v>
      </c>
      <c r="F42" s="39" t="s">
        <v>78</v>
      </c>
      <c r="G42" s="158"/>
      <c r="H42" s="159"/>
      <c r="I42" s="159"/>
      <c r="J42" s="160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8" t="s">
        <v>80</v>
      </c>
      <c r="C43" s="11"/>
      <c r="D43" s="12"/>
      <c r="F43" s="59" t="s">
        <v>81</v>
      </c>
      <c r="G43" s="105" t="s">
        <v>82</v>
      </c>
      <c r="H43" s="150" t="s">
        <v>13</v>
      </c>
      <c r="I43" s="151"/>
      <c r="J43" s="152"/>
      <c r="K43" s="21"/>
      <c r="P43" s="4"/>
      <c r="Q43" s="4"/>
      <c r="R43" s="5"/>
    </row>
    <row r="44" spans="1:18" ht="15.75" x14ac:dyDescent="0.25">
      <c r="A44" s="129"/>
      <c r="B44" s="27" t="s">
        <v>65</v>
      </c>
      <c r="C44" s="10"/>
      <c r="D44" s="12">
        <f>C44*120</f>
        <v>0</v>
      </c>
      <c r="F44" s="37"/>
      <c r="G44" s="76"/>
      <c r="H44" s="153"/>
      <c r="I44" s="153"/>
      <c r="J44" s="153"/>
      <c r="K44" s="21"/>
      <c r="P44" s="4"/>
      <c r="Q44" s="4"/>
      <c r="R44" s="5"/>
    </row>
    <row r="45" spans="1:18" ht="15.75" x14ac:dyDescent="0.25">
      <c r="A45" s="129"/>
      <c r="B45" s="27" t="s">
        <v>67</v>
      </c>
      <c r="C45" s="33"/>
      <c r="D45" s="12">
        <f>C45*84</f>
        <v>0</v>
      </c>
      <c r="F45" s="37"/>
      <c r="G45" s="76"/>
      <c r="H45" s="153"/>
      <c r="I45" s="153"/>
      <c r="J45" s="153"/>
      <c r="K45" s="21"/>
      <c r="P45" s="4"/>
      <c r="Q45" s="4"/>
      <c r="R45" s="5"/>
    </row>
    <row r="46" spans="1:18" ht="15.75" x14ac:dyDescent="0.25">
      <c r="A46" s="129"/>
      <c r="B46" s="49" t="s">
        <v>69</v>
      </c>
      <c r="C46" s="81"/>
      <c r="D46" s="12">
        <f>C46*1.5</f>
        <v>0</v>
      </c>
      <c r="F46" s="37"/>
      <c r="G46" s="62"/>
      <c r="H46" s="154"/>
      <c r="I46" s="154"/>
      <c r="J46" s="154"/>
      <c r="K46" s="21"/>
      <c r="P46" s="4"/>
      <c r="Q46" s="4"/>
      <c r="R46" s="5"/>
    </row>
    <row r="47" spans="1:18" ht="15.75" x14ac:dyDescent="0.25">
      <c r="A47" s="130"/>
      <c r="B47" s="27"/>
      <c r="C47" s="11"/>
      <c r="D47" s="12"/>
      <c r="F47" s="59"/>
      <c r="G47" s="59"/>
      <c r="H47" s="131"/>
      <c r="I47" s="132"/>
      <c r="J47" s="133"/>
      <c r="K47" s="21"/>
      <c r="P47" s="4"/>
      <c r="Q47" s="4"/>
      <c r="R47" s="5"/>
    </row>
    <row r="48" spans="1:18" ht="15" customHeight="1" x14ac:dyDescent="0.25">
      <c r="A48" s="128" t="s">
        <v>32</v>
      </c>
      <c r="B48" s="27" t="s">
        <v>65</v>
      </c>
      <c r="C48" s="10"/>
      <c r="D48" s="12">
        <f>C48*78</f>
        <v>0</v>
      </c>
      <c r="F48" s="59"/>
      <c r="G48" s="59"/>
      <c r="H48" s="131"/>
      <c r="I48" s="132"/>
      <c r="J48" s="13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9"/>
      <c r="B49" s="29" t="s">
        <v>67</v>
      </c>
      <c r="C49" s="33"/>
      <c r="D49" s="12">
        <f>C49*42</f>
        <v>0</v>
      </c>
      <c r="F49" s="134" t="s">
        <v>85</v>
      </c>
      <c r="G49" s="136">
        <f>H34+H35+H36+H37+H38+H39+H40+H41+G42+H44+H45+H46</f>
        <v>0</v>
      </c>
      <c r="H49" s="137"/>
      <c r="I49" s="137"/>
      <c r="J49" s="13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9"/>
      <c r="B50" s="32" t="s">
        <v>69</v>
      </c>
      <c r="C50" s="11"/>
      <c r="D50" s="12">
        <f>C50*1.5</f>
        <v>0</v>
      </c>
      <c r="F50" s="135"/>
      <c r="G50" s="139"/>
      <c r="H50" s="140"/>
      <c r="I50" s="140"/>
      <c r="J50" s="141"/>
      <c r="P50" s="4"/>
      <c r="Q50" s="4"/>
      <c r="R50" s="5"/>
    </row>
    <row r="51" spans="1:18" ht="15" customHeight="1" x14ac:dyDescent="0.25">
      <c r="A51" s="129"/>
      <c r="B51" s="27"/>
      <c r="C51" s="10"/>
      <c r="D51" s="31"/>
      <c r="F51" s="142" t="s">
        <v>106</v>
      </c>
      <c r="G51" s="144">
        <f>G49-H29</f>
        <v>0</v>
      </c>
      <c r="H51" s="145"/>
      <c r="I51" s="145"/>
      <c r="J51" s="146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9"/>
      <c r="B52" s="29"/>
      <c r="C52" s="33"/>
      <c r="D52" s="45"/>
      <c r="F52" s="143"/>
      <c r="G52" s="147"/>
      <c r="H52" s="148"/>
      <c r="I52" s="148"/>
      <c r="J52" s="14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4" t="s">
        <v>89</v>
      </c>
      <c r="B54" s="115"/>
      <c r="C54" s="116"/>
      <c r="D54" s="120">
        <f>SUM(D34:D53)</f>
        <v>0</v>
      </c>
      <c r="F54" s="21"/>
      <c r="J54" s="34"/>
    </row>
    <row r="55" spans="1:18" x14ac:dyDescent="0.25">
      <c r="A55" s="117"/>
      <c r="B55" s="118"/>
      <c r="C55" s="119"/>
      <c r="D55" s="1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2" t="s">
        <v>90</v>
      </c>
      <c r="B58" s="123"/>
      <c r="C58" s="123"/>
      <c r="D58" s="124"/>
      <c r="F58" s="122" t="s">
        <v>91</v>
      </c>
      <c r="G58" s="123"/>
      <c r="H58" s="123"/>
      <c r="I58" s="123"/>
      <c r="J58" s="124"/>
    </row>
    <row r="59" spans="1:18" x14ac:dyDescent="0.25">
      <c r="A59" s="125"/>
      <c r="B59" s="126"/>
      <c r="C59" s="126"/>
      <c r="D59" s="127"/>
      <c r="F59" s="125"/>
      <c r="G59" s="126"/>
      <c r="H59" s="126"/>
      <c r="I59" s="126"/>
      <c r="J59" s="12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A1E40B-D58A-4F9B-82BB-82A23513928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0" t="s">
        <v>1</v>
      </c>
      <c r="O1" s="210"/>
      <c r="P1" s="107" t="s">
        <v>2</v>
      </c>
      <c r="Q1" s="10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1" t="s">
        <v>7</v>
      </c>
      <c r="B4" s="162"/>
      <c r="C4" s="162"/>
      <c r="D4" s="163"/>
      <c r="F4" s="211" t="s">
        <v>8</v>
      </c>
      <c r="G4" s="213">
        <v>1</v>
      </c>
      <c r="H4" s="215" t="s">
        <v>9</v>
      </c>
      <c r="I4" s="217">
        <v>46156</v>
      </c>
      <c r="J4" s="21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5" t="s">
        <v>7</v>
      </c>
      <c r="B5" s="15" t="s">
        <v>11</v>
      </c>
      <c r="C5" s="9" t="s">
        <v>12</v>
      </c>
      <c r="D5" s="25" t="s">
        <v>13</v>
      </c>
      <c r="F5" s="212"/>
      <c r="G5" s="214"/>
      <c r="H5" s="216"/>
      <c r="I5" s="219"/>
      <c r="J5" s="22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6"/>
      <c r="B6" s="16" t="s">
        <v>15</v>
      </c>
      <c r="C6" s="10"/>
      <c r="D6" s="13">
        <f t="shared" ref="D6:D28" si="1">C6*L6</f>
        <v>0</v>
      </c>
      <c r="F6" s="221" t="s">
        <v>16</v>
      </c>
      <c r="G6" s="223" t="s">
        <v>99</v>
      </c>
      <c r="H6" s="224"/>
      <c r="I6" s="224"/>
      <c r="J6" s="22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6"/>
      <c r="B7" s="16" t="s">
        <v>18</v>
      </c>
      <c r="C7" s="10"/>
      <c r="D7" s="13">
        <f t="shared" si="1"/>
        <v>0</v>
      </c>
      <c r="F7" s="222"/>
      <c r="G7" s="226"/>
      <c r="H7" s="227"/>
      <c r="I7" s="227"/>
      <c r="J7" s="22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6"/>
      <c r="B8" s="16" t="s">
        <v>20</v>
      </c>
      <c r="C8" s="10"/>
      <c r="D8" s="13">
        <f t="shared" si="1"/>
        <v>0</v>
      </c>
      <c r="F8" s="229" t="s">
        <v>21</v>
      </c>
      <c r="G8" s="230" t="s">
        <v>120</v>
      </c>
      <c r="H8" s="231"/>
      <c r="I8" s="231"/>
      <c r="J8" s="23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6"/>
      <c r="B9" s="16" t="s">
        <v>23</v>
      </c>
      <c r="C9" s="10"/>
      <c r="D9" s="13">
        <f t="shared" si="1"/>
        <v>0</v>
      </c>
      <c r="F9" s="222"/>
      <c r="G9" s="233"/>
      <c r="H9" s="234"/>
      <c r="I9" s="234"/>
      <c r="J9" s="23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6"/>
      <c r="B10" t="s">
        <v>25</v>
      </c>
      <c r="C10" s="10"/>
      <c r="D10" s="13">
        <f t="shared" si="1"/>
        <v>0</v>
      </c>
      <c r="F10" s="221" t="s">
        <v>26</v>
      </c>
      <c r="G10" s="236" t="s">
        <v>108</v>
      </c>
      <c r="H10" s="237"/>
      <c r="I10" s="237"/>
      <c r="J10" s="238"/>
      <c r="K10" s="8"/>
      <c r="L10" s="6">
        <f>R36</f>
        <v>1032</v>
      </c>
      <c r="P10" s="4"/>
      <c r="Q10" s="4"/>
      <c r="R10" s="5"/>
    </row>
    <row r="11" spans="1:18" ht="15.75" x14ac:dyDescent="0.25">
      <c r="A11" s="156"/>
      <c r="B11" s="17" t="s">
        <v>28</v>
      </c>
      <c r="C11" s="10"/>
      <c r="D11" s="13">
        <f t="shared" si="1"/>
        <v>0</v>
      </c>
      <c r="F11" s="222"/>
      <c r="G11" s="233"/>
      <c r="H11" s="234"/>
      <c r="I11" s="234"/>
      <c r="J11" s="23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6"/>
      <c r="B12" s="17" t="s">
        <v>30</v>
      </c>
      <c r="C12" s="10"/>
      <c r="D12" s="48">
        <f t="shared" si="1"/>
        <v>0</v>
      </c>
      <c r="F12" s="239" t="s">
        <v>33</v>
      </c>
      <c r="G12" s="240"/>
      <c r="H12" s="240"/>
      <c r="I12" s="240"/>
      <c r="J12" s="24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6"/>
      <c r="B13" s="17" t="s">
        <v>32</v>
      </c>
      <c r="C13" s="10"/>
      <c r="D13" s="48">
        <f t="shared" si="1"/>
        <v>0</v>
      </c>
      <c r="F13" s="242" t="s">
        <v>36</v>
      </c>
      <c r="G13" s="206"/>
      <c r="H13" s="197">
        <f>D29</f>
        <v>0</v>
      </c>
      <c r="I13" s="198"/>
      <c r="J13" s="19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6"/>
      <c r="B14" s="14" t="s">
        <v>35</v>
      </c>
      <c r="C14" s="10"/>
      <c r="D14" s="31">
        <f t="shared" si="1"/>
        <v>0</v>
      </c>
      <c r="F14" s="200" t="s">
        <v>38</v>
      </c>
      <c r="G14" s="201"/>
      <c r="H14" s="202">
        <f>D54</f>
        <v>0</v>
      </c>
      <c r="I14" s="203"/>
      <c r="J14" s="20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6"/>
      <c r="B15" s="14" t="s">
        <v>122</v>
      </c>
      <c r="C15" s="10"/>
      <c r="D15" s="31">
        <f t="shared" si="1"/>
        <v>0</v>
      </c>
      <c r="F15" s="205" t="s">
        <v>39</v>
      </c>
      <c r="G15" s="206"/>
      <c r="H15" s="207">
        <f>H13-H14</f>
        <v>0</v>
      </c>
      <c r="I15" s="208"/>
      <c r="J15" s="20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6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67"/>
      <c r="I16" s="167"/>
      <c r="J16" s="16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6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78"/>
      <c r="I17" s="178"/>
      <c r="J17" s="17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6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78"/>
      <c r="I18" s="178"/>
      <c r="J18" s="17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6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67"/>
      <c r="I19" s="167"/>
      <c r="J19" s="16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6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67"/>
      <c r="I20" s="167"/>
      <c r="J20" s="16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6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0" t="s">
        <v>13</v>
      </c>
      <c r="I21" s="181"/>
      <c r="J21" s="18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6"/>
      <c r="B22" s="46" t="s">
        <v>103</v>
      </c>
      <c r="C22" s="10"/>
      <c r="D22" s="48">
        <f t="shared" si="1"/>
        <v>0</v>
      </c>
      <c r="F22" s="77"/>
      <c r="G22" s="73"/>
      <c r="H22" s="183"/>
      <c r="I22" s="183"/>
      <c r="J22" s="18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6"/>
      <c r="B23" s="14" t="s">
        <v>121</v>
      </c>
      <c r="C23" s="10"/>
      <c r="D23" s="48">
        <f t="shared" si="1"/>
        <v>0</v>
      </c>
      <c r="F23" s="77"/>
      <c r="G23" s="79"/>
      <c r="H23" s="251"/>
      <c r="I23" s="252"/>
      <c r="J23" s="25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6"/>
      <c r="B24" s="14" t="s">
        <v>128</v>
      </c>
      <c r="C24" s="10"/>
      <c r="D24" s="48">
        <f t="shared" si="1"/>
        <v>0</v>
      </c>
      <c r="F24" s="77"/>
      <c r="G24" s="79"/>
      <c r="H24" s="251"/>
      <c r="I24" s="252"/>
      <c r="J24" s="25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5" t="s">
        <v>13</v>
      </c>
      <c r="I25" s="186"/>
      <c r="J25" s="18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6"/>
      <c r="B26" s="14" t="s">
        <v>129</v>
      </c>
      <c r="C26" s="10"/>
      <c r="D26" s="48">
        <f t="shared" si="1"/>
        <v>0</v>
      </c>
      <c r="F26" s="75"/>
      <c r="G26" s="65"/>
      <c r="H26" s="153"/>
      <c r="I26" s="153"/>
      <c r="J26" s="15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6"/>
      <c r="B27" s="14" t="s">
        <v>130</v>
      </c>
      <c r="C27" s="10"/>
      <c r="D27" s="44">
        <f t="shared" si="1"/>
        <v>0</v>
      </c>
      <c r="F27" s="71"/>
      <c r="G27" s="105"/>
      <c r="H27" s="253"/>
      <c r="I27" s="254"/>
      <c r="J27" s="25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7"/>
      <c r="B28" s="46" t="s">
        <v>92</v>
      </c>
      <c r="C28" s="10"/>
      <c r="D28" s="48">
        <f t="shared" si="1"/>
        <v>0</v>
      </c>
      <c r="F28" s="108"/>
      <c r="G28" s="61"/>
      <c r="H28" s="194"/>
      <c r="I28" s="195"/>
      <c r="J28" s="19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8" t="s">
        <v>36</v>
      </c>
      <c r="B29" s="169"/>
      <c r="C29" s="170"/>
      <c r="D29" s="174">
        <f>SUM(D6:D28)</f>
        <v>0</v>
      </c>
      <c r="F29" s="114" t="s">
        <v>54</v>
      </c>
      <c r="G29" s="176"/>
      <c r="H29" s="136">
        <f>H15-H16-H17-H18-H19-H20-H22-H23-H24+H26+H27+H28</f>
        <v>0</v>
      </c>
      <c r="I29" s="137"/>
      <c r="J29" s="13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1"/>
      <c r="B30" s="172"/>
      <c r="C30" s="173"/>
      <c r="D30" s="175"/>
      <c r="F30" s="117"/>
      <c r="G30" s="177"/>
      <c r="H30" s="139"/>
      <c r="I30" s="140"/>
      <c r="J30" s="141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1" t="s">
        <v>57</v>
      </c>
      <c r="B32" s="162"/>
      <c r="C32" s="162"/>
      <c r="D32" s="163"/>
      <c r="F32" s="164" t="s">
        <v>58</v>
      </c>
      <c r="G32" s="165"/>
      <c r="H32" s="165"/>
      <c r="I32" s="165"/>
      <c r="J32" s="16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9" t="s">
        <v>62</v>
      </c>
      <c r="H33" s="164" t="s">
        <v>13</v>
      </c>
      <c r="I33" s="165"/>
      <c r="J33" s="16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5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58">
        <f t="shared" ref="H34:H39" si="2">F34*G34</f>
        <v>0</v>
      </c>
      <c r="I34" s="159"/>
      <c r="J34" s="16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6"/>
      <c r="B35" s="27" t="s">
        <v>67</v>
      </c>
      <c r="C35" s="52"/>
      <c r="D35" s="30">
        <f>C35*84</f>
        <v>0</v>
      </c>
      <c r="F35" s="58">
        <v>500</v>
      </c>
      <c r="G35" s="41"/>
      <c r="H35" s="158">
        <f t="shared" si="2"/>
        <v>0</v>
      </c>
      <c r="I35" s="159"/>
      <c r="J35" s="16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7"/>
      <c r="B36" s="26" t="s">
        <v>69</v>
      </c>
      <c r="C36" s="10"/>
      <c r="D36" s="12">
        <f>C36*1.5</f>
        <v>0</v>
      </c>
      <c r="F36" s="12">
        <v>200</v>
      </c>
      <c r="G36" s="37"/>
      <c r="H36" s="158">
        <f t="shared" si="2"/>
        <v>0</v>
      </c>
      <c r="I36" s="159"/>
      <c r="J36" s="16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8">
        <f t="shared" si="2"/>
        <v>0</v>
      </c>
      <c r="I37" s="159"/>
      <c r="J37" s="16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6"/>
      <c r="B38" s="29" t="s">
        <v>67</v>
      </c>
      <c r="C38" s="54"/>
      <c r="D38" s="12">
        <f>C38*84</f>
        <v>0</v>
      </c>
      <c r="F38" s="30">
        <v>50</v>
      </c>
      <c r="G38" s="39"/>
      <c r="H38" s="158">
        <f t="shared" si="2"/>
        <v>0</v>
      </c>
      <c r="I38" s="159"/>
      <c r="J38" s="16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7"/>
      <c r="B39" s="29" t="s">
        <v>69</v>
      </c>
      <c r="C39" s="52"/>
      <c r="D39" s="31">
        <f>C39*4.5</f>
        <v>0</v>
      </c>
      <c r="F39" s="12">
        <v>20</v>
      </c>
      <c r="G39" s="37"/>
      <c r="H39" s="158">
        <f t="shared" si="2"/>
        <v>0</v>
      </c>
      <c r="I39" s="159"/>
      <c r="J39" s="16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8"/>
      <c r="I40" s="159"/>
      <c r="J40" s="16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6"/>
      <c r="B41" s="27" t="s">
        <v>67</v>
      </c>
      <c r="C41" s="10"/>
      <c r="D41" s="12">
        <f>C41*84</f>
        <v>0</v>
      </c>
      <c r="F41" s="12">
        <v>5</v>
      </c>
      <c r="G41" s="42"/>
      <c r="H41" s="158"/>
      <c r="I41" s="159"/>
      <c r="J41" s="16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7"/>
      <c r="B42" s="27" t="s">
        <v>69</v>
      </c>
      <c r="C42" s="11"/>
      <c r="D42" s="12">
        <f>C42*2.25</f>
        <v>0</v>
      </c>
      <c r="F42" s="39" t="s">
        <v>78</v>
      </c>
      <c r="G42" s="158"/>
      <c r="H42" s="159"/>
      <c r="I42" s="159"/>
      <c r="J42" s="16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8" t="s">
        <v>80</v>
      </c>
      <c r="C43" s="11"/>
      <c r="D43" s="12"/>
      <c r="F43" s="59" t="s">
        <v>81</v>
      </c>
      <c r="G43" s="105" t="s">
        <v>82</v>
      </c>
      <c r="H43" s="150" t="s">
        <v>13</v>
      </c>
      <c r="I43" s="151"/>
      <c r="J43" s="15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9"/>
      <c r="B44" s="27" t="s">
        <v>65</v>
      </c>
      <c r="C44" s="10"/>
      <c r="D44" s="12">
        <f>C44*120</f>
        <v>0</v>
      </c>
      <c r="F44" s="37"/>
      <c r="G44" s="62"/>
      <c r="H44" s="153"/>
      <c r="I44" s="153"/>
      <c r="J44" s="15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9"/>
      <c r="B45" s="27" t="s">
        <v>67</v>
      </c>
      <c r="C45" s="33"/>
      <c r="D45" s="12">
        <f>C45*84</f>
        <v>0</v>
      </c>
      <c r="F45" s="37"/>
      <c r="G45" s="62"/>
      <c r="H45" s="153"/>
      <c r="I45" s="153"/>
      <c r="J45" s="153"/>
      <c r="K45" s="21"/>
      <c r="P45" s="4"/>
      <c r="Q45" s="4"/>
      <c r="R45" s="5"/>
    </row>
    <row r="46" spans="1:18" ht="15.75" x14ac:dyDescent="0.25">
      <c r="A46" s="129"/>
      <c r="B46" s="49" t="s">
        <v>69</v>
      </c>
      <c r="C46" s="81"/>
      <c r="D46" s="12">
        <f>C46*1.5</f>
        <v>0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30"/>
      <c r="B47" s="27"/>
      <c r="C47" s="11"/>
      <c r="D47" s="12"/>
      <c r="F47" s="59"/>
      <c r="G47" s="59"/>
      <c r="H47" s="131"/>
      <c r="I47" s="132"/>
      <c r="J47" s="133"/>
      <c r="K47" s="21"/>
      <c r="P47" s="4"/>
      <c r="Q47" s="4"/>
      <c r="R47" s="5"/>
    </row>
    <row r="48" spans="1:18" ht="15" customHeight="1" x14ac:dyDescent="0.25">
      <c r="A48" s="128" t="s">
        <v>32</v>
      </c>
      <c r="B48" s="27" t="s">
        <v>65</v>
      </c>
      <c r="C48" s="10"/>
      <c r="D48" s="12">
        <f>C48*78</f>
        <v>0</v>
      </c>
      <c r="F48" s="59"/>
      <c r="G48" s="59"/>
      <c r="H48" s="131"/>
      <c r="I48" s="132"/>
      <c r="J48" s="13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9"/>
      <c r="B49" s="29" t="s">
        <v>67</v>
      </c>
      <c r="C49" s="33"/>
      <c r="D49" s="12">
        <f>C49*42</f>
        <v>0</v>
      </c>
      <c r="F49" s="134" t="s">
        <v>85</v>
      </c>
      <c r="G49" s="136">
        <f>H34+H35+H36+H37+H38+H39+H40+H41+G42+H44+H45+H46</f>
        <v>0</v>
      </c>
      <c r="H49" s="137"/>
      <c r="I49" s="137"/>
      <c r="J49" s="13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9"/>
      <c r="B50" s="32" t="s">
        <v>69</v>
      </c>
      <c r="C50" s="11"/>
      <c r="D50" s="12">
        <f>C50*1.5</f>
        <v>0</v>
      </c>
      <c r="F50" s="135"/>
      <c r="G50" s="139"/>
      <c r="H50" s="140"/>
      <c r="I50" s="140"/>
      <c r="J50" s="141"/>
      <c r="O50" t="s">
        <v>114</v>
      </c>
      <c r="P50" s="4">
        <v>1204</v>
      </c>
      <c r="Q50" s="4"/>
      <c r="R50" s="5"/>
    </row>
    <row r="51" spans="1:18" ht="15" customHeight="1" x14ac:dyDescent="0.25">
      <c r="A51" s="129"/>
      <c r="B51" s="27"/>
      <c r="C51" s="10"/>
      <c r="D51" s="31"/>
      <c r="F51" s="142" t="s">
        <v>109</v>
      </c>
      <c r="G51" s="255">
        <f>G49-H29</f>
        <v>0</v>
      </c>
      <c r="H51" s="256"/>
      <c r="I51" s="256"/>
      <c r="J51" s="25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9"/>
      <c r="B52" s="29"/>
      <c r="C52" s="33"/>
      <c r="D52" s="45"/>
      <c r="F52" s="143"/>
      <c r="G52" s="258"/>
      <c r="H52" s="259"/>
      <c r="I52" s="259"/>
      <c r="J52" s="2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4" t="s">
        <v>89</v>
      </c>
      <c r="B54" s="115"/>
      <c r="C54" s="116"/>
      <c r="D54" s="120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7"/>
      <c r="B55" s="118"/>
      <c r="C55" s="119"/>
      <c r="D55" s="1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22" t="s">
        <v>90</v>
      </c>
      <c r="B58" s="123"/>
      <c r="C58" s="123"/>
      <c r="D58" s="124"/>
      <c r="F58" s="122" t="s">
        <v>91</v>
      </c>
      <c r="G58" s="123"/>
      <c r="H58" s="123"/>
      <c r="I58" s="123"/>
      <c r="J58" s="124"/>
    </row>
    <row r="59" spans="1:18" x14ac:dyDescent="0.25">
      <c r="A59" s="125"/>
      <c r="B59" s="126"/>
      <c r="C59" s="126"/>
      <c r="D59" s="127"/>
      <c r="F59" s="125"/>
      <c r="G59" s="126"/>
      <c r="H59" s="126"/>
      <c r="I59" s="126"/>
      <c r="J59" s="12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1A6604-0014-45A1-979D-2F42B5F6029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0" t="s">
        <v>1</v>
      </c>
      <c r="O1" s="210"/>
      <c r="P1" s="107" t="s">
        <v>2</v>
      </c>
      <c r="Q1" s="10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1" t="s">
        <v>7</v>
      </c>
      <c r="B4" s="162"/>
      <c r="C4" s="162"/>
      <c r="D4" s="163"/>
      <c r="F4" s="211" t="s">
        <v>8</v>
      </c>
      <c r="G4" s="213">
        <v>2</v>
      </c>
      <c r="H4" s="215" t="s">
        <v>9</v>
      </c>
      <c r="I4" s="217">
        <v>46156</v>
      </c>
      <c r="J4" s="21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5" t="s">
        <v>7</v>
      </c>
      <c r="B5" s="15" t="s">
        <v>11</v>
      </c>
      <c r="C5" s="9" t="s">
        <v>12</v>
      </c>
      <c r="D5" s="25" t="s">
        <v>13</v>
      </c>
      <c r="F5" s="212"/>
      <c r="G5" s="214"/>
      <c r="H5" s="216"/>
      <c r="I5" s="219"/>
      <c r="J5" s="22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6"/>
      <c r="B6" s="16" t="s">
        <v>15</v>
      </c>
      <c r="C6" s="10"/>
      <c r="D6" s="13">
        <f t="shared" ref="D6:D28" si="1">C6*L6</f>
        <v>0</v>
      </c>
      <c r="F6" s="221" t="s">
        <v>16</v>
      </c>
      <c r="G6" s="223" t="s">
        <v>107</v>
      </c>
      <c r="H6" s="224"/>
      <c r="I6" s="224"/>
      <c r="J6" s="22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6"/>
      <c r="B7" s="16" t="s">
        <v>18</v>
      </c>
      <c r="C7" s="10"/>
      <c r="D7" s="13">
        <f t="shared" si="1"/>
        <v>0</v>
      </c>
      <c r="F7" s="222"/>
      <c r="G7" s="226"/>
      <c r="H7" s="227"/>
      <c r="I7" s="227"/>
      <c r="J7" s="22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6"/>
      <c r="B8" s="16" t="s">
        <v>20</v>
      </c>
      <c r="C8" s="10"/>
      <c r="D8" s="13">
        <f t="shared" si="1"/>
        <v>0</v>
      </c>
      <c r="F8" s="229" t="s">
        <v>21</v>
      </c>
      <c r="G8" s="230" t="s">
        <v>100</v>
      </c>
      <c r="H8" s="231"/>
      <c r="I8" s="231"/>
      <c r="J8" s="23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6"/>
      <c r="B9" s="16" t="s">
        <v>23</v>
      </c>
      <c r="C9" s="10"/>
      <c r="D9" s="13">
        <f t="shared" si="1"/>
        <v>0</v>
      </c>
      <c r="F9" s="222"/>
      <c r="G9" s="233"/>
      <c r="H9" s="234"/>
      <c r="I9" s="234"/>
      <c r="J9" s="23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6"/>
      <c r="B10" t="s">
        <v>25</v>
      </c>
      <c r="C10" s="10"/>
      <c r="D10" s="13">
        <f t="shared" si="1"/>
        <v>0</v>
      </c>
      <c r="F10" s="221" t="s">
        <v>26</v>
      </c>
      <c r="G10" s="236" t="s">
        <v>101</v>
      </c>
      <c r="H10" s="237"/>
      <c r="I10" s="237"/>
      <c r="J10" s="238"/>
      <c r="K10" s="8"/>
      <c r="L10" s="6">
        <f>R36</f>
        <v>1032</v>
      </c>
      <c r="P10" s="4"/>
      <c r="Q10" s="4"/>
      <c r="R10" s="5"/>
    </row>
    <row r="11" spans="1:18" ht="15.75" x14ac:dyDescent="0.25">
      <c r="A11" s="156"/>
      <c r="B11" s="17" t="s">
        <v>28</v>
      </c>
      <c r="C11" s="10"/>
      <c r="D11" s="13">
        <f t="shared" si="1"/>
        <v>0</v>
      </c>
      <c r="F11" s="222"/>
      <c r="G11" s="233"/>
      <c r="H11" s="234"/>
      <c r="I11" s="234"/>
      <c r="J11" s="23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6"/>
      <c r="B12" s="17" t="s">
        <v>30</v>
      </c>
      <c r="C12" s="10"/>
      <c r="D12" s="48">
        <f t="shared" si="1"/>
        <v>0</v>
      </c>
      <c r="F12" s="239" t="s">
        <v>33</v>
      </c>
      <c r="G12" s="240"/>
      <c r="H12" s="240"/>
      <c r="I12" s="240"/>
      <c r="J12" s="24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6"/>
      <c r="B13" s="17" t="s">
        <v>32</v>
      </c>
      <c r="C13" s="10"/>
      <c r="D13" s="48">
        <f t="shared" si="1"/>
        <v>0</v>
      </c>
      <c r="F13" s="242" t="s">
        <v>36</v>
      </c>
      <c r="G13" s="206"/>
      <c r="H13" s="197">
        <f>D29</f>
        <v>0</v>
      </c>
      <c r="I13" s="198"/>
      <c r="J13" s="19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6"/>
      <c r="B14" s="14" t="s">
        <v>35</v>
      </c>
      <c r="C14" s="10"/>
      <c r="D14" s="31">
        <f t="shared" si="1"/>
        <v>0</v>
      </c>
      <c r="F14" s="200" t="s">
        <v>38</v>
      </c>
      <c r="G14" s="201"/>
      <c r="H14" s="202">
        <f>D54</f>
        <v>0</v>
      </c>
      <c r="I14" s="203"/>
      <c r="J14" s="20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6"/>
      <c r="B15" s="14" t="s">
        <v>122</v>
      </c>
      <c r="C15" s="10"/>
      <c r="D15" s="31">
        <f t="shared" si="1"/>
        <v>0</v>
      </c>
      <c r="F15" s="205" t="s">
        <v>39</v>
      </c>
      <c r="G15" s="206"/>
      <c r="H15" s="207">
        <f>H13-H14</f>
        <v>0</v>
      </c>
      <c r="I15" s="208"/>
      <c r="J15" s="20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6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67"/>
      <c r="I16" s="167"/>
      <c r="J16" s="16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6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78"/>
      <c r="I17" s="178"/>
      <c r="J17" s="17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6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78"/>
      <c r="I18" s="178"/>
      <c r="J18" s="17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6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61"/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6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78"/>
      <c r="I20" s="178"/>
      <c r="J20" s="17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6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0" t="s">
        <v>13</v>
      </c>
      <c r="I21" s="181"/>
      <c r="J21" s="18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6"/>
      <c r="B22" s="46" t="s">
        <v>103</v>
      </c>
      <c r="C22" s="10"/>
      <c r="D22" s="48">
        <f t="shared" si="1"/>
        <v>0</v>
      </c>
      <c r="F22" s="72"/>
      <c r="G22" s="73"/>
      <c r="H22" s="183"/>
      <c r="I22" s="183"/>
      <c r="J22" s="18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6"/>
      <c r="B23" s="14" t="s">
        <v>121</v>
      </c>
      <c r="C23" s="10"/>
      <c r="D23" s="48">
        <f t="shared" si="1"/>
        <v>0</v>
      </c>
      <c r="F23" s="25"/>
      <c r="G23" s="37"/>
      <c r="H23" s="184"/>
      <c r="I23" s="153"/>
      <c r="J23" s="15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6"/>
      <c r="B24" s="14" t="s">
        <v>128</v>
      </c>
      <c r="C24" s="10"/>
      <c r="D24" s="48">
        <f t="shared" si="1"/>
        <v>0</v>
      </c>
      <c r="F24" s="38"/>
      <c r="G24" s="37"/>
      <c r="H24" s="184"/>
      <c r="I24" s="153"/>
      <c r="J24" s="15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5" t="s">
        <v>13</v>
      </c>
      <c r="I25" s="186"/>
      <c r="J25" s="18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6"/>
      <c r="B26" s="14" t="s">
        <v>129</v>
      </c>
      <c r="C26" s="10"/>
      <c r="D26" s="48">
        <f t="shared" si="1"/>
        <v>0</v>
      </c>
      <c r="F26" s="64"/>
      <c r="G26" s="10"/>
      <c r="H26" s="188"/>
      <c r="I26" s="189"/>
      <c r="J26" s="19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6"/>
      <c r="B27" s="14" t="s">
        <v>130</v>
      </c>
      <c r="C27" s="10"/>
      <c r="D27" s="44">
        <f t="shared" si="1"/>
        <v>0</v>
      </c>
      <c r="F27" s="14"/>
      <c r="G27" s="14"/>
      <c r="H27" s="191"/>
      <c r="I27" s="192"/>
      <c r="J27" s="19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7"/>
      <c r="B28" s="46" t="s">
        <v>92</v>
      </c>
      <c r="C28" s="10"/>
      <c r="D28" s="48">
        <f t="shared" si="1"/>
        <v>0</v>
      </c>
      <c r="F28" s="108"/>
      <c r="G28" s="61"/>
      <c r="H28" s="194"/>
      <c r="I28" s="195"/>
      <c r="J28" s="19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8" t="s">
        <v>36</v>
      </c>
      <c r="B29" s="169"/>
      <c r="C29" s="170"/>
      <c r="D29" s="174">
        <f>SUM(D6:D28)</f>
        <v>0</v>
      </c>
      <c r="F29" s="114" t="s">
        <v>54</v>
      </c>
      <c r="G29" s="176"/>
      <c r="H29" s="136">
        <f>H15-H16-H17-H18-H19-H20-H22-H23-H24+H26+H27</f>
        <v>0</v>
      </c>
      <c r="I29" s="137"/>
      <c r="J29" s="13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1"/>
      <c r="B30" s="172"/>
      <c r="C30" s="173"/>
      <c r="D30" s="175"/>
      <c r="F30" s="117"/>
      <c r="G30" s="177"/>
      <c r="H30" s="139"/>
      <c r="I30" s="140"/>
      <c r="J30" s="141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1" t="s">
        <v>57</v>
      </c>
      <c r="B32" s="162"/>
      <c r="C32" s="162"/>
      <c r="D32" s="163"/>
      <c r="F32" s="164" t="s">
        <v>58</v>
      </c>
      <c r="G32" s="165"/>
      <c r="H32" s="165"/>
      <c r="I32" s="165"/>
      <c r="J32" s="16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9" t="s">
        <v>62</v>
      </c>
      <c r="H33" s="164" t="s">
        <v>13</v>
      </c>
      <c r="I33" s="165"/>
      <c r="J33" s="16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5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58">
        <f>F34*G34</f>
        <v>0</v>
      </c>
      <c r="I34" s="159"/>
      <c r="J34" s="16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6"/>
      <c r="B35" s="27" t="s">
        <v>67</v>
      </c>
      <c r="C35" s="52"/>
      <c r="D35" s="30">
        <f>C35*84</f>
        <v>0</v>
      </c>
      <c r="F35" s="58">
        <v>500</v>
      </c>
      <c r="G35" s="41"/>
      <c r="H35" s="158">
        <f t="shared" ref="H35:H39" si="2">F35*G35</f>
        <v>0</v>
      </c>
      <c r="I35" s="159"/>
      <c r="J35" s="16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7"/>
      <c r="B36" s="26" t="s">
        <v>69</v>
      </c>
      <c r="C36" s="10"/>
      <c r="D36" s="12">
        <f>C36*1.5</f>
        <v>0</v>
      </c>
      <c r="F36" s="12">
        <v>200</v>
      </c>
      <c r="G36" s="37"/>
      <c r="H36" s="158">
        <f>F36*G36</f>
        <v>0</v>
      </c>
      <c r="I36" s="159"/>
      <c r="J36" s="16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8">
        <f t="shared" si="2"/>
        <v>0</v>
      </c>
      <c r="I37" s="159"/>
      <c r="J37" s="16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6"/>
      <c r="B38" s="29" t="s">
        <v>67</v>
      </c>
      <c r="C38" s="54"/>
      <c r="D38" s="12">
        <f>C38*84</f>
        <v>0</v>
      </c>
      <c r="F38" s="30">
        <v>50</v>
      </c>
      <c r="G38" s="39"/>
      <c r="H38" s="158">
        <f t="shared" si="2"/>
        <v>0</v>
      </c>
      <c r="I38" s="159"/>
      <c r="J38" s="16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7"/>
      <c r="B39" s="29" t="s">
        <v>69</v>
      </c>
      <c r="C39" s="52"/>
      <c r="D39" s="31">
        <f>C39*4.5</f>
        <v>0</v>
      </c>
      <c r="F39" s="12">
        <v>20</v>
      </c>
      <c r="G39" s="37"/>
      <c r="H39" s="158">
        <f t="shared" si="2"/>
        <v>0</v>
      </c>
      <c r="I39" s="159"/>
      <c r="J39" s="16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8"/>
      <c r="I40" s="159"/>
      <c r="J40" s="16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6"/>
      <c r="B41" s="27" t="s">
        <v>67</v>
      </c>
      <c r="C41" s="10"/>
      <c r="D41" s="12">
        <f>C41*84</f>
        <v>0</v>
      </c>
      <c r="F41" s="12">
        <v>5</v>
      </c>
      <c r="G41" s="42"/>
      <c r="H41" s="158"/>
      <c r="I41" s="159"/>
      <c r="J41" s="16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7"/>
      <c r="B42" s="27" t="s">
        <v>69</v>
      </c>
      <c r="C42" s="11"/>
      <c r="D42" s="12">
        <f>C42*2.25</f>
        <v>0</v>
      </c>
      <c r="F42" s="39" t="s">
        <v>78</v>
      </c>
      <c r="G42" s="158"/>
      <c r="H42" s="159"/>
      <c r="I42" s="159"/>
      <c r="J42" s="16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8" t="s">
        <v>80</v>
      </c>
      <c r="C43" s="11"/>
      <c r="D43" s="12"/>
      <c r="F43" s="59" t="s">
        <v>81</v>
      </c>
      <c r="G43" s="105" t="s">
        <v>82</v>
      </c>
      <c r="H43" s="150" t="s">
        <v>13</v>
      </c>
      <c r="I43" s="151"/>
      <c r="J43" s="15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9"/>
      <c r="B44" s="27" t="s">
        <v>65</v>
      </c>
      <c r="C44" s="10"/>
      <c r="D44" s="12">
        <f>C44*120</f>
        <v>0</v>
      </c>
      <c r="F44" s="37"/>
      <c r="G44" s="62"/>
      <c r="H44" s="153"/>
      <c r="I44" s="153"/>
      <c r="J44" s="15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9"/>
      <c r="B45" s="27" t="s">
        <v>67</v>
      </c>
      <c r="C45" s="33"/>
      <c r="D45" s="12">
        <f>C45*84</f>
        <v>0</v>
      </c>
      <c r="F45" s="37"/>
      <c r="G45" s="62"/>
      <c r="H45" s="153"/>
      <c r="I45" s="153"/>
      <c r="J45" s="153"/>
      <c r="K45" s="21"/>
      <c r="P45" s="4"/>
      <c r="Q45" s="4"/>
      <c r="R45" s="5"/>
    </row>
    <row r="46" spans="1:18" ht="15.75" x14ac:dyDescent="0.25">
      <c r="A46" s="129"/>
      <c r="B46" s="49" t="s">
        <v>69</v>
      </c>
      <c r="C46" s="81"/>
      <c r="D46" s="12">
        <f>C46*1.5</f>
        <v>0</v>
      </c>
      <c r="F46" s="37"/>
      <c r="G46" s="106"/>
      <c r="H46" s="154"/>
      <c r="I46" s="154"/>
      <c r="J46" s="154"/>
      <c r="K46" s="21"/>
      <c r="P46" s="4"/>
      <c r="Q46" s="4"/>
      <c r="R46" s="5"/>
    </row>
    <row r="47" spans="1:18" ht="15.75" x14ac:dyDescent="0.25">
      <c r="A47" s="130"/>
      <c r="B47" s="27"/>
      <c r="C47" s="11"/>
      <c r="D47" s="12"/>
      <c r="F47" s="59"/>
      <c r="G47" s="59"/>
      <c r="H47" s="131"/>
      <c r="I47" s="132"/>
      <c r="J47" s="133"/>
      <c r="K47" s="21"/>
      <c r="P47" s="4"/>
      <c r="Q47" s="4"/>
      <c r="R47" s="5"/>
    </row>
    <row r="48" spans="1:18" ht="15" customHeight="1" x14ac:dyDescent="0.25">
      <c r="A48" s="128" t="s">
        <v>32</v>
      </c>
      <c r="B48" s="27" t="s">
        <v>65</v>
      </c>
      <c r="C48" s="10"/>
      <c r="D48" s="12">
        <f>C48*78</f>
        <v>0</v>
      </c>
      <c r="F48" s="59"/>
      <c r="G48" s="59"/>
      <c r="H48" s="131"/>
      <c r="I48" s="132"/>
      <c r="J48" s="13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9"/>
      <c r="B49" s="29" t="s">
        <v>67</v>
      </c>
      <c r="C49" s="33"/>
      <c r="D49" s="12">
        <f>C49*42</f>
        <v>0</v>
      </c>
      <c r="F49" s="134" t="s">
        <v>85</v>
      </c>
      <c r="G49" s="136">
        <f>H34+H35+H36+H37+H38+H39+H40+H41+G42+H44+H45+H46</f>
        <v>0</v>
      </c>
      <c r="H49" s="137"/>
      <c r="I49" s="137"/>
      <c r="J49" s="13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9"/>
      <c r="B50" s="32" t="s">
        <v>69</v>
      </c>
      <c r="C50" s="11"/>
      <c r="D50" s="12">
        <f>C50*1.5</f>
        <v>0</v>
      </c>
      <c r="F50" s="135"/>
      <c r="G50" s="139"/>
      <c r="H50" s="140"/>
      <c r="I50" s="140"/>
      <c r="J50" s="141"/>
      <c r="O50" t="s">
        <v>114</v>
      </c>
      <c r="P50" s="4">
        <v>1204</v>
      </c>
      <c r="Q50" s="4"/>
      <c r="R50" s="5"/>
    </row>
    <row r="51" spans="1:18" ht="15" customHeight="1" x14ac:dyDescent="0.25">
      <c r="A51" s="129"/>
      <c r="B51" s="27"/>
      <c r="C51" s="10"/>
      <c r="D51" s="31"/>
      <c r="F51" s="142" t="s">
        <v>112</v>
      </c>
      <c r="G51" s="144">
        <f>G49-H29</f>
        <v>0</v>
      </c>
      <c r="H51" s="145"/>
      <c r="I51" s="145"/>
      <c r="J51" s="14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9"/>
      <c r="B52" s="29"/>
      <c r="C52" s="33"/>
      <c r="D52" s="45"/>
      <c r="F52" s="143"/>
      <c r="G52" s="147"/>
      <c r="H52" s="148"/>
      <c r="I52" s="148"/>
      <c r="J52" s="14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4" t="s">
        <v>89</v>
      </c>
      <c r="B54" s="115"/>
      <c r="C54" s="116"/>
      <c r="D54" s="120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7"/>
      <c r="B55" s="118"/>
      <c r="C55" s="119"/>
      <c r="D55" s="1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22" t="s">
        <v>90</v>
      </c>
      <c r="B58" s="123"/>
      <c r="C58" s="123"/>
      <c r="D58" s="124"/>
      <c r="F58" s="122" t="s">
        <v>91</v>
      </c>
      <c r="G58" s="123"/>
      <c r="H58" s="123"/>
      <c r="I58" s="123"/>
      <c r="J58" s="124"/>
    </row>
    <row r="59" spans="1:18" x14ac:dyDescent="0.25">
      <c r="A59" s="125"/>
      <c r="B59" s="126"/>
      <c r="C59" s="126"/>
      <c r="D59" s="127"/>
      <c r="F59" s="125"/>
      <c r="G59" s="126"/>
      <c r="H59" s="126"/>
      <c r="I59" s="126"/>
      <c r="J59" s="12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BD3EF8-75F8-472F-912A-02E756786B7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0" t="s">
        <v>1</v>
      </c>
      <c r="O1" s="210"/>
      <c r="P1" s="107" t="s">
        <v>2</v>
      </c>
      <c r="Q1" s="10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1" t="s">
        <v>7</v>
      </c>
      <c r="B4" s="162"/>
      <c r="C4" s="162"/>
      <c r="D4" s="163"/>
      <c r="F4" s="211" t="s">
        <v>8</v>
      </c>
      <c r="G4" s="213">
        <v>3</v>
      </c>
      <c r="H4" s="215" t="s">
        <v>9</v>
      </c>
      <c r="I4" s="217">
        <v>46156</v>
      </c>
      <c r="J4" s="21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5" t="s">
        <v>7</v>
      </c>
      <c r="B5" s="15" t="s">
        <v>11</v>
      </c>
      <c r="C5" s="9" t="s">
        <v>12</v>
      </c>
      <c r="D5" s="25" t="s">
        <v>13</v>
      </c>
      <c r="F5" s="212"/>
      <c r="G5" s="214"/>
      <c r="H5" s="216"/>
      <c r="I5" s="219"/>
      <c r="J5" s="22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6"/>
      <c r="B6" s="16" t="s">
        <v>15</v>
      </c>
      <c r="C6" s="10"/>
      <c r="D6" s="13">
        <f t="shared" ref="D6:D28" si="1">C6*L6</f>
        <v>0</v>
      </c>
      <c r="F6" s="221" t="s">
        <v>16</v>
      </c>
      <c r="G6" s="223" t="s">
        <v>117</v>
      </c>
      <c r="H6" s="224"/>
      <c r="I6" s="224"/>
      <c r="J6" s="22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6"/>
      <c r="B7" s="16" t="s">
        <v>18</v>
      </c>
      <c r="C7" s="10"/>
      <c r="D7" s="13">
        <f t="shared" si="1"/>
        <v>0</v>
      </c>
      <c r="F7" s="222"/>
      <c r="G7" s="226"/>
      <c r="H7" s="227"/>
      <c r="I7" s="227"/>
      <c r="J7" s="22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6"/>
      <c r="B8" s="16" t="s">
        <v>20</v>
      </c>
      <c r="C8" s="10"/>
      <c r="D8" s="13">
        <f t="shared" si="1"/>
        <v>0</v>
      </c>
      <c r="F8" s="229" t="s">
        <v>21</v>
      </c>
      <c r="G8" s="230" t="s">
        <v>110</v>
      </c>
      <c r="H8" s="231"/>
      <c r="I8" s="231"/>
      <c r="J8" s="23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6"/>
      <c r="B9" s="16" t="s">
        <v>23</v>
      </c>
      <c r="C9" s="10"/>
      <c r="D9" s="13">
        <f t="shared" si="1"/>
        <v>0</v>
      </c>
      <c r="F9" s="222"/>
      <c r="G9" s="233"/>
      <c r="H9" s="234"/>
      <c r="I9" s="234"/>
      <c r="J9" s="23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6"/>
      <c r="B10" t="s">
        <v>25</v>
      </c>
      <c r="C10" s="10"/>
      <c r="D10" s="13">
        <f t="shared" si="1"/>
        <v>0</v>
      </c>
      <c r="F10" s="221" t="s">
        <v>26</v>
      </c>
      <c r="G10" s="236" t="s">
        <v>124</v>
      </c>
      <c r="H10" s="237"/>
      <c r="I10" s="237"/>
      <c r="J10" s="238"/>
      <c r="K10" s="8"/>
      <c r="L10" s="6">
        <f>R36</f>
        <v>1032</v>
      </c>
      <c r="P10" s="4"/>
      <c r="Q10" s="4"/>
      <c r="R10" s="5"/>
    </row>
    <row r="11" spans="1:18" ht="15.75" x14ac:dyDescent="0.25">
      <c r="A11" s="156"/>
      <c r="B11" s="17" t="s">
        <v>28</v>
      </c>
      <c r="C11" s="10"/>
      <c r="D11" s="13">
        <f t="shared" si="1"/>
        <v>0</v>
      </c>
      <c r="F11" s="222"/>
      <c r="G11" s="233"/>
      <c r="H11" s="234"/>
      <c r="I11" s="234"/>
      <c r="J11" s="23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6"/>
      <c r="B12" s="17" t="s">
        <v>30</v>
      </c>
      <c r="C12" s="10"/>
      <c r="D12" s="48">
        <f t="shared" si="1"/>
        <v>0</v>
      </c>
      <c r="F12" s="239" t="s">
        <v>33</v>
      </c>
      <c r="G12" s="240"/>
      <c r="H12" s="240"/>
      <c r="I12" s="240"/>
      <c r="J12" s="24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6"/>
      <c r="B13" s="17" t="s">
        <v>32</v>
      </c>
      <c r="C13" s="10"/>
      <c r="D13" s="48">
        <f t="shared" si="1"/>
        <v>0</v>
      </c>
      <c r="F13" s="242" t="s">
        <v>36</v>
      </c>
      <c r="G13" s="206"/>
      <c r="H13" s="197">
        <f>D29</f>
        <v>0</v>
      </c>
      <c r="I13" s="198"/>
      <c r="J13" s="19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6"/>
      <c r="B14" s="14" t="s">
        <v>35</v>
      </c>
      <c r="C14" s="10"/>
      <c r="D14" s="31">
        <f t="shared" si="1"/>
        <v>0</v>
      </c>
      <c r="F14" s="200" t="s">
        <v>38</v>
      </c>
      <c r="G14" s="201"/>
      <c r="H14" s="202">
        <f>D54</f>
        <v>0</v>
      </c>
      <c r="I14" s="203"/>
      <c r="J14" s="20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6"/>
      <c r="B15" s="14" t="s">
        <v>122</v>
      </c>
      <c r="C15" s="10"/>
      <c r="D15" s="31">
        <f t="shared" si="1"/>
        <v>0</v>
      </c>
      <c r="F15" s="205" t="s">
        <v>39</v>
      </c>
      <c r="G15" s="206"/>
      <c r="H15" s="207">
        <f>H13-H14</f>
        <v>0</v>
      </c>
      <c r="I15" s="208"/>
      <c r="J15" s="20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6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67"/>
      <c r="I16" s="167"/>
      <c r="J16" s="16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6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78"/>
      <c r="I17" s="178"/>
      <c r="J17" s="17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6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78"/>
      <c r="I18" s="178"/>
      <c r="J18" s="17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6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62"/>
      <c r="I19" s="262"/>
      <c r="J19" s="26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6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67"/>
      <c r="I20" s="167"/>
      <c r="J20" s="16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6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0" t="s">
        <v>13</v>
      </c>
      <c r="I21" s="181"/>
      <c r="J21" s="18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6"/>
      <c r="B22" s="46" t="s">
        <v>103</v>
      </c>
      <c r="C22" s="10"/>
      <c r="D22" s="48">
        <f t="shared" si="1"/>
        <v>0</v>
      </c>
      <c r="F22" s="77"/>
      <c r="G22" s="73"/>
      <c r="H22" s="183"/>
      <c r="I22" s="183"/>
      <c r="J22" s="18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6"/>
      <c r="B23" s="14" t="s">
        <v>121</v>
      </c>
      <c r="C23" s="10"/>
      <c r="D23" s="48">
        <f t="shared" si="1"/>
        <v>0</v>
      </c>
      <c r="F23" s="78"/>
      <c r="G23" s="79"/>
      <c r="H23" s="184"/>
      <c r="I23" s="153"/>
      <c r="J23" s="15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6"/>
      <c r="B24" s="14" t="s">
        <v>128</v>
      </c>
      <c r="C24" s="10"/>
      <c r="D24" s="48">
        <f t="shared" si="1"/>
        <v>0</v>
      </c>
      <c r="F24" s="38"/>
      <c r="G24" s="37"/>
      <c r="H24" s="184"/>
      <c r="I24" s="153"/>
      <c r="J24" s="15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5" t="s">
        <v>13</v>
      </c>
      <c r="I25" s="186"/>
      <c r="J25" s="18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6"/>
      <c r="B26" s="14" t="s">
        <v>129</v>
      </c>
      <c r="C26" s="10"/>
      <c r="D26" s="48">
        <f t="shared" si="1"/>
        <v>0</v>
      </c>
      <c r="F26" s="64"/>
      <c r="G26" s="59"/>
      <c r="H26" s="188"/>
      <c r="I26" s="189"/>
      <c r="J26" s="19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6"/>
      <c r="B27" s="14" t="s">
        <v>130</v>
      </c>
      <c r="C27" s="10"/>
      <c r="D27" s="44">
        <f t="shared" si="1"/>
        <v>0</v>
      </c>
      <c r="F27" s="25"/>
      <c r="G27" s="80"/>
      <c r="H27" s="191"/>
      <c r="I27" s="192"/>
      <c r="J27" s="19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7"/>
      <c r="B28" s="46" t="s">
        <v>92</v>
      </c>
      <c r="C28" s="10"/>
      <c r="D28" s="48">
        <f t="shared" si="1"/>
        <v>0</v>
      </c>
      <c r="F28" s="108"/>
      <c r="G28" s="61"/>
      <c r="H28" s="194"/>
      <c r="I28" s="195"/>
      <c r="J28" s="19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8" t="s">
        <v>36</v>
      </c>
      <c r="B29" s="169"/>
      <c r="C29" s="170"/>
      <c r="D29" s="174">
        <f>SUM(D6:D28)</f>
        <v>0</v>
      </c>
      <c r="F29" s="114" t="s">
        <v>54</v>
      </c>
      <c r="G29" s="176"/>
      <c r="H29" s="136">
        <f>H15-H16-H17-H18-H19-H20-H22-H23-H24+H26+H27</f>
        <v>0</v>
      </c>
      <c r="I29" s="137"/>
      <c r="J29" s="13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1"/>
      <c r="B30" s="172"/>
      <c r="C30" s="173"/>
      <c r="D30" s="175"/>
      <c r="F30" s="117"/>
      <c r="G30" s="177"/>
      <c r="H30" s="139"/>
      <c r="I30" s="140"/>
      <c r="J30" s="141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1" t="s">
        <v>57</v>
      </c>
      <c r="B32" s="162"/>
      <c r="C32" s="162"/>
      <c r="D32" s="163"/>
      <c r="F32" s="164" t="s">
        <v>58</v>
      </c>
      <c r="G32" s="165"/>
      <c r="H32" s="165"/>
      <c r="I32" s="165"/>
      <c r="J32" s="16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9" t="s">
        <v>62</v>
      </c>
      <c r="H33" s="164" t="s">
        <v>13</v>
      </c>
      <c r="I33" s="165"/>
      <c r="J33" s="16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5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58">
        <f>F34*G34</f>
        <v>0</v>
      </c>
      <c r="I34" s="159"/>
      <c r="J34" s="16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6"/>
      <c r="B35" s="27" t="s">
        <v>67</v>
      </c>
      <c r="C35" s="52"/>
      <c r="D35" s="30">
        <f>C35*84</f>
        <v>0</v>
      </c>
      <c r="F35" s="58">
        <v>500</v>
      </c>
      <c r="G35" s="41"/>
      <c r="H35" s="158">
        <f>F35*G35</f>
        <v>0</v>
      </c>
      <c r="I35" s="159"/>
      <c r="J35" s="16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7"/>
      <c r="B36" s="26" t="s">
        <v>69</v>
      </c>
      <c r="C36" s="10"/>
      <c r="D36" s="12">
        <f>C36*1.5</f>
        <v>0</v>
      </c>
      <c r="F36" s="12">
        <v>200</v>
      </c>
      <c r="G36" s="37"/>
      <c r="H36" s="158">
        <f t="shared" ref="H36:H39" si="2">F36*G36</f>
        <v>0</v>
      </c>
      <c r="I36" s="159"/>
      <c r="J36" s="16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8">
        <f t="shared" si="2"/>
        <v>0</v>
      </c>
      <c r="I37" s="159"/>
      <c r="J37" s="16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6"/>
      <c r="B38" s="29" t="s">
        <v>67</v>
      </c>
      <c r="C38" s="54"/>
      <c r="D38" s="12">
        <f>C38*84</f>
        <v>0</v>
      </c>
      <c r="F38" s="30">
        <v>50</v>
      </c>
      <c r="G38" s="39"/>
      <c r="H38" s="158">
        <f t="shared" si="2"/>
        <v>0</v>
      </c>
      <c r="I38" s="159"/>
      <c r="J38" s="16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7"/>
      <c r="B39" s="29" t="s">
        <v>69</v>
      </c>
      <c r="C39" s="52"/>
      <c r="D39" s="31">
        <f>C39*4.5</f>
        <v>0</v>
      </c>
      <c r="F39" s="12">
        <v>20</v>
      </c>
      <c r="G39" s="37"/>
      <c r="H39" s="158">
        <f t="shared" si="2"/>
        <v>0</v>
      </c>
      <c r="I39" s="159"/>
      <c r="J39" s="16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8"/>
      <c r="I40" s="159"/>
      <c r="J40" s="16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6"/>
      <c r="B41" s="27" t="s">
        <v>67</v>
      </c>
      <c r="C41" s="10"/>
      <c r="D41" s="12">
        <f>C41*84</f>
        <v>0</v>
      </c>
      <c r="F41" s="12">
        <v>5</v>
      </c>
      <c r="G41" s="42"/>
      <c r="H41" s="158"/>
      <c r="I41" s="159"/>
      <c r="J41" s="16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7"/>
      <c r="B42" s="27" t="s">
        <v>69</v>
      </c>
      <c r="C42" s="11"/>
      <c r="D42" s="12">
        <f>C42*2.25</f>
        <v>0</v>
      </c>
      <c r="F42" s="39" t="s">
        <v>78</v>
      </c>
      <c r="G42" s="158"/>
      <c r="H42" s="159"/>
      <c r="I42" s="159"/>
      <c r="J42" s="16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8" t="s">
        <v>80</v>
      </c>
      <c r="C43" s="11"/>
      <c r="D43" s="12"/>
      <c r="F43" s="59" t="s">
        <v>81</v>
      </c>
      <c r="G43" s="105" t="s">
        <v>82</v>
      </c>
      <c r="H43" s="150" t="s">
        <v>13</v>
      </c>
      <c r="I43" s="151"/>
      <c r="J43" s="15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9"/>
      <c r="B44" s="27" t="s">
        <v>65</v>
      </c>
      <c r="C44" s="10"/>
      <c r="D44" s="12">
        <f>C44*120</f>
        <v>0</v>
      </c>
      <c r="F44" s="37"/>
      <c r="G44" s="76"/>
      <c r="H44" s="153"/>
      <c r="I44" s="153"/>
      <c r="J44" s="15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9"/>
      <c r="B45" s="27" t="s">
        <v>67</v>
      </c>
      <c r="C45" s="33"/>
      <c r="D45" s="12">
        <f>C45*84</f>
        <v>0</v>
      </c>
      <c r="F45" s="37"/>
      <c r="G45" s="76"/>
      <c r="H45" s="153"/>
      <c r="I45" s="153"/>
      <c r="J45" s="153"/>
      <c r="K45" s="21"/>
      <c r="P45" s="4"/>
      <c r="Q45" s="4"/>
      <c r="R45" s="5"/>
    </row>
    <row r="46" spans="1:18" ht="15.75" x14ac:dyDescent="0.25">
      <c r="A46" s="129"/>
      <c r="B46" s="49" t="s">
        <v>69</v>
      </c>
      <c r="C46" s="81"/>
      <c r="D46" s="12">
        <f>C46*1.5</f>
        <v>0</v>
      </c>
      <c r="F46" s="37"/>
      <c r="G46" s="62"/>
      <c r="H46" s="154"/>
      <c r="I46" s="154"/>
      <c r="J46" s="154"/>
      <c r="K46" s="21"/>
      <c r="P46" s="4"/>
      <c r="Q46" s="4"/>
      <c r="R46" s="5"/>
    </row>
    <row r="47" spans="1:18" ht="15.75" x14ac:dyDescent="0.25">
      <c r="A47" s="130"/>
      <c r="B47" s="27"/>
      <c r="C47" s="11"/>
      <c r="D47" s="12"/>
      <c r="F47" s="59"/>
      <c r="G47" s="59"/>
      <c r="H47" s="131"/>
      <c r="I47" s="132"/>
      <c r="J47" s="133"/>
      <c r="K47" s="21"/>
      <c r="P47" s="4"/>
      <c r="Q47" s="4"/>
      <c r="R47" s="5"/>
    </row>
    <row r="48" spans="1:18" ht="15" customHeight="1" x14ac:dyDescent="0.25">
      <c r="A48" s="128" t="s">
        <v>32</v>
      </c>
      <c r="B48" s="27" t="s">
        <v>65</v>
      </c>
      <c r="C48" s="10"/>
      <c r="D48" s="12">
        <f>C48*78</f>
        <v>0</v>
      </c>
      <c r="F48" s="59"/>
      <c r="G48" s="59"/>
      <c r="H48" s="131"/>
      <c r="I48" s="132"/>
      <c r="J48" s="13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9"/>
      <c r="B49" s="29" t="s">
        <v>67</v>
      </c>
      <c r="C49" s="33"/>
      <c r="D49" s="12">
        <f>C49*42</f>
        <v>0</v>
      </c>
      <c r="F49" s="134" t="s">
        <v>85</v>
      </c>
      <c r="G49" s="136">
        <f>H34+H35+H36+H37+H38+H39+H40+H41+G42+H44+H45+H46</f>
        <v>0</v>
      </c>
      <c r="H49" s="137"/>
      <c r="I49" s="137"/>
      <c r="J49" s="13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9"/>
      <c r="B50" s="32" t="s">
        <v>69</v>
      </c>
      <c r="C50" s="11"/>
      <c r="D50" s="12">
        <f>C50*1.5</f>
        <v>0</v>
      </c>
      <c r="F50" s="135"/>
      <c r="G50" s="139"/>
      <c r="H50" s="140"/>
      <c r="I50" s="140"/>
      <c r="J50" s="141"/>
      <c r="O50" t="s">
        <v>114</v>
      </c>
      <c r="P50" s="4">
        <v>1204</v>
      </c>
      <c r="Q50" s="4"/>
      <c r="R50" s="5"/>
    </row>
    <row r="51" spans="1:18" ht="15" customHeight="1" x14ac:dyDescent="0.25">
      <c r="A51" s="129"/>
      <c r="B51" s="27"/>
      <c r="C51" s="10"/>
      <c r="D51" s="31"/>
      <c r="F51" s="142" t="s">
        <v>115</v>
      </c>
      <c r="G51" s="144">
        <f>G49-H29</f>
        <v>0</v>
      </c>
      <c r="H51" s="145"/>
      <c r="I51" s="145"/>
      <c r="J51" s="14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9"/>
      <c r="B52" s="29"/>
      <c r="C52" s="33"/>
      <c r="D52" s="45"/>
      <c r="F52" s="143"/>
      <c r="G52" s="147"/>
      <c r="H52" s="148"/>
      <c r="I52" s="148"/>
      <c r="J52" s="14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4" t="s">
        <v>89</v>
      </c>
      <c r="B54" s="115"/>
      <c r="C54" s="116"/>
      <c r="D54" s="120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7"/>
      <c r="B55" s="118"/>
      <c r="C55" s="119"/>
      <c r="D55" s="1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2" t="s">
        <v>90</v>
      </c>
      <c r="B58" s="123"/>
      <c r="C58" s="123"/>
      <c r="D58" s="124"/>
      <c r="F58" s="122" t="s">
        <v>91</v>
      </c>
      <c r="G58" s="123"/>
      <c r="H58" s="123"/>
      <c r="I58" s="123"/>
      <c r="J58" s="124"/>
    </row>
    <row r="59" spans="1:18" x14ac:dyDescent="0.25">
      <c r="A59" s="125"/>
      <c r="B59" s="126"/>
      <c r="C59" s="126"/>
      <c r="D59" s="127"/>
      <c r="F59" s="125"/>
      <c r="G59" s="126"/>
      <c r="H59" s="126"/>
      <c r="I59" s="126"/>
      <c r="J59" s="12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F97033-8960-4E47-A585-BECBD678508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0" t="s">
        <v>1</v>
      </c>
      <c r="O1" s="210"/>
      <c r="P1" s="107" t="s">
        <v>2</v>
      </c>
      <c r="Q1" s="10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1" t="s">
        <v>7</v>
      </c>
      <c r="B4" s="162"/>
      <c r="C4" s="162"/>
      <c r="D4" s="163"/>
      <c r="F4" s="211" t="s">
        <v>8</v>
      </c>
      <c r="G4" s="213"/>
      <c r="H4" s="215" t="s">
        <v>9</v>
      </c>
      <c r="I4" s="217"/>
      <c r="J4" s="21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5" t="s">
        <v>7</v>
      </c>
      <c r="B5" s="15" t="s">
        <v>11</v>
      </c>
      <c r="C5" s="9" t="s">
        <v>12</v>
      </c>
      <c r="D5" s="25" t="s">
        <v>13</v>
      </c>
      <c r="F5" s="212"/>
      <c r="G5" s="214"/>
      <c r="H5" s="216"/>
      <c r="I5" s="219"/>
      <c r="J5" s="22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6"/>
      <c r="B6" s="16"/>
      <c r="C6" s="10"/>
      <c r="D6" s="13">
        <f t="shared" ref="D6:D28" si="1">C6*L6</f>
        <v>0</v>
      </c>
      <c r="F6" s="221" t="s">
        <v>16</v>
      </c>
      <c r="G6" s="223"/>
      <c r="H6" s="224"/>
      <c r="I6" s="224"/>
      <c r="J6" s="22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6"/>
      <c r="B7" s="16"/>
      <c r="C7" s="10"/>
      <c r="D7" s="13">
        <f t="shared" si="1"/>
        <v>0</v>
      </c>
      <c r="F7" s="222"/>
      <c r="G7" s="226"/>
      <c r="H7" s="227"/>
      <c r="I7" s="227"/>
      <c r="J7" s="22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6"/>
      <c r="B8" s="16"/>
      <c r="C8" s="10"/>
      <c r="D8" s="13">
        <f t="shared" si="1"/>
        <v>0</v>
      </c>
      <c r="F8" s="229" t="s">
        <v>21</v>
      </c>
      <c r="G8" s="230"/>
      <c r="H8" s="231"/>
      <c r="I8" s="231"/>
      <c r="J8" s="23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6"/>
      <c r="B9" s="16"/>
      <c r="C9" s="10"/>
      <c r="D9" s="13">
        <f t="shared" si="1"/>
        <v>0</v>
      </c>
      <c r="F9" s="222"/>
      <c r="G9" s="233"/>
      <c r="H9" s="234"/>
      <c r="I9" s="234"/>
      <c r="J9" s="23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6"/>
      <c r="C10" s="10"/>
      <c r="D10" s="13">
        <f t="shared" si="1"/>
        <v>0</v>
      </c>
      <c r="F10" s="221" t="s">
        <v>26</v>
      </c>
      <c r="G10" s="236"/>
      <c r="H10" s="237"/>
      <c r="I10" s="237"/>
      <c r="J10" s="238"/>
      <c r="K10" s="8"/>
      <c r="L10" s="6">
        <f>R36</f>
        <v>972</v>
      </c>
      <c r="P10" s="4"/>
      <c r="Q10" s="4"/>
      <c r="R10" s="5"/>
    </row>
    <row r="11" spans="1:19" ht="15.75" x14ac:dyDescent="0.25">
      <c r="A11" s="156"/>
      <c r="B11" s="17"/>
      <c r="C11" s="10"/>
      <c r="D11" s="13">
        <f t="shared" si="1"/>
        <v>0</v>
      </c>
      <c r="F11" s="222"/>
      <c r="G11" s="233"/>
      <c r="H11" s="234"/>
      <c r="I11" s="234"/>
      <c r="J11" s="23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6"/>
      <c r="B12" s="17"/>
      <c r="C12" s="10"/>
      <c r="D12" s="48">
        <f t="shared" si="1"/>
        <v>0</v>
      </c>
      <c r="F12" s="239" t="s">
        <v>33</v>
      </c>
      <c r="G12" s="240"/>
      <c r="H12" s="240"/>
      <c r="I12" s="240"/>
      <c r="J12" s="24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6"/>
      <c r="B13" s="17"/>
      <c r="C13" s="10"/>
      <c r="D13" s="48">
        <f t="shared" si="1"/>
        <v>0</v>
      </c>
      <c r="F13" s="242" t="s">
        <v>36</v>
      </c>
      <c r="G13" s="206"/>
      <c r="H13" s="197">
        <f>D29</f>
        <v>0</v>
      </c>
      <c r="I13" s="198"/>
      <c r="J13" s="19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6"/>
      <c r="B14" s="14"/>
      <c r="C14" s="10"/>
      <c r="D14" s="31">
        <f t="shared" si="1"/>
        <v>0</v>
      </c>
      <c r="F14" s="200" t="s">
        <v>38</v>
      </c>
      <c r="G14" s="201"/>
      <c r="H14" s="202">
        <f>D54</f>
        <v>0</v>
      </c>
      <c r="I14" s="203"/>
      <c r="J14" s="20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6"/>
      <c r="B15" s="14"/>
      <c r="C15" s="10"/>
      <c r="D15" s="31">
        <f t="shared" si="1"/>
        <v>0</v>
      </c>
      <c r="F15" s="205" t="s">
        <v>39</v>
      </c>
      <c r="G15" s="206"/>
      <c r="H15" s="207">
        <f>H13-H14</f>
        <v>0</v>
      </c>
      <c r="I15" s="208"/>
      <c r="J15" s="20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6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7"/>
      <c r="I16" s="167"/>
      <c r="J16" s="16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6"/>
      <c r="C17" s="10"/>
      <c r="D17" s="48">
        <f t="shared" si="1"/>
        <v>0</v>
      </c>
      <c r="F17" s="56"/>
      <c r="G17" s="66" t="s">
        <v>44</v>
      </c>
      <c r="H17" s="178"/>
      <c r="I17" s="178"/>
      <c r="J17" s="17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6"/>
      <c r="B18" s="19"/>
      <c r="C18" s="10"/>
      <c r="D18" s="48">
        <f t="shared" si="1"/>
        <v>0</v>
      </c>
      <c r="F18" s="56"/>
      <c r="G18" s="66" t="s">
        <v>46</v>
      </c>
      <c r="H18" s="178"/>
      <c r="I18" s="178"/>
      <c r="J18" s="17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6"/>
      <c r="B19" s="14"/>
      <c r="C19" s="10"/>
      <c r="D19" s="48">
        <f t="shared" si="1"/>
        <v>0</v>
      </c>
      <c r="F19" s="56"/>
      <c r="G19" s="68" t="s">
        <v>49</v>
      </c>
      <c r="H19" s="179"/>
      <c r="I19" s="179"/>
      <c r="J19" s="17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6"/>
      <c r="B20" s="46"/>
      <c r="C20" s="10"/>
      <c r="D20" s="13">
        <f t="shared" si="1"/>
        <v>0</v>
      </c>
      <c r="F20" s="57"/>
      <c r="G20" s="70" t="s">
        <v>102</v>
      </c>
      <c r="H20" s="167"/>
      <c r="I20" s="167"/>
      <c r="J20" s="167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6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80" t="s">
        <v>13</v>
      </c>
      <c r="I21" s="181"/>
      <c r="J21" s="182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6"/>
      <c r="B22" s="46"/>
      <c r="C22" s="10"/>
      <c r="D22" s="48">
        <f t="shared" si="1"/>
        <v>0</v>
      </c>
      <c r="F22" s="77"/>
      <c r="G22" s="73"/>
      <c r="H22" s="183"/>
      <c r="I22" s="183"/>
      <c r="J22" s="183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6"/>
      <c r="B23" s="14"/>
      <c r="C23" s="10"/>
      <c r="D23" s="48">
        <f t="shared" si="1"/>
        <v>0</v>
      </c>
      <c r="F23" s="78"/>
      <c r="G23" s="79"/>
      <c r="H23" s="184"/>
      <c r="I23" s="153"/>
      <c r="J23" s="153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6"/>
      <c r="B24" s="14"/>
      <c r="C24" s="10"/>
      <c r="D24" s="48">
        <f t="shared" si="1"/>
        <v>0</v>
      </c>
      <c r="F24" s="38"/>
      <c r="G24" s="37"/>
      <c r="H24" s="184"/>
      <c r="I24" s="153"/>
      <c r="J24" s="153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6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5" t="s">
        <v>13</v>
      </c>
      <c r="I25" s="186"/>
      <c r="J25" s="187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6"/>
      <c r="B26" s="14"/>
      <c r="C26" s="10"/>
      <c r="D26" s="48">
        <f t="shared" si="1"/>
        <v>0</v>
      </c>
      <c r="F26" s="64"/>
      <c r="G26" s="59"/>
      <c r="H26" s="188"/>
      <c r="I26" s="189"/>
      <c r="J26" s="190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6"/>
      <c r="B27" s="14"/>
      <c r="C27" s="10"/>
      <c r="D27" s="44">
        <f t="shared" si="1"/>
        <v>0</v>
      </c>
      <c r="F27" s="25"/>
      <c r="G27" s="80"/>
      <c r="H27" s="191"/>
      <c r="I27" s="192"/>
      <c r="J27" s="193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7"/>
      <c r="B28" s="46"/>
      <c r="C28" s="10"/>
      <c r="D28" s="48">
        <f t="shared" si="1"/>
        <v>0</v>
      </c>
      <c r="F28" s="108"/>
      <c r="G28" s="61"/>
      <c r="H28" s="194"/>
      <c r="I28" s="195"/>
      <c r="J28" s="196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8" t="s">
        <v>36</v>
      </c>
      <c r="B29" s="169"/>
      <c r="C29" s="170"/>
      <c r="D29" s="174">
        <f>SUM(D6:D28)</f>
        <v>0</v>
      </c>
      <c r="F29" s="114" t="s">
        <v>54</v>
      </c>
      <c r="G29" s="176"/>
      <c r="H29" s="136">
        <f>H15-H16-H17-H18-H19-H20-H22-H23-H24+H26+H27</f>
        <v>0</v>
      </c>
      <c r="I29" s="137"/>
      <c r="J29" s="13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1"/>
      <c r="B30" s="172"/>
      <c r="C30" s="173"/>
      <c r="D30" s="175"/>
      <c r="F30" s="117"/>
      <c r="G30" s="177"/>
      <c r="H30" s="139"/>
      <c r="I30" s="140"/>
      <c r="J30" s="14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1" t="s">
        <v>57</v>
      </c>
      <c r="B32" s="162"/>
      <c r="C32" s="162"/>
      <c r="D32" s="163"/>
      <c r="F32" s="164" t="s">
        <v>58</v>
      </c>
      <c r="G32" s="165"/>
      <c r="H32" s="165"/>
      <c r="I32" s="165"/>
      <c r="J32" s="166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9" t="s">
        <v>62</v>
      </c>
      <c r="H33" s="164" t="s">
        <v>13</v>
      </c>
      <c r="I33" s="165"/>
      <c r="J33" s="16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5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58"/>
      <c r="I34" s="159"/>
      <c r="J34" s="160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6"/>
      <c r="B35" s="27" t="s">
        <v>67</v>
      </c>
      <c r="C35" s="52"/>
      <c r="D35" s="30">
        <f>C35*84</f>
        <v>0</v>
      </c>
      <c r="F35" s="58">
        <v>500</v>
      </c>
      <c r="G35" s="41"/>
      <c r="H35" s="158"/>
      <c r="I35" s="159"/>
      <c r="J35" s="16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7"/>
      <c r="B36" s="26" t="s">
        <v>69</v>
      </c>
      <c r="C36" s="10"/>
      <c r="D36" s="12">
        <f>C36*1.5</f>
        <v>0</v>
      </c>
      <c r="F36" s="12">
        <v>200</v>
      </c>
      <c r="G36" s="37"/>
      <c r="H36" s="158"/>
      <c r="I36" s="159"/>
      <c r="J36" s="160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8"/>
      <c r="I37" s="159"/>
      <c r="J37" s="160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6"/>
      <c r="B38" s="29" t="s">
        <v>67</v>
      </c>
      <c r="C38" s="54"/>
      <c r="D38" s="12">
        <f>C38*84</f>
        <v>0</v>
      </c>
      <c r="F38" s="30">
        <v>50</v>
      </c>
      <c r="G38" s="39"/>
      <c r="H38" s="158"/>
      <c r="I38" s="159"/>
      <c r="J38" s="160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7"/>
      <c r="B39" s="29" t="s">
        <v>69</v>
      </c>
      <c r="C39" s="52"/>
      <c r="D39" s="31">
        <f>C39*4.5</f>
        <v>0</v>
      </c>
      <c r="F39" s="12">
        <v>20</v>
      </c>
      <c r="G39" s="37"/>
      <c r="H39" s="158"/>
      <c r="I39" s="159"/>
      <c r="J39" s="16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8"/>
      <c r="I40" s="159"/>
      <c r="J40" s="160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6"/>
      <c r="B41" s="27" t="s">
        <v>67</v>
      </c>
      <c r="C41" s="10"/>
      <c r="D41" s="12">
        <f>C41*84</f>
        <v>0</v>
      </c>
      <c r="F41" s="12">
        <v>5</v>
      </c>
      <c r="G41" s="42"/>
      <c r="H41" s="158"/>
      <c r="I41" s="159"/>
      <c r="J41" s="160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7"/>
      <c r="B42" s="27" t="s">
        <v>69</v>
      </c>
      <c r="C42" s="11"/>
      <c r="D42" s="12">
        <f>C42*2.25</f>
        <v>0</v>
      </c>
      <c r="F42" s="39" t="s">
        <v>78</v>
      </c>
      <c r="G42" s="158"/>
      <c r="H42" s="159"/>
      <c r="I42" s="159"/>
      <c r="J42" s="160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8" t="s">
        <v>80</v>
      </c>
      <c r="C43" s="11"/>
      <c r="D43" s="12"/>
      <c r="F43" s="59" t="s">
        <v>81</v>
      </c>
      <c r="G43" s="105" t="s">
        <v>82</v>
      </c>
      <c r="H43" s="150" t="s">
        <v>13</v>
      </c>
      <c r="I43" s="151"/>
      <c r="J43" s="152"/>
      <c r="K43" s="21"/>
      <c r="P43" s="4"/>
      <c r="Q43" s="4"/>
      <c r="R43" s="5"/>
    </row>
    <row r="44" spans="1:18" ht="15.75" x14ac:dyDescent="0.25">
      <c r="A44" s="129"/>
      <c r="B44" s="27" t="s">
        <v>65</v>
      </c>
      <c r="C44" s="10"/>
      <c r="D44" s="12">
        <f>C44*120</f>
        <v>0</v>
      </c>
      <c r="F44" s="37"/>
      <c r="G44" s="76"/>
      <c r="H44" s="153"/>
      <c r="I44" s="153"/>
      <c r="J44" s="153"/>
      <c r="K44" s="21"/>
      <c r="P44" s="4"/>
      <c r="Q44" s="4"/>
      <c r="R44" s="5"/>
    </row>
    <row r="45" spans="1:18" ht="15.75" x14ac:dyDescent="0.25">
      <c r="A45" s="129"/>
      <c r="B45" s="27" t="s">
        <v>67</v>
      </c>
      <c r="C45" s="33"/>
      <c r="D45" s="12">
        <f>C45*84</f>
        <v>0</v>
      </c>
      <c r="F45" s="37"/>
      <c r="G45" s="76"/>
      <c r="H45" s="153"/>
      <c r="I45" s="153"/>
      <c r="J45" s="153"/>
      <c r="K45" s="21"/>
      <c r="P45" s="4"/>
      <c r="Q45" s="4"/>
      <c r="R45" s="5"/>
    </row>
    <row r="46" spans="1:18" ht="15.75" x14ac:dyDescent="0.25">
      <c r="A46" s="129"/>
      <c r="B46" s="49" t="s">
        <v>69</v>
      </c>
      <c r="C46" s="81"/>
      <c r="D46" s="12">
        <f>C46*1.5</f>
        <v>0</v>
      </c>
      <c r="F46" s="37"/>
      <c r="G46" s="62"/>
      <c r="H46" s="154"/>
      <c r="I46" s="154"/>
      <c r="J46" s="154"/>
      <c r="K46" s="21"/>
      <c r="P46" s="4"/>
      <c r="Q46" s="4"/>
      <c r="R46" s="5"/>
    </row>
    <row r="47" spans="1:18" ht="15.75" x14ac:dyDescent="0.25">
      <c r="A47" s="130"/>
      <c r="B47" s="27"/>
      <c r="C47" s="11"/>
      <c r="D47" s="12"/>
      <c r="F47" s="59"/>
      <c r="G47" s="59"/>
      <c r="H47" s="131"/>
      <c r="I47" s="132"/>
      <c r="J47" s="133"/>
      <c r="K47" s="21"/>
      <c r="P47" s="4"/>
      <c r="Q47" s="4"/>
      <c r="R47" s="5"/>
    </row>
    <row r="48" spans="1:18" ht="15" customHeight="1" x14ac:dyDescent="0.25">
      <c r="A48" s="128" t="s">
        <v>32</v>
      </c>
      <c r="B48" s="27" t="s">
        <v>65</v>
      </c>
      <c r="C48" s="10"/>
      <c r="D48" s="12">
        <f>C48*78</f>
        <v>0</v>
      </c>
      <c r="F48" s="59"/>
      <c r="G48" s="59"/>
      <c r="H48" s="131"/>
      <c r="I48" s="132"/>
      <c r="J48" s="13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9"/>
      <c r="B49" s="29" t="s">
        <v>67</v>
      </c>
      <c r="C49" s="33"/>
      <c r="D49" s="12">
        <f>C49*42</f>
        <v>0</v>
      </c>
      <c r="F49" s="134" t="s">
        <v>85</v>
      </c>
      <c r="G49" s="136">
        <f>H34+H35+H36+H37+H38+H39+H40+H41+G42+H44+H45+H46</f>
        <v>0</v>
      </c>
      <c r="H49" s="137"/>
      <c r="I49" s="137"/>
      <c r="J49" s="13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9"/>
      <c r="B50" s="32" t="s">
        <v>69</v>
      </c>
      <c r="C50" s="11"/>
      <c r="D50" s="12">
        <f>C50*1.5</f>
        <v>0</v>
      </c>
      <c r="F50" s="135"/>
      <c r="G50" s="139"/>
      <c r="H50" s="140"/>
      <c r="I50" s="140"/>
      <c r="J50" s="141"/>
      <c r="P50" s="4"/>
      <c r="Q50" s="4"/>
      <c r="R50" s="5"/>
    </row>
    <row r="51" spans="1:18" ht="15" customHeight="1" x14ac:dyDescent="0.25">
      <c r="A51" s="129"/>
      <c r="B51" s="27"/>
      <c r="C51" s="10"/>
      <c r="D51" s="31"/>
      <c r="F51" s="142" t="s">
        <v>106</v>
      </c>
      <c r="G51" s="144">
        <f>G49-H29</f>
        <v>0</v>
      </c>
      <c r="H51" s="145"/>
      <c r="I51" s="145"/>
      <c r="J51" s="146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9"/>
      <c r="B52" s="29"/>
      <c r="C52" s="33"/>
      <c r="D52" s="45"/>
      <c r="F52" s="143"/>
      <c r="G52" s="147"/>
      <c r="H52" s="148"/>
      <c r="I52" s="148"/>
      <c r="J52" s="14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4" t="s">
        <v>89</v>
      </c>
      <c r="B54" s="115"/>
      <c r="C54" s="116"/>
      <c r="D54" s="120">
        <f>SUM(D34:D53)</f>
        <v>0</v>
      </c>
      <c r="F54" s="21"/>
      <c r="J54" s="34"/>
    </row>
    <row r="55" spans="1:18" x14ac:dyDescent="0.25">
      <c r="A55" s="117"/>
      <c r="B55" s="118"/>
      <c r="C55" s="119"/>
      <c r="D55" s="1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2" t="s">
        <v>90</v>
      </c>
      <c r="B58" s="123"/>
      <c r="C58" s="123"/>
      <c r="D58" s="124"/>
      <c r="F58" s="122" t="s">
        <v>91</v>
      </c>
      <c r="G58" s="123"/>
      <c r="H58" s="123"/>
      <c r="I58" s="123"/>
      <c r="J58" s="124"/>
    </row>
    <row r="59" spans="1:18" x14ac:dyDescent="0.25">
      <c r="A59" s="125"/>
      <c r="B59" s="126"/>
      <c r="C59" s="126"/>
      <c r="D59" s="127"/>
      <c r="F59" s="125"/>
      <c r="G59" s="126"/>
      <c r="H59" s="126"/>
      <c r="I59" s="126"/>
      <c r="J59" s="12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E675C6-DB61-4E50-AB57-FFC9FFA13BA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0" t="s">
        <v>1</v>
      </c>
      <c r="O1" s="210"/>
      <c r="P1" s="107" t="s">
        <v>2</v>
      </c>
      <c r="Q1" s="10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1" t="s">
        <v>7</v>
      </c>
      <c r="B4" s="162"/>
      <c r="C4" s="162"/>
      <c r="D4" s="163"/>
      <c r="F4" s="211" t="s">
        <v>8</v>
      </c>
      <c r="G4" s="213">
        <v>1</v>
      </c>
      <c r="H4" s="215" t="s">
        <v>9</v>
      </c>
      <c r="I4" s="217">
        <v>46157</v>
      </c>
      <c r="J4" s="21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5" t="s">
        <v>7</v>
      </c>
      <c r="B5" s="15" t="s">
        <v>11</v>
      </c>
      <c r="C5" s="9" t="s">
        <v>12</v>
      </c>
      <c r="D5" s="25" t="s">
        <v>13</v>
      </c>
      <c r="F5" s="212"/>
      <c r="G5" s="214"/>
      <c r="H5" s="216"/>
      <c r="I5" s="219"/>
      <c r="J5" s="22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6"/>
      <c r="B6" s="16" t="s">
        <v>15</v>
      </c>
      <c r="C6" s="10"/>
      <c r="D6" s="13">
        <f t="shared" ref="D6:D28" si="1">C6*L6</f>
        <v>0</v>
      </c>
      <c r="F6" s="221" t="s">
        <v>16</v>
      </c>
      <c r="G6" s="223" t="s">
        <v>99</v>
      </c>
      <c r="H6" s="224"/>
      <c r="I6" s="224"/>
      <c r="J6" s="22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6"/>
      <c r="B7" s="16" t="s">
        <v>18</v>
      </c>
      <c r="C7" s="10"/>
      <c r="D7" s="13">
        <f t="shared" si="1"/>
        <v>0</v>
      </c>
      <c r="F7" s="222"/>
      <c r="G7" s="226"/>
      <c r="H7" s="227"/>
      <c r="I7" s="227"/>
      <c r="J7" s="22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6"/>
      <c r="B8" s="16" t="s">
        <v>20</v>
      </c>
      <c r="C8" s="10"/>
      <c r="D8" s="13">
        <f t="shared" si="1"/>
        <v>0</v>
      </c>
      <c r="F8" s="229" t="s">
        <v>21</v>
      </c>
      <c r="G8" s="230" t="s">
        <v>120</v>
      </c>
      <c r="H8" s="231"/>
      <c r="I8" s="231"/>
      <c r="J8" s="23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6"/>
      <c r="B9" s="16" t="s">
        <v>23</v>
      </c>
      <c r="C9" s="10"/>
      <c r="D9" s="13">
        <f t="shared" si="1"/>
        <v>0</v>
      </c>
      <c r="F9" s="222"/>
      <c r="G9" s="233"/>
      <c r="H9" s="234"/>
      <c r="I9" s="234"/>
      <c r="J9" s="23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6"/>
      <c r="B10" t="s">
        <v>25</v>
      </c>
      <c r="C10" s="10"/>
      <c r="D10" s="13">
        <f t="shared" si="1"/>
        <v>0</v>
      </c>
      <c r="F10" s="221" t="s">
        <v>26</v>
      </c>
      <c r="G10" s="236" t="s">
        <v>108</v>
      </c>
      <c r="H10" s="237"/>
      <c r="I10" s="237"/>
      <c r="J10" s="238"/>
      <c r="K10" s="8"/>
      <c r="L10" s="6">
        <f>R36</f>
        <v>1032</v>
      </c>
      <c r="P10" s="4"/>
      <c r="Q10" s="4"/>
      <c r="R10" s="5"/>
    </row>
    <row r="11" spans="1:18" ht="15.75" x14ac:dyDescent="0.25">
      <c r="A11" s="156"/>
      <c r="B11" s="17" t="s">
        <v>28</v>
      </c>
      <c r="C11" s="10"/>
      <c r="D11" s="13">
        <f t="shared" si="1"/>
        <v>0</v>
      </c>
      <c r="F11" s="222"/>
      <c r="G11" s="233"/>
      <c r="H11" s="234"/>
      <c r="I11" s="234"/>
      <c r="J11" s="23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6"/>
      <c r="B12" s="17" t="s">
        <v>30</v>
      </c>
      <c r="C12" s="10"/>
      <c r="D12" s="48">
        <f t="shared" si="1"/>
        <v>0</v>
      </c>
      <c r="F12" s="239" t="s">
        <v>33</v>
      </c>
      <c r="G12" s="240"/>
      <c r="H12" s="240"/>
      <c r="I12" s="240"/>
      <c r="J12" s="24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6"/>
      <c r="B13" s="17" t="s">
        <v>32</v>
      </c>
      <c r="C13" s="10"/>
      <c r="D13" s="48">
        <f t="shared" si="1"/>
        <v>0</v>
      </c>
      <c r="F13" s="242" t="s">
        <v>36</v>
      </c>
      <c r="G13" s="206"/>
      <c r="H13" s="197">
        <f>D29</f>
        <v>0</v>
      </c>
      <c r="I13" s="198"/>
      <c r="J13" s="19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6"/>
      <c r="B14" s="14" t="s">
        <v>35</v>
      </c>
      <c r="C14" s="10"/>
      <c r="D14" s="31">
        <f t="shared" si="1"/>
        <v>0</v>
      </c>
      <c r="F14" s="200" t="s">
        <v>38</v>
      </c>
      <c r="G14" s="201"/>
      <c r="H14" s="202">
        <f>D54</f>
        <v>0</v>
      </c>
      <c r="I14" s="203"/>
      <c r="J14" s="20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6"/>
      <c r="B15" s="14" t="s">
        <v>122</v>
      </c>
      <c r="C15" s="10"/>
      <c r="D15" s="31">
        <f t="shared" si="1"/>
        <v>0</v>
      </c>
      <c r="F15" s="205" t="s">
        <v>39</v>
      </c>
      <c r="G15" s="206"/>
      <c r="H15" s="207">
        <f>H13-H14</f>
        <v>0</v>
      </c>
      <c r="I15" s="208"/>
      <c r="J15" s="20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6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67"/>
      <c r="I16" s="167"/>
      <c r="J16" s="16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6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78"/>
      <c r="I17" s="178"/>
      <c r="J17" s="17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6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78"/>
      <c r="I18" s="178"/>
      <c r="J18" s="17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6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67"/>
      <c r="I19" s="167"/>
      <c r="J19" s="16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6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67"/>
      <c r="I20" s="167"/>
      <c r="J20" s="16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6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0" t="s">
        <v>13</v>
      </c>
      <c r="I21" s="181"/>
      <c r="J21" s="18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6"/>
      <c r="B22" s="46" t="s">
        <v>103</v>
      </c>
      <c r="C22" s="10"/>
      <c r="D22" s="48">
        <f t="shared" si="1"/>
        <v>0</v>
      </c>
      <c r="F22" s="77"/>
      <c r="G22" s="73"/>
      <c r="H22" s="183"/>
      <c r="I22" s="183"/>
      <c r="J22" s="18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6"/>
      <c r="B23" s="14" t="s">
        <v>121</v>
      </c>
      <c r="C23" s="10"/>
      <c r="D23" s="48">
        <f t="shared" si="1"/>
        <v>0</v>
      </c>
      <c r="F23" s="77"/>
      <c r="G23" s="79"/>
      <c r="H23" s="251"/>
      <c r="I23" s="252"/>
      <c r="J23" s="25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6"/>
      <c r="B24" s="14" t="s">
        <v>128</v>
      </c>
      <c r="C24" s="10"/>
      <c r="D24" s="48">
        <f t="shared" si="1"/>
        <v>0</v>
      </c>
      <c r="F24" s="77"/>
      <c r="G24" s="79"/>
      <c r="H24" s="251"/>
      <c r="I24" s="252"/>
      <c r="J24" s="25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5" t="s">
        <v>13</v>
      </c>
      <c r="I25" s="186"/>
      <c r="J25" s="18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6"/>
      <c r="B26" s="14" t="s">
        <v>129</v>
      </c>
      <c r="C26" s="10"/>
      <c r="D26" s="48">
        <f t="shared" si="1"/>
        <v>0</v>
      </c>
      <c r="F26" s="75"/>
      <c r="G26" s="65"/>
      <c r="H26" s="153"/>
      <c r="I26" s="153"/>
      <c r="J26" s="15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6"/>
      <c r="B27" s="14" t="s">
        <v>130</v>
      </c>
      <c r="C27" s="10"/>
      <c r="D27" s="44">
        <f t="shared" si="1"/>
        <v>0</v>
      </c>
      <c r="F27" s="71"/>
      <c r="G27" s="105"/>
      <c r="H27" s="253"/>
      <c r="I27" s="254"/>
      <c r="J27" s="25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7"/>
      <c r="B28" s="46" t="s">
        <v>92</v>
      </c>
      <c r="C28" s="10"/>
      <c r="D28" s="48">
        <f t="shared" si="1"/>
        <v>0</v>
      </c>
      <c r="F28" s="108"/>
      <c r="G28" s="61"/>
      <c r="H28" s="194"/>
      <c r="I28" s="195"/>
      <c r="J28" s="19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8" t="s">
        <v>36</v>
      </c>
      <c r="B29" s="169"/>
      <c r="C29" s="170"/>
      <c r="D29" s="174">
        <f>SUM(D6:D28)</f>
        <v>0</v>
      </c>
      <c r="F29" s="114" t="s">
        <v>54</v>
      </c>
      <c r="G29" s="176"/>
      <c r="H29" s="136">
        <f>H15-H16-H17-H18-H19-H20-H22-H23-H24+H26+H27+H28</f>
        <v>0</v>
      </c>
      <c r="I29" s="137"/>
      <c r="J29" s="13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1"/>
      <c r="B30" s="172"/>
      <c r="C30" s="173"/>
      <c r="D30" s="175"/>
      <c r="F30" s="117"/>
      <c r="G30" s="177"/>
      <c r="H30" s="139"/>
      <c r="I30" s="140"/>
      <c r="J30" s="141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1" t="s">
        <v>57</v>
      </c>
      <c r="B32" s="162"/>
      <c r="C32" s="162"/>
      <c r="D32" s="163"/>
      <c r="F32" s="164" t="s">
        <v>58</v>
      </c>
      <c r="G32" s="165"/>
      <c r="H32" s="165"/>
      <c r="I32" s="165"/>
      <c r="J32" s="16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9" t="s">
        <v>62</v>
      </c>
      <c r="H33" s="164" t="s">
        <v>13</v>
      </c>
      <c r="I33" s="165"/>
      <c r="J33" s="16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5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58">
        <f t="shared" ref="H34:H39" si="2">F34*G34</f>
        <v>0</v>
      </c>
      <c r="I34" s="159"/>
      <c r="J34" s="16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6"/>
      <c r="B35" s="27" t="s">
        <v>67</v>
      </c>
      <c r="C35" s="52"/>
      <c r="D35" s="30">
        <f>C35*84</f>
        <v>0</v>
      </c>
      <c r="F35" s="58">
        <v>500</v>
      </c>
      <c r="G35" s="41"/>
      <c r="H35" s="158">
        <f t="shared" si="2"/>
        <v>0</v>
      </c>
      <c r="I35" s="159"/>
      <c r="J35" s="16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7"/>
      <c r="B36" s="26" t="s">
        <v>69</v>
      </c>
      <c r="C36" s="10"/>
      <c r="D36" s="12">
        <f>C36*1.5</f>
        <v>0</v>
      </c>
      <c r="F36" s="12">
        <v>200</v>
      </c>
      <c r="G36" s="37"/>
      <c r="H36" s="158">
        <f t="shared" si="2"/>
        <v>0</v>
      </c>
      <c r="I36" s="159"/>
      <c r="J36" s="16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8">
        <f t="shared" si="2"/>
        <v>0</v>
      </c>
      <c r="I37" s="159"/>
      <c r="J37" s="16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6"/>
      <c r="B38" s="29" t="s">
        <v>67</v>
      </c>
      <c r="C38" s="54"/>
      <c r="D38" s="12">
        <f>C38*84</f>
        <v>0</v>
      </c>
      <c r="F38" s="30">
        <v>50</v>
      </c>
      <c r="G38" s="39"/>
      <c r="H38" s="158">
        <f t="shared" si="2"/>
        <v>0</v>
      </c>
      <c r="I38" s="159"/>
      <c r="J38" s="16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7"/>
      <c r="B39" s="29" t="s">
        <v>69</v>
      </c>
      <c r="C39" s="52"/>
      <c r="D39" s="31">
        <f>C39*4.5</f>
        <v>0</v>
      </c>
      <c r="F39" s="12">
        <v>20</v>
      </c>
      <c r="G39" s="37"/>
      <c r="H39" s="158">
        <f t="shared" si="2"/>
        <v>0</v>
      </c>
      <c r="I39" s="159"/>
      <c r="J39" s="16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8"/>
      <c r="I40" s="159"/>
      <c r="J40" s="16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6"/>
      <c r="B41" s="27" t="s">
        <v>67</v>
      </c>
      <c r="C41" s="10"/>
      <c r="D41" s="12">
        <f>C41*84</f>
        <v>0</v>
      </c>
      <c r="F41" s="12">
        <v>5</v>
      </c>
      <c r="G41" s="42"/>
      <c r="H41" s="158"/>
      <c r="I41" s="159"/>
      <c r="J41" s="16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7"/>
      <c r="B42" s="27" t="s">
        <v>69</v>
      </c>
      <c r="C42" s="11"/>
      <c r="D42" s="12">
        <f>C42*2.25</f>
        <v>0</v>
      </c>
      <c r="F42" s="39" t="s">
        <v>78</v>
      </c>
      <c r="G42" s="158"/>
      <c r="H42" s="159"/>
      <c r="I42" s="159"/>
      <c r="J42" s="16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8" t="s">
        <v>80</v>
      </c>
      <c r="C43" s="11"/>
      <c r="D43" s="12"/>
      <c r="F43" s="59" t="s">
        <v>81</v>
      </c>
      <c r="G43" s="105" t="s">
        <v>82</v>
      </c>
      <c r="H43" s="150" t="s">
        <v>13</v>
      </c>
      <c r="I43" s="151"/>
      <c r="J43" s="15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9"/>
      <c r="B44" s="27" t="s">
        <v>65</v>
      </c>
      <c r="C44" s="10"/>
      <c r="D44" s="12">
        <f>C44*120</f>
        <v>0</v>
      </c>
      <c r="F44" s="37"/>
      <c r="G44" s="62"/>
      <c r="H44" s="153"/>
      <c r="I44" s="153"/>
      <c r="J44" s="15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9"/>
      <c r="B45" s="27" t="s">
        <v>67</v>
      </c>
      <c r="C45" s="33"/>
      <c r="D45" s="12">
        <f>C45*84</f>
        <v>0</v>
      </c>
      <c r="F45" s="37"/>
      <c r="G45" s="62"/>
      <c r="H45" s="153"/>
      <c r="I45" s="153"/>
      <c r="J45" s="153"/>
      <c r="K45" s="21"/>
      <c r="P45" s="4"/>
      <c r="Q45" s="4"/>
      <c r="R45" s="5"/>
    </row>
    <row r="46" spans="1:18" ht="15.75" x14ac:dyDescent="0.25">
      <c r="A46" s="129"/>
      <c r="B46" s="49" t="s">
        <v>69</v>
      </c>
      <c r="C46" s="81"/>
      <c r="D46" s="12">
        <f>C46*1.5</f>
        <v>0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30"/>
      <c r="B47" s="27"/>
      <c r="C47" s="11"/>
      <c r="D47" s="12"/>
      <c r="F47" s="59"/>
      <c r="G47" s="59"/>
      <c r="H47" s="131"/>
      <c r="I47" s="132"/>
      <c r="J47" s="133"/>
      <c r="K47" s="21"/>
      <c r="P47" s="4"/>
      <c r="Q47" s="4"/>
      <c r="R47" s="5"/>
    </row>
    <row r="48" spans="1:18" ht="15" customHeight="1" x14ac:dyDescent="0.25">
      <c r="A48" s="128" t="s">
        <v>32</v>
      </c>
      <c r="B48" s="27" t="s">
        <v>65</v>
      </c>
      <c r="C48" s="10"/>
      <c r="D48" s="12">
        <f>C48*78</f>
        <v>0</v>
      </c>
      <c r="F48" s="59"/>
      <c r="G48" s="59"/>
      <c r="H48" s="131"/>
      <c r="I48" s="132"/>
      <c r="J48" s="13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9"/>
      <c r="B49" s="29" t="s">
        <v>67</v>
      </c>
      <c r="C49" s="33"/>
      <c r="D49" s="12">
        <f>C49*42</f>
        <v>0</v>
      </c>
      <c r="F49" s="134" t="s">
        <v>85</v>
      </c>
      <c r="G49" s="136">
        <f>H34+H35+H36+H37+H38+H39+H40+H41+G42+H44+H45+H46</f>
        <v>0</v>
      </c>
      <c r="H49" s="137"/>
      <c r="I49" s="137"/>
      <c r="J49" s="13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9"/>
      <c r="B50" s="32" t="s">
        <v>69</v>
      </c>
      <c r="C50" s="11"/>
      <c r="D50" s="12">
        <f>C50*1.5</f>
        <v>0</v>
      </c>
      <c r="F50" s="135"/>
      <c r="G50" s="139"/>
      <c r="H50" s="140"/>
      <c r="I50" s="140"/>
      <c r="J50" s="141"/>
      <c r="O50" t="s">
        <v>114</v>
      </c>
      <c r="P50" s="4">
        <v>1204</v>
      </c>
      <c r="Q50" s="4"/>
      <c r="R50" s="5"/>
    </row>
    <row r="51" spans="1:18" ht="15" customHeight="1" x14ac:dyDescent="0.25">
      <c r="A51" s="129"/>
      <c r="B51" s="27"/>
      <c r="C51" s="10"/>
      <c r="D51" s="31"/>
      <c r="F51" s="142" t="s">
        <v>109</v>
      </c>
      <c r="G51" s="255">
        <f>G49-H29</f>
        <v>0</v>
      </c>
      <c r="H51" s="256"/>
      <c r="I51" s="256"/>
      <c r="J51" s="25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9"/>
      <c r="B52" s="29"/>
      <c r="C52" s="33"/>
      <c r="D52" s="45"/>
      <c r="F52" s="143"/>
      <c r="G52" s="258"/>
      <c r="H52" s="259"/>
      <c r="I52" s="259"/>
      <c r="J52" s="26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4" t="s">
        <v>89</v>
      </c>
      <c r="B54" s="115"/>
      <c r="C54" s="116"/>
      <c r="D54" s="120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7"/>
      <c r="B55" s="118"/>
      <c r="C55" s="119"/>
      <c r="D55" s="1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22" t="s">
        <v>90</v>
      </c>
      <c r="B58" s="123"/>
      <c r="C58" s="123"/>
      <c r="D58" s="124"/>
      <c r="F58" s="122" t="s">
        <v>91</v>
      </c>
      <c r="G58" s="123"/>
      <c r="H58" s="123"/>
      <c r="I58" s="123"/>
      <c r="J58" s="124"/>
    </row>
    <row r="59" spans="1:18" x14ac:dyDescent="0.25">
      <c r="A59" s="125"/>
      <c r="B59" s="126"/>
      <c r="C59" s="126"/>
      <c r="D59" s="127"/>
      <c r="F59" s="125"/>
      <c r="G59" s="126"/>
      <c r="H59" s="126"/>
      <c r="I59" s="126"/>
      <c r="J59" s="12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F6AD7F-B4A2-4C92-9488-DF24F849731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0" t="s">
        <v>1</v>
      </c>
      <c r="O1" s="210"/>
      <c r="P1" s="107" t="s">
        <v>2</v>
      </c>
      <c r="Q1" s="10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1" t="s">
        <v>7</v>
      </c>
      <c r="B4" s="162"/>
      <c r="C4" s="162"/>
      <c r="D4" s="163"/>
      <c r="F4" s="211" t="s">
        <v>8</v>
      </c>
      <c r="G4" s="213">
        <v>2</v>
      </c>
      <c r="H4" s="215" t="s">
        <v>9</v>
      </c>
      <c r="I4" s="217">
        <v>46157</v>
      </c>
      <c r="J4" s="21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5" t="s">
        <v>7</v>
      </c>
      <c r="B5" s="15" t="s">
        <v>11</v>
      </c>
      <c r="C5" s="9" t="s">
        <v>12</v>
      </c>
      <c r="D5" s="25" t="s">
        <v>13</v>
      </c>
      <c r="F5" s="212"/>
      <c r="G5" s="214"/>
      <c r="H5" s="216"/>
      <c r="I5" s="219"/>
      <c r="J5" s="22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6"/>
      <c r="B6" s="16" t="s">
        <v>15</v>
      </c>
      <c r="C6" s="10"/>
      <c r="D6" s="13">
        <f t="shared" ref="D6:D28" si="1">C6*L6</f>
        <v>0</v>
      </c>
      <c r="F6" s="221" t="s">
        <v>16</v>
      </c>
      <c r="G6" s="223" t="s">
        <v>107</v>
      </c>
      <c r="H6" s="224"/>
      <c r="I6" s="224"/>
      <c r="J6" s="22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6"/>
      <c r="B7" s="16" t="s">
        <v>18</v>
      </c>
      <c r="C7" s="10"/>
      <c r="D7" s="13">
        <f t="shared" si="1"/>
        <v>0</v>
      </c>
      <c r="F7" s="222"/>
      <c r="G7" s="226"/>
      <c r="H7" s="227"/>
      <c r="I7" s="227"/>
      <c r="J7" s="22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6"/>
      <c r="B8" s="16" t="s">
        <v>20</v>
      </c>
      <c r="C8" s="10"/>
      <c r="D8" s="13">
        <f t="shared" si="1"/>
        <v>0</v>
      </c>
      <c r="F8" s="229" t="s">
        <v>21</v>
      </c>
      <c r="G8" s="230" t="s">
        <v>100</v>
      </c>
      <c r="H8" s="231"/>
      <c r="I8" s="231"/>
      <c r="J8" s="23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6"/>
      <c r="B9" s="16" t="s">
        <v>23</v>
      </c>
      <c r="C9" s="10"/>
      <c r="D9" s="13">
        <f t="shared" si="1"/>
        <v>0</v>
      </c>
      <c r="F9" s="222"/>
      <c r="G9" s="233"/>
      <c r="H9" s="234"/>
      <c r="I9" s="234"/>
      <c r="J9" s="23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6"/>
      <c r="B10" t="s">
        <v>25</v>
      </c>
      <c r="C10" s="10"/>
      <c r="D10" s="13">
        <f t="shared" si="1"/>
        <v>0</v>
      </c>
      <c r="F10" s="221" t="s">
        <v>26</v>
      </c>
      <c r="G10" s="236" t="s">
        <v>101</v>
      </c>
      <c r="H10" s="237"/>
      <c r="I10" s="237"/>
      <c r="J10" s="238"/>
      <c r="K10" s="8"/>
      <c r="L10" s="6">
        <f>R36</f>
        <v>1032</v>
      </c>
      <c r="P10" s="4"/>
      <c r="Q10" s="4"/>
      <c r="R10" s="5"/>
    </row>
    <row r="11" spans="1:18" ht="15.75" x14ac:dyDescent="0.25">
      <c r="A11" s="156"/>
      <c r="B11" s="17" t="s">
        <v>28</v>
      </c>
      <c r="C11" s="10"/>
      <c r="D11" s="13">
        <f t="shared" si="1"/>
        <v>0</v>
      </c>
      <c r="F11" s="222"/>
      <c r="G11" s="233"/>
      <c r="H11" s="234"/>
      <c r="I11" s="234"/>
      <c r="J11" s="23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6"/>
      <c r="B12" s="17" t="s">
        <v>30</v>
      </c>
      <c r="C12" s="10"/>
      <c r="D12" s="48">
        <f t="shared" si="1"/>
        <v>0</v>
      </c>
      <c r="F12" s="239" t="s">
        <v>33</v>
      </c>
      <c r="G12" s="240"/>
      <c r="H12" s="240"/>
      <c r="I12" s="240"/>
      <c r="J12" s="24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6"/>
      <c r="B13" s="17" t="s">
        <v>32</v>
      </c>
      <c r="C13" s="10"/>
      <c r="D13" s="48">
        <f t="shared" si="1"/>
        <v>0</v>
      </c>
      <c r="F13" s="242" t="s">
        <v>36</v>
      </c>
      <c r="G13" s="206"/>
      <c r="H13" s="197">
        <f>D29</f>
        <v>0</v>
      </c>
      <c r="I13" s="198"/>
      <c r="J13" s="19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6"/>
      <c r="B14" s="14" t="s">
        <v>35</v>
      </c>
      <c r="C14" s="10"/>
      <c r="D14" s="31">
        <f t="shared" si="1"/>
        <v>0</v>
      </c>
      <c r="F14" s="200" t="s">
        <v>38</v>
      </c>
      <c r="G14" s="201"/>
      <c r="H14" s="202">
        <f>D54</f>
        <v>0</v>
      </c>
      <c r="I14" s="203"/>
      <c r="J14" s="20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6"/>
      <c r="B15" s="14" t="s">
        <v>122</v>
      </c>
      <c r="C15" s="10"/>
      <c r="D15" s="31">
        <f t="shared" si="1"/>
        <v>0</v>
      </c>
      <c r="F15" s="205" t="s">
        <v>39</v>
      </c>
      <c r="G15" s="206"/>
      <c r="H15" s="207">
        <f>H13-H14</f>
        <v>0</v>
      </c>
      <c r="I15" s="208"/>
      <c r="J15" s="20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6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67"/>
      <c r="I16" s="167"/>
      <c r="J16" s="16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6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78"/>
      <c r="I17" s="178"/>
      <c r="J17" s="17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6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78"/>
      <c r="I18" s="178"/>
      <c r="J18" s="17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6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61"/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6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78"/>
      <c r="I20" s="178"/>
      <c r="J20" s="17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6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0" t="s">
        <v>13</v>
      </c>
      <c r="I21" s="181"/>
      <c r="J21" s="18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6"/>
      <c r="B22" s="46" t="s">
        <v>103</v>
      </c>
      <c r="C22" s="10"/>
      <c r="D22" s="48">
        <f t="shared" si="1"/>
        <v>0</v>
      </c>
      <c r="F22" s="72"/>
      <c r="G22" s="73"/>
      <c r="H22" s="183"/>
      <c r="I22" s="183"/>
      <c r="J22" s="18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6"/>
      <c r="B23" s="14" t="s">
        <v>121</v>
      </c>
      <c r="C23" s="10"/>
      <c r="D23" s="48">
        <f t="shared" si="1"/>
        <v>0</v>
      </c>
      <c r="F23" s="25"/>
      <c r="G23" s="37"/>
      <c r="H23" s="184"/>
      <c r="I23" s="153"/>
      <c r="J23" s="15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6"/>
      <c r="B24" s="14" t="s">
        <v>128</v>
      </c>
      <c r="C24" s="10"/>
      <c r="D24" s="48">
        <f t="shared" si="1"/>
        <v>0</v>
      </c>
      <c r="F24" s="38"/>
      <c r="G24" s="37"/>
      <c r="H24" s="184"/>
      <c r="I24" s="153"/>
      <c r="J24" s="15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5" t="s">
        <v>13</v>
      </c>
      <c r="I25" s="186"/>
      <c r="J25" s="18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6"/>
      <c r="B26" s="14" t="s">
        <v>129</v>
      </c>
      <c r="C26" s="10"/>
      <c r="D26" s="48">
        <f t="shared" si="1"/>
        <v>0</v>
      </c>
      <c r="F26" s="64"/>
      <c r="G26" s="10"/>
      <c r="H26" s="188"/>
      <c r="I26" s="189"/>
      <c r="J26" s="19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6"/>
      <c r="B27" s="14" t="s">
        <v>130</v>
      </c>
      <c r="C27" s="10"/>
      <c r="D27" s="44">
        <f t="shared" si="1"/>
        <v>0</v>
      </c>
      <c r="F27" s="14"/>
      <c r="G27" s="14"/>
      <c r="H27" s="191"/>
      <c r="I27" s="192"/>
      <c r="J27" s="19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7"/>
      <c r="B28" s="46" t="s">
        <v>92</v>
      </c>
      <c r="C28" s="10"/>
      <c r="D28" s="48">
        <f t="shared" si="1"/>
        <v>0</v>
      </c>
      <c r="F28" s="108"/>
      <c r="G28" s="61"/>
      <c r="H28" s="194"/>
      <c r="I28" s="195"/>
      <c r="J28" s="19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8" t="s">
        <v>36</v>
      </c>
      <c r="B29" s="169"/>
      <c r="C29" s="170"/>
      <c r="D29" s="174">
        <f>SUM(D6:D28)</f>
        <v>0</v>
      </c>
      <c r="F29" s="114" t="s">
        <v>54</v>
      </c>
      <c r="G29" s="176"/>
      <c r="H29" s="136">
        <f>H15-H16-H17-H18-H19-H20-H22-H23-H24+H26+H27</f>
        <v>0</v>
      </c>
      <c r="I29" s="137"/>
      <c r="J29" s="13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1"/>
      <c r="B30" s="172"/>
      <c r="C30" s="173"/>
      <c r="D30" s="175"/>
      <c r="F30" s="117"/>
      <c r="G30" s="177"/>
      <c r="H30" s="139"/>
      <c r="I30" s="140"/>
      <c r="J30" s="141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1" t="s">
        <v>57</v>
      </c>
      <c r="B32" s="162"/>
      <c r="C32" s="162"/>
      <c r="D32" s="163"/>
      <c r="F32" s="164" t="s">
        <v>58</v>
      </c>
      <c r="G32" s="165"/>
      <c r="H32" s="165"/>
      <c r="I32" s="165"/>
      <c r="J32" s="16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9" t="s">
        <v>62</v>
      </c>
      <c r="H33" s="164" t="s">
        <v>13</v>
      </c>
      <c r="I33" s="165"/>
      <c r="J33" s="16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5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58">
        <f>F34*G34</f>
        <v>0</v>
      </c>
      <c r="I34" s="159"/>
      <c r="J34" s="16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6"/>
      <c r="B35" s="27" t="s">
        <v>67</v>
      </c>
      <c r="C35" s="52"/>
      <c r="D35" s="30">
        <f>C35*84</f>
        <v>0</v>
      </c>
      <c r="F35" s="58">
        <v>500</v>
      </c>
      <c r="G35" s="41"/>
      <c r="H35" s="158">
        <f t="shared" ref="H35:H39" si="2">F35*G35</f>
        <v>0</v>
      </c>
      <c r="I35" s="159"/>
      <c r="J35" s="16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7"/>
      <c r="B36" s="26" t="s">
        <v>69</v>
      </c>
      <c r="C36" s="10"/>
      <c r="D36" s="12">
        <f>C36*1.5</f>
        <v>0</v>
      </c>
      <c r="F36" s="12">
        <v>200</v>
      </c>
      <c r="G36" s="37"/>
      <c r="H36" s="158">
        <f>F36*G36</f>
        <v>0</v>
      </c>
      <c r="I36" s="159"/>
      <c r="J36" s="16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8">
        <f t="shared" si="2"/>
        <v>0</v>
      </c>
      <c r="I37" s="159"/>
      <c r="J37" s="16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6"/>
      <c r="B38" s="29" t="s">
        <v>67</v>
      </c>
      <c r="C38" s="54"/>
      <c r="D38" s="12">
        <f>C38*84</f>
        <v>0</v>
      </c>
      <c r="F38" s="30">
        <v>50</v>
      </c>
      <c r="G38" s="39"/>
      <c r="H38" s="158">
        <f t="shared" si="2"/>
        <v>0</v>
      </c>
      <c r="I38" s="159"/>
      <c r="J38" s="16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7"/>
      <c r="B39" s="29" t="s">
        <v>69</v>
      </c>
      <c r="C39" s="52"/>
      <c r="D39" s="31">
        <f>C39*4.5</f>
        <v>0</v>
      </c>
      <c r="F39" s="12">
        <v>20</v>
      </c>
      <c r="G39" s="37"/>
      <c r="H39" s="158">
        <f t="shared" si="2"/>
        <v>0</v>
      </c>
      <c r="I39" s="159"/>
      <c r="J39" s="16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8"/>
      <c r="I40" s="159"/>
      <c r="J40" s="16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6"/>
      <c r="B41" s="27" t="s">
        <v>67</v>
      </c>
      <c r="C41" s="10"/>
      <c r="D41" s="12">
        <f>C41*84</f>
        <v>0</v>
      </c>
      <c r="F41" s="12">
        <v>5</v>
      </c>
      <c r="G41" s="42"/>
      <c r="H41" s="158"/>
      <c r="I41" s="159"/>
      <c r="J41" s="16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7"/>
      <c r="B42" s="27" t="s">
        <v>69</v>
      </c>
      <c r="C42" s="11"/>
      <c r="D42" s="12">
        <f>C42*2.25</f>
        <v>0</v>
      </c>
      <c r="F42" s="39" t="s">
        <v>78</v>
      </c>
      <c r="G42" s="158"/>
      <c r="H42" s="159"/>
      <c r="I42" s="159"/>
      <c r="J42" s="16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8" t="s">
        <v>80</v>
      </c>
      <c r="C43" s="11"/>
      <c r="D43" s="12"/>
      <c r="F43" s="59" t="s">
        <v>81</v>
      </c>
      <c r="G43" s="105" t="s">
        <v>82</v>
      </c>
      <c r="H43" s="150" t="s">
        <v>13</v>
      </c>
      <c r="I43" s="151"/>
      <c r="J43" s="15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9"/>
      <c r="B44" s="27" t="s">
        <v>65</v>
      </c>
      <c r="C44" s="10"/>
      <c r="D44" s="12">
        <f>C44*120</f>
        <v>0</v>
      </c>
      <c r="F44" s="37"/>
      <c r="G44" s="62"/>
      <c r="H44" s="153"/>
      <c r="I44" s="153"/>
      <c r="J44" s="15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9"/>
      <c r="B45" s="27" t="s">
        <v>67</v>
      </c>
      <c r="C45" s="33"/>
      <c r="D45" s="12">
        <f>C45*84</f>
        <v>0</v>
      </c>
      <c r="F45" s="37"/>
      <c r="G45" s="62"/>
      <c r="H45" s="153"/>
      <c r="I45" s="153"/>
      <c r="J45" s="153"/>
      <c r="K45" s="21"/>
      <c r="P45" s="4"/>
      <c r="Q45" s="4"/>
      <c r="R45" s="5"/>
    </row>
    <row r="46" spans="1:18" ht="15.75" x14ac:dyDescent="0.25">
      <c r="A46" s="129"/>
      <c r="B46" s="49" t="s">
        <v>69</v>
      </c>
      <c r="C46" s="81"/>
      <c r="D46" s="12">
        <f>C46*1.5</f>
        <v>0</v>
      </c>
      <c r="F46" s="37"/>
      <c r="G46" s="106"/>
      <c r="H46" s="154"/>
      <c r="I46" s="154"/>
      <c r="J46" s="154"/>
      <c r="K46" s="21"/>
      <c r="P46" s="4"/>
      <c r="Q46" s="4"/>
      <c r="R46" s="5"/>
    </row>
    <row r="47" spans="1:18" ht="15.75" x14ac:dyDescent="0.25">
      <c r="A47" s="130"/>
      <c r="B47" s="27"/>
      <c r="C47" s="11"/>
      <c r="D47" s="12"/>
      <c r="F47" s="59"/>
      <c r="G47" s="59"/>
      <c r="H47" s="131"/>
      <c r="I47" s="132"/>
      <c r="J47" s="133"/>
      <c r="K47" s="21"/>
      <c r="P47" s="4"/>
      <c r="Q47" s="4"/>
      <c r="R47" s="5"/>
    </row>
    <row r="48" spans="1:18" ht="15" customHeight="1" x14ac:dyDescent="0.25">
      <c r="A48" s="128" t="s">
        <v>32</v>
      </c>
      <c r="B48" s="27" t="s">
        <v>65</v>
      </c>
      <c r="C48" s="10"/>
      <c r="D48" s="12">
        <f>C48*78</f>
        <v>0</v>
      </c>
      <c r="F48" s="59"/>
      <c r="G48" s="59"/>
      <c r="H48" s="131"/>
      <c r="I48" s="132"/>
      <c r="J48" s="13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9"/>
      <c r="B49" s="29" t="s">
        <v>67</v>
      </c>
      <c r="C49" s="33"/>
      <c r="D49" s="12">
        <f>C49*42</f>
        <v>0</v>
      </c>
      <c r="F49" s="134" t="s">
        <v>85</v>
      </c>
      <c r="G49" s="136">
        <f>H34+H35+H36+H37+H38+H39+H40+H41+G42+H44+H45+H46</f>
        <v>0</v>
      </c>
      <c r="H49" s="137"/>
      <c r="I49" s="137"/>
      <c r="J49" s="13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9"/>
      <c r="B50" s="32" t="s">
        <v>69</v>
      </c>
      <c r="C50" s="11"/>
      <c r="D50" s="12">
        <f>C50*1.5</f>
        <v>0</v>
      </c>
      <c r="F50" s="135"/>
      <c r="G50" s="139"/>
      <c r="H50" s="140"/>
      <c r="I50" s="140"/>
      <c r="J50" s="141"/>
      <c r="O50" t="s">
        <v>114</v>
      </c>
      <c r="P50" s="4">
        <v>1204</v>
      </c>
      <c r="Q50" s="4"/>
      <c r="R50" s="5"/>
    </row>
    <row r="51" spans="1:18" ht="15" customHeight="1" x14ac:dyDescent="0.25">
      <c r="A51" s="129"/>
      <c r="B51" s="27"/>
      <c r="C51" s="10"/>
      <c r="D51" s="31"/>
      <c r="F51" s="142" t="s">
        <v>112</v>
      </c>
      <c r="G51" s="144">
        <f>G49-H29</f>
        <v>0</v>
      </c>
      <c r="H51" s="145"/>
      <c r="I51" s="145"/>
      <c r="J51" s="14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9"/>
      <c r="B52" s="29"/>
      <c r="C52" s="33"/>
      <c r="D52" s="45"/>
      <c r="F52" s="143"/>
      <c r="G52" s="147"/>
      <c r="H52" s="148"/>
      <c r="I52" s="148"/>
      <c r="J52" s="14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4" t="s">
        <v>89</v>
      </c>
      <c r="B54" s="115"/>
      <c r="C54" s="116"/>
      <c r="D54" s="120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7"/>
      <c r="B55" s="118"/>
      <c r="C55" s="119"/>
      <c r="D55" s="1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22" t="s">
        <v>90</v>
      </c>
      <c r="B58" s="123"/>
      <c r="C58" s="123"/>
      <c r="D58" s="124"/>
      <c r="F58" s="122" t="s">
        <v>91</v>
      </c>
      <c r="G58" s="123"/>
      <c r="H58" s="123"/>
      <c r="I58" s="123"/>
      <c r="J58" s="124"/>
    </row>
    <row r="59" spans="1:18" x14ac:dyDescent="0.25">
      <c r="A59" s="125"/>
      <c r="B59" s="126"/>
      <c r="C59" s="126"/>
      <c r="D59" s="127"/>
      <c r="F59" s="125"/>
      <c r="G59" s="126"/>
      <c r="H59" s="126"/>
      <c r="I59" s="126"/>
      <c r="J59" s="12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D0924D-26CD-480E-AFC1-350727F73FE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0" t="s">
        <v>1</v>
      </c>
      <c r="O1" s="210"/>
      <c r="P1" s="107" t="s">
        <v>2</v>
      </c>
      <c r="Q1" s="10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1" t="s">
        <v>7</v>
      </c>
      <c r="B4" s="162"/>
      <c r="C4" s="162"/>
      <c r="D4" s="163"/>
      <c r="F4" s="211" t="s">
        <v>8</v>
      </c>
      <c r="G4" s="213">
        <v>3</v>
      </c>
      <c r="H4" s="215" t="s">
        <v>9</v>
      </c>
      <c r="I4" s="217">
        <v>46157</v>
      </c>
      <c r="J4" s="21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5" t="s">
        <v>7</v>
      </c>
      <c r="B5" s="15" t="s">
        <v>11</v>
      </c>
      <c r="C5" s="9" t="s">
        <v>12</v>
      </c>
      <c r="D5" s="25" t="s">
        <v>13</v>
      </c>
      <c r="F5" s="212"/>
      <c r="G5" s="214"/>
      <c r="H5" s="216"/>
      <c r="I5" s="219"/>
      <c r="J5" s="22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6"/>
      <c r="B6" s="16" t="s">
        <v>15</v>
      </c>
      <c r="C6" s="10"/>
      <c r="D6" s="13">
        <f t="shared" ref="D6:D28" si="1">C6*L6</f>
        <v>0</v>
      </c>
      <c r="F6" s="221" t="s">
        <v>16</v>
      </c>
      <c r="G6" s="223" t="s">
        <v>117</v>
      </c>
      <c r="H6" s="224"/>
      <c r="I6" s="224"/>
      <c r="J6" s="22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6"/>
      <c r="B7" s="16" t="s">
        <v>18</v>
      </c>
      <c r="C7" s="10"/>
      <c r="D7" s="13">
        <f t="shared" si="1"/>
        <v>0</v>
      </c>
      <c r="F7" s="222"/>
      <c r="G7" s="226"/>
      <c r="H7" s="227"/>
      <c r="I7" s="227"/>
      <c r="J7" s="22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6"/>
      <c r="B8" s="16" t="s">
        <v>20</v>
      </c>
      <c r="C8" s="10"/>
      <c r="D8" s="13">
        <f t="shared" si="1"/>
        <v>0</v>
      </c>
      <c r="F8" s="229" t="s">
        <v>21</v>
      </c>
      <c r="G8" s="230" t="s">
        <v>110</v>
      </c>
      <c r="H8" s="231"/>
      <c r="I8" s="231"/>
      <c r="J8" s="23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6"/>
      <c r="B9" s="16" t="s">
        <v>23</v>
      </c>
      <c r="C9" s="10"/>
      <c r="D9" s="13">
        <f t="shared" si="1"/>
        <v>0</v>
      </c>
      <c r="F9" s="222"/>
      <c r="G9" s="233"/>
      <c r="H9" s="234"/>
      <c r="I9" s="234"/>
      <c r="J9" s="23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6"/>
      <c r="B10" t="s">
        <v>25</v>
      </c>
      <c r="C10" s="10"/>
      <c r="D10" s="13">
        <f t="shared" si="1"/>
        <v>0</v>
      </c>
      <c r="F10" s="221" t="s">
        <v>26</v>
      </c>
      <c r="G10" s="236" t="s">
        <v>124</v>
      </c>
      <c r="H10" s="237"/>
      <c r="I10" s="237"/>
      <c r="J10" s="238"/>
      <c r="K10" s="8"/>
      <c r="L10" s="6">
        <f>R36</f>
        <v>1032</v>
      </c>
      <c r="P10" s="4"/>
      <c r="Q10" s="4"/>
      <c r="R10" s="5"/>
    </row>
    <row r="11" spans="1:18" ht="15.75" x14ac:dyDescent="0.25">
      <c r="A11" s="156"/>
      <c r="B11" s="17" t="s">
        <v>28</v>
      </c>
      <c r="C11" s="10"/>
      <c r="D11" s="13">
        <f t="shared" si="1"/>
        <v>0</v>
      </c>
      <c r="F11" s="222"/>
      <c r="G11" s="233"/>
      <c r="H11" s="234"/>
      <c r="I11" s="234"/>
      <c r="J11" s="23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6"/>
      <c r="B12" s="17" t="s">
        <v>30</v>
      </c>
      <c r="C12" s="10"/>
      <c r="D12" s="48">
        <f t="shared" si="1"/>
        <v>0</v>
      </c>
      <c r="F12" s="239" t="s">
        <v>33</v>
      </c>
      <c r="G12" s="240"/>
      <c r="H12" s="240"/>
      <c r="I12" s="240"/>
      <c r="J12" s="24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6"/>
      <c r="B13" s="17" t="s">
        <v>32</v>
      </c>
      <c r="C13" s="10"/>
      <c r="D13" s="48">
        <f t="shared" si="1"/>
        <v>0</v>
      </c>
      <c r="F13" s="242" t="s">
        <v>36</v>
      </c>
      <c r="G13" s="206"/>
      <c r="H13" s="197">
        <f>D29</f>
        <v>0</v>
      </c>
      <c r="I13" s="198"/>
      <c r="J13" s="19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6"/>
      <c r="B14" s="14" t="s">
        <v>35</v>
      </c>
      <c r="C14" s="10"/>
      <c r="D14" s="31">
        <f t="shared" si="1"/>
        <v>0</v>
      </c>
      <c r="F14" s="200" t="s">
        <v>38</v>
      </c>
      <c r="G14" s="201"/>
      <c r="H14" s="202">
        <f>D54</f>
        <v>0</v>
      </c>
      <c r="I14" s="203"/>
      <c r="J14" s="20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6"/>
      <c r="B15" s="14" t="s">
        <v>122</v>
      </c>
      <c r="C15" s="10"/>
      <c r="D15" s="31">
        <f t="shared" si="1"/>
        <v>0</v>
      </c>
      <c r="F15" s="205" t="s">
        <v>39</v>
      </c>
      <c r="G15" s="206"/>
      <c r="H15" s="207">
        <f>H13-H14</f>
        <v>0</v>
      </c>
      <c r="I15" s="208"/>
      <c r="J15" s="20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6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67"/>
      <c r="I16" s="167"/>
      <c r="J16" s="16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6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78"/>
      <c r="I17" s="178"/>
      <c r="J17" s="17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6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78"/>
      <c r="I18" s="178"/>
      <c r="J18" s="17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6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62"/>
      <c r="I19" s="262"/>
      <c r="J19" s="26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6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67"/>
      <c r="I20" s="167"/>
      <c r="J20" s="16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6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0" t="s">
        <v>13</v>
      </c>
      <c r="I21" s="181"/>
      <c r="J21" s="18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6"/>
      <c r="B22" s="46" t="s">
        <v>103</v>
      </c>
      <c r="C22" s="10"/>
      <c r="D22" s="48">
        <f t="shared" si="1"/>
        <v>0</v>
      </c>
      <c r="F22" s="77"/>
      <c r="G22" s="73"/>
      <c r="H22" s="183"/>
      <c r="I22" s="183"/>
      <c r="J22" s="18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6"/>
      <c r="B23" s="14" t="s">
        <v>121</v>
      </c>
      <c r="C23" s="10"/>
      <c r="D23" s="48">
        <f t="shared" si="1"/>
        <v>0</v>
      </c>
      <c r="F23" s="78"/>
      <c r="G23" s="79"/>
      <c r="H23" s="184"/>
      <c r="I23" s="153"/>
      <c r="J23" s="15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6"/>
      <c r="B24" s="14" t="s">
        <v>128</v>
      </c>
      <c r="C24" s="10"/>
      <c r="D24" s="48">
        <f t="shared" si="1"/>
        <v>0</v>
      </c>
      <c r="F24" s="38"/>
      <c r="G24" s="37"/>
      <c r="H24" s="184"/>
      <c r="I24" s="153"/>
      <c r="J24" s="15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5" t="s">
        <v>13</v>
      </c>
      <c r="I25" s="186"/>
      <c r="J25" s="18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6"/>
      <c r="B26" s="14" t="s">
        <v>129</v>
      </c>
      <c r="C26" s="10"/>
      <c r="D26" s="48">
        <f t="shared" si="1"/>
        <v>0</v>
      </c>
      <c r="F26" s="64"/>
      <c r="G26" s="59"/>
      <c r="H26" s="188"/>
      <c r="I26" s="189"/>
      <c r="J26" s="19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6"/>
      <c r="B27" s="14" t="s">
        <v>130</v>
      </c>
      <c r="C27" s="10"/>
      <c r="D27" s="44">
        <f t="shared" si="1"/>
        <v>0</v>
      </c>
      <c r="F27" s="25"/>
      <c r="G27" s="80"/>
      <c r="H27" s="191"/>
      <c r="I27" s="192"/>
      <c r="J27" s="19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7"/>
      <c r="B28" s="46" t="s">
        <v>92</v>
      </c>
      <c r="C28" s="10"/>
      <c r="D28" s="48">
        <f t="shared" si="1"/>
        <v>0</v>
      </c>
      <c r="F28" s="108"/>
      <c r="G28" s="61"/>
      <c r="H28" s="194"/>
      <c r="I28" s="195"/>
      <c r="J28" s="19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8" t="s">
        <v>36</v>
      </c>
      <c r="B29" s="169"/>
      <c r="C29" s="170"/>
      <c r="D29" s="174">
        <f>SUM(D6:D28)</f>
        <v>0</v>
      </c>
      <c r="F29" s="114" t="s">
        <v>54</v>
      </c>
      <c r="G29" s="176"/>
      <c r="H29" s="136">
        <f>H15-H16-H17-H18-H19-H20-H22-H23-H24+H26+H27</f>
        <v>0</v>
      </c>
      <c r="I29" s="137"/>
      <c r="J29" s="13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1"/>
      <c r="B30" s="172"/>
      <c r="C30" s="173"/>
      <c r="D30" s="175"/>
      <c r="F30" s="117"/>
      <c r="G30" s="177"/>
      <c r="H30" s="139"/>
      <c r="I30" s="140"/>
      <c r="J30" s="141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1" t="s">
        <v>57</v>
      </c>
      <c r="B32" s="162"/>
      <c r="C32" s="162"/>
      <c r="D32" s="163"/>
      <c r="F32" s="164" t="s">
        <v>58</v>
      </c>
      <c r="G32" s="165"/>
      <c r="H32" s="165"/>
      <c r="I32" s="165"/>
      <c r="J32" s="16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9" t="s">
        <v>62</v>
      </c>
      <c r="H33" s="164" t="s">
        <v>13</v>
      </c>
      <c r="I33" s="165"/>
      <c r="J33" s="16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5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58">
        <f>F34*G34</f>
        <v>0</v>
      </c>
      <c r="I34" s="159"/>
      <c r="J34" s="16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6"/>
      <c r="B35" s="27" t="s">
        <v>67</v>
      </c>
      <c r="C35" s="52"/>
      <c r="D35" s="30">
        <f>C35*84</f>
        <v>0</v>
      </c>
      <c r="F35" s="58">
        <v>500</v>
      </c>
      <c r="G35" s="41"/>
      <c r="H35" s="158">
        <f>F35*G35</f>
        <v>0</v>
      </c>
      <c r="I35" s="159"/>
      <c r="J35" s="16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7"/>
      <c r="B36" s="26" t="s">
        <v>69</v>
      </c>
      <c r="C36" s="10"/>
      <c r="D36" s="12">
        <f>C36*1.5</f>
        <v>0</v>
      </c>
      <c r="F36" s="12">
        <v>200</v>
      </c>
      <c r="G36" s="37"/>
      <c r="H36" s="158">
        <f t="shared" ref="H36:H39" si="2">F36*G36</f>
        <v>0</v>
      </c>
      <c r="I36" s="159"/>
      <c r="J36" s="16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8">
        <f t="shared" si="2"/>
        <v>0</v>
      </c>
      <c r="I37" s="159"/>
      <c r="J37" s="16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6"/>
      <c r="B38" s="29" t="s">
        <v>67</v>
      </c>
      <c r="C38" s="54"/>
      <c r="D38" s="12">
        <f>C38*84</f>
        <v>0</v>
      </c>
      <c r="F38" s="30">
        <v>50</v>
      </c>
      <c r="G38" s="39"/>
      <c r="H38" s="158">
        <f t="shared" si="2"/>
        <v>0</v>
      </c>
      <c r="I38" s="159"/>
      <c r="J38" s="16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7"/>
      <c r="B39" s="29" t="s">
        <v>69</v>
      </c>
      <c r="C39" s="52"/>
      <c r="D39" s="31">
        <f>C39*4.5</f>
        <v>0</v>
      </c>
      <c r="F39" s="12">
        <v>20</v>
      </c>
      <c r="G39" s="37"/>
      <c r="H39" s="158">
        <f t="shared" si="2"/>
        <v>0</v>
      </c>
      <c r="I39" s="159"/>
      <c r="J39" s="16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8"/>
      <c r="I40" s="159"/>
      <c r="J40" s="16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6"/>
      <c r="B41" s="27" t="s">
        <v>67</v>
      </c>
      <c r="C41" s="10"/>
      <c r="D41" s="12">
        <f>C41*84</f>
        <v>0</v>
      </c>
      <c r="F41" s="12">
        <v>5</v>
      </c>
      <c r="G41" s="42"/>
      <c r="H41" s="158"/>
      <c r="I41" s="159"/>
      <c r="J41" s="16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7"/>
      <c r="B42" s="27" t="s">
        <v>69</v>
      </c>
      <c r="C42" s="11"/>
      <c r="D42" s="12">
        <f>C42*2.25</f>
        <v>0</v>
      </c>
      <c r="F42" s="39" t="s">
        <v>78</v>
      </c>
      <c r="G42" s="158"/>
      <c r="H42" s="159"/>
      <c r="I42" s="159"/>
      <c r="J42" s="16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8" t="s">
        <v>80</v>
      </c>
      <c r="C43" s="11"/>
      <c r="D43" s="12"/>
      <c r="F43" s="59" t="s">
        <v>81</v>
      </c>
      <c r="G43" s="105" t="s">
        <v>82</v>
      </c>
      <c r="H43" s="150" t="s">
        <v>13</v>
      </c>
      <c r="I43" s="151"/>
      <c r="J43" s="15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9"/>
      <c r="B44" s="27" t="s">
        <v>65</v>
      </c>
      <c r="C44" s="10"/>
      <c r="D44" s="12">
        <f>C44*120</f>
        <v>0</v>
      </c>
      <c r="F44" s="37"/>
      <c r="G44" s="76"/>
      <c r="H44" s="153"/>
      <c r="I44" s="153"/>
      <c r="J44" s="15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9"/>
      <c r="B45" s="27" t="s">
        <v>67</v>
      </c>
      <c r="C45" s="33"/>
      <c r="D45" s="12">
        <f>C45*84</f>
        <v>0</v>
      </c>
      <c r="F45" s="37"/>
      <c r="G45" s="76"/>
      <c r="H45" s="153"/>
      <c r="I45" s="153"/>
      <c r="J45" s="153"/>
      <c r="K45" s="21"/>
      <c r="P45" s="4"/>
      <c r="Q45" s="4"/>
      <c r="R45" s="5"/>
    </row>
    <row r="46" spans="1:18" ht="15.75" x14ac:dyDescent="0.25">
      <c r="A46" s="129"/>
      <c r="B46" s="49" t="s">
        <v>69</v>
      </c>
      <c r="C46" s="81"/>
      <c r="D46" s="12">
        <f>C46*1.5</f>
        <v>0</v>
      </c>
      <c r="F46" s="37"/>
      <c r="G46" s="62"/>
      <c r="H46" s="154"/>
      <c r="I46" s="154"/>
      <c r="J46" s="154"/>
      <c r="K46" s="21"/>
      <c r="P46" s="4"/>
      <c r="Q46" s="4"/>
      <c r="R46" s="5"/>
    </row>
    <row r="47" spans="1:18" ht="15.75" x14ac:dyDescent="0.25">
      <c r="A47" s="130"/>
      <c r="B47" s="27"/>
      <c r="C47" s="11"/>
      <c r="D47" s="12"/>
      <c r="F47" s="59"/>
      <c r="G47" s="59"/>
      <c r="H47" s="131"/>
      <c r="I47" s="132"/>
      <c r="J47" s="133"/>
      <c r="K47" s="21"/>
      <c r="P47" s="4"/>
      <c r="Q47" s="4"/>
      <c r="R47" s="5"/>
    </row>
    <row r="48" spans="1:18" ht="15" customHeight="1" x14ac:dyDescent="0.25">
      <c r="A48" s="128" t="s">
        <v>32</v>
      </c>
      <c r="B48" s="27" t="s">
        <v>65</v>
      </c>
      <c r="C48" s="10"/>
      <c r="D48" s="12">
        <f>C48*78</f>
        <v>0</v>
      </c>
      <c r="F48" s="59"/>
      <c r="G48" s="59"/>
      <c r="H48" s="131"/>
      <c r="I48" s="132"/>
      <c r="J48" s="13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9"/>
      <c r="B49" s="29" t="s">
        <v>67</v>
      </c>
      <c r="C49" s="33"/>
      <c r="D49" s="12">
        <f>C49*42</f>
        <v>0</v>
      </c>
      <c r="F49" s="134" t="s">
        <v>85</v>
      </c>
      <c r="G49" s="136">
        <f>H34+H35+H36+H37+H38+H39+H40+H41+G42+H44+H45+H46</f>
        <v>0</v>
      </c>
      <c r="H49" s="137"/>
      <c r="I49" s="137"/>
      <c r="J49" s="13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9"/>
      <c r="B50" s="32" t="s">
        <v>69</v>
      </c>
      <c r="C50" s="11"/>
      <c r="D50" s="12">
        <f>C50*1.5</f>
        <v>0</v>
      </c>
      <c r="F50" s="135"/>
      <c r="G50" s="139"/>
      <c r="H50" s="140"/>
      <c r="I50" s="140"/>
      <c r="J50" s="141"/>
      <c r="O50" t="s">
        <v>114</v>
      </c>
      <c r="P50" s="4">
        <v>1204</v>
      </c>
      <c r="Q50" s="4"/>
      <c r="R50" s="5"/>
    </row>
    <row r="51" spans="1:18" ht="15" customHeight="1" x14ac:dyDescent="0.25">
      <c r="A51" s="129"/>
      <c r="B51" s="27"/>
      <c r="C51" s="10"/>
      <c r="D51" s="31"/>
      <c r="F51" s="142" t="s">
        <v>115</v>
      </c>
      <c r="G51" s="144">
        <f>G49-H29</f>
        <v>0</v>
      </c>
      <c r="H51" s="145"/>
      <c r="I51" s="145"/>
      <c r="J51" s="14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9"/>
      <c r="B52" s="29"/>
      <c r="C52" s="33"/>
      <c r="D52" s="45"/>
      <c r="F52" s="143"/>
      <c r="G52" s="147"/>
      <c r="H52" s="148"/>
      <c r="I52" s="148"/>
      <c r="J52" s="14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4" t="s">
        <v>89</v>
      </c>
      <c r="B54" s="115"/>
      <c r="C54" s="116"/>
      <c r="D54" s="120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7"/>
      <c r="B55" s="118"/>
      <c r="C55" s="119"/>
      <c r="D55" s="1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2" t="s">
        <v>90</v>
      </c>
      <c r="B58" s="123"/>
      <c r="C58" s="123"/>
      <c r="D58" s="124"/>
      <c r="F58" s="122" t="s">
        <v>91</v>
      </c>
      <c r="G58" s="123"/>
      <c r="H58" s="123"/>
      <c r="I58" s="123"/>
      <c r="J58" s="124"/>
    </row>
    <row r="59" spans="1:18" x14ac:dyDescent="0.25">
      <c r="A59" s="125"/>
      <c r="B59" s="126"/>
      <c r="C59" s="126"/>
      <c r="D59" s="127"/>
      <c r="F59" s="125"/>
      <c r="G59" s="126"/>
      <c r="H59" s="126"/>
      <c r="I59" s="126"/>
      <c r="J59" s="12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A7DCD8-3CE5-4EAB-B5F7-F28AD55F7D3F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0" t="s">
        <v>1</v>
      </c>
      <c r="O1" s="210"/>
      <c r="P1" s="107" t="s">
        <v>2</v>
      </c>
      <c r="Q1" s="10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1" t="s">
        <v>7</v>
      </c>
      <c r="B4" s="162"/>
      <c r="C4" s="162"/>
      <c r="D4" s="163"/>
      <c r="F4" s="211" t="s">
        <v>8</v>
      </c>
      <c r="G4" s="213"/>
      <c r="H4" s="215" t="s">
        <v>9</v>
      </c>
      <c r="I4" s="217"/>
      <c r="J4" s="21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5" t="s">
        <v>7</v>
      </c>
      <c r="B5" s="15" t="s">
        <v>11</v>
      </c>
      <c r="C5" s="9" t="s">
        <v>12</v>
      </c>
      <c r="D5" s="25" t="s">
        <v>13</v>
      </c>
      <c r="F5" s="212"/>
      <c r="G5" s="214"/>
      <c r="H5" s="216"/>
      <c r="I5" s="219"/>
      <c r="J5" s="22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6"/>
      <c r="B6" s="16"/>
      <c r="C6" s="10"/>
      <c r="D6" s="13">
        <f t="shared" ref="D6:D28" si="1">C6*L6</f>
        <v>0</v>
      </c>
      <c r="F6" s="221" t="s">
        <v>16</v>
      </c>
      <c r="G6" s="223"/>
      <c r="H6" s="224"/>
      <c r="I6" s="224"/>
      <c r="J6" s="22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6"/>
      <c r="B7" s="16"/>
      <c r="C7" s="10"/>
      <c r="D7" s="13">
        <f t="shared" si="1"/>
        <v>0</v>
      </c>
      <c r="F7" s="222"/>
      <c r="G7" s="226"/>
      <c r="H7" s="227"/>
      <c r="I7" s="227"/>
      <c r="J7" s="22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6"/>
      <c r="B8" s="16"/>
      <c r="C8" s="10"/>
      <c r="D8" s="13">
        <f t="shared" si="1"/>
        <v>0</v>
      </c>
      <c r="F8" s="229" t="s">
        <v>21</v>
      </c>
      <c r="G8" s="230"/>
      <c r="H8" s="231"/>
      <c r="I8" s="231"/>
      <c r="J8" s="23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6"/>
      <c r="B9" s="16"/>
      <c r="C9" s="10"/>
      <c r="D9" s="13">
        <f t="shared" si="1"/>
        <v>0</v>
      </c>
      <c r="F9" s="222"/>
      <c r="G9" s="233"/>
      <c r="H9" s="234"/>
      <c r="I9" s="234"/>
      <c r="J9" s="23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6"/>
      <c r="C10" s="10"/>
      <c r="D10" s="13">
        <f t="shared" si="1"/>
        <v>0</v>
      </c>
      <c r="F10" s="221" t="s">
        <v>26</v>
      </c>
      <c r="G10" s="236"/>
      <c r="H10" s="237"/>
      <c r="I10" s="237"/>
      <c r="J10" s="238"/>
      <c r="K10" s="8"/>
      <c r="L10" s="6">
        <f>R36</f>
        <v>972</v>
      </c>
      <c r="P10" s="4"/>
      <c r="Q10" s="4"/>
      <c r="R10" s="5"/>
    </row>
    <row r="11" spans="1:19" ht="15.75" x14ac:dyDescent="0.25">
      <c r="A11" s="156"/>
      <c r="B11" s="17"/>
      <c r="C11" s="10"/>
      <c r="D11" s="13">
        <f t="shared" si="1"/>
        <v>0</v>
      </c>
      <c r="F11" s="222"/>
      <c r="G11" s="233"/>
      <c r="H11" s="234"/>
      <c r="I11" s="234"/>
      <c r="J11" s="23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6"/>
      <c r="B12" s="17"/>
      <c r="C12" s="10"/>
      <c r="D12" s="48">
        <f t="shared" si="1"/>
        <v>0</v>
      </c>
      <c r="F12" s="239" t="s">
        <v>33</v>
      </c>
      <c r="G12" s="240"/>
      <c r="H12" s="240"/>
      <c r="I12" s="240"/>
      <c r="J12" s="24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6"/>
      <c r="B13" s="17"/>
      <c r="C13" s="10"/>
      <c r="D13" s="48">
        <f t="shared" si="1"/>
        <v>0</v>
      </c>
      <c r="F13" s="242" t="s">
        <v>36</v>
      </c>
      <c r="G13" s="206"/>
      <c r="H13" s="197">
        <f>D29</f>
        <v>0</v>
      </c>
      <c r="I13" s="198"/>
      <c r="J13" s="19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6"/>
      <c r="B14" s="14"/>
      <c r="C14" s="10"/>
      <c r="D14" s="31">
        <f t="shared" si="1"/>
        <v>0</v>
      </c>
      <c r="F14" s="200" t="s">
        <v>38</v>
      </c>
      <c r="G14" s="201"/>
      <c r="H14" s="202">
        <f>D54</f>
        <v>0</v>
      </c>
      <c r="I14" s="203"/>
      <c r="J14" s="20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6"/>
      <c r="B15" s="14"/>
      <c r="C15" s="10"/>
      <c r="D15" s="31">
        <f t="shared" si="1"/>
        <v>0</v>
      </c>
      <c r="F15" s="205" t="s">
        <v>39</v>
      </c>
      <c r="G15" s="206"/>
      <c r="H15" s="207">
        <f>H13-H14</f>
        <v>0</v>
      </c>
      <c r="I15" s="208"/>
      <c r="J15" s="20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6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7"/>
      <c r="I16" s="167"/>
      <c r="J16" s="16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6"/>
      <c r="C17" s="10"/>
      <c r="D17" s="48">
        <f t="shared" si="1"/>
        <v>0</v>
      </c>
      <c r="F17" s="56"/>
      <c r="G17" s="66" t="s">
        <v>44</v>
      </c>
      <c r="H17" s="178"/>
      <c r="I17" s="178"/>
      <c r="J17" s="17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6"/>
      <c r="B18" s="19"/>
      <c r="C18" s="10"/>
      <c r="D18" s="48">
        <f t="shared" si="1"/>
        <v>0</v>
      </c>
      <c r="F18" s="56"/>
      <c r="G18" s="66" t="s">
        <v>46</v>
      </c>
      <c r="H18" s="178"/>
      <c r="I18" s="178"/>
      <c r="J18" s="17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6"/>
      <c r="B19" s="14"/>
      <c r="C19" s="10"/>
      <c r="D19" s="48">
        <f t="shared" si="1"/>
        <v>0</v>
      </c>
      <c r="F19" s="56"/>
      <c r="G19" s="68" t="s">
        <v>49</v>
      </c>
      <c r="H19" s="179"/>
      <c r="I19" s="179"/>
      <c r="J19" s="17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6"/>
      <c r="B20" s="46"/>
      <c r="C20" s="10"/>
      <c r="D20" s="13">
        <f t="shared" si="1"/>
        <v>0</v>
      </c>
      <c r="F20" s="57"/>
      <c r="G20" s="70" t="s">
        <v>102</v>
      </c>
      <c r="H20" s="167"/>
      <c r="I20" s="167"/>
      <c r="J20" s="167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6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80" t="s">
        <v>13</v>
      </c>
      <c r="I21" s="181"/>
      <c r="J21" s="182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6"/>
      <c r="B22" s="46"/>
      <c r="C22" s="10"/>
      <c r="D22" s="48">
        <f t="shared" si="1"/>
        <v>0</v>
      </c>
      <c r="F22" s="77"/>
      <c r="G22" s="73"/>
      <c r="H22" s="183"/>
      <c r="I22" s="183"/>
      <c r="J22" s="183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6"/>
      <c r="B23" s="14"/>
      <c r="C23" s="10"/>
      <c r="D23" s="48">
        <f t="shared" si="1"/>
        <v>0</v>
      </c>
      <c r="F23" s="78"/>
      <c r="G23" s="79"/>
      <c r="H23" s="184"/>
      <c r="I23" s="153"/>
      <c r="J23" s="153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6"/>
      <c r="B24" s="14"/>
      <c r="C24" s="10"/>
      <c r="D24" s="48">
        <f t="shared" si="1"/>
        <v>0</v>
      </c>
      <c r="F24" s="38"/>
      <c r="G24" s="37"/>
      <c r="H24" s="184"/>
      <c r="I24" s="153"/>
      <c r="J24" s="153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6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5" t="s">
        <v>13</v>
      </c>
      <c r="I25" s="186"/>
      <c r="J25" s="187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6"/>
      <c r="B26" s="14"/>
      <c r="C26" s="10"/>
      <c r="D26" s="48">
        <f t="shared" si="1"/>
        <v>0</v>
      </c>
      <c r="F26" s="64"/>
      <c r="G26" s="59"/>
      <c r="H26" s="188"/>
      <c r="I26" s="189"/>
      <c r="J26" s="190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6"/>
      <c r="B27" s="14"/>
      <c r="C27" s="10"/>
      <c r="D27" s="44">
        <f t="shared" si="1"/>
        <v>0</v>
      </c>
      <c r="F27" s="25"/>
      <c r="G27" s="80"/>
      <c r="H27" s="191"/>
      <c r="I27" s="192"/>
      <c r="J27" s="193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7"/>
      <c r="B28" s="46"/>
      <c r="C28" s="10"/>
      <c r="D28" s="48">
        <f t="shared" si="1"/>
        <v>0</v>
      </c>
      <c r="F28" s="108"/>
      <c r="G28" s="61"/>
      <c r="H28" s="194"/>
      <c r="I28" s="195"/>
      <c r="J28" s="196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8" t="s">
        <v>36</v>
      </c>
      <c r="B29" s="169"/>
      <c r="C29" s="170"/>
      <c r="D29" s="174">
        <f>SUM(D6:D28)</f>
        <v>0</v>
      </c>
      <c r="F29" s="114" t="s">
        <v>54</v>
      </c>
      <c r="G29" s="176"/>
      <c r="H29" s="136">
        <f>H15-H16-H17-H18-H19-H20-H22-H23-H24+H26+H27</f>
        <v>0</v>
      </c>
      <c r="I29" s="137"/>
      <c r="J29" s="13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1"/>
      <c r="B30" s="172"/>
      <c r="C30" s="173"/>
      <c r="D30" s="175"/>
      <c r="F30" s="117"/>
      <c r="G30" s="177"/>
      <c r="H30" s="139"/>
      <c r="I30" s="140"/>
      <c r="J30" s="14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1" t="s">
        <v>57</v>
      </c>
      <c r="B32" s="162"/>
      <c r="C32" s="162"/>
      <c r="D32" s="163"/>
      <c r="F32" s="164" t="s">
        <v>58</v>
      </c>
      <c r="G32" s="165"/>
      <c r="H32" s="165"/>
      <c r="I32" s="165"/>
      <c r="J32" s="166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9" t="s">
        <v>62</v>
      </c>
      <c r="H33" s="164" t="s">
        <v>13</v>
      </c>
      <c r="I33" s="165"/>
      <c r="J33" s="16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5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58"/>
      <c r="I34" s="159"/>
      <c r="J34" s="160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6"/>
      <c r="B35" s="27" t="s">
        <v>67</v>
      </c>
      <c r="C35" s="52"/>
      <c r="D35" s="30">
        <f>C35*84</f>
        <v>0</v>
      </c>
      <c r="F35" s="58">
        <v>500</v>
      </c>
      <c r="G35" s="41"/>
      <c r="H35" s="158"/>
      <c r="I35" s="159"/>
      <c r="J35" s="16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7"/>
      <c r="B36" s="26" t="s">
        <v>69</v>
      </c>
      <c r="C36" s="10"/>
      <c r="D36" s="12">
        <f>C36*1.5</f>
        <v>0</v>
      </c>
      <c r="F36" s="12">
        <v>200</v>
      </c>
      <c r="G36" s="37"/>
      <c r="H36" s="158"/>
      <c r="I36" s="159"/>
      <c r="J36" s="160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8"/>
      <c r="I37" s="159"/>
      <c r="J37" s="160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6"/>
      <c r="B38" s="29" t="s">
        <v>67</v>
      </c>
      <c r="C38" s="54"/>
      <c r="D38" s="12">
        <f>C38*84</f>
        <v>0</v>
      </c>
      <c r="F38" s="30">
        <v>50</v>
      </c>
      <c r="G38" s="39"/>
      <c r="H38" s="158"/>
      <c r="I38" s="159"/>
      <c r="J38" s="160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7"/>
      <c r="B39" s="29" t="s">
        <v>69</v>
      </c>
      <c r="C39" s="52"/>
      <c r="D39" s="31">
        <f>C39*4.5</f>
        <v>0</v>
      </c>
      <c r="F39" s="12">
        <v>20</v>
      </c>
      <c r="G39" s="37"/>
      <c r="H39" s="158"/>
      <c r="I39" s="159"/>
      <c r="J39" s="16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8"/>
      <c r="I40" s="159"/>
      <c r="J40" s="160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6"/>
      <c r="B41" s="27" t="s">
        <v>67</v>
      </c>
      <c r="C41" s="10"/>
      <c r="D41" s="12">
        <f>C41*84</f>
        <v>0</v>
      </c>
      <c r="F41" s="12">
        <v>5</v>
      </c>
      <c r="G41" s="42"/>
      <c r="H41" s="158"/>
      <c r="I41" s="159"/>
      <c r="J41" s="160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7"/>
      <c r="B42" s="27" t="s">
        <v>69</v>
      </c>
      <c r="C42" s="11"/>
      <c r="D42" s="12">
        <f>C42*2.25</f>
        <v>0</v>
      </c>
      <c r="F42" s="39" t="s">
        <v>78</v>
      </c>
      <c r="G42" s="158"/>
      <c r="H42" s="159"/>
      <c r="I42" s="159"/>
      <c r="J42" s="160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8" t="s">
        <v>80</v>
      </c>
      <c r="C43" s="11"/>
      <c r="D43" s="12"/>
      <c r="F43" s="59" t="s">
        <v>81</v>
      </c>
      <c r="G43" s="105" t="s">
        <v>82</v>
      </c>
      <c r="H43" s="150" t="s">
        <v>13</v>
      </c>
      <c r="I43" s="151"/>
      <c r="J43" s="152"/>
      <c r="K43" s="21"/>
      <c r="P43" s="4"/>
      <c r="Q43" s="4"/>
      <c r="R43" s="5"/>
    </row>
    <row r="44" spans="1:18" ht="15.75" x14ac:dyDescent="0.25">
      <c r="A44" s="129"/>
      <c r="B44" s="27" t="s">
        <v>65</v>
      </c>
      <c r="C44" s="10"/>
      <c r="D44" s="12">
        <f>C44*120</f>
        <v>0</v>
      </c>
      <c r="F44" s="37"/>
      <c r="G44" s="76"/>
      <c r="H44" s="153"/>
      <c r="I44" s="153"/>
      <c r="J44" s="153"/>
      <c r="K44" s="21"/>
      <c r="P44" s="4"/>
      <c r="Q44" s="4"/>
      <c r="R44" s="5"/>
    </row>
    <row r="45" spans="1:18" ht="15.75" x14ac:dyDescent="0.25">
      <c r="A45" s="129"/>
      <c r="B45" s="27" t="s">
        <v>67</v>
      </c>
      <c r="C45" s="33"/>
      <c r="D45" s="12">
        <f>C45*84</f>
        <v>0</v>
      </c>
      <c r="F45" s="37"/>
      <c r="G45" s="76"/>
      <c r="H45" s="153"/>
      <c r="I45" s="153"/>
      <c r="J45" s="153"/>
      <c r="K45" s="21"/>
      <c r="P45" s="4"/>
      <c r="Q45" s="4"/>
      <c r="R45" s="5"/>
    </row>
    <row r="46" spans="1:18" ht="15.75" x14ac:dyDescent="0.25">
      <c r="A46" s="129"/>
      <c r="B46" s="49" t="s">
        <v>69</v>
      </c>
      <c r="C46" s="81"/>
      <c r="D46" s="12">
        <f>C46*1.5</f>
        <v>0</v>
      </c>
      <c r="F46" s="37"/>
      <c r="G46" s="62"/>
      <c r="H46" s="154"/>
      <c r="I46" s="154"/>
      <c r="J46" s="154"/>
      <c r="K46" s="21"/>
      <c r="P46" s="4"/>
      <c r="Q46" s="4"/>
      <c r="R46" s="5"/>
    </row>
    <row r="47" spans="1:18" ht="15.75" x14ac:dyDescent="0.25">
      <c r="A47" s="130"/>
      <c r="B47" s="27"/>
      <c r="C47" s="11"/>
      <c r="D47" s="12"/>
      <c r="F47" s="59"/>
      <c r="G47" s="59"/>
      <c r="H47" s="131"/>
      <c r="I47" s="132"/>
      <c r="J47" s="133"/>
      <c r="K47" s="21"/>
      <c r="P47" s="4"/>
      <c r="Q47" s="4"/>
      <c r="R47" s="5"/>
    </row>
    <row r="48" spans="1:18" ht="15" customHeight="1" x14ac:dyDescent="0.25">
      <c r="A48" s="128" t="s">
        <v>32</v>
      </c>
      <c r="B48" s="27" t="s">
        <v>65</v>
      </c>
      <c r="C48" s="10"/>
      <c r="D48" s="12">
        <f>C48*78</f>
        <v>0</v>
      </c>
      <c r="F48" s="59"/>
      <c r="G48" s="59"/>
      <c r="H48" s="131"/>
      <c r="I48" s="132"/>
      <c r="J48" s="13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9"/>
      <c r="B49" s="29" t="s">
        <v>67</v>
      </c>
      <c r="C49" s="33"/>
      <c r="D49" s="12">
        <f>C49*42</f>
        <v>0</v>
      </c>
      <c r="F49" s="134" t="s">
        <v>85</v>
      </c>
      <c r="G49" s="136">
        <f>H34+H35+H36+H37+H38+H39+H40+H41+G42+H44+H45+H46</f>
        <v>0</v>
      </c>
      <c r="H49" s="137"/>
      <c r="I49" s="137"/>
      <c r="J49" s="13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9"/>
      <c r="B50" s="32" t="s">
        <v>69</v>
      </c>
      <c r="C50" s="11"/>
      <c r="D50" s="12">
        <f>C50*1.5</f>
        <v>0</v>
      </c>
      <c r="F50" s="135"/>
      <c r="G50" s="139"/>
      <c r="H50" s="140"/>
      <c r="I50" s="140"/>
      <c r="J50" s="141"/>
      <c r="P50" s="4"/>
      <c r="Q50" s="4"/>
      <c r="R50" s="5"/>
    </row>
    <row r="51" spans="1:18" ht="15" customHeight="1" x14ac:dyDescent="0.25">
      <c r="A51" s="129"/>
      <c r="B51" s="27"/>
      <c r="C51" s="10"/>
      <c r="D51" s="31"/>
      <c r="F51" s="142" t="s">
        <v>106</v>
      </c>
      <c r="G51" s="144">
        <f>G49-H29</f>
        <v>0</v>
      </c>
      <c r="H51" s="145"/>
      <c r="I51" s="145"/>
      <c r="J51" s="146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9"/>
      <c r="B52" s="29"/>
      <c r="C52" s="33"/>
      <c r="D52" s="45"/>
      <c r="F52" s="143"/>
      <c r="G52" s="147"/>
      <c r="H52" s="148"/>
      <c r="I52" s="148"/>
      <c r="J52" s="14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4" t="s">
        <v>89</v>
      </c>
      <c r="B54" s="115"/>
      <c r="C54" s="116"/>
      <c r="D54" s="120">
        <f>SUM(D34:D53)</f>
        <v>0</v>
      </c>
      <c r="F54" s="21"/>
      <c r="J54" s="34"/>
    </row>
    <row r="55" spans="1:18" x14ac:dyDescent="0.25">
      <c r="A55" s="117"/>
      <c r="B55" s="118"/>
      <c r="C55" s="119"/>
      <c r="D55" s="1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2" t="s">
        <v>90</v>
      </c>
      <c r="B58" s="123"/>
      <c r="C58" s="123"/>
      <c r="D58" s="124"/>
      <c r="F58" s="122" t="s">
        <v>91</v>
      </c>
      <c r="G58" s="123"/>
      <c r="H58" s="123"/>
      <c r="I58" s="123"/>
      <c r="J58" s="124"/>
    </row>
    <row r="59" spans="1:18" x14ac:dyDescent="0.25">
      <c r="A59" s="125"/>
      <c r="B59" s="126"/>
      <c r="C59" s="126"/>
      <c r="D59" s="127"/>
      <c r="F59" s="125"/>
      <c r="G59" s="126"/>
      <c r="H59" s="126"/>
      <c r="I59" s="126"/>
      <c r="J59" s="12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49</vt:i4>
      </vt:variant>
      <vt:variant>
        <vt:lpstr>Named Ranges</vt:lpstr>
      </vt:variant>
      <vt:variant>
        <vt:i4>48</vt:i4>
      </vt:variant>
    </vt:vector>
  </HeadingPairs>
  <TitlesOfParts>
    <vt:vector size="97" baseType="lpstr">
      <vt:lpstr>(MAY 2026)</vt:lpstr>
      <vt:lpstr>(01)</vt:lpstr>
      <vt:lpstr>05,01 R1</vt:lpstr>
      <vt:lpstr>05,01 R2</vt:lpstr>
      <vt:lpstr>05,01 R3</vt:lpstr>
      <vt:lpstr>(2)</vt:lpstr>
      <vt:lpstr>05,02 R3</vt:lpstr>
      <vt:lpstr>(4)</vt:lpstr>
      <vt:lpstr>05,04 R1</vt:lpstr>
      <vt:lpstr>05,04 R2</vt:lpstr>
      <vt:lpstr>05,04 R3</vt:lpstr>
      <vt:lpstr>(5)</vt:lpstr>
      <vt:lpstr>05,05 R1</vt:lpstr>
      <vt:lpstr>05,05 R2</vt:lpstr>
      <vt:lpstr>05,05 R3</vt:lpstr>
      <vt:lpstr>(6)</vt:lpstr>
      <vt:lpstr>05,06 R1</vt:lpstr>
      <vt:lpstr>05,06 R2</vt:lpstr>
      <vt:lpstr>05,06 R3</vt:lpstr>
      <vt:lpstr>(7)</vt:lpstr>
      <vt:lpstr>05,07 R1</vt:lpstr>
      <vt:lpstr>05,07 R1 (2)</vt:lpstr>
      <vt:lpstr>05,07 R2</vt:lpstr>
      <vt:lpstr>05,07 R3</vt:lpstr>
      <vt:lpstr>(8)</vt:lpstr>
      <vt:lpstr>05,08 R1</vt:lpstr>
      <vt:lpstr>05,08 R2</vt:lpstr>
      <vt:lpstr>05,08 R3</vt:lpstr>
      <vt:lpstr>(11)</vt:lpstr>
      <vt:lpstr>05,11 R1</vt:lpstr>
      <vt:lpstr>05,11 R2</vt:lpstr>
      <vt:lpstr>05,11 R3</vt:lpstr>
      <vt:lpstr>(12)</vt:lpstr>
      <vt:lpstr>05,12 R1</vt:lpstr>
      <vt:lpstr>05,12 R2</vt:lpstr>
      <vt:lpstr>05,12 R3</vt:lpstr>
      <vt:lpstr>(13)</vt:lpstr>
      <vt:lpstr>05,13 R1</vt:lpstr>
      <vt:lpstr>05,13 R2</vt:lpstr>
      <vt:lpstr>05,13 R3</vt:lpstr>
      <vt:lpstr>(14)</vt:lpstr>
      <vt:lpstr>05,14 R1</vt:lpstr>
      <vt:lpstr>05,14 R2</vt:lpstr>
      <vt:lpstr>05,14 R3</vt:lpstr>
      <vt:lpstr>(15)</vt:lpstr>
      <vt:lpstr>05,15 R1</vt:lpstr>
      <vt:lpstr>05,15 R2</vt:lpstr>
      <vt:lpstr>05,15 R3</vt:lpstr>
      <vt:lpstr>(16)</vt:lpstr>
      <vt:lpstr>'(01)'!Print_Area</vt:lpstr>
      <vt:lpstr>'(11)'!Print_Area</vt:lpstr>
      <vt:lpstr>'(12)'!Print_Area</vt:lpstr>
      <vt:lpstr>'(13)'!Print_Area</vt:lpstr>
      <vt:lpstr>'(14)'!Print_Area</vt:lpstr>
      <vt:lpstr>'(15)'!Print_Area</vt:lpstr>
      <vt:lpstr>'(16)'!Print_Area</vt:lpstr>
      <vt:lpstr>'(2)'!Print_Area</vt:lpstr>
      <vt:lpstr>'(4)'!Print_Area</vt:lpstr>
      <vt:lpstr>'(5)'!Print_Area</vt:lpstr>
      <vt:lpstr>'(6)'!Print_Area</vt:lpstr>
      <vt:lpstr>'(7)'!Print_Area</vt:lpstr>
      <vt:lpstr>'(8)'!Print_Area</vt:lpstr>
      <vt:lpstr>'05,01 R1'!Print_Area</vt:lpstr>
      <vt:lpstr>'05,01 R2'!Print_Area</vt:lpstr>
      <vt:lpstr>'05,01 R3'!Print_Area</vt:lpstr>
      <vt:lpstr>'05,02 R3'!Print_Area</vt:lpstr>
      <vt:lpstr>'05,04 R1'!Print_Area</vt:lpstr>
      <vt:lpstr>'05,04 R2'!Print_Area</vt:lpstr>
      <vt:lpstr>'05,04 R3'!Print_Area</vt:lpstr>
      <vt:lpstr>'05,05 R1'!Print_Area</vt:lpstr>
      <vt:lpstr>'05,05 R2'!Print_Area</vt:lpstr>
      <vt:lpstr>'05,05 R3'!Print_Area</vt:lpstr>
      <vt:lpstr>'05,06 R1'!Print_Area</vt:lpstr>
      <vt:lpstr>'05,06 R2'!Print_Area</vt:lpstr>
      <vt:lpstr>'05,06 R3'!Print_Area</vt:lpstr>
      <vt:lpstr>'05,07 R1'!Print_Area</vt:lpstr>
      <vt:lpstr>'05,07 R1 (2)'!Print_Area</vt:lpstr>
      <vt:lpstr>'05,07 R2'!Print_Area</vt:lpstr>
      <vt:lpstr>'05,07 R3'!Print_Area</vt:lpstr>
      <vt:lpstr>'05,08 R1'!Print_Area</vt:lpstr>
      <vt:lpstr>'05,08 R2'!Print_Area</vt:lpstr>
      <vt:lpstr>'05,08 R3'!Print_Area</vt:lpstr>
      <vt:lpstr>'05,11 R1'!Print_Area</vt:lpstr>
      <vt:lpstr>'05,11 R2'!Print_Area</vt:lpstr>
      <vt:lpstr>'05,11 R3'!Print_Area</vt:lpstr>
      <vt:lpstr>'05,12 R1'!Print_Area</vt:lpstr>
      <vt:lpstr>'05,12 R2'!Print_Area</vt:lpstr>
      <vt:lpstr>'05,12 R3'!Print_Area</vt:lpstr>
      <vt:lpstr>'05,13 R1'!Print_Area</vt:lpstr>
      <vt:lpstr>'05,13 R2'!Print_Area</vt:lpstr>
      <vt:lpstr>'05,13 R3'!Print_Area</vt:lpstr>
      <vt:lpstr>'05,14 R1'!Print_Area</vt:lpstr>
      <vt:lpstr>'05,14 R2'!Print_Area</vt:lpstr>
      <vt:lpstr>'05,14 R3'!Print_Area</vt:lpstr>
      <vt:lpstr>'05,15 R1'!Print_Area</vt:lpstr>
      <vt:lpstr>'05,15 R2'!Print_Area</vt:lpstr>
      <vt:lpstr>'05,15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2026-05-08T00:11:23Z</cp:lastPrinted>
  <dcterms:created xsi:type="dcterms:W3CDTF">2024-09-01T23:36:50Z</dcterms:created>
  <dcterms:modified xsi:type="dcterms:W3CDTF">2026-05-08T00:12:20Z</dcterms:modified>
</cp:coreProperties>
</file>