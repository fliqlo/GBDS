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220A209-0BFC-402C-8793-8C09AB0452CA}" xr6:coauthVersionLast="45" xr6:coauthVersionMax="47" xr10:uidLastSave="{00000000-0000-0000-0000-000000000000}"/>
  <bookViews>
    <workbookView xWindow="-120" yWindow="-120" windowWidth="29040" windowHeight="15840" firstSheet="89" activeTab="98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 ORG" sheetId="2106" r:id="rId58"/>
    <sheet name="05,19 R1 NEW" sheetId="2128" r:id="rId59"/>
    <sheet name="05,19 R1 COLLECTION" sheetId="2083" r:id="rId60"/>
    <sheet name="05,19 R2" sheetId="2084" r:id="rId61"/>
    <sheet name="05,19 R3" sheetId="2085" r:id="rId62"/>
    <sheet name="(20)" sheetId="2086" r:id="rId63"/>
    <sheet name="05,20 R1" sheetId="2087" r:id="rId64"/>
    <sheet name="05,20 R2" sheetId="2088" r:id="rId65"/>
    <sheet name="05,20 R3" sheetId="2089" r:id="rId66"/>
    <sheet name="(21)" sheetId="2090" r:id="rId67"/>
    <sheet name="05,21 R1" sheetId="2091" r:id="rId68"/>
    <sheet name="05,21 R2" sheetId="2092" r:id="rId69"/>
    <sheet name="05,21 R3" sheetId="2093" r:id="rId70"/>
    <sheet name="(22)" sheetId="2094" r:id="rId71"/>
    <sheet name="05,22 R1" sheetId="2095" r:id="rId72"/>
    <sheet name="05,22 R1 Collection" sheetId="2107" r:id="rId73"/>
    <sheet name="05,22 R2" sheetId="2096" r:id="rId74"/>
    <sheet name="05,22 R3 NO TRIP" sheetId="2097" r:id="rId75"/>
    <sheet name="(23)" sheetId="2098" r:id="rId76"/>
    <sheet name="05,23 R1" sheetId="2099" r:id="rId77"/>
    <sheet name="05,23 R2" sheetId="2100" r:id="rId78"/>
    <sheet name="05,23 R3" sheetId="2101" r:id="rId79"/>
    <sheet name="(25)" sheetId="2102" r:id="rId80"/>
    <sheet name="05,25 R1" sheetId="2103" r:id="rId81"/>
    <sheet name="05,25 R2" sheetId="2104" r:id="rId82"/>
    <sheet name="05,25 R3" sheetId="2105" r:id="rId83"/>
    <sheet name="(26)" sheetId="2108" r:id="rId84"/>
    <sheet name="05,26 R1" sheetId="2109" r:id="rId85"/>
    <sheet name="05,26 R2" sheetId="2110" r:id="rId86"/>
    <sheet name="05,26 R3" sheetId="2111" r:id="rId87"/>
    <sheet name="(27)" sheetId="2112" r:id="rId88"/>
    <sheet name="05,27 R1" sheetId="2113" r:id="rId89"/>
    <sheet name="05,27 R2" sheetId="2114" r:id="rId90"/>
    <sheet name="05,27 R3" sheetId="2115" r:id="rId91"/>
    <sheet name="(28)" sheetId="2116" r:id="rId92"/>
    <sheet name="05,28 R1" sheetId="2117" r:id="rId93"/>
    <sheet name="05,28 R2" sheetId="2118" r:id="rId94"/>
    <sheet name="05,28 R3" sheetId="2119" r:id="rId95"/>
    <sheet name="(29)" sheetId="2120" r:id="rId96"/>
    <sheet name="05,29 R1" sheetId="2121" r:id="rId97"/>
    <sheet name="05,29 R2" sheetId="2122" r:id="rId98"/>
    <sheet name="05,29 R3" sheetId="2123" r:id="rId99"/>
    <sheet name="(30)" sheetId="2124" r:id="rId100"/>
    <sheet name="05,30 R1" sheetId="2125" r:id="rId101"/>
    <sheet name="05,30 R2" sheetId="2126" r:id="rId102"/>
    <sheet name="05,30 R3" sheetId="2127" r:id="rId103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5">'(23)'!$A$1:$J$60</definedName>
    <definedName name="_xlnm.Print_Area" localSheetId="79">'(25)'!$A$1:$J$60</definedName>
    <definedName name="_xlnm.Print_Area" localSheetId="83">'(26)'!$A$1:$J$60</definedName>
    <definedName name="_xlnm.Print_Area" localSheetId="87">'(27)'!$A$1:$J$60</definedName>
    <definedName name="_xlnm.Print_Area" localSheetId="91">'(28)'!$A$1:$J$60</definedName>
    <definedName name="_xlnm.Print_Area" localSheetId="95">'(29)'!$A$1:$J$60</definedName>
    <definedName name="_xlnm.Print_Area" localSheetId="99">'(30)'!$A$1:$J$60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9">'05,19 R1 COLLECTION'!$A$1:$J$60</definedName>
    <definedName name="_xlnm.Print_Area" localSheetId="58">'05,19 R1 NEW'!$A$1:$J$60</definedName>
    <definedName name="_xlnm.Print_Area" localSheetId="57">'05,19 R1 ORG'!$A$1:$J$60</definedName>
    <definedName name="_xlnm.Print_Area" localSheetId="60">'05,19 R2'!$A$1:$J$60</definedName>
    <definedName name="_xlnm.Print_Area" localSheetId="61">'05,19 R3'!$A$1:$J$60</definedName>
    <definedName name="_xlnm.Print_Area" localSheetId="63">'05,20 R1'!$A$1:$J$60</definedName>
    <definedName name="_xlnm.Print_Area" localSheetId="64">'05,20 R2'!$A$1:$J$60</definedName>
    <definedName name="_xlnm.Print_Area" localSheetId="65">'05,20 R3'!$A$1:$J$60</definedName>
    <definedName name="_xlnm.Print_Area" localSheetId="67">'05,21 R1'!$A$1:$J$60</definedName>
    <definedName name="_xlnm.Print_Area" localSheetId="68">'05,21 R2'!$A$1:$J$60</definedName>
    <definedName name="_xlnm.Print_Area" localSheetId="69">'05,21 R3'!$A$1:$J$60</definedName>
    <definedName name="_xlnm.Print_Area" localSheetId="71">'05,22 R1'!$A$1:$J$60</definedName>
    <definedName name="_xlnm.Print_Area" localSheetId="72">'05,22 R1 Collection'!$A$1:$J$60</definedName>
    <definedName name="_xlnm.Print_Area" localSheetId="73">'05,22 R2'!$A$1:$J$60</definedName>
    <definedName name="_xlnm.Print_Area" localSheetId="74">'05,22 R3 NO TRIP'!$A$1:$J$60</definedName>
    <definedName name="_xlnm.Print_Area" localSheetId="76">'05,23 R1'!$A$1:$J$60</definedName>
    <definedName name="_xlnm.Print_Area" localSheetId="77">'05,23 R2'!$A$1:$J$60</definedName>
    <definedName name="_xlnm.Print_Area" localSheetId="78">'05,23 R3'!$A$1:$J$60</definedName>
    <definedName name="_xlnm.Print_Area" localSheetId="80">'05,25 R1'!$A$1:$J$60</definedName>
    <definedName name="_xlnm.Print_Area" localSheetId="81">'05,25 R2'!$A$1:$J$60</definedName>
    <definedName name="_xlnm.Print_Area" localSheetId="82">'05,25 R3'!$A$1:$J$60</definedName>
    <definedName name="_xlnm.Print_Area" localSheetId="84">'05,26 R1'!$A$1:$J$60</definedName>
    <definedName name="_xlnm.Print_Area" localSheetId="85">'05,26 R2'!$A$1:$J$60</definedName>
    <definedName name="_xlnm.Print_Area" localSheetId="86">'05,26 R3'!$A$1:$J$60</definedName>
    <definedName name="_xlnm.Print_Area" localSheetId="88">'05,27 R1'!$A$1:$J$60</definedName>
    <definedName name="_xlnm.Print_Area" localSheetId="89">'05,27 R2'!$A$1:$J$60</definedName>
    <definedName name="_xlnm.Print_Area" localSheetId="90">'05,27 R3'!$A$1:$J$60</definedName>
    <definedName name="_xlnm.Print_Area" localSheetId="92">'05,28 R1'!$A$1:$J$60</definedName>
    <definedName name="_xlnm.Print_Area" localSheetId="93">'05,28 R2'!$A$1:$J$60</definedName>
    <definedName name="_xlnm.Print_Area" localSheetId="94">'05,28 R3'!$A$1:$J$60</definedName>
    <definedName name="_xlnm.Print_Area" localSheetId="96">'05,29 R1'!$A$1:$J$60</definedName>
    <definedName name="_xlnm.Print_Area" localSheetId="97">'05,29 R2'!$A$1:$J$60</definedName>
    <definedName name="_xlnm.Print_Area" localSheetId="98">'05,29 R3'!$A$1:$J$60</definedName>
    <definedName name="_xlnm.Print_Area" localSheetId="100">'05,30 R1'!$A$1:$J$60</definedName>
    <definedName name="_xlnm.Print_Area" localSheetId="101">'05,30 R2'!$A$1:$J$60</definedName>
    <definedName name="_xlnm.Print_Area" localSheetId="102">'05,30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4" i="2121" l="1"/>
  <c r="C20" i="2121" l="1"/>
  <c r="L28" i="2121"/>
  <c r="H16" i="2123" l="1"/>
  <c r="L21" i="2121"/>
  <c r="C21" i="2121"/>
  <c r="C18" i="2121"/>
  <c r="C16" i="2121"/>
  <c r="H16" i="2119" l="1"/>
  <c r="C37" i="2119"/>
  <c r="C16" i="2119"/>
  <c r="C12" i="2117"/>
  <c r="L25" i="2115" l="1"/>
  <c r="H16" i="2111" l="1"/>
  <c r="C37" i="2111"/>
  <c r="C16" i="2111" l="1"/>
  <c r="C16" i="2110"/>
  <c r="D37" i="2109"/>
  <c r="C16" i="2109"/>
  <c r="H16" i="2105" l="1"/>
  <c r="G42" i="2128" l="1"/>
  <c r="L42" i="2128"/>
  <c r="G38" i="2128"/>
  <c r="G37" i="2128"/>
  <c r="G35" i="2128"/>
  <c r="G34" i="2128"/>
  <c r="C37" i="2128"/>
  <c r="C48" i="2128"/>
  <c r="H34" i="2128" l="1"/>
  <c r="H35" i="2128"/>
  <c r="H37" i="2128"/>
  <c r="R52" i="2128"/>
  <c r="R51" i="2128"/>
  <c r="D50" i="2128"/>
  <c r="R49" i="2128"/>
  <c r="D49" i="2128"/>
  <c r="R48" i="2128"/>
  <c r="D48" i="2128"/>
  <c r="D46" i="2128"/>
  <c r="D45" i="2128"/>
  <c r="R44" i="2128"/>
  <c r="L28" i="2128" s="1"/>
  <c r="D28" i="2128" s="1"/>
  <c r="D44" i="2128"/>
  <c r="R42" i="2128"/>
  <c r="D42" i="2128"/>
  <c r="R41" i="2128"/>
  <c r="L7" i="2128" s="1"/>
  <c r="D7" i="2128" s="1"/>
  <c r="D41" i="2128"/>
  <c r="R40" i="2128"/>
  <c r="D40" i="2128"/>
  <c r="R39" i="2128"/>
  <c r="H39" i="2128"/>
  <c r="D39" i="2128"/>
  <c r="R38" i="2128"/>
  <c r="L38" i="2128"/>
  <c r="H38" i="2128"/>
  <c r="D38" i="2128"/>
  <c r="R37" i="2128"/>
  <c r="L37" i="2128"/>
  <c r="D37" i="2128"/>
  <c r="R36" i="2128"/>
  <c r="H36" i="2128"/>
  <c r="D36" i="2128"/>
  <c r="R35" i="2128"/>
  <c r="L18" i="2128" s="1"/>
  <c r="D18" i="2128" s="1"/>
  <c r="L35" i="2128"/>
  <c r="D35" i="2128"/>
  <c r="R34" i="2128"/>
  <c r="L12" i="2128" s="1"/>
  <c r="D12" i="2128" s="1"/>
  <c r="L34" i="2128"/>
  <c r="D34" i="2128"/>
  <c r="R33" i="2128"/>
  <c r="L19" i="2128" s="1"/>
  <c r="D19" i="2128" s="1"/>
  <c r="R32" i="2128"/>
  <c r="L11" i="2128" s="1"/>
  <c r="D11" i="2128" s="1"/>
  <c r="R31" i="2128"/>
  <c r="R30" i="2128"/>
  <c r="R29" i="2128"/>
  <c r="R28" i="2128"/>
  <c r="R27" i="2128"/>
  <c r="L27" i="2128"/>
  <c r="D27" i="2128"/>
  <c r="R26" i="2128"/>
  <c r="L26" i="2128"/>
  <c r="D26" i="2128"/>
  <c r="R25" i="2128"/>
  <c r="L25" i="2128"/>
  <c r="D25" i="2128"/>
  <c r="R24" i="2128"/>
  <c r="L24" i="2128"/>
  <c r="D24" i="2128"/>
  <c r="R23" i="2128"/>
  <c r="L23" i="2128"/>
  <c r="D23" i="2128"/>
  <c r="R22" i="2128"/>
  <c r="L22" i="2128"/>
  <c r="D22" i="2128"/>
  <c r="R21" i="2128"/>
  <c r="L17" i="2128" s="1"/>
  <c r="D17" i="2128" s="1"/>
  <c r="L21" i="2128"/>
  <c r="D21" i="2128"/>
  <c r="R20" i="2128"/>
  <c r="L20" i="2128"/>
  <c r="D20" i="2128"/>
  <c r="R19" i="2128"/>
  <c r="R18" i="2128"/>
  <c r="R17" i="2128"/>
  <c r="R16" i="2128"/>
  <c r="L16" i="2128"/>
  <c r="D16" i="2128"/>
  <c r="R15" i="2128"/>
  <c r="L15" i="2128"/>
  <c r="D15" i="2128"/>
  <c r="R14" i="2128"/>
  <c r="D14" i="2128"/>
  <c r="R13" i="2128"/>
  <c r="D13" i="2128"/>
  <c r="R12" i="2128"/>
  <c r="R11" i="2128"/>
  <c r="L10" i="2128"/>
  <c r="D10" i="2128"/>
  <c r="L9" i="2128"/>
  <c r="D9" i="2128"/>
  <c r="L8" i="2128"/>
  <c r="D8" i="2128" s="1"/>
  <c r="R6" i="2128"/>
  <c r="L6" i="2128"/>
  <c r="D6" i="2128"/>
  <c r="D29" i="2128" s="1"/>
  <c r="H13" i="2128" s="1"/>
  <c r="R5" i="2128"/>
  <c r="R4" i="2128"/>
  <c r="L38" i="2106"/>
  <c r="L37" i="2106"/>
  <c r="L35" i="2106"/>
  <c r="L34" i="2106"/>
  <c r="D54" i="2128" l="1"/>
  <c r="H14" i="2128" s="1"/>
  <c r="H15" i="2128" s="1"/>
  <c r="H29" i="2128" s="1"/>
  <c r="G49" i="2128"/>
  <c r="R52" i="2127"/>
  <c r="R51" i="2127"/>
  <c r="D50" i="2127"/>
  <c r="R49" i="2127"/>
  <c r="G49" i="2127"/>
  <c r="D49" i="2127"/>
  <c r="R48" i="2127"/>
  <c r="D48" i="2127"/>
  <c r="D46" i="2127"/>
  <c r="D45" i="2127"/>
  <c r="R44" i="2127"/>
  <c r="L28" i="2127" s="1"/>
  <c r="D28" i="2127" s="1"/>
  <c r="D44" i="2127"/>
  <c r="R42" i="2127"/>
  <c r="D42" i="2127"/>
  <c r="R41" i="2127"/>
  <c r="D41" i="2127"/>
  <c r="R40" i="2127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L11" i="2127" s="1"/>
  <c r="D11" i="2127" s="1"/>
  <c r="R31" i="2127"/>
  <c r="R30" i="2127"/>
  <c r="R29" i="2127"/>
  <c r="R28" i="2127"/>
  <c r="R27" i="2127"/>
  <c r="L27" i="2127"/>
  <c r="D27" i="2127"/>
  <c r="R26" i="2127"/>
  <c r="L26" i="2127"/>
  <c r="D26" i="2127"/>
  <c r="R25" i="2127"/>
  <c r="L25" i="2127"/>
  <c r="D25" i="2127"/>
  <c r="R24" i="2127"/>
  <c r="L24" i="2127"/>
  <c r="D24" i="2127" s="1"/>
  <c r="R23" i="2127"/>
  <c r="L23" i="2127"/>
  <c r="D23" i="2127" s="1"/>
  <c r="R22" i="2127"/>
  <c r="L20" i="2127" s="1"/>
  <c r="D20" i="2127" s="1"/>
  <c r="L22" i="2127"/>
  <c r="D22" i="2127"/>
  <c r="R21" i="2127"/>
  <c r="L21" i="2127"/>
  <c r="D21" i="2127"/>
  <c r="R20" i="2127"/>
  <c r="R19" i="2127"/>
  <c r="R18" i="2127"/>
  <c r="L18" i="2127"/>
  <c r="D18" i="2127"/>
  <c r="R17" i="2127"/>
  <c r="L17" i="2127"/>
  <c r="D17" i="2127" s="1"/>
  <c r="R16" i="2127"/>
  <c r="R15" i="2127"/>
  <c r="L15" i="2127"/>
  <c r="D15" i="2127"/>
  <c r="R14" i="2127"/>
  <c r="D14" i="2127"/>
  <c r="R13" i="2127"/>
  <c r="D13" i="2127"/>
  <c r="R12" i="2127"/>
  <c r="L12" i="2127"/>
  <c r="D12" i="2127" s="1"/>
  <c r="R11" i="2127"/>
  <c r="L9" i="2127"/>
  <c r="D9" i="2127" s="1"/>
  <c r="L8" i="2127"/>
  <c r="D8" i="2127"/>
  <c r="L7" i="2127"/>
  <c r="D7" i="2127" s="1"/>
  <c r="R6" i="2127"/>
  <c r="L16" i="2127" s="1"/>
  <c r="D16" i="2127" s="1"/>
  <c r="L6" i="2127"/>
  <c r="D6" i="2127" s="1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D44" i="2126"/>
  <c r="R42" i="2126"/>
  <c r="D42" i="2126"/>
  <c r="R41" i="2126"/>
  <c r="L7" i="2126" s="1"/>
  <c r="D7" i="2126" s="1"/>
  <c r="D41" i="2126"/>
  <c r="R40" i="2126"/>
  <c r="L8" i="2126" s="1"/>
  <c r="D8" i="2126" s="1"/>
  <c r="D40" i="2126"/>
  <c r="R39" i="2126"/>
  <c r="H39" i="2126"/>
  <c r="D39" i="2126"/>
  <c r="R38" i="2126"/>
  <c r="H38" i="2126"/>
  <c r="D38" i="2126"/>
  <c r="R37" i="2126"/>
  <c r="H37" i="2126"/>
  <c r="D37" i="2126"/>
  <c r="R36" i="2126"/>
  <c r="H36" i="2126"/>
  <c r="D36" i="2126"/>
  <c r="R35" i="2126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L19" i="2126" s="1"/>
  <c r="D19" i="2126" s="1"/>
  <c r="R32" i="2126"/>
  <c r="R31" i="2126"/>
  <c r="R30" i="2126"/>
  <c r="R29" i="2126"/>
  <c r="R28" i="2126"/>
  <c r="L28" i="2126"/>
  <c r="D28" i="2126"/>
  <c r="R27" i="2126"/>
  <c r="L27" i="2126"/>
  <c r="D27" i="2126" s="1"/>
  <c r="R26" i="2126"/>
  <c r="L26" i="2126"/>
  <c r="D26" i="2126" s="1"/>
  <c r="R25" i="2126"/>
  <c r="L25" i="2126"/>
  <c r="D25" i="2126"/>
  <c r="R24" i="2126"/>
  <c r="L24" i="2126"/>
  <c r="D24" i="2126"/>
  <c r="R23" i="2126"/>
  <c r="L23" i="2126"/>
  <c r="D23" i="2126" s="1"/>
  <c r="R22" i="2126"/>
  <c r="L22" i="2126"/>
  <c r="D22" i="2126" s="1"/>
  <c r="R21" i="2126"/>
  <c r="L17" i="2126" s="1"/>
  <c r="D17" i="2126" s="1"/>
  <c r="D21" i="2126"/>
  <c r="R20" i="2126"/>
  <c r="L20" i="2126"/>
  <c r="D20" i="2126"/>
  <c r="R19" i="2126"/>
  <c r="R18" i="2126"/>
  <c r="L18" i="2126"/>
  <c r="D18" i="2126" s="1"/>
  <c r="R17" i="2126"/>
  <c r="R16" i="2126"/>
  <c r="R15" i="2126"/>
  <c r="L15" i="2126"/>
  <c r="D15" i="2126" s="1"/>
  <c r="R14" i="2126"/>
  <c r="D14" i="2126"/>
  <c r="R13" i="2126"/>
  <c r="D13" i="2126"/>
  <c r="R12" i="2126"/>
  <c r="R11" i="2126"/>
  <c r="L11" i="2126"/>
  <c r="D11" i="2126" s="1"/>
  <c r="L10" i="2126"/>
  <c r="D10" i="2126"/>
  <c r="L9" i="2126"/>
  <c r="D9" i="2126"/>
  <c r="R6" i="2126"/>
  <c r="L16" i="2126" s="1"/>
  <c r="D16" i="2126" s="1"/>
  <c r="L6" i="2126"/>
  <c r="D6" i="2126"/>
  <c r="D29" i="2126" s="1"/>
  <c r="H13" i="2126" s="1"/>
  <c r="H15" i="2126" s="1"/>
  <c r="H29" i="2126" s="1"/>
  <c r="R5" i="2126"/>
  <c r="R4" i="2126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L9" i="2125" s="1"/>
  <c r="D9" i="2125" s="1"/>
  <c r="H38" i="2125"/>
  <c r="D38" i="2125"/>
  <c r="R37" i="2125"/>
  <c r="H37" i="2125"/>
  <c r="D37" i="2125"/>
  <c r="R36" i="2125"/>
  <c r="L10" i="2125" s="1"/>
  <c r="D10" i="2125" s="1"/>
  <c r="H36" i="2125"/>
  <c r="D36" i="2125"/>
  <c r="R35" i="2125"/>
  <c r="H35" i="2125"/>
  <c r="D35" i="2125"/>
  <c r="R34" i="2125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/>
  <c r="R23" i="2125"/>
  <c r="L23" i="2125"/>
  <c r="D23" i="2125" s="1"/>
  <c r="R22" i="2125"/>
  <c r="L20" i="2125" s="1"/>
  <c r="D20" i="2125" s="1"/>
  <c r="L22" i="2125"/>
  <c r="D22" i="2125"/>
  <c r="R21" i="2125"/>
  <c r="L21" i="2125"/>
  <c r="D21" i="2125"/>
  <c r="R20" i="2125"/>
  <c r="R19" i="2125"/>
  <c r="L19" i="2125"/>
  <c r="D19" i="2125" s="1"/>
  <c r="R18" i="2125"/>
  <c r="L18" i="2125"/>
  <c r="D18" i="2125"/>
  <c r="R17" i="2125"/>
  <c r="L17" i="2125"/>
  <c r="D17" i="2125" s="1"/>
  <c r="R16" i="2125"/>
  <c r="R15" i="2125"/>
  <c r="L15" i="2125"/>
  <c r="D15" i="2125" s="1"/>
  <c r="R14" i="2125"/>
  <c r="D14" i="2125"/>
  <c r="R13" i="2125"/>
  <c r="D13" i="2125"/>
  <c r="R12" i="2125"/>
  <c r="L12" i="2125"/>
  <c r="D12" i="2125" s="1"/>
  <c r="R11" i="2125"/>
  <c r="L8" i="2125"/>
  <c r="D8" i="2125"/>
  <c r="L7" i="2125"/>
  <c r="D7" i="2125"/>
  <c r="R6" i="2125"/>
  <c r="L16" i="2125" s="1"/>
  <c r="D16" i="2125" s="1"/>
  <c r="L6" i="2125"/>
  <c r="D6" i="2125" s="1"/>
  <c r="R5" i="2125"/>
  <c r="R4" i="2125"/>
  <c r="R52" i="2124"/>
  <c r="R51" i="2124"/>
  <c r="D50" i="2124"/>
  <c r="R49" i="2124"/>
  <c r="G49" i="2124"/>
  <c r="D49" i="2124"/>
  <c r="R48" i="2124"/>
  <c r="D48" i="2124"/>
  <c r="D46" i="2124"/>
  <c r="D45" i="2124"/>
  <c r="D44" i="2124"/>
  <c r="R42" i="2124"/>
  <c r="D42" i="2124"/>
  <c r="R41" i="2124"/>
  <c r="L7" i="2124" s="1"/>
  <c r="D7" i="2124" s="1"/>
  <c r="D41" i="2124"/>
  <c r="R40" i="2124"/>
  <c r="L8" i="2124" s="1"/>
  <c r="D8" i="2124" s="1"/>
  <c r="D40" i="2124"/>
  <c r="R39" i="2124"/>
  <c r="D39" i="2124"/>
  <c r="R38" i="2124"/>
  <c r="D38" i="2124"/>
  <c r="R37" i="2124"/>
  <c r="D37" i="2124"/>
  <c r="R36" i="2124"/>
  <c r="L10" i="2124" s="1"/>
  <c r="D10" i="2124" s="1"/>
  <c r="D36" i="2124"/>
  <c r="R35" i="2124"/>
  <c r="D35" i="2124"/>
  <c r="R34" i="2124"/>
  <c r="L12" i="2124" s="1"/>
  <c r="D12" i="2124" s="1"/>
  <c r="D34" i="2124"/>
  <c r="D54" i="2124" s="1"/>
  <c r="H14" i="2124" s="1"/>
  <c r="R33" i="2124"/>
  <c r="L23" i="2124" s="1"/>
  <c r="D23" i="2124" s="1"/>
  <c r="R32" i="2124"/>
  <c r="R31" i="2124"/>
  <c r="R30" i="2124"/>
  <c r="R29" i="2124"/>
  <c r="R28" i="2124"/>
  <c r="L16" i="2124" s="1"/>
  <c r="D16" i="2124" s="1"/>
  <c r="D28" i="2124"/>
  <c r="R27" i="2124"/>
  <c r="D27" i="2124"/>
  <c r="R26" i="2124"/>
  <c r="L26" i="2124"/>
  <c r="D26" i="2124"/>
  <c r="R25" i="2124"/>
  <c r="L25" i="2124"/>
  <c r="D25" i="2124"/>
  <c r="R24" i="2124"/>
  <c r="D24" i="2124"/>
  <c r="R23" i="2124"/>
  <c r="R22" i="2124"/>
  <c r="L22" i="2124"/>
  <c r="D22" i="2124"/>
  <c r="R21" i="2124"/>
  <c r="D21" i="2124"/>
  <c r="R20" i="2124"/>
  <c r="L20" i="2124"/>
  <c r="D20" i="2124"/>
  <c r="R19" i="2124"/>
  <c r="L19" i="2124"/>
  <c r="D19" i="2124"/>
  <c r="R18" i="2124"/>
  <c r="D18" i="2124"/>
  <c r="R17" i="2124"/>
  <c r="D17" i="2124"/>
  <c r="R16" i="2124"/>
  <c r="S15" i="2124"/>
  <c r="R15" i="2124"/>
  <c r="D15" i="2124"/>
  <c r="S14" i="2124"/>
  <c r="R14" i="2124"/>
  <c r="D14" i="2124"/>
  <c r="R13" i="2124"/>
  <c r="D13" i="2124"/>
  <c r="R12" i="2124"/>
  <c r="R11" i="2124"/>
  <c r="L11" i="2124"/>
  <c r="D11" i="2124"/>
  <c r="L9" i="2124"/>
  <c r="D9" i="2124"/>
  <c r="R6" i="2124"/>
  <c r="L6" i="2124"/>
  <c r="D6" i="2124" s="1"/>
  <c r="R5" i="2124"/>
  <c r="R4" i="2124"/>
  <c r="R52" i="2123"/>
  <c r="R51" i="2123"/>
  <c r="D50" i="2123"/>
  <c r="R49" i="2123"/>
  <c r="D49" i="2123"/>
  <c r="R48" i="2123"/>
  <c r="D48" i="2123"/>
  <c r="D46" i="2123"/>
  <c r="D45" i="2123"/>
  <c r="R44" i="2123"/>
  <c r="D44" i="2123"/>
  <c r="R42" i="2123"/>
  <c r="D42" i="2123"/>
  <c r="R41" i="2123"/>
  <c r="L7" i="2123" s="1"/>
  <c r="D7" i="2123" s="1"/>
  <c r="D41" i="2123"/>
  <c r="R40" i="2123"/>
  <c r="D40" i="2123"/>
  <c r="R39" i="2123"/>
  <c r="H39" i="2123"/>
  <c r="D39" i="2123"/>
  <c r="R38" i="2123"/>
  <c r="H38" i="2123"/>
  <c r="D38" i="2123"/>
  <c r="R37" i="2123"/>
  <c r="H37" i="2123"/>
  <c r="D37" i="2123"/>
  <c r="R36" i="2123"/>
  <c r="L10" i="2123" s="1"/>
  <c r="D10" i="2123" s="1"/>
  <c r="H36" i="2123"/>
  <c r="D36" i="2123"/>
  <c r="R35" i="2123"/>
  <c r="L18" i="2123" s="1"/>
  <c r="D18" i="2123" s="1"/>
  <c r="H35" i="2123"/>
  <c r="D35" i="2123"/>
  <c r="R34" i="2123"/>
  <c r="H34" i="2123"/>
  <c r="D34" i="2123"/>
  <c r="R33" i="2123"/>
  <c r="L19" i="2123" s="1"/>
  <c r="D19" i="2123" s="1"/>
  <c r="R32" i="2123"/>
  <c r="L11" i="2123" s="1"/>
  <c r="D11" i="2123" s="1"/>
  <c r="R31" i="2123"/>
  <c r="R30" i="2123"/>
  <c r="R29" i="2123"/>
  <c r="R28" i="2123"/>
  <c r="L28" i="2123"/>
  <c r="D28" i="2123"/>
  <c r="R27" i="2123"/>
  <c r="L27" i="2123"/>
  <c r="D27" i="2123" s="1"/>
  <c r="R26" i="2123"/>
  <c r="L26" i="2123"/>
  <c r="D26" i="2123"/>
  <c r="R25" i="2123"/>
  <c r="L25" i="2123"/>
  <c r="D25" i="2123"/>
  <c r="R24" i="2123"/>
  <c r="L24" i="2123"/>
  <c r="D24" i="2123"/>
  <c r="R23" i="2123"/>
  <c r="L23" i="2123"/>
  <c r="D23" i="2123" s="1"/>
  <c r="R22" i="2123"/>
  <c r="L22" i="2123"/>
  <c r="D22" i="2123" s="1"/>
  <c r="R21" i="2123"/>
  <c r="L21" i="2123"/>
  <c r="D21" i="2123"/>
  <c r="R20" i="2123"/>
  <c r="L20" i="2123"/>
  <c r="D20" i="2123" s="1"/>
  <c r="R19" i="2123"/>
  <c r="R18" i="2123"/>
  <c r="R17" i="2123"/>
  <c r="L17" i="2123"/>
  <c r="D17" i="2123"/>
  <c r="R16" i="2123"/>
  <c r="R15" i="2123"/>
  <c r="R14" i="2123"/>
  <c r="D14" i="2123"/>
  <c r="R13" i="2123"/>
  <c r="D13" i="2123"/>
  <c r="R12" i="2123"/>
  <c r="L12" i="2123"/>
  <c r="D12" i="2123"/>
  <c r="R11" i="2123"/>
  <c r="L9" i="2123"/>
  <c r="D9" i="2123" s="1"/>
  <c r="L8" i="2123"/>
  <c r="D8" i="2123" s="1"/>
  <c r="R6" i="2123"/>
  <c r="L16" i="2123" s="1"/>
  <c r="D16" i="2123" s="1"/>
  <c r="L6" i="2123"/>
  <c r="D6" i="2123" s="1"/>
  <c r="R5" i="2123"/>
  <c r="R4" i="2123"/>
  <c r="L15" i="2123" s="1"/>
  <c r="D15" i="2123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H36" i="2122"/>
  <c r="D36" i="2122"/>
  <c r="R35" i="2122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 s="1"/>
  <c r="R25" i="2122"/>
  <c r="L25" i="2122"/>
  <c r="D25" i="2122"/>
  <c r="R24" i="2122"/>
  <c r="L24" i="2122"/>
  <c r="D24" i="2122"/>
  <c r="R23" i="2122"/>
  <c r="L23" i="2122"/>
  <c r="D23" i="2122"/>
  <c r="R22" i="2122"/>
  <c r="L20" i="2122" s="1"/>
  <c r="D20" i="2122" s="1"/>
  <c r="L22" i="2122"/>
  <c r="D22" i="2122" s="1"/>
  <c r="R21" i="2122"/>
  <c r="D21" i="2122"/>
  <c r="R20" i="2122"/>
  <c r="R19" i="2122"/>
  <c r="L19" i="2122"/>
  <c r="D19" i="2122" s="1"/>
  <c r="R18" i="2122"/>
  <c r="L18" i="2122"/>
  <c r="D18" i="2122" s="1"/>
  <c r="R17" i="2122"/>
  <c r="L17" i="2122"/>
  <c r="D17" i="2122"/>
  <c r="R16" i="2122"/>
  <c r="R15" i="2122"/>
  <c r="R14" i="2122"/>
  <c r="D14" i="2122"/>
  <c r="R13" i="2122"/>
  <c r="D13" i="2122"/>
  <c r="R12" i="2122"/>
  <c r="L12" i="2122"/>
  <c r="D12" i="2122"/>
  <c r="R11" i="2122"/>
  <c r="L11" i="2122"/>
  <c r="D11" i="2122"/>
  <c r="L10" i="2122"/>
  <c r="D10" i="2122"/>
  <c r="L9" i="2122"/>
  <c r="D9" i="2122"/>
  <c r="R6" i="2122"/>
  <c r="L16" i="2122" s="1"/>
  <c r="D16" i="2122" s="1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D28" i="2121" s="1"/>
  <c r="D44" i="2121"/>
  <c r="R42" i="2121"/>
  <c r="D42" i="2121"/>
  <c r="R41" i="2121"/>
  <c r="D41" i="2121"/>
  <c r="R40" i="212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H35" i="2121"/>
  <c r="D35" i="2121"/>
  <c r="R34" i="2121"/>
  <c r="H34" i="2121"/>
  <c r="D34" i="2121"/>
  <c r="R33" i="212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D24" i="2121"/>
  <c r="R23" i="2121"/>
  <c r="D23" i="2121"/>
  <c r="R22" i="2121"/>
  <c r="L20" i="2121" s="1"/>
  <c r="D20" i="2121" s="1"/>
  <c r="D22" i="2121"/>
  <c r="R21" i="2121"/>
  <c r="D21" i="2121"/>
  <c r="R20" i="2121"/>
  <c r="R19" i="2121"/>
  <c r="L19" i="2121"/>
  <c r="D19" i="2121"/>
  <c r="R18" i="2121"/>
  <c r="L18" i="2121"/>
  <c r="D18" i="2121"/>
  <c r="R17" i="2121"/>
  <c r="L17" i="2121"/>
  <c r="D17" i="2121" s="1"/>
  <c r="R16" i="2121"/>
  <c r="R15" i="2121"/>
  <c r="R14" i="2121"/>
  <c r="D14" i="2121"/>
  <c r="R13" i="2121"/>
  <c r="D13" i="2121"/>
  <c r="R12" i="2121"/>
  <c r="L12" i="2121"/>
  <c r="D12" i="2121" s="1"/>
  <c r="R11" i="2121"/>
  <c r="L11" i="2121"/>
  <c r="D11" i="2121" s="1"/>
  <c r="L9" i="2121"/>
  <c r="D9" i="2121"/>
  <c r="L8" i="2121"/>
  <c r="D8" i="2121" s="1"/>
  <c r="L7" i="2121"/>
  <c r="D7" i="2121"/>
  <c r="R6" i="2121"/>
  <c r="L16" i="2121" s="1"/>
  <c r="D16" i="2121" s="1"/>
  <c r="L6" i="2121"/>
  <c r="D6" i="2121" s="1"/>
  <c r="R5" i="2121"/>
  <c r="R4" i="2121"/>
  <c r="L15" i="2121" s="1"/>
  <c r="D15" i="2121" s="1"/>
  <c r="R52" i="2120"/>
  <c r="R51" i="2120"/>
  <c r="D50" i="2120"/>
  <c r="R49" i="2120"/>
  <c r="G49" i="2120"/>
  <c r="D49" i="2120"/>
  <c r="R48" i="2120"/>
  <c r="D48" i="2120"/>
  <c r="D46" i="2120"/>
  <c r="D45" i="2120"/>
  <c r="D44" i="2120"/>
  <c r="R42" i="2120"/>
  <c r="D42" i="2120"/>
  <c r="R41" i="2120"/>
  <c r="L7" i="2120" s="1"/>
  <c r="D7" i="2120" s="1"/>
  <c r="D41" i="2120"/>
  <c r="R40" i="2120"/>
  <c r="L8" i="2120" s="1"/>
  <c r="D8" i="2120" s="1"/>
  <c r="D40" i="2120"/>
  <c r="R39" i="2120"/>
  <c r="D39" i="2120"/>
  <c r="R38" i="2120"/>
  <c r="D38" i="2120"/>
  <c r="R37" i="2120"/>
  <c r="D37" i="2120"/>
  <c r="D54" i="2120" s="1"/>
  <c r="H14" i="2120" s="1"/>
  <c r="R36" i="2120"/>
  <c r="D36" i="2120"/>
  <c r="R35" i="2120"/>
  <c r="D35" i="2120"/>
  <c r="R34" i="2120"/>
  <c r="D34" i="2120"/>
  <c r="R33" i="2120"/>
  <c r="R32" i="2120"/>
  <c r="L11" i="2120" s="1"/>
  <c r="D11" i="2120" s="1"/>
  <c r="R31" i="2120"/>
  <c r="R30" i="2120"/>
  <c r="R29" i="2120"/>
  <c r="R28" i="2120"/>
  <c r="D28" i="2120"/>
  <c r="R27" i="2120"/>
  <c r="D27" i="2120"/>
  <c r="R26" i="2120"/>
  <c r="L26" i="2120"/>
  <c r="D26" i="2120"/>
  <c r="R25" i="2120"/>
  <c r="L25" i="2120"/>
  <c r="D25" i="2120"/>
  <c r="R24" i="2120"/>
  <c r="D24" i="2120"/>
  <c r="R23" i="2120"/>
  <c r="L23" i="2120"/>
  <c r="D23" i="2120" s="1"/>
  <c r="R22" i="2120"/>
  <c r="L22" i="2120"/>
  <c r="D22" i="2120"/>
  <c r="R21" i="2120"/>
  <c r="D21" i="2120"/>
  <c r="R20" i="2120"/>
  <c r="L20" i="2120"/>
  <c r="D20" i="2120"/>
  <c r="R19" i="2120"/>
  <c r="L19" i="2120"/>
  <c r="D19" i="2120"/>
  <c r="R18" i="2120"/>
  <c r="D18" i="2120"/>
  <c r="R17" i="2120"/>
  <c r="D17" i="2120"/>
  <c r="R16" i="2120"/>
  <c r="L16" i="2120"/>
  <c r="D16" i="2120" s="1"/>
  <c r="S15" i="2120"/>
  <c r="R15" i="2120"/>
  <c r="D15" i="2120"/>
  <c r="S14" i="2120"/>
  <c r="R14" i="2120"/>
  <c r="D14" i="2120"/>
  <c r="R13" i="2120"/>
  <c r="D13" i="2120"/>
  <c r="R12" i="2120"/>
  <c r="L12" i="2120"/>
  <c r="D12" i="2120" s="1"/>
  <c r="R11" i="2120"/>
  <c r="L10" i="2120"/>
  <c r="D10" i="2120"/>
  <c r="L9" i="2120"/>
  <c r="D9" i="2120" s="1"/>
  <c r="R6" i="2120"/>
  <c r="L6" i="2120"/>
  <c r="D6" i="2120" s="1"/>
  <c r="R5" i="2120"/>
  <c r="R4" i="2120"/>
  <c r="R52" i="2119"/>
  <c r="R51" i="2119"/>
  <c r="D50" i="2119"/>
  <c r="R49" i="2119"/>
  <c r="D49" i="2119"/>
  <c r="R48" i="2119"/>
  <c r="D48" i="2119"/>
  <c r="D46" i="2119"/>
  <c r="D45" i="2119"/>
  <c r="R44" i="2119"/>
  <c r="L28" i="2119" s="1"/>
  <c r="D28" i="2119" s="1"/>
  <c r="D44" i="2119"/>
  <c r="R42" i="2119"/>
  <c r="L6" i="2119" s="1"/>
  <c r="D6" i="2119" s="1"/>
  <c r="D42" i="2119"/>
  <c r="R41" i="2119"/>
  <c r="D41" i="2119"/>
  <c r="R40" i="2119"/>
  <c r="L8" i="2119" s="1"/>
  <c r="D8" i="2119" s="1"/>
  <c r="D40" i="2119"/>
  <c r="R39" i="2119"/>
  <c r="H39" i="2119"/>
  <c r="D39" i="2119"/>
  <c r="R38" i="2119"/>
  <c r="L9" i="2119" s="1"/>
  <c r="D9" i="2119" s="1"/>
  <c r="H38" i="2119"/>
  <c r="D38" i="2119"/>
  <c r="R37" i="2119"/>
  <c r="H37" i="2119"/>
  <c r="D37" i="2119"/>
  <c r="R36" i="2119"/>
  <c r="H36" i="2119"/>
  <c r="D36" i="2119"/>
  <c r="R35" i="2119"/>
  <c r="H35" i="2119"/>
  <c r="D35" i="2119"/>
  <c r="R34" i="2119"/>
  <c r="L12" i="2119" s="1"/>
  <c r="D12" i="2119" s="1"/>
  <c r="H34" i="2119"/>
  <c r="D34" i="2119"/>
  <c r="R33" i="2119"/>
  <c r="L19" i="2119" s="1"/>
  <c r="D19" i="2119" s="1"/>
  <c r="R32" i="2119"/>
  <c r="R31" i="2119"/>
  <c r="R30" i="2119"/>
  <c r="R29" i="2119"/>
  <c r="R28" i="2119"/>
  <c r="R27" i="2119"/>
  <c r="L27" i="2119"/>
  <c r="D27" i="2119"/>
  <c r="R26" i="2119"/>
  <c r="L26" i="2119"/>
  <c r="D26" i="2119" s="1"/>
  <c r="R25" i="2119"/>
  <c r="L25" i="2119"/>
  <c r="D25" i="2119" s="1"/>
  <c r="R24" i="2119"/>
  <c r="L24" i="2119"/>
  <c r="D24" i="2119"/>
  <c r="R23" i="2119"/>
  <c r="L23" i="2119"/>
  <c r="D23" i="2119"/>
  <c r="R22" i="2119"/>
  <c r="L20" i="2119" s="1"/>
  <c r="D20" i="2119" s="1"/>
  <c r="L22" i="2119"/>
  <c r="D22" i="2119"/>
  <c r="R21" i="2119"/>
  <c r="L21" i="2119"/>
  <c r="D21" i="2119"/>
  <c r="R20" i="2119"/>
  <c r="R19" i="2119"/>
  <c r="R18" i="2119"/>
  <c r="L18" i="2119"/>
  <c r="D18" i="2119" s="1"/>
  <c r="R17" i="2119"/>
  <c r="L17" i="2119"/>
  <c r="D17" i="2119" s="1"/>
  <c r="R16" i="2119"/>
  <c r="R15" i="2119"/>
  <c r="L15" i="2119"/>
  <c r="D15" i="2119"/>
  <c r="R14" i="2119"/>
  <c r="D14" i="2119"/>
  <c r="R13" i="2119"/>
  <c r="D13" i="2119"/>
  <c r="R12" i="2119"/>
  <c r="R11" i="2119"/>
  <c r="L11" i="2119"/>
  <c r="D11" i="2119"/>
  <c r="L10" i="2119"/>
  <c r="D10" i="2119" s="1"/>
  <c r="L7" i="2119"/>
  <c r="D7" i="2119"/>
  <c r="R6" i="2119"/>
  <c r="L16" i="2119" s="1"/>
  <c r="D16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D44" i="2118"/>
  <c r="R42" i="2118"/>
  <c r="D42" i="2118"/>
  <c r="R41" i="2118"/>
  <c r="L7" i="2118" s="1"/>
  <c r="D7" i="2118" s="1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L28" i="2118"/>
  <c r="D28" i="2118"/>
  <c r="R27" i="2118"/>
  <c r="L27" i="2118"/>
  <c r="D27" i="2118"/>
  <c r="R26" i="2118"/>
  <c r="L26" i="2118"/>
  <c r="D26" i="2118"/>
  <c r="R25" i="2118"/>
  <c r="L25" i="2118"/>
  <c r="D25" i="2118"/>
  <c r="R24" i="2118"/>
  <c r="L24" i="2118"/>
  <c r="D24" i="2118"/>
  <c r="R23" i="2118"/>
  <c r="L23" i="2118"/>
  <c r="D23" i="2118" s="1"/>
  <c r="R22" i="2118"/>
  <c r="L22" i="2118"/>
  <c r="D22" i="2118" s="1"/>
  <c r="R21" i="2118"/>
  <c r="L17" i="2118" s="1"/>
  <c r="D17" i="2118" s="1"/>
  <c r="D21" i="2118"/>
  <c r="R20" i="2118"/>
  <c r="L20" i="2118"/>
  <c r="D20" i="2118"/>
  <c r="R19" i="2118"/>
  <c r="R18" i="2118"/>
  <c r="L18" i="2118"/>
  <c r="D18" i="2118" s="1"/>
  <c r="R17" i="2118"/>
  <c r="R16" i="2118"/>
  <c r="R15" i="2118"/>
  <c r="R14" i="2118"/>
  <c r="D14" i="2118"/>
  <c r="R13" i="2118"/>
  <c r="D13" i="2118"/>
  <c r="R12" i="2118"/>
  <c r="R11" i="2118"/>
  <c r="L10" i="2118"/>
  <c r="D10" i="2118" s="1"/>
  <c r="L9" i="2118"/>
  <c r="D9" i="2118"/>
  <c r="R6" i="2118"/>
  <c r="L16" i="2118" s="1"/>
  <c r="D16" i="2118" s="1"/>
  <c r="L6" i="2118"/>
  <c r="D6" i="2118"/>
  <c r="R5" i="2118"/>
  <c r="R4" i="2118"/>
  <c r="L15" i="2118" s="1"/>
  <c r="D15" i="2118" s="1"/>
  <c r="R52" i="2117"/>
  <c r="R51" i="2117"/>
  <c r="D50" i="2117"/>
  <c r="R49" i="2117"/>
  <c r="D49" i="2117"/>
  <c r="R48" i="2117"/>
  <c r="D48" i="2117"/>
  <c r="D46" i="2117"/>
  <c r="D45" i="2117"/>
  <c r="R44" i="2117"/>
  <c r="D44" i="2117"/>
  <c r="R42" i="2117"/>
  <c r="L6" i="2117" s="1"/>
  <c r="D6" i="2117" s="1"/>
  <c r="D42" i="2117"/>
  <c r="R41" i="2117"/>
  <c r="D41" i="2117"/>
  <c r="R40" i="2117"/>
  <c r="L8" i="2117" s="1"/>
  <c r="D8" i="2117" s="1"/>
  <c r="D40" i="2117"/>
  <c r="R39" i="2117"/>
  <c r="H39" i="2117"/>
  <c r="D39" i="2117"/>
  <c r="R38" i="2117"/>
  <c r="L9" i="2117" s="1"/>
  <c r="D9" i="2117" s="1"/>
  <c r="H38" i="2117"/>
  <c r="D38" i="2117"/>
  <c r="R37" i="2117"/>
  <c r="H37" i="2117"/>
  <c r="D37" i="2117"/>
  <c r="R36" i="2117"/>
  <c r="H36" i="2117"/>
  <c r="D36" i="2117"/>
  <c r="R35" i="2117"/>
  <c r="H35" i="2117"/>
  <c r="D35" i="2117"/>
  <c r="R34" i="2117"/>
  <c r="L12" i="2117" s="1"/>
  <c r="D12" i="2117" s="1"/>
  <c r="H34" i="2117"/>
  <c r="D34" i="2117"/>
  <c r="R33" i="2117"/>
  <c r="R32" i="2117"/>
  <c r="R31" i="2117"/>
  <c r="R30" i="2117"/>
  <c r="R29" i="2117"/>
  <c r="R28" i="2117"/>
  <c r="L28" i="2117"/>
  <c r="D28" i="2117"/>
  <c r="R27" i="2117"/>
  <c r="L27" i="2117"/>
  <c r="D27" i="2117"/>
  <c r="R26" i="2117"/>
  <c r="L26" i="2117"/>
  <c r="D26" i="2117" s="1"/>
  <c r="R25" i="2117"/>
  <c r="L25" i="2117"/>
  <c r="D25" i="2117" s="1"/>
  <c r="R24" i="2117"/>
  <c r="L24" i="2117"/>
  <c r="D24" i="2117"/>
  <c r="R23" i="2117"/>
  <c r="L23" i="2117"/>
  <c r="D23" i="2117"/>
  <c r="R22" i="2117"/>
  <c r="L20" i="2117" s="1"/>
  <c r="D20" i="2117" s="1"/>
  <c r="L22" i="2117"/>
  <c r="D22" i="2117"/>
  <c r="R21" i="2117"/>
  <c r="L21" i="2117"/>
  <c r="D21" i="2117" s="1"/>
  <c r="R20" i="2117"/>
  <c r="R19" i="2117"/>
  <c r="L19" i="2117"/>
  <c r="D19" i="2117" s="1"/>
  <c r="R18" i="2117"/>
  <c r="L18" i="2117"/>
  <c r="D18" i="2117"/>
  <c r="R17" i="2117"/>
  <c r="L17" i="2117"/>
  <c r="D17" i="2117" s="1"/>
  <c r="R16" i="2117"/>
  <c r="L16" i="2117"/>
  <c r="D16" i="2117"/>
  <c r="R15" i="2117"/>
  <c r="L15" i="2117"/>
  <c r="D15" i="2117" s="1"/>
  <c r="R14" i="2117"/>
  <c r="D14" i="2117"/>
  <c r="R13" i="2117"/>
  <c r="D13" i="2117"/>
  <c r="R12" i="2117"/>
  <c r="R11" i="2117"/>
  <c r="L11" i="2117"/>
  <c r="D11" i="2117"/>
  <c r="L10" i="2117"/>
  <c r="D10" i="2117" s="1"/>
  <c r="L7" i="2117"/>
  <c r="D7" i="2117"/>
  <c r="R6" i="2117"/>
  <c r="R5" i="2117"/>
  <c r="R4" i="2117"/>
  <c r="R52" i="2116"/>
  <c r="R51" i="2116"/>
  <c r="D50" i="2116"/>
  <c r="R49" i="2116"/>
  <c r="G49" i="2116"/>
  <c r="D49" i="2116"/>
  <c r="R48" i="2116"/>
  <c r="D48" i="2116"/>
  <c r="D46" i="2116"/>
  <c r="D45" i="2116"/>
  <c r="D44" i="2116"/>
  <c r="R42" i="2116"/>
  <c r="L6" i="2116" s="1"/>
  <c r="D6" i="2116" s="1"/>
  <c r="D42" i="2116"/>
  <c r="R41" i="2116"/>
  <c r="L7" i="2116" s="1"/>
  <c r="D7" i="2116" s="1"/>
  <c r="D41" i="2116"/>
  <c r="D54" i="2116" s="1"/>
  <c r="H14" i="2116" s="1"/>
  <c r="R40" i="2116"/>
  <c r="D40" i="2116"/>
  <c r="R39" i="2116"/>
  <c r="D39" i="2116"/>
  <c r="R38" i="2116"/>
  <c r="L9" i="2116" s="1"/>
  <c r="D9" i="2116" s="1"/>
  <c r="D38" i="2116"/>
  <c r="R37" i="2116"/>
  <c r="D37" i="2116"/>
  <c r="R36" i="2116"/>
  <c r="D36" i="2116"/>
  <c r="R35" i="2116"/>
  <c r="D35" i="2116"/>
  <c r="R34" i="2116"/>
  <c r="L12" i="2116" s="1"/>
  <c r="D12" i="2116" s="1"/>
  <c r="D34" i="2116"/>
  <c r="R33" i="2116"/>
  <c r="L23" i="2116" s="1"/>
  <c r="D23" i="2116" s="1"/>
  <c r="R32" i="2116"/>
  <c r="L11" i="2116" s="1"/>
  <c r="D11" i="2116" s="1"/>
  <c r="R31" i="2116"/>
  <c r="R30" i="2116"/>
  <c r="R29" i="2116"/>
  <c r="R28" i="2116"/>
  <c r="D28" i="2116"/>
  <c r="R27" i="2116"/>
  <c r="D27" i="2116"/>
  <c r="R26" i="2116"/>
  <c r="L26" i="2116"/>
  <c r="D26" i="2116"/>
  <c r="R25" i="2116"/>
  <c r="L25" i="2116"/>
  <c r="D25" i="2116"/>
  <c r="R24" i="2116"/>
  <c r="D24" i="2116"/>
  <c r="R23" i="2116"/>
  <c r="R22" i="2116"/>
  <c r="L22" i="2116"/>
  <c r="D22" i="2116" s="1"/>
  <c r="R21" i="2116"/>
  <c r="D21" i="2116"/>
  <c r="R20" i="2116"/>
  <c r="L20" i="2116"/>
  <c r="D20" i="2116"/>
  <c r="R19" i="2116"/>
  <c r="L19" i="2116"/>
  <c r="D19" i="2116"/>
  <c r="R18" i="2116"/>
  <c r="D18" i="2116"/>
  <c r="R17" i="2116"/>
  <c r="D17" i="2116"/>
  <c r="R16" i="2116"/>
  <c r="L16" i="2116"/>
  <c r="D16" i="2116" s="1"/>
  <c r="S15" i="2116"/>
  <c r="R15" i="2116"/>
  <c r="D15" i="2116"/>
  <c r="S14" i="2116"/>
  <c r="R14" i="2116"/>
  <c r="D14" i="2116"/>
  <c r="R13" i="2116"/>
  <c r="D13" i="2116"/>
  <c r="R12" i="2116"/>
  <c r="R11" i="2116"/>
  <c r="L10" i="2116"/>
  <c r="D10" i="2116" s="1"/>
  <c r="L8" i="2116"/>
  <c r="D8" i="2116"/>
  <c r="R6" i="2116"/>
  <c r="R5" i="2116"/>
  <c r="R4" i="2116"/>
  <c r="R52" i="2115"/>
  <c r="R51" i="2115"/>
  <c r="D50" i="2115"/>
  <c r="R49" i="2115"/>
  <c r="D49" i="2115"/>
  <c r="R48" i="2115"/>
  <c r="D48" i="2115"/>
  <c r="D46" i="2115"/>
  <c r="D45" i="2115"/>
  <c r="R44" i="2115"/>
  <c r="D44" i="2115"/>
  <c r="R42" i="2115"/>
  <c r="D42" i="2115"/>
  <c r="R41" i="2115"/>
  <c r="D41" i="2115"/>
  <c r="R40" i="2115"/>
  <c r="D40" i="2115"/>
  <c r="R39" i="2115"/>
  <c r="H39" i="2115"/>
  <c r="D39" i="2115"/>
  <c r="R38" i="2115"/>
  <c r="L9" i="2115" s="1"/>
  <c r="D9" i="2115" s="1"/>
  <c r="H38" i="2115"/>
  <c r="D38" i="2115"/>
  <c r="R37" i="2115"/>
  <c r="H37" i="2115"/>
  <c r="D37" i="2115"/>
  <c r="R36" i="2115"/>
  <c r="H36" i="2115"/>
  <c r="D36" i="2115"/>
  <c r="R35" i="2115"/>
  <c r="L18" i="2115" s="1"/>
  <c r="D18" i="2115" s="1"/>
  <c r="H35" i="2115"/>
  <c r="D35" i="2115"/>
  <c r="R34" i="2115"/>
  <c r="H34" i="2115"/>
  <c r="D34" i="2115"/>
  <c r="R33" i="2115"/>
  <c r="R32" i="2115"/>
  <c r="L11" i="2115" s="1"/>
  <c r="D11" i="2115" s="1"/>
  <c r="R31" i="2115"/>
  <c r="R30" i="2115"/>
  <c r="R29" i="2115"/>
  <c r="R28" i="2115"/>
  <c r="L28" i="2115"/>
  <c r="D28" i="2115"/>
  <c r="R27" i="2115"/>
  <c r="L27" i="2115"/>
  <c r="D27" i="2115" s="1"/>
  <c r="R26" i="2115"/>
  <c r="L26" i="2115"/>
  <c r="D26" i="2115"/>
  <c r="R25" i="2115"/>
  <c r="D25" i="2115"/>
  <c r="R24" i="2115"/>
  <c r="L24" i="2115"/>
  <c r="D24" i="2115" s="1"/>
  <c r="R23" i="2115"/>
  <c r="L23" i="2115"/>
  <c r="D23" i="2115" s="1"/>
  <c r="R22" i="2115"/>
  <c r="L22" i="2115"/>
  <c r="D22" i="2115"/>
  <c r="R21" i="2115"/>
  <c r="L21" i="2115"/>
  <c r="D21" i="2115"/>
  <c r="R20" i="2115"/>
  <c r="L20" i="2115"/>
  <c r="D20" i="2115"/>
  <c r="R19" i="2115"/>
  <c r="L19" i="2115"/>
  <c r="D19" i="2115" s="1"/>
  <c r="R18" i="2115"/>
  <c r="R17" i="2115"/>
  <c r="L17" i="2115"/>
  <c r="D17" i="2115"/>
  <c r="R16" i="2115"/>
  <c r="R15" i="2115"/>
  <c r="R14" i="2115"/>
  <c r="D14" i="2115"/>
  <c r="R13" i="2115"/>
  <c r="D13" i="2115"/>
  <c r="R12" i="2115"/>
  <c r="L12" i="2115"/>
  <c r="D12" i="2115"/>
  <c r="R11" i="2115"/>
  <c r="L10" i="2115"/>
  <c r="D10" i="2115"/>
  <c r="L8" i="2115"/>
  <c r="D8" i="2115"/>
  <c r="L7" i="2115"/>
  <c r="D7" i="2115" s="1"/>
  <c r="R6" i="2115"/>
  <c r="L16" i="2115" s="1"/>
  <c r="D16" i="2115" s="1"/>
  <c r="L6" i="2115"/>
  <c r="D6" i="2115" s="1"/>
  <c r="R5" i="2115"/>
  <c r="R4" i="2115"/>
  <c r="L15" i="2115" s="1"/>
  <c r="D15" i="2115" s="1"/>
  <c r="R52" i="2114"/>
  <c r="R51" i="2114"/>
  <c r="D50" i="2114"/>
  <c r="R49" i="2114"/>
  <c r="D49" i="2114"/>
  <c r="R48" i="2114"/>
  <c r="D48" i="2114"/>
  <c r="D46" i="2114"/>
  <c r="D45" i="2114"/>
  <c r="R44" i="2114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L9" i="2114" s="1"/>
  <c r="D9" i="2114" s="1"/>
  <c r="H38" i="2114"/>
  <c r="D38" i="2114"/>
  <c r="R37" i="2114"/>
  <c r="H37" i="2114"/>
  <c r="D37" i="2114"/>
  <c r="R36" i="2114"/>
  <c r="L10" i="2114" s="1"/>
  <c r="D10" i="2114" s="1"/>
  <c r="H36" i="2114"/>
  <c r="D36" i="2114"/>
  <c r="R35" i="2114"/>
  <c r="H35" i="2114"/>
  <c r="D35" i="2114"/>
  <c r="R34" i="2114"/>
  <c r="H34" i="2114"/>
  <c r="D34" i="2114"/>
  <c r="R33" i="2114"/>
  <c r="L19" i="2114" s="1"/>
  <c r="D19" i="2114" s="1"/>
  <c r="R32" i="2114"/>
  <c r="R31" i="2114"/>
  <c r="R30" i="2114"/>
  <c r="R29" i="2114"/>
  <c r="R28" i="2114"/>
  <c r="L28" i="2114"/>
  <c r="D28" i="2114"/>
  <c r="R27" i="2114"/>
  <c r="L27" i="2114"/>
  <c r="D27" i="2114"/>
  <c r="R26" i="2114"/>
  <c r="L26" i="2114"/>
  <c r="D26" i="2114"/>
  <c r="R25" i="2114"/>
  <c r="L25" i="2114"/>
  <c r="D25" i="2114" s="1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17" i="2114" s="1"/>
  <c r="D17" i="2114" s="1"/>
  <c r="D21" i="2114"/>
  <c r="R20" i="2114"/>
  <c r="R19" i="2114"/>
  <c r="R18" i="2114"/>
  <c r="L18" i="2114"/>
  <c r="D18" i="2114" s="1"/>
  <c r="R17" i="2114"/>
  <c r="R16" i="2114"/>
  <c r="L16" i="2114"/>
  <c r="D16" i="2114"/>
  <c r="R15" i="2114"/>
  <c r="R14" i="2114"/>
  <c r="D14" i="2114"/>
  <c r="R13" i="2114"/>
  <c r="D13" i="2114"/>
  <c r="R12" i="2114"/>
  <c r="L12" i="2114"/>
  <c r="D12" i="2114"/>
  <c r="R11" i="2114"/>
  <c r="L11" i="2114"/>
  <c r="D11" i="2114"/>
  <c r="L7" i="2114"/>
  <c r="D7" i="2114" s="1"/>
  <c r="R6" i="2114"/>
  <c r="R5" i="2114"/>
  <c r="R4" i="2114"/>
  <c r="L15" i="2114" s="1"/>
  <c r="D15" i="2114" s="1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L10" i="2113" s="1"/>
  <c r="D10" i="2113" s="1"/>
  <c r="H36" i="2113"/>
  <c r="D36" i="2113"/>
  <c r="R35" i="2113"/>
  <c r="H35" i="2113"/>
  <c r="D35" i="2113"/>
  <c r="R34" i="2113"/>
  <c r="H34" i="2113"/>
  <c r="D34" i="2113"/>
  <c r="R33" i="2113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 s="1"/>
  <c r="R26" i="2113"/>
  <c r="L26" i="2113"/>
  <c r="D26" i="2113"/>
  <c r="R25" i="2113"/>
  <c r="L25" i="2113"/>
  <c r="D25" i="2113"/>
  <c r="R24" i="2113"/>
  <c r="L24" i="2113"/>
  <c r="D24" i="2113"/>
  <c r="R23" i="2113"/>
  <c r="L23" i="2113"/>
  <c r="D23" i="2113" s="1"/>
  <c r="R22" i="2113"/>
  <c r="L20" i="2113" s="1"/>
  <c r="D20" i="2113" s="1"/>
  <c r="L22" i="2113"/>
  <c r="D22" i="2113"/>
  <c r="R21" i="2113"/>
  <c r="L21" i="2113"/>
  <c r="D21" i="2113"/>
  <c r="R20" i="2113"/>
  <c r="R19" i="2113"/>
  <c r="L19" i="2113"/>
  <c r="D19" i="2113"/>
  <c r="R18" i="2113"/>
  <c r="L18" i="2113"/>
  <c r="D18" i="2113"/>
  <c r="R17" i="2113"/>
  <c r="L17" i="2113"/>
  <c r="D17" i="2113" s="1"/>
  <c r="R16" i="2113"/>
  <c r="R15" i="2113"/>
  <c r="L15" i="2113"/>
  <c r="D15" i="2113"/>
  <c r="R14" i="2113"/>
  <c r="D14" i="2113"/>
  <c r="R13" i="2113"/>
  <c r="D13" i="2113"/>
  <c r="R12" i="2113"/>
  <c r="L12" i="2113"/>
  <c r="D12" i="2113" s="1"/>
  <c r="R11" i="2113"/>
  <c r="L8" i="2113"/>
  <c r="D8" i="2113" s="1"/>
  <c r="L7" i="2113"/>
  <c r="D7" i="2113"/>
  <c r="R6" i="2113"/>
  <c r="L16" i="2113" s="1"/>
  <c r="D16" i="2113" s="1"/>
  <c r="L6" i="2113"/>
  <c r="D6" i="2113" s="1"/>
  <c r="R5" i="2113"/>
  <c r="R4" i="2113"/>
  <c r="R52" i="2112"/>
  <c r="R51" i="2112"/>
  <c r="D50" i="2112"/>
  <c r="R49" i="2112"/>
  <c r="G49" i="2112"/>
  <c r="D49" i="2112"/>
  <c r="R48" i="2112"/>
  <c r="D48" i="2112"/>
  <c r="D46" i="2112"/>
  <c r="D45" i="2112"/>
  <c r="D44" i="2112"/>
  <c r="R42" i="2112"/>
  <c r="D42" i="2112"/>
  <c r="R41" i="2112"/>
  <c r="L7" i="2112" s="1"/>
  <c r="D7" i="2112" s="1"/>
  <c r="D41" i="2112"/>
  <c r="R40" i="2112"/>
  <c r="L8" i="2112" s="1"/>
  <c r="D8" i="2112" s="1"/>
  <c r="D40" i="2112"/>
  <c r="R39" i="2112"/>
  <c r="D39" i="2112"/>
  <c r="R38" i="2112"/>
  <c r="L9" i="2112" s="1"/>
  <c r="D9" i="2112" s="1"/>
  <c r="D38" i="2112"/>
  <c r="D54" i="2112" s="1"/>
  <c r="H14" i="2112" s="1"/>
  <c r="R37" i="2112"/>
  <c r="D37" i="2112"/>
  <c r="R36" i="2112"/>
  <c r="L10" i="2112" s="1"/>
  <c r="D10" i="2112" s="1"/>
  <c r="D36" i="2112"/>
  <c r="R35" i="2112"/>
  <c r="D35" i="2112"/>
  <c r="R34" i="2112"/>
  <c r="L12" i="2112" s="1"/>
  <c r="D12" i="2112" s="1"/>
  <c r="D34" i="2112"/>
  <c r="R33" i="2112"/>
  <c r="L23" i="2112" s="1"/>
  <c r="D23" i="2112" s="1"/>
  <c r="R32" i="2112"/>
  <c r="R31" i="2112"/>
  <c r="R30" i="2112"/>
  <c r="R29" i="2112"/>
  <c r="R28" i="2112"/>
  <c r="L16" i="2112" s="1"/>
  <c r="D16" i="2112" s="1"/>
  <c r="D28" i="2112"/>
  <c r="R27" i="2112"/>
  <c r="D27" i="2112"/>
  <c r="R26" i="2112"/>
  <c r="L26" i="2112"/>
  <c r="D26" i="2112"/>
  <c r="R25" i="2112"/>
  <c r="L25" i="2112"/>
  <c r="D25" i="2112"/>
  <c r="R24" i="2112"/>
  <c r="D24" i="2112"/>
  <c r="R23" i="2112"/>
  <c r="R22" i="2112"/>
  <c r="L22" i="2112"/>
  <c r="D22" i="2112" s="1"/>
  <c r="R21" i="2112"/>
  <c r="D21" i="2112"/>
  <c r="R20" i="2112"/>
  <c r="L20" i="2112"/>
  <c r="D20" i="2112"/>
  <c r="R19" i="2112"/>
  <c r="L19" i="2112"/>
  <c r="D19" i="2112"/>
  <c r="R18" i="2112"/>
  <c r="D18" i="2112"/>
  <c r="R17" i="2112"/>
  <c r="D17" i="2112"/>
  <c r="R16" i="2112"/>
  <c r="S15" i="2112"/>
  <c r="R15" i="2112"/>
  <c r="D15" i="2112"/>
  <c r="S14" i="2112"/>
  <c r="R14" i="2112"/>
  <c r="D14" i="2112"/>
  <c r="R13" i="2112"/>
  <c r="D13" i="2112"/>
  <c r="R12" i="2112"/>
  <c r="R11" i="2112"/>
  <c r="L11" i="2112"/>
  <c r="D11" i="2112" s="1"/>
  <c r="R6" i="2112"/>
  <c r="L6" i="2112"/>
  <c r="D6" i="2112" s="1"/>
  <c r="R5" i="2112"/>
  <c r="R4" i="2112"/>
  <c r="R52" i="2111"/>
  <c r="R51" i="2111"/>
  <c r="D50" i="2111"/>
  <c r="R49" i="2111"/>
  <c r="D49" i="2111"/>
  <c r="R48" i="2111"/>
  <c r="D48" i="2111"/>
  <c r="D46" i="2111"/>
  <c r="D45" i="2111"/>
  <c r="R44" i="2111"/>
  <c r="L28" i="2111" s="1"/>
  <c r="D28" i="2111" s="1"/>
  <c r="D44" i="2111"/>
  <c r="R42" i="2111"/>
  <c r="D42" i="2111"/>
  <c r="R41" i="2111"/>
  <c r="D41" i="2111"/>
  <c r="R40" i="2111"/>
  <c r="L8" i="2111" s="1"/>
  <c r="D8" i="2111" s="1"/>
  <c r="D40" i="2111"/>
  <c r="R39" i="2111"/>
  <c r="H39" i="2111"/>
  <c r="D39" i="2111"/>
  <c r="R38" i="2111"/>
  <c r="L9" i="2111" s="1"/>
  <c r="D9" i="2111" s="1"/>
  <c r="H38" i="2111"/>
  <c r="D38" i="2111"/>
  <c r="R37" i="2111"/>
  <c r="H37" i="2111"/>
  <c r="D37" i="2111"/>
  <c r="R36" i="2111"/>
  <c r="L10" i="2111" s="1"/>
  <c r="D10" i="2111" s="1"/>
  <c r="H36" i="2111"/>
  <c r="D36" i="2111"/>
  <c r="R35" i="2111"/>
  <c r="H35" i="2111"/>
  <c r="D35" i="2111"/>
  <c r="R34" i="2111"/>
  <c r="H34" i="2111"/>
  <c r="D34" i="2111"/>
  <c r="R33" i="2111"/>
  <c r="R32" i="2111"/>
  <c r="L11" i="2111" s="1"/>
  <c r="D11" i="2111" s="1"/>
  <c r="R31" i="2111"/>
  <c r="R30" i="2111"/>
  <c r="R29" i="2111"/>
  <c r="R28" i="2111"/>
  <c r="R27" i="2111"/>
  <c r="L27" i="2111"/>
  <c r="D27" i="2111"/>
  <c r="R26" i="2111"/>
  <c r="L26" i="2111"/>
  <c r="D26" i="2111"/>
  <c r="R25" i="2111"/>
  <c r="L25" i="2111"/>
  <c r="D25" i="2111" s="1"/>
  <c r="R24" i="2111"/>
  <c r="L24" i="2111"/>
  <c r="D24" i="2111"/>
  <c r="R23" i="2111"/>
  <c r="L23" i="2111"/>
  <c r="D23" i="2111" s="1"/>
  <c r="R22" i="2111"/>
  <c r="L20" i="2111" s="1"/>
  <c r="D20" i="2111" s="1"/>
  <c r="L22" i="2111"/>
  <c r="D22" i="2111"/>
  <c r="R21" i="2111"/>
  <c r="L21" i="2111"/>
  <c r="D21" i="2111"/>
  <c r="R20" i="2111"/>
  <c r="R19" i="2111"/>
  <c r="L19" i="2111"/>
  <c r="D19" i="2111"/>
  <c r="R18" i="2111"/>
  <c r="L18" i="2111"/>
  <c r="D18" i="2111"/>
  <c r="R17" i="2111"/>
  <c r="L17" i="2111"/>
  <c r="D17" i="2111" s="1"/>
  <c r="R16" i="2111"/>
  <c r="R15" i="2111"/>
  <c r="L15" i="2111"/>
  <c r="D15" i="2111" s="1"/>
  <c r="R14" i="2111"/>
  <c r="D14" i="2111"/>
  <c r="R13" i="2111"/>
  <c r="D13" i="2111"/>
  <c r="R12" i="2111"/>
  <c r="L12" i="2111"/>
  <c r="D12" i="2111" s="1"/>
  <c r="R11" i="2111"/>
  <c r="L7" i="2111"/>
  <c r="D7" i="2111"/>
  <c r="R6" i="2111"/>
  <c r="L16" i="2111" s="1"/>
  <c r="D16" i="2111" s="1"/>
  <c r="L6" i="2111"/>
  <c r="D6" i="2111" s="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D44" i="2110"/>
  <c r="R42" i="2110"/>
  <c r="L6" i="2110" s="1"/>
  <c r="D6" i="2110" s="1"/>
  <c r="D42" i="2110"/>
  <c r="R41" i="2110"/>
  <c r="D41" i="2110"/>
  <c r="R40" i="2110"/>
  <c r="L8" i="2110" s="1"/>
  <c r="D8" i="2110" s="1"/>
  <c r="D40" i="2110"/>
  <c r="R39" i="2110"/>
  <c r="H39" i="2110"/>
  <c r="D39" i="2110"/>
  <c r="R38" i="2110"/>
  <c r="H38" i="2110"/>
  <c r="D38" i="2110"/>
  <c r="R37" i="2110"/>
  <c r="H37" i="2110"/>
  <c r="D37" i="2110"/>
  <c r="R36" i="2110"/>
  <c r="H36" i="2110"/>
  <c r="D36" i="2110"/>
  <c r="R35" i="2110"/>
  <c r="H35" i="2110"/>
  <c r="D35" i="2110"/>
  <c r="R34" i="2110"/>
  <c r="L12" i="2110" s="1"/>
  <c r="D12" i="2110" s="1"/>
  <c r="H34" i="2110"/>
  <c r="D34" i="2110"/>
  <c r="R33" i="2110"/>
  <c r="L19" i="2110" s="1"/>
  <c r="D19" i="2110" s="1"/>
  <c r="R32" i="2110"/>
  <c r="L11" i="2110" s="1"/>
  <c r="D11" i="2110" s="1"/>
  <c r="R31" i="2110"/>
  <c r="R30" i="2110"/>
  <c r="R29" i="2110"/>
  <c r="R28" i="2110"/>
  <c r="L28" i="2110"/>
  <c r="D28" i="2110"/>
  <c r="R27" i="2110"/>
  <c r="L27" i="2110"/>
  <c r="D27" i="2110"/>
  <c r="R26" i="2110"/>
  <c r="L26" i="2110"/>
  <c r="D26" i="2110"/>
  <c r="R25" i="2110"/>
  <c r="L25" i="2110"/>
  <c r="D25" i="2110" s="1"/>
  <c r="R24" i="2110"/>
  <c r="L24" i="2110"/>
  <c r="D24" i="2110"/>
  <c r="R23" i="2110"/>
  <c r="L23" i="2110"/>
  <c r="D23" i="2110"/>
  <c r="R22" i="2110"/>
  <c r="L22" i="2110"/>
  <c r="D22" i="2110"/>
  <c r="R21" i="2110"/>
  <c r="L17" i="2110" s="1"/>
  <c r="D17" i="2110" s="1"/>
  <c r="D21" i="2110"/>
  <c r="R20" i="2110"/>
  <c r="L20" i="2110"/>
  <c r="D20" i="2110"/>
  <c r="R19" i="2110"/>
  <c r="R18" i="2110"/>
  <c r="L18" i="2110"/>
  <c r="D18" i="2110"/>
  <c r="R17" i="2110"/>
  <c r="R16" i="2110"/>
  <c r="L16" i="2110"/>
  <c r="D16" i="2110"/>
  <c r="R15" i="2110"/>
  <c r="L15" i="2110"/>
  <c r="D15" i="2110"/>
  <c r="R14" i="2110"/>
  <c r="D14" i="2110"/>
  <c r="R13" i="2110"/>
  <c r="D13" i="2110"/>
  <c r="R12" i="2110"/>
  <c r="R11" i="2110"/>
  <c r="L10" i="2110"/>
  <c r="D10" i="2110"/>
  <c r="L9" i="2110"/>
  <c r="D9" i="2110"/>
  <c r="L7" i="2110"/>
  <c r="D7" i="2110"/>
  <c r="R6" i="2110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D44" i="2109"/>
  <c r="R42" i="2109"/>
  <c r="L6" i="2109" s="1"/>
  <c r="D6" i="2109" s="1"/>
  <c r="D42" i="2109"/>
  <c r="R41" i="2109"/>
  <c r="L7" i="2109" s="1"/>
  <c r="D7" i="2109" s="1"/>
  <c r="D41" i="2109"/>
  <c r="R40" i="2109"/>
  <c r="L8" i="2109" s="1"/>
  <c r="D8" i="2109" s="1"/>
  <c r="D40" i="2109"/>
  <c r="R39" i="2109"/>
  <c r="H39" i="2109"/>
  <c r="D39" i="2109"/>
  <c r="R38" i="2109"/>
  <c r="H38" i="2109"/>
  <c r="D38" i="2109"/>
  <c r="R37" i="2109"/>
  <c r="H37" i="2109"/>
  <c r="R36" i="2109"/>
  <c r="L10" i="2109" s="1"/>
  <c r="D10" i="2109" s="1"/>
  <c r="H36" i="2109"/>
  <c r="D36" i="2109"/>
  <c r="R35" i="2109"/>
  <c r="L18" i="2109" s="1"/>
  <c r="D18" i="2109" s="1"/>
  <c r="H35" i="2109"/>
  <c r="D35" i="2109"/>
  <c r="R34" i="2109"/>
  <c r="H34" i="2109"/>
  <c r="D34" i="2109"/>
  <c r="R33" i="2109"/>
  <c r="R32" i="2109"/>
  <c r="R31" i="2109"/>
  <c r="R30" i="2109"/>
  <c r="R29" i="2109"/>
  <c r="R28" i="2109"/>
  <c r="L28" i="2109"/>
  <c r="D28" i="2109"/>
  <c r="R27" i="2109"/>
  <c r="L27" i="2109"/>
  <c r="D27" i="2109"/>
  <c r="R26" i="2109"/>
  <c r="L26" i="2109"/>
  <c r="D26" i="2109"/>
  <c r="R25" i="2109"/>
  <c r="L25" i="2109"/>
  <c r="D25" i="2109"/>
  <c r="R24" i="2109"/>
  <c r="L24" i="2109"/>
  <c r="D24" i="2109"/>
  <c r="R23" i="2109"/>
  <c r="L23" i="2109"/>
  <c r="D23" i="2109"/>
  <c r="R22" i="2109"/>
  <c r="L20" i="2109" s="1"/>
  <c r="D20" i="2109" s="1"/>
  <c r="L22" i="2109"/>
  <c r="D22" i="2109"/>
  <c r="R21" i="2109"/>
  <c r="L17" i="2109" s="1"/>
  <c r="D17" i="2109" s="1"/>
  <c r="L21" i="2109"/>
  <c r="D21" i="2109" s="1"/>
  <c r="R20" i="2109"/>
  <c r="R19" i="2109"/>
  <c r="L19" i="2109"/>
  <c r="D19" i="2109"/>
  <c r="R18" i="2109"/>
  <c r="R17" i="2109"/>
  <c r="R16" i="2109"/>
  <c r="L16" i="2109"/>
  <c r="D16" i="2109" s="1"/>
  <c r="R15" i="2109"/>
  <c r="R14" i="2109"/>
  <c r="D14" i="2109"/>
  <c r="R13" i="2109"/>
  <c r="D13" i="2109"/>
  <c r="R12" i="2109"/>
  <c r="L12" i="2109"/>
  <c r="D12" i="2109"/>
  <c r="R11" i="2109"/>
  <c r="L11" i="2109"/>
  <c r="D11" i="2109" s="1"/>
  <c r="L9" i="2109"/>
  <c r="D9" i="2109" s="1"/>
  <c r="R6" i="2109"/>
  <c r="R5" i="2109"/>
  <c r="R4" i="2109"/>
  <c r="L15" i="2109" s="1"/>
  <c r="D15" i="2109" s="1"/>
  <c r="R52" i="2108"/>
  <c r="R51" i="2108"/>
  <c r="D50" i="2108"/>
  <c r="R49" i="2108"/>
  <c r="G49" i="2108"/>
  <c r="D49" i="2108"/>
  <c r="D54" i="2108" s="1"/>
  <c r="H14" i="2108" s="1"/>
  <c r="R48" i="2108"/>
  <c r="D48" i="2108"/>
  <c r="D46" i="2108"/>
  <c r="D45" i="2108"/>
  <c r="D44" i="2108"/>
  <c r="R42" i="2108"/>
  <c r="D42" i="2108"/>
  <c r="R41" i="2108"/>
  <c r="L7" i="2108" s="1"/>
  <c r="D7" i="2108" s="1"/>
  <c r="D41" i="2108"/>
  <c r="R40" i="2108"/>
  <c r="L8" i="2108" s="1"/>
  <c r="D8" i="2108" s="1"/>
  <c r="D40" i="2108"/>
  <c r="R39" i="2108"/>
  <c r="D39" i="2108"/>
  <c r="R38" i="2108"/>
  <c r="D38" i="2108"/>
  <c r="R37" i="2108"/>
  <c r="D37" i="2108"/>
  <c r="R36" i="2108"/>
  <c r="D36" i="2108"/>
  <c r="R35" i="2108"/>
  <c r="D35" i="2108"/>
  <c r="R34" i="2108"/>
  <c r="D34" i="2108"/>
  <c r="R33" i="2108"/>
  <c r="R32" i="2108"/>
  <c r="L11" i="2108" s="1"/>
  <c r="D11" i="2108" s="1"/>
  <c r="R31" i="2108"/>
  <c r="R30" i="2108"/>
  <c r="R29" i="2108"/>
  <c r="R28" i="2108"/>
  <c r="D28" i="2108"/>
  <c r="R27" i="2108"/>
  <c r="D27" i="2108"/>
  <c r="R26" i="2108"/>
  <c r="L26" i="2108"/>
  <c r="D26" i="2108"/>
  <c r="R25" i="2108"/>
  <c r="L25" i="2108"/>
  <c r="D25" i="2108"/>
  <c r="R24" i="2108"/>
  <c r="D24" i="2108"/>
  <c r="R23" i="2108"/>
  <c r="L23" i="2108"/>
  <c r="D23" i="2108" s="1"/>
  <c r="R22" i="2108"/>
  <c r="L22" i="2108"/>
  <c r="D22" i="2108"/>
  <c r="R21" i="2108"/>
  <c r="D21" i="2108"/>
  <c r="R20" i="2108"/>
  <c r="L20" i="2108"/>
  <c r="D20" i="2108"/>
  <c r="R19" i="2108"/>
  <c r="L19" i="2108"/>
  <c r="D19" i="2108"/>
  <c r="R18" i="2108"/>
  <c r="D18" i="2108"/>
  <c r="R17" i="2108"/>
  <c r="D17" i="2108"/>
  <c r="R16" i="2108"/>
  <c r="L16" i="2108"/>
  <c r="D16" i="2108" s="1"/>
  <c r="S15" i="2108"/>
  <c r="R15" i="2108"/>
  <c r="D15" i="2108"/>
  <c r="S14" i="2108"/>
  <c r="R14" i="2108"/>
  <c r="D14" i="2108"/>
  <c r="R13" i="2108"/>
  <c r="D13" i="2108"/>
  <c r="R12" i="2108"/>
  <c r="L12" i="2108"/>
  <c r="D12" i="2108" s="1"/>
  <c r="R11" i="2108"/>
  <c r="L10" i="2108"/>
  <c r="D10" i="2108" s="1"/>
  <c r="L9" i="2108"/>
  <c r="D9" i="2108"/>
  <c r="R6" i="2108"/>
  <c r="L6" i="2108"/>
  <c r="D6" i="2108"/>
  <c r="D29" i="2108" s="1"/>
  <c r="H13" i="2108" s="1"/>
  <c r="R5" i="2108"/>
  <c r="R4" i="2108"/>
  <c r="G49" i="2123" l="1"/>
  <c r="D54" i="2123"/>
  <c r="H14" i="2123" s="1"/>
  <c r="G49" i="2122"/>
  <c r="D54" i="2122"/>
  <c r="H14" i="2122" s="1"/>
  <c r="G49" i="2121"/>
  <c r="D54" i="2121"/>
  <c r="H14" i="2121" s="1"/>
  <c r="G49" i="2118"/>
  <c r="G49" i="2119"/>
  <c r="D54" i="2119"/>
  <c r="H14" i="2119" s="1"/>
  <c r="D54" i="2118"/>
  <c r="H14" i="2118" s="1"/>
  <c r="D54" i="2117"/>
  <c r="H14" i="2117" s="1"/>
  <c r="G49" i="2117"/>
  <c r="G49" i="2115"/>
  <c r="D54" i="2115"/>
  <c r="H14" i="2115" s="1"/>
  <c r="G49" i="2114"/>
  <c r="D54" i="2114"/>
  <c r="H14" i="2114" s="1"/>
  <c r="G49" i="2113"/>
  <c r="D54" i="2113"/>
  <c r="H14" i="2113" s="1"/>
  <c r="G49" i="2110"/>
  <c r="G49" i="2111"/>
  <c r="G49" i="2109"/>
  <c r="D54" i="2111"/>
  <c r="H14" i="2111" s="1"/>
  <c r="D54" i="2110"/>
  <c r="H14" i="2110" s="1"/>
  <c r="D54" i="2109"/>
  <c r="H14" i="2109" s="1"/>
  <c r="G51" i="2128"/>
  <c r="D29" i="2127"/>
  <c r="H13" i="2127" s="1"/>
  <c r="H15" i="2127" s="1"/>
  <c r="H29" i="2127" s="1"/>
  <c r="G51" i="2127"/>
  <c r="G51" i="2126"/>
  <c r="D29" i="2125"/>
  <c r="H13" i="2125" s="1"/>
  <c r="H15" i="2125" s="1"/>
  <c r="H29" i="2125" s="1"/>
  <c r="G51" i="2125" s="1"/>
  <c r="D29" i="2124"/>
  <c r="H13" i="2124" s="1"/>
  <c r="H15" i="2124" s="1"/>
  <c r="H29" i="2124" s="1"/>
  <c r="G51" i="2124"/>
  <c r="D29" i="2123"/>
  <c r="H13" i="2123" s="1"/>
  <c r="D29" i="2122"/>
  <c r="H13" i="2122" s="1"/>
  <c r="H15" i="2122" s="1"/>
  <c r="H29" i="2122" s="1"/>
  <c r="G51" i="2122" s="1"/>
  <c r="D29" i="2121"/>
  <c r="H13" i="2121" s="1"/>
  <c r="D29" i="2120"/>
  <c r="H13" i="2120" s="1"/>
  <c r="H15" i="2120" s="1"/>
  <c r="H29" i="2120" s="1"/>
  <c r="G51" i="2120" s="1"/>
  <c r="D29" i="2119"/>
  <c r="H13" i="2119" s="1"/>
  <c r="D29" i="2118"/>
  <c r="H13" i="2118" s="1"/>
  <c r="D29" i="2117"/>
  <c r="H13" i="2117" s="1"/>
  <c r="D29" i="2116"/>
  <c r="H13" i="2116" s="1"/>
  <c r="H15" i="2116" s="1"/>
  <c r="H29" i="2116" s="1"/>
  <c r="G51" i="2116" s="1"/>
  <c r="D29" i="2115"/>
  <c r="H13" i="2115" s="1"/>
  <c r="D29" i="2114"/>
  <c r="H13" i="2114" s="1"/>
  <c r="H15" i="2114" s="1"/>
  <c r="H29" i="2114" s="1"/>
  <c r="D29" i="2113"/>
  <c r="H13" i="2113" s="1"/>
  <c r="D29" i="2112"/>
  <c r="H13" i="2112" s="1"/>
  <c r="H15" i="2112" s="1"/>
  <c r="H29" i="2112" s="1"/>
  <c r="G51" i="2112"/>
  <c r="D29" i="2111"/>
  <c r="H13" i="2111" s="1"/>
  <c r="D29" i="2110"/>
  <c r="H13" i="2110" s="1"/>
  <c r="D29" i="2109"/>
  <c r="H13" i="2109" s="1"/>
  <c r="H15" i="2108"/>
  <c r="H29" i="2108" s="1"/>
  <c r="G51" i="2108" s="1"/>
  <c r="G42" i="2095"/>
  <c r="G35" i="2095"/>
  <c r="G34" i="2095"/>
  <c r="H29" i="2095"/>
  <c r="H15" i="2123" l="1"/>
  <c r="H29" i="2123" s="1"/>
  <c r="G51" i="2123" s="1"/>
  <c r="H15" i="2121"/>
  <c r="H29" i="2121" s="1"/>
  <c r="G51" i="2121" s="1"/>
  <c r="H15" i="2119"/>
  <c r="H29" i="2119" s="1"/>
  <c r="G51" i="2119" s="1"/>
  <c r="H15" i="2118"/>
  <c r="H29" i="2118" s="1"/>
  <c r="G51" i="2118" s="1"/>
  <c r="H15" i="2117"/>
  <c r="H29" i="2117" s="1"/>
  <c r="G51" i="2117" s="1"/>
  <c r="H15" i="2115"/>
  <c r="H29" i="2115" s="1"/>
  <c r="G51" i="2115" s="1"/>
  <c r="G51" i="2114"/>
  <c r="H15" i="2113"/>
  <c r="H29" i="2113" s="1"/>
  <c r="G51" i="2113" s="1"/>
  <c r="H15" i="2111"/>
  <c r="H29" i="2111" s="1"/>
  <c r="G51" i="2111" s="1"/>
  <c r="H15" i="2110"/>
  <c r="H29" i="2110" s="1"/>
  <c r="G51" i="2110" s="1"/>
  <c r="H15" i="2109"/>
  <c r="H29" i="2109" s="1"/>
  <c r="G51" i="2109" s="1"/>
  <c r="H16" i="2101"/>
  <c r="H16" i="2100"/>
  <c r="R52" i="2107"/>
  <c r="R51" i="2107"/>
  <c r="D50" i="2107"/>
  <c r="R49" i="2107"/>
  <c r="D49" i="2107"/>
  <c r="R48" i="2107"/>
  <c r="D48" i="2107"/>
  <c r="D46" i="2107"/>
  <c r="D45" i="2107"/>
  <c r="R44" i="2107"/>
  <c r="D44" i="2107"/>
  <c r="R42" i="2107"/>
  <c r="D42" i="2107"/>
  <c r="R41" i="2107"/>
  <c r="D41" i="2107"/>
  <c r="R40" i="2107"/>
  <c r="D40" i="2107"/>
  <c r="R39" i="2107"/>
  <c r="H39" i="2107"/>
  <c r="D39" i="2107"/>
  <c r="R38" i="2107"/>
  <c r="L9" i="2107" s="1"/>
  <c r="D9" i="2107" s="1"/>
  <c r="H38" i="2107"/>
  <c r="D38" i="2107"/>
  <c r="R37" i="2107"/>
  <c r="H37" i="2107"/>
  <c r="D37" i="2107"/>
  <c r="R36" i="2107"/>
  <c r="H36" i="2107"/>
  <c r="D36" i="2107"/>
  <c r="R35" i="2107"/>
  <c r="H35" i="2107"/>
  <c r="D35" i="2107"/>
  <c r="R34" i="2107"/>
  <c r="L12" i="2107" s="1"/>
  <c r="D12" i="2107" s="1"/>
  <c r="H34" i="2107"/>
  <c r="D34" i="2107"/>
  <c r="R33" i="2107"/>
  <c r="R32" i="2107"/>
  <c r="R31" i="2107"/>
  <c r="R30" i="2107"/>
  <c r="R29" i="2107"/>
  <c r="R28" i="2107"/>
  <c r="L28" i="2107"/>
  <c r="D28" i="2107"/>
  <c r="R27" i="2107"/>
  <c r="L27" i="2107"/>
  <c r="D27" i="2107"/>
  <c r="R26" i="2107"/>
  <c r="L26" i="2107"/>
  <c r="D26" i="2107" s="1"/>
  <c r="R25" i="2107"/>
  <c r="L25" i="2107"/>
  <c r="D25" i="2107"/>
  <c r="R24" i="2107"/>
  <c r="L24" i="2107"/>
  <c r="D24" i="2107"/>
  <c r="R23" i="2107"/>
  <c r="L23" i="2107"/>
  <c r="D23" i="2107"/>
  <c r="R22" i="2107"/>
  <c r="L22" i="2107"/>
  <c r="D22" i="2107" s="1"/>
  <c r="R21" i="2107"/>
  <c r="L21" i="2107"/>
  <c r="D21" i="2107"/>
  <c r="R20" i="2107"/>
  <c r="L20" i="2107"/>
  <c r="D20" i="2107"/>
  <c r="R19" i="2107"/>
  <c r="L19" i="2107"/>
  <c r="D19" i="2107"/>
  <c r="R18" i="2107"/>
  <c r="L18" i="2107"/>
  <c r="D18" i="2107"/>
  <c r="R17" i="2107"/>
  <c r="L17" i="2107"/>
  <c r="D17" i="2107"/>
  <c r="R16" i="2107"/>
  <c r="L16" i="2107"/>
  <c r="D16" i="2107" s="1"/>
  <c r="R15" i="2107"/>
  <c r="R14" i="2107"/>
  <c r="D14" i="2107"/>
  <c r="R13" i="2107"/>
  <c r="D13" i="2107"/>
  <c r="R12" i="2107"/>
  <c r="R11" i="2107"/>
  <c r="L11" i="2107"/>
  <c r="D11" i="2107" s="1"/>
  <c r="L10" i="2107"/>
  <c r="D10" i="2107"/>
  <c r="L8" i="2107"/>
  <c r="D8" i="2107"/>
  <c r="L7" i="2107"/>
  <c r="D7" i="2107" s="1"/>
  <c r="R6" i="2107"/>
  <c r="L6" i="2107"/>
  <c r="D6" i="2107" s="1"/>
  <c r="R5" i="2107"/>
  <c r="R4" i="2107"/>
  <c r="L15" i="2107" s="1"/>
  <c r="D15" i="2107" s="1"/>
  <c r="H16" i="2095"/>
  <c r="L22" i="2092"/>
  <c r="H16" i="2093"/>
  <c r="C19" i="2092"/>
  <c r="C7" i="2092"/>
  <c r="C18" i="2092"/>
  <c r="C16" i="2092"/>
  <c r="C22" i="2092"/>
  <c r="L21" i="2091"/>
  <c r="C12" i="2091"/>
  <c r="C16" i="2091"/>
  <c r="C15" i="2091"/>
  <c r="G49" i="2107" l="1"/>
  <c r="D54" i="2107"/>
  <c r="H14" i="2107" s="1"/>
  <c r="D29" i="2107"/>
  <c r="H13" i="2107" s="1"/>
  <c r="H15" i="2107" s="1"/>
  <c r="H29" i="2107" s="1"/>
  <c r="C12" i="2089"/>
  <c r="C16" i="2089"/>
  <c r="C16" i="2087"/>
  <c r="G51" i="2107" l="1"/>
  <c r="H16" i="2085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L28" i="2106" s="1"/>
  <c r="D28" i="2106" s="1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L12" i="2106" s="1"/>
  <c r="D12" i="2106" s="1"/>
  <c r="H34" i="2106"/>
  <c r="D34" i="2106"/>
  <c r="R33" i="2106"/>
  <c r="L19" i="2106" s="1"/>
  <c r="D19" i="2106" s="1"/>
  <c r="R32" i="2106"/>
  <c r="R31" i="2106"/>
  <c r="R30" i="2106"/>
  <c r="R29" i="2106"/>
  <c r="R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17" i="2106" s="1"/>
  <c r="D17" i="2106" s="1"/>
  <c r="L21" i="2106"/>
  <c r="D21" i="2106"/>
  <c r="R20" i="2106"/>
  <c r="R19" i="2106"/>
  <c r="R18" i="2106"/>
  <c r="R17" i="2106"/>
  <c r="R16" i="2106"/>
  <c r="R15" i="2106"/>
  <c r="R14" i="2106"/>
  <c r="D14" i="2106"/>
  <c r="R13" i="2106"/>
  <c r="D13" i="2106"/>
  <c r="R12" i="2106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L6" i="2105" s="1"/>
  <c r="D6" i="2105" s="1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L9" i="2105" s="1"/>
  <c r="D9" i="2105" s="1"/>
  <c r="H38" i="2105"/>
  <c r="D38" i="2105"/>
  <c r="R37" i="2105"/>
  <c r="H37" i="2105"/>
  <c r="D37" i="2105"/>
  <c r="R36" i="2105"/>
  <c r="L10" i="2105" s="1"/>
  <c r="D10" i="2105" s="1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D34" i="2105"/>
  <c r="R33" i="2105"/>
  <c r="L19" i="2105" s="1"/>
  <c r="D19" i="2105" s="1"/>
  <c r="R32" i="2105"/>
  <c r="R31" i="2105"/>
  <c r="R30" i="2105"/>
  <c r="R29" i="2105"/>
  <c r="R28" i="2105"/>
  <c r="R27" i="2105"/>
  <c r="L27" i="2105"/>
  <c r="D27" i="2105" s="1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0" i="2105" s="1"/>
  <c r="D20" i="2105" s="1"/>
  <c r="L22" i="2105"/>
  <c r="D22" i="2105" s="1"/>
  <c r="R21" i="2105"/>
  <c r="L17" i="2105" s="1"/>
  <c r="D17" i="2105" s="1"/>
  <c r="L21" i="2105"/>
  <c r="D21" i="2105"/>
  <c r="R20" i="2105"/>
  <c r="R19" i="2105"/>
  <c r="R18" i="2105"/>
  <c r="R17" i="2105"/>
  <c r="R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R6" i="2105"/>
  <c r="L16" i="2105" s="1"/>
  <c r="D16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L6" i="2104" s="1"/>
  <c r="D6" i="2104" s="1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L10" i="2104" s="1"/>
  <c r="D10" i="2104" s="1"/>
  <c r="H36" i="2104"/>
  <c r="D36" i="2104"/>
  <c r="R35" i="2104"/>
  <c r="L18" i="2104" s="1"/>
  <c r="D18" i="2104" s="1"/>
  <c r="H35" i="2104"/>
  <c r="D35" i="2104"/>
  <c r="R34" i="2104"/>
  <c r="L12" i="2104" s="1"/>
  <c r="D12" i="2104" s="1"/>
  <c r="H34" i="2104"/>
  <c r="D34" i="2104"/>
  <c r="R33" i="2104"/>
  <c r="L19" i="2104" s="1"/>
  <c r="D19" i="2104" s="1"/>
  <c r="R32" i="2104"/>
  <c r="R31" i="2104"/>
  <c r="R30" i="2104"/>
  <c r="R29" i="2104"/>
  <c r="R28" i="2104"/>
  <c r="R27" i="2104"/>
  <c r="L27" i="2104"/>
  <c r="D27" i="2104" s="1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 s="1"/>
  <c r="R21" i="2104"/>
  <c r="L17" i="2104" s="1"/>
  <c r="D17" i="2104" s="1"/>
  <c r="D21" i="2104"/>
  <c r="R20" i="2104"/>
  <c r="R19" i="2104"/>
  <c r="R18" i="2104"/>
  <c r="R17" i="2104"/>
  <c r="R16" i="2104"/>
  <c r="R15" i="2104"/>
  <c r="R14" i="2104"/>
  <c r="D14" i="2104"/>
  <c r="R13" i="2104"/>
  <c r="D13" i="2104"/>
  <c r="R12" i="2104"/>
  <c r="R11" i="2104"/>
  <c r="L11" i="2104"/>
  <c r="D11" i="2104" s="1"/>
  <c r="L7" i="2104"/>
  <c r="D7" i="2104"/>
  <c r="R6" i="2104"/>
  <c r="L16" i="2104" s="1"/>
  <c r="D16" i="2104" s="1"/>
  <c r="R5" i="2104"/>
  <c r="R4" i="2104"/>
  <c r="L15" i="2104" s="1"/>
  <c r="D15" i="2104" s="1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L6" i="2103" s="1"/>
  <c r="D6" i="2103" s="1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L9" i="2103" s="1"/>
  <c r="D9" i="2103" s="1"/>
  <c r="H38" i="2103"/>
  <c r="D38" i="2103"/>
  <c r="R37" i="2103"/>
  <c r="H37" i="2103"/>
  <c r="D37" i="2103"/>
  <c r="R36" i="2103"/>
  <c r="L10" i="2103" s="1"/>
  <c r="D10" i="2103" s="1"/>
  <c r="H36" i="2103"/>
  <c r="D36" i="2103"/>
  <c r="R35" i="2103"/>
  <c r="L18" i="2103" s="1"/>
  <c r="D18" i="2103" s="1"/>
  <c r="H35" i="2103"/>
  <c r="D35" i="2103"/>
  <c r="R34" i="2103"/>
  <c r="L12" i="2103" s="1"/>
  <c r="D12" i="2103" s="1"/>
  <c r="H34" i="2103"/>
  <c r="D34" i="2103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0" i="2103" s="1"/>
  <c r="D20" i="2103" s="1"/>
  <c r="L22" i="2103"/>
  <c r="D22" i="2103"/>
  <c r="R21" i="2103"/>
  <c r="L17" i="2103" s="1"/>
  <c r="D17" i="2103" s="1"/>
  <c r="L21" i="2103"/>
  <c r="D21" i="2103"/>
  <c r="R20" i="2103"/>
  <c r="R19" i="2103"/>
  <c r="R18" i="2103"/>
  <c r="R17" i="2103"/>
  <c r="R16" i="2103"/>
  <c r="R15" i="2103"/>
  <c r="R14" i="2103"/>
  <c r="D14" i="2103"/>
  <c r="R13" i="2103"/>
  <c r="D13" i="2103"/>
  <c r="R12" i="2103"/>
  <c r="R11" i="2103"/>
  <c r="L11" i="2103"/>
  <c r="D11" i="2103" s="1"/>
  <c r="L7" i="2103"/>
  <c r="D7" i="2103" s="1"/>
  <c r="R6" i="2103"/>
  <c r="L16" i="2103" s="1"/>
  <c r="D16" i="2103" s="1"/>
  <c r="R5" i="2103"/>
  <c r="R4" i="2103"/>
  <c r="L15" i="2103" s="1"/>
  <c r="D15" i="2103" s="1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L6" i="2102" s="1"/>
  <c r="D6" i="2102" s="1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L12" i="2102" s="1"/>
  <c r="D12" i="2102" s="1"/>
  <c r="D34" i="2102"/>
  <c r="R33" i="2102"/>
  <c r="L23" i="2102" s="1"/>
  <c r="D23" i="2102" s="1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 s="1"/>
  <c r="R24" i="2102"/>
  <c r="D24" i="2102"/>
  <c r="R23" i="2102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R11" i="2102"/>
  <c r="L11" i="2102"/>
  <c r="D11" i="2102" s="1"/>
  <c r="L9" i="2102"/>
  <c r="D9" i="2102"/>
  <c r="L8" i="2102"/>
  <c r="D8" i="2102" s="1"/>
  <c r="R6" i="2102"/>
  <c r="R5" i="2102"/>
  <c r="R4" i="2102"/>
  <c r="R52" i="2101"/>
  <c r="R51" i="2101"/>
  <c r="D50" i="2101"/>
  <c r="R49" i="2101"/>
  <c r="D49" i="2101"/>
  <c r="R48" i="2101"/>
  <c r="D48" i="2101"/>
  <c r="D46" i="2101"/>
  <c r="D45" i="2101"/>
  <c r="R44" i="2101"/>
  <c r="D44" i="2101"/>
  <c r="R42" i="2101"/>
  <c r="L6" i="2101" s="1"/>
  <c r="D6" i="2101" s="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L9" i="2101" s="1"/>
  <c r="D9" i="2101" s="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L12" i="2101" s="1"/>
  <c r="D12" i="2101" s="1"/>
  <c r="H34" i="2101"/>
  <c r="D34" i="2101"/>
  <c r="R33" i="2101"/>
  <c r="L19" i="2101" s="1"/>
  <c r="D19" i="2101" s="1"/>
  <c r="R32" i="2101"/>
  <c r="R31" i="2101"/>
  <c r="R30" i="2101"/>
  <c r="R29" i="2101"/>
  <c r="R28" i="2101"/>
  <c r="L28" i="2101"/>
  <c r="D28" i="2101" s="1"/>
  <c r="R27" i="2101"/>
  <c r="L27" i="2101"/>
  <c r="D27" i="2101" s="1"/>
  <c r="R26" i="2101"/>
  <c r="L26" i="2101"/>
  <c r="D26" i="2101" s="1"/>
  <c r="R25" i="2101"/>
  <c r="L25" i="2101"/>
  <c r="D25" i="2101" s="1"/>
  <c r="R24" i="2101"/>
  <c r="L24" i="2101"/>
  <c r="D24" i="2101" s="1"/>
  <c r="R23" i="2101"/>
  <c r="L23" i="2101"/>
  <c r="D23" i="2101" s="1"/>
  <c r="R22" i="2101"/>
  <c r="L20" i="2101" s="1"/>
  <c r="D20" i="2101" s="1"/>
  <c r="L22" i="2101"/>
  <c r="D22" i="2101" s="1"/>
  <c r="R21" i="2101"/>
  <c r="L17" i="2101" s="1"/>
  <c r="D17" i="2101" s="1"/>
  <c r="L21" i="2101"/>
  <c r="D21" i="2101"/>
  <c r="R20" i="2101"/>
  <c r="R19" i="2101"/>
  <c r="R18" i="2101"/>
  <c r="R17" i="2101"/>
  <c r="R16" i="2101"/>
  <c r="L16" i="2101"/>
  <c r="D16" i="2101" s="1"/>
  <c r="R15" i="2101"/>
  <c r="R14" i="2101"/>
  <c r="D14" i="2101"/>
  <c r="R13" i="2101"/>
  <c r="D13" i="2101"/>
  <c r="R12" i="2101"/>
  <c r="R11" i="2101"/>
  <c r="L11" i="2101"/>
  <c r="D11" i="2101" s="1"/>
  <c r="L10" i="2101"/>
  <c r="D10" i="2101" s="1"/>
  <c r="L7" i="2101"/>
  <c r="D7" i="2101" s="1"/>
  <c r="R6" i="2101"/>
  <c r="R5" i="2101"/>
  <c r="R4" i="2101"/>
  <c r="L15" i="2101" s="1"/>
  <c r="D15" i="2101" s="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L7" i="2100" s="1"/>
  <c r="D7" i="2100" s="1"/>
  <c r="D41" i="2100"/>
  <c r="R40" i="2100"/>
  <c r="L8" i="2100" s="1"/>
  <c r="D8" i="2100" s="1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D34" i="2100"/>
  <c r="R33" i="2100"/>
  <c r="R32" i="2100"/>
  <c r="L11" i="2100" s="1"/>
  <c r="D11" i="2100" s="1"/>
  <c r="R31" i="2100"/>
  <c r="R30" i="2100"/>
  <c r="R29" i="2100"/>
  <c r="R28" i="2100"/>
  <c r="L28" i="2100"/>
  <c r="D28" i="2100" s="1"/>
  <c r="R27" i="2100"/>
  <c r="L27" i="2100"/>
  <c r="D27" i="2100" s="1"/>
  <c r="R26" i="2100"/>
  <c r="L26" i="2100"/>
  <c r="D26" i="2100" s="1"/>
  <c r="R25" i="2100"/>
  <c r="L25" i="2100"/>
  <c r="D25" i="2100" s="1"/>
  <c r="R24" i="2100"/>
  <c r="L24" i="2100"/>
  <c r="D24" i="2100"/>
  <c r="R23" i="2100"/>
  <c r="L23" i="2100"/>
  <c r="D23" i="2100" s="1"/>
  <c r="R22" i="2100"/>
  <c r="L20" i="2100" s="1"/>
  <c r="D20" i="2100" s="1"/>
  <c r="L22" i="2100"/>
  <c r="D22" i="2100" s="1"/>
  <c r="R21" i="2100"/>
  <c r="L17" i="2100" s="1"/>
  <c r="D17" i="2100" s="1"/>
  <c r="D21" i="2100"/>
  <c r="R20" i="2100"/>
  <c r="R19" i="2100"/>
  <c r="L19" i="2100"/>
  <c r="D19" i="2100" s="1"/>
  <c r="R18" i="2100"/>
  <c r="L18" i="2100"/>
  <c r="D18" i="2100" s="1"/>
  <c r="R17" i="2100"/>
  <c r="R16" i="2100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R6" i="2100"/>
  <c r="L16" i="2100" s="1"/>
  <c r="D16" i="2100" s="1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L7" i="2099" s="1"/>
  <c r="D7" i="2099" s="1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D34" i="2099"/>
  <c r="R33" i="2099"/>
  <c r="L19" i="2099" s="1"/>
  <c r="D19" i="2099" s="1"/>
  <c r="R32" i="2099"/>
  <c r="R31" i="2099"/>
  <c r="R30" i="2099"/>
  <c r="R29" i="2099"/>
  <c r="R28" i="2099"/>
  <c r="L28" i="2099"/>
  <c r="D28" i="2099" s="1"/>
  <c r="R27" i="2099"/>
  <c r="L27" i="2099"/>
  <c r="D27" i="2099" s="1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 s="1"/>
  <c r="R21" i="2099"/>
  <c r="L17" i="2099" s="1"/>
  <c r="D17" i="2099" s="1"/>
  <c r="L21" i="2099"/>
  <c r="D21" i="2099" s="1"/>
  <c r="R20" i="2099"/>
  <c r="L20" i="2099"/>
  <c r="D20" i="2099" s="1"/>
  <c r="R19" i="2099"/>
  <c r="R18" i="2099"/>
  <c r="R17" i="2099"/>
  <c r="R16" i="2099"/>
  <c r="R15" i="2099"/>
  <c r="R14" i="2099"/>
  <c r="D14" i="2099"/>
  <c r="R13" i="2099"/>
  <c r="D13" i="2099"/>
  <c r="R12" i="2099"/>
  <c r="R11" i="2099"/>
  <c r="L11" i="2099"/>
  <c r="D11" i="2099" s="1"/>
  <c r="L10" i="2099"/>
  <c r="D10" i="2099" s="1"/>
  <c r="L9" i="2099"/>
  <c r="D9" i="2099" s="1"/>
  <c r="R6" i="2099"/>
  <c r="L16" i="2099" s="1"/>
  <c r="D16" i="2099" s="1"/>
  <c r="L6" i="2099"/>
  <c r="D6" i="2099" s="1"/>
  <c r="R5" i="2099"/>
  <c r="R4" i="2099"/>
  <c r="L15" i="2099" s="1"/>
  <c r="D15" i="2099" s="1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R33" i="2098"/>
  <c r="L23" i="2098" s="1"/>
  <c r="D23" i="2098" s="1"/>
  <c r="R32" i="2098"/>
  <c r="L11" i="2098" s="1"/>
  <c r="D11" i="2098" s="1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 s="1"/>
  <c r="R25" i="2098"/>
  <c r="L25" i="2098"/>
  <c r="D25" i="2098" s="1"/>
  <c r="R24" i="2098"/>
  <c r="D24" i="2098"/>
  <c r="R23" i="2098"/>
  <c r="R22" i="2098"/>
  <c r="L22" i="2098"/>
  <c r="D22" i="2098" s="1"/>
  <c r="R21" i="2098"/>
  <c r="D21" i="2098"/>
  <c r="R20" i="2098"/>
  <c r="L20" i="2098"/>
  <c r="D20" i="2098" s="1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R6" i="2098"/>
  <c r="L6" i="2098"/>
  <c r="D6" i="2098"/>
  <c r="R5" i="2098"/>
  <c r="R4" i="2098"/>
  <c r="R52" i="2097"/>
  <c r="R51" i="2097"/>
  <c r="D50" i="2097"/>
  <c r="R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L9" i="2097" s="1"/>
  <c r="D9" i="2097" s="1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L18" i="2097" s="1"/>
  <c r="D18" i="2097" s="1"/>
  <c r="H35" i="2097"/>
  <c r="D35" i="2097"/>
  <c r="R34" i="2097"/>
  <c r="L12" i="2097" s="1"/>
  <c r="D12" i="2097" s="1"/>
  <c r="H34" i="2097"/>
  <c r="G49" i="2097" s="1"/>
  <c r="D34" i="2097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 s="1"/>
  <c r="R25" i="2097"/>
  <c r="L25" i="2097"/>
  <c r="D25" i="2097" s="1"/>
  <c r="R24" i="2097"/>
  <c r="L24" i="2097"/>
  <c r="D24" i="2097"/>
  <c r="R23" i="2097"/>
  <c r="L23" i="2097"/>
  <c r="D23" i="2097" s="1"/>
  <c r="R22" i="2097"/>
  <c r="L20" i="2097" s="1"/>
  <c r="D20" i="2097" s="1"/>
  <c r="L22" i="2097"/>
  <c r="D22" i="2097"/>
  <c r="R21" i="2097"/>
  <c r="L17" i="2097" s="1"/>
  <c r="D17" i="2097" s="1"/>
  <c r="L21" i="2097"/>
  <c r="D21" i="2097" s="1"/>
  <c r="R20" i="2097"/>
  <c r="R19" i="2097"/>
  <c r="R18" i="2097"/>
  <c r="R17" i="2097"/>
  <c r="R16" i="2097"/>
  <c r="R15" i="2097"/>
  <c r="L15" i="2097"/>
  <c r="D15" i="2097" s="1"/>
  <c r="R14" i="2097"/>
  <c r="D14" i="2097"/>
  <c r="R13" i="2097"/>
  <c r="D13" i="2097"/>
  <c r="R12" i="2097"/>
  <c r="R11" i="2097"/>
  <c r="L8" i="2097"/>
  <c r="D8" i="2097"/>
  <c r="L7" i="2097"/>
  <c r="D7" i="2097" s="1"/>
  <c r="R6" i="2097"/>
  <c r="L16" i="2097" s="1"/>
  <c r="D16" i="2097" s="1"/>
  <c r="L6" i="2097"/>
  <c r="D6" i="2097" s="1"/>
  <c r="R5" i="2097"/>
  <c r="R4" i="2097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L6" i="2096" s="1"/>
  <c r="D6" i="2096" s="1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L12" i="2096" s="1"/>
  <c r="D12" i="2096" s="1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 s="1"/>
  <c r="R26" i="2096"/>
  <c r="L26" i="2096"/>
  <c r="D26" i="2096"/>
  <c r="R25" i="2096"/>
  <c r="L25" i="2096"/>
  <c r="D25" i="2096" s="1"/>
  <c r="R24" i="2096"/>
  <c r="L24" i="2096"/>
  <c r="D24" i="2096" s="1"/>
  <c r="R23" i="2096"/>
  <c r="L23" i="2096"/>
  <c r="D23" i="2096" s="1"/>
  <c r="R22" i="2096"/>
  <c r="L20" i="2096" s="1"/>
  <c r="D20" i="2096" s="1"/>
  <c r="L22" i="2096"/>
  <c r="D22" i="2096" s="1"/>
  <c r="R21" i="2096"/>
  <c r="L17" i="2096" s="1"/>
  <c r="D17" i="2096" s="1"/>
  <c r="D21" i="2096"/>
  <c r="R20" i="2096"/>
  <c r="R19" i="2096"/>
  <c r="R18" i="2096"/>
  <c r="R17" i="2096"/>
  <c r="R16" i="2096"/>
  <c r="R15" i="2096"/>
  <c r="R14" i="2096"/>
  <c r="D14" i="2096"/>
  <c r="R13" i="2096"/>
  <c r="D13" i="2096"/>
  <c r="R12" i="2096"/>
  <c r="R11" i="2096"/>
  <c r="L11" i="2096"/>
  <c r="D11" i="2096" s="1"/>
  <c r="L9" i="2096"/>
  <c r="D9" i="2096" s="1"/>
  <c r="R6" i="2096"/>
  <c r="L16" i="2096" s="1"/>
  <c r="D16" i="2096" s="1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L28" i="2095" s="1"/>
  <c r="D28" i="2095" s="1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D35" i="2095"/>
  <c r="R34" i="2095"/>
  <c r="L12" i="2095" s="1"/>
  <c r="D12" i="2095" s="1"/>
  <c r="H34" i="2095"/>
  <c r="D34" i="2095"/>
  <c r="R33" i="2095"/>
  <c r="R32" i="2095"/>
  <c r="L11" i="2095" s="1"/>
  <c r="D11" i="2095" s="1"/>
  <c r="R31" i="2095"/>
  <c r="R30" i="2095"/>
  <c r="R29" i="2095"/>
  <c r="R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 s="1"/>
  <c r="R23" i="2095"/>
  <c r="L23" i="2095"/>
  <c r="D23" i="2095" s="1"/>
  <c r="R22" i="2095"/>
  <c r="L20" i="2095" s="1"/>
  <c r="D20" i="2095" s="1"/>
  <c r="L22" i="2095"/>
  <c r="D22" i="2095" s="1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R15" i="2095"/>
  <c r="R14" i="2095"/>
  <c r="D14" i="2095"/>
  <c r="R13" i="2095"/>
  <c r="D13" i="2095"/>
  <c r="R12" i="2095"/>
  <c r="R11" i="2095"/>
  <c r="R6" i="2095"/>
  <c r="L16" i="2095" s="1"/>
  <c r="D16" i="2095" s="1"/>
  <c r="L6" i="2095"/>
  <c r="D6" i="2095" s="1"/>
  <c r="R5" i="2095"/>
  <c r="R4" i="2095"/>
  <c r="L15" i="2095" s="1"/>
  <c r="D15" i="2095" s="1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L6" i="2094" s="1"/>
  <c r="D6" i="2094" s="1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L19" i="2094" s="1"/>
  <c r="D19" i="2094" s="1"/>
  <c r="D35" i="2094"/>
  <c r="R34" i="2094"/>
  <c r="D34" i="2094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 s="1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 s="1"/>
  <c r="R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L6" i="2093" s="1"/>
  <c r="D6" i="2093" s="1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L10" i="2093" s="1"/>
  <c r="D10" i="2093" s="1"/>
  <c r="H36" i="2093"/>
  <c r="D36" i="2093"/>
  <c r="R35" i="2093"/>
  <c r="L18" i="2093" s="1"/>
  <c r="D18" i="2093" s="1"/>
  <c r="H35" i="2093"/>
  <c r="D35" i="2093"/>
  <c r="R34" i="2093"/>
  <c r="L12" i="2093" s="1"/>
  <c r="D12" i="2093" s="1"/>
  <c r="H34" i="2093"/>
  <c r="D34" i="2093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 s="1"/>
  <c r="R25" i="2093"/>
  <c r="L25" i="2093"/>
  <c r="D25" i="2093" s="1"/>
  <c r="R24" i="2093"/>
  <c r="L24" i="2093"/>
  <c r="D24" i="2093" s="1"/>
  <c r="R23" i="2093"/>
  <c r="L23" i="2093"/>
  <c r="D23" i="2093" s="1"/>
  <c r="R22" i="2093"/>
  <c r="L20" i="2093" s="1"/>
  <c r="D20" i="2093" s="1"/>
  <c r="L22" i="2093"/>
  <c r="D22" i="2093"/>
  <c r="R21" i="2093"/>
  <c r="L17" i="2093" s="1"/>
  <c r="D17" i="2093" s="1"/>
  <c r="L21" i="2093"/>
  <c r="D21" i="2093" s="1"/>
  <c r="R20" i="2093"/>
  <c r="R19" i="2093"/>
  <c r="R18" i="2093"/>
  <c r="R17" i="2093"/>
  <c r="R16" i="2093"/>
  <c r="R15" i="2093"/>
  <c r="R14" i="2093"/>
  <c r="D14" i="2093"/>
  <c r="R13" i="2093"/>
  <c r="D13" i="2093"/>
  <c r="R12" i="2093"/>
  <c r="R11" i="2093"/>
  <c r="L7" i="2093"/>
  <c r="D7" i="2093"/>
  <c r="R6" i="2093"/>
  <c r="L16" i="2093" s="1"/>
  <c r="D16" i="2093" s="1"/>
  <c r="R5" i="2093"/>
  <c r="R4" i="2093"/>
  <c r="L15" i="2093" s="1"/>
  <c r="D15" i="2093" s="1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L6" i="2092" s="1"/>
  <c r="D6" i="2092" s="1"/>
  <c r="D42" i="2092"/>
  <c r="R41" i="2092"/>
  <c r="D41" i="2092"/>
  <c r="R40" i="2092"/>
  <c r="D40" i="2092"/>
  <c r="R39" i="2092"/>
  <c r="H39" i="2092"/>
  <c r="D39" i="2092"/>
  <c r="R38" i="2092"/>
  <c r="L9" i="2092" s="1"/>
  <c r="D9" i="2092" s="1"/>
  <c r="H38" i="2092"/>
  <c r="D38" i="2092"/>
  <c r="R37" i="2092"/>
  <c r="H37" i="2092"/>
  <c r="D37" i="2092"/>
  <c r="R36" i="2092"/>
  <c r="H36" i="2092"/>
  <c r="D36" i="2092"/>
  <c r="R35" i="2092"/>
  <c r="L18" i="2092" s="1"/>
  <c r="D18" i="2092" s="1"/>
  <c r="H35" i="2092"/>
  <c r="D35" i="2092"/>
  <c r="R34" i="2092"/>
  <c r="L12" i="2092" s="1"/>
  <c r="D12" i="2092" s="1"/>
  <c r="H34" i="2092"/>
  <c r="D34" i="2092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 s="1"/>
  <c r="R23" i="2092"/>
  <c r="L23" i="2092"/>
  <c r="D23" i="2092" s="1"/>
  <c r="R22" i="2092"/>
  <c r="D22" i="2092"/>
  <c r="R21" i="2092"/>
  <c r="L17" i="2092" s="1"/>
  <c r="D17" i="2092" s="1"/>
  <c r="D21" i="2092"/>
  <c r="R20" i="2092"/>
  <c r="L20" i="2092"/>
  <c r="D20" i="2092" s="1"/>
  <c r="R19" i="2092"/>
  <c r="R18" i="2092"/>
  <c r="R17" i="2092"/>
  <c r="R16" i="2092"/>
  <c r="R15" i="2092"/>
  <c r="L15" i="2092"/>
  <c r="D15" i="2092" s="1"/>
  <c r="R14" i="2092"/>
  <c r="D14" i="2092"/>
  <c r="R13" i="2092"/>
  <c r="D13" i="2092"/>
  <c r="R12" i="2092"/>
  <c r="R11" i="2092"/>
  <c r="L10" i="2092"/>
  <c r="D10" i="2092" s="1"/>
  <c r="L8" i="2092"/>
  <c r="D8" i="2092" s="1"/>
  <c r="L7" i="2092"/>
  <c r="D7" i="2092"/>
  <c r="R6" i="2092"/>
  <c r="L16" i="2092" s="1"/>
  <c r="D16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L7" i="2091" s="1"/>
  <c r="D7" i="2091" s="1"/>
  <c r="D41" i="2091"/>
  <c r="R40" i="2091"/>
  <c r="D40" i="2091"/>
  <c r="R39" i="2091"/>
  <c r="H39" i="2091"/>
  <c r="D39" i="2091"/>
  <c r="R38" i="2091"/>
  <c r="L9" i="2091" s="1"/>
  <c r="D9" i="2091" s="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L18" i="2091" s="1"/>
  <c r="D18" i="2091" s="1"/>
  <c r="H35" i="2091"/>
  <c r="D35" i="2091"/>
  <c r="R34" i="2091"/>
  <c r="L12" i="2091" s="1"/>
  <c r="D12" i="2091" s="1"/>
  <c r="H34" i="2091"/>
  <c r="D34" i="2091"/>
  <c r="R33" i="2091"/>
  <c r="R32" i="2091"/>
  <c r="R31" i="2091"/>
  <c r="R30" i="2091"/>
  <c r="R29" i="2091"/>
  <c r="R28" i="2091"/>
  <c r="L28" i="2091"/>
  <c r="D28" i="2091" s="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 s="1"/>
  <c r="R22" i="2091"/>
  <c r="L20" i="2091" s="1"/>
  <c r="D20" i="2091" s="1"/>
  <c r="L22" i="2091"/>
  <c r="D22" i="2091" s="1"/>
  <c r="R21" i="2091"/>
  <c r="L17" i="2091" s="1"/>
  <c r="D17" i="2091" s="1"/>
  <c r="D21" i="2091"/>
  <c r="R20" i="2091"/>
  <c r="R19" i="2091"/>
  <c r="L19" i="2091"/>
  <c r="D19" i="2091" s="1"/>
  <c r="R18" i="2091"/>
  <c r="R17" i="2091"/>
  <c r="R16" i="2091"/>
  <c r="R15" i="2091"/>
  <c r="R14" i="2091"/>
  <c r="D14" i="2091"/>
  <c r="R13" i="2091"/>
  <c r="D13" i="2091"/>
  <c r="R12" i="2091"/>
  <c r="R11" i="2091"/>
  <c r="L11" i="2091"/>
  <c r="D11" i="2091" s="1"/>
  <c r="L8" i="2091"/>
  <c r="D8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 s="1"/>
  <c r="R24" i="2090"/>
  <c r="D24" i="2090"/>
  <c r="R23" i="2090"/>
  <c r="R22" i="2090"/>
  <c r="L22" i="2090"/>
  <c r="D22" i="2090" s="1"/>
  <c r="R21" i="2090"/>
  <c r="D21" i="2090"/>
  <c r="R20" i="2090"/>
  <c r="L20" i="2090"/>
  <c r="D20" i="2090" s="1"/>
  <c r="R19" i="2090"/>
  <c r="L19" i="2090"/>
  <c r="D19" i="2090" s="1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 s="1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L28" i="2089" s="1"/>
  <c r="D28" i="2089" s="1"/>
  <c r="D44" i="2089"/>
  <c r="R42" i="2089"/>
  <c r="L6" i="2089" s="1"/>
  <c r="D6" i="2089" s="1"/>
  <c r="D42" i="2089"/>
  <c r="R41" i="2089"/>
  <c r="D41" i="2089"/>
  <c r="R40" i="2089"/>
  <c r="L8" i="2089" s="1"/>
  <c r="D8" i="2089" s="1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L18" i="2089" s="1"/>
  <c r="D18" i="2089" s="1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R27" i="2089"/>
  <c r="L27" i="2089"/>
  <c r="D27" i="2089" s="1"/>
  <c r="R26" i="2089"/>
  <c r="L26" i="2089"/>
  <c r="D26" i="2089" s="1"/>
  <c r="R25" i="2089"/>
  <c r="L25" i="2089"/>
  <c r="D25" i="2089" s="1"/>
  <c r="R24" i="2089"/>
  <c r="L24" i="2089"/>
  <c r="D24" i="2089" s="1"/>
  <c r="R23" i="2089"/>
  <c r="L23" i="2089"/>
  <c r="D23" i="2089" s="1"/>
  <c r="R22" i="2089"/>
  <c r="L20" i="2089" s="1"/>
  <c r="D20" i="2089" s="1"/>
  <c r="L22" i="2089"/>
  <c r="D22" i="2089" s="1"/>
  <c r="R21" i="2089"/>
  <c r="L21" i="2089"/>
  <c r="D21" i="2089" s="1"/>
  <c r="R20" i="2089"/>
  <c r="R19" i="2089"/>
  <c r="L19" i="2089"/>
  <c r="D19" i="2089"/>
  <c r="R18" i="2089"/>
  <c r="R17" i="2089"/>
  <c r="L17" i="2089"/>
  <c r="D17" i="2089" s="1"/>
  <c r="R16" i="2089"/>
  <c r="R15" i="2089"/>
  <c r="R14" i="2089"/>
  <c r="D14" i="2089"/>
  <c r="R13" i="2089"/>
  <c r="D13" i="2089"/>
  <c r="R12" i="2089"/>
  <c r="L12" i="2089"/>
  <c r="D12" i="2089" s="1"/>
  <c r="R11" i="2089"/>
  <c r="L7" i="2089"/>
  <c r="D7" i="2089" s="1"/>
  <c r="R6" i="2089"/>
  <c r="L16" i="2089" s="1"/>
  <c r="D16" i="2089" s="1"/>
  <c r="R5" i="2089"/>
  <c r="R4" i="2089"/>
  <c r="L15" i="2089" s="1"/>
  <c r="D15" i="2089" s="1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 s="1"/>
  <c r="R22" i="2088"/>
  <c r="L20" i="2088" s="1"/>
  <c r="D20" i="2088" s="1"/>
  <c r="L22" i="2088"/>
  <c r="D22" i="2088" s="1"/>
  <c r="R21" i="2088"/>
  <c r="L17" i="2088" s="1"/>
  <c r="D17" i="2088" s="1"/>
  <c r="D21" i="2088"/>
  <c r="R20" i="2088"/>
  <c r="R19" i="2088"/>
  <c r="R18" i="2088"/>
  <c r="R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L7" i="2087" s="1"/>
  <c r="D7" i="2087" s="1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L11" i="2087" s="1"/>
  <c r="D11" i="2087" s="1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 s="1"/>
  <c r="R24" i="2087"/>
  <c r="L24" i="2087"/>
  <c r="D24" i="2087"/>
  <c r="R23" i="2087"/>
  <c r="L23" i="2087"/>
  <c r="D23" i="2087"/>
  <c r="R22" i="2087"/>
  <c r="L22" i="2087"/>
  <c r="D22" i="2087"/>
  <c r="R21" i="2087"/>
  <c r="L17" i="2087" s="1"/>
  <c r="D17" i="2087" s="1"/>
  <c r="L21" i="2087"/>
  <c r="D21" i="2087" s="1"/>
  <c r="R20" i="2087"/>
  <c r="L20" i="2087"/>
  <c r="D20" i="2087"/>
  <c r="R19" i="2087"/>
  <c r="R18" i="2087"/>
  <c r="L18" i="2087"/>
  <c r="D18" i="2087" s="1"/>
  <c r="R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 s="1"/>
  <c r="R11" i="2087"/>
  <c r="L9" i="2087"/>
  <c r="D9" i="2087" s="1"/>
  <c r="R6" i="2087"/>
  <c r="L16" i="2087" s="1"/>
  <c r="D16" i="2087" s="1"/>
  <c r="L6" i="2087"/>
  <c r="D6" i="2087" s="1"/>
  <c r="R5" i="2087"/>
  <c r="R4" i="2087"/>
  <c r="G49" i="2101" l="1"/>
  <c r="D54" i="2096"/>
  <c r="H14" i="2096" s="1"/>
  <c r="D29" i="2105"/>
  <c r="H13" i="2105" s="1"/>
  <c r="D54" i="2102"/>
  <c r="H14" i="2102" s="1"/>
  <c r="G49" i="2095"/>
  <c r="D54" i="2094"/>
  <c r="H14" i="2094" s="1"/>
  <c r="D54" i="2099"/>
  <c r="H14" i="2099" s="1"/>
  <c r="D54" i="2100"/>
  <c r="H14" i="2100" s="1"/>
  <c r="G49" i="2099"/>
  <c r="G49" i="2100"/>
  <c r="D54" i="2095"/>
  <c r="H14" i="2095" s="1"/>
  <c r="D54" i="2090"/>
  <c r="H14" i="2090" s="1"/>
  <c r="D54" i="2097"/>
  <c r="H14" i="2097" s="1"/>
  <c r="D54" i="2101"/>
  <c r="H14" i="2101" s="1"/>
  <c r="D54" i="2103"/>
  <c r="H14" i="2103" s="1"/>
  <c r="D54" i="2104"/>
  <c r="H14" i="2104" s="1"/>
  <c r="D54" i="2105"/>
  <c r="H14" i="2105" s="1"/>
  <c r="G49" i="2096"/>
  <c r="D54" i="2098"/>
  <c r="H14" i="2098" s="1"/>
  <c r="G49" i="2103"/>
  <c r="G49" i="2104"/>
  <c r="G49" i="2105"/>
  <c r="G49" i="2093"/>
  <c r="G49" i="2092"/>
  <c r="G49" i="2091"/>
  <c r="D54" i="2093"/>
  <c r="H14" i="2093" s="1"/>
  <c r="D54" i="2092"/>
  <c r="H14" i="2092" s="1"/>
  <c r="D29" i="2092"/>
  <c r="H13" i="2092" s="1"/>
  <c r="D54" i="2091"/>
  <c r="H14" i="2091" s="1"/>
  <c r="G49" i="2089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D29" i="2104"/>
  <c r="H13" i="2104" s="1"/>
  <c r="D29" i="2103"/>
  <c r="H13" i="2103" s="1"/>
  <c r="D29" i="2102"/>
  <c r="H13" i="2102" s="1"/>
  <c r="H15" i="2102" s="1"/>
  <c r="H29" i="2102" s="1"/>
  <c r="G51" i="2102" s="1"/>
  <c r="D29" i="2101"/>
  <c r="H13" i="2101" s="1"/>
  <c r="D29" i="2100"/>
  <c r="H13" i="2100" s="1"/>
  <c r="D29" i="2099"/>
  <c r="H13" i="2099" s="1"/>
  <c r="D29" i="2098"/>
  <c r="H13" i="2098" s="1"/>
  <c r="H15" i="2098" s="1"/>
  <c r="H29" i="2098" s="1"/>
  <c r="G51" i="2098" s="1"/>
  <c r="D29" i="2097"/>
  <c r="H13" i="2097" s="1"/>
  <c r="D29" i="2096"/>
  <c r="H13" i="2096" s="1"/>
  <c r="D29" i="2095"/>
  <c r="H13" i="2095" s="1"/>
  <c r="D29" i="2094"/>
  <c r="H13" i="2094" s="1"/>
  <c r="H15" i="2094" s="1"/>
  <c r="H29" i="2094" s="1"/>
  <c r="G51" i="2094" s="1"/>
  <c r="D29" i="2093"/>
  <c r="H13" i="2093" s="1"/>
  <c r="D29" i="2091"/>
  <c r="H13" i="2091" s="1"/>
  <c r="D29" i="2090"/>
  <c r="H13" i="2090" s="1"/>
  <c r="H15" i="2090" s="1"/>
  <c r="H29" i="2090" s="1"/>
  <c r="G51" i="2090"/>
  <c r="D29" i="2088"/>
  <c r="H13" i="2088" s="1"/>
  <c r="H16" i="2081"/>
  <c r="H15" i="2104" l="1"/>
  <c r="H29" i="2104" s="1"/>
  <c r="G51" i="2104" s="1"/>
  <c r="H15" i="2103"/>
  <c r="H29" i="2103" s="1"/>
  <c r="G51" i="2103" s="1"/>
  <c r="H15" i="2099"/>
  <c r="H29" i="2099" s="1"/>
  <c r="G51" i="2099" s="1"/>
  <c r="H15" i="2100"/>
  <c r="H29" i="2100" s="1"/>
  <c r="G51" i="2100" s="1"/>
  <c r="H15" i="2101"/>
  <c r="H29" i="2101" s="1"/>
  <c r="G51" i="2101" s="1"/>
  <c r="H15" i="2095"/>
  <c r="G51" i="2095" s="1"/>
  <c r="H15" i="2096"/>
  <c r="H29" i="2096" s="1"/>
  <c r="G51" i="2096" s="1"/>
  <c r="H15" i="2097"/>
  <c r="H29" i="2097" s="1"/>
  <c r="G51" i="2097" s="1"/>
  <c r="H15" i="2105"/>
  <c r="H29" i="2105" s="1"/>
  <c r="G51" i="2105" s="1"/>
  <c r="H15" i="2093"/>
  <c r="H29" i="2093" s="1"/>
  <c r="G51" i="2093" s="1"/>
  <c r="H15" i="2092"/>
  <c r="H29" i="2092" s="1"/>
  <c r="G51" i="2092" s="1"/>
  <c r="H15" i="2091"/>
  <c r="H29" i="2091" s="1"/>
  <c r="G51" i="2091" s="1"/>
  <c r="H15" i="2089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R35" i="2086"/>
  <c r="L19" i="2086" s="1"/>
  <c r="D19" i="2086" s="1"/>
  <c r="D35" i="2086"/>
  <c r="R34" i="2086"/>
  <c r="D34" i="2086"/>
  <c r="R33" i="2086"/>
  <c r="L23" i="2086" s="1"/>
  <c r="D23" i="2086" s="1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R22" i="2086"/>
  <c r="L22" i="2086"/>
  <c r="D22" i="2086" s="1"/>
  <c r="R21" i="2086"/>
  <c r="D21" i="2086"/>
  <c r="R20" i="2086"/>
  <c r="L20" i="2086"/>
  <c r="D20" i="2086"/>
  <c r="R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L6" i="2085" s="1"/>
  <c r="D6" i="2085" s="1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L10" i="2085" s="1"/>
  <c r="D10" i="2085" s="1"/>
  <c r="H36" i="2085"/>
  <c r="D36" i="2085"/>
  <c r="R35" i="2085"/>
  <c r="L18" i="2085" s="1"/>
  <c r="D18" i="2085" s="1"/>
  <c r="H35" i="2085"/>
  <c r="D35" i="2085"/>
  <c r="R34" i="2085"/>
  <c r="L12" i="2085" s="1"/>
  <c r="D12" i="2085" s="1"/>
  <c r="H34" i="2085"/>
  <c r="D34" i="2085"/>
  <c r="R33" i="2085"/>
  <c r="L19" i="2085" s="1"/>
  <c r="D19" i="2085" s="1"/>
  <c r="R32" i="2085"/>
  <c r="R31" i="2085"/>
  <c r="R30" i="2085"/>
  <c r="R29" i="2085"/>
  <c r="R28" i="2085"/>
  <c r="R27" i="2085"/>
  <c r="L27" i="2085"/>
  <c r="D27" i="2085" s="1"/>
  <c r="R26" i="2085"/>
  <c r="L26" i="2085"/>
  <c r="D26" i="2085" s="1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 s="1"/>
  <c r="R21" i="2085"/>
  <c r="L17" i="2085" s="1"/>
  <c r="D17" i="2085" s="1"/>
  <c r="L21" i="2085"/>
  <c r="D21" i="2085" s="1"/>
  <c r="R20" i="2085"/>
  <c r="R19" i="2085"/>
  <c r="R18" i="2085"/>
  <c r="R17" i="2085"/>
  <c r="R16" i="2085"/>
  <c r="R15" i="2085"/>
  <c r="R14" i="2085"/>
  <c r="D14" i="2085"/>
  <c r="R13" i="2085"/>
  <c r="D13" i="2085"/>
  <c r="R12" i="2085"/>
  <c r="R11" i="2085"/>
  <c r="L11" i="2085"/>
  <c r="D11" i="2085" s="1"/>
  <c r="L7" i="2085"/>
  <c r="D7" i="2085" s="1"/>
  <c r="R6" i="2085"/>
  <c r="L16" i="2085" s="1"/>
  <c r="D16" i="2085" s="1"/>
  <c r="R5" i="2085"/>
  <c r="R4" i="2085"/>
  <c r="L15" i="2085" s="1"/>
  <c r="D15" i="2085" s="1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L8" i="2084" s="1"/>
  <c r="D8" i="2084" s="1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L19" i="2084" s="1"/>
  <c r="D19" i="2084" s="1"/>
  <c r="R32" i="2084"/>
  <c r="L11" i="2084" s="1"/>
  <c r="D11" i="2084" s="1"/>
  <c r="R31" i="2084"/>
  <c r="R30" i="2084"/>
  <c r="R29" i="2084"/>
  <c r="R28" i="2084"/>
  <c r="R27" i="2084"/>
  <c r="L27" i="2084"/>
  <c r="D27" i="2084" s="1"/>
  <c r="R26" i="2084"/>
  <c r="L26" i="2084"/>
  <c r="D26" i="2084" s="1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 s="1"/>
  <c r="R11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L28" i="2083" s="1"/>
  <c r="D28" i="2083" s="1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R33" i="2083"/>
  <c r="R32" i="2083"/>
  <c r="R31" i="2083"/>
  <c r="R30" i="2083"/>
  <c r="R29" i="2083"/>
  <c r="R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 s="1"/>
  <c r="R23" i="2083"/>
  <c r="L23" i="2083"/>
  <c r="D23" i="2083" s="1"/>
  <c r="R22" i="2083"/>
  <c r="L20" i="2083" s="1"/>
  <c r="D20" i="2083" s="1"/>
  <c r="L22" i="2083"/>
  <c r="D22" i="2083" s="1"/>
  <c r="R21" i="2083"/>
  <c r="L17" i="2083" s="1"/>
  <c r="D17" i="2083" s="1"/>
  <c r="L21" i="2083"/>
  <c r="D21" i="2083" s="1"/>
  <c r="R20" i="2083"/>
  <c r="R19" i="2083"/>
  <c r="L19" i="2083"/>
  <c r="D19" i="2083"/>
  <c r="R18" i="2083"/>
  <c r="L18" i="2083"/>
  <c r="D18" i="2083" s="1"/>
  <c r="R17" i="2083"/>
  <c r="R16" i="2083"/>
  <c r="R15" i="2083"/>
  <c r="R14" i="2083"/>
  <c r="D14" i="2083"/>
  <c r="R13" i="2083"/>
  <c r="D13" i="2083"/>
  <c r="R12" i="2083"/>
  <c r="L12" i="2083"/>
  <c r="D12" i="2083" s="1"/>
  <c r="R11" i="2083"/>
  <c r="L11" i="2083"/>
  <c r="D11" i="2083" s="1"/>
  <c r="L7" i="2083"/>
  <c r="D7" i="2083"/>
  <c r="R6" i="2083"/>
  <c r="L16" i="2083" s="1"/>
  <c r="D16" i="2083" s="1"/>
  <c r="R5" i="2083"/>
  <c r="R4" i="2083"/>
  <c r="L15" i="2083" s="1"/>
  <c r="D15" i="2083" s="1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L6" i="2082" s="1"/>
  <c r="D6" i="2082" s="1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L9" i="2082" s="1"/>
  <c r="D9" i="2082" s="1"/>
  <c r="D38" i="2082"/>
  <c r="R37" i="2082"/>
  <c r="D37" i="2082"/>
  <c r="R36" i="2082"/>
  <c r="L10" i="2082" s="1"/>
  <c r="D10" i="2082" s="1"/>
  <c r="D36" i="2082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 s="1"/>
  <c r="R21" i="2082"/>
  <c r="D21" i="2082"/>
  <c r="R20" i="2082"/>
  <c r="L20" i="2082"/>
  <c r="D20" i="2082" s="1"/>
  <c r="R19" i="2082"/>
  <c r="L19" i="2082"/>
  <c r="D19" i="2082" s="1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R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L10" i="2081" s="1"/>
  <c r="D10" i="2081" s="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0" i="2081" s="1"/>
  <c r="D20" i="2081" s="1"/>
  <c r="L22" i="2081"/>
  <c r="D22" i="2081" s="1"/>
  <c r="R21" i="2081"/>
  <c r="L17" i="2081" s="1"/>
  <c r="D17" i="2081" s="1"/>
  <c r="L21" i="2081"/>
  <c r="D21" i="2081"/>
  <c r="R20" i="2081"/>
  <c r="R19" i="2081"/>
  <c r="R18" i="2081"/>
  <c r="R17" i="2081"/>
  <c r="R16" i="2081"/>
  <c r="R15" i="2081"/>
  <c r="R14" i="2081"/>
  <c r="D14" i="2081"/>
  <c r="R13" i="2081"/>
  <c r="D13" i="2081"/>
  <c r="R12" i="2081"/>
  <c r="R11" i="2081"/>
  <c r="L11" i="2081"/>
  <c r="D11" i="2081"/>
  <c r="L9" i="2081"/>
  <c r="D9" i="2081" s="1"/>
  <c r="L7" i="2081"/>
  <c r="D7" i="2081" s="1"/>
  <c r="R6" i="2081"/>
  <c r="L16" i="2081" s="1"/>
  <c r="D16" i="2081" s="1"/>
  <c r="L6" i="2081"/>
  <c r="D6" i="2081" s="1"/>
  <c r="R5" i="2081"/>
  <c r="R4" i="2081"/>
  <c r="L15" i="2081" s="1"/>
  <c r="D15" i="2081" s="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L6" i="2080" s="1"/>
  <c r="D6" i="2080" s="1"/>
  <c r="D42" i="2080"/>
  <c r="R41" i="2080"/>
  <c r="L7" i="2080" s="1"/>
  <c r="D7" i="2080" s="1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L12" i="2080" s="1"/>
  <c r="D12" i="2080" s="1"/>
  <c r="H34" i="2080"/>
  <c r="D34" i="2080"/>
  <c r="R33" i="2080"/>
  <c r="L19" i="2080" s="1"/>
  <c r="D19" i="2080" s="1"/>
  <c r="R32" i="2080"/>
  <c r="L11" i="2080" s="1"/>
  <c r="D11" i="2080" s="1"/>
  <c r="R31" i="2080"/>
  <c r="R30" i="2080"/>
  <c r="R29" i="2080"/>
  <c r="R28" i="2080"/>
  <c r="R27" i="2080"/>
  <c r="L27" i="2080"/>
  <c r="D27" i="2080" s="1"/>
  <c r="R26" i="2080"/>
  <c r="L26" i="2080"/>
  <c r="D26" i="2080" s="1"/>
  <c r="R25" i="2080"/>
  <c r="L25" i="2080"/>
  <c r="D25" i="2080" s="1"/>
  <c r="R24" i="2080"/>
  <c r="L24" i="2080"/>
  <c r="D24" i="2080" s="1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 s="1"/>
  <c r="R17" i="2080"/>
  <c r="L17" i="2080"/>
  <c r="D17" i="2080" s="1"/>
  <c r="R16" i="2080"/>
  <c r="R15" i="2080"/>
  <c r="R14" i="2080"/>
  <c r="D14" i="2080"/>
  <c r="R13" i="2080"/>
  <c r="D13" i="2080"/>
  <c r="R12" i="2080"/>
  <c r="R11" i="2080"/>
  <c r="L9" i="2080"/>
  <c r="D9" i="2080"/>
  <c r="R6" i="2080"/>
  <c r="L16" i="2080" s="1"/>
  <c r="D16" i="2080" s="1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L6" i="2079" s="1"/>
  <c r="D6" i="2079" s="1"/>
  <c r="D42" i="2079"/>
  <c r="R41" i="2079"/>
  <c r="D41" i="2079"/>
  <c r="R40" i="2079"/>
  <c r="L8" i="2079" s="1"/>
  <c r="D8" i="2079" s="1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R33" i="2079"/>
  <c r="L19" i="2079" s="1"/>
  <c r="D19" i="2079" s="1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 s="1"/>
  <c r="R26" i="2079"/>
  <c r="L26" i="2079"/>
  <c r="D26" i="2079" s="1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 s="1"/>
  <c r="R20" i="2079"/>
  <c r="L20" i="2079"/>
  <c r="D20" i="2079" s="1"/>
  <c r="R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 s="1"/>
  <c r="L7" i="2079"/>
  <c r="D7" i="2079"/>
  <c r="R6" i="2079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L9" i="2078" s="1"/>
  <c r="D9" i="2078" s="1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R33" i="2078"/>
  <c r="R32" i="2078"/>
  <c r="L11" i="2078" s="1"/>
  <c r="D11" i="2078" s="1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 s="1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 s="1"/>
  <c r="R11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L28" i="2077" s="1"/>
  <c r="D28" i="2077" s="1"/>
  <c r="D44" i="2077"/>
  <c r="R42" i="2077"/>
  <c r="L6" i="2077" s="1"/>
  <c r="D6" i="2077" s="1"/>
  <c r="D42" i="2077"/>
  <c r="R41" i="2077"/>
  <c r="D41" i="2077"/>
  <c r="R40" i="2077"/>
  <c r="L8" i="2077" s="1"/>
  <c r="D8" i="2077" s="1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L18" i="2077" s="1"/>
  <c r="D18" i="2077" s="1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R27" i="2077"/>
  <c r="L27" i="2077"/>
  <c r="D27" i="2077"/>
  <c r="R26" i="2077"/>
  <c r="L26" i="2077"/>
  <c r="D26" i="2077" s="1"/>
  <c r="R25" i="2077"/>
  <c r="L25" i="2077"/>
  <c r="D25" i="2077" s="1"/>
  <c r="R24" i="2077"/>
  <c r="L24" i="2077"/>
  <c r="D24" i="2077" s="1"/>
  <c r="R23" i="2077"/>
  <c r="L23" i="2077"/>
  <c r="D23" i="2077"/>
  <c r="R22" i="2077"/>
  <c r="L20" i="2077" s="1"/>
  <c r="D20" i="2077" s="1"/>
  <c r="L22" i="2077"/>
  <c r="D22" i="2077" s="1"/>
  <c r="R21" i="2077"/>
  <c r="L17" i="2077" s="1"/>
  <c r="D17" i="2077" s="1"/>
  <c r="L21" i="2077"/>
  <c r="D21" i="2077" s="1"/>
  <c r="R20" i="2077"/>
  <c r="R19" i="2077"/>
  <c r="L19" i="2077"/>
  <c r="D19" i="2077" s="1"/>
  <c r="R18" i="2077"/>
  <c r="R17" i="2077"/>
  <c r="R16" i="2077"/>
  <c r="R15" i="2077"/>
  <c r="R14" i="2077"/>
  <c r="D14" i="2077"/>
  <c r="R13" i="2077"/>
  <c r="D13" i="2077"/>
  <c r="R12" i="2077"/>
  <c r="L12" i="2077"/>
  <c r="D12" i="2077" s="1"/>
  <c r="R11" i="2077"/>
  <c r="L7" i="2077"/>
  <c r="D7" i="2077" s="1"/>
  <c r="R6" i="2077"/>
  <c r="L16" i="2077" s="1"/>
  <c r="D16" i="2077" s="1"/>
  <c r="R5" i="2077"/>
  <c r="R4" i="2077"/>
  <c r="L15" i="2077" s="1"/>
  <c r="D15" i="2077" s="1"/>
  <c r="D54" i="2083" l="1"/>
  <c r="H14" i="2083" s="1"/>
  <c r="D54" i="2078"/>
  <c r="H14" i="2078" s="1"/>
  <c r="D54" i="2086"/>
  <c r="H14" i="2086" s="1"/>
  <c r="D54" i="2079"/>
  <c r="H14" i="2079" s="1"/>
  <c r="D54" i="2082"/>
  <c r="H14" i="2082" s="1"/>
  <c r="G49" i="2085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G49" i="2083"/>
  <c r="D29" i="2085"/>
  <c r="H13" i="2085" s="1"/>
  <c r="D29" i="2084"/>
  <c r="H13" i="2084" s="1"/>
  <c r="D29" i="2083"/>
  <c r="H13" i="2083" s="1"/>
  <c r="D29" i="2082"/>
  <c r="H13" i="2082" s="1"/>
  <c r="H15" i="2082" s="1"/>
  <c r="H29" i="2082" s="1"/>
  <c r="G51" i="2082" s="1"/>
  <c r="D54" i="2080"/>
  <c r="H14" i="2080" s="1"/>
  <c r="D29" i="2081"/>
  <c r="H13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L6" i="2076" s="1"/>
  <c r="D6" i="2076" s="1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L9" i="2076" s="1"/>
  <c r="D9" i="2076" s="1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R34" i="2076"/>
  <c r="L12" i="2076" s="1"/>
  <c r="D12" i="2076" s="1"/>
  <c r="H34" i="2076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 s="1"/>
  <c r="R20" i="2076"/>
  <c r="R19" i="2076"/>
  <c r="L19" i="2076"/>
  <c r="D19" i="2076"/>
  <c r="R18" i="2076"/>
  <c r="R17" i="2076"/>
  <c r="R16" i="2076"/>
  <c r="R15" i="2076"/>
  <c r="R14" i="2076"/>
  <c r="D14" i="2076"/>
  <c r="R13" i="2076"/>
  <c r="D13" i="2076"/>
  <c r="R12" i="2076"/>
  <c r="R11" i="2076"/>
  <c r="L11" i="2076"/>
  <c r="D11" i="2076" s="1"/>
  <c r="R6" i="2076"/>
  <c r="L16" i="2076" s="1"/>
  <c r="D16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L7" i="2075" s="1"/>
  <c r="D7" i="2075" s="1"/>
  <c r="D41" i="2075"/>
  <c r="R40" i="2075"/>
  <c r="L8" i="2075" s="1"/>
  <c r="D8" i="2075" s="1"/>
  <c r="D40" i="2075"/>
  <c r="R39" i="2075"/>
  <c r="H39" i="2075"/>
  <c r="D39" i="2075"/>
  <c r="R38" i="2075"/>
  <c r="L9" i="2075" s="1"/>
  <c r="D9" i="2075" s="1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 s="1"/>
  <c r="R23" i="2075"/>
  <c r="L23" i="2075"/>
  <c r="D23" i="2075"/>
  <c r="R22" i="2075"/>
  <c r="L20" i="2075" s="1"/>
  <c r="D20" i="2075" s="1"/>
  <c r="L22" i="2075"/>
  <c r="D22" i="2075"/>
  <c r="R21" i="2075"/>
  <c r="L17" i="2075" s="1"/>
  <c r="D17" i="2075" s="1"/>
  <c r="D21" i="2075"/>
  <c r="R20" i="2075"/>
  <c r="R19" i="2075"/>
  <c r="R18" i="2075"/>
  <c r="L18" i="2075"/>
  <c r="D18" i="2075" s="1"/>
  <c r="R17" i="2075"/>
  <c r="R16" i="2075"/>
  <c r="L16" i="2075"/>
  <c r="D16" i="2075" s="1"/>
  <c r="R15" i="2075"/>
  <c r="R14" i="2075"/>
  <c r="D14" i="2075"/>
  <c r="R13" i="2075"/>
  <c r="D13" i="2075"/>
  <c r="R12" i="2075"/>
  <c r="R11" i="2075"/>
  <c r="L11" i="2075"/>
  <c r="D11" i="2075"/>
  <c r="L10" i="2075"/>
  <c r="D10" i="2075" s="1"/>
  <c r="R6" i="2075"/>
  <c r="L6" i="2075"/>
  <c r="D6" i="2075" s="1"/>
  <c r="R5" i="2075"/>
  <c r="R4" i="2075"/>
  <c r="L15" i="2075" s="1"/>
  <c r="D15" i="2075" s="1"/>
  <c r="H15" i="2083" l="1"/>
  <c r="H29" i="2083" s="1"/>
  <c r="G51" i="2083" s="1"/>
  <c r="D29" i="2076"/>
  <c r="H13" i="2076" s="1"/>
  <c r="D54" i="2076"/>
  <c r="H14" i="2076" s="1"/>
  <c r="H15" i="2081"/>
  <c r="H29" i="2081" s="1"/>
  <c r="H15" i="2084"/>
  <c r="H29" i="2084" s="1"/>
  <c r="G49" i="2076"/>
  <c r="H15" i="2086"/>
  <c r="H29" i="2086" s="1"/>
  <c r="G51" i="2086" s="1"/>
  <c r="H15" i="2085"/>
  <c r="H29" i="2085" s="1"/>
  <c r="G51" i="2085" s="1"/>
  <c r="G51" i="2084"/>
  <c r="G51" i="2081"/>
  <c r="H15" i="2080"/>
  <c r="H29" i="2080" s="1"/>
  <c r="G51" i="2080" s="1"/>
  <c r="G51" i="2079"/>
  <c r="G51" i="2077"/>
  <c r="G49" i="2075"/>
  <c r="D54" i="2075"/>
  <c r="H14" i="2075" s="1"/>
  <c r="D29" i="2075"/>
  <c r="H13" i="2075" s="1"/>
  <c r="H16" i="2071"/>
  <c r="H15" i="2076" l="1"/>
  <c r="H29" i="2076" s="1"/>
  <c r="G51" i="2076" s="1"/>
  <c r="H15" i="2075"/>
  <c r="H29" i="2075" s="1"/>
  <c r="G51" i="2075" s="1"/>
  <c r="H16" i="2059"/>
  <c r="H16" i="2053" l="1"/>
  <c r="L21" i="2051" l="1"/>
  <c r="C12" i="2051"/>
  <c r="L24" i="2039" l="1"/>
  <c r="L25" i="2039"/>
  <c r="L26" i="2039"/>
  <c r="D26" i="2039" s="1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L28" i="2073" s="1"/>
  <c r="D28" i="2073" s="1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 s="1"/>
  <c r="R21" i="2073"/>
  <c r="L17" i="2073" s="1"/>
  <c r="D17" i="2073" s="1"/>
  <c r="L21" i="2073"/>
  <c r="D21" i="2073" s="1"/>
  <c r="R20" i="2073"/>
  <c r="R19" i="2073"/>
  <c r="R18" i="2073"/>
  <c r="R17" i="2073"/>
  <c r="R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L16" i="2073" s="1"/>
  <c r="D16" i="2073" s="1"/>
  <c r="R5" i="2073"/>
  <c r="R4" i="2073"/>
  <c r="H16" i="2045"/>
  <c r="C18" i="2045"/>
  <c r="C15" i="2045"/>
  <c r="G49" i="2073" l="1"/>
  <c r="D29" i="2073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L9" i="2072" s="1"/>
  <c r="D9" i="2072" s="1"/>
  <c r="D38" i="2072"/>
  <c r="R37" i="2072"/>
  <c r="D37" i="2072"/>
  <c r="R36" i="2072"/>
  <c r="L10" i="2072" s="1"/>
  <c r="D10" i="2072" s="1"/>
  <c r="D36" i="2072"/>
  <c r="R35" i="2072"/>
  <c r="D35" i="2072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 s="1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8" i="2072"/>
  <c r="D8" i="2072" s="1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L28" i="2071" s="1"/>
  <c r="D28" i="2071" s="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L10" i="2071" s="1"/>
  <c r="D10" i="2071" s="1"/>
  <c r="H36" i="2071"/>
  <c r="D36" i="2071"/>
  <c r="R35" i="2071"/>
  <c r="L18" i="2071" s="1"/>
  <c r="D18" i="2071" s="1"/>
  <c r="H35" i="2071"/>
  <c r="D35" i="2071"/>
  <c r="R34" i="2071"/>
  <c r="L12" i="2071" s="1"/>
  <c r="D12" i="2071" s="1"/>
  <c r="H34" i="2071"/>
  <c r="D34" i="2071"/>
  <c r="R33" i="2071"/>
  <c r="L19" i="2071" s="1"/>
  <c r="D19" i="2071" s="1"/>
  <c r="R32" i="2071"/>
  <c r="L11" i="2071" s="1"/>
  <c r="D11" i="2071" s="1"/>
  <c r="R31" i="2071"/>
  <c r="R30" i="2071"/>
  <c r="R29" i="2071"/>
  <c r="R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 s="1"/>
  <c r="R21" i="2071"/>
  <c r="L17" i="2071" s="1"/>
  <c r="D17" i="2071" s="1"/>
  <c r="L21" i="2071"/>
  <c r="D21" i="2071"/>
  <c r="R20" i="2071"/>
  <c r="R19" i="2071"/>
  <c r="R18" i="2071"/>
  <c r="R17" i="2071"/>
  <c r="R16" i="2071"/>
  <c r="L16" i="2071"/>
  <c r="D16" i="2071"/>
  <c r="R15" i="2071"/>
  <c r="R14" i="2071"/>
  <c r="D14" i="2071"/>
  <c r="R13" i="2071"/>
  <c r="D13" i="2071"/>
  <c r="R12" i="2071"/>
  <c r="R11" i="2071"/>
  <c r="L9" i="2071"/>
  <c r="D9" i="2071" s="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L9" i="2070" s="1"/>
  <c r="D9" i="2070" s="1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L12" i="2070" s="1"/>
  <c r="D12" i="2070" s="1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 s="1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R15" i="2070"/>
  <c r="R14" i="2070"/>
  <c r="D14" i="2070"/>
  <c r="R13" i="2070"/>
  <c r="D13" i="2070"/>
  <c r="R12" i="2070"/>
  <c r="R11" i="2070"/>
  <c r="L11" i="2070"/>
  <c r="D11" i="2070" s="1"/>
  <c r="R6" i="2070"/>
  <c r="L16" i="2070" s="1"/>
  <c r="D16" i="2070" s="1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L28" i="2069" s="1"/>
  <c r="D28" i="2069" s="1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L19" i="2069" s="1"/>
  <c r="D19" i="2069" s="1"/>
  <c r="R32" i="2069"/>
  <c r="R31" i="2069"/>
  <c r="R30" i="2069"/>
  <c r="R29" i="2069"/>
  <c r="R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 s="1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 s="1"/>
  <c r="R20" i="2069"/>
  <c r="R19" i="2069"/>
  <c r="R18" i="2069"/>
  <c r="R17" i="2069"/>
  <c r="R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 s="1"/>
  <c r="L10" i="2069"/>
  <c r="D10" i="2069" s="1"/>
  <c r="L7" i="2069"/>
  <c r="D7" i="2069" s="1"/>
  <c r="R6" i="2069"/>
  <c r="L16" i="2069" s="1"/>
  <c r="D16" i="2069" s="1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 s="1"/>
  <c r="R24" i="2068"/>
  <c r="D24" i="2068"/>
  <c r="R23" i="2068"/>
  <c r="L23" i="2068"/>
  <c r="D23" i="2068" s="1"/>
  <c r="R22" i="2068"/>
  <c r="L22" i="2068"/>
  <c r="D22" i="2068" s="1"/>
  <c r="R21" i="2068"/>
  <c r="D21" i="2068"/>
  <c r="R20" i="2068"/>
  <c r="L20" i="2068"/>
  <c r="D20" i="2068" s="1"/>
  <c r="R19" i="2068"/>
  <c r="L19" i="2068"/>
  <c r="D19" i="2068" s="1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L28" i="2067" s="1"/>
  <c r="D28" i="2067" s="1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L19" i="2067" s="1"/>
  <c r="D19" i="2067" s="1"/>
  <c r="R32" i="2067"/>
  <c r="L11" i="2067" s="1"/>
  <c r="D11" i="2067" s="1"/>
  <c r="R31" i="2067"/>
  <c r="R30" i="2067"/>
  <c r="R29" i="2067"/>
  <c r="R28" i="2067"/>
  <c r="R27" i="2067"/>
  <c r="L27" i="2067"/>
  <c r="D27" i="2067" s="1"/>
  <c r="R26" i="2067"/>
  <c r="L26" i="2067"/>
  <c r="D26" i="2067" s="1"/>
  <c r="R25" i="2067"/>
  <c r="L25" i="2067"/>
  <c r="D25" i="2067" s="1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17" i="2067" s="1"/>
  <c r="D17" i="2067" s="1"/>
  <c r="L21" i="2067"/>
  <c r="D21" i="2067"/>
  <c r="R20" i="2067"/>
  <c r="R19" i="2067"/>
  <c r="R18" i="2067"/>
  <c r="L18" i="2067"/>
  <c r="D18" i="2067" s="1"/>
  <c r="R17" i="2067"/>
  <c r="R16" i="2067"/>
  <c r="R15" i="2067"/>
  <c r="L15" i="2067"/>
  <c r="D15" i="2067" s="1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 s="1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L28" i="2066" s="1"/>
  <c r="D28" i="2066" s="1"/>
  <c r="D44" i="2066"/>
  <c r="R42" i="2066"/>
  <c r="L6" i="2066" s="1"/>
  <c r="D6" i="2066" s="1"/>
  <c r="D42" i="2066"/>
  <c r="R41" i="2066"/>
  <c r="L7" i="2066" s="1"/>
  <c r="D7" i="2066" s="1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D36" i="2066"/>
  <c r="R35" i="2066"/>
  <c r="L18" i="2066" s="1"/>
  <c r="D18" i="2066" s="1"/>
  <c r="H35" i="2066"/>
  <c r="D35" i="2066"/>
  <c r="R34" i="2066"/>
  <c r="H34" i="2066"/>
  <c r="D34" i="2066"/>
  <c r="R33" i="2066"/>
  <c r="R32" i="2066"/>
  <c r="R31" i="2066"/>
  <c r="R30" i="2066"/>
  <c r="R29" i="2066"/>
  <c r="R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L6" i="2065" s="1"/>
  <c r="D6" i="2065" s="1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 s="1"/>
  <c r="R24" i="2065"/>
  <c r="L24" i="2065"/>
  <c r="D24" i="2065" s="1"/>
  <c r="R23" i="2065"/>
  <c r="L23" i="2065"/>
  <c r="D23" i="2065" s="1"/>
  <c r="R22" i="2065"/>
  <c r="L20" i="2065" s="1"/>
  <c r="D20" i="2065" s="1"/>
  <c r="L22" i="2065"/>
  <c r="D22" i="2065" s="1"/>
  <c r="R21" i="2065"/>
  <c r="L17" i="2065" s="1"/>
  <c r="D17" i="2065" s="1"/>
  <c r="L21" i="2065"/>
  <c r="D21" i="2065"/>
  <c r="R20" i="2065"/>
  <c r="R19" i="2065"/>
  <c r="R18" i="2065"/>
  <c r="R17" i="2065"/>
  <c r="R16" i="2065"/>
  <c r="R15" i="2065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 s="1"/>
  <c r="R6" i="2065"/>
  <c r="L16" i="2065" s="1"/>
  <c r="D16" i="2065" s="1"/>
  <c r="R5" i="2065"/>
  <c r="R4" i="2065"/>
  <c r="L15" i="2065" s="1"/>
  <c r="D15" i="2065" s="1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L8" i="2064" s="1"/>
  <c r="D8" i="2064" s="1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L11" i="2064" s="1"/>
  <c r="D11" i="2064" s="1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 s="1"/>
  <c r="R24" i="2064"/>
  <c r="D24" i="2064"/>
  <c r="R23" i="2064"/>
  <c r="R22" i="2064"/>
  <c r="L22" i="2064"/>
  <c r="D22" i="2064" s="1"/>
  <c r="R21" i="2064"/>
  <c r="D21" i="2064"/>
  <c r="R20" i="2064"/>
  <c r="L20" i="2064"/>
  <c r="D20" i="2064" s="1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0" i="2064"/>
  <c r="D10" i="2064" s="1"/>
  <c r="L9" i="2064"/>
  <c r="D9" i="2064" s="1"/>
  <c r="R6" i="2064"/>
  <c r="L6" i="2064"/>
  <c r="D6" i="2064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R34" i="2063"/>
  <c r="L12" i="2063" s="1"/>
  <c r="D12" i="2063" s="1"/>
  <c r="H34" i="2063"/>
  <c r="G49" i="2063" s="1"/>
  <c r="D34" i="2063"/>
  <c r="R33" i="2063"/>
  <c r="L19" i="2063" s="1"/>
  <c r="D19" i="2063" s="1"/>
  <c r="R32" i="2063"/>
  <c r="R31" i="2063"/>
  <c r="R30" i="2063"/>
  <c r="R29" i="2063"/>
  <c r="R28" i="2063"/>
  <c r="R27" i="2063"/>
  <c r="L27" i="2063"/>
  <c r="D27" i="2063" s="1"/>
  <c r="R26" i="2063"/>
  <c r="L26" i="2063"/>
  <c r="D26" i="2063" s="1"/>
  <c r="R25" i="2063"/>
  <c r="L25" i="2063"/>
  <c r="D25" i="2063"/>
  <c r="R24" i="2063"/>
  <c r="L24" i="2063"/>
  <c r="D24" i="2063"/>
  <c r="R23" i="2063"/>
  <c r="L23" i="2063"/>
  <c r="D23" i="2063" s="1"/>
  <c r="R22" i="2063"/>
  <c r="L20" i="2063" s="1"/>
  <c r="D20" i="2063" s="1"/>
  <c r="L22" i="2063"/>
  <c r="D22" i="2063" s="1"/>
  <c r="R21" i="2063"/>
  <c r="L17" i="2063" s="1"/>
  <c r="D17" i="2063" s="1"/>
  <c r="L21" i="2063"/>
  <c r="D21" i="2063" s="1"/>
  <c r="R20" i="2063"/>
  <c r="R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 s="1"/>
  <c r="L7" i="2063"/>
  <c r="D7" i="2063" s="1"/>
  <c r="R6" i="2063"/>
  <c r="L16" i="2063" s="1"/>
  <c r="D16" i="2063" s="1"/>
  <c r="L6" i="2063"/>
  <c r="D6" i="2063" s="1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L12" i="2062" s="1"/>
  <c r="D12" i="2062" s="1"/>
  <c r="H34" i="2062"/>
  <c r="D34" i="2062"/>
  <c r="R33" i="2062"/>
  <c r="R32" i="2062"/>
  <c r="R31" i="2062"/>
  <c r="R30" i="2062"/>
  <c r="R29" i="2062"/>
  <c r="R28" i="2062"/>
  <c r="L28" i="2062"/>
  <c r="D28" i="2062" s="1"/>
  <c r="R27" i="2062"/>
  <c r="L27" i="2062"/>
  <c r="D27" i="2062" s="1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17" i="2062" s="1"/>
  <c r="D17" i="2062" s="1"/>
  <c r="L21" i="2062"/>
  <c r="D21" i="2062" s="1"/>
  <c r="R20" i="2062"/>
  <c r="R19" i="2062"/>
  <c r="L19" i="2062"/>
  <c r="D19" i="2062"/>
  <c r="R18" i="2062"/>
  <c r="R17" i="2062"/>
  <c r="R16" i="2062"/>
  <c r="L16" i="2062"/>
  <c r="D16" i="2062" s="1"/>
  <c r="R15" i="2062"/>
  <c r="R14" i="2062"/>
  <c r="D14" i="2062"/>
  <c r="R13" i="2062"/>
  <c r="D13" i="2062"/>
  <c r="R12" i="2062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L8" i="2061" s="1"/>
  <c r="D8" i="2061" s="1"/>
  <c r="D40" i="2061"/>
  <c r="R39" i="2061"/>
  <c r="H39" i="2061"/>
  <c r="D39" i="2061"/>
  <c r="R38" i="2061"/>
  <c r="L9" i="2061" s="1"/>
  <c r="D9" i="2061" s="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L12" i="2061" s="1"/>
  <c r="D12" i="2061" s="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 s="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17" i="2061" s="1"/>
  <c r="D17" i="2061" s="1"/>
  <c r="L21" i="2061"/>
  <c r="D21" i="2061"/>
  <c r="R20" i="2061"/>
  <c r="R19" i="2061"/>
  <c r="R18" i="2061"/>
  <c r="R17" i="2061"/>
  <c r="R16" i="2061"/>
  <c r="R15" i="2061"/>
  <c r="R14" i="2061"/>
  <c r="D14" i="2061"/>
  <c r="R13" i="2061"/>
  <c r="D13" i="2061"/>
  <c r="R12" i="2061"/>
  <c r="R11" i="206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L9" i="2060" s="1"/>
  <c r="D9" i="2060" s="1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R33" i="2060"/>
  <c r="L23" i="2060" s="1"/>
  <c r="D23" i="2060" s="1"/>
  <c r="R32" i="2060"/>
  <c r="L11" i="2060" s="1"/>
  <c r="D11" i="2060" s="1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 s="1"/>
  <c r="R21" i="2060"/>
  <c r="D21" i="2060"/>
  <c r="R20" i="2060"/>
  <c r="L20" i="2060"/>
  <c r="D20" i="2060" s="1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8" i="2060"/>
  <c r="D8" i="2060" s="1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L28" i="2059" s="1"/>
  <c r="D28" i="2059" s="1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L10" i="2059" s="1"/>
  <c r="D10" i="2059" s="1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L19" i="2059" s="1"/>
  <c r="D19" i="2059" s="1"/>
  <c r="R32" i="2059"/>
  <c r="L11" i="2059" s="1"/>
  <c r="D11" i="2059" s="1"/>
  <c r="R31" i="2059"/>
  <c r="R30" i="2059"/>
  <c r="R29" i="2059"/>
  <c r="R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 s="1"/>
  <c r="R23" i="2059"/>
  <c r="L23" i="2059"/>
  <c r="D23" i="2059" s="1"/>
  <c r="R22" i="2059"/>
  <c r="L20" i="2059" s="1"/>
  <c r="D20" i="2059" s="1"/>
  <c r="L22" i="2059"/>
  <c r="D22" i="2059"/>
  <c r="R21" i="2059"/>
  <c r="L17" i="2059" s="1"/>
  <c r="D17" i="2059" s="1"/>
  <c r="L21" i="2059"/>
  <c r="D21" i="2059"/>
  <c r="R20" i="2059"/>
  <c r="R19" i="2059"/>
  <c r="R18" i="2059"/>
  <c r="R17" i="2059"/>
  <c r="R16" i="2059"/>
  <c r="R15" i="2059"/>
  <c r="R14" i="2059"/>
  <c r="D14" i="2059"/>
  <c r="R13" i="2059"/>
  <c r="D13" i="2059"/>
  <c r="R12" i="2059"/>
  <c r="L12" i="2059"/>
  <c r="D12" i="2059"/>
  <c r="R11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 s="1"/>
  <c r="R25" i="2058"/>
  <c r="L25" i="2058"/>
  <c r="D25" i="2058" s="1"/>
  <c r="R24" i="2058"/>
  <c r="L24" i="2058"/>
  <c r="D24" i="2058" s="1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 s="1"/>
  <c r="R14" i="2058"/>
  <c r="D14" i="2058"/>
  <c r="R13" i="2058"/>
  <c r="D13" i="2058"/>
  <c r="R12" i="2058"/>
  <c r="L12" i="2058"/>
  <c r="D12" i="2058" s="1"/>
  <c r="R11" i="2058"/>
  <c r="L8" i="2058"/>
  <c r="D8" i="2058" s="1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L28" i="2057" s="1"/>
  <c r="D28" i="2057" s="1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L9" i="2057" s="1"/>
  <c r="D9" i="2057" s="1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L12" i="2057" s="1"/>
  <c r="D12" i="2057" s="1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R27" i="2057"/>
  <c r="L27" i="2057"/>
  <c r="D27" i="2057" s="1"/>
  <c r="R26" i="2057"/>
  <c r="L26" i="2057"/>
  <c r="D26" i="2057" s="1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 s="1"/>
  <c r="R16" i="2057"/>
  <c r="R15" i="2057"/>
  <c r="R14" i="2057"/>
  <c r="D14" i="2057"/>
  <c r="R13" i="2057"/>
  <c r="D13" i="2057"/>
  <c r="R12" i="2057"/>
  <c r="R11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L8" i="2056" s="1"/>
  <c r="D8" i="2056" s="1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R33" i="2056"/>
  <c r="L23" i="2056" s="1"/>
  <c r="D23" i="2056" s="1"/>
  <c r="R32" i="2056"/>
  <c r="L11" i="2056" s="1"/>
  <c r="D11" i="2056" s="1"/>
  <c r="R31" i="2056"/>
  <c r="R30" i="2056"/>
  <c r="R29" i="2056"/>
  <c r="R28" i="2056"/>
  <c r="L16" i="2056" s="1"/>
  <c r="D16" i="2056" s="1"/>
  <c r="D28" i="2056"/>
  <c r="R27" i="2056"/>
  <c r="D27" i="2056"/>
  <c r="R26" i="2056"/>
  <c r="L26" i="2056"/>
  <c r="D26" i="2056"/>
  <c r="R25" i="2056"/>
  <c r="L25" i="2056"/>
  <c r="D25" i="2056" s="1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S15" i="2056"/>
  <c r="R15" i="2056"/>
  <c r="D15" i="2056"/>
  <c r="S14" i="2056"/>
  <c r="R14" i="2056"/>
  <c r="D14" i="2056"/>
  <c r="R13" i="2056"/>
  <c r="D13" i="2056"/>
  <c r="R12" i="2056"/>
  <c r="R11" i="2056"/>
  <c r="R6" i="2056"/>
  <c r="R5" i="2056"/>
  <c r="R4" i="2056"/>
  <c r="D54" i="2063" l="1"/>
  <c r="H14" i="2063" s="1"/>
  <c r="G49" i="2066"/>
  <c r="D54" i="2068"/>
  <c r="H14" i="2068" s="1"/>
  <c r="D54" i="2060"/>
  <c r="H14" i="2060" s="1"/>
  <c r="D29" i="2064"/>
  <c r="H13" i="2064" s="1"/>
  <c r="D54" i="2066"/>
  <c r="H14" i="2066" s="1"/>
  <c r="D54" i="2072"/>
  <c r="H14" i="2072" s="1"/>
  <c r="D54" i="2056"/>
  <c r="H14" i="2056" s="1"/>
  <c r="G49" i="207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 s="1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L28" i="2055" s="1"/>
  <c r="D28" i="2055" s="1"/>
  <c r="D44" i="2055"/>
  <c r="R42" i="2055"/>
  <c r="D42" i="2055"/>
  <c r="R41" i="2055"/>
  <c r="D41" i="2055"/>
  <c r="R40" i="2055"/>
  <c r="D40" i="2055"/>
  <c r="R39" i="2055"/>
  <c r="H39" i="2055"/>
  <c r="D39" i="2055"/>
  <c r="R38" i="2055"/>
  <c r="L9" i="2055" s="1"/>
  <c r="D9" i="2055" s="1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L11" i="2055" s="1"/>
  <c r="D11" i="2055" s="1"/>
  <c r="R31" i="2055"/>
  <c r="R30" i="2055"/>
  <c r="R29" i="2055"/>
  <c r="R28" i="2055"/>
  <c r="R27" i="2055"/>
  <c r="L27" i="2055"/>
  <c r="D27" i="2055" s="1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17" i="2055" s="1"/>
  <c r="D17" i="2055" s="1"/>
  <c r="L21" i="2055"/>
  <c r="D21" i="2055"/>
  <c r="R20" i="2055"/>
  <c r="R19" i="2055"/>
  <c r="L19" i="2055"/>
  <c r="D19" i="2055"/>
  <c r="R18" i="2055"/>
  <c r="L18" i="2055"/>
  <c r="D18" i="2055" s="1"/>
  <c r="R17" i="2055"/>
  <c r="R16" i="2055"/>
  <c r="R15" i="2055"/>
  <c r="R14" i="2055"/>
  <c r="D14" i="2055"/>
  <c r="R13" i="2055"/>
  <c r="D13" i="2055"/>
  <c r="R12" i="2055"/>
  <c r="R11" i="2055"/>
  <c r="L8" i="2055"/>
  <c r="D8" i="2055"/>
  <c r="L7" i="2055"/>
  <c r="D7" i="2055" s="1"/>
  <c r="R6" i="2055"/>
  <c r="L16" i="2055" s="1"/>
  <c r="L6" i="2055"/>
  <c r="D6" i="2055" s="1"/>
  <c r="R5" i="2055"/>
  <c r="R4" i="2055"/>
  <c r="L15" i="2055" s="1"/>
  <c r="D15" i="2055" s="1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L10" i="2054" s="1"/>
  <c r="D10" i="2054" s="1"/>
  <c r="D36" i="2054"/>
  <c r="R35" i="2054"/>
  <c r="D35" i="2054"/>
  <c r="R34" i="2054"/>
  <c r="D34" i="2054"/>
  <c r="R33" i="2054"/>
  <c r="R32" i="2054"/>
  <c r="R31" i="2054"/>
  <c r="R30" i="2054"/>
  <c r="R29" i="2054"/>
  <c r="R28" i="2054"/>
  <c r="L16" i="2054" s="1"/>
  <c r="D16" i="2054" s="1"/>
  <c r="D28" i="2054"/>
  <c r="R27" i="2054"/>
  <c r="D27" i="2054"/>
  <c r="R26" i="2054"/>
  <c r="L26" i="2054"/>
  <c r="D26" i="2054"/>
  <c r="R25" i="2054"/>
  <c r="L25" i="2054"/>
  <c r="D25" i="2054" s="1"/>
  <c r="R24" i="2054"/>
  <c r="D24" i="2054"/>
  <c r="R23" i="2054"/>
  <c r="L23" i="2054"/>
  <c r="D23" i="2054" s="1"/>
  <c r="R22" i="2054"/>
  <c r="L22" i="2054"/>
  <c r="D22" i="2054" s="1"/>
  <c r="R21" i="2054"/>
  <c r="D21" i="2054"/>
  <c r="R20" i="2054"/>
  <c r="L20" i="2054"/>
  <c r="D20" i="2054"/>
  <c r="R19" i="2054"/>
  <c r="L19" i="2054"/>
  <c r="D19" i="2054" s="1"/>
  <c r="R18" i="2054"/>
  <c r="D18" i="2054"/>
  <c r="R17" i="2054"/>
  <c r="D17" i="2054"/>
  <c r="R16" i="2054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9" i="2054"/>
  <c r="D9" i="2054" s="1"/>
  <c r="R6" i="2054"/>
  <c r="R5" i="2054"/>
  <c r="R4" i="2054"/>
  <c r="D54" i="2054" l="1"/>
  <c r="H14" i="2054" s="1"/>
  <c r="D12" i="2055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 s="1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L6" i="2053" s="1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L18" i="2053" s="1"/>
  <c r="D18" i="2053" s="1"/>
  <c r="H35" i="2053"/>
  <c r="D35" i="2053"/>
  <c r="R34" i="2053"/>
  <c r="L12" i="2053" s="1"/>
  <c r="D12" i="2053" s="1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L9" i="2052" s="1"/>
  <c r="D9" i="2052" s="1"/>
  <c r="H38" i="2052"/>
  <c r="D38" i="2052"/>
  <c r="R37" i="2052"/>
  <c r="H37" i="2052"/>
  <c r="D37" i="2052"/>
  <c r="R36" i="2052"/>
  <c r="H36" i="2052"/>
  <c r="D36" i="2052"/>
  <c r="R35" i="2052"/>
  <c r="L18" i="2052" s="1"/>
  <c r="D18" i="2052" s="1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 s="1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17" i="2052" s="1"/>
  <c r="D17" i="2052" s="1"/>
  <c r="L21" i="2052"/>
  <c r="D21" i="2052" s="1"/>
  <c r="R20" i="2052"/>
  <c r="R19" i="2052"/>
  <c r="R18" i="2052"/>
  <c r="R17" i="2052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L9" i="2051" s="1"/>
  <c r="D9" i="2051" s="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L12" i="2051" s="1"/>
  <c r="D12" i="2051" s="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 s="1"/>
  <c r="R25" i="2051"/>
  <c r="L25" i="2051"/>
  <c r="D25" i="2051" s="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17" i="2051" s="1"/>
  <c r="D17" i="2051" s="1"/>
  <c r="D21" i="2051"/>
  <c r="R20" i="2051"/>
  <c r="R19" i="2051"/>
  <c r="L19" i="2051"/>
  <c r="D19" i="2051" s="1"/>
  <c r="R18" i="2051"/>
  <c r="R17" i="2051"/>
  <c r="R16" i="2051"/>
  <c r="R15" i="2051"/>
  <c r="R14" i="2051"/>
  <c r="D14" i="2051"/>
  <c r="R13" i="2051"/>
  <c r="D13" i="2051"/>
  <c r="R12" i="2051"/>
  <c r="R11" i="2051"/>
  <c r="L11" i="2051"/>
  <c r="D11" i="2051" s="1"/>
  <c r="L10" i="2051"/>
  <c r="D10" i="2051"/>
  <c r="L8" i="2051"/>
  <c r="D8" i="2051" s="1"/>
  <c r="L7" i="2051"/>
  <c r="D7" i="2051" s="1"/>
  <c r="R6" i="2051"/>
  <c r="L16" i="2051" s="1"/>
  <c r="D16" i="2051" s="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L8" i="2050" s="1"/>
  <c r="D8" i="2050" s="1"/>
  <c r="D40" i="2050"/>
  <c r="R39" i="2050"/>
  <c r="D39" i="2050"/>
  <c r="R38" i="2050"/>
  <c r="L9" i="2050" s="1"/>
  <c r="D9" i="2050" s="1"/>
  <c r="D38" i="2050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L12" i="2050" s="1"/>
  <c r="D12" i="2050" s="1"/>
  <c r="D34" i="2050"/>
  <c r="R33" i="2050"/>
  <c r="L23" i="2050" s="1"/>
  <c r="D23" i="2050" s="1"/>
  <c r="R32" i="2050"/>
  <c r="L11" i="2050" s="1"/>
  <c r="D11" i="2050" s="1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 s="1"/>
  <c r="R24" i="2050"/>
  <c r="D24" i="2050"/>
  <c r="R23" i="2050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R11" i="2050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L28" i="2049" s="1"/>
  <c r="D28" i="2049" s="1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L12" i="2049" s="1"/>
  <c r="D12" i="2049" s="1"/>
  <c r="H34" i="2049"/>
  <c r="D34" i="2049"/>
  <c r="R33" i="2049"/>
  <c r="L19" i="2049" s="1"/>
  <c r="D19" i="2049" s="1"/>
  <c r="R32" i="2049"/>
  <c r="L11" i="2049" s="1"/>
  <c r="D11" i="2049" s="1"/>
  <c r="R31" i="2049"/>
  <c r="R30" i="2049"/>
  <c r="R29" i="2049"/>
  <c r="R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 s="1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R11" i="2049"/>
  <c r="L8" i="2049"/>
  <c r="D8" i="2049" s="1"/>
  <c r="L7" i="2049"/>
  <c r="D7" i="2049" s="1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L28" i="2048" s="1"/>
  <c r="D28" i="2048" s="1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R27" i="2048"/>
  <c r="L27" i="2048"/>
  <c r="D27" i="2048"/>
  <c r="R26" i="2048"/>
  <c r="L26" i="2048"/>
  <c r="D26" i="2048" s="1"/>
  <c r="R25" i="2048"/>
  <c r="L25" i="2048"/>
  <c r="D25" i="2048" s="1"/>
  <c r="R24" i="2048"/>
  <c r="L24" i="2048"/>
  <c r="D24" i="2048"/>
  <c r="R23" i="2048"/>
  <c r="L23" i="2048"/>
  <c r="D23" i="2048" s="1"/>
  <c r="R22" i="2048"/>
  <c r="L20" i="2048" s="1"/>
  <c r="D20" i="2048" s="1"/>
  <c r="L22" i="2048"/>
  <c r="D22" i="2048" s="1"/>
  <c r="R21" i="2048"/>
  <c r="L21" i="2048"/>
  <c r="D21" i="2048" s="1"/>
  <c r="R20" i="2048"/>
  <c r="R19" i="2048"/>
  <c r="R18" i="2048"/>
  <c r="L18" i="2048"/>
  <c r="D18" i="2048" s="1"/>
  <c r="R17" i="2048"/>
  <c r="L17" i="2048"/>
  <c r="D17" i="2048" s="1"/>
  <c r="R16" i="2048"/>
  <c r="L16" i="2048"/>
  <c r="D16" i="2048" s="1"/>
  <c r="R15" i="2048"/>
  <c r="L15" i="2048"/>
  <c r="D15" i="2048" s="1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 s="1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L8" i="2047" s="1"/>
  <c r="D8" i="2047" s="1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 s="1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 s="1"/>
  <c r="R22" i="2047"/>
  <c r="L20" i="2047" s="1"/>
  <c r="D20" i="2047" s="1"/>
  <c r="L22" i="2047"/>
  <c r="D22" i="2047" s="1"/>
  <c r="R21" i="2047"/>
  <c r="L17" i="2047" s="1"/>
  <c r="D17" i="2047" s="1"/>
  <c r="L21" i="2047"/>
  <c r="D21" i="2047" s="1"/>
  <c r="R20" i="2047"/>
  <c r="R19" i="2047"/>
  <c r="L19" i="2047"/>
  <c r="D19" i="2047" s="1"/>
  <c r="R18" i="2047"/>
  <c r="R17" i="2047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R6" i="2047"/>
  <c r="L16" i="2047" s="1"/>
  <c r="D16" i="2047" s="1"/>
  <c r="L6" i="2047"/>
  <c r="D6" i="2047" s="1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L6" i="2046" s="1"/>
  <c r="D6" i="2046" s="1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R34" i="2046"/>
  <c r="L12" i="2046" s="1"/>
  <c r="D12" i="2046" s="1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R11" i="2046"/>
  <c r="L11" i="2046"/>
  <c r="D11" i="2046" s="1"/>
  <c r="L10" i="2046"/>
  <c r="D10" i="2046" s="1"/>
  <c r="L9" i="2046"/>
  <c r="D9" i="2046" s="1"/>
  <c r="L8" i="2046"/>
  <c r="D8" i="2046" s="1"/>
  <c r="R6" i="2046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L12" i="2045" s="1"/>
  <c r="D12" i="2045" s="1"/>
  <c r="H34" i="2045"/>
  <c r="D34" i="2045"/>
  <c r="R33" i="2045"/>
  <c r="R32" i="2045"/>
  <c r="R31" i="2045"/>
  <c r="R30" i="2045"/>
  <c r="R29" i="2045"/>
  <c r="R28" i="2045"/>
  <c r="L28" i="2045"/>
  <c r="D28" i="2045" s="1"/>
  <c r="R27" i="2045"/>
  <c r="L27" i="2045"/>
  <c r="D27" i="2045" s="1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R15" i="2045"/>
  <c r="R14" i="2045"/>
  <c r="D14" i="2045"/>
  <c r="R13" i="2045"/>
  <c r="D13" i="2045"/>
  <c r="R12" i="2045"/>
  <c r="R11" i="2045"/>
  <c r="L11" i="2045"/>
  <c r="D11" i="2045" s="1"/>
  <c r="L7" i="2045"/>
  <c r="D7" i="2045"/>
  <c r="R6" i="2045"/>
  <c r="L16" i="2045" s="1"/>
  <c r="D16" i="2045" s="1"/>
  <c r="R5" i="2045"/>
  <c r="R4" i="2045"/>
  <c r="L15" i="2045" s="1"/>
  <c r="D15" i="2045" s="1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L7" i="2044" s="1"/>
  <c r="D7" i="2044" s="1"/>
  <c r="D41" i="2044"/>
  <c r="R40" i="2044"/>
  <c r="L8" i="2044" s="1"/>
  <c r="D8" i="2044" s="1"/>
  <c r="D40" i="2044"/>
  <c r="R39" i="2044"/>
  <c r="H39" i="2044"/>
  <c r="D39" i="2044"/>
  <c r="R38" i="2044"/>
  <c r="L9" i="2044" s="1"/>
  <c r="D9" i="2044" s="1"/>
  <c r="H38" i="2044"/>
  <c r="D38" i="2044"/>
  <c r="R37" i="2044"/>
  <c r="H37" i="2044"/>
  <c r="D37" i="2044"/>
  <c r="R36" i="2044"/>
  <c r="L10" i="2044" s="1"/>
  <c r="D10" i="2044" s="1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 s="1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R15" i="2044"/>
  <c r="R14" i="2044"/>
  <c r="D14" i="2044"/>
  <c r="R13" i="2044"/>
  <c r="D13" i="2044"/>
  <c r="R12" i="2044"/>
  <c r="R11" i="2044"/>
  <c r="L11" i="2044"/>
  <c r="D11" i="2044" s="1"/>
  <c r="R6" i="2044"/>
  <c r="L16" i="2044" s="1"/>
  <c r="D16" i="2044" s="1"/>
  <c r="L6" i="2044"/>
  <c r="D6" i="2044" s="1"/>
  <c r="R5" i="2044"/>
  <c r="R4" i="2044"/>
  <c r="L15" i="2044" s="1"/>
  <c r="D15" i="2044" s="1"/>
  <c r="R52" i="2043"/>
  <c r="R51" i="2043"/>
  <c r="D50" i="2043"/>
  <c r="R49" i="2043"/>
  <c r="D49" i="2043"/>
  <c r="R48" i="2043"/>
  <c r="D48" i="2043"/>
  <c r="D46" i="2043"/>
  <c r="D45" i="2043"/>
  <c r="R44" i="2043"/>
  <c r="L28" i="2043" s="1"/>
  <c r="D28" i="2043" s="1"/>
  <c r="D44" i="2043"/>
  <c r="R42" i="2043"/>
  <c r="L6" i="2043" s="1"/>
  <c r="D6" i="2043" s="1"/>
  <c r="D42" i="2043"/>
  <c r="R41" i="2043"/>
  <c r="L7" i="2043" s="1"/>
  <c r="D7" i="2043" s="1"/>
  <c r="D41" i="2043"/>
  <c r="R40" i="2043"/>
  <c r="L8" i="2043" s="1"/>
  <c r="D8" i="2043" s="1"/>
  <c r="D40" i="2043"/>
  <c r="R39" i="2043"/>
  <c r="H39" i="2043"/>
  <c r="D39" i="2043"/>
  <c r="R38" i="2043"/>
  <c r="L9" i="2043" s="1"/>
  <c r="D9" i="2043" s="1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L11" i="2043" s="1"/>
  <c r="D11" i="2043" s="1"/>
  <c r="R31" i="2043"/>
  <c r="R30" i="2043"/>
  <c r="R29" i="2043"/>
  <c r="R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R15" i="2043"/>
  <c r="R14" i="2043"/>
  <c r="R13" i="2043"/>
  <c r="D13" i="2043"/>
  <c r="R12" i="2043"/>
  <c r="R11" i="2043"/>
  <c r="L10" i="2043"/>
  <c r="D10" i="2043"/>
  <c r="R6" i="2043"/>
  <c r="L16" i="2043" s="1"/>
  <c r="D16" i="2043" s="1"/>
  <c r="R5" i="2043"/>
  <c r="R4" i="2043"/>
  <c r="L15" i="2043" s="1"/>
  <c r="D15" i="2043" s="1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L10" i="2042" s="1"/>
  <c r="D10" i="2042" s="1"/>
  <c r="D36" i="2042"/>
  <c r="R35" i="2042"/>
  <c r="L19" i="2042" s="1"/>
  <c r="D19" i="2042" s="1"/>
  <c r="D35" i="2042"/>
  <c r="R34" i="2042"/>
  <c r="D34" i="2042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L7" i="2041" s="1"/>
  <c r="D7" i="2041" s="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L10" i="2041" s="1"/>
  <c r="D10" i="2041" s="1"/>
  <c r="H36" i="2041"/>
  <c r="D36" i="2041"/>
  <c r="R35" i="2041"/>
  <c r="L18" i="2041" s="1"/>
  <c r="D18" i="2041" s="1"/>
  <c r="H35" i="2041"/>
  <c r="D35" i="2041"/>
  <c r="R34" i="2041"/>
  <c r="H34" i="2041"/>
  <c r="D34" i="2041"/>
  <c r="R33" i="2041"/>
  <c r="L19" i="2041" s="1"/>
  <c r="D19" i="2041" s="1"/>
  <c r="R32" i="2041"/>
  <c r="L11" i="2041" s="1"/>
  <c r="D11" i="2041" s="1"/>
  <c r="R31" i="2041"/>
  <c r="R30" i="2041"/>
  <c r="R29" i="2041"/>
  <c r="R28" i="2041"/>
  <c r="R27" i="2041"/>
  <c r="L27" i="2041"/>
  <c r="D27" i="2041" s="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 s="1"/>
  <c r="R21" i="2041"/>
  <c r="L21" i="2041"/>
  <c r="D21" i="2041"/>
  <c r="R20" i="2041"/>
  <c r="R19" i="2041"/>
  <c r="R18" i="2041"/>
  <c r="R17" i="2041"/>
  <c r="L17" i="2041"/>
  <c r="D17" i="2041" s="1"/>
  <c r="R16" i="2041"/>
  <c r="R15" i="2041"/>
  <c r="R14" i="2041"/>
  <c r="D14" i="2041"/>
  <c r="R13" i="2041"/>
  <c r="D13" i="2041"/>
  <c r="R12" i="2041"/>
  <c r="L12" i="2041"/>
  <c r="D12" i="2041" s="1"/>
  <c r="R11" i="2041"/>
  <c r="L9" i="2041"/>
  <c r="D9" i="2041" s="1"/>
  <c r="R6" i="2041"/>
  <c r="L16" i="2041" s="1"/>
  <c r="D16" i="2041" s="1"/>
  <c r="L6" i="2041"/>
  <c r="D6" i="2041" s="1"/>
  <c r="R5" i="2041"/>
  <c r="R4" i="2041"/>
  <c r="L15" i="2041" s="1"/>
  <c r="D15" i="2041" s="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L7" i="2040" s="1"/>
  <c r="D7" i="2040" s="1"/>
  <c r="D41" i="2040"/>
  <c r="R40" i="2040"/>
  <c r="L8" i="2040" s="1"/>
  <c r="D8" i="2040" s="1"/>
  <c r="D40" i="2040"/>
  <c r="R39" i="2040"/>
  <c r="H39" i="2040"/>
  <c r="D39" i="2040"/>
  <c r="R38" i="2040"/>
  <c r="L9" i="2040" s="1"/>
  <c r="D9" i="2040" s="1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L11" i="2040" s="1"/>
  <c r="D11" i="2040" s="1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 s="1"/>
  <c r="R23" i="2040"/>
  <c r="L23" i="2040"/>
  <c r="D23" i="2040" s="1"/>
  <c r="R22" i="2040"/>
  <c r="L20" i="2040" s="1"/>
  <c r="D20" i="2040" s="1"/>
  <c r="L22" i="2040"/>
  <c r="D22" i="2040" s="1"/>
  <c r="R21" i="2040"/>
  <c r="L17" i="2040" s="1"/>
  <c r="D17" i="2040" s="1"/>
  <c r="L21" i="2040"/>
  <c r="D21" i="2040"/>
  <c r="R20" i="2040"/>
  <c r="R19" i="2040"/>
  <c r="R18" i="2040"/>
  <c r="L18" i="2040"/>
  <c r="D18" i="2040" s="1"/>
  <c r="R17" i="2040"/>
  <c r="R16" i="2040"/>
  <c r="R15" i="2040"/>
  <c r="R14" i="2040"/>
  <c r="D14" i="2040"/>
  <c r="R13" i="2040"/>
  <c r="D13" i="2040"/>
  <c r="R12" i="2040"/>
  <c r="R11" i="2040"/>
  <c r="L10" i="2040"/>
  <c r="D10" i="2040" s="1"/>
  <c r="R6" i="2040"/>
  <c r="L16" i="2040" s="1"/>
  <c r="D16" i="2040" s="1"/>
  <c r="L6" i="2040"/>
  <c r="D6" i="2040" s="1"/>
  <c r="R5" i="2040"/>
  <c r="R4" i="2040"/>
  <c r="L15" i="2040" s="1"/>
  <c r="D15" i="2040" s="1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L6" i="2039" s="1"/>
  <c r="D6" i="2039" s="1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L9" i="2039" s="1"/>
  <c r="D9" i="2039" s="1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17" i="2039" s="1"/>
  <c r="D17" i="2039" s="1"/>
  <c r="L21" i="2039"/>
  <c r="D21" i="2039"/>
  <c r="R20" i="2039"/>
  <c r="L20" i="2039"/>
  <c r="D20" i="2039" s="1"/>
  <c r="R19" i="2039"/>
  <c r="R18" i="2039"/>
  <c r="R17" i="2039"/>
  <c r="R16" i="2039"/>
  <c r="R15" i="2039"/>
  <c r="R14" i="2039"/>
  <c r="D14" i="2039"/>
  <c r="R13" i="2039"/>
  <c r="D13" i="2039"/>
  <c r="R12" i="2039"/>
  <c r="L12" i="2039"/>
  <c r="D12" i="2039"/>
  <c r="R11" i="2039"/>
  <c r="L8" i="2039"/>
  <c r="D8" i="2039" s="1"/>
  <c r="R6" i="2039"/>
  <c r="L16" i="2039" s="1"/>
  <c r="D16" i="2039" s="1"/>
  <c r="R5" i="2039"/>
  <c r="R4" i="2039"/>
  <c r="L15" i="2039" s="1"/>
  <c r="D15" i="2039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L8" i="2038" s="1"/>
  <c r="D8" i="2038" s="1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L19" i="2038" s="1"/>
  <c r="D19" i="2038" s="1"/>
  <c r="D35" i="2038"/>
  <c r="D54" i="2038" s="1"/>
  <c r="H14" i="2038" s="1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 s="1"/>
  <c r="R25" i="2038"/>
  <c r="L25" i="2038"/>
  <c r="D25" i="2038" s="1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L18" i="2037" s="1"/>
  <c r="D18" i="2037" s="1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 s="1"/>
  <c r="R26" i="2037"/>
  <c r="L26" i="2037"/>
  <c r="D26" i="2037" s="1"/>
  <c r="R25" i="2037"/>
  <c r="L25" i="2037"/>
  <c r="D25" i="2037"/>
  <c r="R24" i="2037"/>
  <c r="L24" i="2037"/>
  <c r="D24" i="2037" s="1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L18" i="2036" s="1"/>
  <c r="D18" i="2036" s="1"/>
  <c r="H35" i="2036"/>
  <c r="D35" i="2036"/>
  <c r="R34" i="2036"/>
  <c r="L12" i="2036" s="1"/>
  <c r="D12" i="2036" s="1"/>
  <c r="H34" i="2036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 s="1"/>
  <c r="R25" i="2036"/>
  <c r="L25" i="2036"/>
  <c r="D25" i="2036" s="1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17" i="2036" s="1"/>
  <c r="D17" i="2036" s="1"/>
  <c r="L21" i="2036"/>
  <c r="D21" i="2036" s="1"/>
  <c r="R20" i="2036"/>
  <c r="R19" i="2036"/>
  <c r="R18" i="2036"/>
  <c r="R17" i="2036"/>
  <c r="R16" i="2036"/>
  <c r="R15" i="2036"/>
  <c r="L15" i="2036"/>
  <c r="D15" i="2036" s="1"/>
  <c r="R14" i="2036"/>
  <c r="D14" i="2036"/>
  <c r="R13" i="2036"/>
  <c r="D13" i="2036"/>
  <c r="R12" i="2036"/>
  <c r="R11" i="2036"/>
  <c r="L11" i="2036"/>
  <c r="D11" i="2036" s="1"/>
  <c r="L7" i="2036"/>
  <c r="D7" i="2036" s="1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L7" i="2035" s="1"/>
  <c r="D7" i="2035" s="1"/>
  <c r="D41" i="2035"/>
  <c r="R40" i="2035"/>
  <c r="L8" i="2035" s="1"/>
  <c r="D8" i="2035" s="1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 s="1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 s="1"/>
  <c r="R20" i="2035"/>
  <c r="R19" i="2035"/>
  <c r="L19" i="2035"/>
  <c r="D19" i="2035" s="1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R6" i="2035"/>
  <c r="L16" i="2035" s="1"/>
  <c r="D1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L8" i="2034" s="1"/>
  <c r="D8" i="2034" s="1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L19" i="2034" s="1"/>
  <c r="D19" i="2034" s="1"/>
  <c r="D35" i="2034"/>
  <c r="R34" i="2034"/>
  <c r="L12" i="2034" s="1"/>
  <c r="D12" i="2034" s="1"/>
  <c r="D34" i="2034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 s="1"/>
  <c r="R25" i="2034"/>
  <c r="L25" i="2034"/>
  <c r="D25" i="2034" s="1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9" i="2034"/>
  <c r="D9" i="2034" s="1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L28" i="2033" s="1"/>
  <c r="D28" i="2033" s="1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R27" i="2033"/>
  <c r="L27" i="2033"/>
  <c r="D27" i="2033" s="1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17" i="2033" s="1"/>
  <c r="D17" i="2033" s="1"/>
  <c r="L21" i="2033"/>
  <c r="D21" i="2033" s="1"/>
  <c r="R20" i="2033"/>
  <c r="R19" i="2033"/>
  <c r="R18" i="2033"/>
  <c r="L18" i="2033"/>
  <c r="D18" i="2033" s="1"/>
  <c r="R17" i="2033"/>
  <c r="R16" i="2033"/>
  <c r="R15" i="2033"/>
  <c r="R14" i="2033"/>
  <c r="D14" i="2033"/>
  <c r="R13" i="2033"/>
  <c r="D13" i="2033"/>
  <c r="R12" i="2033"/>
  <c r="R11" i="2033"/>
  <c r="L11" i="2033"/>
  <c r="D11" i="2033" s="1"/>
  <c r="L10" i="2033"/>
  <c r="D10" i="2033" s="1"/>
  <c r="L9" i="2033"/>
  <c r="D9" i="2033" s="1"/>
  <c r="L7" i="2033"/>
  <c r="D7" i="2033" s="1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 s="1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0" i="2032" s="1"/>
  <c r="D20" i="2032" s="1"/>
  <c r="L22" i="2032"/>
  <c r="D22" i="2032" s="1"/>
  <c r="R21" i="2032"/>
  <c r="L17" i="2032" s="1"/>
  <c r="D17" i="2032" s="1"/>
  <c r="L21" i="2032"/>
  <c r="D21" i="2032" s="1"/>
  <c r="R20" i="2032"/>
  <c r="R19" i="2032"/>
  <c r="R18" i="2032"/>
  <c r="R17" i="2032"/>
  <c r="R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 s="1"/>
  <c r="L9" i="2032"/>
  <c r="D9" i="2032" s="1"/>
  <c r="L7" i="2032"/>
  <c r="D7" i="2032" s="1"/>
  <c r="R6" i="2032"/>
  <c r="L16" i="2032" s="1"/>
  <c r="D16" i="2032" s="1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L12" i="2031" s="1"/>
  <c r="D12" i="2031" s="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 s="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 s="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 s="1"/>
  <c r="R18" i="2031"/>
  <c r="R17" i="2031"/>
  <c r="L17" i="2031"/>
  <c r="D17" i="2031" s="1"/>
  <c r="R16" i="2031"/>
  <c r="R15" i="2031"/>
  <c r="R14" i="2031"/>
  <c r="D14" i="2031"/>
  <c r="R13" i="2031"/>
  <c r="D13" i="2031"/>
  <c r="R12" i="2031"/>
  <c r="R11" i="2031"/>
  <c r="L8" i="2031"/>
  <c r="D8" i="2031" s="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L9" i="2030" s="1"/>
  <c r="D9" i="2030" s="1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 s="1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 s="1"/>
  <c r="R19" i="2030"/>
  <c r="L19" i="2030"/>
  <c r="D19" i="2030" s="1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8" i="2030"/>
  <c r="D8" i="2030" s="1"/>
  <c r="R6" i="2030"/>
  <c r="R5" i="2030"/>
  <c r="R4" i="2030"/>
  <c r="D54" i="2050" l="1"/>
  <c r="H14" i="2050" s="1"/>
  <c r="D54" i="2034"/>
  <c r="H14" i="2034" s="1"/>
  <c r="D54" i="2046"/>
  <c r="H14" i="2046" s="1"/>
  <c r="D54" i="2030"/>
  <c r="H14" i="2030" s="1"/>
  <c r="G49" i="2047"/>
  <c r="D54" i="2042"/>
  <c r="H14" i="2042" s="1"/>
  <c r="G49" i="2036"/>
  <c r="G49" i="2053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L19" i="2029" s="1"/>
  <c r="D19" i="2029" s="1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 s="1"/>
  <c r="R24" i="2029"/>
  <c r="L24" i="2029"/>
  <c r="D24" i="2029" s="1"/>
  <c r="R23" i="2029"/>
  <c r="L23" i="2029"/>
  <c r="D23" i="2029" s="1"/>
  <c r="R22" i="2029"/>
  <c r="L20" i="2029" s="1"/>
  <c r="D20" i="2029" s="1"/>
  <c r="L22" i="2029"/>
  <c r="D22" i="2029" s="1"/>
  <c r="R21" i="2029"/>
  <c r="L17" i="2029" s="1"/>
  <c r="D17" i="2029" s="1"/>
  <c r="L21" i="2029"/>
  <c r="D21" i="2029"/>
  <c r="R20" i="2029"/>
  <c r="R19" i="2029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 s="1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L28" i="2028" s="1"/>
  <c r="D28" i="2028" s="1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L9" i="2028" s="1"/>
  <c r="D9" i="2028" s="1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L11" i="2028" s="1"/>
  <c r="D11" i="2028" s="1"/>
  <c r="R31" i="2028"/>
  <c r="R30" i="2028"/>
  <c r="R29" i="2028"/>
  <c r="R28" i="2028"/>
  <c r="R27" i="2028"/>
  <c r="L27" i="2028"/>
  <c r="D27" i="2028" s="1"/>
  <c r="R26" i="2028"/>
  <c r="L26" i="2028"/>
  <c r="D26" i="2028" s="1"/>
  <c r="R25" i="2028"/>
  <c r="L25" i="2028"/>
  <c r="D25" i="2028"/>
  <c r="R24" i="2028"/>
  <c r="L24" i="2028"/>
  <c r="D24" i="2028" s="1"/>
  <c r="R23" i="2028"/>
  <c r="L23" i="2028"/>
  <c r="D23" i="2028"/>
  <c r="R22" i="2028"/>
  <c r="L20" i="2028" s="1"/>
  <c r="D20" i="2028" s="1"/>
  <c r="L22" i="2028"/>
  <c r="D22" i="2028" s="1"/>
  <c r="R21" i="2028"/>
  <c r="L17" i="2028" s="1"/>
  <c r="D17" i="2028" s="1"/>
  <c r="L21" i="2028"/>
  <c r="D21" i="2028" s="1"/>
  <c r="R20" i="2028"/>
  <c r="R19" i="2028"/>
  <c r="R18" i="2028"/>
  <c r="R17" i="2028"/>
  <c r="R16" i="2028"/>
  <c r="L16" i="2028"/>
  <c r="D16" i="2028" s="1"/>
  <c r="R15" i="2028"/>
  <c r="R14" i="2028"/>
  <c r="D14" i="2028"/>
  <c r="R13" i="2028"/>
  <c r="D13" i="2028"/>
  <c r="R12" i="2028"/>
  <c r="R11" i="2028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L7" i="2027" s="1"/>
  <c r="D7" i="2027" s="1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L12" i="2027" s="1"/>
  <c r="D12" i="2027" s="1"/>
  <c r="H34" i="2027"/>
  <c r="D34" i="2027"/>
  <c r="R33" i="2027"/>
  <c r="L19" i="2027" s="1"/>
  <c r="D19" i="2027" s="1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R11" i="2027"/>
  <c r="L8" i="2027"/>
  <c r="D8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L8" i="2026" s="1"/>
  <c r="D8" i="2026" s="1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R33" i="2026"/>
  <c r="L23" i="2026" s="1"/>
  <c r="D23" i="2026" s="1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R22" i="2026"/>
  <c r="L22" i="2026"/>
  <c r="D22" i="2026"/>
  <c r="R21" i="2026"/>
  <c r="D21" i="2026"/>
  <c r="R20" i="2026"/>
  <c r="L20" i="2026"/>
  <c r="D20" i="2026"/>
  <c r="R19" i="2026"/>
  <c r="L19" i="2026"/>
  <c r="D19" i="2026" s="1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R6" i="2026"/>
  <c r="R5" i="2026"/>
  <c r="R4" i="2026"/>
  <c r="D54" i="2026" l="1"/>
  <c r="H14" i="2026" s="1"/>
  <c r="H15" i="2053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H15" i="2028" l="1"/>
  <c r="H29" i="2028" s="1"/>
  <c r="G51" i="2028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<sst xmlns="http://schemas.openxmlformats.org/spreadsheetml/2006/main" count="13847" uniqueCount="232">
  <si>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</si>
  <si>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</si>
  <si>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</si>
  <si>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</si>
  <si>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</si>
  <si>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</si>
  <si>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</si>
  <si>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</si>
  <si>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</si>
  <si>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</si>
  <si>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</si>
  <si>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</si>
  <si>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</si>
  <si>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</si>
  <si>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</si>
  <si>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</si>
  <si>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</si>
  <si>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</si>
  <si>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</si>
  <si>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</si>
  <si>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</si>
  <si>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</si>
  <si>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</si>
  <si>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</si>
  <si>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</si>
  <si>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</si>
  <si>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</si>
  <si>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</si>
  <si>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</si>
  <si>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</si>
  <si>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</si>
  <si>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</si>
  <si>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</si>
  <si>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</si>
  <si>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</si>
  <si>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</si>
  <si>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</si>
  <si>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</si>
  <si>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</si>
  <si>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</si>
  <si>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</si>
  <si>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</si>
  <si>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</si>
  <si>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</si>
  <si>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</si>
  <si>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</si>
  <si>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</si>
  <si>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</si>
  <si>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</si>
  <si>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</si>
  <si>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</si>
  <si>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</si>
  <si>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</si>
  <si>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</si>
  <si>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</si>
  <si>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</si>
  <si>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</si>
  <si>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</si>
  <si>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</si>
  <si>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</si>
  <si>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</si>
  <si>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</si>
  <si>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</si>
  <si>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</si>
  <si>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</si>
  <si>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</si>
  <si>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</si>
  <si>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</si>
  <si>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</si>
  <si>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</si>
  <si>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</si>
  <si>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</si>
  <si>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</si>
  <si>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</si>
  <si>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</si>
  <si>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</si>
  <si>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</si>
  <si>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</si>
  <si>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</si>
  <si>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</si>
  <si>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</si>
  <si>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</si>
  <si>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</si>
  <si>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</si>
  <si>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</si>
  <si>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</si>
  <si>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</si>
  <si>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</si>
  <si>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</si>
  <si>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</si>
  <si>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</si>
  <si>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</si>
  <si>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</si>
  <si>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</si>
  <si>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</si>
  <si>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</si>
  <si>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</si>
  <si>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</si>
  <si>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</si>
  <si>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</si>
  <si>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</si>
  <si>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</si>
  <si>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</si>
  <si>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</si>
  <si>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</si>
  <si>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</si>
  <si>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</si>
  <si>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</si>
  <si>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</si>
  <si>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</si>
  <si>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</si>
  <si>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</si>
  <si>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</si>
  <si>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</si>
  <si>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</si>
  <si>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</si>
  <si>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</si>
  <si>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</si>
  <si>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</si>
  <si>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</si>
  <si>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</si>
  <si>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</si>
  <si>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</si>
  <si>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</si>
  <si>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</si>
  <si>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</si>
  <si>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</si>
  <si>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</si>
  <si>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</si>
  <si>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</si>
  <si>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</si>
  <si>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</si>
  <si>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</si>
  <si>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</si>
  <si>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</si>
  <si>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</si>
  <si>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</si>
  <si>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</si>
  <si>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</si>
  <si>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</si>
  <si>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</si>
  <si>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</si>
  <si>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</si>
  <si>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</si>
  <si>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</si>
  <si>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</si>
  <si>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</si>
  <si>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</si>
  <si>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</si>
  <si>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</si>
  <si>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</si>
  <si>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</si>
  <si>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</si>
  <si>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</si>
  <si>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</si>
  <si>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</si>
  <si>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</si>
  <si>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</si>
  <si>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</si>
  <si>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</si>
  <si>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</si>
  <si>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</si>
  <si>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</si>
  <si>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</si>
  <si>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</si>
  <si>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</si>
  <si>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</si>
  <si>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</si>
  <si>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</si>
  <si>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</si>
  <si>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</si>
  <si>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</si>
  <si>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</si>
  <si>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</si>
  <si>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</si>
  <si>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</si>
  <si>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</si>
  <si>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</si>
  <si>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</si>
  <si>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</si>
  <si>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</si>
  <si>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</si>
  <si>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</si>
  <si>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</si>
  <si>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</si>
  <si>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</si>
  <si>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</si>
  <si>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</si>
  <si>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</si>
  <si>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</si>
  <si>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</si>
  <si>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</si>
  <si>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</si>
  <si>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</si>
  <si>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</si>
  <si>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</si>
  <si>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</si>
  <si>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</si>
  <si>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</si>
  <si>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</si>
  <si>
    <t>SDB BOTT.</t>
  </si>
  <si>
    <t>CB BOTT.</t>
  </si>
  <si>
    <t>2000000042</t>
  </si>
  <si>
    <t>149898</t>
  </si>
  <si>
    <t>43073</t>
  </si>
  <si>
    <t>200000026</t>
  </si>
  <si>
    <t>150160</t>
  </si>
  <si>
    <t>2000006057</t>
  </si>
  <si>
    <t>2000002875</t>
  </si>
  <si>
    <t>2000008577</t>
  </si>
  <si>
    <t>143520</t>
  </si>
  <si>
    <t>43077</t>
  </si>
  <si>
    <t>5089422</t>
  </si>
  <si>
    <t>2000002886</t>
  </si>
  <si>
    <t>PODIOTAN, AIR JOHN</t>
  </si>
  <si>
    <t>149419</t>
  </si>
  <si>
    <t xml:space="preserve">                           AIR JOHN PODIOTAN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</si>
  <si>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</si>
  <si>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56825</t>
  </si>
  <si>
    <t>2120013067</t>
  </si>
  <si>
    <t>PP500C</t>
  </si>
  <si>
    <t>2000008589</t>
  </si>
  <si>
    <t>2000006065</t>
  </si>
  <si>
    <t>143029</t>
  </si>
  <si>
    <t>RH500C/PP500C</t>
  </si>
  <si>
    <t>HSC</t>
  </si>
  <si>
    <t>SMZB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</si>
  <si>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</si>
  <si>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2130020923</t>
  </si>
  <si>
    <t>RHC</t>
  </si>
  <si>
    <t>2000002900</t>
  </si>
  <si>
    <t>43080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</si>
</sst>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0" fillId="2" borderId="1" xfId="0" applyNumberFormat="1" applyFill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55776-E0BA-41F7-91F5-3B7EC8D4B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B65B05-476E-4130-8800-99D7A026E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F3A50-32E1-4117-9CD1-FFECA5B225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381001</xdr:colOff>
      <xdr:row>49</xdr:row>
      <xdr:rowOff>23780</xdr:rowOff>
    </xdr:from>
    <xdr:to>
      <xdr:col>3</xdr:col>
      <xdr:colOff>781051</xdr:colOff>
      <xdr:row>63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08DD9F-F183-4A93-AFEC-69561A763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1" y="9596405"/>
          <a:ext cx="2019300" cy="2690845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CAB245-1380-4D45-B92C-302653237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38BDA-AD4A-417F-BB49-BDAE02695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EAD81-D147-4AB1-A3B5-736C3A7F58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17778C-C5BC-4358-A790-DC42897AF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5710F7-E01D-488F-AC0D-69B7B294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B8BA0E-40DF-424F-918D-EB3BA4207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313B-BB55-4B22-8611-161DA7C57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1A43F4-C716-48E2-A8C6-81ABD8071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E0E1AF-4C07-425D-A169-693145CBFC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2C156A0-287C-4DAB-A594-671C24F8B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E7922F-C32A-45C1-9D54-2BFA7DB76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466725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8C9F99-3DB4-4335-BC0B-BB8D448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75C6B8-D1E9-4646-97F1-D4611D56F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464312-D653-4D1E-845E-D3BC28E90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76D05-E5C3-4DBF-AFA2-FA4DB84BA1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D6C46B-AE34-459F-A53C-5E621C983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CDD2C0-91A7-4DAB-8212-41B81F8CBB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EA20EB-5042-4B36-9601-77678BD9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704</v>
      </c>
      <c r="D6" s="13">
        <f t="shared" ref="D6:D28" si="1">C6*L6</f>
        <v>535744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</v>
      </c>
      <c r="D9" s="13">
        <f t="shared" si="1"/>
        <v>2199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25</v>
      </c>
      <c r="D13" s="48">
        <f t="shared" si="1"/>
        <v>7675</v>
      </c>
      <c r="F13" s="145" t="s">
        <v>36</v>
      </c>
      <c r="G13" s="146"/>
      <c r="H13" s="147">
        <f>D29</f>
        <v>545651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3</v>
      </c>
      <c r="D14" s="31">
        <f t="shared" si="1"/>
        <v>33</v>
      </c>
      <c r="F14" s="150" t="s">
        <v>38</v>
      </c>
      <c r="G14" s="151"/>
      <c r="H14" s="152">
        <f>D54</f>
        <v>100678.5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444972.5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3240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545651</v>
      </c>
      <c r="F29" s="168" t="s">
        <v>54</v>
      </c>
      <c r="G29" s="169"/>
      <c r="H29" s="172">
        <f>H15-H16-H17-H18-H19-H20-H22-H23-H24+H26+H27+H28</f>
        <v>441732.5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00">
        <f t="shared" ref="H34:H39" si="2">F34*G34</f>
        <v>315000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00">
        <f t="shared" si="2"/>
        <v>126000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86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4</v>
      </c>
      <c r="D46" s="12">
        <f>C46*1.5</f>
        <v>6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11</v>
      </c>
      <c r="D49" s="12">
        <f>C49*42</f>
        <v>462</v>
      </c>
      <c r="F49" s="225" t="s">
        <v>85</v>
      </c>
      <c r="G49" s="172">
        <f>H34+H35+H36+H37+H38+H39+H40+H41+G42+H44+H45+H46</f>
        <v>441756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39" t="s">
        <v>135</v>
      </c>
      <c r="G51" s="241">
        <f>G49-H29</f>
        <v>23.5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40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46143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292</v>
      </c>
      <c r="D6" s="13">
        <f t="shared" ref="D6:D28" si="1">C6*L6</f>
        <v>222212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</v>
      </c>
      <c r="D9" s="13">
        <f t="shared" si="1"/>
        <v>5131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7</v>
      </c>
      <c r="D13" s="48">
        <f t="shared" si="1"/>
        <v>2149</v>
      </c>
      <c r="F13" s="145" t="s">
        <v>36</v>
      </c>
      <c r="G13" s="146"/>
      <c r="H13" s="147">
        <f>D29</f>
        <v>236796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38</v>
      </c>
      <c r="G14" s="151"/>
      <c r="H14" s="152">
        <f>D54</f>
        <v>38545.5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198250.5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1518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1</v>
      </c>
      <c r="D28" s="48">
        <f t="shared" si="1"/>
        <v>811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236796</v>
      </c>
      <c r="F29" s="168" t="s">
        <v>54</v>
      </c>
      <c r="G29" s="169"/>
      <c r="H29" s="172">
        <f>H15-H16-H17-H18-H19-H20-H22-H23-H24+H26+H27</f>
        <v>196732.5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00">
        <f>F34*G34</f>
        <v>166000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00">
        <f t="shared" ref="H35:H39" si="2">F35*G35</f>
        <v>30000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50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12</v>
      </c>
      <c r="D49" s="12">
        <f>C49*42</f>
        <v>504</v>
      </c>
      <c r="F49" s="225" t="s">
        <v>85</v>
      </c>
      <c r="G49" s="172">
        <f>H34+H35+H36+H37+H38+H39+H40+H41+G42+H44+H45+H46</f>
        <v>196550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16</v>
      </c>
      <c r="D50" s="12">
        <f>C50*1.5</f>
        <v>24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8">
        <f>G49-H29</f>
        <v>-182.5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530</v>
      </c>
      <c r="D6" s="13">
        <f t="shared" ref="D6:D28" si="1">C6*L6</f>
        <v>403330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56</v>
      </c>
      <c r="D9" s="13">
        <f t="shared" si="1"/>
        <v>41048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19</v>
      </c>
      <c r="D13" s="48">
        <f t="shared" si="1"/>
        <v>5833</v>
      </c>
      <c r="F13" s="145" t="s">
        <v>36</v>
      </c>
      <c r="G13" s="146"/>
      <c r="H13" s="147">
        <f>D29</f>
        <v>456978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68901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388077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f>978+1080+708</f>
        <v>2766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456978</v>
      </c>
      <c r="F29" s="168" t="s">
        <v>54</v>
      </c>
      <c r="G29" s="169"/>
      <c r="H29" s="172">
        <f>H15-H16-H17-H18-H19-H20-H22-H23-H24+H26+H27</f>
        <v>385311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00">
        <f>F34*G34</f>
        <v>126000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00">
        <f>F35*G35</f>
        <v>31500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00">
        <f t="shared" si="2"/>
        <v>4600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94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84">
        <v>105524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4">
        <v>118301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</v>
      </c>
      <c r="D49" s="12">
        <f>C49*42</f>
        <v>84</v>
      </c>
      <c r="F49" s="225" t="s">
        <v>85</v>
      </c>
      <c r="G49" s="172">
        <f>H34+H35+H36+H37+H38+H39+H40+H41+G42+H44+H45+H46</f>
        <v>386169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858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786</v>
      </c>
      <c r="D6" s="13">
        <f t="shared" ref="D6:D28" si="1">C6*L6</f>
        <v>598146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</v>
      </c>
      <c r="D9" s="13">
        <f t="shared" si="1"/>
        <v>5131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15+2</f>
        <v>17</v>
      </c>
      <c r="D12" s="48">
        <f t="shared" si="1"/>
        <v>16864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22</v>
      </c>
      <c r="D13" s="48">
        <f t="shared" si="1"/>
        <v>6754</v>
      </c>
      <c r="F13" s="145" t="s">
        <v>36</v>
      </c>
      <c r="G13" s="146"/>
      <c r="H13" s="147">
        <f>D29</f>
        <v>635011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84996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550015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9">
        <f>2694+300+522</f>
        <v>3516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635011</v>
      </c>
      <c r="F29" s="168" t="s">
        <v>54</v>
      </c>
      <c r="G29" s="169"/>
      <c r="H29" s="172">
        <f>H15-H16-H17-H18-H19-H20-H22-H23-H24+H26+H27</f>
        <v>546499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00">
        <f>F34*G34</f>
        <v>182000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00">
        <f>F35*G35</f>
        <v>29500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00">
        <f t="shared" si="2"/>
        <v>1400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15</v>
      </c>
      <c r="D44" s="12">
        <f>C44*120</f>
        <v>1800</v>
      </c>
      <c r="F44" s="37" t="s">
        <v>136</v>
      </c>
      <c r="G44" s="76" t="s">
        <v>138</v>
      </c>
      <c r="H44" s="184">
        <v>296674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11</v>
      </c>
      <c r="D45" s="12">
        <f>C45*84</f>
        <v>924</v>
      </c>
      <c r="F45" s="37" t="s">
        <v>136</v>
      </c>
      <c r="G45" s="76" t="s">
        <v>139</v>
      </c>
      <c r="H45" s="184">
        <v>32658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84">
        <v>4250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14</v>
      </c>
      <c r="D49" s="12">
        <f>C49*42</f>
        <v>588</v>
      </c>
      <c r="F49" s="225" t="s">
        <v>85</v>
      </c>
      <c r="G49" s="172">
        <f>H34+H35+H36+H37+H38+H39+H40+H41+G42+H44+H45+H46</f>
        <v>546483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8">
        <f>G49-H29</f>
        <v>-16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344</v>
      </c>
      <c r="D6" s="13">
        <f t="shared" ref="D6:D28" si="1">C6*L6</f>
        <v>261784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18325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</v>
      </c>
      <c r="D13" s="48">
        <f t="shared" si="1"/>
        <v>921</v>
      </c>
      <c r="F13" s="145" t="s">
        <v>36</v>
      </c>
      <c r="G13" s="146"/>
      <c r="H13" s="147">
        <f>D29</f>
        <v>290296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23</v>
      </c>
      <c r="D14" s="31">
        <f t="shared" si="1"/>
        <v>253</v>
      </c>
      <c r="F14" s="150" t="s">
        <v>38</v>
      </c>
      <c r="G14" s="151"/>
      <c r="H14" s="152">
        <f>D54</f>
        <v>42017.25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248278.75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>
        <v>200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290296</v>
      </c>
      <c r="F29" s="168" t="s">
        <v>54</v>
      </c>
      <c r="G29" s="169"/>
      <c r="H29" s="172">
        <f>H15-H16-H17-H18-H19-H20-H22-H23-H24+H26+H27+H28</f>
        <v>248078.75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00">
        <f t="shared" ref="H34:H39" si="2">F34*G34</f>
        <v>131000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00">
        <f t="shared" si="2"/>
        <v>37000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00">
        <f t="shared" si="2"/>
        <v>4700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0">
        <v>45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136</v>
      </c>
      <c r="G44" s="93" t="s">
        <v>141</v>
      </c>
      <c r="H44" s="184">
        <v>65000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4">
        <v>2600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84">
        <v>9750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250145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39" t="s">
        <v>142</v>
      </c>
      <c r="G51" s="241">
        <f>G49-H29</f>
        <v>2066.25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40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46146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344</v>
      </c>
      <c r="D6" s="13">
        <f t="shared" ref="D6:D28" si="1">C6*L6</f>
        <v>261784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21</v>
      </c>
      <c r="D9" s="13">
        <f t="shared" si="1"/>
        <v>15393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285008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22</v>
      </c>
      <c r="D14" s="31">
        <f t="shared" si="1"/>
        <v>242</v>
      </c>
      <c r="F14" s="150" t="s">
        <v>38</v>
      </c>
      <c r="G14" s="151"/>
      <c r="H14" s="152">
        <f>D54</f>
        <v>42628.5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242379.5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285008</v>
      </c>
      <c r="F29" s="168" t="s">
        <v>54</v>
      </c>
      <c r="G29" s="169"/>
      <c r="H29" s="172">
        <f>H15-H16-H17-H18-H19-H20-H22-H23-H24+H26+H27</f>
        <v>241083.5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00">
        <f>F34*G34</f>
        <v>221000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00">
        <f t="shared" ref="H35:H39" si="2">F35*G35</f>
        <v>18500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67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11</v>
      </c>
      <c r="D49" s="12">
        <f>C49*42</f>
        <v>462</v>
      </c>
      <c r="F49" s="225" t="s">
        <v>85</v>
      </c>
      <c r="G49" s="172">
        <f>H34+H35+H36+H37+H38+H39+H40+H41+G42+H44+H45+H46</f>
        <v>239857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</v>
      </c>
      <c r="D50" s="12">
        <f>C50*1.5</f>
        <v>4.5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8">
        <f>G49-H29</f>
        <v>-1226.5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484</v>
      </c>
      <c r="D6" s="13">
        <f t="shared" ref="D6:D28" si="1">C6*L6</f>
        <v>368324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8591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58</v>
      </c>
      <c r="D9" s="13">
        <f t="shared" si="1"/>
        <v>42514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16</v>
      </c>
      <c r="D13" s="48">
        <f t="shared" si="1"/>
        <v>4912</v>
      </c>
      <c r="F13" s="145" t="s">
        <v>36</v>
      </c>
      <c r="G13" s="146"/>
      <c r="H13" s="147">
        <f>D29</f>
        <v>426537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63285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363252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1296+300+732</f>
        <v>2328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426537</v>
      </c>
      <c r="F29" s="168" t="s">
        <v>54</v>
      </c>
      <c r="G29" s="169"/>
      <c r="H29" s="172">
        <f>H15-H16-H17-H18-H19-H20-H22-H23-H24+H26+H27</f>
        <v>360874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00">
        <f>F34*G34</f>
        <v>177000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00">
        <f>F35*G35</f>
        <v>100500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00">
        <f t="shared" si="2"/>
        <v>5100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00">
        <f t="shared" si="2"/>
        <v>600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8</v>
      </c>
      <c r="D42" s="12">
        <f>C42*2.25</f>
        <v>18</v>
      </c>
      <c r="F42" s="39" t="s">
        <v>78</v>
      </c>
      <c r="G42" s="200">
        <v>101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84">
        <v>79565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362866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13</v>
      </c>
      <c r="D50" s="12">
        <f>C50*1.5</f>
        <v>19.5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1992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458</v>
      </c>
      <c r="D6" s="13">
        <f t="shared" ref="D6:D28" si="1">C6*L6</f>
        <v>348538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12</v>
      </c>
      <c r="D7" s="13">
        <f t="shared" si="1"/>
        <v>9372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7</v>
      </c>
      <c r="D10" s="13">
        <f t="shared" si="1"/>
        <v>7224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6+5+2</f>
        <v>13</v>
      </c>
      <c r="D12" s="48">
        <f t="shared" si="1"/>
        <v>12896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470610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38</v>
      </c>
      <c r="G14" s="151"/>
      <c r="H14" s="152">
        <f>D54</f>
        <v>69966.75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400643.25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59">
        <v>2682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46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59">
        <v>200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82">
        <v>92804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84">
        <v>83980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8</v>
      </c>
      <c r="D28" s="48">
        <f t="shared" si="1"/>
        <v>6488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470610</v>
      </c>
      <c r="F29" s="168" t="s">
        <v>54</v>
      </c>
      <c r="G29" s="169"/>
      <c r="H29" s="172">
        <f>H15-H16-H17-H18-H19-H20-H22-H23-H24+H26+H27+H28</f>
        <v>388937.25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00">
        <f t="shared" ref="H34:H39" si="2">F34*G34</f>
        <v>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00">
        <f t="shared" si="2"/>
        <v>1000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84">
        <v>294438.25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5</v>
      </c>
      <c r="D45" s="12">
        <f>C45*84</f>
        <v>420</v>
      </c>
      <c r="F45" s="37" t="s">
        <v>136</v>
      </c>
      <c r="G45" s="93" t="s">
        <v>141</v>
      </c>
      <c r="H45" s="184">
        <v>83980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17</v>
      </c>
      <c r="D46" s="12">
        <f>C46*1.5</f>
        <v>25.5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385418.25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-3519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46147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414</v>
      </c>
      <c r="D6" s="13">
        <f t="shared" ref="D6:D28" si="1">C6*L6</f>
        <v>315054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8591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59</v>
      </c>
      <c r="D9" s="13">
        <f t="shared" si="1"/>
        <v>43247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371226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57882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313344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2676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371226</v>
      </c>
      <c r="F29" s="168" t="s">
        <v>54</v>
      </c>
      <c r="G29" s="169"/>
      <c r="H29" s="172">
        <f>H15-H16-H17-H18-H19-H20-H22-H23-H24+H26+H27</f>
        <v>310668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0">
        <f t="shared" ref="H35:H39" si="2">F35*G35</f>
        <v>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147</v>
      </c>
      <c r="G44" s="76" t="s">
        <v>148</v>
      </c>
      <c r="H44" s="184">
        <v>159300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84">
        <v>128857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4</v>
      </c>
      <c r="D49" s="12">
        <f>C49*42</f>
        <v>168</v>
      </c>
      <c r="F49" s="225" t="s">
        <v>85</v>
      </c>
      <c r="G49" s="172">
        <f>H34+H35+H36+H37+H38+H39+H40+H41+G42+H44+H45+H46</f>
        <v>311457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789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542</v>
      </c>
      <c r="D6" s="13">
        <f t="shared" ref="D6:D28" si="1">C6*L6</f>
        <v>412462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12</v>
      </c>
      <c r="D7" s="13">
        <f t="shared" si="1"/>
        <v>9372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72</v>
      </c>
      <c r="D9" s="13">
        <f t="shared" si="1"/>
        <v>52776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21</v>
      </c>
      <c r="D13" s="48">
        <f t="shared" si="1"/>
        <v>6447</v>
      </c>
      <c r="F13" s="145" t="s">
        <v>36</v>
      </c>
      <c r="G13" s="146"/>
      <c r="H13" s="147">
        <f>D29</f>
        <v>518703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77449.5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5+5</f>
        <v>10</v>
      </c>
      <c r="D15" s="31">
        <f t="shared" si="1"/>
        <v>6200</v>
      </c>
      <c r="F15" s="155" t="s">
        <v>39</v>
      </c>
      <c r="G15" s="146"/>
      <c r="H15" s="156">
        <f>H13-H14</f>
        <v>441253.5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59">
        <f>612+1656+1092</f>
        <v>3360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518703</v>
      </c>
      <c r="F29" s="168" t="s">
        <v>54</v>
      </c>
      <c r="G29" s="169"/>
      <c r="H29" s="172">
        <f>H15-H16-H17-H18-H19-H20-H22-H23-H24+H26+H27</f>
        <v>437893.5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00">
        <f>F34*G34</f>
        <v>61000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00">
        <f>F35*G35</f>
        <v>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00">
        <f t="shared" si="2"/>
        <v>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58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84">
        <v>61578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84">
        <v>193355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84">
        <v>118134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437975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81.5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253</v>
      </c>
      <c r="D6" s="13">
        <f t="shared" ref="D6:D28" si="1">C6*L6</f>
        <v>192533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67</v>
      </c>
      <c r="D8" s="13">
        <f t="shared" si="1"/>
        <v>73231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22</v>
      </c>
      <c r="D9" s="13">
        <f t="shared" si="1"/>
        <v>16126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4</v>
      </c>
      <c r="D10" s="13">
        <f t="shared" si="1"/>
        <v>4128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</v>
      </c>
      <c r="D13" s="48">
        <f t="shared" si="1"/>
        <v>921</v>
      </c>
      <c r="F13" s="145" t="s">
        <v>36</v>
      </c>
      <c r="G13" s="146"/>
      <c r="H13" s="147">
        <f>D29</f>
        <v>302093.91666666669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38</v>
      </c>
      <c r="G14" s="151"/>
      <c r="H14" s="152">
        <f>D54</f>
        <v>40819.5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1+1</f>
        <v>2</v>
      </c>
      <c r="D15" s="31">
        <f t="shared" si="1"/>
        <v>1240</v>
      </c>
      <c r="F15" s="155" t="s">
        <v>39</v>
      </c>
      <c r="G15" s="146"/>
      <c r="H15" s="156">
        <f>H13-H14</f>
        <v>261274.41666666669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82">
        <v>70631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161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302093.91666666669</v>
      </c>
      <c r="F29" s="168" t="s">
        <v>54</v>
      </c>
      <c r="G29" s="169"/>
      <c r="H29" s="172">
        <f>H15-H16-H17-H18-H19-H20-H22-H23-H24+H26+H27+H28</f>
        <v>190643.41666666669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00">
        <f t="shared" ref="H34:H39" si="2">F34*G34</f>
        <v>138000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00">
        <f t="shared" si="2"/>
        <v>36000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00">
        <f t="shared" si="2"/>
        <v>700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6</v>
      </c>
      <c r="D42" s="12">
        <f>C42*2.25</f>
        <v>13.5</v>
      </c>
      <c r="F42" s="39" t="s">
        <v>78</v>
      </c>
      <c r="G42" s="200">
        <v>117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84">
        <v>10000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/>
      <c r="H45" s="184">
        <v>7230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192287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1643.5833333333139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46148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368</v>
      </c>
      <c r="D6" s="13">
        <f t="shared" ref="D6:D28" si="1">C6*L6</f>
        <v>280048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54</v>
      </c>
      <c r="D9" s="13">
        <f t="shared" si="1"/>
        <v>39582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331431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48594.75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282836.25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331431</v>
      </c>
      <c r="F29" s="168" t="s">
        <v>54</v>
      </c>
      <c r="G29" s="169"/>
      <c r="H29" s="172">
        <f>H15-H16-H17-H18-H19-H20-H22-H23-H24+H26+H27</f>
        <v>280760.25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00">
        <f>F34*G34</f>
        <v>227000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0">
        <f t="shared" ref="H35:H39" si="2">F35*G35</f>
        <v>53500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28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10</v>
      </c>
      <c r="D49" s="12">
        <f>C49*42</f>
        <v>420</v>
      </c>
      <c r="F49" s="225" t="s">
        <v>85</v>
      </c>
      <c r="G49" s="172">
        <f>H34+H35+H36+H37+H38+H39+H40+H41+G42+H44+H45+H46</f>
        <v>280778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17.75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331</v>
      </c>
      <c r="D6" s="13">
        <f t="shared" ref="D6:D28" si="1">C6*L6</f>
        <v>251891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58</v>
      </c>
      <c r="D9" s="13">
        <f t="shared" si="1"/>
        <v>42514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6</v>
      </c>
      <c r="D10" s="13">
        <f t="shared" si="1"/>
        <v>6192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324737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15</v>
      </c>
      <c r="D14" s="31">
        <f t="shared" si="1"/>
        <v>165</v>
      </c>
      <c r="F14" s="150" t="s">
        <v>38</v>
      </c>
      <c r="G14" s="151"/>
      <c r="H14" s="152">
        <f>D54</f>
        <v>48459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276278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59">
        <f>690+612+888</f>
        <v>2190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324737</v>
      </c>
      <c r="F29" s="168" t="s">
        <v>54</v>
      </c>
      <c r="G29" s="169"/>
      <c r="H29" s="172">
        <f>H15-H16-H17-H18-H19-H20-H22-H23-H24+H26+H27</f>
        <v>274038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00">
        <f>F34*G34</f>
        <v>126000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>F35*G35</f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84">
        <v>79238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84">
        <v>68148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273988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-50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46149</v>
      </c>
      <c r="J4" s="117"/>
      <c r="K4" s="21"/>
      <c r="L4" s="9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467</v>
      </c>
      <c r="D6" s="13">
        <f t="shared" ref="D6:D28" si="1">C6*L6</f>
        <v>355387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48</v>
      </c>
      <c r="D7" s="13">
        <f t="shared" si="1"/>
        <v>37488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10995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405449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>C14*L14</f>
        <v>44</v>
      </c>
      <c r="F14" s="150" t="s">
        <v>38</v>
      </c>
      <c r="G14" s="151"/>
      <c r="H14" s="152">
        <f>D54</f>
        <v>70817.25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334631.75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2880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405449</v>
      </c>
      <c r="F29" s="168" t="s">
        <v>54</v>
      </c>
      <c r="G29" s="169"/>
      <c r="H29" s="172">
        <f>H15-H16-H17-H18-H19-H20-H22-H23-H24+H26+H27+H28</f>
        <v>331751.75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00">
        <f t="shared" ref="H34:H39" si="2">F34*G34</f>
        <v>11000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00">
        <f t="shared" si="2"/>
        <v>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00">
        <f t="shared" si="2"/>
        <v>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103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84">
        <v>306035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4">
        <v>10505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69</v>
      </c>
      <c r="D49" s="12">
        <f>C49*42</f>
        <v>2898</v>
      </c>
      <c r="F49" s="225" t="s">
        <v>85</v>
      </c>
      <c r="G49" s="172">
        <f>H34+H35+H36+H37+H38+H39+H40+H41+G42+H44+H45+H46</f>
        <v>331463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-288.75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46149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84">
        <v>70631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70631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00">
        <f t="shared" ref="H34:H39" si="2">F34*G34</f>
        <v>70000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 t="shared" si="2"/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70631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46149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283</v>
      </c>
      <c r="D6" s="13">
        <f t="shared" ref="D6:D28" si="1">C6*L6</f>
        <v>215363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23</v>
      </c>
      <c r="D9" s="13">
        <f t="shared" si="1"/>
        <v>16859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242941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33151.5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209789.5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242941</v>
      </c>
      <c r="F29" s="168" t="s">
        <v>54</v>
      </c>
      <c r="G29" s="169"/>
      <c r="H29" s="172">
        <f>H15-H16-H17-H18-H19-H20-H22-H23-H24+H26+H27</f>
        <v>209789.5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00">
        <f>F34*G34</f>
        <v>179000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0">
        <f t="shared" ref="H35:H39" si="2">F35*G35</f>
        <v>22000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00">
        <f t="shared" si="2"/>
        <v>4500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6</v>
      </c>
      <c r="D42" s="12">
        <f>C42*2.25</f>
        <v>13.5</v>
      </c>
      <c r="F42" s="39" t="s">
        <v>78</v>
      </c>
      <c r="G42" s="200">
        <v>295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205795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8">
        <f>G49-H29</f>
        <v>-3994.5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46149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399</v>
      </c>
      <c r="D6" s="13">
        <f t="shared" ref="D6:D28" si="1">C6*L6</f>
        <v>303639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42</v>
      </c>
      <c r="D7" s="13">
        <f t="shared" si="1"/>
        <v>32802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</v>
      </c>
      <c r="D9" s="13">
        <f t="shared" si="1"/>
        <v>7330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17</v>
      </c>
      <c r="D13" s="48">
        <f t="shared" si="1"/>
        <v>5219</v>
      </c>
      <c r="F13" s="145" t="s">
        <v>36</v>
      </c>
      <c r="G13" s="146"/>
      <c r="H13" s="147">
        <f>D29</f>
        <v>355053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19</v>
      </c>
      <c r="D14" s="31">
        <f t="shared" si="1"/>
        <v>209</v>
      </c>
      <c r="F14" s="150" t="s">
        <v>38</v>
      </c>
      <c r="G14" s="151"/>
      <c r="H14" s="152">
        <f>D54</f>
        <v>51516.75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3+3</f>
        <v>6</v>
      </c>
      <c r="D15" s="31">
        <f t="shared" si="1"/>
        <v>3720</v>
      </c>
      <c r="F15" s="155" t="s">
        <v>39</v>
      </c>
      <c r="G15" s="146"/>
      <c r="H15" s="156">
        <f>H13-H14</f>
        <v>303536.25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1044+648+336</f>
        <v>2028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355053</v>
      </c>
      <c r="F29" s="168" t="s">
        <v>54</v>
      </c>
      <c r="G29" s="169"/>
      <c r="H29" s="172">
        <f>H15-H16-H17-H18-H19-H20-H22-H23-H24+H26+H27</f>
        <v>301508.25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00">
        <f>F34*G34</f>
        <v>90000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00">
        <f>F35*G35</f>
        <v>19000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00">
        <f t="shared" si="2"/>
        <v>4900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28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7</v>
      </c>
      <c r="D44" s="12">
        <f>C44*120</f>
        <v>840</v>
      </c>
      <c r="F44" s="37" t="s">
        <v>136</v>
      </c>
      <c r="G44" s="94" t="s">
        <v>157</v>
      </c>
      <c r="H44" s="184">
        <v>116753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94" t="s">
        <v>156</v>
      </c>
      <c r="H45" s="184">
        <v>70468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9</v>
      </c>
      <c r="D46" s="12">
        <f>C46*1.5</f>
        <v>13.5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301499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-9.25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298</v>
      </c>
      <c r="D6" s="13">
        <f t="shared" ref="D6:D28" si="1">C6*L6</f>
        <v>226778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17592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9</v>
      </c>
      <c r="D13" s="48">
        <f t="shared" si="1"/>
        <v>2763</v>
      </c>
      <c r="F13" s="145" t="s">
        <v>36</v>
      </c>
      <c r="G13" s="146"/>
      <c r="H13" s="147">
        <f>D29</f>
        <v>257721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9</v>
      </c>
      <c r="D14" s="31">
        <f t="shared" si="1"/>
        <v>99</v>
      </c>
      <c r="F14" s="150" t="s">
        <v>38</v>
      </c>
      <c r="G14" s="151"/>
      <c r="H14" s="152">
        <f>D54</f>
        <v>24684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233037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59">
        <v>1140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257721</v>
      </c>
      <c r="F29" s="168" t="s">
        <v>54</v>
      </c>
      <c r="G29" s="169"/>
      <c r="H29" s="172">
        <f>H15-H16-H17-H18-H19-H20-H22-H23-H24+H26+H27</f>
        <v>231897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00">
        <f>F34*G34</f>
        <v>48000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00">
        <f t="shared" ref="H35:H39" si="2">F35*G35</f>
        <v>42000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24</v>
      </c>
      <c r="D42" s="12">
        <f>C42*2.25</f>
        <v>54</v>
      </c>
      <c r="F42" s="39" t="s">
        <v>78</v>
      </c>
      <c r="G42" s="200">
        <v>30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84">
        <v>144012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6</v>
      </c>
      <c r="D46" s="12">
        <f>C46*1.5</f>
        <v>9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7</v>
      </c>
      <c r="D49" s="12">
        <f>C49*42</f>
        <v>294</v>
      </c>
      <c r="F49" s="225" t="s">
        <v>85</v>
      </c>
      <c r="G49" s="172">
        <f>H34+H35+H36+H37+H38+H39+H40+H41+G42+H44+H45+H46</f>
        <v>234242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2345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471</v>
      </c>
      <c r="D6" s="13">
        <f t="shared" ref="D6:D28" si="1">C6*L6</f>
        <v>358431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15620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40</v>
      </c>
      <c r="D9" s="13">
        <f t="shared" si="1"/>
        <v>29320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411243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10</v>
      </c>
      <c r="D14" s="31">
        <f t="shared" si="1"/>
        <v>110</v>
      </c>
      <c r="F14" s="150" t="s">
        <v>38</v>
      </c>
      <c r="G14" s="151"/>
      <c r="H14" s="152">
        <f>D54</f>
        <v>62579.25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348663.75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888+300+1356</f>
        <v>2544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411243</v>
      </c>
      <c r="F29" s="168" t="s">
        <v>54</v>
      </c>
      <c r="G29" s="169"/>
      <c r="H29" s="172">
        <f>H15-H16-H17-H18-H19-H20-H22-H23-H24+H26+H27</f>
        <v>346119.75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00">
        <f>F34*G34</f>
        <v>202000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00">
        <f>F35*G35</f>
        <v>30000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00">
        <f t="shared" si="2"/>
        <v>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84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84">
        <v>95996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76"/>
      <c r="H45" s="184">
        <v>18000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34</v>
      </c>
      <c r="D49" s="12">
        <f>C49*42</f>
        <v>1428</v>
      </c>
      <c r="F49" s="225" t="s">
        <v>85</v>
      </c>
      <c r="G49" s="172">
        <f>H34+H35+H36+H37+H38+H39+H40+H41+G42+H44+H45+H46</f>
        <v>346730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610.25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365</v>
      </c>
      <c r="D6" s="13">
        <f t="shared" ref="D6:D28" si="1">C6*L6</f>
        <v>277765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30</v>
      </c>
      <c r="D9" s="13">
        <f t="shared" si="1"/>
        <v>21990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1032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</f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</v>
      </c>
      <c r="D13" s="48">
        <f t="shared" si="1"/>
        <v>307</v>
      </c>
      <c r="F13" s="145" t="s">
        <v>36</v>
      </c>
      <c r="G13" s="146"/>
      <c r="H13" s="147">
        <f>D29</f>
        <v>312686.83333333331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10</v>
      </c>
      <c r="D14" s="31">
        <f t="shared" si="1"/>
        <v>110</v>
      </c>
      <c r="F14" s="150" t="s">
        <v>38</v>
      </c>
      <c r="G14" s="151"/>
      <c r="H14" s="152">
        <f>D54</f>
        <v>42262.5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270424.33333333331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312686.83333333331</v>
      </c>
      <c r="F29" s="168" t="s">
        <v>54</v>
      </c>
      <c r="G29" s="169"/>
      <c r="H29" s="172">
        <f>H15-H16-H17-H18-H19-H20-H22-H23-H24+H26+H27+H28</f>
        <v>270424.33333333331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00">
        <f t="shared" ref="H34:H39" si="2">F34*G34</f>
        <v>136000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00">
        <f t="shared" si="2"/>
        <v>54000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00">
        <f t="shared" si="2"/>
        <v>6800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8</v>
      </c>
      <c r="D42" s="12">
        <f>C42*2.25</f>
        <v>18</v>
      </c>
      <c r="F42" s="39" t="s">
        <v>78</v>
      </c>
      <c r="G42" s="200">
        <v>11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136</v>
      </c>
      <c r="G44" s="93" t="s">
        <v>141</v>
      </c>
      <c r="H44" s="184">
        <v>64500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/>
      <c r="H45" s="184">
        <v>9016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270377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164</v>
      </c>
      <c r="G51" s="248">
        <f>G49-H29</f>
        <v>-47.333333333313931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375</v>
      </c>
      <c r="D6" s="13">
        <f t="shared" ref="D6:D28" si="1">C6*L6</f>
        <v>285375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130</v>
      </c>
      <c r="D9" s="13">
        <f t="shared" si="1"/>
        <v>95290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385347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7</v>
      </c>
      <c r="D14" s="31">
        <f t="shared" si="1"/>
        <v>77</v>
      </c>
      <c r="F14" s="150" t="s">
        <v>38</v>
      </c>
      <c r="G14" s="151"/>
      <c r="H14" s="152">
        <f>D54</f>
        <v>57529.5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327817.5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2880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385347</v>
      </c>
      <c r="F29" s="168" t="s">
        <v>54</v>
      </c>
      <c r="G29" s="169"/>
      <c r="H29" s="172">
        <f>H15-H16-H17-H18-H19-H20-H22-H23-H24+H26+H27</f>
        <v>324937.5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00">
        <f>F34*G34</f>
        <v>203000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00">
        <f t="shared" ref="H35:H39" si="2">F35*G35</f>
        <v>70500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00">
        <f t="shared" si="2"/>
        <v>31800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00">
        <f t="shared" si="2"/>
        <v>20200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</v>
      </c>
      <c r="D49" s="12">
        <f>C49*42</f>
        <v>126</v>
      </c>
      <c r="F49" s="225" t="s">
        <v>85</v>
      </c>
      <c r="G49" s="172">
        <f>H34+H35+H36+H37+H38+H39+H40+H41+G42+H44+H45+H46</f>
        <v>325700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762.5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295</v>
      </c>
      <c r="D6" s="13">
        <f t="shared" ref="D6:D28" si="1">C6*L6</f>
        <v>224495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95</v>
      </c>
      <c r="D9" s="13">
        <f t="shared" si="1"/>
        <v>69635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306343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38</v>
      </c>
      <c r="G14" s="151"/>
      <c r="H14" s="152">
        <f>D54</f>
        <v>51729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254614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59">
        <f>300+612+420+300</f>
        <v>1632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306343</v>
      </c>
      <c r="F29" s="168" t="s">
        <v>54</v>
      </c>
      <c r="G29" s="169"/>
      <c r="H29" s="172">
        <f>H15-H16-H17-H18-H19-H20-H22-H23-H24+H26+H27</f>
        <v>252932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00">
        <f>F34*G34</f>
        <v>88000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00">
        <f>F35*G35</f>
        <v>51000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00">
        <f t="shared" ref="H36:H39" si="2">F36*G36</f>
        <v>600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00">
        <f t="shared" si="2"/>
        <v>4700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131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84">
        <v>65537.5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84">
        <v>45415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8</v>
      </c>
      <c r="D46" s="12">
        <f>C46*1.5</f>
        <v>12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255583.5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2651.5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352</v>
      </c>
      <c r="D6" s="13">
        <f t="shared" ref="D6:D28" si="1">C6*L6</f>
        <v>267872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15620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5</v>
      </c>
      <c r="D8" s="13">
        <f t="shared" si="1"/>
        <v>5465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14</v>
      </c>
      <c r="D9" s="13">
        <f t="shared" si="1"/>
        <v>10262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302421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42444.75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259976.25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2094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>
        <v>102.46</v>
      </c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302421</v>
      </c>
      <c r="F29" s="168" t="s">
        <v>54</v>
      </c>
      <c r="G29" s="169"/>
      <c r="H29" s="172">
        <f>H15-H16-H17-H18-H19-H20-H22-H23-H24+H26+H27+H28</f>
        <v>257779.79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200">
        <f t="shared" ref="H34:H39" si="2">F34*G34</f>
        <v>25000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00">
        <f t="shared" si="2"/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84">
        <v>231190.25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20</v>
      </c>
      <c r="D46" s="12">
        <f>C46*1.5</f>
        <v>30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257590.25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-189.54000000000815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310</v>
      </c>
      <c r="D6" s="13">
        <f t="shared" ref="D6:D28" si="1">C6*L6</f>
        <v>235910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60</v>
      </c>
      <c r="D9" s="13">
        <f t="shared" si="1"/>
        <v>43980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288065.5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38</v>
      </c>
      <c r="G14" s="151"/>
      <c r="H14" s="152">
        <f>D54</f>
        <v>41509.5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246556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1446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>
        <v>12</v>
      </c>
      <c r="D22" s="48">
        <f t="shared" si="1"/>
        <v>504.5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>
        <v>12</v>
      </c>
      <c r="D23" s="48">
        <f t="shared" si="1"/>
        <v>474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288065.5</v>
      </c>
      <c r="F29" s="168" t="s">
        <v>54</v>
      </c>
      <c r="G29" s="169"/>
      <c r="H29" s="172">
        <f>H15-H16-H17-H18-H19-H20-H22-H23-H24+H26+H27</f>
        <v>245110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200">
        <f>F34*G34</f>
        <v>84000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00">
        <f t="shared" ref="H35:H39" si="2">F35*G35</f>
        <v>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>
        <v>87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84">
        <v>157141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</v>
      </c>
      <c r="D49" s="12">
        <f>C49*42</f>
        <v>84</v>
      </c>
      <c r="F49" s="225" t="s">
        <v>85</v>
      </c>
      <c r="G49" s="172">
        <f>H34+H35+H36+H37+H38+H39+H40+H41+G42+H44+H45+H46</f>
        <v>244228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169</v>
      </c>
      <c r="G51" s="248">
        <f>G49-H29</f>
        <v>-882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527</v>
      </c>
      <c r="D6" s="13">
        <f t="shared" ref="D6:D28" si="1">C6*L6</f>
        <v>401047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19</v>
      </c>
      <c r="D7" s="13">
        <f t="shared" si="1"/>
        <v>14839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69</v>
      </c>
      <c r="D9" s="13">
        <f t="shared" si="1"/>
        <v>50577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5160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22</v>
      </c>
      <c r="D13" s="48">
        <f t="shared" si="1"/>
        <v>6754</v>
      </c>
      <c r="F13" s="145" t="s">
        <v>36</v>
      </c>
      <c r="G13" s="146"/>
      <c r="H13" s="147">
        <f>D29</f>
        <v>485304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7</v>
      </c>
      <c r="D14" s="31">
        <f t="shared" si="1"/>
        <v>77</v>
      </c>
      <c r="F14" s="150" t="s">
        <v>38</v>
      </c>
      <c r="G14" s="151"/>
      <c r="H14" s="152">
        <f>D54</f>
        <v>77406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10</v>
      </c>
      <c r="D15" s="31">
        <f t="shared" si="1"/>
        <v>6200</v>
      </c>
      <c r="F15" s="155" t="s">
        <v>39</v>
      </c>
      <c r="G15" s="146"/>
      <c r="H15" s="156">
        <f>H13-H14</f>
        <v>407898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f>600+2682+384</f>
        <v>3666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485304</v>
      </c>
      <c r="F29" s="168" t="s">
        <v>54</v>
      </c>
      <c r="G29" s="169"/>
      <c r="H29" s="172">
        <f>H15-H16-H17-H18-H19-H20-H22-H23-H24+H26+H27</f>
        <v>404232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200">
        <f>F34*G34</f>
        <v>46000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>F35*G35</f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55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84">
        <v>60416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84">
        <v>295595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19</v>
      </c>
      <c r="D46" s="12">
        <f>C46*1.5</f>
        <v>28.5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5</v>
      </c>
      <c r="D49" s="12">
        <f>C49*42</f>
        <v>210</v>
      </c>
      <c r="F49" s="225" t="s">
        <v>85</v>
      </c>
      <c r="G49" s="172">
        <f>H34+H35+H36+H37+H38+H39+H40+H41+G42+H44+H45+H46</f>
        <v>402716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172</v>
      </c>
      <c r="G51" s="248">
        <f>G49-H29</f>
        <v>-1516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321</v>
      </c>
      <c r="D6" s="13">
        <f t="shared" ref="D6:D28" si="1">C6*L6</f>
        <v>244281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62</v>
      </c>
      <c r="D8" s="13">
        <f t="shared" si="1"/>
        <v>67766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17592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3096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9</v>
      </c>
      <c r="D13" s="48">
        <f t="shared" si="1"/>
        <v>2763</v>
      </c>
      <c r="F13" s="145" t="s">
        <v>36</v>
      </c>
      <c r="G13" s="146"/>
      <c r="H13" s="147">
        <f>D29</f>
        <v>346170.83333333331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46051.5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300119.33333333331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182">
        <v>65678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346170.83333333331</v>
      </c>
      <c r="F29" s="168" t="s">
        <v>54</v>
      </c>
      <c r="G29" s="169"/>
      <c r="H29" s="172">
        <f>H15-H16-H17-H18-H19-H20-H22-H23-H24+H26+H27+H28</f>
        <v>234441.33333333331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200">
        <f t="shared" ref="H34:H39" si="2">F34*G34</f>
        <v>181000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200">
        <f t="shared" si="2"/>
        <v>53000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45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65</v>
      </c>
      <c r="D44" s="12">
        <f>C44*120</f>
        <v>7800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13</v>
      </c>
      <c r="D46" s="12">
        <f>C46*1.5</f>
        <v>19.5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234445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9</v>
      </c>
      <c r="D50" s="12">
        <f>C50*1.5</f>
        <v>13.5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3.6666666666860692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343</v>
      </c>
      <c r="D6" s="13">
        <f t="shared" ref="D6:D28" si="1">C6*L6</f>
        <v>261023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</v>
      </c>
      <c r="D9" s="13">
        <f t="shared" si="1"/>
        <v>7330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274505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38</v>
      </c>
      <c r="G14" s="151"/>
      <c r="H14" s="152">
        <f>D54</f>
        <v>40630.5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233874.5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274505</v>
      </c>
      <c r="F29" s="168" t="s">
        <v>54</v>
      </c>
      <c r="G29" s="169"/>
      <c r="H29" s="172">
        <f>H15-H16-H17-H18-H19-H20-H22-H23-H24+H26+H27</f>
        <v>231930.5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200">
        <f>F34*G34</f>
        <v>220000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00">
        <f t="shared" ref="H35:H39" si="2">F35*G35</f>
        <v>1000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200">
        <f t="shared" si="2"/>
        <v>10000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310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15</v>
      </c>
      <c r="D46" s="12">
        <f>C46*1.5</f>
        <v>22.5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</v>
      </c>
      <c r="D49" s="12">
        <f>C49*42</f>
        <v>84</v>
      </c>
      <c r="F49" s="225" t="s">
        <v>85</v>
      </c>
      <c r="G49" s="172">
        <f>H34+H35+H36+H37+H38+H39+H40+H41+G42+H44+H45+H46</f>
        <v>231660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18</v>
      </c>
      <c r="D50" s="12">
        <f>C50*1.5</f>
        <v>27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169</v>
      </c>
      <c r="G51" s="248">
        <f>G49-H29</f>
        <v>-270.5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675</v>
      </c>
      <c r="D6" s="13">
        <f t="shared" ref="D6:D28" si="1">C6*L6</f>
        <v>513675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43</v>
      </c>
      <c r="D9" s="13">
        <f t="shared" si="1"/>
        <v>31519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25</v>
      </c>
      <c r="D13" s="48">
        <f t="shared" si="1"/>
        <v>7675</v>
      </c>
      <c r="F13" s="145" t="s">
        <v>36</v>
      </c>
      <c r="G13" s="146"/>
      <c r="H13" s="147">
        <f>D29</f>
        <v>563496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38</v>
      </c>
      <c r="G14" s="151"/>
      <c r="H14" s="152">
        <f>D54</f>
        <v>77337.75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486158.25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3420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182">
        <v>78233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84">
        <v>92804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6</v>
      </c>
      <c r="D28" s="48">
        <f t="shared" si="1"/>
        <v>4866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563496</v>
      </c>
      <c r="F29" s="168" t="s">
        <v>54</v>
      </c>
      <c r="G29" s="169"/>
      <c r="H29" s="172">
        <f>H15-H16-H17-H18-H19-H20-H22-H23-H24+H26+H27+H28</f>
        <v>497309.25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200">
        <f t="shared" ref="H34:H39" si="2">F34*G34</f>
        <v>300000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200">
        <f t="shared" si="2"/>
        <v>103000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200">
        <f t="shared" si="2"/>
        <v>500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57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136</v>
      </c>
      <c r="G44" s="93" t="s">
        <v>141</v>
      </c>
      <c r="H44" s="184">
        <v>92804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38</v>
      </c>
      <c r="D49" s="12">
        <f>C49*42</f>
        <v>1596</v>
      </c>
      <c r="F49" s="225" t="s">
        <v>85</v>
      </c>
      <c r="G49" s="172">
        <f>H34+H35+H36+H37+H38+H39+H40+H41+G42+H44+H45+H46</f>
        <v>497161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34</v>
      </c>
      <c r="D50" s="12">
        <f>C50*1.5</f>
        <v>51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-148.25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336</v>
      </c>
      <c r="D6" s="13">
        <f t="shared" ref="D6:D28" si="1">C6*L6</f>
        <v>255696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15620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92</v>
      </c>
      <c r="D9" s="13">
        <f t="shared" si="1"/>
        <v>67436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344042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46017.75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298024.25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1656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344042</v>
      </c>
      <c r="F29" s="168" t="s">
        <v>54</v>
      </c>
      <c r="G29" s="169"/>
      <c r="H29" s="172">
        <f>H15-H16-H17-H18-H19-H20-H22-H23-H24+H26+H27</f>
        <v>296318.25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200">
        <f>F34*G34</f>
        <v>76000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200">
        <f>F35*G35</f>
        <v>17000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84">
        <v>183675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84">
        <v>19904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20</v>
      </c>
      <c r="D46" s="12">
        <f>C46*1.5</f>
        <v>30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10</v>
      </c>
      <c r="D49" s="12">
        <f>C49*42</f>
        <v>420</v>
      </c>
      <c r="F49" s="225" t="s">
        <v>85</v>
      </c>
      <c r="G49" s="172">
        <f>H34+H35+H36+H37+H38+H39+H40+H41+G42+H44+H45+H46</f>
        <v>296629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9</v>
      </c>
      <c r="D50" s="12">
        <f>C50*1.5</f>
        <v>13.5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310.75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432</v>
      </c>
      <c r="D6" s="13">
        <f t="shared" ref="D6:D28" si="1">C6*L6</f>
        <v>328752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</v>
      </c>
      <c r="D9" s="13">
        <f t="shared" si="1"/>
        <v>7330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339179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5827.5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333351.5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1944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182">
        <v>62135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339179</v>
      </c>
      <c r="F29" s="168" t="s">
        <v>54</v>
      </c>
      <c r="G29" s="169"/>
      <c r="H29" s="172">
        <f>H15-H16-H17-H18-H19-H20-H22-H23-H24+H26+H27+H28</f>
        <v>269272.5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200">
        <f t="shared" ref="H34:H39" si="2">F34*G34</f>
        <v>13000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00">
        <f t="shared" si="2"/>
        <v>13500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84">
        <v>244620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271320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2047.5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347</v>
      </c>
      <c r="D6" s="13">
        <f t="shared" ref="D6:D28" si="1">C6*L6</f>
        <v>264067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41</v>
      </c>
      <c r="D9" s="13">
        <f t="shared" si="1"/>
        <v>30053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301997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38</v>
      </c>
      <c r="G14" s="151"/>
      <c r="H14" s="152">
        <f>D54</f>
        <v>44970.75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257026.25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1200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32"/>
      <c r="I20" s="132"/>
      <c r="J20" s="13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301997</v>
      </c>
      <c r="F29" s="168" t="s">
        <v>54</v>
      </c>
      <c r="G29" s="169"/>
      <c r="H29" s="172">
        <f>H15-H16-H17-H18-H19-H20-H22-H23-H24+H26+H27</f>
        <v>255826.25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200">
        <f>F34*G34</f>
        <v>69000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00">
        <f t="shared" ref="H35:H39" si="2">F35*G35</f>
        <v>20000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0">
        <f>F36*G36</f>
        <v>400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200">
        <f t="shared" si="2"/>
        <v>2300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0">
        <v>4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84">
        <v>130451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4">
        <v>33800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89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7</v>
      </c>
      <c r="D49" s="12">
        <f>C49*42</f>
        <v>294</v>
      </c>
      <c r="F49" s="225" t="s">
        <v>85</v>
      </c>
      <c r="G49" s="172">
        <f>H34+H35+H36+H37+H38+H39+H40+H41+G42+H44+H45+H46</f>
        <v>256005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112</v>
      </c>
      <c r="G51" s="229">
        <f>G49-H29</f>
        <v>178.75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554</v>
      </c>
      <c r="D6" s="13">
        <f t="shared" ref="D6:D28" si="1">C6*L6</f>
        <v>421594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781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79164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21</v>
      </c>
      <c r="D13" s="48">
        <f t="shared" si="1"/>
        <v>6447</v>
      </c>
      <c r="F13" s="145" t="s">
        <v>36</v>
      </c>
      <c r="G13" s="146"/>
      <c r="H13" s="147">
        <f>D29</f>
        <v>509099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38</v>
      </c>
      <c r="G14" s="151"/>
      <c r="H14" s="152">
        <f>D54</f>
        <v>71080.5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438018.5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1596+1296+300</f>
        <v>3192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509099</v>
      </c>
      <c r="F29" s="168" t="s">
        <v>54</v>
      </c>
      <c r="G29" s="169"/>
      <c r="H29" s="172">
        <f>H15-H16-H17-H18-H19-H20-H22-H23-H24+H26+H27</f>
        <v>434826.5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200">
        <f>F34*G34</f>
        <v>78000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00">
        <f>F35*G35</f>
        <v>40000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200">
        <f t="shared" si="2"/>
        <v>4900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00">
        <f t="shared" si="2"/>
        <v>450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50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84">
        <v>171049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84">
        <v>140478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5</v>
      </c>
      <c r="D46" s="12">
        <f>C46*1.5</f>
        <v>7.5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434967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140</v>
      </c>
      <c r="D50" s="12">
        <f>C50*1.5</f>
        <v>210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140.5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46158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84">
        <v>65678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65678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200">
        <f t="shared" ref="H34:H39" si="2">F34*G34</f>
        <v>65000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 t="shared" si="2"/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28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65678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184</v>
      </c>
      <c r="G51" s="241">
        <f>G49-H29</f>
        <v>0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46158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316</v>
      </c>
      <c r="D6" s="13">
        <f t="shared" ref="D6:D28" si="1">C6*L6</f>
        <v>240476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11715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14660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272545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41206.5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231338.5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2106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272545</v>
      </c>
      <c r="F29" s="168" t="s">
        <v>54</v>
      </c>
      <c r="G29" s="169"/>
      <c r="H29" s="172">
        <f>H15-H16-H17-H18-H19-H20-H22-H23-H24+H26+H27</f>
        <v>229232.5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200">
        <f>F34*G34</f>
        <v>32000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00">
        <f>F35*G35</f>
        <v>105500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200">
        <f t="shared" si="2"/>
        <v>70000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200">
        <f t="shared" si="2"/>
        <v>19400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182</v>
      </c>
      <c r="G44" s="76"/>
      <c r="H44" s="184">
        <v>2317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16</v>
      </c>
      <c r="D49" s="12">
        <f>C49*42</f>
        <v>672</v>
      </c>
      <c r="F49" s="225" t="s">
        <v>85</v>
      </c>
      <c r="G49" s="172">
        <f>H34+H35+H36+H37+H38+H39+H40+H41+G42+H44+H45+H46</f>
        <v>229254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1</v>
      </c>
      <c r="D50" s="12">
        <f>C50*1.5</f>
        <v>1.5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21.5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46158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184</v>
      </c>
      <c r="G51" s="241">
        <f>G49-H29</f>
        <v>0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585</v>
      </c>
      <c r="D6" s="13">
        <f t="shared" ref="D6:D28" si="1">C6*L6</f>
        <v>445185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43</v>
      </c>
      <c r="D9" s="13">
        <f t="shared" si="1"/>
        <v>31519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5160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25</v>
      </c>
      <c r="D13" s="48">
        <f t="shared" si="1"/>
        <v>7675</v>
      </c>
      <c r="F13" s="145" t="s">
        <v>36</v>
      </c>
      <c r="G13" s="146"/>
      <c r="H13" s="147">
        <f>D29</f>
        <v>491364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69771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421593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3666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491364</v>
      </c>
      <c r="F29" s="168" t="s">
        <v>54</v>
      </c>
      <c r="G29" s="169"/>
      <c r="H29" s="172">
        <f>H15-H16-H17-H18-H19-H20-H22-H23-H24+H26+H27</f>
        <v>417927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200">
        <f>F34*G34</f>
        <v>53000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00">
        <f>F35*G35</f>
        <v>100500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84">
        <v>264034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</v>
      </c>
      <c r="D49" s="12">
        <f>C49*42</f>
        <v>84</v>
      </c>
      <c r="F49" s="225" t="s">
        <v>85</v>
      </c>
      <c r="G49" s="172">
        <f>H34+H35+H36+H37+H38+H39+H40+H41+G42+H44+H45+H46</f>
        <v>417722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186</v>
      </c>
      <c r="G51" s="248">
        <f>G49-H29</f>
        <v>-205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524</v>
      </c>
      <c r="D6" s="13">
        <f t="shared" ref="D6:D28" si="1">C6*L6</f>
        <v>398764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11715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162</v>
      </c>
      <c r="D9" s="13">
        <f t="shared" si="1"/>
        <v>118746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8</v>
      </c>
      <c r="D12" s="48">
        <f t="shared" si="1"/>
        <v>7936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16</v>
      </c>
      <c r="D13" s="48">
        <f t="shared" si="1"/>
        <v>4912</v>
      </c>
      <c r="F13" s="145" t="s">
        <v>36</v>
      </c>
      <c r="G13" s="146"/>
      <c r="H13" s="147">
        <f>D29</f>
        <v>543461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8</v>
      </c>
      <c r="D14" s="31">
        <f t="shared" si="1"/>
        <v>88</v>
      </c>
      <c r="F14" s="150" t="s">
        <v>38</v>
      </c>
      <c r="G14" s="151"/>
      <c r="H14" s="152">
        <f>D54</f>
        <v>78838.5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464622.5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f>948+1836</f>
        <v>2784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543461</v>
      </c>
      <c r="F29" s="168" t="s">
        <v>54</v>
      </c>
      <c r="G29" s="169"/>
      <c r="H29" s="172">
        <f>H15-H16-H17-H18-H19-H20-H22-H23-H24+H26+H27</f>
        <v>461788.5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00">
        <f>F34*G34</f>
        <v>48000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00">
        <f>F35*G35</f>
        <v>7500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68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84">
        <v>100352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84">
        <v>198087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84">
        <v>107346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461803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191</v>
      </c>
      <c r="G51" s="241">
        <f>G49-H29</f>
        <v>14.5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topLeftCell="A10" zoomScaleNormal="100" zoomScaleSheetLayoutView="85" workbookViewId="0">
      <selection activeCell="K55" sqref="K5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421</v>
      </c>
      <c r="D6" s="13">
        <f t="shared" ref="D6:D28" si="1">C6*L6</f>
        <v>320381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116</v>
      </c>
      <c r="D9" s="13">
        <f t="shared" si="1"/>
        <v>85028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10320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5</v>
      </c>
      <c r="D11" s="13">
        <f t="shared" si="1"/>
        <v>5850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10</v>
      </c>
      <c r="D12" s="48">
        <f t="shared" si="1"/>
        <v>9920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19</v>
      </c>
      <c r="D13" s="48">
        <f t="shared" si="1"/>
        <v>5833</v>
      </c>
      <c r="F13" s="145" t="s">
        <v>36</v>
      </c>
      <c r="G13" s="146"/>
      <c r="H13" s="147">
        <f>D29</f>
        <v>442799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70551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372248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2742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442799</v>
      </c>
      <c r="F29" s="168" t="s">
        <v>54</v>
      </c>
      <c r="G29" s="169"/>
      <c r="H29" s="172">
        <f>H15-H16-H17-H18-H19-H20-H22-H23-H24+H26+H27+H28</f>
        <v>369506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200">
        <f t="shared" ref="H34:H39" si="2">F34*G34</f>
        <v>68000</v>
      </c>
      <c r="I34" s="201"/>
      <c r="J34" s="202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00">
        <f t="shared" si="2"/>
        <v>5000</v>
      </c>
      <c r="I35" s="201"/>
      <c r="J35" s="202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200">
        <f t="shared" si="2"/>
        <v>600</v>
      </c>
      <c r="I37" s="201"/>
      <c r="J37" s="202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200">
        <f t="shared" si="2"/>
        <v>50</v>
      </c>
      <c r="I38" s="201"/>
      <c r="J38" s="202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8</v>
      </c>
      <c r="D42" s="12">
        <f>C42*2.25</f>
        <v>18</v>
      </c>
      <c r="F42" s="39" t="s">
        <v>78</v>
      </c>
      <c r="G42" s="200">
        <v>47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4">
        <v>303821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27</v>
      </c>
      <c r="D49" s="12">
        <f>C49*42</f>
        <v>1134</v>
      </c>
      <c r="F49" s="225" t="s">
        <v>85</v>
      </c>
      <c r="G49" s="172">
        <f>H34+H35+H36+H37+H38+H39+H40+H41+G42+H44+H45+H46</f>
        <v>377518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8012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6D4F-D3D4-45E8-8514-09CDF870DC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421</v>
      </c>
      <c r="D6" s="13">
        <f t="shared" ref="D6:D28" si="1">C6*L6</f>
        <v>320381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5467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116</v>
      </c>
      <c r="D9" s="13">
        <f t="shared" si="1"/>
        <v>85028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10320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5</v>
      </c>
      <c r="D11" s="13">
        <f t="shared" si="1"/>
        <v>5850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10</v>
      </c>
      <c r="D12" s="48">
        <f t="shared" si="1"/>
        <v>9920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19</v>
      </c>
      <c r="D13" s="48">
        <f t="shared" si="1"/>
        <v>5833</v>
      </c>
      <c r="F13" s="145" t="s">
        <v>36</v>
      </c>
      <c r="G13" s="146"/>
      <c r="H13" s="147">
        <f>D29</f>
        <v>442799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61281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381518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2742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1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103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442799</v>
      </c>
      <c r="F29" s="168" t="s">
        <v>54</v>
      </c>
      <c r="G29" s="169"/>
      <c r="H29" s="172">
        <f>H15-H16-H17-H18-H19-H20-H22-H23-H24+H26+H27+H28</f>
        <v>378776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f>68</f>
        <v>68</v>
      </c>
      <c r="H34" s="200">
        <f t="shared" ref="H34:H39" si="2">F34*G34</f>
        <v>68000</v>
      </c>
      <c r="I34" s="201"/>
      <c r="J34" s="202"/>
      <c r="L34">
        <f>68-84</f>
        <v>-16</v>
      </c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f>10</f>
        <v>10</v>
      </c>
      <c r="H35" s="200">
        <f t="shared" si="2"/>
        <v>5000</v>
      </c>
      <c r="I35" s="201"/>
      <c r="J35" s="202"/>
      <c r="L35">
        <f>78-10</f>
        <v>68</v>
      </c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f>561-80</f>
        <v>481</v>
      </c>
      <c r="D37" s="12">
        <f>C37*111</f>
        <v>53391</v>
      </c>
      <c r="F37" s="12">
        <v>100</v>
      </c>
      <c r="G37" s="39">
        <f>6</f>
        <v>6</v>
      </c>
      <c r="H37" s="200">
        <f t="shared" si="2"/>
        <v>600</v>
      </c>
      <c r="I37" s="201"/>
      <c r="J37" s="202"/>
      <c r="L37">
        <f>34-6</f>
        <v>28</v>
      </c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f>1</f>
        <v>1</v>
      </c>
      <c r="H38" s="200">
        <f t="shared" si="2"/>
        <v>50</v>
      </c>
      <c r="I38" s="201"/>
      <c r="J38" s="202"/>
      <c r="L38">
        <f>2-1</f>
        <v>1</v>
      </c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8</v>
      </c>
      <c r="D42" s="12">
        <f>C42*2.25</f>
        <v>18</v>
      </c>
      <c r="F42" s="39" t="s">
        <v>78</v>
      </c>
      <c r="G42" s="200">
        <f>47</f>
        <v>47</v>
      </c>
      <c r="H42" s="201"/>
      <c r="I42" s="201"/>
      <c r="J42" s="202"/>
      <c r="K42" s="36"/>
      <c r="L42">
        <f>47-62</f>
        <v>-15</v>
      </c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1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84">
        <v>303821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f>10-5</f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27</v>
      </c>
      <c r="D49" s="12">
        <f>C49*42</f>
        <v>1134</v>
      </c>
      <c r="F49" s="225" t="s">
        <v>85</v>
      </c>
      <c r="G49" s="172">
        <f>H34+H35+H36+H37+H38+H39+H40+H41+G42+H44+H45+H46</f>
        <v>377518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-1258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61281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G6" sqref="G6:J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9270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-9270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84">
        <v>62135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52865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200">
        <f t="shared" ref="H34:H39" si="2">F34*G34</f>
        <v>16000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00">
        <f t="shared" si="2"/>
        <v>34000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80</v>
      </c>
      <c r="D37" s="12">
        <f>C37*111</f>
        <v>8880</v>
      </c>
      <c r="F37" s="12">
        <v>100</v>
      </c>
      <c r="G37" s="39">
        <v>28</v>
      </c>
      <c r="H37" s="200">
        <f t="shared" si="2"/>
        <v>2800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52865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184</v>
      </c>
      <c r="G51" s="241">
        <f>G49-H29</f>
        <v>0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9270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370</v>
      </c>
      <c r="D6" s="13">
        <f t="shared" ref="D6:D28" si="1">C6*L6</f>
        <v>281570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42</v>
      </c>
      <c r="D9" s="13">
        <f t="shared" si="1"/>
        <v>30786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320424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48226.5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272197.5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2076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320424</v>
      </c>
      <c r="F29" s="168" t="s">
        <v>54</v>
      </c>
      <c r="G29" s="169"/>
      <c r="H29" s="172">
        <f>H15-H16-H17-H18-H19-H20-H22-H23-H24+H26+H27</f>
        <v>270121.5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200">
        <f>F34*G34</f>
        <v>116000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00">
        <f>F35*G35</f>
        <v>12500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84">
        <v>140694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269353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7</v>
      </c>
      <c r="D50" s="12">
        <f>C50*1.5</f>
        <v>10.5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186</v>
      </c>
      <c r="G51" s="248">
        <f>G49-H29</f>
        <v>-768.5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551</v>
      </c>
      <c r="D6" s="13">
        <f t="shared" ref="D6:D28" si="1">C6*L6</f>
        <v>419311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2</v>
      </c>
      <c r="D8" s="13">
        <f t="shared" si="1"/>
        <v>2186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62</v>
      </c>
      <c r="D9" s="13">
        <f t="shared" si="1"/>
        <v>45446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5160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15</v>
      </c>
      <c r="D11" s="13">
        <f t="shared" si="1"/>
        <v>17550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15+3</f>
        <v>18</v>
      </c>
      <c r="D12" s="48">
        <f t="shared" si="1"/>
        <v>17856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26</v>
      </c>
      <c r="D13" s="48">
        <f t="shared" si="1"/>
        <v>7982</v>
      </c>
      <c r="F13" s="145" t="s">
        <v>36</v>
      </c>
      <c r="G13" s="146"/>
      <c r="H13" s="147">
        <f>D29</f>
        <v>524541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72742.5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1+1</f>
        <v>2</v>
      </c>
      <c r="D15" s="31">
        <f t="shared" si="1"/>
        <v>1240</v>
      </c>
      <c r="F15" s="155" t="s">
        <v>39</v>
      </c>
      <c r="G15" s="146"/>
      <c r="H15" s="156">
        <f>H13-H14</f>
        <v>451798.5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2910+390+360</f>
        <v>3660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524541</v>
      </c>
      <c r="F29" s="168" t="s">
        <v>54</v>
      </c>
      <c r="G29" s="169"/>
      <c r="H29" s="172">
        <f>H15-H16-H17-H18-H19-H20-H22-H23-H24+H26+H27</f>
        <v>448138.5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200">
        <f>F34*G34</f>
        <v>103000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200">
        <f>F35*G35</f>
        <v>7500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200">
        <f t="shared" si="2"/>
        <v>8200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</v>
      </c>
      <c r="D42" s="12">
        <f>C42*2.25</f>
        <v>4.5</v>
      </c>
      <c r="F42" s="39" t="s">
        <v>78</v>
      </c>
      <c r="G42" s="200">
        <v>68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84">
        <v>329457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22</v>
      </c>
      <c r="D49" s="12">
        <f>C49*42</f>
        <v>924</v>
      </c>
      <c r="F49" s="225" t="s">
        <v>85</v>
      </c>
      <c r="G49" s="172">
        <f>H34+H35+H36+H37+H38+H39+H40+H41+G42+H44+H45+H46</f>
        <v>448525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195</v>
      </c>
      <c r="G51" s="241">
        <f>G49-H29</f>
        <v>386.5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453</v>
      </c>
      <c r="D6" s="13">
        <f t="shared" ref="D6:D28" si="1">C6*L6</f>
        <v>344733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11715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40</v>
      </c>
      <c r="D9" s="13">
        <f t="shared" si="1"/>
        <v>29320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392951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54639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2</v>
      </c>
      <c r="D15" s="31">
        <f t="shared" si="1"/>
        <v>1240</v>
      </c>
      <c r="F15" s="155" t="s">
        <v>39</v>
      </c>
      <c r="G15" s="146"/>
      <c r="H15" s="156">
        <f>H13-H14</f>
        <v>338312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392951</v>
      </c>
      <c r="F29" s="168" t="s">
        <v>54</v>
      </c>
      <c r="G29" s="169"/>
      <c r="H29" s="172">
        <f>H15-H16-H17-H18-H19-H20-H22-H23-H24+H26+H27+H28</f>
        <v>338312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200">
        <f t="shared" ref="H34:H39" si="2">F34*G34</f>
        <v>134000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200">
        <f t="shared" si="2"/>
        <v>50000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200">
        <f t="shared" si="2"/>
        <v>8300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200">
        <f t="shared" si="2"/>
        <v>1950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30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7</v>
      </c>
      <c r="D44" s="12">
        <f>C44*120</f>
        <v>840</v>
      </c>
      <c r="F44" s="37" t="s">
        <v>147</v>
      </c>
      <c r="G44" s="76" t="s">
        <v>196</v>
      </c>
      <c r="H44" s="184">
        <v>83120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93" t="s">
        <v>141</v>
      </c>
      <c r="H45" s="184">
        <v>60000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337800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-512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360</v>
      </c>
      <c r="D6" s="13">
        <f t="shared" ref="D6:D28" si="1">C6*L6</f>
        <v>273960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19</v>
      </c>
      <c r="D9" s="13">
        <f t="shared" si="1"/>
        <v>13927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12</v>
      </c>
      <c r="D13" s="48">
        <f t="shared" si="1"/>
        <v>3684</v>
      </c>
      <c r="F13" s="145" t="s">
        <v>36</v>
      </c>
      <c r="G13" s="146"/>
      <c r="H13" s="147">
        <f>D29</f>
        <v>294125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43978.5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250146.5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294125</v>
      </c>
      <c r="F29" s="168" t="s">
        <v>54</v>
      </c>
      <c r="G29" s="169"/>
      <c r="H29" s="172">
        <f>H15-H16-H17-H18-H19-H20-H22-H23-H24+H26+H27</f>
        <v>248850.5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00">
        <f>F34*G34</f>
        <v>88000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200">
        <f>F35*G35</f>
        <v>150000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200">
        <f t="shared" si="2"/>
        <v>10000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200">
        <f t="shared" si="2"/>
        <v>1550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125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249675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824.5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210</v>
      </c>
      <c r="D6" s="13">
        <f t="shared" ref="D6:D28" si="1">C6*L6</f>
        <v>159810</v>
      </c>
      <c r="F6" s="123" t="s">
        <v>16</v>
      </c>
      <c r="G6" s="125" t="s">
        <v>197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25</v>
      </c>
      <c r="D7" s="13">
        <f t="shared" si="1"/>
        <v>19525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93</v>
      </c>
      <c r="D9" s="13">
        <f t="shared" si="1"/>
        <v>68169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3968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276301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37863.75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238437.25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59">
        <v>1314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276301</v>
      </c>
      <c r="F29" s="168" t="s">
        <v>54</v>
      </c>
      <c r="G29" s="169"/>
      <c r="H29" s="172">
        <f>H15-H16-H17-H18-H19-H20-H22-H23-H24+H26+H27</f>
        <v>237123.25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0">
        <f>F34*G34</f>
        <v>145000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00">
        <f>F35*G35</f>
        <v>13000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00">
        <f t="shared" ref="H36:H39" si="2">F36*G36</f>
        <v>600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200">
        <f t="shared" si="2"/>
        <v>6600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200">
        <f t="shared" si="2"/>
        <v>950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3</v>
      </c>
      <c r="D42" s="12">
        <f>C42*2.25</f>
        <v>6.75</v>
      </c>
      <c r="F42" s="39" t="s">
        <v>78</v>
      </c>
      <c r="G42" s="200">
        <v>25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59" t="s">
        <v>132</v>
      </c>
      <c r="G44" s="62" t="s">
        <v>199</v>
      </c>
      <c r="H44" s="184">
        <v>70614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4</v>
      </c>
      <c r="D45" s="12">
        <f>C45*84</f>
        <v>336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236789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19</v>
      </c>
      <c r="D50" s="12">
        <f>C50*1.5</f>
        <v>28.5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-334.25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143</v>
      </c>
      <c r="D6" s="13">
        <f t="shared" ref="D6:D28" si="1">C6*L6</f>
        <v>108823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7029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52</v>
      </c>
      <c r="D8" s="13">
        <f t="shared" si="1"/>
        <v>56836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17</v>
      </c>
      <c r="D9" s="13">
        <f t="shared" si="1"/>
        <v>12461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7</v>
      </c>
      <c r="D11" s="13">
        <f t="shared" si="1"/>
        <v>8190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6+1</f>
        <v>7</v>
      </c>
      <c r="D12" s="48">
        <f t="shared" si="1"/>
        <v>6944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</v>
      </c>
      <c r="D13" s="48">
        <f t="shared" si="1"/>
        <v>921</v>
      </c>
      <c r="F13" s="145" t="s">
        <v>36</v>
      </c>
      <c r="G13" s="146"/>
      <c r="H13" s="147">
        <f>D29</f>
        <v>216025.16666666666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28238.25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f>2+2</f>
        <v>4</v>
      </c>
      <c r="D15" s="31">
        <f t="shared" si="1"/>
        <v>2480</v>
      </c>
      <c r="F15" s="155" t="s">
        <v>39</v>
      </c>
      <c r="G15" s="146"/>
      <c r="H15" s="156">
        <f>H13-H14</f>
        <v>187786.91666666666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200</v>
      </c>
      <c r="C21" s="10">
        <v>16</v>
      </c>
      <c r="D21" s="48">
        <f t="shared" si="1"/>
        <v>1078.6666666666667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1582/24+1.5</f>
        <v>67.416666666666671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153</v>
      </c>
      <c r="G22" s="73">
        <v>10676</v>
      </c>
      <c r="H22" s="182">
        <v>57556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>
        <v>23</v>
      </c>
      <c r="D23" s="48">
        <f t="shared" si="1"/>
        <v>908.5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3</v>
      </c>
      <c r="D28" s="48">
        <f t="shared" si="1"/>
        <v>2433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216025.16666666666</v>
      </c>
      <c r="F29" s="168" t="s">
        <v>54</v>
      </c>
      <c r="G29" s="169"/>
      <c r="H29" s="172">
        <f>H15-H16-H17-H18-H19-H20-H22-H23-H24+H26+H27+H28</f>
        <v>130230.91666666666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81</v>
      </c>
      <c r="H34" s="200">
        <f t="shared" ref="H34:H39" si="2">F34*G34</f>
        <v>81000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00">
        <f t="shared" si="2"/>
        <v>19000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150</v>
      </c>
      <c r="D37" s="12">
        <f>C37*111</f>
        <v>16650</v>
      </c>
      <c r="F37" s="12">
        <v>100</v>
      </c>
      <c r="G37" s="39">
        <v>12</v>
      </c>
      <c r="H37" s="200">
        <f t="shared" si="2"/>
        <v>1200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9</v>
      </c>
      <c r="H38" s="200">
        <f t="shared" si="2"/>
        <v>450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3</v>
      </c>
      <c r="D42" s="12">
        <f>C42*2.25</f>
        <v>6.75</v>
      </c>
      <c r="F42" s="39" t="s">
        <v>78</v>
      </c>
      <c r="G42" s="200">
        <v>96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67</v>
      </c>
      <c r="D44" s="12">
        <f>C44*120</f>
        <v>8040</v>
      </c>
      <c r="F44" s="37" t="s">
        <v>136</v>
      </c>
      <c r="G44" s="76" t="s">
        <v>202</v>
      </c>
      <c r="H44" s="184">
        <v>19994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9</v>
      </c>
      <c r="D45" s="12">
        <f>C45*84</f>
        <v>756</v>
      </c>
      <c r="F45" s="37" t="s">
        <v>137</v>
      </c>
      <c r="G45" s="62"/>
      <c r="H45" s="184">
        <v>7705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4</v>
      </c>
      <c r="D46" s="12">
        <f>C46*1.5</f>
        <v>6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129445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130</v>
      </c>
      <c r="D50" s="12">
        <f>C50*1.5</f>
        <v>195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-785.91666666665697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28238.25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276</v>
      </c>
      <c r="D6" s="13">
        <f t="shared" ref="D6:D28" si="1">C6*L6</f>
        <v>210036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f>2</f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22</v>
      </c>
      <c r="D9" s="13">
        <f t="shared" si="1"/>
        <v>16126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7</v>
      </c>
      <c r="D13" s="48">
        <f t="shared" si="1"/>
        <v>2149</v>
      </c>
      <c r="F13" s="145" t="s">
        <v>36</v>
      </c>
      <c r="G13" s="146"/>
      <c r="H13" s="147">
        <f>D29</f>
        <v>238493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43047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195446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v>1158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>
        <f>1</f>
        <v>1</v>
      </c>
      <c r="D19" s="48">
        <f t="shared" si="1"/>
        <v>1175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201</v>
      </c>
      <c r="C22" s="10">
        <f>12</f>
        <v>12</v>
      </c>
      <c r="D22" s="48">
        <f t="shared" si="1"/>
        <v>268</v>
      </c>
      <c r="F22" s="77"/>
      <c r="G22" s="73"/>
      <c r="H22" s="182"/>
      <c r="I22" s="182"/>
      <c r="J22" s="182"/>
      <c r="L22" s="7">
        <f>500/24+1.5</f>
        <v>22.333333333333332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238493</v>
      </c>
      <c r="F29" s="168" t="s">
        <v>54</v>
      </c>
      <c r="G29" s="169"/>
      <c r="H29" s="172">
        <f>H15-H16-H17-H18-H19-H20-H22-H23-H24+H26+H27</f>
        <v>194288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68</v>
      </c>
      <c r="H34" s="200">
        <f>F34*G34</f>
        <v>68000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>F35*G35</f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375</v>
      </c>
      <c r="D37" s="12">
        <f>C37*111</f>
        <v>41625</v>
      </c>
      <c r="F37" s="12">
        <v>100</v>
      </c>
      <c r="G37" s="39">
        <v>10</v>
      </c>
      <c r="H37" s="200">
        <f t="shared" si="2"/>
        <v>1000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>
        <v>26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203</v>
      </c>
      <c r="H44" s="184">
        <v>124572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</v>
      </c>
      <c r="D46" s="12">
        <f>C46*1.5</f>
        <v>1.5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7</v>
      </c>
      <c r="D49" s="12">
        <f>C49*42</f>
        <v>294</v>
      </c>
      <c r="F49" s="225" t="s">
        <v>85</v>
      </c>
      <c r="G49" s="172">
        <f>H34+H35+H36+H37+H38+H39+H40+H41+G42+H44+H45+H46</f>
        <v>194198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-90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43047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423</v>
      </c>
      <c r="D6" s="13">
        <f t="shared" ref="D6:D28" si="1">C6*L6</f>
        <v>321903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21</v>
      </c>
      <c r="D7" s="13">
        <f t="shared" si="1"/>
        <v>16401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83</v>
      </c>
      <c r="D9" s="13">
        <f t="shared" si="1"/>
        <v>60839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3096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2340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412292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66883.5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345408.5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948+858+360</f>
        <v>2166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412292</v>
      </c>
      <c r="F29" s="168" t="s">
        <v>54</v>
      </c>
      <c r="G29" s="169"/>
      <c r="H29" s="172">
        <f>H15-H16-H17-H18-H19-H20-H22-H23-H24+H26+H27</f>
        <v>343192.5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194</v>
      </c>
      <c r="H34" s="200">
        <f>F34*G34</f>
        <v>194000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50</v>
      </c>
      <c r="H35" s="200">
        <f>F35*G35</f>
        <v>25000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13</v>
      </c>
      <c r="D36" s="12">
        <f>C36*1.5</f>
        <v>19.5</v>
      </c>
      <c r="F36" s="12">
        <v>200</v>
      </c>
      <c r="G36" s="37">
        <v>3</v>
      </c>
      <c r="H36" s="200">
        <f t="shared" ref="H36:H39" si="2">F36*G36</f>
        <v>600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549</v>
      </c>
      <c r="D37" s="12">
        <f>C37*111</f>
        <v>60939</v>
      </c>
      <c r="F37" s="12">
        <v>100</v>
      </c>
      <c r="G37" s="39">
        <v>123</v>
      </c>
      <c r="H37" s="200">
        <f t="shared" si="2"/>
        <v>12300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148</v>
      </c>
      <c r="H38" s="200">
        <f t="shared" si="2"/>
        <v>7400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</v>
      </c>
      <c r="D42" s="12">
        <f>C42*2.25</f>
        <v>4.5</v>
      </c>
      <c r="F42" s="39" t="s">
        <v>78</v>
      </c>
      <c r="G42" s="200">
        <v>219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204</v>
      </c>
      <c r="H44" s="184">
        <v>102299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2</v>
      </c>
      <c r="D45" s="12">
        <f>C45*84</f>
        <v>168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14</v>
      </c>
      <c r="D46" s="12">
        <f>C46*1.5</f>
        <v>21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341838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19</v>
      </c>
      <c r="D50" s="12">
        <f>C50*1.5</f>
        <v>28.5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-1354.5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66883.5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446</v>
      </c>
      <c r="D6" s="13">
        <f t="shared" ref="D6:D28" si="1">C6*L6</f>
        <v>339406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343836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51543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292293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2268</f>
        <v>2268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>
        <v>109.27</v>
      </c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4">
        <v>57556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343836</v>
      </c>
      <c r="F29" s="168" t="s">
        <v>54</v>
      </c>
      <c r="G29" s="169"/>
      <c r="H29" s="172">
        <f>H15-H16-H17-H18-H19-H20-H22-H23-H24+H26+H27+H28</f>
        <v>347471.73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f>245+57</f>
        <v>302</v>
      </c>
      <c r="H34" s="200">
        <f t="shared" ref="H34:H39" si="2">F34*G34</f>
        <v>302000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f>90+1</f>
        <v>91</v>
      </c>
      <c r="H35" s="200">
        <f t="shared" si="2"/>
        <v>45500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455</v>
      </c>
      <c r="D37" s="12">
        <f>C37*111</f>
        <v>50505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f>87+6</f>
        <v>93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13</v>
      </c>
      <c r="D49" s="12">
        <f>C49*42</f>
        <v>546</v>
      </c>
      <c r="F49" s="225" t="s">
        <v>85</v>
      </c>
      <c r="G49" s="172">
        <f>H34+H35+H36+H37+H38+H39+H40+H41+G42+H44+H45+H46</f>
        <v>347643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171.27000000001863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51543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14EA4-CC24-48AB-BDB9-50686BD909E2}">
  <dimension ref="A1:R59"/>
  <sheetViews>
    <sheetView topLeftCell="A13" zoomScaleNormal="100" zoomScaleSheetLayoutView="85" workbookViewId="0">
      <selection activeCell="H26" sqref="F26:J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 t="s">
        <v>153</v>
      </c>
      <c r="G26" s="65">
        <v>10676</v>
      </c>
      <c r="H26" s="184">
        <v>57556</v>
      </c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57556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200">
        <f t="shared" ref="H34:H39" si="2">F34*G34</f>
        <v>57000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00">
        <f t="shared" si="2"/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57556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184</v>
      </c>
      <c r="G51" s="241">
        <f>G49-H29</f>
        <v>0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294</v>
      </c>
      <c r="D6" s="13">
        <f t="shared" ref="D6:D28" si="1">C6*L6</f>
        <v>223734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2343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33</v>
      </c>
      <c r="D9" s="13">
        <f t="shared" si="1"/>
        <v>24189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254943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39281.25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215661.75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1068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254943</v>
      </c>
      <c r="F29" s="168" t="s">
        <v>54</v>
      </c>
      <c r="G29" s="169"/>
      <c r="H29" s="172">
        <f>H15-H16-H17-H18-H19-H20-H22-H23-H24+H26+H27</f>
        <v>214593.75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170</v>
      </c>
      <c r="H34" s="200">
        <f>F34*G34</f>
        <v>170000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200">
        <f>F35*G35</f>
        <v>40000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41</v>
      </c>
      <c r="H37" s="200">
        <f t="shared" si="2"/>
        <v>4100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391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214741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2</v>
      </c>
      <c r="D50" s="12">
        <f>C50*1.5</f>
        <v>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147.25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39281.25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364</v>
      </c>
      <c r="D6" s="13">
        <f t="shared" ref="D6:D28" si="1">C6*L6</f>
        <v>277004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1562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</v>
      </c>
      <c r="D9" s="13">
        <f t="shared" si="1"/>
        <v>2199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20</v>
      </c>
      <c r="D10" s="13">
        <f t="shared" si="1"/>
        <v>20640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305232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89406.75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215825.25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59">
        <v>2070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305232</v>
      </c>
      <c r="F29" s="168" t="s">
        <v>54</v>
      </c>
      <c r="G29" s="169"/>
      <c r="H29" s="172">
        <f>H15-H16-H17-H18-H19-H20-H22-H23-H24+H26+H27+H28</f>
        <v>213755.25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17</v>
      </c>
      <c r="H34" s="200">
        <f t="shared" ref="H34:H39" si="2">F34*G34</f>
        <v>17000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00">
        <f t="shared" si="2"/>
        <v>4000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763</v>
      </c>
      <c r="D37" s="12">
        <f>C37*111</f>
        <v>84693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136</v>
      </c>
      <c r="G44" s="62" t="s">
        <v>205</v>
      </c>
      <c r="H44" s="184">
        <v>192163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21</v>
      </c>
      <c r="D46" s="12">
        <f>C46*1.5</f>
        <v>31.5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24</v>
      </c>
      <c r="D49" s="12">
        <f>C49*42</f>
        <v>1008</v>
      </c>
      <c r="F49" s="225" t="s">
        <v>85</v>
      </c>
      <c r="G49" s="172">
        <f>H34+H35+H36+H37+H38+H39+H40+H41+G42+H44+H45+H46</f>
        <v>213763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7.75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89406.75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274</v>
      </c>
      <c r="D6" s="13">
        <f t="shared" ref="D6:D28" si="1">C6*L6</f>
        <v>208514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8591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12</v>
      </c>
      <c r="D9" s="13">
        <f t="shared" si="1"/>
        <v>8796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231087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31207.5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199879.5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1356</f>
        <v>1356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231087</v>
      </c>
      <c r="F29" s="168" t="s">
        <v>54</v>
      </c>
      <c r="G29" s="169"/>
      <c r="H29" s="172">
        <f>H15-H16-H17-H18-H19-H20-H22-H23-H24+H26+H27</f>
        <v>198523.5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41</v>
      </c>
      <c r="H34" s="200">
        <f>F34*G34</f>
        <v>41000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0">
        <f>F35*G35</f>
        <v>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20</v>
      </c>
      <c r="D42" s="12">
        <f>C42*2.25</f>
        <v>45</v>
      </c>
      <c r="F42" s="39" t="s">
        <v>78</v>
      </c>
      <c r="G42" s="200">
        <v>42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206</v>
      </c>
      <c r="H44" s="184">
        <v>154005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17</v>
      </c>
      <c r="D49" s="12">
        <f>C49*42</f>
        <v>714</v>
      </c>
      <c r="F49" s="225" t="s">
        <v>85</v>
      </c>
      <c r="G49" s="172">
        <f>H34+H35+H36+H37+H38+H39+H40+H41+G42+H44+H45+H46</f>
        <v>198647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35</v>
      </c>
      <c r="D50" s="12">
        <f>C50*1.5</f>
        <v>52.5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123.5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31207.5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665</v>
      </c>
      <c r="D6" s="13">
        <f t="shared" ref="D6:D28" si="1">C6*L6</f>
        <v>506065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15620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</v>
      </c>
      <c r="D9" s="13">
        <f t="shared" si="1"/>
        <v>733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5</v>
      </c>
      <c r="D11" s="13">
        <f t="shared" si="1"/>
        <v>5850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8</v>
      </c>
      <c r="D12" s="48">
        <f t="shared" si="1"/>
        <v>7936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19</v>
      </c>
      <c r="D13" s="48">
        <f t="shared" si="1"/>
        <v>5833</v>
      </c>
      <c r="F13" s="145" t="s">
        <v>36</v>
      </c>
      <c r="G13" s="146"/>
      <c r="H13" s="147">
        <f>D29</f>
        <v>542169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85605.75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456563.25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300+648+654</f>
        <v>1602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542169</v>
      </c>
      <c r="F29" s="168" t="s">
        <v>54</v>
      </c>
      <c r="G29" s="169"/>
      <c r="H29" s="172">
        <f>H15-H16-H17-H18-H19-H20-H22-H23-H24+H26+H27</f>
        <v>454961.25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105</v>
      </c>
      <c r="H34" s="200">
        <f>F34*G34</f>
        <v>105000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00">
        <f>F35*G35</f>
        <v>12000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735</v>
      </c>
      <c r="D37" s="12">
        <f>C37*111</f>
        <v>81585</v>
      </c>
      <c r="F37" s="12">
        <v>100</v>
      </c>
      <c r="G37" s="39">
        <v>14</v>
      </c>
      <c r="H37" s="200">
        <f t="shared" si="2"/>
        <v>1400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22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207</v>
      </c>
      <c r="H44" s="184">
        <v>27108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2</v>
      </c>
      <c r="D45" s="12">
        <f>C45*84</f>
        <v>168</v>
      </c>
      <c r="F45" s="37" t="s">
        <v>136</v>
      </c>
      <c r="G45" s="76" t="s">
        <v>208</v>
      </c>
      <c r="H45" s="184">
        <v>237647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 t="s">
        <v>136</v>
      </c>
      <c r="G46" s="96" t="s">
        <v>209</v>
      </c>
      <c r="H46" s="184">
        <v>70468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5</v>
      </c>
      <c r="D49" s="12">
        <f>C49*42</f>
        <v>210</v>
      </c>
      <c r="F49" s="225" t="s">
        <v>85</v>
      </c>
      <c r="G49" s="172">
        <f>H34+H35+H36+H37+H38+H39+H40+H41+G42+H44+H45+H46</f>
        <v>453795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3</v>
      </c>
      <c r="D50" s="12">
        <f>C50*1.5</f>
        <v>4.5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-1166.25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85605.75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1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topLeftCell="A22" zoomScaleNormal="100" zoomScaleSheetLayoutView="85" workbookViewId="0">
      <selection activeCell="V39" sqref="V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84</v>
      </c>
      <c r="D6" s="13">
        <f t="shared" ref="D6:D28" si="1">C6*L6</f>
        <v>63924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7810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22</v>
      </c>
      <c r="D9" s="13">
        <f t="shared" si="1"/>
        <v>16126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</v>
      </c>
      <c r="D13" s="48">
        <f t="shared" si="1"/>
        <v>614</v>
      </c>
      <c r="F13" s="145" t="s">
        <v>36</v>
      </c>
      <c r="G13" s="146"/>
      <c r="H13" s="147">
        <f>D29</f>
        <v>88474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12474.75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75999.25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88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88474</v>
      </c>
      <c r="F29" s="168" t="s">
        <v>54</v>
      </c>
      <c r="G29" s="169"/>
      <c r="H29" s="172">
        <f>H15-H16-H17-H18-H19-H20-H22-H23-H24+H26+H27+H28</f>
        <v>75999.25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57</v>
      </c>
      <c r="H34" s="200">
        <f t="shared" ref="H34:H39" si="2">F34*G34</f>
        <v>57000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36</v>
      </c>
      <c r="H35" s="200">
        <f t="shared" si="2"/>
        <v>18000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13</v>
      </c>
      <c r="H37" s="200">
        <f t="shared" si="2"/>
        <v>1300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0">
        <v>196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76696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696.75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12474.75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topLeftCell="A28" zoomScaleNormal="100" zoomScaleSheetLayoutView="85" workbookViewId="0">
      <selection activeCell="J66" sqref="J6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231</v>
      </c>
      <c r="D6" s="13">
        <f t="shared" ref="D6:D28" si="1">C6*L6</f>
        <v>175791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134</v>
      </c>
      <c r="D9" s="13">
        <f t="shared" si="1"/>
        <v>98222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278040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41770.5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236269.5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2082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278040</v>
      </c>
      <c r="F29" s="168" t="s">
        <v>54</v>
      </c>
      <c r="G29" s="169"/>
      <c r="H29" s="172">
        <f>H15-H16-H17-H18-H19-H20-H22-H23-H24+H26+H27</f>
        <v>234187.5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40</v>
      </c>
      <c r="H34" s="200">
        <f>F34*G34</f>
        <v>40000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203</v>
      </c>
      <c r="H35" s="200">
        <f>F35*G35</f>
        <v>101500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370</v>
      </c>
      <c r="D37" s="12">
        <f>C37*111</f>
        <v>41070</v>
      </c>
      <c r="F37" s="12">
        <v>100</v>
      </c>
      <c r="G37" s="39">
        <v>86</v>
      </c>
      <c r="H37" s="200">
        <f t="shared" si="2"/>
        <v>8600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83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210</v>
      </c>
      <c r="H44" s="184">
        <v>83720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234103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20</v>
      </c>
      <c r="D50" s="12">
        <f>C50*1.5</f>
        <v>30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186</v>
      </c>
      <c r="G51" s="248">
        <f>G49-H29</f>
        <v>-84.5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41770.5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topLeftCell="A28" zoomScaleNormal="100" zoomScaleSheetLayoutView="85" workbookViewId="0">
      <selection activeCell="I54" sqref="I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448</v>
      </c>
      <c r="D6" s="13">
        <f t="shared" ref="D6:D28" si="1">C6*L6</f>
        <v>340928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14</v>
      </c>
      <c r="D7" s="13">
        <f t="shared" si="1"/>
        <v>10934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100</v>
      </c>
      <c r="D9" s="13">
        <f t="shared" si="1"/>
        <v>73300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15</v>
      </c>
      <c r="D13" s="48">
        <f t="shared" si="1"/>
        <v>4605</v>
      </c>
      <c r="F13" s="145" t="s">
        <v>36</v>
      </c>
      <c r="G13" s="146"/>
      <c r="H13" s="147">
        <f>D29</f>
        <v>429899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41526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388373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1440+300</f>
        <v>1740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1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429899</v>
      </c>
      <c r="F29" s="168" t="s">
        <v>54</v>
      </c>
      <c r="G29" s="169"/>
      <c r="H29" s="172">
        <f>H15-H16-H17-H18-H19-H20-H22-H23-H24+H26+H27</f>
        <v>386583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64</v>
      </c>
      <c r="H34" s="200">
        <f>F34*G34</f>
        <v>64000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00">
        <f>F35*G35</f>
        <v>1500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361</v>
      </c>
      <c r="D37" s="12">
        <f>C37*111</f>
        <v>40071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6</v>
      </c>
      <c r="D42" s="12">
        <f>C42*2.25</f>
        <v>13.5</v>
      </c>
      <c r="F42" s="39" t="s">
        <v>78</v>
      </c>
      <c r="G42" s="200">
        <v>56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88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211</v>
      </c>
      <c r="H44" s="184">
        <v>155617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189</v>
      </c>
      <c r="G45" s="76" t="s">
        <v>212</v>
      </c>
      <c r="H45" s="184">
        <v>172322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6</v>
      </c>
      <c r="D49" s="12">
        <f>C49*42</f>
        <v>252</v>
      </c>
      <c r="F49" s="225" t="s">
        <v>85</v>
      </c>
      <c r="G49" s="172">
        <f>H34+H35+H36+H37+H38+H39+H40+H41+G42+H44+H45+H46</f>
        <v>393845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195</v>
      </c>
      <c r="G51" s="241">
        <f>G49-H29</f>
        <v>7262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41526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B449F-8887-4E15-A3DC-8C7C9B29B55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3E501-C780-4AB1-A5EA-0813D8EECC2C}">
  <dimension ref="A1:R59"/>
  <sheetViews>
    <sheetView topLeftCell="A7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250</v>
      </c>
      <c r="D6" s="13">
        <f t="shared" ref="D6:D28" si="1">C6*L6</f>
        <v>190250</v>
      </c>
      <c r="F6" s="123" t="s">
        <v>16</v>
      </c>
      <c r="G6" s="125" t="s">
        <v>214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99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27</v>
      </c>
      <c r="D9" s="13">
        <f t="shared" si="1"/>
        <v>19791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216781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32183.25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184597.75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0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216781</v>
      </c>
      <c r="F29" s="168" t="s">
        <v>54</v>
      </c>
      <c r="G29" s="169"/>
      <c r="H29" s="172">
        <f>H15-H16-H17-H18-H19-H20-H22-H23-H24+H26+H27+H28</f>
        <v>184597.75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112</v>
      </c>
      <c r="H34" s="200">
        <f t="shared" ref="H34:H39" si="2">F34*G34</f>
        <v>112000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67</v>
      </c>
      <c r="H35" s="200">
        <f t="shared" si="2"/>
        <v>33500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20</v>
      </c>
      <c r="H37" s="200">
        <f t="shared" si="2"/>
        <v>2000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96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136</v>
      </c>
      <c r="G44" s="62"/>
      <c r="H44" s="184">
        <v>31000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137</v>
      </c>
      <c r="G45" s="62"/>
      <c r="H45" s="184">
        <v>5850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184646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19</v>
      </c>
      <c r="D50" s="12">
        <f>C50*1.5</f>
        <v>28.5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173</v>
      </c>
      <c r="G51" s="241">
        <f>G49-H29</f>
        <v>48.25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32183.25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69C8-6467-464F-81EB-939BBE6CD0E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278</v>
      </c>
      <c r="D6" s="13">
        <f t="shared" ref="D6:D28" si="1">C6*L6</f>
        <v>211558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6248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101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14660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236836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30952.5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205883.5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9">
        <v>1110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236836</v>
      </c>
      <c r="F29" s="168" t="s">
        <v>54</v>
      </c>
      <c r="G29" s="169"/>
      <c r="H29" s="172">
        <f>H15-H16-H17-H18-H19-H20-H22-H23-H24+H26+H27</f>
        <v>204773.5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66</v>
      </c>
      <c r="H34" s="200">
        <f>F34*G34</f>
        <v>66000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200">
        <f>F35*G35</f>
        <v>11500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260</v>
      </c>
      <c r="D37" s="12">
        <f>C37*111</f>
        <v>28860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36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215</v>
      </c>
      <c r="H44" s="184">
        <v>126587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5</v>
      </c>
      <c r="D49" s="12">
        <f>C49*42</f>
        <v>210</v>
      </c>
      <c r="F49" s="225" t="s">
        <v>85</v>
      </c>
      <c r="G49" s="172">
        <f>H34+H35+H36+H37+H38+H39+H40+H41+G42+H44+H45+H46</f>
        <v>204623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22</v>
      </c>
      <c r="D50" s="12">
        <f>C50*1.5</f>
        <v>33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-150.5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30952.5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B61FD-7AD9-4BBB-A79C-F9133B92AC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46168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504</v>
      </c>
      <c r="D6" s="13">
        <f t="shared" ref="D6:D28" si="1">C6*L6</f>
        <v>383544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16</v>
      </c>
      <c r="D7" s="13">
        <f t="shared" si="1"/>
        <v>12496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13194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416264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59088.75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357175.25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9">
        <f>2004+348</f>
        <v>2352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416264</v>
      </c>
      <c r="F29" s="168" t="s">
        <v>54</v>
      </c>
      <c r="G29" s="169"/>
      <c r="H29" s="172">
        <f>H15-H16-H17-H18-H19-H20-H22-H23-H24+H26+H27</f>
        <v>354823.25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115</v>
      </c>
      <c r="H34" s="200">
        <f>F34*G34</f>
        <v>115000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35</v>
      </c>
      <c r="H35" s="200">
        <f>F35*G35</f>
        <v>17500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f>69+432</f>
        <v>501</v>
      </c>
      <c r="D37" s="12">
        <f>C37*111</f>
        <v>55611</v>
      </c>
      <c r="F37" s="12">
        <v>100</v>
      </c>
      <c r="G37" s="39">
        <v>28</v>
      </c>
      <c r="H37" s="200">
        <f t="shared" si="2"/>
        <v>2800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0">
        <v>49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7</v>
      </c>
      <c r="D44" s="12">
        <f>C44*120</f>
        <v>840</v>
      </c>
      <c r="F44" s="37" t="s">
        <v>136</v>
      </c>
      <c r="G44" s="76" t="s">
        <v>213</v>
      </c>
      <c r="H44" s="184">
        <v>217844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</v>
      </c>
      <c r="D46" s="12">
        <f>C46*1.5</f>
        <v>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8</v>
      </c>
      <c r="D49" s="12">
        <f>C49*42</f>
        <v>336</v>
      </c>
      <c r="F49" s="225" t="s">
        <v>85</v>
      </c>
      <c r="G49" s="172">
        <f>H34+H35+H36+H37+H38+H39+H40+H41+G42+H44+H45+H46</f>
        <v>353193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-1630.25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59088.75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5E5F1-C77E-48FF-AE6E-DCEE49D345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CB143-C922-4C41-8A62-9E308512D1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46169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324</v>
      </c>
      <c r="D6" s="13">
        <f t="shared" ref="D6:D28" si="1">C6*L6</f>
        <v>246564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18325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9</v>
      </c>
      <c r="D13" s="48">
        <f t="shared" si="1"/>
        <v>2763</v>
      </c>
      <c r="F13" s="145" t="s">
        <v>36</v>
      </c>
      <c r="G13" s="146"/>
      <c r="H13" s="147">
        <f>D29</f>
        <v>267784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32602.5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235181.5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2064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0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267784</v>
      </c>
      <c r="F29" s="168" t="s">
        <v>54</v>
      </c>
      <c r="G29" s="169"/>
      <c r="H29" s="172">
        <f>H15-H16-H17-H18-H19-H20-H22-H23-H24+H26+H27+H28</f>
        <v>233117.5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123</v>
      </c>
      <c r="H34" s="200">
        <f t="shared" ref="H34:H39" si="2">F34*G34</f>
        <v>123000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219</v>
      </c>
      <c r="H35" s="200">
        <f t="shared" si="2"/>
        <v>109500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282</v>
      </c>
      <c r="D37" s="12">
        <f>C37*111</f>
        <v>31302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10</v>
      </c>
      <c r="D49" s="12">
        <f>C49*42</f>
        <v>420</v>
      </c>
      <c r="F49" s="225" t="s">
        <v>85</v>
      </c>
      <c r="G49" s="172">
        <f>H34+H35+H36+H37+H38+H39+H40+H41+G42+H44+H45+H46</f>
        <v>232700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217</v>
      </c>
      <c r="G51" s="248">
        <f>G49-H29</f>
        <v>-417.5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32602.5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AAF28-F737-458D-A878-5CEAA06A22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46169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149</v>
      </c>
      <c r="D6" s="13">
        <f t="shared" ref="D6:D28" si="1">C6*L6</f>
        <v>113389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6248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14660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3</v>
      </c>
      <c r="D13" s="48">
        <f t="shared" si="1"/>
        <v>921</v>
      </c>
      <c r="F13" s="145" t="s">
        <v>36</v>
      </c>
      <c r="G13" s="146"/>
      <c r="H13" s="147">
        <f>D29</f>
        <v>136970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19894.5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117075.5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768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136970</v>
      </c>
      <c r="F29" s="168" t="s">
        <v>54</v>
      </c>
      <c r="G29" s="169"/>
      <c r="H29" s="172">
        <f>H15-H16-H17-H18-H19-H20-H22-H23-H24+H26+H27</f>
        <v>116307.5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100</v>
      </c>
      <c r="H34" s="200">
        <f>F34*G34</f>
        <v>100000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200">
        <f>F35*G35</f>
        <v>15500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9</v>
      </c>
      <c r="H37" s="200">
        <f t="shared" si="2"/>
        <v>900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116438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11</v>
      </c>
      <c r="D50" s="12">
        <f>C50*1.5</f>
        <v>16.5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130.5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19894.5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AC1D4-6A60-4215-A1B4-C84F6EDFCA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46169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298</v>
      </c>
      <c r="D6" s="13">
        <f t="shared" ref="D6:D28" si="1">C6*L6</f>
        <v>226778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22</v>
      </c>
      <c r="D9" s="13">
        <f t="shared" si="1"/>
        <v>16126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7</v>
      </c>
      <c r="D13" s="48">
        <f t="shared" si="1"/>
        <v>2149</v>
      </c>
      <c r="F13" s="145" t="s">
        <v>36</v>
      </c>
      <c r="G13" s="146"/>
      <c r="H13" s="147">
        <f>D29</f>
        <v>253015.5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34426.5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218589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9">
        <v>630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>
        <v>3</v>
      </c>
      <c r="D25" s="48">
        <f t="shared" si="1"/>
        <v>363.5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253015.5</v>
      </c>
      <c r="F29" s="168" t="s">
        <v>54</v>
      </c>
      <c r="G29" s="169"/>
      <c r="H29" s="172">
        <f>H15-H16-H17-H18-H19-H20-H22-H23-H24+H26+H27</f>
        <v>217959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125</v>
      </c>
      <c r="H34" s="200">
        <f>F34*G34</f>
        <v>125000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0">
        <f>F35*G35</f>
        <v>23500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0">
        <v>25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 t="s">
        <v>132</v>
      </c>
      <c r="G44" s="76" t="s">
        <v>218</v>
      </c>
      <c r="H44" s="184">
        <v>69286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14</v>
      </c>
      <c r="D46" s="12">
        <f>C46*1.5</f>
        <v>21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218551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592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34426.5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D3D98-64E3-4B2B-83C0-47A40E04C7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F749-A591-4A95-8C31-13BFDE189EAE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46170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291</v>
      </c>
      <c r="D6" s="13">
        <f t="shared" ref="D6:D28" si="1">C6*L6</f>
        <v>221451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68</v>
      </c>
      <c r="D8" s="13">
        <f t="shared" si="1"/>
        <v>74324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10995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1+1+1</f>
        <v>3</v>
      </c>
      <c r="D12" s="48">
        <f t="shared" si="1"/>
        <v>2976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314879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43999.5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270879.5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30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 t="s">
        <v>153</v>
      </c>
      <c r="G22" s="73">
        <v>10819</v>
      </c>
      <c r="H22" s="182">
        <v>68780</v>
      </c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0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314879</v>
      </c>
      <c r="F29" s="168" t="s">
        <v>54</v>
      </c>
      <c r="G29" s="169"/>
      <c r="H29" s="172">
        <f>H15-H16-H17-H18-H19-H20-H22-H23-H24+H26+H27+H28</f>
        <v>202069.5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100</v>
      </c>
      <c r="H34" s="200">
        <f t="shared" ref="H34:H39" si="2">F34*G34</f>
        <v>100000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31</v>
      </c>
      <c r="H35" s="200">
        <f t="shared" si="2"/>
        <v>15500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58</v>
      </c>
      <c r="D42" s="12">
        <f>C42*2.25</f>
        <v>130.5</v>
      </c>
      <c r="F42" s="39" t="s">
        <v>78</v>
      </c>
      <c r="G42" s="200">
        <v>401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70</v>
      </c>
      <c r="D44" s="12">
        <f>C44*120</f>
        <v>8400</v>
      </c>
      <c r="F44" s="37" t="s">
        <v>147</v>
      </c>
      <c r="G44" s="96" t="s">
        <v>219</v>
      </c>
      <c r="H44" s="184">
        <v>79439.25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84">
        <v>5200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20</v>
      </c>
      <c r="D46" s="12">
        <f>C46*1.5</f>
        <v>30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200940.25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16</v>
      </c>
      <c r="D50" s="12">
        <f>C50*1.5</f>
        <v>24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-1129.25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43999.5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8329-3562-4B4F-95FA-353A2CB24AF3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46170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325</v>
      </c>
      <c r="D6" s="13">
        <f t="shared" ref="D6:D28" si="1">C6*L6</f>
        <v>247325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17592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271800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40047.75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231752.25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1296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220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271800</v>
      </c>
      <c r="F29" s="168" t="s">
        <v>54</v>
      </c>
      <c r="G29" s="169"/>
      <c r="H29" s="172">
        <f>H15-H16-H17-H18-H19-H20-H22-H23-H24+H26+H27</f>
        <v>230456.25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224</v>
      </c>
      <c r="H34" s="200">
        <f>F34*G34</f>
        <v>224000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0">
        <f>F35*G35</f>
        <v>4500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1</v>
      </c>
      <c r="D42" s="12">
        <f>C42*2.25</f>
        <v>2.25</v>
      </c>
      <c r="F42" s="39" t="s">
        <v>78</v>
      </c>
      <c r="G42" s="200">
        <v>19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137</v>
      </c>
      <c r="G44" s="76"/>
      <c r="H44" s="184">
        <v>1667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9</v>
      </c>
      <c r="D49" s="12">
        <f>C49*42</f>
        <v>378</v>
      </c>
      <c r="F49" s="225" t="s">
        <v>85</v>
      </c>
      <c r="G49" s="172">
        <f>H34+H35+H36+H37+H38+H39+H40+H41+G42+H44+H45+H46</f>
        <v>230536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79.75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40047.75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C9092-8ECF-4A3E-97AD-AF1276CD59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46170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264</v>
      </c>
      <c r="D6" s="13">
        <f t="shared" ref="D6:D28" si="1">C6*L6</f>
        <v>200904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26</v>
      </c>
      <c r="D9" s="13">
        <f t="shared" si="1"/>
        <v>19058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2064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9</v>
      </c>
      <c r="D13" s="48">
        <f t="shared" si="1"/>
        <v>2763</v>
      </c>
      <c r="F13" s="145" t="s">
        <v>36</v>
      </c>
      <c r="G13" s="146"/>
      <c r="H13" s="147">
        <f>D29</f>
        <v>235090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42237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1</v>
      </c>
      <c r="D15" s="31">
        <f t="shared" si="1"/>
        <v>620</v>
      </c>
      <c r="F15" s="155" t="s">
        <v>39</v>
      </c>
      <c r="G15" s="146"/>
      <c r="H15" s="156">
        <f>H13-H14</f>
        <v>192853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59">
        <f>300+648</f>
        <v>948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235090</v>
      </c>
      <c r="F29" s="168" t="s">
        <v>54</v>
      </c>
      <c r="G29" s="169"/>
      <c r="H29" s="172">
        <f>H15-H16-H17-H18-H19-H20-H22-H23-H24+H26+H27</f>
        <v>191905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78</v>
      </c>
      <c r="H34" s="200">
        <f>F34*G34</f>
        <v>78000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00">
        <f>F35*G35</f>
        <v>10000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f>22+324</f>
        <v>346</v>
      </c>
      <c r="D37" s="12">
        <f>C37*111</f>
        <v>38406</v>
      </c>
      <c r="F37" s="12">
        <v>100</v>
      </c>
      <c r="G37" s="39">
        <v>30</v>
      </c>
      <c r="H37" s="200">
        <f t="shared" si="2"/>
        <v>3000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4</v>
      </c>
      <c r="D42" s="12">
        <f>C42*2.25</f>
        <v>9</v>
      </c>
      <c r="F42" s="39" t="s">
        <v>78</v>
      </c>
      <c r="G42" s="200">
        <v>47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5</v>
      </c>
      <c r="D44" s="12">
        <f>C44*120</f>
        <v>600</v>
      </c>
      <c r="F44" s="37" t="s">
        <v>136</v>
      </c>
      <c r="G44" s="76" t="s">
        <v>221</v>
      </c>
      <c r="H44" s="184">
        <v>70468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136</v>
      </c>
      <c r="G45" s="76" t="s">
        <v>222</v>
      </c>
      <c r="H45" s="184">
        <v>28469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190284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109</v>
      </c>
      <c r="G51" s="248">
        <f>G49-H29</f>
        <v>-1621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42237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267A5-F845-4B13-BA14-28029FF3F6E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3456-0AF7-4F3D-B76C-3EF7EE9BF851}">
  <dimension ref="A1:R59"/>
  <sheetViews>
    <sheetView topLeftCell="A25" zoomScaleNormal="100" zoomScaleSheetLayoutView="85" workbookViewId="0">
      <selection activeCell="E24" sqref="E24"/>
    </sheetView>
  </sheetViews>
  <sheetFormatPr defaultRowHeight="15" x14ac:dyDescent="0.25"/>
  <cols>
    <col min="1" max="1" width="2.85546875" bestFit="1" customWidth="1"/>
    <col min="2" max="2" width="12.85546875" customWidth="1"/>
    <col min="3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46171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312</v>
      </c>
      <c r="D6" s="13">
        <f t="shared" ref="D6:D28" si="1">C6*L6</f>
        <v>237432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3905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105</v>
      </c>
      <c r="D9" s="13">
        <f t="shared" si="1"/>
        <v>76965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15</v>
      </c>
      <c r="D10" s="13">
        <f t="shared" si="1"/>
        <v>15480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992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</v>
      </c>
      <c r="D13" s="48">
        <f t="shared" si="1"/>
        <v>307</v>
      </c>
      <c r="F13" s="145" t="s">
        <v>36</v>
      </c>
      <c r="G13" s="146"/>
      <c r="H13" s="147">
        <f>D29</f>
        <v>374801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38931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>
        <v>5</v>
      </c>
      <c r="D15" s="31">
        <f t="shared" si="1"/>
        <v>3100</v>
      </c>
      <c r="F15" s="155" t="s">
        <v>39</v>
      </c>
      <c r="G15" s="146"/>
      <c r="H15" s="156">
        <f>H13-H14</f>
        <v>335870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>
        <f>5+10</f>
        <v>15</v>
      </c>
      <c r="D16" s="48">
        <f t="shared" si="1"/>
        <v>9750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>
        <v>1</v>
      </c>
      <c r="D17" s="48">
        <f t="shared" si="1"/>
        <v>1702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>
        <v>5</v>
      </c>
      <c r="D19" s="48">
        <f t="shared" si="1"/>
        <v>5875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>
        <f>1+1</f>
        <v>2</v>
      </c>
      <c r="D20" s="13">
        <f t="shared" si="1"/>
        <v>3164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83" t="s">
        <v>224</v>
      </c>
      <c r="C21" s="10">
        <f>1+1</f>
        <v>2</v>
      </c>
      <c r="D21" s="48">
        <f t="shared" si="1"/>
        <v>3334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144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225</v>
      </c>
      <c r="C23" s="10">
        <v>1</v>
      </c>
      <c r="D23" s="48">
        <f t="shared" si="1"/>
        <v>1204</v>
      </c>
      <c r="F23" s="77"/>
      <c r="G23" s="79"/>
      <c r="H23" s="235"/>
      <c r="I23" s="236"/>
      <c r="J23" s="236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226</v>
      </c>
      <c r="C24" s="10">
        <v>1</v>
      </c>
      <c r="D24" s="48">
        <f t="shared" si="1"/>
        <v>1277</v>
      </c>
      <c r="F24" s="77"/>
      <c r="G24" s="79"/>
      <c r="H24" s="235"/>
      <c r="I24" s="236"/>
      <c r="J24" s="236"/>
      <c r="L24" s="47">
        <f>1157+120</f>
        <v>1277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0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>
        <v>10</v>
      </c>
      <c r="D28" s="48">
        <f t="shared" si="1"/>
        <v>8110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374801</v>
      </c>
      <c r="F29" s="168" t="s">
        <v>54</v>
      </c>
      <c r="G29" s="169"/>
      <c r="H29" s="172">
        <f>H15-H16-H17-H18-H19-H20-H22-H23-H24+H26+H27+H28</f>
        <v>335870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</v>
      </c>
      <c r="H35" s="200">
        <f t="shared" si="2"/>
        <v>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102</v>
      </c>
      <c r="D37" s="12">
        <f>C37*111</f>
        <v>11322</v>
      </c>
      <c r="F37" s="12">
        <v>100</v>
      </c>
      <c r="G37" s="39">
        <v>56</v>
      </c>
      <c r="H37" s="200">
        <f t="shared" si="2"/>
        <v>5600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252</v>
      </c>
      <c r="D38" s="12">
        <f>C38*84</f>
        <v>21168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25</v>
      </c>
      <c r="D41" s="12">
        <f>C41*84</f>
        <v>2100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>
        <v>38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223</v>
      </c>
      <c r="H44" s="184">
        <v>329895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42</v>
      </c>
      <c r="D45" s="12">
        <f>C45*84</f>
        <v>3528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23</v>
      </c>
      <c r="D46" s="12">
        <f>C46*1.5</f>
        <v>34.5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1</v>
      </c>
      <c r="D49" s="12">
        <f>C49*42</f>
        <v>42</v>
      </c>
      <c r="F49" s="225" t="s">
        <v>85</v>
      </c>
      <c r="G49" s="172">
        <f>H34+H35+H36+H37+H38+H39+H40+H41+G42+H44+H45+H46</f>
        <v>336053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>
        <v>4</v>
      </c>
      <c r="D50" s="12">
        <f>C50*1.5</f>
        <v>6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227</v>
      </c>
      <c r="G51" s="241">
        <f>G49-H29</f>
        <v>183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38931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A5463-C915-4AB0-8841-FC00FE70B797}">
  <dimension ref="A1:R59"/>
  <sheetViews>
    <sheetView topLeftCell="A22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46171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270</v>
      </c>
      <c r="D6" s="13">
        <f t="shared" ref="D6:D28" si="1">C6*L6</f>
        <v>205470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6</v>
      </c>
      <c r="D7" s="13">
        <f t="shared" si="1"/>
        <v>4686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1093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80</v>
      </c>
      <c r="D9" s="13">
        <f t="shared" si="1"/>
        <v>58640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1170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1984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277420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12</v>
      </c>
      <c r="D14" s="31">
        <f t="shared" si="1"/>
        <v>132</v>
      </c>
      <c r="F14" s="150" t="s">
        <v>38</v>
      </c>
      <c r="G14" s="151"/>
      <c r="H14" s="152">
        <f>D54</f>
        <v>34830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242590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v>1314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229</v>
      </c>
      <c r="C21" s="10">
        <v>1</v>
      </c>
      <c r="D21" s="48">
        <f t="shared" si="1"/>
        <v>1175</v>
      </c>
      <c r="F21" s="69" t="s">
        <v>94</v>
      </c>
      <c r="G21" s="82" t="s">
        <v>93</v>
      </c>
      <c r="H21" s="179" t="s">
        <v>13</v>
      </c>
      <c r="I21" s="180"/>
      <c r="J21" s="181"/>
      <c r="L21" s="105">
        <v>1175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277420</v>
      </c>
      <c r="F29" s="168" t="s">
        <v>54</v>
      </c>
      <c r="G29" s="169"/>
      <c r="H29" s="172">
        <f>H15-H16-H17-H18-H19-H20-H22-H23-H24+H26+H27</f>
        <v>241276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68</v>
      </c>
      <c r="H34" s="200">
        <f>F34*G34</f>
        <v>68000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32</v>
      </c>
      <c r="H35" s="200">
        <f>F35*G35</f>
        <v>16000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92</v>
      </c>
      <c r="H37" s="200">
        <f t="shared" si="2"/>
        <v>9200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20</v>
      </c>
      <c r="D42" s="12">
        <f>C42*2.25</f>
        <v>45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147</v>
      </c>
      <c r="G44" s="76" t="s">
        <v>228</v>
      </c>
      <c r="H44" s="184">
        <v>147612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4</v>
      </c>
      <c r="D49" s="12">
        <f>C49*42</f>
        <v>168</v>
      </c>
      <c r="F49" s="225" t="s">
        <v>85</v>
      </c>
      <c r="G49" s="172">
        <f>H34+H35+H36+H37+H38+H39+H40+H41+G42+H44+H45+H46</f>
        <v>241162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>
        <v>10</v>
      </c>
      <c r="D50" s="12">
        <f>C50*1.5</f>
        <v>15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172</v>
      </c>
      <c r="G51" s="248">
        <f>G49-H29</f>
        <v>-114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34830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9854-339D-41BF-8D46-5ACE743E5FF6}">
  <dimension ref="A1:R59"/>
  <sheetViews>
    <sheetView tabSelected="1" topLeftCell="A25" zoomScaleNormal="100" zoomScaleSheetLayoutView="85" workbookViewId="0">
      <selection activeCell="M60" sqref="M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46171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425</v>
      </c>
      <c r="D6" s="13">
        <f t="shared" ref="D6:D28" si="1">C6*L6</f>
        <v>323425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50</v>
      </c>
      <c r="D9" s="13">
        <f t="shared" si="1"/>
        <v>36650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364066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54303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309763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>
        <f>1302+1296</f>
        <v>2598</v>
      </c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>
        <v>50</v>
      </c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364066</v>
      </c>
      <c r="F29" s="168" t="s">
        <v>54</v>
      </c>
      <c r="G29" s="169"/>
      <c r="H29" s="172">
        <f>H15-H16-H17-H18-H19-H20-H22-H23-H24+H26+H27</f>
        <v>307115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</v>
      </c>
      <c r="H34" s="200">
        <f>F34*G34</f>
        <v>28000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00">
        <f>F35*G35</f>
        <v>1500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>
        <v>465</v>
      </c>
      <c r="D37" s="12">
        <f>C37*111</f>
        <v>51615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>
        <v>18</v>
      </c>
      <c r="D38" s="12">
        <f>C38*84</f>
        <v>1512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>
        <v>2</v>
      </c>
      <c r="D42" s="12">
        <f>C42*2.25</f>
        <v>4.5</v>
      </c>
      <c r="F42" s="39" t="s">
        <v>78</v>
      </c>
      <c r="G42" s="200">
        <v>31</v>
      </c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>
        <v>2</v>
      </c>
      <c r="D44" s="12">
        <f>C44*120</f>
        <v>240</v>
      </c>
      <c r="F44" s="37" t="s">
        <v>136</v>
      </c>
      <c r="G44" s="76" t="s">
        <v>230</v>
      </c>
      <c r="H44" s="184">
        <v>140605</v>
      </c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 t="s">
        <v>132</v>
      </c>
      <c r="G45" s="76" t="s">
        <v>231</v>
      </c>
      <c r="H45" s="184">
        <v>140350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>
        <v>3</v>
      </c>
      <c r="D49" s="12">
        <f>C49*42</f>
        <v>126</v>
      </c>
      <c r="F49" s="225" t="s">
        <v>85</v>
      </c>
      <c r="G49" s="172">
        <f>H34+H35+H36+H37+H38+H39+H40+H41+G42+H44+H45+H46</f>
        <v>310686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3571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54303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54E7D-671A-43A3-846C-F8B866E0110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49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8"/>
      <c r="G28" s="61"/>
      <c r="H28" s="194"/>
      <c r="I28" s="195"/>
      <c r="J28" s="19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106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C9CF-ADD9-45EA-BAD8-50C771B668A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46172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99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120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108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9"/>
      <c r="I19" s="159"/>
      <c r="J19" s="15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7"/>
      <c r="G23" s="79"/>
      <c r="H23" s="235"/>
      <c r="I23" s="236"/>
      <c r="J23" s="23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77"/>
      <c r="G24" s="79"/>
      <c r="H24" s="235"/>
      <c r="I24" s="236"/>
      <c r="J24" s="23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75"/>
      <c r="G26" s="65"/>
      <c r="H26" s="184"/>
      <c r="I26" s="184"/>
      <c r="J26" s="18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71"/>
      <c r="G27" s="100"/>
      <c r="H27" s="237"/>
      <c r="I27" s="238"/>
      <c r="J27" s="23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H15-H16-H17-H18-H19-H20-H22-H23-H24+H26+H27+H28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184</v>
      </c>
      <c r="G51" s="241">
        <f>G49-H29</f>
        <v>0</v>
      </c>
      <c r="H51" s="242"/>
      <c r="I51" s="242"/>
      <c r="J51" s="2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44"/>
      <c r="H52" s="245"/>
      <c r="I52" s="245"/>
      <c r="J52" s="2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F44B5-B18A-4B3C-8F21-C15D698F0A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46172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107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100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101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8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8AAB-F56F-48D1-B945-3C4A7EC26F0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7" t="s">
        <v>2</v>
      </c>
      <c r="Q1" s="9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46172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117</v>
      </c>
      <c r="H6" s="126"/>
      <c r="I6" s="126"/>
      <c r="J6" s="12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110</v>
      </c>
      <c r="H8" s="134"/>
      <c r="I8" s="134"/>
      <c r="J8" s="13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124</v>
      </c>
      <c r="H10" s="140"/>
      <c r="I10" s="140"/>
      <c r="J10" s="141"/>
      <c r="K10" s="8"/>
      <c r="L10" s="6">
        <f>R36</f>
        <v>1032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38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122</v>
      </c>
      <c r="C15" s="10"/>
      <c r="D15" s="31">
        <f t="shared" si="1"/>
        <v>0</v>
      </c>
      <c r="F15" s="155" t="s">
        <v>39</v>
      </c>
      <c r="G15" s="146"/>
      <c r="H15" s="156">
        <f>H13-H14</f>
        <v>0</v>
      </c>
      <c r="I15" s="157"/>
      <c r="J15" s="15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9"/>
      <c r="I16" s="159"/>
      <c r="J16" s="15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32"/>
      <c r="I17" s="132"/>
      <c r="J17" s="13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32"/>
      <c r="I18" s="132"/>
      <c r="J18" s="13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4"/>
      <c r="I19" s="254"/>
      <c r="J19" s="25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9"/>
      <c r="I20" s="159"/>
      <c r="J20" s="15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79" t="s">
        <v>13</v>
      </c>
      <c r="I21" s="180"/>
      <c r="J21" s="18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1"/>
      <c r="B22" s="46" t="s">
        <v>103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121</v>
      </c>
      <c r="C23" s="10"/>
      <c r="D23" s="48">
        <f t="shared" si="1"/>
        <v>0</v>
      </c>
      <c r="F23" s="78"/>
      <c r="G23" s="79"/>
      <c r="H23" s="255"/>
      <c r="I23" s="182"/>
      <c r="J23" s="18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128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5" t="s">
        <v>13</v>
      </c>
      <c r="I25" s="186"/>
      <c r="J25" s="18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129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1"/>
      <c r="B27" s="14" t="s">
        <v>130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92</v>
      </c>
      <c r="C28" s="10"/>
      <c r="D28" s="48">
        <f t="shared" si="1"/>
        <v>0</v>
      </c>
      <c r="F28" s="98"/>
      <c r="G28" s="61"/>
      <c r="H28" s="194"/>
      <c r="I28" s="195"/>
      <c r="J28" s="19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54</v>
      </c>
      <c r="G29" s="169"/>
      <c r="H29" s="172">
        <f>H15-H16-H17-H18-H19-H20-H22-H23-H24+H26+H27</f>
        <v>0</v>
      </c>
      <c r="I29" s="173"/>
      <c r="J29" s="17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07" t="s">
        <v>57</v>
      </c>
      <c r="B32" s="108"/>
      <c r="C32" s="108"/>
      <c r="D32" s="109"/>
      <c r="F32" s="197" t="s">
        <v>58</v>
      </c>
      <c r="G32" s="198"/>
      <c r="H32" s="198"/>
      <c r="I32" s="198"/>
      <c r="J32" s="19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9" t="s">
        <v>62</v>
      </c>
      <c r="H33" s="197" t="s">
        <v>13</v>
      </c>
      <c r="I33" s="198"/>
      <c r="J33" s="19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1"/>
      <c r="B35" s="27" t="s">
        <v>67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69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1"/>
      <c r="B38" s="29" t="s">
        <v>67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2"/>
      <c r="B39" s="29" t="s">
        <v>69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1"/>
      <c r="B41" s="27" t="s">
        <v>67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2"/>
      <c r="B42" s="27" t="s">
        <v>69</v>
      </c>
      <c r="C42" s="11"/>
      <c r="D42" s="12">
        <f>C42*2.25</f>
        <v>0</v>
      </c>
      <c r="F42" s="39" t="s">
        <v>78</v>
      </c>
      <c r="G42" s="200"/>
      <c r="H42" s="201"/>
      <c r="I42" s="201"/>
      <c r="J42" s="20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3" t="s">
        <v>80</v>
      </c>
      <c r="C43" s="11"/>
      <c r="D43" s="12"/>
      <c r="F43" s="59" t="s">
        <v>81</v>
      </c>
      <c r="G43" s="100" t="s">
        <v>82</v>
      </c>
      <c r="H43" s="206" t="s">
        <v>13</v>
      </c>
      <c r="I43" s="207"/>
      <c r="J43" s="20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4"/>
      <c r="B44" s="27" t="s">
        <v>65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4"/>
      <c r="B45" s="27" t="s">
        <v>67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69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65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67</v>
      </c>
      <c r="C49" s="33"/>
      <c r="D49" s="12">
        <f>C49*42</f>
        <v>0</v>
      </c>
      <c r="F49" s="225" t="s">
        <v>85</v>
      </c>
      <c r="G49" s="172">
        <f>H34+H35+H36+H37+H38+H39+H40+H41+G42+H44+H45+H46</f>
        <v>0</v>
      </c>
      <c r="H49" s="173"/>
      <c r="I49" s="173"/>
      <c r="J49" s="17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69</v>
      </c>
      <c r="C50" s="11"/>
      <c r="D50" s="12">
        <f>C50*1.5</f>
        <v>0</v>
      </c>
      <c r="F50" s="226"/>
      <c r="G50" s="175"/>
      <c r="H50" s="176"/>
      <c r="I50" s="176"/>
      <c r="J50" s="177"/>
      <c r="O50" t="s">
        <v>114</v>
      </c>
      <c r="P50" s="4">
        <v>1204</v>
      </c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115</v>
      </c>
      <c r="G51" s="229">
        <f>G49-H29</f>
        <v>0</v>
      </c>
      <c r="H51" s="230"/>
      <c r="I51" s="230"/>
      <c r="J51" s="2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68" t="s">
        <v>89</v>
      </c>
      <c r="B54" s="213"/>
      <c r="C54" s="214"/>
      <c r="D54" s="2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90</v>
      </c>
      <c r="B58" s="220"/>
      <c r="C58" s="220"/>
      <c r="D58" s="221"/>
      <c r="F58" s="219" t="s">
        <v>91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 ORG</vt:lpstr>
      <vt:lpstr>05,19 R1 NEW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R1 Collection</vt:lpstr>
      <vt:lpstr>05,22 R2</vt:lpstr>
      <vt:lpstr>05,22 R3 NO TRIP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(26)</vt:lpstr>
      <vt:lpstr>05,26 R1</vt:lpstr>
      <vt:lpstr>05,26 R2</vt:lpstr>
      <vt:lpstr>05,26 R3</vt:lpstr>
      <vt:lpstr>(27)</vt:lpstr>
      <vt:lpstr>05,27 R1</vt:lpstr>
      <vt:lpstr>05,27 R2</vt:lpstr>
      <vt:lpstr>05,27 R3</vt:lpstr>
      <vt:lpstr>(28)</vt:lpstr>
      <vt:lpstr>05,28 R1</vt:lpstr>
      <vt:lpstr>05,28 R2</vt:lpstr>
      <vt:lpstr>05,28 R3</vt:lpstr>
      <vt:lpstr>(29)</vt:lpstr>
      <vt:lpstr>05,29 R1</vt:lpstr>
      <vt:lpstr>05,29 R2</vt:lpstr>
      <vt:lpstr>05,29 R3</vt:lpstr>
      <vt:lpstr>(30)</vt:lpstr>
      <vt:lpstr>05,30 R1</vt:lpstr>
      <vt:lpstr>05,30 R2</vt:lpstr>
      <vt:lpstr>05,30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'(26)'!Print_Area</vt:lpstr>
      <vt:lpstr>'(27)'!Print_Area</vt:lpstr>
      <vt:lpstr>'(28)'!Print_Area</vt:lpstr>
      <vt:lpstr>'(29)'!Print_Area</vt:lpstr>
      <vt:lpstr>'(30)'!Print_Area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 COLLECTION'!Print_Area</vt:lpstr>
      <vt:lpstr>'05,19 R1 NEW'!Print_Area</vt:lpstr>
      <vt:lpstr>'05,19 R1 ORG'!Print_Area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R1 Collection'!Print_Area</vt:lpstr>
      <vt:lpstr>'05,22 R2'!Print_Area</vt:lpstr>
      <vt:lpstr>'05,22 R3 NO TRIP'!Print_Area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  <vt:lpstr>'05,26 R1'!Print_Area</vt:lpstr>
      <vt:lpstr>'05,26 R2'!Print_Area</vt:lpstr>
      <vt:lpstr>'05,26 R3'!Print_Area</vt:lpstr>
      <vt:lpstr>'05,27 R1'!Print_Area</vt:lpstr>
      <vt:lpstr>'05,27 R2'!Print_Area</vt:lpstr>
      <vt:lpstr>'05,27 R3'!Print_Area</vt:lpstr>
      <vt:lpstr>'05,28 R1'!Print_Area</vt:lpstr>
      <vt:lpstr>'05,28 R2'!Print_Area</vt:lpstr>
      <vt:lpstr>'05,28 R3'!Print_Area</vt:lpstr>
      <vt:lpstr>'05,29 R1'!Print_Area</vt:lpstr>
      <vt:lpstr>'05,29 R2'!Print_Area</vt:lpstr>
      <vt:lpstr>'05,29 R3'!Print_Area</vt:lpstr>
      <vt:lpstr>'05,30 R1'!Print_Area</vt:lpstr>
      <vt:lpstr>'05,30 R2'!Print_Area</vt:lpstr>
      <vt:lpstr>'05,30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2026-05-30T00:33:42Z</cp:lastPrinted>
  <dcterms:created xsi:type="dcterms:W3CDTF">2024-09-01T23:36:50Z</dcterms:created>
  <dcterms:modified xsi:type="dcterms:W3CDTF">2026-05-30T00:54:52Z</dcterms:modified>
</cp:coreProperties>
</file>