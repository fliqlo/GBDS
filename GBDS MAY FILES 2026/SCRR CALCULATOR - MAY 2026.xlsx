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E86C2EE1-2F36-4785-9227-ADB2AFA506C5}" xr6:coauthVersionLast="45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(MAY 2026)" sheetId="814" r:id="rId1"/>
    <sheet name="(01)" sheetId="2026" r:id="rId2"/>
    <sheet name="05,01 R1" sheetId="2027" r:id="rId3"/>
    <sheet name="05,01 R2" sheetId="2028" r:id="rId4"/>
    <sheet name="05,01 R3" sheetId="2029" r:id="rId5"/>
    <sheet name="(4)" sheetId="2030" r:id="rId6"/>
    <sheet name="05,04 R1" sheetId="2031" r:id="rId7"/>
    <sheet name="05,04 R2" sheetId="2032" r:id="rId8"/>
    <sheet name="05,04 R3" sheetId="2033" r:id="rId9"/>
    <sheet name="(5)" sheetId="2034" r:id="rId10"/>
    <sheet name="05,05 R1" sheetId="2035" r:id="rId11"/>
    <sheet name="05,05 R2" sheetId="2036" r:id="rId12"/>
    <sheet name="05,05 R3" sheetId="2037" r:id="rId13"/>
    <sheet name="(6)" sheetId="2038" r:id="rId14"/>
    <sheet name="05,06 R1" sheetId="2039" r:id="rId15"/>
    <sheet name="05,06 R2" sheetId="2040" r:id="rId16"/>
    <sheet name="05,06 R3" sheetId="2041" r:id="rId17"/>
    <sheet name="(7)" sheetId="2042" r:id="rId18"/>
    <sheet name="05,07 R1" sheetId="2043" r:id="rId19"/>
    <sheet name="05,07 R2" sheetId="2044" r:id="rId20"/>
    <sheet name="05,07 R3" sheetId="2045" r:id="rId21"/>
    <sheet name="(8)" sheetId="2046" r:id="rId22"/>
    <sheet name="05,08 R1" sheetId="2047" r:id="rId23"/>
    <sheet name="05,08 R2" sheetId="2048" r:id="rId24"/>
    <sheet name="05,08 R3" sheetId="2049" r:id="rId25"/>
    <sheet name="(11)" sheetId="2050" r:id="rId26"/>
    <sheet name="05,11 R1" sheetId="2051" r:id="rId27"/>
    <sheet name="05,11 R2" sheetId="2052" r:id="rId28"/>
    <sheet name="05,11 R3" sheetId="2053" r:id="rId29"/>
  </sheets>
  <definedNames>
    <definedName name="_xlnm.Print_Area" localSheetId="1">'(01)'!$A$1:$J$60</definedName>
    <definedName name="_xlnm.Print_Area" localSheetId="25">'(11)'!$A$1:$J$60</definedName>
    <definedName name="_xlnm.Print_Area" localSheetId="5">'(4)'!$A$1:$J$60</definedName>
    <definedName name="_xlnm.Print_Area" localSheetId="9">'(5)'!$A$1:$J$60</definedName>
    <definedName name="_xlnm.Print_Area" localSheetId="13">'(6)'!$A$1:$J$60</definedName>
    <definedName name="_xlnm.Print_Area" localSheetId="17">'(7)'!$A$1:$J$60</definedName>
    <definedName name="_xlnm.Print_Area" localSheetId="21">'(8)'!$A$1:$J$60</definedName>
    <definedName name="_xlnm.Print_Area" localSheetId="2">'05,01 R1'!$A$1:$J$60</definedName>
    <definedName name="_xlnm.Print_Area" localSheetId="3">'05,01 R2'!$A$1:$J$60</definedName>
    <definedName name="_xlnm.Print_Area" localSheetId="4">'05,01 R3'!$A$1:$J$60</definedName>
    <definedName name="_xlnm.Print_Area" localSheetId="6">'05,04 R1'!$A$1:$J$60</definedName>
    <definedName name="_xlnm.Print_Area" localSheetId="7">'05,04 R2'!$A$1:$J$60</definedName>
    <definedName name="_xlnm.Print_Area" localSheetId="8">'05,04 R3'!$A$1:$J$60</definedName>
    <definedName name="_xlnm.Print_Area" localSheetId="10">'05,05 R1'!$A$1:$J$60</definedName>
    <definedName name="_xlnm.Print_Area" localSheetId="11">'05,05 R2'!$A$1:$J$60</definedName>
    <definedName name="_xlnm.Print_Area" localSheetId="12">'05,05 R3'!$A$1:$J$60</definedName>
    <definedName name="_xlnm.Print_Area" localSheetId="14">'05,06 R1'!$A$1:$J$60</definedName>
    <definedName name="_xlnm.Print_Area" localSheetId="15">'05,06 R2'!$A$1:$J$60</definedName>
    <definedName name="_xlnm.Print_Area" localSheetId="16">'05,06 R3'!$A$1:$J$60</definedName>
    <definedName name="_xlnm.Print_Area" localSheetId="18">'05,07 R1'!$A$1:$J$60</definedName>
    <definedName name="_xlnm.Print_Area" localSheetId="19">'05,07 R2'!$A$1:$J$60</definedName>
    <definedName name="_xlnm.Print_Area" localSheetId="20">'05,07 R3'!$A$1:$J$60</definedName>
    <definedName name="_xlnm.Print_Area" localSheetId="22">'05,08 R1'!$A$1:$J$60</definedName>
    <definedName name="_xlnm.Print_Area" localSheetId="23">'05,08 R2'!$A$1:$J$60</definedName>
    <definedName name="_xlnm.Print_Area" localSheetId="24">'05,08 R3'!$A$1:$J$60</definedName>
    <definedName name="_xlnm.Print_Area" localSheetId="26">'05,11 R1'!$A$1:$J$60</definedName>
    <definedName name="_xlnm.Print_Area" localSheetId="27">'05,11 R2'!$A$1:$J$60</definedName>
    <definedName name="_xlnm.Print_Area" localSheetId="28">'05,11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2029" l="1"/>
  <c r="C16" i="2029"/>
  <c r="R52" i="2053" l="1"/>
  <c r="R51" i="2053"/>
  <c r="D50" i="2053"/>
  <c r="R49" i="2053"/>
  <c r="D49" i="2053"/>
  <c r="R48" i="2053"/>
  <c r="D48" i="2053"/>
  <c r="D46" i="2053"/>
  <c r="D45" i="2053"/>
  <c r="R44" i="2053"/>
  <c r="L28" i="2053" s="1"/>
  <c r="D28" i="2053" s="1"/>
  <c r="D44" i="2053"/>
  <c r="R42" i="2053"/>
  <c r="D42" i="2053"/>
  <c r="R41" i="2053"/>
  <c r="D41" i="2053"/>
  <c r="R40" i="2053"/>
  <c r="D40" i="2053"/>
  <c r="R39" i="2053"/>
  <c r="H39" i="2053"/>
  <c r="D39" i="2053"/>
  <c r="R38" i="2053"/>
  <c r="L9" i="2053" s="1"/>
  <c r="D9" i="2053" s="1"/>
  <c r="H38" i="2053"/>
  <c r="D38" i="2053"/>
  <c r="R37" i="2053"/>
  <c r="H37" i="2053"/>
  <c r="D37" i="2053"/>
  <c r="R36" i="2053"/>
  <c r="L10" i="2053" s="1"/>
  <c r="D10" i="2053" s="1"/>
  <c r="H36" i="2053"/>
  <c r="D36" i="2053"/>
  <c r="R35" i="2053"/>
  <c r="H35" i="2053"/>
  <c r="D35" i="2053"/>
  <c r="R34" i="2053"/>
  <c r="H34" i="2053"/>
  <c r="G49" i="2053" s="1"/>
  <c r="D34" i="2053"/>
  <c r="D54" i="2053" s="1"/>
  <c r="H14" i="2053" s="1"/>
  <c r="R33" i="2053"/>
  <c r="R32" i="2053"/>
  <c r="L11" i="2053" s="1"/>
  <c r="D11" i="2053" s="1"/>
  <c r="R31" i="2053"/>
  <c r="R30" i="2053"/>
  <c r="R29" i="2053"/>
  <c r="R28" i="2053"/>
  <c r="R27" i="2053"/>
  <c r="L27" i="2053"/>
  <c r="D27" i="2053" s="1"/>
  <c r="R26" i="2053"/>
  <c r="L26" i="2053"/>
  <c r="D26" i="2053"/>
  <c r="R25" i="2053"/>
  <c r="L25" i="2053"/>
  <c r="D25" i="2053" s="1"/>
  <c r="R24" i="2053"/>
  <c r="L24" i="2053"/>
  <c r="D24" i="2053"/>
  <c r="R23" i="2053"/>
  <c r="L23" i="2053"/>
  <c r="D23" i="2053" s="1"/>
  <c r="R22" i="2053"/>
  <c r="L20" i="2053" s="1"/>
  <c r="D20" i="2053" s="1"/>
  <c r="L22" i="2053"/>
  <c r="D22" i="2053" s="1"/>
  <c r="R21" i="2053"/>
  <c r="L21" i="2053"/>
  <c r="D21" i="2053"/>
  <c r="R20" i="2053"/>
  <c r="R19" i="2053"/>
  <c r="L19" i="2053"/>
  <c r="D19" i="2053" s="1"/>
  <c r="R18" i="2053"/>
  <c r="L18" i="2053"/>
  <c r="D18" i="2053"/>
  <c r="R17" i="2053"/>
  <c r="L17" i="2053"/>
  <c r="D17" i="2053" s="1"/>
  <c r="R16" i="2053"/>
  <c r="R15" i="2053"/>
  <c r="L15" i="2053"/>
  <c r="D15" i="2053" s="1"/>
  <c r="R14" i="2053"/>
  <c r="D14" i="2053"/>
  <c r="R13" i="2053"/>
  <c r="D13" i="2053"/>
  <c r="R12" i="2053"/>
  <c r="L12" i="2053"/>
  <c r="D12" i="2053" s="1"/>
  <c r="R11" i="2053"/>
  <c r="L8" i="2053"/>
  <c r="D8" i="2053"/>
  <c r="L7" i="2053"/>
  <c r="D7" i="2053"/>
  <c r="R6" i="2053"/>
  <c r="L16" i="2053" s="1"/>
  <c r="D16" i="2053" s="1"/>
  <c r="L6" i="2053"/>
  <c r="D6" i="2053" s="1"/>
  <c r="R5" i="2053"/>
  <c r="R4" i="2053"/>
  <c r="R52" i="2052"/>
  <c r="R51" i="2052"/>
  <c r="D50" i="2052"/>
  <c r="R49" i="2052"/>
  <c r="D49" i="2052"/>
  <c r="R48" i="2052"/>
  <c r="D48" i="2052"/>
  <c r="D46" i="2052"/>
  <c r="D45" i="2052"/>
  <c r="R44" i="2052"/>
  <c r="L28" i="2052" s="1"/>
  <c r="D28" i="2052" s="1"/>
  <c r="D44" i="2052"/>
  <c r="R42" i="2052"/>
  <c r="D42" i="2052"/>
  <c r="R41" i="2052"/>
  <c r="D41" i="2052"/>
  <c r="R40" i="2052"/>
  <c r="L8" i="2052" s="1"/>
  <c r="D8" i="2052" s="1"/>
  <c r="D40" i="2052"/>
  <c r="R39" i="2052"/>
  <c r="H39" i="2052"/>
  <c r="D39" i="2052"/>
  <c r="R38" i="2052"/>
  <c r="H38" i="2052"/>
  <c r="D38" i="2052"/>
  <c r="R37" i="2052"/>
  <c r="H37" i="2052"/>
  <c r="D37" i="2052"/>
  <c r="R36" i="2052"/>
  <c r="H36" i="2052"/>
  <c r="D36" i="2052"/>
  <c r="R35" i="2052"/>
  <c r="H35" i="2052"/>
  <c r="D35" i="2052"/>
  <c r="R34" i="2052"/>
  <c r="L12" i="2052" s="1"/>
  <c r="D12" i="2052" s="1"/>
  <c r="H34" i="2052"/>
  <c r="G49" i="2052" s="1"/>
  <c r="D34" i="2052"/>
  <c r="D54" i="2052" s="1"/>
  <c r="H14" i="2052" s="1"/>
  <c r="R33" i="2052"/>
  <c r="L19" i="2052" s="1"/>
  <c r="D19" i="2052" s="1"/>
  <c r="R32" i="2052"/>
  <c r="L11" i="2052" s="1"/>
  <c r="D11" i="2052" s="1"/>
  <c r="R31" i="2052"/>
  <c r="R30" i="2052"/>
  <c r="R29" i="2052"/>
  <c r="R28" i="2052"/>
  <c r="R27" i="2052"/>
  <c r="L27" i="2052"/>
  <c r="D27" i="2052"/>
  <c r="R26" i="2052"/>
  <c r="L26" i="2052"/>
  <c r="D26" i="2052"/>
  <c r="R25" i="2052"/>
  <c r="L25" i="2052"/>
  <c r="D25" i="2052" s="1"/>
  <c r="R24" i="2052"/>
  <c r="L24" i="2052"/>
  <c r="D24" i="2052"/>
  <c r="R23" i="2052"/>
  <c r="L23" i="2052"/>
  <c r="D23" i="2052" s="1"/>
  <c r="R22" i="2052"/>
  <c r="L20" i="2052" s="1"/>
  <c r="D20" i="2052" s="1"/>
  <c r="L22" i="2052"/>
  <c r="D22" i="2052" s="1"/>
  <c r="R21" i="2052"/>
  <c r="L21" i="2052"/>
  <c r="D21" i="2052"/>
  <c r="R20" i="2052"/>
  <c r="R19" i="2052"/>
  <c r="R18" i="2052"/>
  <c r="L18" i="2052"/>
  <c r="D18" i="2052" s="1"/>
  <c r="R17" i="2052"/>
  <c r="L17" i="2052"/>
  <c r="D17" i="2052" s="1"/>
  <c r="R16" i="2052"/>
  <c r="R15" i="2052"/>
  <c r="L15" i="2052"/>
  <c r="D15" i="2052" s="1"/>
  <c r="R14" i="2052"/>
  <c r="D14" i="2052"/>
  <c r="R13" i="2052"/>
  <c r="D13" i="2052"/>
  <c r="R12" i="2052"/>
  <c r="R11" i="2052"/>
  <c r="L10" i="2052"/>
  <c r="D10" i="2052"/>
  <c r="L9" i="2052"/>
  <c r="D9" i="2052"/>
  <c r="L7" i="2052"/>
  <c r="D7" i="2052"/>
  <c r="R6" i="2052"/>
  <c r="L16" i="2052" s="1"/>
  <c r="D16" i="2052" s="1"/>
  <c r="L6" i="2052"/>
  <c r="D6" i="2052" s="1"/>
  <c r="R5" i="2052"/>
  <c r="R4" i="2052"/>
  <c r="R52" i="2051"/>
  <c r="R51" i="2051"/>
  <c r="D50" i="2051"/>
  <c r="R49" i="2051"/>
  <c r="D49" i="2051"/>
  <c r="R48" i="2051"/>
  <c r="D48" i="2051"/>
  <c r="D46" i="2051"/>
  <c r="D45" i="2051"/>
  <c r="R44" i="2051"/>
  <c r="L28" i="2051" s="1"/>
  <c r="D28" i="2051" s="1"/>
  <c r="D44" i="2051"/>
  <c r="R42" i="2051"/>
  <c r="D42" i="2051"/>
  <c r="R41" i="2051"/>
  <c r="D41" i="2051"/>
  <c r="R40" i="2051"/>
  <c r="D40" i="2051"/>
  <c r="R39" i="2051"/>
  <c r="H39" i="2051"/>
  <c r="D39" i="2051"/>
  <c r="R38" i="2051"/>
  <c r="H38" i="2051"/>
  <c r="D38" i="2051"/>
  <c r="R37" i="2051"/>
  <c r="H37" i="2051"/>
  <c r="D37" i="2051"/>
  <c r="R36" i="2051"/>
  <c r="H36" i="2051"/>
  <c r="D36" i="2051"/>
  <c r="R35" i="2051"/>
  <c r="L18" i="2051" s="1"/>
  <c r="D18" i="2051" s="1"/>
  <c r="H35" i="2051"/>
  <c r="D35" i="2051"/>
  <c r="D54" i="2051" s="1"/>
  <c r="H14" i="2051" s="1"/>
  <c r="R34" i="2051"/>
  <c r="H34" i="2051"/>
  <c r="G49" i="2051" s="1"/>
  <c r="D34" i="2051"/>
  <c r="R33" i="2051"/>
  <c r="R32" i="2051"/>
  <c r="R31" i="2051"/>
  <c r="R30" i="2051"/>
  <c r="R29" i="2051"/>
  <c r="R28" i="2051"/>
  <c r="R27" i="2051"/>
  <c r="L27" i="2051"/>
  <c r="D27" i="2051"/>
  <c r="R26" i="2051"/>
  <c r="L26" i="2051"/>
  <c r="D26" i="2051"/>
  <c r="R25" i="2051"/>
  <c r="L25" i="2051"/>
  <c r="D25" i="2051"/>
  <c r="R24" i="2051"/>
  <c r="L24" i="2051"/>
  <c r="D24" i="2051" s="1"/>
  <c r="R23" i="2051"/>
  <c r="L23" i="2051"/>
  <c r="D23" i="2051" s="1"/>
  <c r="R22" i="2051"/>
  <c r="L20" i="2051" s="1"/>
  <c r="D20" i="2051" s="1"/>
  <c r="L22" i="2051"/>
  <c r="D22" i="2051" s="1"/>
  <c r="R21" i="2051"/>
  <c r="L21" i="2051"/>
  <c r="D21" i="2051" s="1"/>
  <c r="R20" i="2051"/>
  <c r="R19" i="2051"/>
  <c r="L19" i="2051"/>
  <c r="D19" i="2051"/>
  <c r="R18" i="2051"/>
  <c r="R17" i="2051"/>
  <c r="L17" i="2051"/>
  <c r="D17" i="2051" s="1"/>
  <c r="R16" i="2051"/>
  <c r="L16" i="2051"/>
  <c r="D16" i="2051" s="1"/>
  <c r="R15" i="2051"/>
  <c r="R14" i="2051"/>
  <c r="D14" i="2051"/>
  <c r="R13" i="2051"/>
  <c r="D13" i="2051"/>
  <c r="R12" i="2051"/>
  <c r="L12" i="2051"/>
  <c r="D12" i="2051" s="1"/>
  <c r="R11" i="2051"/>
  <c r="L11" i="2051"/>
  <c r="D11" i="2051" s="1"/>
  <c r="L10" i="2051"/>
  <c r="D10" i="2051"/>
  <c r="L9" i="2051"/>
  <c r="D9" i="2051"/>
  <c r="L8" i="2051"/>
  <c r="D8" i="2051" s="1"/>
  <c r="L7" i="2051"/>
  <c r="D7" i="2051" s="1"/>
  <c r="R6" i="2051"/>
  <c r="L6" i="2051"/>
  <c r="D6" i="2051" s="1"/>
  <c r="D29" i="2051" s="1"/>
  <c r="H13" i="2051" s="1"/>
  <c r="H15" i="2051" s="1"/>
  <c r="H29" i="2051" s="1"/>
  <c r="R5" i="2051"/>
  <c r="R4" i="2051"/>
  <c r="L15" i="2051" s="1"/>
  <c r="D15" i="2051" s="1"/>
  <c r="R52" i="2050"/>
  <c r="R51" i="2050"/>
  <c r="D50" i="2050"/>
  <c r="R49" i="2050"/>
  <c r="G49" i="2050"/>
  <c r="D49" i="2050"/>
  <c r="R48" i="2050"/>
  <c r="D48" i="2050"/>
  <c r="D46" i="2050"/>
  <c r="D45" i="2050"/>
  <c r="D44" i="2050"/>
  <c r="R42" i="2050"/>
  <c r="D42" i="2050"/>
  <c r="R41" i="2050"/>
  <c r="L7" i="2050" s="1"/>
  <c r="D7" i="2050" s="1"/>
  <c r="D41" i="2050"/>
  <c r="R40" i="2050"/>
  <c r="D40" i="2050"/>
  <c r="R39" i="2050"/>
  <c r="D39" i="2050"/>
  <c r="R38" i="2050"/>
  <c r="D38" i="2050"/>
  <c r="D54" i="2050" s="1"/>
  <c r="H14" i="2050" s="1"/>
  <c r="R37" i="2050"/>
  <c r="D37" i="2050"/>
  <c r="R36" i="2050"/>
  <c r="L10" i="2050" s="1"/>
  <c r="D10" i="2050" s="1"/>
  <c r="D36" i="2050"/>
  <c r="R35" i="2050"/>
  <c r="L19" i="2050" s="1"/>
  <c r="D19" i="2050" s="1"/>
  <c r="D35" i="2050"/>
  <c r="R34" i="2050"/>
  <c r="D34" i="2050"/>
  <c r="R33" i="2050"/>
  <c r="R32" i="2050"/>
  <c r="R31" i="2050"/>
  <c r="R30" i="2050"/>
  <c r="R29" i="2050"/>
  <c r="R28" i="2050"/>
  <c r="L16" i="2050" s="1"/>
  <c r="D16" i="2050" s="1"/>
  <c r="D28" i="2050"/>
  <c r="R27" i="2050"/>
  <c r="D27" i="2050"/>
  <c r="R26" i="2050"/>
  <c r="L26" i="2050"/>
  <c r="D26" i="2050" s="1"/>
  <c r="R25" i="2050"/>
  <c r="L25" i="2050"/>
  <c r="D25" i="2050"/>
  <c r="R24" i="2050"/>
  <c r="D24" i="2050"/>
  <c r="R23" i="2050"/>
  <c r="L23" i="2050"/>
  <c r="D23" i="2050" s="1"/>
  <c r="R22" i="2050"/>
  <c r="L22" i="2050"/>
  <c r="D22" i="2050" s="1"/>
  <c r="R21" i="2050"/>
  <c r="D21" i="2050"/>
  <c r="R20" i="2050"/>
  <c r="L20" i="2050"/>
  <c r="D20" i="2050" s="1"/>
  <c r="R19" i="2050"/>
  <c r="R18" i="2050"/>
  <c r="D18" i="2050"/>
  <c r="R17" i="2050"/>
  <c r="D17" i="2050"/>
  <c r="R16" i="2050"/>
  <c r="S15" i="2050"/>
  <c r="R15" i="2050"/>
  <c r="D15" i="2050"/>
  <c r="S14" i="2050"/>
  <c r="R14" i="2050"/>
  <c r="D14" i="2050"/>
  <c r="R13" i="2050"/>
  <c r="D13" i="2050"/>
  <c r="R12" i="2050"/>
  <c r="L12" i="2050"/>
  <c r="D12" i="2050"/>
  <c r="R11" i="2050"/>
  <c r="L11" i="2050"/>
  <c r="D11" i="2050" s="1"/>
  <c r="L9" i="2050"/>
  <c r="D9" i="2050"/>
  <c r="L8" i="2050"/>
  <c r="D8" i="2050" s="1"/>
  <c r="R6" i="2050"/>
  <c r="L6" i="2050"/>
  <c r="D6" i="2050" s="1"/>
  <c r="R5" i="2050"/>
  <c r="R4" i="2050"/>
  <c r="R52" i="2049"/>
  <c r="R51" i="2049"/>
  <c r="D50" i="2049"/>
  <c r="R49" i="2049"/>
  <c r="D49" i="2049"/>
  <c r="R48" i="2049"/>
  <c r="D48" i="2049"/>
  <c r="D46" i="2049"/>
  <c r="D45" i="2049"/>
  <c r="R44" i="2049"/>
  <c r="D44" i="2049"/>
  <c r="R42" i="2049"/>
  <c r="L6" i="2049" s="1"/>
  <c r="D6" i="2049" s="1"/>
  <c r="D42" i="2049"/>
  <c r="R41" i="2049"/>
  <c r="D41" i="2049"/>
  <c r="R40" i="2049"/>
  <c r="D40" i="2049"/>
  <c r="R39" i="2049"/>
  <c r="H39" i="2049"/>
  <c r="D39" i="2049"/>
  <c r="R38" i="2049"/>
  <c r="L9" i="2049" s="1"/>
  <c r="D9" i="2049" s="1"/>
  <c r="H38" i="2049"/>
  <c r="D38" i="2049"/>
  <c r="R37" i="2049"/>
  <c r="H37" i="2049"/>
  <c r="D37" i="2049"/>
  <c r="R36" i="2049"/>
  <c r="L10" i="2049" s="1"/>
  <c r="D10" i="2049" s="1"/>
  <c r="H36" i="2049"/>
  <c r="D36" i="2049"/>
  <c r="R35" i="2049"/>
  <c r="H35" i="2049"/>
  <c r="D35" i="2049"/>
  <c r="R34" i="2049"/>
  <c r="H34" i="2049"/>
  <c r="G49" i="2049" s="1"/>
  <c r="D34" i="2049"/>
  <c r="D54" i="2049" s="1"/>
  <c r="H14" i="2049" s="1"/>
  <c r="R33" i="2049"/>
  <c r="R32" i="2049"/>
  <c r="L11" i="2049" s="1"/>
  <c r="D11" i="2049" s="1"/>
  <c r="R31" i="2049"/>
  <c r="R30" i="2049"/>
  <c r="R29" i="2049"/>
  <c r="R28" i="2049"/>
  <c r="L28" i="2049"/>
  <c r="D28" i="2049"/>
  <c r="R27" i="2049"/>
  <c r="L27" i="2049"/>
  <c r="D27" i="2049" s="1"/>
  <c r="R26" i="2049"/>
  <c r="L26" i="2049"/>
  <c r="D26" i="2049" s="1"/>
  <c r="R25" i="2049"/>
  <c r="L25" i="2049"/>
  <c r="D25" i="2049"/>
  <c r="R24" i="2049"/>
  <c r="L24" i="2049"/>
  <c r="D24" i="2049"/>
  <c r="R23" i="2049"/>
  <c r="L23" i="2049"/>
  <c r="D23" i="2049"/>
  <c r="R22" i="2049"/>
  <c r="L20" i="2049" s="1"/>
  <c r="D20" i="2049" s="1"/>
  <c r="L22" i="2049"/>
  <c r="D22" i="2049"/>
  <c r="R21" i="2049"/>
  <c r="L21" i="2049"/>
  <c r="D21" i="2049"/>
  <c r="R20" i="2049"/>
  <c r="R19" i="2049"/>
  <c r="L19" i="2049"/>
  <c r="D19" i="2049"/>
  <c r="R18" i="2049"/>
  <c r="L18" i="2049"/>
  <c r="D18" i="2049" s="1"/>
  <c r="R17" i="2049"/>
  <c r="L17" i="2049"/>
  <c r="D17" i="2049" s="1"/>
  <c r="R16" i="2049"/>
  <c r="R15" i="2049"/>
  <c r="L15" i="2049"/>
  <c r="D15" i="2049"/>
  <c r="R14" i="2049"/>
  <c r="D14" i="2049"/>
  <c r="R13" i="2049"/>
  <c r="D13" i="2049"/>
  <c r="R12" i="2049"/>
  <c r="L12" i="2049"/>
  <c r="D12" i="2049" s="1"/>
  <c r="R11" i="2049"/>
  <c r="L8" i="2049"/>
  <c r="D8" i="2049" s="1"/>
  <c r="L7" i="2049"/>
  <c r="D7" i="2049"/>
  <c r="R6" i="2049"/>
  <c r="L16" i="2049" s="1"/>
  <c r="D16" i="2049" s="1"/>
  <c r="R5" i="2049"/>
  <c r="R4" i="2049"/>
  <c r="R52" i="2048"/>
  <c r="R51" i="2048"/>
  <c r="D50" i="2048"/>
  <c r="R49" i="2048"/>
  <c r="D49" i="2048"/>
  <c r="R48" i="2048"/>
  <c r="D48" i="2048"/>
  <c r="D46" i="2048"/>
  <c r="D45" i="2048"/>
  <c r="R44" i="2048"/>
  <c r="D44" i="2048"/>
  <c r="R42" i="2048"/>
  <c r="L6" i="2048" s="1"/>
  <c r="D6" i="2048" s="1"/>
  <c r="D42" i="2048"/>
  <c r="R41" i="2048"/>
  <c r="D41" i="2048"/>
  <c r="R40" i="2048"/>
  <c r="L8" i="2048" s="1"/>
  <c r="D8" i="2048" s="1"/>
  <c r="D40" i="2048"/>
  <c r="R39" i="2048"/>
  <c r="H39" i="2048"/>
  <c r="D39" i="2048"/>
  <c r="R38" i="2048"/>
  <c r="H38" i="2048"/>
  <c r="D38" i="2048"/>
  <c r="R37" i="2048"/>
  <c r="H37" i="2048"/>
  <c r="D37" i="2048"/>
  <c r="R36" i="2048"/>
  <c r="L10" i="2048" s="1"/>
  <c r="D10" i="2048" s="1"/>
  <c r="H36" i="2048"/>
  <c r="G49" i="2048" s="1"/>
  <c r="D36" i="2048"/>
  <c r="R35" i="2048"/>
  <c r="H35" i="2048"/>
  <c r="D35" i="2048"/>
  <c r="R34" i="2048"/>
  <c r="H34" i="2048"/>
  <c r="D34" i="2048"/>
  <c r="D54" i="2048" s="1"/>
  <c r="H14" i="2048" s="1"/>
  <c r="R33" i="2048"/>
  <c r="L19" i="2048" s="1"/>
  <c r="D19" i="2048" s="1"/>
  <c r="R32" i="2048"/>
  <c r="R31" i="2048"/>
  <c r="R30" i="2048"/>
  <c r="R29" i="2048"/>
  <c r="R28" i="2048"/>
  <c r="L28" i="2048"/>
  <c r="D28" i="2048"/>
  <c r="R27" i="2048"/>
  <c r="L27" i="2048"/>
  <c r="D27" i="2048"/>
  <c r="R26" i="2048"/>
  <c r="L26" i="2048"/>
  <c r="D26" i="2048"/>
  <c r="R25" i="2048"/>
  <c r="L25" i="2048"/>
  <c r="D25" i="2048" s="1"/>
  <c r="R24" i="2048"/>
  <c r="L24" i="2048"/>
  <c r="D24" i="2048"/>
  <c r="R23" i="2048"/>
  <c r="L23" i="2048"/>
  <c r="D23" i="2048"/>
  <c r="R22" i="2048"/>
  <c r="L20" i="2048" s="1"/>
  <c r="D20" i="2048" s="1"/>
  <c r="L22" i="2048"/>
  <c r="D22" i="2048" s="1"/>
  <c r="R21" i="2048"/>
  <c r="L21" i="2048"/>
  <c r="D21" i="2048"/>
  <c r="R20" i="2048"/>
  <c r="R19" i="2048"/>
  <c r="R18" i="2048"/>
  <c r="L18" i="2048"/>
  <c r="D18" i="2048"/>
  <c r="R17" i="2048"/>
  <c r="L17" i="2048"/>
  <c r="D17" i="2048" s="1"/>
  <c r="R16" i="2048"/>
  <c r="L16" i="2048"/>
  <c r="D16" i="2048" s="1"/>
  <c r="R15" i="2048"/>
  <c r="L15" i="2048"/>
  <c r="D15" i="2048"/>
  <c r="R14" i="2048"/>
  <c r="D14" i="2048"/>
  <c r="R13" i="2048"/>
  <c r="D13" i="2048"/>
  <c r="R12" i="2048"/>
  <c r="L12" i="2048"/>
  <c r="D12" i="2048" s="1"/>
  <c r="R11" i="2048"/>
  <c r="L11" i="2048"/>
  <c r="D11" i="2048" s="1"/>
  <c r="L9" i="2048"/>
  <c r="D9" i="2048" s="1"/>
  <c r="L7" i="2048"/>
  <c r="D7" i="2048"/>
  <c r="R6" i="2048"/>
  <c r="R5" i="2048"/>
  <c r="R4" i="2048"/>
  <c r="R52" i="2047"/>
  <c r="R51" i="2047"/>
  <c r="D50" i="2047"/>
  <c r="R49" i="2047"/>
  <c r="D49" i="2047"/>
  <c r="R48" i="2047"/>
  <c r="D48" i="2047"/>
  <c r="D46" i="2047"/>
  <c r="D45" i="2047"/>
  <c r="R44" i="2047"/>
  <c r="D44" i="2047"/>
  <c r="R42" i="2047"/>
  <c r="D42" i="2047"/>
  <c r="R41" i="2047"/>
  <c r="L7" i="2047" s="1"/>
  <c r="D7" i="2047" s="1"/>
  <c r="D41" i="2047"/>
  <c r="R40" i="2047"/>
  <c r="D40" i="2047"/>
  <c r="R39" i="2047"/>
  <c r="H39" i="2047"/>
  <c r="D39" i="2047"/>
  <c r="R38" i="2047"/>
  <c r="H38" i="2047"/>
  <c r="D38" i="2047"/>
  <c r="R37" i="2047"/>
  <c r="H37" i="2047"/>
  <c r="D37" i="2047"/>
  <c r="R36" i="2047"/>
  <c r="L10" i="2047" s="1"/>
  <c r="D10" i="2047" s="1"/>
  <c r="H36" i="2047"/>
  <c r="G49" i="2047" s="1"/>
  <c r="D36" i="2047"/>
  <c r="R35" i="2047"/>
  <c r="L18" i="2047" s="1"/>
  <c r="D18" i="2047" s="1"/>
  <c r="H35" i="2047"/>
  <c r="D35" i="2047"/>
  <c r="R34" i="2047"/>
  <c r="H34" i="2047"/>
  <c r="D34" i="2047"/>
  <c r="D54" i="2047" s="1"/>
  <c r="H14" i="2047" s="1"/>
  <c r="R33" i="2047"/>
  <c r="R32" i="2047"/>
  <c r="L11" i="2047" s="1"/>
  <c r="D11" i="2047" s="1"/>
  <c r="R31" i="2047"/>
  <c r="R30" i="2047"/>
  <c r="R29" i="2047"/>
  <c r="R28" i="2047"/>
  <c r="L28" i="2047"/>
  <c r="D28" i="2047"/>
  <c r="R27" i="2047"/>
  <c r="L27" i="2047"/>
  <c r="D27" i="2047"/>
  <c r="R26" i="2047"/>
  <c r="L26" i="2047"/>
  <c r="D26" i="2047"/>
  <c r="R25" i="2047"/>
  <c r="L25" i="2047"/>
  <c r="D25" i="2047"/>
  <c r="R24" i="2047"/>
  <c r="L24" i="2047"/>
  <c r="D24" i="2047"/>
  <c r="R23" i="2047"/>
  <c r="L23" i="2047"/>
  <c r="D23" i="2047"/>
  <c r="R22" i="2047"/>
  <c r="L20" i="2047" s="1"/>
  <c r="D20" i="2047" s="1"/>
  <c r="L22" i="2047"/>
  <c r="D22" i="2047" s="1"/>
  <c r="R21" i="2047"/>
  <c r="L21" i="2047"/>
  <c r="D21" i="2047"/>
  <c r="R20" i="2047"/>
  <c r="R19" i="2047"/>
  <c r="L19" i="2047"/>
  <c r="D19" i="2047" s="1"/>
  <c r="R18" i="2047"/>
  <c r="R17" i="2047"/>
  <c r="L17" i="2047"/>
  <c r="D17" i="2047" s="1"/>
  <c r="R16" i="2047"/>
  <c r="R15" i="2047"/>
  <c r="R14" i="2047"/>
  <c r="D14" i="2047"/>
  <c r="R13" i="2047"/>
  <c r="D13" i="2047"/>
  <c r="R12" i="2047"/>
  <c r="L12" i="2047"/>
  <c r="D12" i="2047" s="1"/>
  <c r="R11" i="2047"/>
  <c r="L9" i="2047"/>
  <c r="D9" i="2047" s="1"/>
  <c r="L8" i="2047"/>
  <c r="D8" i="2047"/>
  <c r="R6" i="2047"/>
  <c r="L16" i="2047" s="1"/>
  <c r="D16" i="2047" s="1"/>
  <c r="L6" i="2047"/>
  <c r="D6" i="2047"/>
  <c r="R5" i="2047"/>
  <c r="R4" i="2047"/>
  <c r="L15" i="2047" s="1"/>
  <c r="D15" i="2047" s="1"/>
  <c r="R52" i="2046"/>
  <c r="R51" i="2046"/>
  <c r="D50" i="2046"/>
  <c r="R49" i="2046"/>
  <c r="G49" i="2046"/>
  <c r="D49" i="2046"/>
  <c r="R48" i="2046"/>
  <c r="D48" i="2046"/>
  <c r="D46" i="2046"/>
  <c r="D45" i="2046"/>
  <c r="D44" i="2046"/>
  <c r="R42" i="2046"/>
  <c r="D42" i="2046"/>
  <c r="R41" i="2046"/>
  <c r="L7" i="2046" s="1"/>
  <c r="D7" i="2046" s="1"/>
  <c r="D41" i="2046"/>
  <c r="R40" i="2046"/>
  <c r="D40" i="2046"/>
  <c r="R39" i="2046"/>
  <c r="D39" i="2046"/>
  <c r="R38" i="2046"/>
  <c r="D38" i="2046"/>
  <c r="R37" i="2046"/>
  <c r="D37" i="2046"/>
  <c r="R36" i="2046"/>
  <c r="D36" i="2046"/>
  <c r="R35" i="2046"/>
  <c r="L19" i="2046" s="1"/>
  <c r="D19" i="2046" s="1"/>
  <c r="D35" i="2046"/>
  <c r="D54" i="2046" s="1"/>
  <c r="H14" i="2046" s="1"/>
  <c r="R34" i="2046"/>
  <c r="D34" i="2046"/>
  <c r="R33" i="2046"/>
  <c r="L23" i="2046" s="1"/>
  <c r="D23" i="2046" s="1"/>
  <c r="R32" i="2046"/>
  <c r="R31" i="2046"/>
  <c r="R30" i="2046"/>
  <c r="R29" i="2046"/>
  <c r="R28" i="2046"/>
  <c r="D28" i="2046"/>
  <c r="R27" i="2046"/>
  <c r="D27" i="2046"/>
  <c r="R26" i="2046"/>
  <c r="L26" i="2046"/>
  <c r="D26" i="2046" s="1"/>
  <c r="R25" i="2046"/>
  <c r="L25" i="2046"/>
  <c r="D25" i="2046"/>
  <c r="R24" i="2046"/>
  <c r="D24" i="2046"/>
  <c r="R23" i="2046"/>
  <c r="R22" i="2046"/>
  <c r="L22" i="2046"/>
  <c r="D22" i="2046" s="1"/>
  <c r="R21" i="2046"/>
  <c r="D21" i="2046"/>
  <c r="R20" i="2046"/>
  <c r="L20" i="2046"/>
  <c r="D20" i="2046" s="1"/>
  <c r="R19" i="2046"/>
  <c r="R18" i="2046"/>
  <c r="D18" i="2046"/>
  <c r="R17" i="2046"/>
  <c r="D17" i="2046"/>
  <c r="R16" i="2046"/>
  <c r="L16" i="2046"/>
  <c r="D16" i="2046" s="1"/>
  <c r="S15" i="2046"/>
  <c r="R15" i="2046"/>
  <c r="D15" i="2046"/>
  <c r="S14" i="2046"/>
  <c r="R14" i="2046"/>
  <c r="D14" i="2046"/>
  <c r="R13" i="2046"/>
  <c r="D13" i="2046"/>
  <c r="R12" i="2046"/>
  <c r="L12" i="2046"/>
  <c r="D12" i="2046" s="1"/>
  <c r="R11" i="2046"/>
  <c r="L11" i="2046"/>
  <c r="D11" i="2046" s="1"/>
  <c r="L10" i="2046"/>
  <c r="D10" i="2046"/>
  <c r="L9" i="2046"/>
  <c r="D9" i="2046"/>
  <c r="L8" i="2046"/>
  <c r="D8" i="2046" s="1"/>
  <c r="R6" i="2046"/>
  <c r="L6" i="2046"/>
  <c r="D6" i="2046" s="1"/>
  <c r="R5" i="2046"/>
  <c r="R4" i="2046"/>
  <c r="R52" i="2045"/>
  <c r="R51" i="2045"/>
  <c r="D50" i="2045"/>
  <c r="R49" i="2045"/>
  <c r="D49" i="2045"/>
  <c r="R48" i="2045"/>
  <c r="D48" i="2045"/>
  <c r="D46" i="2045"/>
  <c r="D45" i="2045"/>
  <c r="R44" i="2045"/>
  <c r="D44" i="2045"/>
  <c r="R42" i="2045"/>
  <c r="L6" i="2045" s="1"/>
  <c r="D6" i="2045" s="1"/>
  <c r="D42" i="2045"/>
  <c r="R41" i="2045"/>
  <c r="D41" i="2045"/>
  <c r="R40" i="2045"/>
  <c r="L8" i="2045" s="1"/>
  <c r="D8" i="2045" s="1"/>
  <c r="D40" i="2045"/>
  <c r="R39" i="2045"/>
  <c r="H39" i="2045"/>
  <c r="D39" i="2045"/>
  <c r="R38" i="2045"/>
  <c r="L9" i="2045" s="1"/>
  <c r="D9" i="2045" s="1"/>
  <c r="H38" i="2045"/>
  <c r="D38" i="2045"/>
  <c r="R37" i="2045"/>
  <c r="H37" i="2045"/>
  <c r="D37" i="2045"/>
  <c r="R36" i="2045"/>
  <c r="L10" i="2045" s="1"/>
  <c r="D10" i="2045" s="1"/>
  <c r="H36" i="2045"/>
  <c r="G49" i="2045" s="1"/>
  <c r="D36" i="2045"/>
  <c r="R35" i="2045"/>
  <c r="H35" i="2045"/>
  <c r="D35" i="2045"/>
  <c r="R34" i="2045"/>
  <c r="H34" i="2045"/>
  <c r="D34" i="2045"/>
  <c r="D54" i="2045" s="1"/>
  <c r="H14" i="2045" s="1"/>
  <c r="R33" i="2045"/>
  <c r="R32" i="2045"/>
  <c r="R31" i="2045"/>
  <c r="R30" i="2045"/>
  <c r="R29" i="2045"/>
  <c r="R28" i="2045"/>
  <c r="L28" i="2045"/>
  <c r="D28" i="2045"/>
  <c r="R27" i="2045"/>
  <c r="L27" i="2045"/>
  <c r="D27" i="2045"/>
  <c r="R26" i="2045"/>
  <c r="L26" i="2045"/>
  <c r="D26" i="2045"/>
  <c r="R25" i="2045"/>
  <c r="L25" i="2045"/>
  <c r="D25" i="2045" s="1"/>
  <c r="R24" i="2045"/>
  <c r="L24" i="2045"/>
  <c r="D24" i="2045"/>
  <c r="R23" i="2045"/>
  <c r="L23" i="2045"/>
  <c r="D23" i="2045"/>
  <c r="R22" i="2045"/>
  <c r="L20" i="2045" s="1"/>
  <c r="D20" i="2045" s="1"/>
  <c r="L22" i="2045"/>
  <c r="D22" i="2045" s="1"/>
  <c r="R21" i="2045"/>
  <c r="L21" i="2045"/>
  <c r="D21" i="2045" s="1"/>
  <c r="R20" i="2045"/>
  <c r="R19" i="2045"/>
  <c r="L19" i="2045"/>
  <c r="D19" i="2045" s="1"/>
  <c r="R18" i="2045"/>
  <c r="L18" i="2045"/>
  <c r="D18" i="2045" s="1"/>
  <c r="R17" i="2045"/>
  <c r="L17" i="2045"/>
  <c r="D17" i="2045" s="1"/>
  <c r="R16" i="2045"/>
  <c r="L16" i="2045"/>
  <c r="D16" i="2045" s="1"/>
  <c r="R15" i="2045"/>
  <c r="L15" i="2045"/>
  <c r="D15" i="2045"/>
  <c r="R14" i="2045"/>
  <c r="D14" i="2045"/>
  <c r="R13" i="2045"/>
  <c r="D13" i="2045"/>
  <c r="R12" i="2045"/>
  <c r="L12" i="2045"/>
  <c r="D12" i="2045" s="1"/>
  <c r="R11" i="2045"/>
  <c r="L11" i="2045"/>
  <c r="D11" i="2045" s="1"/>
  <c r="L7" i="2045"/>
  <c r="D7" i="2045"/>
  <c r="R6" i="2045"/>
  <c r="R5" i="2045"/>
  <c r="R4" i="2045"/>
  <c r="R52" i="2044"/>
  <c r="R51" i="2044"/>
  <c r="D50" i="2044"/>
  <c r="R49" i="2044"/>
  <c r="D49" i="2044"/>
  <c r="R48" i="2044"/>
  <c r="D48" i="2044"/>
  <c r="D46" i="2044"/>
  <c r="D45" i="2044"/>
  <c r="R44" i="2044"/>
  <c r="D44" i="2044"/>
  <c r="R42" i="2044"/>
  <c r="D42" i="2044"/>
  <c r="R41" i="2044"/>
  <c r="D41" i="2044"/>
  <c r="R40" i="2044"/>
  <c r="L8" i="2044" s="1"/>
  <c r="D8" i="2044" s="1"/>
  <c r="D40" i="2044"/>
  <c r="R39" i="2044"/>
  <c r="H39" i="2044"/>
  <c r="D39" i="2044"/>
  <c r="R38" i="2044"/>
  <c r="H38" i="2044"/>
  <c r="D38" i="2044"/>
  <c r="R37" i="2044"/>
  <c r="H37" i="2044"/>
  <c r="D37" i="2044"/>
  <c r="R36" i="2044"/>
  <c r="H36" i="2044"/>
  <c r="D36" i="2044"/>
  <c r="R35" i="2044"/>
  <c r="L18" i="2044" s="1"/>
  <c r="D18" i="2044" s="1"/>
  <c r="H35" i="2044"/>
  <c r="D35" i="2044"/>
  <c r="R34" i="2044"/>
  <c r="L12" i="2044" s="1"/>
  <c r="D12" i="2044" s="1"/>
  <c r="H34" i="2044"/>
  <c r="G49" i="2044" s="1"/>
  <c r="D34" i="2044"/>
  <c r="D54" i="2044" s="1"/>
  <c r="H14" i="2044" s="1"/>
  <c r="R33" i="2044"/>
  <c r="L19" i="2044" s="1"/>
  <c r="D19" i="2044" s="1"/>
  <c r="R32" i="2044"/>
  <c r="R31" i="2044"/>
  <c r="R30" i="2044"/>
  <c r="R29" i="2044"/>
  <c r="R28" i="2044"/>
  <c r="L28" i="2044"/>
  <c r="D28" i="2044"/>
  <c r="R27" i="2044"/>
  <c r="L27" i="2044"/>
  <c r="D27" i="2044"/>
  <c r="R26" i="2044"/>
  <c r="L26" i="2044"/>
  <c r="D26" i="2044"/>
  <c r="R25" i="2044"/>
  <c r="L25" i="2044"/>
  <c r="D25" i="2044"/>
  <c r="R24" i="2044"/>
  <c r="L24" i="2044"/>
  <c r="D24" i="2044"/>
  <c r="R23" i="2044"/>
  <c r="L23" i="2044"/>
  <c r="D23" i="2044" s="1"/>
  <c r="R22" i="2044"/>
  <c r="L22" i="2044"/>
  <c r="D22" i="2044"/>
  <c r="R21" i="2044"/>
  <c r="L17" i="2044" s="1"/>
  <c r="D17" i="2044" s="1"/>
  <c r="L21" i="2044"/>
  <c r="D21" i="2044" s="1"/>
  <c r="R20" i="2044"/>
  <c r="L20" i="2044"/>
  <c r="D20" i="2044" s="1"/>
  <c r="R19" i="2044"/>
  <c r="R18" i="2044"/>
  <c r="R17" i="2044"/>
  <c r="R16" i="2044"/>
  <c r="L16" i="2044"/>
  <c r="D16" i="2044"/>
  <c r="R15" i="2044"/>
  <c r="L15" i="2044"/>
  <c r="D15" i="2044" s="1"/>
  <c r="R14" i="2044"/>
  <c r="D14" i="2044"/>
  <c r="R13" i="2044"/>
  <c r="D13" i="2044"/>
  <c r="R12" i="2044"/>
  <c r="R11" i="2044"/>
  <c r="L11" i="2044"/>
  <c r="D11" i="2044"/>
  <c r="L10" i="2044"/>
  <c r="D10" i="2044"/>
  <c r="L9" i="2044"/>
  <c r="D9" i="2044" s="1"/>
  <c r="L7" i="2044"/>
  <c r="D7" i="2044"/>
  <c r="R6" i="2044"/>
  <c r="L6" i="2044"/>
  <c r="D6" i="2044" s="1"/>
  <c r="R5" i="2044"/>
  <c r="R4" i="2044"/>
  <c r="R52" i="2043"/>
  <c r="R51" i="2043"/>
  <c r="D50" i="2043"/>
  <c r="R49" i="2043"/>
  <c r="G49" i="2043"/>
  <c r="D49" i="2043"/>
  <c r="R48" i="2043"/>
  <c r="D48" i="2043"/>
  <c r="D46" i="2043"/>
  <c r="D45" i="2043"/>
  <c r="R44" i="2043"/>
  <c r="D44" i="2043"/>
  <c r="R42" i="2043"/>
  <c r="L6" i="2043" s="1"/>
  <c r="D6" i="2043" s="1"/>
  <c r="D42" i="2043"/>
  <c r="R41" i="2043"/>
  <c r="D41" i="2043"/>
  <c r="R40" i="2043"/>
  <c r="L8" i="2043" s="1"/>
  <c r="D8" i="2043" s="1"/>
  <c r="D40" i="2043"/>
  <c r="R39" i="2043"/>
  <c r="H39" i="2043"/>
  <c r="D39" i="2043"/>
  <c r="R38" i="2043"/>
  <c r="H38" i="2043"/>
  <c r="D38" i="2043"/>
  <c r="R37" i="2043"/>
  <c r="H37" i="2043"/>
  <c r="D37" i="2043"/>
  <c r="R36" i="2043"/>
  <c r="H36" i="2043"/>
  <c r="D36" i="2043"/>
  <c r="R35" i="2043"/>
  <c r="H35" i="2043"/>
  <c r="D35" i="2043"/>
  <c r="R34" i="2043"/>
  <c r="L12" i="2043" s="1"/>
  <c r="D12" i="2043" s="1"/>
  <c r="H34" i="2043"/>
  <c r="D34" i="2043"/>
  <c r="D54" i="2043" s="1"/>
  <c r="H14" i="2043" s="1"/>
  <c r="R33" i="2043"/>
  <c r="L19" i="2043" s="1"/>
  <c r="D19" i="2043" s="1"/>
  <c r="R32" i="2043"/>
  <c r="R31" i="2043"/>
  <c r="R30" i="2043"/>
  <c r="R29" i="2043"/>
  <c r="R28" i="2043"/>
  <c r="L28" i="2043"/>
  <c r="D28" i="2043"/>
  <c r="R27" i="2043"/>
  <c r="L27" i="2043"/>
  <c r="D27" i="2043"/>
  <c r="R26" i="2043"/>
  <c r="L26" i="2043"/>
  <c r="D26" i="2043" s="1"/>
  <c r="R25" i="2043"/>
  <c r="L25" i="2043"/>
  <c r="D25" i="2043" s="1"/>
  <c r="R24" i="2043"/>
  <c r="L24" i="2043"/>
  <c r="D24" i="2043" s="1"/>
  <c r="R23" i="2043"/>
  <c r="L23" i="2043"/>
  <c r="D23" i="2043"/>
  <c r="R22" i="2043"/>
  <c r="L22" i="2043"/>
  <c r="D22" i="2043"/>
  <c r="R21" i="2043"/>
  <c r="L17" i="2043" s="1"/>
  <c r="D17" i="2043" s="1"/>
  <c r="L21" i="2043"/>
  <c r="D21" i="2043" s="1"/>
  <c r="R20" i="2043"/>
  <c r="L20" i="2043"/>
  <c r="D20" i="2043" s="1"/>
  <c r="R19" i="2043"/>
  <c r="R18" i="2043"/>
  <c r="L18" i="2043"/>
  <c r="D18" i="2043" s="1"/>
  <c r="R17" i="2043"/>
  <c r="R16" i="2043"/>
  <c r="L16" i="2043"/>
  <c r="D16" i="2043"/>
  <c r="R15" i="2043"/>
  <c r="L15" i="2043"/>
  <c r="D15" i="2043" s="1"/>
  <c r="R14" i="2043"/>
  <c r="D14" i="2043"/>
  <c r="R13" i="2043"/>
  <c r="D13" i="2043"/>
  <c r="R12" i="2043"/>
  <c r="R11" i="2043"/>
  <c r="L11" i="2043"/>
  <c r="D11" i="2043"/>
  <c r="L10" i="2043"/>
  <c r="D10" i="2043"/>
  <c r="L9" i="2043"/>
  <c r="D9" i="2043" s="1"/>
  <c r="L7" i="2043"/>
  <c r="D7" i="2043" s="1"/>
  <c r="R6" i="2043"/>
  <c r="R5" i="2043"/>
  <c r="R4" i="2043"/>
  <c r="R52" i="2042"/>
  <c r="R51" i="2042"/>
  <c r="D50" i="2042"/>
  <c r="R49" i="2042"/>
  <c r="G49" i="2042"/>
  <c r="D49" i="2042"/>
  <c r="R48" i="2042"/>
  <c r="D48" i="2042"/>
  <c r="D46" i="2042"/>
  <c r="D45" i="2042"/>
  <c r="D44" i="2042"/>
  <c r="R42" i="2042"/>
  <c r="L6" i="2042" s="1"/>
  <c r="D6" i="2042" s="1"/>
  <c r="D42" i="2042"/>
  <c r="R41" i="2042"/>
  <c r="L7" i="2042" s="1"/>
  <c r="D7" i="2042" s="1"/>
  <c r="D41" i="2042"/>
  <c r="R40" i="2042"/>
  <c r="D40" i="2042"/>
  <c r="R39" i="2042"/>
  <c r="D39" i="2042"/>
  <c r="R38" i="2042"/>
  <c r="D38" i="2042"/>
  <c r="R37" i="2042"/>
  <c r="D37" i="2042"/>
  <c r="R36" i="2042"/>
  <c r="D36" i="2042"/>
  <c r="R35" i="2042"/>
  <c r="D35" i="2042"/>
  <c r="R34" i="2042"/>
  <c r="D34" i="2042"/>
  <c r="D54" i="2042" s="1"/>
  <c r="H14" i="2042" s="1"/>
  <c r="R33" i="2042"/>
  <c r="L23" i="2042" s="1"/>
  <c r="D23" i="2042" s="1"/>
  <c r="R32" i="2042"/>
  <c r="R31" i="2042"/>
  <c r="R30" i="2042"/>
  <c r="R29" i="2042"/>
  <c r="R28" i="2042"/>
  <c r="L16" i="2042" s="1"/>
  <c r="D16" i="2042" s="1"/>
  <c r="D28" i="2042"/>
  <c r="R27" i="2042"/>
  <c r="D27" i="2042"/>
  <c r="R26" i="2042"/>
  <c r="L26" i="2042"/>
  <c r="D26" i="2042" s="1"/>
  <c r="R25" i="2042"/>
  <c r="L25" i="2042"/>
  <c r="D25" i="2042"/>
  <c r="R24" i="2042"/>
  <c r="D24" i="2042"/>
  <c r="R23" i="2042"/>
  <c r="R22" i="2042"/>
  <c r="L22" i="2042"/>
  <c r="D22" i="2042"/>
  <c r="R21" i="2042"/>
  <c r="D21" i="2042"/>
  <c r="R20" i="2042"/>
  <c r="L20" i="2042"/>
  <c r="D20" i="2042" s="1"/>
  <c r="R19" i="2042"/>
  <c r="L19" i="2042"/>
  <c r="D19" i="2042"/>
  <c r="R18" i="2042"/>
  <c r="D18" i="2042"/>
  <c r="R17" i="2042"/>
  <c r="D17" i="2042"/>
  <c r="R16" i="2042"/>
  <c r="S15" i="2042"/>
  <c r="R15" i="2042"/>
  <c r="D15" i="2042"/>
  <c r="S14" i="2042"/>
  <c r="R14" i="2042"/>
  <c r="D14" i="2042"/>
  <c r="R13" i="2042"/>
  <c r="D13" i="2042"/>
  <c r="R12" i="2042"/>
  <c r="L12" i="2042"/>
  <c r="D12" i="2042" s="1"/>
  <c r="R11" i="2042"/>
  <c r="L11" i="2042"/>
  <c r="D11" i="2042"/>
  <c r="L10" i="2042"/>
  <c r="D10" i="2042" s="1"/>
  <c r="L9" i="2042"/>
  <c r="D9" i="2042"/>
  <c r="L8" i="2042"/>
  <c r="D8" i="2042"/>
  <c r="R6" i="2042"/>
  <c r="R5" i="2042"/>
  <c r="R4" i="2042"/>
  <c r="R52" i="2041"/>
  <c r="R51" i="2041"/>
  <c r="D50" i="2041"/>
  <c r="R49" i="2041"/>
  <c r="D49" i="2041"/>
  <c r="R48" i="2041"/>
  <c r="D48" i="2041"/>
  <c r="D46" i="2041"/>
  <c r="D45" i="2041"/>
  <c r="R44" i="2041"/>
  <c r="L28" i="2041" s="1"/>
  <c r="D28" i="2041" s="1"/>
  <c r="D44" i="2041"/>
  <c r="R42" i="2041"/>
  <c r="D42" i="2041"/>
  <c r="R41" i="2041"/>
  <c r="D41" i="2041"/>
  <c r="R40" i="2041"/>
  <c r="L8" i="2041" s="1"/>
  <c r="D8" i="2041" s="1"/>
  <c r="D40" i="2041"/>
  <c r="R39" i="2041"/>
  <c r="H39" i="2041"/>
  <c r="D39" i="2041"/>
  <c r="R38" i="2041"/>
  <c r="H38" i="2041"/>
  <c r="D38" i="2041"/>
  <c r="R37" i="2041"/>
  <c r="H37" i="2041"/>
  <c r="D37" i="2041"/>
  <c r="R36" i="2041"/>
  <c r="H36" i="2041"/>
  <c r="D36" i="2041"/>
  <c r="R35" i="2041"/>
  <c r="H35" i="2041"/>
  <c r="D35" i="2041"/>
  <c r="R34" i="2041"/>
  <c r="H34" i="2041"/>
  <c r="G49" i="2041" s="1"/>
  <c r="D34" i="2041"/>
  <c r="D54" i="2041" s="1"/>
  <c r="H14" i="2041" s="1"/>
  <c r="R33" i="2041"/>
  <c r="R32" i="2041"/>
  <c r="R31" i="2041"/>
  <c r="R30" i="2041"/>
  <c r="R29" i="2041"/>
  <c r="R28" i="2041"/>
  <c r="R27" i="2041"/>
  <c r="L27" i="2041"/>
  <c r="D27" i="2041"/>
  <c r="R26" i="2041"/>
  <c r="L26" i="2041"/>
  <c r="D26" i="2041" s="1"/>
  <c r="R25" i="2041"/>
  <c r="L25" i="2041"/>
  <c r="D25" i="2041"/>
  <c r="R24" i="2041"/>
  <c r="L24" i="2041"/>
  <c r="D24" i="2041" s="1"/>
  <c r="R23" i="2041"/>
  <c r="L23" i="2041"/>
  <c r="D23" i="2041" s="1"/>
  <c r="R22" i="2041"/>
  <c r="L20" i="2041" s="1"/>
  <c r="D20" i="2041" s="1"/>
  <c r="L22" i="2041"/>
  <c r="D22" i="2041"/>
  <c r="R21" i="2041"/>
  <c r="L21" i="2041"/>
  <c r="D21" i="2041"/>
  <c r="R20" i="2041"/>
  <c r="R19" i="2041"/>
  <c r="L19" i="2041"/>
  <c r="D19" i="2041"/>
  <c r="R18" i="2041"/>
  <c r="L18" i="2041"/>
  <c r="D18" i="2041" s="1"/>
  <c r="R17" i="2041"/>
  <c r="L17" i="2041"/>
  <c r="D17" i="2041" s="1"/>
  <c r="R16" i="2041"/>
  <c r="R15" i="2041"/>
  <c r="L15" i="2041"/>
  <c r="D15" i="2041" s="1"/>
  <c r="R14" i="2041"/>
  <c r="D14" i="2041"/>
  <c r="R13" i="2041"/>
  <c r="D13" i="2041"/>
  <c r="R12" i="2041"/>
  <c r="L12" i="2041"/>
  <c r="D12" i="2041" s="1"/>
  <c r="R11" i="2041"/>
  <c r="L11" i="2041"/>
  <c r="D11" i="2041" s="1"/>
  <c r="L10" i="2041"/>
  <c r="D10" i="2041"/>
  <c r="L9" i="2041"/>
  <c r="D9" i="2041" s="1"/>
  <c r="L7" i="2041"/>
  <c r="D7" i="2041" s="1"/>
  <c r="R6" i="2041"/>
  <c r="L16" i="2041" s="1"/>
  <c r="D16" i="2041" s="1"/>
  <c r="L6" i="2041"/>
  <c r="D6" i="2041" s="1"/>
  <c r="R5" i="2041"/>
  <c r="R4" i="2041"/>
  <c r="R52" i="2040"/>
  <c r="R51" i="2040"/>
  <c r="D50" i="2040"/>
  <c r="R49" i="2040"/>
  <c r="D49" i="2040"/>
  <c r="R48" i="2040"/>
  <c r="D48" i="2040"/>
  <c r="D46" i="2040"/>
  <c r="D45" i="2040"/>
  <c r="R44" i="2040"/>
  <c r="L28" i="2040" s="1"/>
  <c r="D28" i="2040" s="1"/>
  <c r="D44" i="2040"/>
  <c r="R42" i="2040"/>
  <c r="D42" i="2040"/>
  <c r="R41" i="2040"/>
  <c r="D41" i="2040"/>
  <c r="R40" i="2040"/>
  <c r="L8" i="2040" s="1"/>
  <c r="D8" i="2040" s="1"/>
  <c r="D40" i="2040"/>
  <c r="R39" i="2040"/>
  <c r="H39" i="2040"/>
  <c r="D39" i="2040"/>
  <c r="R38" i="2040"/>
  <c r="H38" i="2040"/>
  <c r="D38" i="2040"/>
  <c r="R37" i="2040"/>
  <c r="H37" i="2040"/>
  <c r="D37" i="2040"/>
  <c r="R36" i="2040"/>
  <c r="H36" i="2040"/>
  <c r="D36" i="2040"/>
  <c r="R35" i="2040"/>
  <c r="H35" i="2040"/>
  <c r="D35" i="2040"/>
  <c r="R34" i="2040"/>
  <c r="L12" i="2040" s="1"/>
  <c r="D12" i="2040" s="1"/>
  <c r="H34" i="2040"/>
  <c r="G49" i="2040" s="1"/>
  <c r="D34" i="2040"/>
  <c r="D54" i="2040" s="1"/>
  <c r="H14" i="2040" s="1"/>
  <c r="R33" i="2040"/>
  <c r="L19" i="2040" s="1"/>
  <c r="D19" i="2040" s="1"/>
  <c r="R32" i="2040"/>
  <c r="R31" i="2040"/>
  <c r="R30" i="2040"/>
  <c r="R29" i="2040"/>
  <c r="R28" i="2040"/>
  <c r="R27" i="2040"/>
  <c r="L27" i="2040"/>
  <c r="D27" i="2040"/>
  <c r="R26" i="2040"/>
  <c r="L26" i="2040"/>
  <c r="D26" i="2040" s="1"/>
  <c r="R25" i="2040"/>
  <c r="L25" i="2040"/>
  <c r="D25" i="2040" s="1"/>
  <c r="R24" i="2040"/>
  <c r="L24" i="2040"/>
  <c r="D24" i="2040"/>
  <c r="R23" i="2040"/>
  <c r="L23" i="2040"/>
  <c r="D23" i="2040"/>
  <c r="R22" i="2040"/>
  <c r="L20" i="2040" s="1"/>
  <c r="D20" i="2040" s="1"/>
  <c r="L22" i="2040"/>
  <c r="D22" i="2040" s="1"/>
  <c r="R21" i="2040"/>
  <c r="L21" i="2040"/>
  <c r="D21" i="2040"/>
  <c r="R20" i="2040"/>
  <c r="R19" i="2040"/>
  <c r="R18" i="2040"/>
  <c r="L18" i="2040"/>
  <c r="D18" i="2040" s="1"/>
  <c r="R17" i="2040"/>
  <c r="L17" i="2040"/>
  <c r="D17" i="2040" s="1"/>
  <c r="R16" i="2040"/>
  <c r="R15" i="2040"/>
  <c r="L15" i="2040"/>
  <c r="D15" i="2040"/>
  <c r="R14" i="2040"/>
  <c r="D14" i="2040"/>
  <c r="R13" i="2040"/>
  <c r="D13" i="2040"/>
  <c r="R12" i="2040"/>
  <c r="R11" i="2040"/>
  <c r="L11" i="2040"/>
  <c r="D11" i="2040"/>
  <c r="L10" i="2040"/>
  <c r="D10" i="2040" s="1"/>
  <c r="L9" i="2040"/>
  <c r="D9" i="2040" s="1"/>
  <c r="L7" i="2040"/>
  <c r="D7" i="2040"/>
  <c r="R6" i="2040"/>
  <c r="L16" i="2040" s="1"/>
  <c r="D16" i="2040" s="1"/>
  <c r="L6" i="2040"/>
  <c r="D6" i="2040"/>
  <c r="R5" i="2040"/>
  <c r="R4" i="2040"/>
  <c r="R52" i="2039"/>
  <c r="R51" i="2039"/>
  <c r="D50" i="2039"/>
  <c r="R49" i="2039"/>
  <c r="D49" i="2039"/>
  <c r="R48" i="2039"/>
  <c r="D48" i="2039"/>
  <c r="D46" i="2039"/>
  <c r="D45" i="2039"/>
  <c r="R44" i="2039"/>
  <c r="L28" i="2039" s="1"/>
  <c r="D28" i="2039" s="1"/>
  <c r="D44" i="2039"/>
  <c r="R42" i="2039"/>
  <c r="D42" i="2039"/>
  <c r="R41" i="2039"/>
  <c r="L7" i="2039" s="1"/>
  <c r="D7" i="2039" s="1"/>
  <c r="D41" i="2039"/>
  <c r="R40" i="2039"/>
  <c r="D40" i="2039"/>
  <c r="R39" i="2039"/>
  <c r="H39" i="2039"/>
  <c r="D39" i="2039"/>
  <c r="R38" i="2039"/>
  <c r="H38" i="2039"/>
  <c r="G49" i="2039" s="1"/>
  <c r="D38" i="2039"/>
  <c r="R37" i="2039"/>
  <c r="H37" i="2039"/>
  <c r="D37" i="2039"/>
  <c r="R36" i="2039"/>
  <c r="L10" i="2039" s="1"/>
  <c r="D10" i="2039" s="1"/>
  <c r="H36" i="2039"/>
  <c r="D36" i="2039"/>
  <c r="R35" i="2039"/>
  <c r="L18" i="2039" s="1"/>
  <c r="D18" i="2039" s="1"/>
  <c r="H35" i="2039"/>
  <c r="D35" i="2039"/>
  <c r="R34" i="2039"/>
  <c r="H34" i="2039"/>
  <c r="D34" i="2039"/>
  <c r="D54" i="2039" s="1"/>
  <c r="H14" i="2039" s="1"/>
  <c r="R33" i="2039"/>
  <c r="L19" i="2039" s="1"/>
  <c r="D19" i="2039" s="1"/>
  <c r="R32" i="2039"/>
  <c r="L11" i="2039" s="1"/>
  <c r="D11" i="2039" s="1"/>
  <c r="R31" i="2039"/>
  <c r="R30" i="2039"/>
  <c r="R29" i="2039"/>
  <c r="R28" i="2039"/>
  <c r="R27" i="2039"/>
  <c r="L27" i="2039"/>
  <c r="D27" i="2039" s="1"/>
  <c r="R26" i="2039"/>
  <c r="L26" i="2039"/>
  <c r="D26" i="2039"/>
  <c r="R25" i="2039"/>
  <c r="L25" i="2039"/>
  <c r="D25" i="2039"/>
  <c r="R24" i="2039"/>
  <c r="L24" i="2039"/>
  <c r="D24" i="2039"/>
  <c r="R23" i="2039"/>
  <c r="L23" i="2039"/>
  <c r="D23" i="2039" s="1"/>
  <c r="R22" i="2039"/>
  <c r="L22" i="2039"/>
  <c r="D22" i="2039" s="1"/>
  <c r="R21" i="2039"/>
  <c r="L21" i="2039"/>
  <c r="D21" i="2039"/>
  <c r="R20" i="2039"/>
  <c r="L20" i="2039"/>
  <c r="D20" i="2039" s="1"/>
  <c r="R19" i="2039"/>
  <c r="R18" i="2039"/>
  <c r="R17" i="2039"/>
  <c r="L17" i="2039"/>
  <c r="D17" i="2039"/>
  <c r="R16" i="2039"/>
  <c r="R15" i="2039"/>
  <c r="L15" i="2039"/>
  <c r="D15" i="2039" s="1"/>
  <c r="R14" i="2039"/>
  <c r="D14" i="2039"/>
  <c r="R13" i="2039"/>
  <c r="D13" i="2039"/>
  <c r="R12" i="2039"/>
  <c r="L12" i="2039"/>
  <c r="D12" i="2039"/>
  <c r="R11" i="2039"/>
  <c r="L9" i="2039"/>
  <c r="D9" i="2039" s="1"/>
  <c r="L8" i="2039"/>
  <c r="D8" i="2039" s="1"/>
  <c r="R6" i="2039"/>
  <c r="L16" i="2039" s="1"/>
  <c r="D16" i="2039" s="1"/>
  <c r="L6" i="2039"/>
  <c r="D6" i="2039" s="1"/>
  <c r="R5" i="2039"/>
  <c r="R4" i="2039"/>
  <c r="D54" i="2038"/>
  <c r="H14" i="2038" s="1"/>
  <c r="R52" i="2038"/>
  <c r="R51" i="2038"/>
  <c r="D50" i="2038"/>
  <c r="R49" i="2038"/>
  <c r="G49" i="2038"/>
  <c r="D49" i="2038"/>
  <c r="R48" i="2038"/>
  <c r="D48" i="2038"/>
  <c r="D46" i="2038"/>
  <c r="D45" i="2038"/>
  <c r="D44" i="2038"/>
  <c r="R42" i="2038"/>
  <c r="L6" i="2038" s="1"/>
  <c r="D6" i="2038" s="1"/>
  <c r="D42" i="2038"/>
  <c r="R41" i="2038"/>
  <c r="L7" i="2038" s="1"/>
  <c r="D7" i="2038" s="1"/>
  <c r="D41" i="2038"/>
  <c r="R40" i="2038"/>
  <c r="D40" i="2038"/>
  <c r="R39" i="2038"/>
  <c r="D39" i="2038"/>
  <c r="R38" i="2038"/>
  <c r="D38" i="2038"/>
  <c r="R37" i="2038"/>
  <c r="D37" i="2038"/>
  <c r="R36" i="2038"/>
  <c r="L10" i="2038" s="1"/>
  <c r="D10" i="2038" s="1"/>
  <c r="D36" i="2038"/>
  <c r="R35" i="2038"/>
  <c r="D35" i="2038"/>
  <c r="R34" i="2038"/>
  <c r="L12" i="2038" s="1"/>
  <c r="D12" i="2038" s="1"/>
  <c r="D34" i="2038"/>
  <c r="R33" i="2038"/>
  <c r="L23" i="2038" s="1"/>
  <c r="D23" i="2038" s="1"/>
  <c r="R32" i="2038"/>
  <c r="L11" i="2038" s="1"/>
  <c r="D11" i="2038" s="1"/>
  <c r="R31" i="2038"/>
  <c r="R30" i="2038"/>
  <c r="R29" i="2038"/>
  <c r="R28" i="2038"/>
  <c r="D28" i="2038"/>
  <c r="R27" i="2038"/>
  <c r="D27" i="2038"/>
  <c r="R26" i="2038"/>
  <c r="L26" i="2038"/>
  <c r="D26" i="2038"/>
  <c r="R25" i="2038"/>
  <c r="L25" i="2038"/>
  <c r="D25" i="2038"/>
  <c r="R24" i="2038"/>
  <c r="D24" i="2038"/>
  <c r="R23" i="2038"/>
  <c r="R22" i="2038"/>
  <c r="L22" i="2038"/>
  <c r="D22" i="2038" s="1"/>
  <c r="R21" i="2038"/>
  <c r="D21" i="2038"/>
  <c r="R20" i="2038"/>
  <c r="L20" i="2038"/>
  <c r="D20" i="2038"/>
  <c r="R19" i="2038"/>
  <c r="L19" i="2038"/>
  <c r="D19" i="2038"/>
  <c r="R18" i="2038"/>
  <c r="D18" i="2038"/>
  <c r="R17" i="2038"/>
  <c r="D17" i="2038"/>
  <c r="R16" i="2038"/>
  <c r="L16" i="2038"/>
  <c r="D16" i="2038"/>
  <c r="S15" i="2038"/>
  <c r="R15" i="2038"/>
  <c r="D15" i="2038"/>
  <c r="S14" i="2038"/>
  <c r="R14" i="2038"/>
  <c r="D14" i="2038"/>
  <c r="R13" i="2038"/>
  <c r="D13" i="2038"/>
  <c r="R12" i="2038"/>
  <c r="R11" i="2038"/>
  <c r="L9" i="2038"/>
  <c r="D9" i="2038"/>
  <c r="L8" i="2038"/>
  <c r="D8" i="2038"/>
  <c r="R6" i="2038"/>
  <c r="R5" i="2038"/>
  <c r="R4" i="2038"/>
  <c r="R52" i="2037"/>
  <c r="R51" i="2037"/>
  <c r="D50" i="2037"/>
  <c r="R49" i="2037"/>
  <c r="D49" i="2037"/>
  <c r="R48" i="2037"/>
  <c r="D48" i="2037"/>
  <c r="D46" i="2037"/>
  <c r="D45" i="2037"/>
  <c r="R44" i="2037"/>
  <c r="L28" i="2037" s="1"/>
  <c r="D28" i="2037" s="1"/>
  <c r="D44" i="2037"/>
  <c r="R42" i="2037"/>
  <c r="D42" i="2037"/>
  <c r="R41" i="2037"/>
  <c r="L7" i="2037" s="1"/>
  <c r="D7" i="2037" s="1"/>
  <c r="D41" i="2037"/>
  <c r="R40" i="2037"/>
  <c r="D40" i="2037"/>
  <c r="R39" i="2037"/>
  <c r="H39" i="2037"/>
  <c r="D39" i="2037"/>
  <c r="R38" i="2037"/>
  <c r="H38" i="2037"/>
  <c r="D38" i="2037"/>
  <c r="R37" i="2037"/>
  <c r="H37" i="2037"/>
  <c r="D37" i="2037"/>
  <c r="R36" i="2037"/>
  <c r="L10" i="2037" s="1"/>
  <c r="D10" i="2037" s="1"/>
  <c r="H36" i="2037"/>
  <c r="D36" i="2037"/>
  <c r="R35" i="2037"/>
  <c r="H35" i="2037"/>
  <c r="D35" i="2037"/>
  <c r="R34" i="2037"/>
  <c r="H34" i="2037"/>
  <c r="G49" i="2037" s="1"/>
  <c r="D34" i="2037"/>
  <c r="D54" i="2037" s="1"/>
  <c r="H14" i="2037" s="1"/>
  <c r="R33" i="2037"/>
  <c r="L19" i="2037" s="1"/>
  <c r="D19" i="2037" s="1"/>
  <c r="R32" i="2037"/>
  <c r="R31" i="2037"/>
  <c r="R30" i="2037"/>
  <c r="R29" i="2037"/>
  <c r="R28" i="2037"/>
  <c r="R27" i="2037"/>
  <c r="L27" i="2037"/>
  <c r="D27" i="2037"/>
  <c r="R26" i="2037"/>
  <c r="L26" i="2037"/>
  <c r="D26" i="2037"/>
  <c r="R25" i="2037"/>
  <c r="L25" i="2037"/>
  <c r="D25" i="2037"/>
  <c r="R24" i="2037"/>
  <c r="L24" i="2037"/>
  <c r="D24" i="2037"/>
  <c r="R23" i="2037"/>
  <c r="L23" i="2037"/>
  <c r="D23" i="2037" s="1"/>
  <c r="R22" i="2037"/>
  <c r="L20" i="2037" s="1"/>
  <c r="D20" i="2037" s="1"/>
  <c r="L22" i="2037"/>
  <c r="D22" i="2037" s="1"/>
  <c r="R21" i="2037"/>
  <c r="L17" i="2037" s="1"/>
  <c r="D17" i="2037" s="1"/>
  <c r="L21" i="2037"/>
  <c r="D21" i="2037"/>
  <c r="R20" i="2037"/>
  <c r="R19" i="2037"/>
  <c r="R18" i="2037"/>
  <c r="L18" i="2037"/>
  <c r="D18" i="2037" s="1"/>
  <c r="R17" i="2037"/>
  <c r="R16" i="2037"/>
  <c r="R15" i="2037"/>
  <c r="R14" i="2037"/>
  <c r="D14" i="2037"/>
  <c r="R13" i="2037"/>
  <c r="D13" i="2037"/>
  <c r="R12" i="2037"/>
  <c r="L12" i="2037"/>
  <c r="D12" i="2037"/>
  <c r="R11" i="2037"/>
  <c r="L11" i="2037"/>
  <c r="D11" i="2037" s="1"/>
  <c r="L9" i="2037"/>
  <c r="D9" i="2037" s="1"/>
  <c r="L8" i="2037"/>
  <c r="D8" i="2037" s="1"/>
  <c r="R6" i="2037"/>
  <c r="L16" i="2037" s="1"/>
  <c r="D16" i="2037" s="1"/>
  <c r="L6" i="2037"/>
  <c r="D6" i="2037" s="1"/>
  <c r="R5" i="2037"/>
  <c r="R4" i="2037"/>
  <c r="L15" i="2037" s="1"/>
  <c r="D15" i="2037" s="1"/>
  <c r="R52" i="2036"/>
  <c r="R51" i="2036"/>
  <c r="D50" i="2036"/>
  <c r="R49" i="2036"/>
  <c r="G49" i="2036"/>
  <c r="D49" i="2036"/>
  <c r="R48" i="2036"/>
  <c r="D48" i="2036"/>
  <c r="D46" i="2036"/>
  <c r="D45" i="2036"/>
  <c r="R44" i="2036"/>
  <c r="L28" i="2036" s="1"/>
  <c r="D28" i="2036" s="1"/>
  <c r="D44" i="2036"/>
  <c r="R42" i="2036"/>
  <c r="D42" i="2036"/>
  <c r="R41" i="2036"/>
  <c r="D41" i="2036"/>
  <c r="R40" i="2036"/>
  <c r="L8" i="2036" s="1"/>
  <c r="D8" i="2036" s="1"/>
  <c r="D40" i="2036"/>
  <c r="R39" i="2036"/>
  <c r="H39" i="2036"/>
  <c r="D39" i="2036"/>
  <c r="R38" i="2036"/>
  <c r="H38" i="2036"/>
  <c r="D38" i="2036"/>
  <c r="R37" i="2036"/>
  <c r="H37" i="2036"/>
  <c r="D37" i="2036"/>
  <c r="R36" i="2036"/>
  <c r="L10" i="2036" s="1"/>
  <c r="D10" i="2036" s="1"/>
  <c r="H36" i="2036"/>
  <c r="D36" i="2036"/>
  <c r="R35" i="2036"/>
  <c r="H35" i="2036"/>
  <c r="D35" i="2036"/>
  <c r="R34" i="2036"/>
  <c r="H34" i="2036"/>
  <c r="D34" i="2036"/>
  <c r="D54" i="2036" s="1"/>
  <c r="H14" i="2036" s="1"/>
  <c r="R33" i="2036"/>
  <c r="L19" i="2036" s="1"/>
  <c r="D19" i="2036" s="1"/>
  <c r="R32" i="2036"/>
  <c r="R31" i="2036"/>
  <c r="R30" i="2036"/>
  <c r="R29" i="2036"/>
  <c r="R28" i="2036"/>
  <c r="R27" i="2036"/>
  <c r="L27" i="2036"/>
  <c r="D27" i="2036"/>
  <c r="R26" i="2036"/>
  <c r="L26" i="2036"/>
  <c r="D26" i="2036"/>
  <c r="R25" i="2036"/>
  <c r="L25" i="2036"/>
  <c r="D25" i="2036" s="1"/>
  <c r="R24" i="2036"/>
  <c r="L24" i="2036"/>
  <c r="D24" i="2036"/>
  <c r="R23" i="2036"/>
  <c r="L23" i="2036"/>
  <c r="D23" i="2036" s="1"/>
  <c r="R22" i="2036"/>
  <c r="L22" i="2036"/>
  <c r="D22" i="2036" s="1"/>
  <c r="R21" i="2036"/>
  <c r="L21" i="2036"/>
  <c r="D21" i="2036"/>
  <c r="R20" i="2036"/>
  <c r="L20" i="2036"/>
  <c r="D20" i="2036" s="1"/>
  <c r="R19" i="2036"/>
  <c r="R18" i="2036"/>
  <c r="L18" i="2036"/>
  <c r="D18" i="2036"/>
  <c r="R17" i="2036"/>
  <c r="L17" i="2036"/>
  <c r="D17" i="2036" s="1"/>
  <c r="R16" i="2036"/>
  <c r="R15" i="2036"/>
  <c r="L15" i="2036"/>
  <c r="D15" i="2036" s="1"/>
  <c r="R14" i="2036"/>
  <c r="D14" i="2036"/>
  <c r="R13" i="2036"/>
  <c r="D13" i="2036"/>
  <c r="R12" i="2036"/>
  <c r="L12" i="2036"/>
  <c r="D12" i="2036" s="1"/>
  <c r="R11" i="2036"/>
  <c r="L11" i="2036"/>
  <c r="D11" i="2036"/>
  <c r="L9" i="2036"/>
  <c r="D9" i="2036" s="1"/>
  <c r="L7" i="2036"/>
  <c r="D7" i="2036"/>
  <c r="R6" i="2036"/>
  <c r="L16" i="2036" s="1"/>
  <c r="D16" i="2036" s="1"/>
  <c r="L6" i="2036"/>
  <c r="D6" i="2036" s="1"/>
  <c r="R5" i="2036"/>
  <c r="R4" i="2036"/>
  <c r="D54" i="2035"/>
  <c r="H14" i="2035" s="1"/>
  <c r="R52" i="2035"/>
  <c r="R51" i="2035"/>
  <c r="D50" i="2035"/>
  <c r="R49" i="2035"/>
  <c r="D49" i="2035"/>
  <c r="R48" i="2035"/>
  <c r="D48" i="2035"/>
  <c r="D46" i="2035"/>
  <c r="D45" i="2035"/>
  <c r="R44" i="2035"/>
  <c r="D44" i="2035"/>
  <c r="R42" i="2035"/>
  <c r="D42" i="2035"/>
  <c r="R41" i="2035"/>
  <c r="L7" i="2035" s="1"/>
  <c r="D7" i="2035" s="1"/>
  <c r="D41" i="2035"/>
  <c r="R40" i="2035"/>
  <c r="D40" i="2035"/>
  <c r="R39" i="2035"/>
  <c r="H39" i="2035"/>
  <c r="D39" i="2035"/>
  <c r="R38" i="2035"/>
  <c r="L9" i="2035" s="1"/>
  <c r="D9" i="2035" s="1"/>
  <c r="H38" i="2035"/>
  <c r="D38" i="2035"/>
  <c r="R37" i="2035"/>
  <c r="H37" i="2035"/>
  <c r="D37" i="2035"/>
  <c r="R36" i="2035"/>
  <c r="L10" i="2035" s="1"/>
  <c r="D10" i="2035" s="1"/>
  <c r="H36" i="2035"/>
  <c r="D36" i="2035"/>
  <c r="R35" i="2035"/>
  <c r="L18" i="2035" s="1"/>
  <c r="D18" i="2035" s="1"/>
  <c r="H35" i="2035"/>
  <c r="D35" i="2035"/>
  <c r="R34" i="2035"/>
  <c r="H34" i="2035"/>
  <c r="G49" i="2035" s="1"/>
  <c r="D34" i="2035"/>
  <c r="R33" i="2035"/>
  <c r="R32" i="2035"/>
  <c r="L11" i="2035" s="1"/>
  <c r="D11" i="2035" s="1"/>
  <c r="R31" i="2035"/>
  <c r="R30" i="2035"/>
  <c r="R29" i="2035"/>
  <c r="R28" i="2035"/>
  <c r="L28" i="2035"/>
  <c r="D28" i="2035"/>
  <c r="R27" i="2035"/>
  <c r="L27" i="2035"/>
  <c r="D27" i="2035" s="1"/>
  <c r="R26" i="2035"/>
  <c r="L26" i="2035"/>
  <c r="D26" i="2035"/>
  <c r="R25" i="2035"/>
  <c r="L25" i="2035"/>
  <c r="D25" i="2035"/>
  <c r="R24" i="2035"/>
  <c r="L24" i="2035"/>
  <c r="D24" i="2035"/>
  <c r="R23" i="2035"/>
  <c r="L23" i="2035"/>
  <c r="D23" i="2035" s="1"/>
  <c r="R22" i="2035"/>
  <c r="L20" i="2035" s="1"/>
  <c r="D20" i="2035" s="1"/>
  <c r="L22" i="2035"/>
  <c r="D22" i="2035" s="1"/>
  <c r="R21" i="2035"/>
  <c r="L21" i="2035"/>
  <c r="D21" i="2035"/>
  <c r="R20" i="2035"/>
  <c r="R19" i="2035"/>
  <c r="L19" i="2035"/>
  <c r="D19" i="2035"/>
  <c r="R18" i="2035"/>
  <c r="R17" i="2035"/>
  <c r="L17" i="2035"/>
  <c r="D17" i="2035"/>
  <c r="R16" i="2035"/>
  <c r="R15" i="2035"/>
  <c r="R14" i="2035"/>
  <c r="D14" i="2035"/>
  <c r="R13" i="2035"/>
  <c r="D13" i="2035"/>
  <c r="R12" i="2035"/>
  <c r="L12" i="2035"/>
  <c r="D12" i="2035"/>
  <c r="R11" i="2035"/>
  <c r="L8" i="2035"/>
  <c r="D8" i="2035" s="1"/>
  <c r="R6" i="2035"/>
  <c r="L16" i="2035" s="1"/>
  <c r="D16" i="2035" s="1"/>
  <c r="L6" i="2035"/>
  <c r="D6" i="2035" s="1"/>
  <c r="R5" i="2035"/>
  <c r="R4" i="2035"/>
  <c r="L15" i="2035" s="1"/>
  <c r="D15" i="2035" s="1"/>
  <c r="R52" i="2034"/>
  <c r="R51" i="2034"/>
  <c r="D50" i="2034"/>
  <c r="R49" i="2034"/>
  <c r="G49" i="2034"/>
  <c r="D49" i="2034"/>
  <c r="R48" i="2034"/>
  <c r="D48" i="2034"/>
  <c r="D46" i="2034"/>
  <c r="D45" i="2034"/>
  <c r="D44" i="2034"/>
  <c r="R42" i="2034"/>
  <c r="L6" i="2034" s="1"/>
  <c r="D6" i="2034" s="1"/>
  <c r="D42" i="2034"/>
  <c r="R41" i="2034"/>
  <c r="L7" i="2034" s="1"/>
  <c r="D7" i="2034" s="1"/>
  <c r="D41" i="2034"/>
  <c r="R40" i="2034"/>
  <c r="D40" i="2034"/>
  <c r="R39" i="2034"/>
  <c r="D39" i="2034"/>
  <c r="R38" i="2034"/>
  <c r="D38" i="2034"/>
  <c r="R37" i="2034"/>
  <c r="D37" i="2034"/>
  <c r="R36" i="2034"/>
  <c r="D36" i="2034"/>
  <c r="R35" i="2034"/>
  <c r="D35" i="2034"/>
  <c r="R34" i="2034"/>
  <c r="L12" i="2034" s="1"/>
  <c r="D12" i="2034" s="1"/>
  <c r="D34" i="2034"/>
  <c r="D54" i="2034" s="1"/>
  <c r="H14" i="2034" s="1"/>
  <c r="R33" i="2034"/>
  <c r="L23" i="2034" s="1"/>
  <c r="D23" i="2034" s="1"/>
  <c r="R32" i="2034"/>
  <c r="L11" i="2034" s="1"/>
  <c r="D11" i="2034" s="1"/>
  <c r="R31" i="2034"/>
  <c r="R30" i="2034"/>
  <c r="R29" i="2034"/>
  <c r="R28" i="2034"/>
  <c r="L16" i="2034" s="1"/>
  <c r="D16" i="2034" s="1"/>
  <c r="D28" i="2034"/>
  <c r="R27" i="2034"/>
  <c r="D27" i="2034"/>
  <c r="R26" i="2034"/>
  <c r="L26" i="2034"/>
  <c r="D26" i="2034"/>
  <c r="R25" i="2034"/>
  <c r="L25" i="2034"/>
  <c r="D25" i="2034"/>
  <c r="R24" i="2034"/>
  <c r="D24" i="2034"/>
  <c r="R23" i="2034"/>
  <c r="R22" i="2034"/>
  <c r="L22" i="2034"/>
  <c r="D22" i="2034" s="1"/>
  <c r="R21" i="2034"/>
  <c r="D21" i="2034"/>
  <c r="R20" i="2034"/>
  <c r="L20" i="2034"/>
  <c r="D20" i="2034"/>
  <c r="R19" i="2034"/>
  <c r="L19" i="2034"/>
  <c r="D19" i="2034"/>
  <c r="R18" i="2034"/>
  <c r="D18" i="2034"/>
  <c r="R17" i="2034"/>
  <c r="D17" i="2034"/>
  <c r="R16" i="2034"/>
  <c r="S15" i="2034"/>
  <c r="R15" i="2034"/>
  <c r="D15" i="2034"/>
  <c r="S14" i="2034"/>
  <c r="R14" i="2034"/>
  <c r="D14" i="2034"/>
  <c r="R13" i="2034"/>
  <c r="D13" i="2034"/>
  <c r="R12" i="2034"/>
  <c r="R11" i="2034"/>
  <c r="L10" i="2034"/>
  <c r="D10" i="2034" s="1"/>
  <c r="L9" i="2034"/>
  <c r="D9" i="2034" s="1"/>
  <c r="L8" i="2034"/>
  <c r="D8" i="2034"/>
  <c r="R6" i="2034"/>
  <c r="R5" i="2034"/>
  <c r="R4" i="2034"/>
  <c r="R52" i="2033"/>
  <c r="R51" i="2033"/>
  <c r="D50" i="2033"/>
  <c r="R49" i="2033"/>
  <c r="D49" i="2033"/>
  <c r="R48" i="2033"/>
  <c r="D48" i="2033"/>
  <c r="D46" i="2033"/>
  <c r="D45" i="2033"/>
  <c r="R44" i="2033"/>
  <c r="D44" i="2033"/>
  <c r="R42" i="2033"/>
  <c r="L6" i="2033" s="1"/>
  <c r="D6" i="2033" s="1"/>
  <c r="D42" i="2033"/>
  <c r="R41" i="2033"/>
  <c r="D41" i="2033"/>
  <c r="R40" i="2033"/>
  <c r="L8" i="2033" s="1"/>
  <c r="D8" i="2033" s="1"/>
  <c r="D40" i="2033"/>
  <c r="R39" i="2033"/>
  <c r="H39" i="2033"/>
  <c r="D39" i="2033"/>
  <c r="R38" i="2033"/>
  <c r="H38" i="2033"/>
  <c r="D38" i="2033"/>
  <c r="R37" i="2033"/>
  <c r="H37" i="2033"/>
  <c r="D37" i="2033"/>
  <c r="R36" i="2033"/>
  <c r="H36" i="2033"/>
  <c r="D36" i="2033"/>
  <c r="R35" i="2033"/>
  <c r="H35" i="2033"/>
  <c r="D35" i="2033"/>
  <c r="R34" i="2033"/>
  <c r="H34" i="2033"/>
  <c r="G49" i="2033" s="1"/>
  <c r="D34" i="2033"/>
  <c r="D54" i="2033" s="1"/>
  <c r="H14" i="2033" s="1"/>
  <c r="R33" i="2033"/>
  <c r="L19" i="2033" s="1"/>
  <c r="D19" i="2033" s="1"/>
  <c r="R32" i="2033"/>
  <c r="R31" i="2033"/>
  <c r="R30" i="2033"/>
  <c r="R29" i="2033"/>
  <c r="R28" i="2033"/>
  <c r="L28" i="2033"/>
  <c r="D28" i="2033"/>
  <c r="R27" i="2033"/>
  <c r="L27" i="2033"/>
  <c r="D27" i="2033"/>
  <c r="R26" i="2033"/>
  <c r="L26" i="2033"/>
  <c r="D26" i="2033" s="1"/>
  <c r="R25" i="2033"/>
  <c r="L25" i="2033"/>
  <c r="D25" i="2033" s="1"/>
  <c r="R24" i="2033"/>
  <c r="L24" i="2033"/>
  <c r="D24" i="2033"/>
  <c r="R23" i="2033"/>
  <c r="L23" i="2033"/>
  <c r="D23" i="2033"/>
  <c r="R22" i="2033"/>
  <c r="L20" i="2033" s="1"/>
  <c r="D20" i="2033" s="1"/>
  <c r="L22" i="2033"/>
  <c r="D22" i="2033" s="1"/>
  <c r="R21" i="2033"/>
  <c r="L21" i="2033"/>
  <c r="D21" i="2033"/>
  <c r="R20" i="2033"/>
  <c r="R19" i="2033"/>
  <c r="R18" i="2033"/>
  <c r="L18" i="2033"/>
  <c r="D18" i="2033" s="1"/>
  <c r="R17" i="2033"/>
  <c r="L17" i="2033"/>
  <c r="D17" i="2033" s="1"/>
  <c r="R16" i="2033"/>
  <c r="R15" i="2033"/>
  <c r="R14" i="2033"/>
  <c r="D14" i="2033"/>
  <c r="R13" i="2033"/>
  <c r="D13" i="2033"/>
  <c r="R12" i="2033"/>
  <c r="L12" i="2033"/>
  <c r="D12" i="2033" s="1"/>
  <c r="R11" i="2033"/>
  <c r="L11" i="2033"/>
  <c r="D11" i="2033"/>
  <c r="L10" i="2033"/>
  <c r="D10" i="2033" s="1"/>
  <c r="L9" i="2033"/>
  <c r="D9" i="2033" s="1"/>
  <c r="L7" i="2033"/>
  <c r="D7" i="2033"/>
  <c r="R6" i="2033"/>
  <c r="L16" i="2033" s="1"/>
  <c r="D16" i="2033" s="1"/>
  <c r="R5" i="2033"/>
  <c r="R4" i="2033"/>
  <c r="L15" i="2033" s="1"/>
  <c r="D15" i="2033" s="1"/>
  <c r="R52" i="2032"/>
  <c r="R51" i="2032"/>
  <c r="D50" i="2032"/>
  <c r="R49" i="2032"/>
  <c r="G49" i="2032"/>
  <c r="D49" i="2032"/>
  <c r="R48" i="2032"/>
  <c r="D48" i="2032"/>
  <c r="D46" i="2032"/>
  <c r="D45" i="2032"/>
  <c r="R44" i="2032"/>
  <c r="L28" i="2032" s="1"/>
  <c r="D28" i="2032" s="1"/>
  <c r="D44" i="2032"/>
  <c r="R42" i="2032"/>
  <c r="D42" i="2032"/>
  <c r="R41" i="2032"/>
  <c r="D41" i="2032"/>
  <c r="R40" i="2032"/>
  <c r="L8" i="2032" s="1"/>
  <c r="D8" i="2032" s="1"/>
  <c r="D40" i="2032"/>
  <c r="R39" i="2032"/>
  <c r="H39" i="2032"/>
  <c r="D39" i="2032"/>
  <c r="R38" i="2032"/>
  <c r="H38" i="2032"/>
  <c r="D38" i="2032"/>
  <c r="R37" i="2032"/>
  <c r="H37" i="2032"/>
  <c r="D37" i="2032"/>
  <c r="R36" i="2032"/>
  <c r="H36" i="2032"/>
  <c r="D36" i="2032"/>
  <c r="R35" i="2032"/>
  <c r="L18" i="2032" s="1"/>
  <c r="D18" i="2032" s="1"/>
  <c r="H35" i="2032"/>
  <c r="D35" i="2032"/>
  <c r="R34" i="2032"/>
  <c r="L12" i="2032" s="1"/>
  <c r="D12" i="2032" s="1"/>
  <c r="H34" i="2032"/>
  <c r="D34" i="2032"/>
  <c r="D54" i="2032" s="1"/>
  <c r="H14" i="2032" s="1"/>
  <c r="R33" i="2032"/>
  <c r="L19" i="2032" s="1"/>
  <c r="D19" i="2032" s="1"/>
  <c r="R32" i="2032"/>
  <c r="R31" i="2032"/>
  <c r="R30" i="2032"/>
  <c r="R29" i="2032"/>
  <c r="R28" i="2032"/>
  <c r="R27" i="2032"/>
  <c r="L27" i="2032"/>
  <c r="D27" i="2032"/>
  <c r="R26" i="2032"/>
  <c r="L26" i="2032"/>
  <c r="D26" i="2032"/>
  <c r="R25" i="2032"/>
  <c r="L25" i="2032"/>
  <c r="D25" i="2032"/>
  <c r="R24" i="2032"/>
  <c r="L24" i="2032"/>
  <c r="D24" i="2032" s="1"/>
  <c r="R23" i="2032"/>
  <c r="L23" i="2032"/>
  <c r="D23" i="2032" s="1"/>
  <c r="R22" i="2032"/>
  <c r="L22" i="2032"/>
  <c r="D22" i="2032"/>
  <c r="R21" i="2032"/>
  <c r="L17" i="2032" s="1"/>
  <c r="D17" i="2032" s="1"/>
  <c r="L21" i="2032"/>
  <c r="D21" i="2032"/>
  <c r="R20" i="2032"/>
  <c r="L20" i="2032"/>
  <c r="D20" i="2032" s="1"/>
  <c r="R19" i="2032"/>
  <c r="R18" i="2032"/>
  <c r="R17" i="2032"/>
  <c r="R16" i="2032"/>
  <c r="L16" i="2032"/>
  <c r="D16" i="2032"/>
  <c r="R15" i="2032"/>
  <c r="L15" i="2032"/>
  <c r="D15" i="2032" s="1"/>
  <c r="R14" i="2032"/>
  <c r="D14" i="2032"/>
  <c r="R13" i="2032"/>
  <c r="D13" i="2032"/>
  <c r="R12" i="2032"/>
  <c r="R11" i="2032"/>
  <c r="L11" i="2032"/>
  <c r="D11" i="2032"/>
  <c r="L10" i="2032"/>
  <c r="D10" i="2032"/>
  <c r="L9" i="2032"/>
  <c r="D9" i="2032" s="1"/>
  <c r="L7" i="2032"/>
  <c r="D7" i="2032" s="1"/>
  <c r="R6" i="2032"/>
  <c r="L6" i="2032"/>
  <c r="D6" i="2032" s="1"/>
  <c r="R5" i="2032"/>
  <c r="R4" i="2032"/>
  <c r="D54" i="2031"/>
  <c r="H14" i="2031" s="1"/>
  <c r="R52" i="2031"/>
  <c r="R51" i="2031"/>
  <c r="D50" i="2031"/>
  <c r="R49" i="2031"/>
  <c r="D49" i="2031"/>
  <c r="R48" i="2031"/>
  <c r="D48" i="2031"/>
  <c r="D46" i="2031"/>
  <c r="D45" i="2031"/>
  <c r="R44" i="2031"/>
  <c r="D44" i="2031"/>
  <c r="R42" i="2031"/>
  <c r="L6" i="2031" s="1"/>
  <c r="D6" i="2031" s="1"/>
  <c r="D42" i="2031"/>
  <c r="R41" i="2031"/>
  <c r="L7" i="2031" s="1"/>
  <c r="D7" i="2031" s="1"/>
  <c r="D41" i="2031"/>
  <c r="R40" i="2031"/>
  <c r="D40" i="2031"/>
  <c r="R39" i="2031"/>
  <c r="H39" i="2031"/>
  <c r="D39" i="2031"/>
  <c r="R38" i="2031"/>
  <c r="L9" i="2031" s="1"/>
  <c r="D9" i="2031" s="1"/>
  <c r="H38" i="2031"/>
  <c r="D38" i="2031"/>
  <c r="R37" i="2031"/>
  <c r="H37" i="2031"/>
  <c r="D37" i="2031"/>
  <c r="R36" i="2031"/>
  <c r="L10" i="2031" s="1"/>
  <c r="D10" i="2031" s="1"/>
  <c r="H36" i="2031"/>
  <c r="D36" i="2031"/>
  <c r="R35" i="2031"/>
  <c r="L18" i="2031" s="1"/>
  <c r="D18" i="2031" s="1"/>
  <c r="H35" i="2031"/>
  <c r="D35" i="2031"/>
  <c r="R34" i="2031"/>
  <c r="H34" i="2031"/>
  <c r="G49" i="2031" s="1"/>
  <c r="D34" i="2031"/>
  <c r="R33" i="2031"/>
  <c r="R32" i="2031"/>
  <c r="L11" i="2031" s="1"/>
  <c r="D11" i="2031" s="1"/>
  <c r="R31" i="2031"/>
  <c r="R30" i="2031"/>
  <c r="R29" i="2031"/>
  <c r="R28" i="2031"/>
  <c r="L28" i="2031"/>
  <c r="D28" i="2031"/>
  <c r="R27" i="2031"/>
  <c r="L27" i="2031"/>
  <c r="D27" i="2031" s="1"/>
  <c r="R26" i="2031"/>
  <c r="L26" i="2031"/>
  <c r="D26" i="2031"/>
  <c r="R25" i="2031"/>
  <c r="L25" i="2031"/>
  <c r="D25" i="2031"/>
  <c r="R24" i="2031"/>
  <c r="L24" i="2031"/>
  <c r="D24" i="2031"/>
  <c r="R23" i="2031"/>
  <c r="L23" i="2031"/>
  <c r="D23" i="2031"/>
  <c r="R22" i="2031"/>
  <c r="L20" i="2031" s="1"/>
  <c r="D20" i="2031" s="1"/>
  <c r="L22" i="2031"/>
  <c r="D22" i="2031" s="1"/>
  <c r="R21" i="2031"/>
  <c r="L21" i="2031"/>
  <c r="D21" i="2031"/>
  <c r="R20" i="2031"/>
  <c r="R19" i="2031"/>
  <c r="L19" i="2031"/>
  <c r="D19" i="2031"/>
  <c r="R18" i="2031"/>
  <c r="R17" i="2031"/>
  <c r="L17" i="2031"/>
  <c r="D17" i="2031"/>
  <c r="R16" i="2031"/>
  <c r="R15" i="2031"/>
  <c r="R14" i="2031"/>
  <c r="D14" i="2031"/>
  <c r="R13" i="2031"/>
  <c r="D13" i="2031"/>
  <c r="R12" i="2031"/>
  <c r="L12" i="2031"/>
  <c r="D12" i="2031"/>
  <c r="R11" i="2031"/>
  <c r="L8" i="2031"/>
  <c r="D8" i="2031"/>
  <c r="R6" i="2031"/>
  <c r="L16" i="2031" s="1"/>
  <c r="D16" i="2031" s="1"/>
  <c r="R5" i="2031"/>
  <c r="R4" i="2031"/>
  <c r="L15" i="2031" s="1"/>
  <c r="D15" i="2031" s="1"/>
  <c r="R52" i="2030"/>
  <c r="R51" i="2030"/>
  <c r="D50" i="2030"/>
  <c r="R49" i="2030"/>
  <c r="G49" i="2030"/>
  <c r="D49" i="2030"/>
  <c r="R48" i="2030"/>
  <c r="D48" i="2030"/>
  <c r="D46" i="2030"/>
  <c r="D45" i="2030"/>
  <c r="D44" i="2030"/>
  <c r="R42" i="2030"/>
  <c r="L6" i="2030" s="1"/>
  <c r="D6" i="2030" s="1"/>
  <c r="D42" i="2030"/>
  <c r="R41" i="2030"/>
  <c r="L7" i="2030" s="1"/>
  <c r="D7" i="2030" s="1"/>
  <c r="D41" i="2030"/>
  <c r="R40" i="2030"/>
  <c r="D40" i="2030"/>
  <c r="R39" i="2030"/>
  <c r="D39" i="2030"/>
  <c r="R38" i="2030"/>
  <c r="D38" i="2030"/>
  <c r="R37" i="2030"/>
  <c r="D37" i="2030"/>
  <c r="R36" i="2030"/>
  <c r="L10" i="2030" s="1"/>
  <c r="D10" i="2030" s="1"/>
  <c r="D36" i="2030"/>
  <c r="R35" i="2030"/>
  <c r="D35" i="2030"/>
  <c r="R34" i="2030"/>
  <c r="L12" i="2030" s="1"/>
  <c r="D12" i="2030" s="1"/>
  <c r="D34" i="2030"/>
  <c r="D54" i="2030" s="1"/>
  <c r="H14" i="2030" s="1"/>
  <c r="R33" i="2030"/>
  <c r="L23" i="2030" s="1"/>
  <c r="D23" i="2030" s="1"/>
  <c r="R32" i="2030"/>
  <c r="R31" i="2030"/>
  <c r="R30" i="2030"/>
  <c r="R29" i="2030"/>
  <c r="R28" i="2030"/>
  <c r="L16" i="2030" s="1"/>
  <c r="D16" i="2030" s="1"/>
  <c r="D28" i="2030"/>
  <c r="R27" i="2030"/>
  <c r="D27" i="2030"/>
  <c r="R26" i="2030"/>
  <c r="L26" i="2030"/>
  <c r="D26" i="2030"/>
  <c r="R25" i="2030"/>
  <c r="L25" i="2030"/>
  <c r="D25" i="2030"/>
  <c r="R24" i="2030"/>
  <c r="D24" i="2030"/>
  <c r="R23" i="2030"/>
  <c r="R22" i="2030"/>
  <c r="L22" i="2030"/>
  <c r="D22" i="2030" s="1"/>
  <c r="R21" i="2030"/>
  <c r="D21" i="2030"/>
  <c r="R20" i="2030"/>
  <c r="L20" i="2030"/>
  <c r="D20" i="2030"/>
  <c r="R19" i="2030"/>
  <c r="L19" i="2030"/>
  <c r="D19" i="2030"/>
  <c r="R18" i="2030"/>
  <c r="D18" i="2030"/>
  <c r="R17" i="2030"/>
  <c r="D17" i="2030"/>
  <c r="R16" i="2030"/>
  <c r="S15" i="2030"/>
  <c r="R15" i="2030"/>
  <c r="D15" i="2030"/>
  <c r="S14" i="2030"/>
  <c r="R14" i="2030"/>
  <c r="D14" i="2030"/>
  <c r="R13" i="2030"/>
  <c r="D13" i="2030"/>
  <c r="R12" i="2030"/>
  <c r="R11" i="2030"/>
  <c r="L11" i="2030"/>
  <c r="D11" i="2030" s="1"/>
  <c r="L9" i="2030"/>
  <c r="D9" i="2030"/>
  <c r="L8" i="2030"/>
  <c r="D8" i="2030"/>
  <c r="R6" i="2030"/>
  <c r="R5" i="2030"/>
  <c r="R4" i="2030"/>
  <c r="D29" i="2053" l="1"/>
  <c r="H13" i="2053" s="1"/>
  <c r="H15" i="2053" s="1"/>
  <c r="H29" i="2053" s="1"/>
  <c r="G51" i="2053" s="1"/>
  <c r="D29" i="2052"/>
  <c r="H13" i="2052" s="1"/>
  <c r="H15" i="2052" s="1"/>
  <c r="H29" i="2052" s="1"/>
  <c r="G51" i="2052" s="1"/>
  <c r="G51" i="2051"/>
  <c r="D29" i="2050"/>
  <c r="H13" i="2050" s="1"/>
  <c r="H15" i="2050" s="1"/>
  <c r="H29" i="2050" s="1"/>
  <c r="G51" i="2050" s="1"/>
  <c r="D29" i="2049"/>
  <c r="H13" i="2049" s="1"/>
  <c r="H15" i="2049" s="1"/>
  <c r="H29" i="2049" s="1"/>
  <c r="G51" i="2049" s="1"/>
  <c r="G51" i="2048"/>
  <c r="D29" i="2048"/>
  <c r="H13" i="2048" s="1"/>
  <c r="H15" i="2048" s="1"/>
  <c r="H29" i="2048" s="1"/>
  <c r="D29" i="2047"/>
  <c r="H13" i="2047" s="1"/>
  <c r="H15" i="2047" s="1"/>
  <c r="H29" i="2047" s="1"/>
  <c r="G51" i="2047" s="1"/>
  <c r="D29" i="2046"/>
  <c r="H13" i="2046" s="1"/>
  <c r="H15" i="2046" s="1"/>
  <c r="H29" i="2046" s="1"/>
  <c r="G51" i="2046" s="1"/>
  <c r="D29" i="2045"/>
  <c r="H13" i="2045" s="1"/>
  <c r="H15" i="2045" s="1"/>
  <c r="H29" i="2045" s="1"/>
  <c r="G51" i="2045" s="1"/>
  <c r="D29" i="2044"/>
  <c r="H13" i="2044" s="1"/>
  <c r="H15" i="2044" s="1"/>
  <c r="H29" i="2044" s="1"/>
  <c r="G51" i="2044" s="1"/>
  <c r="D29" i="2043"/>
  <c r="H13" i="2043" s="1"/>
  <c r="H15" i="2043" s="1"/>
  <c r="H29" i="2043" s="1"/>
  <c r="G51" i="2043"/>
  <c r="D29" i="2042"/>
  <c r="H13" i="2042" s="1"/>
  <c r="H15" i="2042" s="1"/>
  <c r="H29" i="2042" s="1"/>
  <c r="G51" i="2042" s="1"/>
  <c r="D29" i="2041"/>
  <c r="H13" i="2041" s="1"/>
  <c r="H15" i="2041" s="1"/>
  <c r="H29" i="2041" s="1"/>
  <c r="G51" i="2041" s="1"/>
  <c r="D29" i="2040"/>
  <c r="H13" i="2040" s="1"/>
  <c r="H15" i="2040" s="1"/>
  <c r="H29" i="2040" s="1"/>
  <c r="G51" i="2040" s="1"/>
  <c r="D29" i="2039"/>
  <c r="H13" i="2039" s="1"/>
  <c r="H15" i="2039" s="1"/>
  <c r="H29" i="2039" s="1"/>
  <c r="G51" i="2039" s="1"/>
  <c r="D29" i="2038"/>
  <c r="H13" i="2038" s="1"/>
  <c r="H15" i="2038" s="1"/>
  <c r="H29" i="2038" s="1"/>
  <c r="G51" i="2038" s="1"/>
  <c r="D29" i="2037"/>
  <c r="H13" i="2037" s="1"/>
  <c r="H15" i="2037" s="1"/>
  <c r="H29" i="2037" s="1"/>
  <c r="G51" i="2037" s="1"/>
  <c r="D29" i="2036"/>
  <c r="H13" i="2036" s="1"/>
  <c r="H15" i="2036" s="1"/>
  <c r="H29" i="2036" s="1"/>
  <c r="G51" i="2036" s="1"/>
  <c r="D29" i="2035"/>
  <c r="H13" i="2035" s="1"/>
  <c r="H15" i="2035" s="1"/>
  <c r="H29" i="2035" s="1"/>
  <c r="G51" i="2035" s="1"/>
  <c r="D29" i="2034"/>
  <c r="H13" i="2034" s="1"/>
  <c r="H15" i="2034" s="1"/>
  <c r="H29" i="2034" s="1"/>
  <c r="G51" i="2034" s="1"/>
  <c r="D29" i="2033"/>
  <c r="H13" i="2033" s="1"/>
  <c r="H15" i="2033" s="1"/>
  <c r="H29" i="2033" s="1"/>
  <c r="G51" i="2033"/>
  <c r="D29" i="2032"/>
  <c r="H13" i="2032" s="1"/>
  <c r="H15" i="2032" s="1"/>
  <c r="H29" i="2032" s="1"/>
  <c r="G51" i="2032"/>
  <c r="D29" i="2031"/>
  <c r="H13" i="2031" s="1"/>
  <c r="H15" i="2031" s="1"/>
  <c r="H29" i="2031" s="1"/>
  <c r="G51" i="2031" s="1"/>
  <c r="D29" i="2030"/>
  <c r="H13" i="2030" s="1"/>
  <c r="H15" i="2030" s="1"/>
  <c r="H29" i="2030" s="1"/>
  <c r="G51" i="2030" s="1"/>
  <c r="R52" i="2029"/>
  <c r="R51" i="2029"/>
  <c r="D50" i="2029"/>
  <c r="R49" i="2029"/>
  <c r="D49" i="2029"/>
  <c r="R48" i="2029"/>
  <c r="D48" i="2029"/>
  <c r="D46" i="2029"/>
  <c r="D45" i="2029"/>
  <c r="R44" i="2029"/>
  <c r="L28" i="2029" s="1"/>
  <c r="D28" i="2029" s="1"/>
  <c r="D44" i="2029"/>
  <c r="R42" i="2029"/>
  <c r="D42" i="2029"/>
  <c r="R41" i="2029"/>
  <c r="L7" i="2029" s="1"/>
  <c r="D7" i="2029" s="1"/>
  <c r="D41" i="2029"/>
  <c r="R40" i="2029"/>
  <c r="L8" i="2029" s="1"/>
  <c r="D8" i="2029" s="1"/>
  <c r="D40" i="2029"/>
  <c r="R39" i="2029"/>
  <c r="H39" i="2029"/>
  <c r="D39" i="2029"/>
  <c r="R38" i="2029"/>
  <c r="L9" i="2029" s="1"/>
  <c r="D9" i="2029" s="1"/>
  <c r="H38" i="2029"/>
  <c r="D38" i="2029"/>
  <c r="R37" i="2029"/>
  <c r="H37" i="2029"/>
  <c r="D37" i="2029"/>
  <c r="R36" i="2029"/>
  <c r="L10" i="2029" s="1"/>
  <c r="D10" i="2029" s="1"/>
  <c r="H36" i="2029"/>
  <c r="D36" i="2029"/>
  <c r="R35" i="2029"/>
  <c r="L18" i="2029" s="1"/>
  <c r="D18" i="2029" s="1"/>
  <c r="H35" i="2029"/>
  <c r="D35" i="2029"/>
  <c r="R34" i="2029"/>
  <c r="H34" i="2029"/>
  <c r="D34" i="2029"/>
  <c r="R33" i="2029"/>
  <c r="R32" i="2029"/>
  <c r="R31" i="2029"/>
  <c r="R30" i="2029"/>
  <c r="R29" i="2029"/>
  <c r="R28" i="2029"/>
  <c r="R27" i="2029"/>
  <c r="L27" i="2029"/>
  <c r="D27" i="2029"/>
  <c r="R26" i="2029"/>
  <c r="L26" i="2029"/>
  <c r="D26" i="2029"/>
  <c r="R25" i="2029"/>
  <c r="L25" i="2029"/>
  <c r="D25" i="2029"/>
  <c r="R24" i="2029"/>
  <c r="L24" i="2029"/>
  <c r="D24" i="2029"/>
  <c r="R23" i="2029"/>
  <c r="L23" i="2029"/>
  <c r="D23" i="2029" s="1"/>
  <c r="R22" i="2029"/>
  <c r="L20" i="2029" s="1"/>
  <c r="D20" i="2029" s="1"/>
  <c r="L22" i="2029"/>
  <c r="D22" i="2029"/>
  <c r="R21" i="2029"/>
  <c r="L17" i="2029" s="1"/>
  <c r="D17" i="2029" s="1"/>
  <c r="L21" i="2029"/>
  <c r="D21" i="2029"/>
  <c r="R20" i="2029"/>
  <c r="R19" i="2029"/>
  <c r="L19" i="2029"/>
  <c r="D19" i="2029" s="1"/>
  <c r="R18" i="2029"/>
  <c r="R17" i="2029"/>
  <c r="R16" i="2029"/>
  <c r="L16" i="2029"/>
  <c r="D16" i="2029" s="1"/>
  <c r="R15" i="2029"/>
  <c r="R14" i="2029"/>
  <c r="D14" i="2029"/>
  <c r="R13" i="2029"/>
  <c r="D13" i="2029"/>
  <c r="R12" i="2029"/>
  <c r="L12" i="2029"/>
  <c r="D12" i="2029"/>
  <c r="R11" i="2029"/>
  <c r="L11" i="2029"/>
  <c r="D11" i="2029" s="1"/>
  <c r="R6" i="2029"/>
  <c r="L6" i="2029"/>
  <c r="D6" i="2029" s="1"/>
  <c r="R5" i="2029"/>
  <c r="R4" i="2029"/>
  <c r="L15" i="2029" s="1"/>
  <c r="D15" i="2029" s="1"/>
  <c r="R52" i="2028"/>
  <c r="R51" i="2028"/>
  <c r="D50" i="2028"/>
  <c r="R49" i="2028"/>
  <c r="D49" i="2028"/>
  <c r="R48" i="2028"/>
  <c r="D48" i="2028"/>
  <c r="D46" i="2028"/>
  <c r="D45" i="2028"/>
  <c r="R44" i="2028"/>
  <c r="D44" i="2028"/>
  <c r="R42" i="2028"/>
  <c r="L6" i="2028" s="1"/>
  <c r="D6" i="2028" s="1"/>
  <c r="D42" i="2028"/>
  <c r="R41" i="2028"/>
  <c r="L7" i="2028" s="1"/>
  <c r="D7" i="2028" s="1"/>
  <c r="D41" i="2028"/>
  <c r="R40" i="2028"/>
  <c r="D40" i="2028"/>
  <c r="R39" i="2028"/>
  <c r="H39" i="2028"/>
  <c r="D39" i="2028"/>
  <c r="R38" i="2028"/>
  <c r="H38" i="2028"/>
  <c r="D38" i="2028"/>
  <c r="R37" i="2028"/>
  <c r="H37" i="2028"/>
  <c r="D37" i="2028"/>
  <c r="R36" i="2028"/>
  <c r="L10" i="2028" s="1"/>
  <c r="D10" i="2028" s="1"/>
  <c r="H36" i="2028"/>
  <c r="D36" i="2028"/>
  <c r="R35" i="2028"/>
  <c r="L18" i="2028" s="1"/>
  <c r="D18" i="2028" s="1"/>
  <c r="H35" i="2028"/>
  <c r="D35" i="2028"/>
  <c r="R34" i="2028"/>
  <c r="L12" i="2028" s="1"/>
  <c r="D12" i="2028" s="1"/>
  <c r="H34" i="2028"/>
  <c r="D34" i="2028"/>
  <c r="R33" i="2028"/>
  <c r="L19" i="2028" s="1"/>
  <c r="D19" i="2028" s="1"/>
  <c r="R32" i="2028"/>
  <c r="R31" i="2028"/>
  <c r="R30" i="2028"/>
  <c r="R29" i="2028"/>
  <c r="R28" i="2028"/>
  <c r="L28" i="2028"/>
  <c r="D28" i="2028"/>
  <c r="R27" i="2028"/>
  <c r="L27" i="2028"/>
  <c r="D27" i="2028" s="1"/>
  <c r="R26" i="2028"/>
  <c r="L26" i="2028"/>
  <c r="D26" i="2028"/>
  <c r="R25" i="2028"/>
  <c r="L25" i="2028"/>
  <c r="D25" i="2028"/>
  <c r="R24" i="2028"/>
  <c r="L24" i="2028"/>
  <c r="D24" i="2028"/>
  <c r="R23" i="2028"/>
  <c r="L23" i="2028"/>
  <c r="D23" i="2028"/>
  <c r="R22" i="2028"/>
  <c r="L20" i="2028" s="1"/>
  <c r="D20" i="2028" s="1"/>
  <c r="L22" i="2028"/>
  <c r="D22" i="2028"/>
  <c r="R21" i="2028"/>
  <c r="L21" i="2028"/>
  <c r="D21" i="2028" s="1"/>
  <c r="R20" i="2028"/>
  <c r="R19" i="2028"/>
  <c r="R18" i="2028"/>
  <c r="R17" i="2028"/>
  <c r="L17" i="2028"/>
  <c r="D17" i="2028"/>
  <c r="R16" i="2028"/>
  <c r="L16" i="2028"/>
  <c r="D16" i="2028"/>
  <c r="R15" i="2028"/>
  <c r="R14" i="2028"/>
  <c r="D14" i="2028"/>
  <c r="R13" i="2028"/>
  <c r="D13" i="2028"/>
  <c r="R12" i="2028"/>
  <c r="R11" i="2028"/>
  <c r="L11" i="2028"/>
  <c r="D11" i="2028"/>
  <c r="L9" i="2028"/>
  <c r="D9" i="2028" s="1"/>
  <c r="L8" i="2028"/>
  <c r="D8" i="2028" s="1"/>
  <c r="R6" i="2028"/>
  <c r="R5" i="2028"/>
  <c r="R4" i="2028"/>
  <c r="L15" i="2028" s="1"/>
  <c r="D15" i="2028" s="1"/>
  <c r="R52" i="2027"/>
  <c r="R51" i="2027"/>
  <c r="D50" i="2027"/>
  <c r="R49" i="2027"/>
  <c r="D49" i="2027"/>
  <c r="R48" i="2027"/>
  <c r="D48" i="2027"/>
  <c r="D46" i="2027"/>
  <c r="D45" i="2027"/>
  <c r="R44" i="2027"/>
  <c r="L28" i="2027" s="1"/>
  <c r="D28" i="2027" s="1"/>
  <c r="D44" i="2027"/>
  <c r="R42" i="2027"/>
  <c r="D42" i="2027"/>
  <c r="R41" i="2027"/>
  <c r="D41" i="2027"/>
  <c r="R40" i="2027"/>
  <c r="D40" i="2027"/>
  <c r="R39" i="2027"/>
  <c r="H39" i="2027"/>
  <c r="D39" i="2027"/>
  <c r="R38" i="2027"/>
  <c r="L9" i="2027" s="1"/>
  <c r="D9" i="2027" s="1"/>
  <c r="H38" i="2027"/>
  <c r="D38" i="2027"/>
  <c r="R37" i="2027"/>
  <c r="H37" i="2027"/>
  <c r="D37" i="2027"/>
  <c r="R36" i="2027"/>
  <c r="L10" i="2027" s="1"/>
  <c r="D10" i="2027" s="1"/>
  <c r="H36" i="2027"/>
  <c r="D36" i="2027"/>
  <c r="R35" i="2027"/>
  <c r="H35" i="2027"/>
  <c r="D35" i="2027"/>
  <c r="R34" i="2027"/>
  <c r="H34" i="2027"/>
  <c r="D34" i="2027"/>
  <c r="R33" i="2027"/>
  <c r="R32" i="2027"/>
  <c r="L11" i="2027" s="1"/>
  <c r="D11" i="2027" s="1"/>
  <c r="R31" i="2027"/>
  <c r="R30" i="2027"/>
  <c r="R29" i="2027"/>
  <c r="R28" i="2027"/>
  <c r="R27" i="2027"/>
  <c r="L27" i="2027"/>
  <c r="D27" i="2027"/>
  <c r="R26" i="2027"/>
  <c r="L26" i="2027"/>
  <c r="D26" i="2027"/>
  <c r="R25" i="2027"/>
  <c r="L25" i="2027"/>
  <c r="D25" i="2027" s="1"/>
  <c r="R24" i="2027"/>
  <c r="L24" i="2027"/>
  <c r="D24" i="2027"/>
  <c r="R23" i="2027"/>
  <c r="L23" i="2027"/>
  <c r="D23" i="2027" s="1"/>
  <c r="R22" i="2027"/>
  <c r="L20" i="2027" s="1"/>
  <c r="D20" i="2027" s="1"/>
  <c r="L22" i="2027"/>
  <c r="D22" i="2027"/>
  <c r="R21" i="2027"/>
  <c r="L21" i="2027"/>
  <c r="D21" i="2027"/>
  <c r="R20" i="2027"/>
  <c r="R19" i="2027"/>
  <c r="L19" i="2027"/>
  <c r="D19" i="2027"/>
  <c r="R18" i="2027"/>
  <c r="L18" i="2027"/>
  <c r="D18" i="2027"/>
  <c r="R17" i="2027"/>
  <c r="L17" i="2027"/>
  <c r="D17" i="2027" s="1"/>
  <c r="R16" i="2027"/>
  <c r="R15" i="2027"/>
  <c r="L15" i="2027"/>
  <c r="D15" i="2027" s="1"/>
  <c r="R14" i="2027"/>
  <c r="D14" i="2027"/>
  <c r="R13" i="2027"/>
  <c r="D13" i="2027"/>
  <c r="R12" i="2027"/>
  <c r="L12" i="2027"/>
  <c r="D12" i="2027" s="1"/>
  <c r="R11" i="2027"/>
  <c r="L8" i="2027"/>
  <c r="D8" i="2027"/>
  <c r="L7" i="2027"/>
  <c r="D7" i="2027"/>
  <c r="R6" i="2027"/>
  <c r="L16" i="2027" s="1"/>
  <c r="D16" i="2027" s="1"/>
  <c r="L6" i="2027"/>
  <c r="D6" i="2027" s="1"/>
  <c r="R5" i="2027"/>
  <c r="R4" i="2027"/>
  <c r="R52" i="2026"/>
  <c r="R51" i="2026"/>
  <c r="D50" i="2026"/>
  <c r="R49" i="2026"/>
  <c r="G49" i="2026"/>
  <c r="D49" i="2026"/>
  <c r="R48" i="2026"/>
  <c r="D48" i="2026"/>
  <c r="D46" i="2026"/>
  <c r="D45" i="2026"/>
  <c r="D44" i="2026"/>
  <c r="R42" i="2026"/>
  <c r="L6" i="2026" s="1"/>
  <c r="D6" i="2026" s="1"/>
  <c r="D42" i="2026"/>
  <c r="R41" i="2026"/>
  <c r="L7" i="2026" s="1"/>
  <c r="D7" i="2026" s="1"/>
  <c r="D41" i="2026"/>
  <c r="R40" i="2026"/>
  <c r="D40" i="2026"/>
  <c r="R39" i="2026"/>
  <c r="D39" i="2026"/>
  <c r="R38" i="2026"/>
  <c r="L9" i="2026" s="1"/>
  <c r="D9" i="2026" s="1"/>
  <c r="D38" i="2026"/>
  <c r="R37" i="2026"/>
  <c r="D37" i="2026"/>
  <c r="R36" i="2026"/>
  <c r="L10" i="2026" s="1"/>
  <c r="D10" i="2026" s="1"/>
  <c r="D36" i="2026"/>
  <c r="R35" i="2026"/>
  <c r="D35" i="2026"/>
  <c r="R34" i="2026"/>
  <c r="D34" i="2026"/>
  <c r="D54" i="2026" s="1"/>
  <c r="H14" i="2026" s="1"/>
  <c r="R33" i="2026"/>
  <c r="R32" i="2026"/>
  <c r="R31" i="2026"/>
  <c r="R30" i="2026"/>
  <c r="R29" i="2026"/>
  <c r="R28" i="2026"/>
  <c r="D28" i="2026"/>
  <c r="R27" i="2026"/>
  <c r="D27" i="2026"/>
  <c r="R26" i="2026"/>
  <c r="L26" i="2026"/>
  <c r="D26" i="2026"/>
  <c r="R25" i="2026"/>
  <c r="L25" i="2026"/>
  <c r="D25" i="2026"/>
  <c r="R24" i="2026"/>
  <c r="D24" i="2026"/>
  <c r="R23" i="2026"/>
  <c r="L23" i="2026"/>
  <c r="D23" i="2026"/>
  <c r="R22" i="2026"/>
  <c r="L22" i="2026"/>
  <c r="D22" i="2026"/>
  <c r="R21" i="2026"/>
  <c r="D21" i="2026"/>
  <c r="R20" i="2026"/>
  <c r="L20" i="2026"/>
  <c r="D20" i="2026"/>
  <c r="R19" i="2026"/>
  <c r="L19" i="2026"/>
  <c r="D19" i="2026"/>
  <c r="R18" i="2026"/>
  <c r="D18" i="2026"/>
  <c r="R17" i="2026"/>
  <c r="D17" i="2026"/>
  <c r="R16" i="2026"/>
  <c r="L16" i="2026"/>
  <c r="D16" i="2026" s="1"/>
  <c r="S15" i="2026"/>
  <c r="R15" i="2026"/>
  <c r="D15" i="2026"/>
  <c r="S14" i="2026"/>
  <c r="R14" i="2026"/>
  <c r="D14" i="2026"/>
  <c r="R13" i="2026"/>
  <c r="D13" i="2026"/>
  <c r="R12" i="2026"/>
  <c r="L12" i="2026"/>
  <c r="D12" i="2026"/>
  <c r="R11" i="2026"/>
  <c r="L11" i="2026"/>
  <c r="D11" i="2026"/>
  <c r="L8" i="2026"/>
  <c r="D8" i="2026"/>
  <c r="R6" i="2026"/>
  <c r="R5" i="2026"/>
  <c r="R4" i="2026"/>
  <c r="G49" i="2029" l="1"/>
  <c r="G49" i="2028"/>
  <c r="G49" i="2027"/>
  <c r="D54" i="2029"/>
  <c r="H14" i="2029" s="1"/>
  <c r="D54" i="2028"/>
  <c r="H14" i="2028" s="1"/>
  <c r="D54" i="2027"/>
  <c r="H14" i="2027" s="1"/>
  <c r="D29" i="2029"/>
  <c r="H13" i="2029" s="1"/>
  <c r="D29" i="2028"/>
  <c r="H13" i="2028" s="1"/>
  <c r="H15" i="2028" s="1"/>
  <c r="H29" i="2028" s="1"/>
  <c r="D29" i="2027"/>
  <c r="H13" i="2027" s="1"/>
  <c r="D29" i="2026"/>
  <c r="H13" i="2026" s="1"/>
  <c r="H15" i="2026" s="1"/>
  <c r="H29" i="2026" s="1"/>
  <c r="G51" i="2026" s="1"/>
  <c r="G51" i="2028" l="1"/>
  <c r="H15" i="2029"/>
  <c r="H29" i="2029" s="1"/>
  <c r="G51" i="2029" s="1"/>
  <c r="H15" i="2027"/>
  <c r="H29" i="2027" s="1"/>
  <c r="G51" i="2027" s="1"/>
</calcChain>
</file>

<file path=xl/sharedStrings.xml><?xml version="1.0" encoding="utf-8"?>
<sst xmlns="http://schemas.openxmlformats.org/spreadsheetml/2006/main" count="3756" uniqueCount="136">
  <si>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</si>
  <si>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</si>
  <si>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</si>
  <si>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</si>
  <si>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</si>
  <si>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</si>
  <si>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</si>
  <si>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</si>
  <si>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</si>
  <si>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</si>
  <si>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</si>
  <si>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</si>
  <si>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</si>
  <si>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</si>
  <si>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</si>
  <si>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</si>
  <si>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</si>
  <si>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</si>
  <si>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</si>
  <si>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</si>
  <si>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</si>
  <si>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</si>
  <si>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</si>
  <si>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</si>
  <si>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</si>
  <si>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</si>
  <si>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</si>
  <si>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</si>
  <si>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</si>
  <si>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</si>
  <si>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</si>
  <si>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</si>
  <si>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</si>
  <si>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</si>
  <si>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</si>
  <si>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</si>
  <si>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</si>
  <si>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</si>
  <si>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</si>
  <si>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</si>
  <si>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</si>
  <si>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</si>
  <si>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</si>
  <si>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</si>
  <si>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</si>
  <si>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</si>
  <si>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</si>
  <si>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</si>
  <si>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</si>
  <si>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</si>
  <si>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</si>
  <si>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</si>
  <si>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</si>
  <si>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</si>
  <si>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</si>
  <si>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</si>
  <si>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</si>
  <si>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</si>
  <si>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</si>
  <si>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</si>
  <si>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</si>
  <si>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</si>
  <si>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</si>
  <si>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</si>
  <si>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</si>
  <si>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</si>
  <si>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</si>
  <si>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</si>
  <si>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</si>
  <si>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</si>
  <si>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</si>
  <si>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</si>
  <si>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</si>
  <si>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</si>
  <si>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</si>
  <si>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</si>
  <si>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</si>
  <si>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</si>
  <si>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</si>
  <si>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</si>
  <si>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</si>
  <si>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</si>
  <si>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</si>
  <si>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</si>
  <si>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</si>
  <si>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</si>
  <si>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</si>
  <si>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</si>
  <si>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</si>
  <si>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</si>
  <si>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</si>
  <si>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</si>
  <si>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</si>
  <si>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</si>
  <si>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</si>
  <si>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</si>
  <si>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</si>
  <si>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</si>
  <si>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</si>
  <si>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</si>
  <si>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</si>
  <si>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</si>
  <si>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</si>
  <si>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</si>
  <si>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</si>
  <si>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</si>
  <si>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</si>
  <si>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</si>
  <si>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</si>
  <si>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</si>
  <si>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GOMORA, JURLAN</t>
  </si>
  <si>
    <t>CC/CIC/C10C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</si>
  <si>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</si>
  <si>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</si>
  <si>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</si>
  <si>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</si>
  <si>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</si>
  <si>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</si>
  <si>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</si>
  <si>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</si>
  <si>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</si>
  <si>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</si>
  <si>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</si>
  <si>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</si>
  <si>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</si>
  <si>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</si>
  <si>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</si>
  <si>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</si>
  <si>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</si>
  <si>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</si>
  <si>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</si>
  <si>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</si>
  <si>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BDO</t>
  </si>
  <si>
    <t>43052</t>
  </si>
  <si>
    <t>56758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</si>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</sst>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7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4" fillId="0" borderId="16" xfId="0" applyFont="1" applyBorder="1"/>
    <xf numFmtId="0" fontId="23" fillId="0" borderId="21" xfId="0" applyFont="1" applyBorder="1"/>
    <xf numFmtId="0" fontId="23" fillId="0" borderId="0" xfId="0" applyFont="1"/>
    <xf numFmtId="0" fontId="23" fillId="0" borderId="10" xfId="0" applyFont="1" applyBorder="1"/>
    <xf numFmtId="0" fontId="23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0" fontId="0" fillId="0" borderId="10" xfId="0" applyFont="1" applyBorder="1" applyAlignment="1">
      <alignment horizontal="right" vertical="center" wrapText="1"/>
    </xf>
    <xf numFmtId="0" fontId="0" fillId="0" borderId="21" xfId="0" applyFont="1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DCF182-B056-433E-9699-A947CA18FC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2988FA-1846-4B4E-89F3-861534A46E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BE2227-E914-4014-BADD-DFE7C8C16F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A90CF2-FC10-4F5A-8640-E531FB2DC3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3A810-AD30-4021-9FC0-EAADB51564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7DDB22-041D-4AB3-A35E-5DC1ED4920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DD512E-A587-44CB-8027-9DD24AF7CB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2AE930-848F-40C2-B71F-DD9465B25D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0A1FB1-5720-4CEE-87BC-80878C5C8E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F8DC10-F125-41A7-B1CE-DBDC505CA6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D74EE4-ABD6-437C-97CD-65E64AC773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D4CE0C-44A4-466C-9D45-3BD0C27205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09CD6F-5E27-4D5E-AC37-1EEA9CEF89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5ED97C-E41F-4A5A-BA37-F5D565BAB5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FE5394-6D87-4905-A9EB-BFBFE3D68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2C7CE7-B386-4CB4-A1CB-B1171AC88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716825-A574-4D7E-99BF-1C57B16267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ED990E-557B-4BF5-A536-232AC69A5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1DAB7C-F2A1-4694-8FA3-14E9EB0E0E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2B7494-5C78-476E-9029-C76F3418D2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E6B3E6-CB02-47F9-8E0B-25230D0B03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AD28F6-BC20-4C86-BDBC-0E336E4696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4ABAC8-6C8F-492E-AE9B-D43C9070DD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8DE3A1-F3DD-46B2-A5A2-D89B2C57FB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B09B3D-DCF3-4261-8433-EE6B23CD4C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CF0777-9F1C-423B-8E86-BC04E5F11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9806D9-60C2-4214-B2B4-8285A0FE0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D97D1F1-3478-4E1D-A24D-B51DB3161C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CC33A-3394-4189-86DC-5D3AEFBB4E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38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39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44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46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102</v>
      </c>
      <c r="H20" s="151"/>
      <c r="I20" s="151"/>
      <c r="J20" s="15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91"/>
      <c r="G28" s="61"/>
      <c r="H28" s="186"/>
      <c r="I28" s="187"/>
      <c r="J28" s="18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54</v>
      </c>
      <c r="G29" s="161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57</v>
      </c>
      <c r="B32" s="100"/>
      <c r="C32" s="100"/>
      <c r="D32" s="101"/>
      <c r="F32" s="189" t="s">
        <v>58</v>
      </c>
      <c r="G32" s="190"/>
      <c r="H32" s="190"/>
      <c r="I32" s="190"/>
      <c r="J32" s="19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67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69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67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69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67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69</v>
      </c>
      <c r="C42" s="11"/>
      <c r="D42" s="12">
        <f>C42*2.25</f>
        <v>0</v>
      </c>
      <c r="F42" s="39" t="s">
        <v>78</v>
      </c>
      <c r="G42" s="192"/>
      <c r="H42" s="193"/>
      <c r="I42" s="193"/>
      <c r="J42" s="19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80</v>
      </c>
      <c r="C43" s="11"/>
      <c r="D43" s="12"/>
      <c r="F43" s="59" t="s">
        <v>81</v>
      </c>
      <c r="G43" s="88" t="s">
        <v>82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65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67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69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65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67</v>
      </c>
      <c r="C49" s="33"/>
      <c r="D49" s="12">
        <f>C49*42</f>
        <v>0</v>
      </c>
      <c r="F49" s="217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69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106</v>
      </c>
      <c r="G51" s="221">
        <f>G49-H29</f>
        <v>0</v>
      </c>
      <c r="H51" s="222"/>
      <c r="I51" s="222"/>
      <c r="J51" s="22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0" t="s">
        <v>89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90</v>
      </c>
      <c r="B58" s="212"/>
      <c r="C58" s="212"/>
      <c r="D58" s="213"/>
      <c r="F58" s="211" t="s">
        <v>91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C395-3269-4908-B3E7-2B57213355C0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46143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704</v>
      </c>
      <c r="D6" s="13">
        <f t="shared" ref="D6:D28" si="1">C6*L6</f>
        <v>535744</v>
      </c>
      <c r="F6" s="115" t="s">
        <v>16</v>
      </c>
      <c r="G6" s="117" t="s">
        <v>99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120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3</v>
      </c>
      <c r="D9" s="13">
        <f t="shared" si="1"/>
        <v>2199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108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25</v>
      </c>
      <c r="D13" s="48">
        <f t="shared" si="1"/>
        <v>7675</v>
      </c>
      <c r="F13" s="137" t="s">
        <v>36</v>
      </c>
      <c r="G13" s="138"/>
      <c r="H13" s="139">
        <f>D29</f>
        <v>545651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3</v>
      </c>
      <c r="D14" s="31">
        <f t="shared" si="1"/>
        <v>33</v>
      </c>
      <c r="F14" s="142" t="s">
        <v>38</v>
      </c>
      <c r="G14" s="143"/>
      <c r="H14" s="144">
        <f>D54</f>
        <v>100678.5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122</v>
      </c>
      <c r="C15" s="10"/>
      <c r="D15" s="31">
        <f t="shared" si="1"/>
        <v>0</v>
      </c>
      <c r="F15" s="147" t="s">
        <v>39</v>
      </c>
      <c r="G15" s="138"/>
      <c r="H15" s="148">
        <f>H13-H14</f>
        <v>444972.5</v>
      </c>
      <c r="I15" s="149"/>
      <c r="J15" s="15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1">
        <v>3240</v>
      </c>
      <c r="I16" s="151"/>
      <c r="J16" s="15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4"/>
      <c r="I18" s="124"/>
      <c r="J18" s="12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1"/>
      <c r="I19" s="151"/>
      <c r="J19" s="15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1"/>
      <c r="I20" s="151"/>
      <c r="J20" s="15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121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129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130</v>
      </c>
      <c r="C27" s="10"/>
      <c r="D27" s="44">
        <f t="shared" si="1"/>
        <v>0</v>
      </c>
      <c r="F27" s="71"/>
      <c r="G27" s="88"/>
      <c r="H27" s="229"/>
      <c r="I27" s="230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92</v>
      </c>
      <c r="C28" s="10"/>
      <c r="D28" s="48">
        <f t="shared" si="1"/>
        <v>0</v>
      </c>
      <c r="F28" s="91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545651</v>
      </c>
      <c r="F29" s="160" t="s">
        <v>54</v>
      </c>
      <c r="G29" s="161"/>
      <c r="H29" s="164">
        <f>H15-H16-H17-H18-H19-H20-H22-H23-H24+H26+H27+H28</f>
        <v>441732.5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57</v>
      </c>
      <c r="B32" s="100"/>
      <c r="C32" s="100"/>
      <c r="D32" s="101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315</v>
      </c>
      <c r="H34" s="192">
        <f t="shared" ref="H34:H39" si="2">F34*G34</f>
        <v>315000</v>
      </c>
      <c r="I34" s="193"/>
      <c r="J34" s="19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67</v>
      </c>
      <c r="C35" s="52"/>
      <c r="D35" s="30">
        <f>C35*84</f>
        <v>0</v>
      </c>
      <c r="F35" s="58">
        <v>500</v>
      </c>
      <c r="G35" s="41">
        <v>252</v>
      </c>
      <c r="H35" s="192">
        <f t="shared" si="2"/>
        <v>126000</v>
      </c>
      <c r="I35" s="193"/>
      <c r="J35" s="19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69</v>
      </c>
      <c r="C36" s="10"/>
      <c r="D36" s="12">
        <f>C36*1.5</f>
        <v>0</v>
      </c>
      <c r="F36" s="12">
        <v>200</v>
      </c>
      <c r="G36" s="37"/>
      <c r="H36" s="192">
        <f t="shared" si="2"/>
        <v>0</v>
      </c>
      <c r="I36" s="193"/>
      <c r="J36" s="19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71</v>
      </c>
      <c r="B37" s="28" t="s">
        <v>65</v>
      </c>
      <c r="C37" s="53">
        <v>890</v>
      </c>
      <c r="D37" s="12">
        <f>C37*111</f>
        <v>98790</v>
      </c>
      <c r="F37" s="12">
        <v>100</v>
      </c>
      <c r="G37" s="39">
        <v>5</v>
      </c>
      <c r="H37" s="192">
        <f t="shared" si="2"/>
        <v>500</v>
      </c>
      <c r="I37" s="193"/>
      <c r="J37" s="19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</v>
      </c>
      <c r="H38" s="192">
        <f t="shared" si="2"/>
        <v>150</v>
      </c>
      <c r="I38" s="193"/>
      <c r="J38" s="19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192">
        <f t="shared" si="2"/>
        <v>20</v>
      </c>
      <c r="I39" s="193"/>
      <c r="J39" s="19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92"/>
      <c r="I40" s="193"/>
      <c r="J40" s="19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67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69</v>
      </c>
      <c r="C42" s="11"/>
      <c r="D42" s="12">
        <f>C42*2.25</f>
        <v>0</v>
      </c>
      <c r="F42" s="39" t="s">
        <v>78</v>
      </c>
      <c r="G42" s="192">
        <v>86</v>
      </c>
      <c r="H42" s="193"/>
      <c r="I42" s="193"/>
      <c r="J42" s="19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80</v>
      </c>
      <c r="C43" s="11"/>
      <c r="D43" s="12"/>
      <c r="F43" s="59" t="s">
        <v>81</v>
      </c>
      <c r="G43" s="88" t="s">
        <v>82</v>
      </c>
      <c r="H43" s="198" t="s">
        <v>13</v>
      </c>
      <c r="I43" s="199"/>
      <c r="J43" s="20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6"/>
      <c r="B44" s="27" t="s">
        <v>65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67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69</v>
      </c>
      <c r="C46" s="81">
        <v>4</v>
      </c>
      <c r="D46" s="12">
        <f>C46*1.5</f>
        <v>6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202"/>
      <c r="I48" s="203"/>
      <c r="J48" s="20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67</v>
      </c>
      <c r="C49" s="33">
        <v>11</v>
      </c>
      <c r="D49" s="12">
        <f>C49*42</f>
        <v>462</v>
      </c>
      <c r="F49" s="217" t="s">
        <v>85</v>
      </c>
      <c r="G49" s="164">
        <f>H34+H35+H36+H37+H38+H39+H40+H41+G42+H44+H45+H46</f>
        <v>441756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69</v>
      </c>
      <c r="C50" s="11">
        <v>22</v>
      </c>
      <c r="D50" s="12">
        <f>C50*1.5</f>
        <v>33</v>
      </c>
      <c r="F50" s="218"/>
      <c r="G50" s="167"/>
      <c r="H50" s="168"/>
      <c r="I50" s="168"/>
      <c r="J50" s="169"/>
      <c r="O50" t="s">
        <v>114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31" t="s">
        <v>135</v>
      </c>
      <c r="G51" s="233">
        <f>G49-H29</f>
        <v>23.5</v>
      </c>
      <c r="H51" s="234"/>
      <c r="I51" s="234"/>
      <c r="J51" s="23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32"/>
      <c r="G52" s="236"/>
      <c r="H52" s="237"/>
      <c r="I52" s="237"/>
      <c r="J52" s="23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0" t="s">
        <v>89</v>
      </c>
      <c r="B54" s="205"/>
      <c r="C54" s="206"/>
      <c r="D54" s="209">
        <f>SUM(D34:D53)</f>
        <v>100678.5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90</v>
      </c>
      <c r="B58" s="212"/>
      <c r="C58" s="212"/>
      <c r="D58" s="213"/>
      <c r="F58" s="211" t="s">
        <v>91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AA40C-3B26-4993-85BE-2A4CA0209C2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46143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292</v>
      </c>
      <c r="D6" s="13">
        <f t="shared" ref="D6:D28" si="1">C6*L6</f>
        <v>222212</v>
      </c>
      <c r="F6" s="115" t="s">
        <v>16</v>
      </c>
      <c r="G6" s="117" t="s">
        <v>107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6</v>
      </c>
      <c r="D7" s="13">
        <f t="shared" si="1"/>
        <v>4686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100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7</v>
      </c>
      <c r="D9" s="13">
        <f t="shared" si="1"/>
        <v>5131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101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7</v>
      </c>
      <c r="D13" s="48">
        <f t="shared" si="1"/>
        <v>2149</v>
      </c>
      <c r="F13" s="137" t="s">
        <v>36</v>
      </c>
      <c r="G13" s="138"/>
      <c r="H13" s="139">
        <f>D29</f>
        <v>236796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5</v>
      </c>
      <c r="D14" s="31">
        <f t="shared" si="1"/>
        <v>55</v>
      </c>
      <c r="F14" s="142" t="s">
        <v>38</v>
      </c>
      <c r="G14" s="143"/>
      <c r="H14" s="144">
        <f>D54</f>
        <v>38545.5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122</v>
      </c>
      <c r="C15" s="10"/>
      <c r="D15" s="31">
        <f t="shared" si="1"/>
        <v>0</v>
      </c>
      <c r="F15" s="147" t="s">
        <v>39</v>
      </c>
      <c r="G15" s="138"/>
      <c r="H15" s="148">
        <f>H13-H14</f>
        <v>198250.5</v>
      </c>
      <c r="I15" s="149"/>
      <c r="J15" s="15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1">
        <v>1518</v>
      </c>
      <c r="I16" s="151"/>
      <c r="J16" s="15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86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24"/>
      <c r="I18" s="124"/>
      <c r="J18" s="12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39"/>
      <c r="I19" s="239"/>
      <c r="J19" s="23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24"/>
      <c r="I20" s="124"/>
      <c r="J20" s="12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103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121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128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129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130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92</v>
      </c>
      <c r="C28" s="10">
        <v>1</v>
      </c>
      <c r="D28" s="48">
        <f t="shared" si="1"/>
        <v>811</v>
      </c>
      <c r="F28" s="91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236796</v>
      </c>
      <c r="F29" s="160" t="s">
        <v>54</v>
      </c>
      <c r="G29" s="161"/>
      <c r="H29" s="164">
        <f>H15-H16-H17-H18-H19-H20-H22-H23-H24+H26+H27</f>
        <v>196732.5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57</v>
      </c>
      <c r="B32" s="100"/>
      <c r="C32" s="100"/>
      <c r="D32" s="101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166</v>
      </c>
      <c r="H34" s="192">
        <f>F34*G34</f>
        <v>166000</v>
      </c>
      <c r="I34" s="193"/>
      <c r="J34" s="19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67</v>
      </c>
      <c r="C35" s="52"/>
      <c r="D35" s="30">
        <f>C35*84</f>
        <v>0</v>
      </c>
      <c r="F35" s="58">
        <v>500</v>
      </c>
      <c r="G35" s="41">
        <v>60</v>
      </c>
      <c r="H35" s="192">
        <f t="shared" ref="H35:H39" si="2">F35*G35</f>
        <v>30000</v>
      </c>
      <c r="I35" s="193"/>
      <c r="J35" s="19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69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>
        <v>5</v>
      </c>
      <c r="H37" s="192">
        <f t="shared" si="2"/>
        <v>500</v>
      </c>
      <c r="I37" s="193"/>
      <c r="J37" s="19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192">
        <f t="shared" si="2"/>
        <v>0</v>
      </c>
      <c r="I38" s="193"/>
      <c r="J38" s="19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2">
        <f t="shared" si="2"/>
        <v>0</v>
      </c>
      <c r="I39" s="193"/>
      <c r="J39" s="19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92"/>
      <c r="I40" s="193"/>
      <c r="J40" s="19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67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69</v>
      </c>
      <c r="C42" s="11">
        <v>4</v>
      </c>
      <c r="D42" s="12">
        <f>C42*2.25</f>
        <v>9</v>
      </c>
      <c r="F42" s="39" t="s">
        <v>78</v>
      </c>
      <c r="G42" s="192">
        <v>50</v>
      </c>
      <c r="H42" s="193"/>
      <c r="I42" s="193"/>
      <c r="J42" s="19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80</v>
      </c>
      <c r="C43" s="11"/>
      <c r="D43" s="12"/>
      <c r="F43" s="59" t="s">
        <v>81</v>
      </c>
      <c r="G43" s="88" t="s">
        <v>82</v>
      </c>
      <c r="H43" s="198" t="s">
        <v>13</v>
      </c>
      <c r="I43" s="199"/>
      <c r="J43" s="20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6"/>
      <c r="B44" s="27" t="s">
        <v>65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67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69</v>
      </c>
      <c r="C46" s="81"/>
      <c r="D46" s="12">
        <f>C46*1.5</f>
        <v>0</v>
      </c>
      <c r="F46" s="37"/>
      <c r="G46" s="89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02"/>
      <c r="I48" s="203"/>
      <c r="J48" s="20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67</v>
      </c>
      <c r="C49" s="33">
        <v>12</v>
      </c>
      <c r="D49" s="12">
        <f>C49*42</f>
        <v>504</v>
      </c>
      <c r="F49" s="217" t="s">
        <v>85</v>
      </c>
      <c r="G49" s="164">
        <f>H34+H35+H36+H37+H38+H39+H40+H41+G42+H44+H45+H46</f>
        <v>196550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69</v>
      </c>
      <c r="C50" s="11">
        <v>16</v>
      </c>
      <c r="D50" s="12">
        <f>C50*1.5</f>
        <v>24</v>
      </c>
      <c r="F50" s="218"/>
      <c r="G50" s="167"/>
      <c r="H50" s="168"/>
      <c r="I50" s="168"/>
      <c r="J50" s="169"/>
      <c r="O50" t="s">
        <v>114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131</v>
      </c>
      <c r="G51" s="240">
        <f>G49-H29</f>
        <v>-182.5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0" t="s">
        <v>89</v>
      </c>
      <c r="B54" s="205"/>
      <c r="C54" s="206"/>
      <c r="D54" s="209">
        <f>SUM(D34:D53)</f>
        <v>38545.5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90</v>
      </c>
      <c r="B58" s="212"/>
      <c r="C58" s="212"/>
      <c r="D58" s="213"/>
      <c r="F58" s="211" t="s">
        <v>91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4AF2C-0A3E-4F26-9048-518DA5A77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46143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530</v>
      </c>
      <c r="D6" s="13">
        <f t="shared" ref="D6:D28" si="1">C6*L6</f>
        <v>403330</v>
      </c>
      <c r="F6" s="115" t="s">
        <v>16</v>
      </c>
      <c r="G6" s="117" t="s">
        <v>117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7</v>
      </c>
      <c r="D7" s="13">
        <f t="shared" si="1"/>
        <v>5467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56</v>
      </c>
      <c r="D9" s="13">
        <f t="shared" si="1"/>
        <v>41048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124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19</v>
      </c>
      <c r="D13" s="48">
        <f t="shared" si="1"/>
        <v>5833</v>
      </c>
      <c r="F13" s="137" t="s">
        <v>36</v>
      </c>
      <c r="G13" s="138"/>
      <c r="H13" s="139">
        <f>D29</f>
        <v>456978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38</v>
      </c>
      <c r="G14" s="143"/>
      <c r="H14" s="144">
        <f>D54</f>
        <v>68901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122</v>
      </c>
      <c r="C15" s="10"/>
      <c r="D15" s="31">
        <f t="shared" si="1"/>
        <v>0</v>
      </c>
      <c r="F15" s="147" t="s">
        <v>39</v>
      </c>
      <c r="G15" s="138"/>
      <c r="H15" s="148">
        <f>H13-H14</f>
        <v>388077</v>
      </c>
      <c r="I15" s="149"/>
      <c r="J15" s="15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1">
        <f>978+1080+708</f>
        <v>2766</v>
      </c>
      <c r="I16" s="151"/>
      <c r="J16" s="15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4"/>
      <c r="I18" s="124"/>
      <c r="J18" s="12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1"/>
      <c r="I20" s="151"/>
      <c r="J20" s="15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121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128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92</v>
      </c>
      <c r="C28" s="10"/>
      <c r="D28" s="48">
        <f t="shared" si="1"/>
        <v>0</v>
      </c>
      <c r="F28" s="91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456978</v>
      </c>
      <c r="F29" s="160" t="s">
        <v>54</v>
      </c>
      <c r="G29" s="161"/>
      <c r="H29" s="164">
        <f>H15-H16-H17-H18-H19-H20-H22-H23-H24+H26+H27</f>
        <v>385311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57</v>
      </c>
      <c r="B32" s="100"/>
      <c r="C32" s="100"/>
      <c r="D32" s="101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126</v>
      </c>
      <c r="H34" s="192">
        <f>F34*G34</f>
        <v>126000</v>
      </c>
      <c r="I34" s="193"/>
      <c r="J34" s="19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67</v>
      </c>
      <c r="C35" s="52"/>
      <c r="D35" s="30">
        <f>C35*84</f>
        <v>0</v>
      </c>
      <c r="F35" s="58">
        <v>500</v>
      </c>
      <c r="G35" s="41">
        <v>63</v>
      </c>
      <c r="H35" s="192">
        <f>F35*G35</f>
        <v>31500</v>
      </c>
      <c r="I35" s="193"/>
      <c r="J35" s="19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69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71</v>
      </c>
      <c r="B37" s="28" t="s">
        <v>65</v>
      </c>
      <c r="C37" s="53">
        <v>601</v>
      </c>
      <c r="D37" s="12">
        <f>C37*111</f>
        <v>66711</v>
      </c>
      <c r="F37" s="12">
        <v>100</v>
      </c>
      <c r="G37" s="39">
        <v>46</v>
      </c>
      <c r="H37" s="192">
        <f t="shared" si="2"/>
        <v>4600</v>
      </c>
      <c r="I37" s="193"/>
      <c r="J37" s="19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3</v>
      </c>
      <c r="H38" s="192">
        <f t="shared" si="2"/>
        <v>150</v>
      </c>
      <c r="I38" s="193"/>
      <c r="J38" s="19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69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92"/>
      <c r="I40" s="193"/>
      <c r="J40" s="19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67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69</v>
      </c>
      <c r="C42" s="11"/>
      <c r="D42" s="12">
        <f>C42*2.25</f>
        <v>0</v>
      </c>
      <c r="F42" s="39" t="s">
        <v>78</v>
      </c>
      <c r="G42" s="192">
        <v>94</v>
      </c>
      <c r="H42" s="193"/>
      <c r="I42" s="193"/>
      <c r="J42" s="19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80</v>
      </c>
      <c r="C43" s="11"/>
      <c r="D43" s="12"/>
      <c r="F43" s="59" t="s">
        <v>81</v>
      </c>
      <c r="G43" s="88" t="s">
        <v>82</v>
      </c>
      <c r="H43" s="198" t="s">
        <v>13</v>
      </c>
      <c r="I43" s="199"/>
      <c r="J43" s="20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6"/>
      <c r="B44" s="27" t="s">
        <v>65</v>
      </c>
      <c r="C44" s="10"/>
      <c r="D44" s="12">
        <f>C44*120</f>
        <v>0</v>
      </c>
      <c r="F44" s="37" t="s">
        <v>132</v>
      </c>
      <c r="G44" s="62" t="s">
        <v>133</v>
      </c>
      <c r="H44" s="176">
        <v>105524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67</v>
      </c>
      <c r="C45" s="33"/>
      <c r="D45" s="12">
        <f>C45*84</f>
        <v>0</v>
      </c>
      <c r="F45" s="37" t="s">
        <v>132</v>
      </c>
      <c r="G45" s="62" t="s">
        <v>134</v>
      </c>
      <c r="H45" s="176">
        <v>118301</v>
      </c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69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202"/>
      <c r="I48" s="203"/>
      <c r="J48" s="20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67</v>
      </c>
      <c r="C49" s="33">
        <v>2</v>
      </c>
      <c r="D49" s="12">
        <f>C49*42</f>
        <v>84</v>
      </c>
      <c r="F49" s="217" t="s">
        <v>85</v>
      </c>
      <c r="G49" s="164">
        <f>H34+H35+H36+H37+H38+H39+H40+H41+G42+H44+H45+H46</f>
        <v>386169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69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114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115</v>
      </c>
      <c r="G51" s="221">
        <f>G49-H29</f>
        <v>858</v>
      </c>
      <c r="H51" s="222"/>
      <c r="I51" s="222"/>
      <c r="J51" s="22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0" t="s">
        <v>89</v>
      </c>
      <c r="B54" s="205"/>
      <c r="C54" s="206"/>
      <c r="D54" s="209">
        <f>SUM(D34:D53)</f>
        <v>68901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90</v>
      </c>
      <c r="B58" s="212"/>
      <c r="C58" s="212"/>
      <c r="D58" s="213"/>
      <c r="F58" s="211" t="s">
        <v>91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FA120-1D1E-4EA9-9568-A1410D5DF8C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38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39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44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46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102</v>
      </c>
      <c r="H20" s="151"/>
      <c r="I20" s="151"/>
      <c r="J20" s="15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96"/>
      <c r="G28" s="61"/>
      <c r="H28" s="186"/>
      <c r="I28" s="187"/>
      <c r="J28" s="18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54</v>
      </c>
      <c r="G29" s="161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57</v>
      </c>
      <c r="B32" s="100"/>
      <c r="C32" s="100"/>
      <c r="D32" s="101"/>
      <c r="F32" s="189" t="s">
        <v>58</v>
      </c>
      <c r="G32" s="190"/>
      <c r="H32" s="190"/>
      <c r="I32" s="190"/>
      <c r="J32" s="19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67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69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67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69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67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69</v>
      </c>
      <c r="C42" s="11"/>
      <c r="D42" s="12">
        <f>C42*2.25</f>
        <v>0</v>
      </c>
      <c r="F42" s="39" t="s">
        <v>78</v>
      </c>
      <c r="G42" s="192"/>
      <c r="H42" s="193"/>
      <c r="I42" s="193"/>
      <c r="J42" s="19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80</v>
      </c>
      <c r="C43" s="11"/>
      <c r="D43" s="12"/>
      <c r="F43" s="59" t="s">
        <v>81</v>
      </c>
      <c r="G43" s="93" t="s">
        <v>82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65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67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69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65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67</v>
      </c>
      <c r="C49" s="33"/>
      <c r="D49" s="12">
        <f>C49*42</f>
        <v>0</v>
      </c>
      <c r="F49" s="217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69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106</v>
      </c>
      <c r="G51" s="221">
        <f>G49-H29</f>
        <v>0</v>
      </c>
      <c r="H51" s="222"/>
      <c r="I51" s="222"/>
      <c r="J51" s="22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0" t="s">
        <v>89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90</v>
      </c>
      <c r="B58" s="212"/>
      <c r="C58" s="212"/>
      <c r="D58" s="213"/>
      <c r="F58" s="211" t="s">
        <v>91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BC8DC-9C35-494E-924A-55B35D5980D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46146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99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120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108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38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122</v>
      </c>
      <c r="C15" s="10"/>
      <c r="D15" s="31">
        <f t="shared" si="1"/>
        <v>0</v>
      </c>
      <c r="F15" s="147" t="s">
        <v>39</v>
      </c>
      <c r="G15" s="138"/>
      <c r="H15" s="148">
        <f>H13-H14</f>
        <v>0</v>
      </c>
      <c r="I15" s="149"/>
      <c r="J15" s="15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1"/>
      <c r="I16" s="151"/>
      <c r="J16" s="15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4"/>
      <c r="I18" s="124"/>
      <c r="J18" s="12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1"/>
      <c r="I19" s="151"/>
      <c r="J19" s="15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1"/>
      <c r="I20" s="151"/>
      <c r="J20" s="15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121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129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130</v>
      </c>
      <c r="C27" s="10"/>
      <c r="D27" s="44">
        <f t="shared" si="1"/>
        <v>0</v>
      </c>
      <c r="F27" s="71"/>
      <c r="G27" s="93"/>
      <c r="H27" s="229"/>
      <c r="I27" s="230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92</v>
      </c>
      <c r="C28" s="10"/>
      <c r="D28" s="48">
        <f t="shared" si="1"/>
        <v>0</v>
      </c>
      <c r="F28" s="96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54</v>
      </c>
      <c r="G29" s="161"/>
      <c r="H29" s="164">
        <f>H15-H16-H17-H18-H19-H20-H22-H23-H24+H26+H27+H28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57</v>
      </c>
      <c r="B32" s="100"/>
      <c r="C32" s="100"/>
      <c r="D32" s="101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2">
        <f t="shared" ref="H34:H39" si="2">F34*G34</f>
        <v>0</v>
      </c>
      <c r="I34" s="193"/>
      <c r="J34" s="19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67</v>
      </c>
      <c r="C35" s="52"/>
      <c r="D35" s="30">
        <f>C35*84</f>
        <v>0</v>
      </c>
      <c r="F35" s="58">
        <v>500</v>
      </c>
      <c r="G35" s="41"/>
      <c r="H35" s="192">
        <f t="shared" si="2"/>
        <v>0</v>
      </c>
      <c r="I35" s="193"/>
      <c r="J35" s="19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69</v>
      </c>
      <c r="C36" s="10"/>
      <c r="D36" s="12">
        <f>C36*1.5</f>
        <v>0</v>
      </c>
      <c r="F36" s="12">
        <v>200</v>
      </c>
      <c r="G36" s="37"/>
      <c r="H36" s="192">
        <f t="shared" si="2"/>
        <v>0</v>
      </c>
      <c r="I36" s="193"/>
      <c r="J36" s="19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67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69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67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69</v>
      </c>
      <c r="C42" s="11"/>
      <c r="D42" s="12">
        <f>C42*2.25</f>
        <v>0</v>
      </c>
      <c r="F42" s="39" t="s">
        <v>78</v>
      </c>
      <c r="G42" s="192"/>
      <c r="H42" s="193"/>
      <c r="I42" s="193"/>
      <c r="J42" s="19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80</v>
      </c>
      <c r="C43" s="11"/>
      <c r="D43" s="12"/>
      <c r="F43" s="59" t="s">
        <v>81</v>
      </c>
      <c r="G43" s="93" t="s">
        <v>82</v>
      </c>
      <c r="H43" s="198" t="s">
        <v>13</v>
      </c>
      <c r="I43" s="199"/>
      <c r="J43" s="20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6"/>
      <c r="B44" s="27" t="s">
        <v>65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67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69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65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67</v>
      </c>
      <c r="C49" s="33"/>
      <c r="D49" s="12">
        <f>C49*42</f>
        <v>0</v>
      </c>
      <c r="F49" s="217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69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114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109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0" t="s">
        <v>89</v>
      </c>
      <c r="B54" s="205"/>
      <c r="C54" s="206"/>
      <c r="D54" s="20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90</v>
      </c>
      <c r="B58" s="212"/>
      <c r="C58" s="212"/>
      <c r="D58" s="213"/>
      <c r="F58" s="211" t="s">
        <v>91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DE12C-97E5-4DE5-BDD4-7748303F42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46146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107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100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101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38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122</v>
      </c>
      <c r="C15" s="10"/>
      <c r="D15" s="31">
        <f t="shared" si="1"/>
        <v>0</v>
      </c>
      <c r="F15" s="147" t="s">
        <v>39</v>
      </c>
      <c r="G15" s="138"/>
      <c r="H15" s="148">
        <f>H13-H14</f>
        <v>0</v>
      </c>
      <c r="I15" s="149"/>
      <c r="J15" s="15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1"/>
      <c r="I16" s="151"/>
      <c r="J16" s="15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4"/>
      <c r="I18" s="124"/>
      <c r="J18" s="12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39"/>
      <c r="I19" s="239"/>
      <c r="J19" s="23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24"/>
      <c r="I20" s="124"/>
      <c r="J20" s="12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103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121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128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129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130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92</v>
      </c>
      <c r="C28" s="10"/>
      <c r="D28" s="48">
        <f t="shared" si="1"/>
        <v>0</v>
      </c>
      <c r="F28" s="96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54</v>
      </c>
      <c r="G29" s="161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57</v>
      </c>
      <c r="B32" s="100"/>
      <c r="C32" s="100"/>
      <c r="D32" s="101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67</v>
      </c>
      <c r="C35" s="52"/>
      <c r="D35" s="30">
        <f>C35*84</f>
        <v>0</v>
      </c>
      <c r="F35" s="58">
        <v>500</v>
      </c>
      <c r="G35" s="41"/>
      <c r="H35" s="192">
        <f t="shared" ref="H35:H39" si="2">F35*G35</f>
        <v>0</v>
      </c>
      <c r="I35" s="193"/>
      <c r="J35" s="19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69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67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69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67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69</v>
      </c>
      <c r="C42" s="11"/>
      <c r="D42" s="12">
        <f>C42*2.25</f>
        <v>0</v>
      </c>
      <c r="F42" s="39" t="s">
        <v>78</v>
      </c>
      <c r="G42" s="192"/>
      <c r="H42" s="193"/>
      <c r="I42" s="193"/>
      <c r="J42" s="19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80</v>
      </c>
      <c r="C43" s="11"/>
      <c r="D43" s="12"/>
      <c r="F43" s="59" t="s">
        <v>81</v>
      </c>
      <c r="G43" s="93" t="s">
        <v>82</v>
      </c>
      <c r="H43" s="198" t="s">
        <v>13</v>
      </c>
      <c r="I43" s="199"/>
      <c r="J43" s="20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6"/>
      <c r="B44" s="27" t="s">
        <v>65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67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69</v>
      </c>
      <c r="C46" s="81"/>
      <c r="D46" s="12">
        <f>C46*1.5</f>
        <v>0</v>
      </c>
      <c r="F46" s="37"/>
      <c r="G46" s="94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65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67</v>
      </c>
      <c r="C49" s="33"/>
      <c r="D49" s="12">
        <f>C49*42</f>
        <v>0</v>
      </c>
      <c r="F49" s="217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69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114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112</v>
      </c>
      <c r="G51" s="221">
        <f>G49-H29</f>
        <v>0</v>
      </c>
      <c r="H51" s="222"/>
      <c r="I51" s="222"/>
      <c r="J51" s="22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0" t="s">
        <v>89</v>
      </c>
      <c r="B54" s="205"/>
      <c r="C54" s="206"/>
      <c r="D54" s="20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90</v>
      </c>
      <c r="B58" s="212"/>
      <c r="C58" s="212"/>
      <c r="D58" s="213"/>
      <c r="F58" s="211" t="s">
        <v>91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75459-EBEB-44EA-BD15-F3772CC98A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46146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117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124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38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122</v>
      </c>
      <c r="C15" s="10"/>
      <c r="D15" s="31">
        <f t="shared" si="1"/>
        <v>0</v>
      </c>
      <c r="F15" s="147" t="s">
        <v>39</v>
      </c>
      <c r="G15" s="138"/>
      <c r="H15" s="148">
        <f>H13-H14</f>
        <v>0</v>
      </c>
      <c r="I15" s="149"/>
      <c r="J15" s="15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1"/>
      <c r="I16" s="151"/>
      <c r="J16" s="15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4"/>
      <c r="I18" s="124"/>
      <c r="J18" s="12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1"/>
      <c r="I20" s="151"/>
      <c r="J20" s="15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121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128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92</v>
      </c>
      <c r="C28" s="10"/>
      <c r="D28" s="48">
        <f t="shared" si="1"/>
        <v>0</v>
      </c>
      <c r="F28" s="96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54</v>
      </c>
      <c r="G29" s="161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57</v>
      </c>
      <c r="B32" s="100"/>
      <c r="C32" s="100"/>
      <c r="D32" s="101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67</v>
      </c>
      <c r="C35" s="52"/>
      <c r="D35" s="30">
        <f>C35*84</f>
        <v>0</v>
      </c>
      <c r="F35" s="58">
        <v>500</v>
      </c>
      <c r="G35" s="41"/>
      <c r="H35" s="192">
        <f>F35*G35</f>
        <v>0</v>
      </c>
      <c r="I35" s="193"/>
      <c r="J35" s="19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69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67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69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67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69</v>
      </c>
      <c r="C42" s="11"/>
      <c r="D42" s="12">
        <f>C42*2.25</f>
        <v>0</v>
      </c>
      <c r="F42" s="39" t="s">
        <v>78</v>
      </c>
      <c r="G42" s="192"/>
      <c r="H42" s="193"/>
      <c r="I42" s="193"/>
      <c r="J42" s="19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80</v>
      </c>
      <c r="C43" s="11"/>
      <c r="D43" s="12"/>
      <c r="F43" s="59" t="s">
        <v>81</v>
      </c>
      <c r="G43" s="93" t="s">
        <v>82</v>
      </c>
      <c r="H43" s="198" t="s">
        <v>13</v>
      </c>
      <c r="I43" s="199"/>
      <c r="J43" s="20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6"/>
      <c r="B44" s="27" t="s">
        <v>65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67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69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65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67</v>
      </c>
      <c r="C49" s="33"/>
      <c r="D49" s="12">
        <f>C49*42</f>
        <v>0</v>
      </c>
      <c r="F49" s="217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69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114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115</v>
      </c>
      <c r="G51" s="221">
        <f>G49-H29</f>
        <v>0</v>
      </c>
      <c r="H51" s="222"/>
      <c r="I51" s="222"/>
      <c r="J51" s="22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0" t="s">
        <v>89</v>
      </c>
      <c r="B54" s="205"/>
      <c r="C54" s="206"/>
      <c r="D54" s="20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90</v>
      </c>
      <c r="B58" s="212"/>
      <c r="C58" s="212"/>
      <c r="D58" s="213"/>
      <c r="F58" s="211" t="s">
        <v>91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B753A-9F26-44C6-A6ED-0043AF28A94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38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39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44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46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102</v>
      </c>
      <c r="H20" s="151"/>
      <c r="I20" s="151"/>
      <c r="J20" s="15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96"/>
      <c r="G28" s="61"/>
      <c r="H28" s="186"/>
      <c r="I28" s="187"/>
      <c r="J28" s="18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54</v>
      </c>
      <c r="G29" s="161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57</v>
      </c>
      <c r="B32" s="100"/>
      <c r="C32" s="100"/>
      <c r="D32" s="101"/>
      <c r="F32" s="189" t="s">
        <v>58</v>
      </c>
      <c r="G32" s="190"/>
      <c r="H32" s="190"/>
      <c r="I32" s="190"/>
      <c r="J32" s="19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67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69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67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69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67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69</v>
      </c>
      <c r="C42" s="11"/>
      <c r="D42" s="12">
        <f>C42*2.25</f>
        <v>0</v>
      </c>
      <c r="F42" s="39" t="s">
        <v>78</v>
      </c>
      <c r="G42" s="192"/>
      <c r="H42" s="193"/>
      <c r="I42" s="193"/>
      <c r="J42" s="19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80</v>
      </c>
      <c r="C43" s="11"/>
      <c r="D43" s="12"/>
      <c r="F43" s="59" t="s">
        <v>81</v>
      </c>
      <c r="G43" s="93" t="s">
        <v>82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65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67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69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65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67</v>
      </c>
      <c r="C49" s="33"/>
      <c r="D49" s="12">
        <f>C49*42</f>
        <v>0</v>
      </c>
      <c r="F49" s="217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69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106</v>
      </c>
      <c r="G51" s="221">
        <f>G49-H29</f>
        <v>0</v>
      </c>
      <c r="H51" s="222"/>
      <c r="I51" s="222"/>
      <c r="J51" s="22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0" t="s">
        <v>89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90</v>
      </c>
      <c r="B58" s="212"/>
      <c r="C58" s="212"/>
      <c r="D58" s="213"/>
      <c r="F58" s="211" t="s">
        <v>91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81491-97FD-42F4-B570-A89C1B48DB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46147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99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120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108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38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122</v>
      </c>
      <c r="C15" s="10"/>
      <c r="D15" s="31">
        <f t="shared" si="1"/>
        <v>0</v>
      </c>
      <c r="F15" s="147" t="s">
        <v>39</v>
      </c>
      <c r="G15" s="138"/>
      <c r="H15" s="148">
        <f>H13-H14</f>
        <v>0</v>
      </c>
      <c r="I15" s="149"/>
      <c r="J15" s="15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1"/>
      <c r="I16" s="151"/>
      <c r="J16" s="15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4"/>
      <c r="I18" s="124"/>
      <c r="J18" s="12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1"/>
      <c r="I19" s="151"/>
      <c r="J19" s="15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1"/>
      <c r="I20" s="151"/>
      <c r="J20" s="15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121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129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130</v>
      </c>
      <c r="C27" s="10"/>
      <c r="D27" s="44">
        <f t="shared" si="1"/>
        <v>0</v>
      </c>
      <c r="F27" s="71"/>
      <c r="G27" s="93"/>
      <c r="H27" s="229"/>
      <c r="I27" s="230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92</v>
      </c>
      <c r="C28" s="10"/>
      <c r="D28" s="48">
        <f t="shared" si="1"/>
        <v>0</v>
      </c>
      <c r="F28" s="96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54</v>
      </c>
      <c r="G29" s="161"/>
      <c r="H29" s="164">
        <f>H15-H16-H17-H18-H19-H20-H22-H23-H24+H26+H27+H28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57</v>
      </c>
      <c r="B32" s="100"/>
      <c r="C32" s="100"/>
      <c r="D32" s="101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2">
        <f t="shared" ref="H34:H39" si="2">F34*G34</f>
        <v>0</v>
      </c>
      <c r="I34" s="193"/>
      <c r="J34" s="19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67</v>
      </c>
      <c r="C35" s="52"/>
      <c r="D35" s="30">
        <f>C35*84</f>
        <v>0</v>
      </c>
      <c r="F35" s="58">
        <v>500</v>
      </c>
      <c r="G35" s="41"/>
      <c r="H35" s="192">
        <f t="shared" si="2"/>
        <v>0</v>
      </c>
      <c r="I35" s="193"/>
      <c r="J35" s="19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69</v>
      </c>
      <c r="C36" s="10"/>
      <c r="D36" s="12">
        <f>C36*1.5</f>
        <v>0</v>
      </c>
      <c r="F36" s="12">
        <v>200</v>
      </c>
      <c r="G36" s="37"/>
      <c r="H36" s="192">
        <f t="shared" si="2"/>
        <v>0</v>
      </c>
      <c r="I36" s="193"/>
      <c r="J36" s="19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67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69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67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69</v>
      </c>
      <c r="C42" s="11"/>
      <c r="D42" s="12">
        <f>C42*2.25</f>
        <v>0</v>
      </c>
      <c r="F42" s="39" t="s">
        <v>78</v>
      </c>
      <c r="G42" s="192"/>
      <c r="H42" s="193"/>
      <c r="I42" s="193"/>
      <c r="J42" s="19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80</v>
      </c>
      <c r="C43" s="11"/>
      <c r="D43" s="12"/>
      <c r="F43" s="59" t="s">
        <v>81</v>
      </c>
      <c r="G43" s="93" t="s">
        <v>82</v>
      </c>
      <c r="H43" s="198" t="s">
        <v>13</v>
      </c>
      <c r="I43" s="199"/>
      <c r="J43" s="20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6"/>
      <c r="B44" s="27" t="s">
        <v>65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67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69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65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67</v>
      </c>
      <c r="C49" s="33"/>
      <c r="D49" s="12">
        <f>C49*42</f>
        <v>0</v>
      </c>
      <c r="F49" s="217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69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114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109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0" t="s">
        <v>89</v>
      </c>
      <c r="B54" s="205"/>
      <c r="C54" s="206"/>
      <c r="D54" s="20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90</v>
      </c>
      <c r="B58" s="212"/>
      <c r="C58" s="212"/>
      <c r="D58" s="213"/>
      <c r="F58" s="211" t="s">
        <v>91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339C5-1B85-45D5-83F6-A2EED0AC82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46147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107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100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101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38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122</v>
      </c>
      <c r="C15" s="10"/>
      <c r="D15" s="31">
        <f t="shared" si="1"/>
        <v>0</v>
      </c>
      <c r="F15" s="147" t="s">
        <v>39</v>
      </c>
      <c r="G15" s="138"/>
      <c r="H15" s="148">
        <f>H13-H14</f>
        <v>0</v>
      </c>
      <c r="I15" s="149"/>
      <c r="J15" s="15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1"/>
      <c r="I16" s="151"/>
      <c r="J16" s="15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4"/>
      <c r="I18" s="124"/>
      <c r="J18" s="12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39"/>
      <c r="I19" s="239"/>
      <c r="J19" s="23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24"/>
      <c r="I20" s="124"/>
      <c r="J20" s="12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103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121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128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129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130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92</v>
      </c>
      <c r="C28" s="10"/>
      <c r="D28" s="48">
        <f t="shared" si="1"/>
        <v>0</v>
      </c>
      <c r="F28" s="96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54</v>
      </c>
      <c r="G29" s="161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57</v>
      </c>
      <c r="B32" s="100"/>
      <c r="C32" s="100"/>
      <c r="D32" s="101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67</v>
      </c>
      <c r="C35" s="52"/>
      <c r="D35" s="30">
        <f>C35*84</f>
        <v>0</v>
      </c>
      <c r="F35" s="58">
        <v>500</v>
      </c>
      <c r="G35" s="41"/>
      <c r="H35" s="192">
        <f t="shared" ref="H35:H39" si="2">F35*G35</f>
        <v>0</v>
      </c>
      <c r="I35" s="193"/>
      <c r="J35" s="19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69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67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69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67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69</v>
      </c>
      <c r="C42" s="11"/>
      <c r="D42" s="12">
        <f>C42*2.25</f>
        <v>0</v>
      </c>
      <c r="F42" s="39" t="s">
        <v>78</v>
      </c>
      <c r="G42" s="192"/>
      <c r="H42" s="193"/>
      <c r="I42" s="193"/>
      <c r="J42" s="19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80</v>
      </c>
      <c r="C43" s="11"/>
      <c r="D43" s="12"/>
      <c r="F43" s="59" t="s">
        <v>81</v>
      </c>
      <c r="G43" s="93" t="s">
        <v>82</v>
      </c>
      <c r="H43" s="198" t="s">
        <v>13</v>
      </c>
      <c r="I43" s="199"/>
      <c r="J43" s="20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6"/>
      <c r="B44" s="27" t="s">
        <v>65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67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69</v>
      </c>
      <c r="C46" s="81"/>
      <c r="D46" s="12">
        <f>C46*1.5</f>
        <v>0</v>
      </c>
      <c r="F46" s="37"/>
      <c r="G46" s="94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65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67</v>
      </c>
      <c r="C49" s="33"/>
      <c r="D49" s="12">
        <f>C49*42</f>
        <v>0</v>
      </c>
      <c r="F49" s="217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69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114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112</v>
      </c>
      <c r="G51" s="221">
        <f>G49-H29</f>
        <v>0</v>
      </c>
      <c r="H51" s="222"/>
      <c r="I51" s="222"/>
      <c r="J51" s="22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0" t="s">
        <v>89</v>
      </c>
      <c r="B54" s="205"/>
      <c r="C54" s="206"/>
      <c r="D54" s="20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90</v>
      </c>
      <c r="B58" s="212"/>
      <c r="C58" s="212"/>
      <c r="D58" s="213"/>
      <c r="F58" s="211" t="s">
        <v>91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CD118-A87B-4CDB-9891-BD41483C16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46147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117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124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38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122</v>
      </c>
      <c r="C15" s="10"/>
      <c r="D15" s="31">
        <f t="shared" si="1"/>
        <v>0</v>
      </c>
      <c r="F15" s="147" t="s">
        <v>39</v>
      </c>
      <c r="G15" s="138"/>
      <c r="H15" s="148">
        <f>H13-H14</f>
        <v>0</v>
      </c>
      <c r="I15" s="149"/>
      <c r="J15" s="15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1"/>
      <c r="I16" s="151"/>
      <c r="J16" s="15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4"/>
      <c r="I18" s="124"/>
      <c r="J18" s="12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1"/>
      <c r="I20" s="151"/>
      <c r="J20" s="15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121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128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92</v>
      </c>
      <c r="C28" s="10"/>
      <c r="D28" s="48">
        <f t="shared" si="1"/>
        <v>0</v>
      </c>
      <c r="F28" s="96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54</v>
      </c>
      <c r="G29" s="161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57</v>
      </c>
      <c r="B32" s="100"/>
      <c r="C32" s="100"/>
      <c r="D32" s="101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67</v>
      </c>
      <c r="C35" s="52"/>
      <c r="D35" s="30">
        <f>C35*84</f>
        <v>0</v>
      </c>
      <c r="F35" s="58">
        <v>500</v>
      </c>
      <c r="G35" s="41"/>
      <c r="H35" s="192">
        <f>F35*G35</f>
        <v>0</v>
      </c>
      <c r="I35" s="193"/>
      <c r="J35" s="19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69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67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69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67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69</v>
      </c>
      <c r="C42" s="11"/>
      <c r="D42" s="12">
        <f>C42*2.25</f>
        <v>0</v>
      </c>
      <c r="F42" s="39" t="s">
        <v>78</v>
      </c>
      <c r="G42" s="192"/>
      <c r="H42" s="193"/>
      <c r="I42" s="193"/>
      <c r="J42" s="19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80</v>
      </c>
      <c r="C43" s="11"/>
      <c r="D43" s="12"/>
      <c r="F43" s="59" t="s">
        <v>81</v>
      </c>
      <c r="G43" s="93" t="s">
        <v>82</v>
      </c>
      <c r="H43" s="198" t="s">
        <v>13</v>
      </c>
      <c r="I43" s="199"/>
      <c r="J43" s="20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6"/>
      <c r="B44" s="27" t="s">
        <v>65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67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69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65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67</v>
      </c>
      <c r="C49" s="33"/>
      <c r="D49" s="12">
        <f>C49*42</f>
        <v>0</v>
      </c>
      <c r="F49" s="217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69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114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115</v>
      </c>
      <c r="G51" s="221">
        <f>G49-H29</f>
        <v>0</v>
      </c>
      <c r="H51" s="222"/>
      <c r="I51" s="222"/>
      <c r="J51" s="22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0" t="s">
        <v>89</v>
      </c>
      <c r="B54" s="205"/>
      <c r="C54" s="206"/>
      <c r="D54" s="20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90</v>
      </c>
      <c r="B58" s="212"/>
      <c r="C58" s="212"/>
      <c r="D58" s="213"/>
      <c r="F58" s="211" t="s">
        <v>91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9932F-22C0-4BDB-8974-7752840CA41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38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39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44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46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102</v>
      </c>
      <c r="H20" s="151"/>
      <c r="I20" s="151"/>
      <c r="J20" s="15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96"/>
      <c r="G28" s="61"/>
      <c r="H28" s="186"/>
      <c r="I28" s="187"/>
      <c r="J28" s="18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54</v>
      </c>
      <c r="G29" s="161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57</v>
      </c>
      <c r="B32" s="100"/>
      <c r="C32" s="100"/>
      <c r="D32" s="101"/>
      <c r="F32" s="189" t="s">
        <v>58</v>
      </c>
      <c r="G32" s="190"/>
      <c r="H32" s="190"/>
      <c r="I32" s="190"/>
      <c r="J32" s="19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67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69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67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69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67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69</v>
      </c>
      <c r="C42" s="11"/>
      <c r="D42" s="12">
        <f>C42*2.25</f>
        <v>0</v>
      </c>
      <c r="F42" s="39" t="s">
        <v>78</v>
      </c>
      <c r="G42" s="192"/>
      <c r="H42" s="193"/>
      <c r="I42" s="193"/>
      <c r="J42" s="19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80</v>
      </c>
      <c r="C43" s="11"/>
      <c r="D43" s="12"/>
      <c r="F43" s="59" t="s">
        <v>81</v>
      </c>
      <c r="G43" s="93" t="s">
        <v>82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65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67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69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65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67</v>
      </c>
      <c r="C49" s="33"/>
      <c r="D49" s="12">
        <f>C49*42</f>
        <v>0</v>
      </c>
      <c r="F49" s="217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69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106</v>
      </c>
      <c r="G51" s="221">
        <f>G49-H29</f>
        <v>0</v>
      </c>
      <c r="H51" s="222"/>
      <c r="I51" s="222"/>
      <c r="J51" s="22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0" t="s">
        <v>89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90</v>
      </c>
      <c r="B58" s="212"/>
      <c r="C58" s="212"/>
      <c r="D58" s="213"/>
      <c r="F58" s="211" t="s">
        <v>91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6FC69-08B4-4FA9-ABEE-1D54664A191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46148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99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120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108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38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122</v>
      </c>
      <c r="C15" s="10"/>
      <c r="D15" s="31">
        <f t="shared" si="1"/>
        <v>0</v>
      </c>
      <c r="F15" s="147" t="s">
        <v>39</v>
      </c>
      <c r="G15" s="138"/>
      <c r="H15" s="148">
        <f>H13-H14</f>
        <v>0</v>
      </c>
      <c r="I15" s="149"/>
      <c r="J15" s="15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1"/>
      <c r="I16" s="151"/>
      <c r="J16" s="15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4"/>
      <c r="I18" s="124"/>
      <c r="J18" s="12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1"/>
      <c r="I19" s="151"/>
      <c r="J19" s="15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1"/>
      <c r="I20" s="151"/>
      <c r="J20" s="15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121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129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130</v>
      </c>
      <c r="C27" s="10"/>
      <c r="D27" s="44">
        <f t="shared" si="1"/>
        <v>0</v>
      </c>
      <c r="F27" s="71"/>
      <c r="G27" s="93"/>
      <c r="H27" s="229"/>
      <c r="I27" s="230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92</v>
      </c>
      <c r="C28" s="10"/>
      <c r="D28" s="48">
        <f t="shared" si="1"/>
        <v>0</v>
      </c>
      <c r="F28" s="96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54</v>
      </c>
      <c r="G29" s="161"/>
      <c r="H29" s="164">
        <f>H15-H16-H17-H18-H19-H20-H22-H23-H24+H26+H27+H28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57</v>
      </c>
      <c r="B32" s="100"/>
      <c r="C32" s="100"/>
      <c r="D32" s="101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2">
        <f t="shared" ref="H34:H39" si="2">F34*G34</f>
        <v>0</v>
      </c>
      <c r="I34" s="193"/>
      <c r="J34" s="19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67</v>
      </c>
      <c r="C35" s="52"/>
      <c r="D35" s="30">
        <f>C35*84</f>
        <v>0</v>
      </c>
      <c r="F35" s="58">
        <v>500</v>
      </c>
      <c r="G35" s="41"/>
      <c r="H35" s="192">
        <f t="shared" si="2"/>
        <v>0</v>
      </c>
      <c r="I35" s="193"/>
      <c r="J35" s="19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69</v>
      </c>
      <c r="C36" s="10"/>
      <c r="D36" s="12">
        <f>C36*1.5</f>
        <v>0</v>
      </c>
      <c r="F36" s="12">
        <v>200</v>
      </c>
      <c r="G36" s="37"/>
      <c r="H36" s="192">
        <f t="shared" si="2"/>
        <v>0</v>
      </c>
      <c r="I36" s="193"/>
      <c r="J36" s="19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67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69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67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69</v>
      </c>
      <c r="C42" s="11"/>
      <c r="D42" s="12">
        <f>C42*2.25</f>
        <v>0</v>
      </c>
      <c r="F42" s="39" t="s">
        <v>78</v>
      </c>
      <c r="G42" s="192"/>
      <c r="H42" s="193"/>
      <c r="I42" s="193"/>
      <c r="J42" s="19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80</v>
      </c>
      <c r="C43" s="11"/>
      <c r="D43" s="12"/>
      <c r="F43" s="59" t="s">
        <v>81</v>
      </c>
      <c r="G43" s="93" t="s">
        <v>82</v>
      </c>
      <c r="H43" s="198" t="s">
        <v>13</v>
      </c>
      <c r="I43" s="199"/>
      <c r="J43" s="20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6"/>
      <c r="B44" s="27" t="s">
        <v>65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67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69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65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67</v>
      </c>
      <c r="C49" s="33"/>
      <c r="D49" s="12">
        <f>C49*42</f>
        <v>0</v>
      </c>
      <c r="F49" s="217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69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114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109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0" t="s">
        <v>89</v>
      </c>
      <c r="B54" s="205"/>
      <c r="C54" s="206"/>
      <c r="D54" s="20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90</v>
      </c>
      <c r="B58" s="212"/>
      <c r="C58" s="212"/>
      <c r="D58" s="213"/>
      <c r="F58" s="211" t="s">
        <v>91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FC04-D11B-4DCF-B47D-D580C4944F9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46148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107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100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101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38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122</v>
      </c>
      <c r="C15" s="10"/>
      <c r="D15" s="31">
        <f t="shared" si="1"/>
        <v>0</v>
      </c>
      <c r="F15" s="147" t="s">
        <v>39</v>
      </c>
      <c r="G15" s="138"/>
      <c r="H15" s="148">
        <f>H13-H14</f>
        <v>0</v>
      </c>
      <c r="I15" s="149"/>
      <c r="J15" s="15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1"/>
      <c r="I16" s="151"/>
      <c r="J16" s="15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4"/>
      <c r="I18" s="124"/>
      <c r="J18" s="12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39"/>
      <c r="I19" s="239"/>
      <c r="J19" s="23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24"/>
      <c r="I20" s="124"/>
      <c r="J20" s="12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103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121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128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129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130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92</v>
      </c>
      <c r="C28" s="10"/>
      <c r="D28" s="48">
        <f t="shared" si="1"/>
        <v>0</v>
      </c>
      <c r="F28" s="96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54</v>
      </c>
      <c r="G29" s="161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57</v>
      </c>
      <c r="B32" s="100"/>
      <c r="C32" s="100"/>
      <c r="D32" s="101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67</v>
      </c>
      <c r="C35" s="52"/>
      <c r="D35" s="30">
        <f>C35*84</f>
        <v>0</v>
      </c>
      <c r="F35" s="58">
        <v>500</v>
      </c>
      <c r="G35" s="41"/>
      <c r="H35" s="192">
        <f t="shared" ref="H35:H39" si="2">F35*G35</f>
        <v>0</v>
      </c>
      <c r="I35" s="193"/>
      <c r="J35" s="19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69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67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69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67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69</v>
      </c>
      <c r="C42" s="11"/>
      <c r="D42" s="12">
        <f>C42*2.25</f>
        <v>0</v>
      </c>
      <c r="F42" s="39" t="s">
        <v>78</v>
      </c>
      <c r="G42" s="192"/>
      <c r="H42" s="193"/>
      <c r="I42" s="193"/>
      <c r="J42" s="19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80</v>
      </c>
      <c r="C43" s="11"/>
      <c r="D43" s="12"/>
      <c r="F43" s="59" t="s">
        <v>81</v>
      </c>
      <c r="G43" s="93" t="s">
        <v>82</v>
      </c>
      <c r="H43" s="198" t="s">
        <v>13</v>
      </c>
      <c r="I43" s="199"/>
      <c r="J43" s="20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6"/>
      <c r="B44" s="27" t="s">
        <v>65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67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69</v>
      </c>
      <c r="C46" s="81"/>
      <c r="D46" s="12">
        <f>C46*1.5</f>
        <v>0</v>
      </c>
      <c r="F46" s="37"/>
      <c r="G46" s="94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65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67</v>
      </c>
      <c r="C49" s="33"/>
      <c r="D49" s="12">
        <f>C49*42</f>
        <v>0</v>
      </c>
      <c r="F49" s="217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69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114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112</v>
      </c>
      <c r="G51" s="221">
        <f>G49-H29</f>
        <v>0</v>
      </c>
      <c r="H51" s="222"/>
      <c r="I51" s="222"/>
      <c r="J51" s="22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0" t="s">
        <v>89</v>
      </c>
      <c r="B54" s="205"/>
      <c r="C54" s="206"/>
      <c r="D54" s="20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90</v>
      </c>
      <c r="B58" s="212"/>
      <c r="C58" s="212"/>
      <c r="D58" s="213"/>
      <c r="F58" s="211" t="s">
        <v>91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055C0-4DE8-46DB-BCF6-479A351D9D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46148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117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124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38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122</v>
      </c>
      <c r="C15" s="10"/>
      <c r="D15" s="31">
        <f t="shared" si="1"/>
        <v>0</v>
      </c>
      <c r="F15" s="147" t="s">
        <v>39</v>
      </c>
      <c r="G15" s="138"/>
      <c r="H15" s="148">
        <f>H13-H14</f>
        <v>0</v>
      </c>
      <c r="I15" s="149"/>
      <c r="J15" s="15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1"/>
      <c r="I16" s="151"/>
      <c r="J16" s="15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4"/>
      <c r="I18" s="124"/>
      <c r="J18" s="12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1"/>
      <c r="I20" s="151"/>
      <c r="J20" s="15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121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128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92</v>
      </c>
      <c r="C28" s="10"/>
      <c r="D28" s="48">
        <f t="shared" si="1"/>
        <v>0</v>
      </c>
      <c r="F28" s="96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54</v>
      </c>
      <c r="G29" s="161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57</v>
      </c>
      <c r="B32" s="100"/>
      <c r="C32" s="100"/>
      <c r="D32" s="101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67</v>
      </c>
      <c r="C35" s="52"/>
      <c r="D35" s="30">
        <f>C35*84</f>
        <v>0</v>
      </c>
      <c r="F35" s="58">
        <v>500</v>
      </c>
      <c r="G35" s="41"/>
      <c r="H35" s="192">
        <f>F35*G35</f>
        <v>0</v>
      </c>
      <c r="I35" s="193"/>
      <c r="J35" s="19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69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67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69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67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69</v>
      </c>
      <c r="C42" s="11"/>
      <c r="D42" s="12">
        <f>C42*2.25</f>
        <v>0</v>
      </c>
      <c r="F42" s="39" t="s">
        <v>78</v>
      </c>
      <c r="G42" s="192"/>
      <c r="H42" s="193"/>
      <c r="I42" s="193"/>
      <c r="J42" s="19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80</v>
      </c>
      <c r="C43" s="11"/>
      <c r="D43" s="12"/>
      <c r="F43" s="59" t="s">
        <v>81</v>
      </c>
      <c r="G43" s="93" t="s">
        <v>82</v>
      </c>
      <c r="H43" s="198" t="s">
        <v>13</v>
      </c>
      <c r="I43" s="199"/>
      <c r="J43" s="20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6"/>
      <c r="B44" s="27" t="s">
        <v>65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67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69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65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67</v>
      </c>
      <c r="C49" s="33"/>
      <c r="D49" s="12">
        <f>C49*42</f>
        <v>0</v>
      </c>
      <c r="F49" s="217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69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114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115</v>
      </c>
      <c r="G51" s="221">
        <f>G49-H29</f>
        <v>0</v>
      </c>
      <c r="H51" s="222"/>
      <c r="I51" s="222"/>
      <c r="J51" s="22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0" t="s">
        <v>89</v>
      </c>
      <c r="B54" s="205"/>
      <c r="C54" s="206"/>
      <c r="D54" s="20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90</v>
      </c>
      <c r="B58" s="212"/>
      <c r="C58" s="212"/>
      <c r="D58" s="213"/>
      <c r="F58" s="211" t="s">
        <v>91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9F317-0097-4DFF-B9AC-43ABCF87CC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38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39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44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46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102</v>
      </c>
      <c r="H20" s="151"/>
      <c r="I20" s="151"/>
      <c r="J20" s="15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96"/>
      <c r="G28" s="61"/>
      <c r="H28" s="186"/>
      <c r="I28" s="187"/>
      <c r="J28" s="18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54</v>
      </c>
      <c r="G29" s="161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57</v>
      </c>
      <c r="B32" s="100"/>
      <c r="C32" s="100"/>
      <c r="D32" s="101"/>
      <c r="F32" s="189" t="s">
        <v>58</v>
      </c>
      <c r="G32" s="190"/>
      <c r="H32" s="190"/>
      <c r="I32" s="190"/>
      <c r="J32" s="19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67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69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67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69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67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69</v>
      </c>
      <c r="C42" s="11"/>
      <c r="D42" s="12">
        <f>C42*2.25</f>
        <v>0</v>
      </c>
      <c r="F42" s="39" t="s">
        <v>78</v>
      </c>
      <c r="G42" s="192"/>
      <c r="H42" s="193"/>
      <c r="I42" s="193"/>
      <c r="J42" s="19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80</v>
      </c>
      <c r="C43" s="11"/>
      <c r="D43" s="12"/>
      <c r="F43" s="59" t="s">
        <v>81</v>
      </c>
      <c r="G43" s="93" t="s">
        <v>82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65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67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69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65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67</v>
      </c>
      <c r="C49" s="33"/>
      <c r="D49" s="12">
        <f>C49*42</f>
        <v>0</v>
      </c>
      <c r="F49" s="217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69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106</v>
      </c>
      <c r="G51" s="221">
        <f>G49-H29</f>
        <v>0</v>
      </c>
      <c r="H51" s="222"/>
      <c r="I51" s="222"/>
      <c r="J51" s="22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0" t="s">
        <v>89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90</v>
      </c>
      <c r="B58" s="212"/>
      <c r="C58" s="212"/>
      <c r="D58" s="213"/>
      <c r="F58" s="211" t="s">
        <v>91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A41E9-CAA6-4673-9FF6-45CBF7A22C0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46149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99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120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108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38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122</v>
      </c>
      <c r="C15" s="10"/>
      <c r="D15" s="31">
        <f t="shared" si="1"/>
        <v>0</v>
      </c>
      <c r="F15" s="147" t="s">
        <v>39</v>
      </c>
      <c r="G15" s="138"/>
      <c r="H15" s="148">
        <f>H13-H14</f>
        <v>0</v>
      </c>
      <c r="I15" s="149"/>
      <c r="J15" s="15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1"/>
      <c r="I16" s="151"/>
      <c r="J16" s="15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4"/>
      <c r="I18" s="124"/>
      <c r="J18" s="12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1"/>
      <c r="I19" s="151"/>
      <c r="J19" s="15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1"/>
      <c r="I20" s="151"/>
      <c r="J20" s="15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121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129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130</v>
      </c>
      <c r="C27" s="10"/>
      <c r="D27" s="44">
        <f t="shared" si="1"/>
        <v>0</v>
      </c>
      <c r="F27" s="71"/>
      <c r="G27" s="93"/>
      <c r="H27" s="229"/>
      <c r="I27" s="230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92</v>
      </c>
      <c r="C28" s="10"/>
      <c r="D28" s="48">
        <f t="shared" si="1"/>
        <v>0</v>
      </c>
      <c r="F28" s="96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54</v>
      </c>
      <c r="G29" s="161"/>
      <c r="H29" s="164">
        <f>H15-H16-H17-H18-H19-H20-H22-H23-H24+H26+H27+H28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57</v>
      </c>
      <c r="B32" s="100"/>
      <c r="C32" s="100"/>
      <c r="D32" s="101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2">
        <f t="shared" ref="H34:H39" si="2">F34*G34</f>
        <v>0</v>
      </c>
      <c r="I34" s="193"/>
      <c r="J34" s="19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67</v>
      </c>
      <c r="C35" s="52"/>
      <c r="D35" s="30">
        <f>C35*84</f>
        <v>0</v>
      </c>
      <c r="F35" s="58">
        <v>500</v>
      </c>
      <c r="G35" s="41"/>
      <c r="H35" s="192">
        <f t="shared" si="2"/>
        <v>0</v>
      </c>
      <c r="I35" s="193"/>
      <c r="J35" s="19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69</v>
      </c>
      <c r="C36" s="10"/>
      <c r="D36" s="12">
        <f>C36*1.5</f>
        <v>0</v>
      </c>
      <c r="F36" s="12">
        <v>200</v>
      </c>
      <c r="G36" s="37"/>
      <c r="H36" s="192">
        <f t="shared" si="2"/>
        <v>0</v>
      </c>
      <c r="I36" s="193"/>
      <c r="J36" s="19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67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69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67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69</v>
      </c>
      <c r="C42" s="11"/>
      <c r="D42" s="12">
        <f>C42*2.25</f>
        <v>0</v>
      </c>
      <c r="F42" s="39" t="s">
        <v>78</v>
      </c>
      <c r="G42" s="192"/>
      <c r="H42" s="193"/>
      <c r="I42" s="193"/>
      <c r="J42" s="19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80</v>
      </c>
      <c r="C43" s="11"/>
      <c r="D43" s="12"/>
      <c r="F43" s="59" t="s">
        <v>81</v>
      </c>
      <c r="G43" s="93" t="s">
        <v>82</v>
      </c>
      <c r="H43" s="198" t="s">
        <v>13</v>
      </c>
      <c r="I43" s="199"/>
      <c r="J43" s="20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6"/>
      <c r="B44" s="27" t="s">
        <v>65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67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69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65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67</v>
      </c>
      <c r="C49" s="33"/>
      <c r="D49" s="12">
        <f>C49*42</f>
        <v>0</v>
      </c>
      <c r="F49" s="217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69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114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109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0" t="s">
        <v>89</v>
      </c>
      <c r="B54" s="205"/>
      <c r="C54" s="206"/>
      <c r="D54" s="20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90</v>
      </c>
      <c r="B58" s="212"/>
      <c r="C58" s="212"/>
      <c r="D58" s="213"/>
      <c r="F58" s="211" t="s">
        <v>91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2F2D2-8872-4F39-A6F5-FA10156504A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46149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107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100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101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38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122</v>
      </c>
      <c r="C15" s="10"/>
      <c r="D15" s="31">
        <f t="shared" si="1"/>
        <v>0</v>
      </c>
      <c r="F15" s="147" t="s">
        <v>39</v>
      </c>
      <c r="G15" s="138"/>
      <c r="H15" s="148">
        <f>H13-H14</f>
        <v>0</v>
      </c>
      <c r="I15" s="149"/>
      <c r="J15" s="15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1"/>
      <c r="I16" s="151"/>
      <c r="J16" s="15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4"/>
      <c r="I18" s="124"/>
      <c r="J18" s="12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39"/>
      <c r="I19" s="239"/>
      <c r="J19" s="23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24"/>
      <c r="I20" s="124"/>
      <c r="J20" s="12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103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121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128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129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130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92</v>
      </c>
      <c r="C28" s="10"/>
      <c r="D28" s="48">
        <f t="shared" si="1"/>
        <v>0</v>
      </c>
      <c r="F28" s="96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54</v>
      </c>
      <c r="G29" s="161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57</v>
      </c>
      <c r="B32" s="100"/>
      <c r="C32" s="100"/>
      <c r="D32" s="101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67</v>
      </c>
      <c r="C35" s="52"/>
      <c r="D35" s="30">
        <f>C35*84</f>
        <v>0</v>
      </c>
      <c r="F35" s="58">
        <v>500</v>
      </c>
      <c r="G35" s="41"/>
      <c r="H35" s="192">
        <f t="shared" ref="H35:H39" si="2">F35*G35</f>
        <v>0</v>
      </c>
      <c r="I35" s="193"/>
      <c r="J35" s="19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69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67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69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67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69</v>
      </c>
      <c r="C42" s="11"/>
      <c r="D42" s="12">
        <f>C42*2.25</f>
        <v>0</v>
      </c>
      <c r="F42" s="39" t="s">
        <v>78</v>
      </c>
      <c r="G42" s="192"/>
      <c r="H42" s="193"/>
      <c r="I42" s="193"/>
      <c r="J42" s="19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80</v>
      </c>
      <c r="C43" s="11"/>
      <c r="D43" s="12"/>
      <c r="F43" s="59" t="s">
        <v>81</v>
      </c>
      <c r="G43" s="93" t="s">
        <v>82</v>
      </c>
      <c r="H43" s="198" t="s">
        <v>13</v>
      </c>
      <c r="I43" s="199"/>
      <c r="J43" s="20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6"/>
      <c r="B44" s="27" t="s">
        <v>65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67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69</v>
      </c>
      <c r="C46" s="81"/>
      <c r="D46" s="12">
        <f>C46*1.5</f>
        <v>0</v>
      </c>
      <c r="F46" s="37"/>
      <c r="G46" s="94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65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67</v>
      </c>
      <c r="C49" s="33"/>
      <c r="D49" s="12">
        <f>C49*42</f>
        <v>0</v>
      </c>
      <c r="F49" s="217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69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114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112</v>
      </c>
      <c r="G51" s="221">
        <f>G49-H29</f>
        <v>0</v>
      </c>
      <c r="H51" s="222"/>
      <c r="I51" s="222"/>
      <c r="J51" s="22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0" t="s">
        <v>89</v>
      </c>
      <c r="B54" s="205"/>
      <c r="C54" s="206"/>
      <c r="D54" s="20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90</v>
      </c>
      <c r="B58" s="212"/>
      <c r="C58" s="212"/>
      <c r="D58" s="213"/>
      <c r="F58" s="211" t="s">
        <v>91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FFC63-D1FB-444D-98D1-88FF8F70F8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46149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117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124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38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122</v>
      </c>
      <c r="C15" s="10"/>
      <c r="D15" s="31">
        <f t="shared" si="1"/>
        <v>0</v>
      </c>
      <c r="F15" s="147" t="s">
        <v>39</v>
      </c>
      <c r="G15" s="138"/>
      <c r="H15" s="148">
        <f>H13-H14</f>
        <v>0</v>
      </c>
      <c r="I15" s="149"/>
      <c r="J15" s="15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1"/>
      <c r="I16" s="151"/>
      <c r="J16" s="15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4"/>
      <c r="I18" s="124"/>
      <c r="J18" s="12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1"/>
      <c r="I20" s="151"/>
      <c r="J20" s="15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121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128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92</v>
      </c>
      <c r="C28" s="10"/>
      <c r="D28" s="48">
        <f t="shared" si="1"/>
        <v>0</v>
      </c>
      <c r="F28" s="96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54</v>
      </c>
      <c r="G29" s="161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57</v>
      </c>
      <c r="B32" s="100"/>
      <c r="C32" s="100"/>
      <c r="D32" s="101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67</v>
      </c>
      <c r="C35" s="52"/>
      <c r="D35" s="30">
        <f>C35*84</f>
        <v>0</v>
      </c>
      <c r="F35" s="58">
        <v>500</v>
      </c>
      <c r="G35" s="41"/>
      <c r="H35" s="192">
        <f>F35*G35</f>
        <v>0</v>
      </c>
      <c r="I35" s="193"/>
      <c r="J35" s="19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69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67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69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67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69</v>
      </c>
      <c r="C42" s="11"/>
      <c r="D42" s="12">
        <f>C42*2.25</f>
        <v>0</v>
      </c>
      <c r="F42" s="39" t="s">
        <v>78</v>
      </c>
      <c r="G42" s="192"/>
      <c r="H42" s="193"/>
      <c r="I42" s="193"/>
      <c r="J42" s="19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80</v>
      </c>
      <c r="C43" s="11"/>
      <c r="D43" s="12"/>
      <c r="F43" s="59" t="s">
        <v>81</v>
      </c>
      <c r="G43" s="93" t="s">
        <v>82</v>
      </c>
      <c r="H43" s="198" t="s">
        <v>13</v>
      </c>
      <c r="I43" s="199"/>
      <c r="J43" s="20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6"/>
      <c r="B44" s="27" t="s">
        <v>65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67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69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65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67</v>
      </c>
      <c r="C49" s="33"/>
      <c r="D49" s="12">
        <f>C49*42</f>
        <v>0</v>
      </c>
      <c r="F49" s="217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69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114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115</v>
      </c>
      <c r="G51" s="221">
        <f>G49-H29</f>
        <v>0</v>
      </c>
      <c r="H51" s="222"/>
      <c r="I51" s="222"/>
      <c r="J51" s="22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0" t="s">
        <v>89</v>
      </c>
      <c r="B54" s="205"/>
      <c r="C54" s="206"/>
      <c r="D54" s="20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90</v>
      </c>
      <c r="B58" s="212"/>
      <c r="C58" s="212"/>
      <c r="D58" s="213"/>
      <c r="F58" s="211" t="s">
        <v>91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5203A-7A06-42A1-AB52-579A0D196CC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38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39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44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46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102</v>
      </c>
      <c r="H20" s="151"/>
      <c r="I20" s="151"/>
      <c r="J20" s="15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96"/>
      <c r="G28" s="61"/>
      <c r="H28" s="186"/>
      <c r="I28" s="187"/>
      <c r="J28" s="18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54</v>
      </c>
      <c r="G29" s="161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57</v>
      </c>
      <c r="B32" s="100"/>
      <c r="C32" s="100"/>
      <c r="D32" s="101"/>
      <c r="F32" s="189" t="s">
        <v>58</v>
      </c>
      <c r="G32" s="190"/>
      <c r="H32" s="190"/>
      <c r="I32" s="190"/>
      <c r="J32" s="19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67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69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67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69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67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69</v>
      </c>
      <c r="C42" s="11"/>
      <c r="D42" s="12">
        <f>C42*2.25</f>
        <v>0</v>
      </c>
      <c r="F42" s="39" t="s">
        <v>78</v>
      </c>
      <c r="G42" s="192"/>
      <c r="H42" s="193"/>
      <c r="I42" s="193"/>
      <c r="J42" s="19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80</v>
      </c>
      <c r="C43" s="11"/>
      <c r="D43" s="12"/>
      <c r="F43" s="59" t="s">
        <v>81</v>
      </c>
      <c r="G43" s="93" t="s">
        <v>82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65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67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69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65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67</v>
      </c>
      <c r="C49" s="33"/>
      <c r="D49" s="12">
        <f>C49*42</f>
        <v>0</v>
      </c>
      <c r="F49" s="217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69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106</v>
      </c>
      <c r="G51" s="221">
        <f>G49-H29</f>
        <v>0</v>
      </c>
      <c r="H51" s="222"/>
      <c r="I51" s="222"/>
      <c r="J51" s="22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0" t="s">
        <v>89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90</v>
      </c>
      <c r="B58" s="212"/>
      <c r="C58" s="212"/>
      <c r="D58" s="213"/>
      <c r="F58" s="211" t="s">
        <v>91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1A205-1CC3-4004-8D7D-AADC7C96844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46150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99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120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108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38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122</v>
      </c>
      <c r="C15" s="10"/>
      <c r="D15" s="31">
        <f t="shared" si="1"/>
        <v>0</v>
      </c>
      <c r="F15" s="147" t="s">
        <v>39</v>
      </c>
      <c r="G15" s="138"/>
      <c r="H15" s="148">
        <f>H13-H14</f>
        <v>0</v>
      </c>
      <c r="I15" s="149"/>
      <c r="J15" s="15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1"/>
      <c r="I16" s="151"/>
      <c r="J16" s="15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4"/>
      <c r="I18" s="124"/>
      <c r="J18" s="12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1"/>
      <c r="I19" s="151"/>
      <c r="J19" s="15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1"/>
      <c r="I20" s="151"/>
      <c r="J20" s="15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121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129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130</v>
      </c>
      <c r="C27" s="10"/>
      <c r="D27" s="44">
        <f t="shared" si="1"/>
        <v>0</v>
      </c>
      <c r="F27" s="71"/>
      <c r="G27" s="93"/>
      <c r="H27" s="229"/>
      <c r="I27" s="230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92</v>
      </c>
      <c r="C28" s="10"/>
      <c r="D28" s="48">
        <f t="shared" si="1"/>
        <v>0</v>
      </c>
      <c r="F28" s="96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54</v>
      </c>
      <c r="G29" s="161"/>
      <c r="H29" s="164">
        <f>H15-H16-H17-H18-H19-H20-H22-H23-H24+H26+H27+H28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57</v>
      </c>
      <c r="B32" s="100"/>
      <c r="C32" s="100"/>
      <c r="D32" s="101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2">
        <f t="shared" ref="H34:H39" si="2">F34*G34</f>
        <v>0</v>
      </c>
      <c r="I34" s="193"/>
      <c r="J34" s="19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67</v>
      </c>
      <c r="C35" s="52"/>
      <c r="D35" s="30">
        <f>C35*84</f>
        <v>0</v>
      </c>
      <c r="F35" s="58">
        <v>500</v>
      </c>
      <c r="G35" s="41"/>
      <c r="H35" s="192">
        <f t="shared" si="2"/>
        <v>0</v>
      </c>
      <c r="I35" s="193"/>
      <c r="J35" s="19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69</v>
      </c>
      <c r="C36" s="10"/>
      <c r="D36" s="12">
        <f>C36*1.5</f>
        <v>0</v>
      </c>
      <c r="F36" s="12">
        <v>200</v>
      </c>
      <c r="G36" s="37"/>
      <c r="H36" s="192">
        <f t="shared" si="2"/>
        <v>0</v>
      </c>
      <c r="I36" s="193"/>
      <c r="J36" s="19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67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69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67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69</v>
      </c>
      <c r="C42" s="11"/>
      <c r="D42" s="12">
        <f>C42*2.25</f>
        <v>0</v>
      </c>
      <c r="F42" s="39" t="s">
        <v>78</v>
      </c>
      <c r="G42" s="192"/>
      <c r="H42" s="193"/>
      <c r="I42" s="193"/>
      <c r="J42" s="19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80</v>
      </c>
      <c r="C43" s="11"/>
      <c r="D43" s="12"/>
      <c r="F43" s="59" t="s">
        <v>81</v>
      </c>
      <c r="G43" s="93" t="s">
        <v>82</v>
      </c>
      <c r="H43" s="198" t="s">
        <v>13</v>
      </c>
      <c r="I43" s="199"/>
      <c r="J43" s="20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6"/>
      <c r="B44" s="27" t="s">
        <v>65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67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69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65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67</v>
      </c>
      <c r="C49" s="33"/>
      <c r="D49" s="12">
        <f>C49*42</f>
        <v>0</v>
      </c>
      <c r="F49" s="217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69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114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109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0" t="s">
        <v>89</v>
      </c>
      <c r="B54" s="205"/>
      <c r="C54" s="206"/>
      <c r="D54" s="20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90</v>
      </c>
      <c r="B58" s="212"/>
      <c r="C58" s="212"/>
      <c r="D58" s="213"/>
      <c r="F58" s="211" t="s">
        <v>91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A67ED-5EE3-42FE-B708-111EF87B3F7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46150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107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100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101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38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122</v>
      </c>
      <c r="C15" s="10"/>
      <c r="D15" s="31">
        <f t="shared" si="1"/>
        <v>0</v>
      </c>
      <c r="F15" s="147" t="s">
        <v>39</v>
      </c>
      <c r="G15" s="138"/>
      <c r="H15" s="148">
        <f>H13-H14</f>
        <v>0</v>
      </c>
      <c r="I15" s="149"/>
      <c r="J15" s="15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1"/>
      <c r="I16" s="151"/>
      <c r="J16" s="15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4"/>
      <c r="I18" s="124"/>
      <c r="J18" s="12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39"/>
      <c r="I19" s="239"/>
      <c r="J19" s="23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24"/>
      <c r="I20" s="124"/>
      <c r="J20" s="12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103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121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128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129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130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92</v>
      </c>
      <c r="C28" s="10"/>
      <c r="D28" s="48">
        <f t="shared" si="1"/>
        <v>0</v>
      </c>
      <c r="F28" s="96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54</v>
      </c>
      <c r="G29" s="161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57</v>
      </c>
      <c r="B32" s="100"/>
      <c r="C32" s="100"/>
      <c r="D32" s="101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67</v>
      </c>
      <c r="C35" s="52"/>
      <c r="D35" s="30">
        <f>C35*84</f>
        <v>0</v>
      </c>
      <c r="F35" s="58">
        <v>500</v>
      </c>
      <c r="G35" s="41"/>
      <c r="H35" s="192">
        <f t="shared" ref="H35:H39" si="2">F35*G35</f>
        <v>0</v>
      </c>
      <c r="I35" s="193"/>
      <c r="J35" s="19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69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67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69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67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69</v>
      </c>
      <c r="C42" s="11"/>
      <c r="D42" s="12">
        <f>C42*2.25</f>
        <v>0</v>
      </c>
      <c r="F42" s="39" t="s">
        <v>78</v>
      </c>
      <c r="G42" s="192"/>
      <c r="H42" s="193"/>
      <c r="I42" s="193"/>
      <c r="J42" s="19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80</v>
      </c>
      <c r="C43" s="11"/>
      <c r="D43" s="12"/>
      <c r="F43" s="59" t="s">
        <v>81</v>
      </c>
      <c r="G43" s="93" t="s">
        <v>82</v>
      </c>
      <c r="H43" s="198" t="s">
        <v>13</v>
      </c>
      <c r="I43" s="199"/>
      <c r="J43" s="20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6"/>
      <c r="B44" s="27" t="s">
        <v>65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67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69</v>
      </c>
      <c r="C46" s="81"/>
      <c r="D46" s="12">
        <f>C46*1.5</f>
        <v>0</v>
      </c>
      <c r="F46" s="37"/>
      <c r="G46" s="94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65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67</v>
      </c>
      <c r="C49" s="33"/>
      <c r="D49" s="12">
        <f>C49*42</f>
        <v>0</v>
      </c>
      <c r="F49" s="217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69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114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112</v>
      </c>
      <c r="G51" s="221">
        <f>G49-H29</f>
        <v>0</v>
      </c>
      <c r="H51" s="222"/>
      <c r="I51" s="222"/>
      <c r="J51" s="22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0" t="s">
        <v>89</v>
      </c>
      <c r="B54" s="205"/>
      <c r="C54" s="206"/>
      <c r="D54" s="20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90</v>
      </c>
      <c r="B58" s="212"/>
      <c r="C58" s="212"/>
      <c r="D58" s="213"/>
      <c r="F58" s="211" t="s">
        <v>91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27F19-129E-47B5-AFBE-5E474785B41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46150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117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124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38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122</v>
      </c>
      <c r="C15" s="10"/>
      <c r="D15" s="31">
        <f t="shared" si="1"/>
        <v>0</v>
      </c>
      <c r="F15" s="147" t="s">
        <v>39</v>
      </c>
      <c r="G15" s="138"/>
      <c r="H15" s="148">
        <f>H13-H14</f>
        <v>0</v>
      </c>
      <c r="I15" s="149"/>
      <c r="J15" s="15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1"/>
      <c r="I16" s="151"/>
      <c r="J16" s="15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4"/>
      <c r="I18" s="124"/>
      <c r="J18" s="12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1"/>
      <c r="I20" s="151"/>
      <c r="J20" s="15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121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128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92</v>
      </c>
      <c r="C28" s="10"/>
      <c r="D28" s="48">
        <f t="shared" si="1"/>
        <v>0</v>
      </c>
      <c r="F28" s="96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54</v>
      </c>
      <c r="G29" s="161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57</v>
      </c>
      <c r="B32" s="100"/>
      <c r="C32" s="100"/>
      <c r="D32" s="101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67</v>
      </c>
      <c r="C35" s="52"/>
      <c r="D35" s="30">
        <f>C35*84</f>
        <v>0</v>
      </c>
      <c r="F35" s="58">
        <v>500</v>
      </c>
      <c r="G35" s="41"/>
      <c r="H35" s="192">
        <f>F35*G35</f>
        <v>0</v>
      </c>
      <c r="I35" s="193"/>
      <c r="J35" s="19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69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67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69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67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69</v>
      </c>
      <c r="C42" s="11"/>
      <c r="D42" s="12">
        <f>C42*2.25</f>
        <v>0</v>
      </c>
      <c r="F42" s="39" t="s">
        <v>78</v>
      </c>
      <c r="G42" s="192"/>
      <c r="H42" s="193"/>
      <c r="I42" s="193"/>
      <c r="J42" s="19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80</v>
      </c>
      <c r="C43" s="11"/>
      <c r="D43" s="12"/>
      <c r="F43" s="59" t="s">
        <v>81</v>
      </c>
      <c r="G43" s="93" t="s">
        <v>82</v>
      </c>
      <c r="H43" s="198" t="s">
        <v>13</v>
      </c>
      <c r="I43" s="199"/>
      <c r="J43" s="20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6"/>
      <c r="B44" s="27" t="s">
        <v>65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67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69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65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67</v>
      </c>
      <c r="C49" s="33"/>
      <c r="D49" s="12">
        <f>C49*42</f>
        <v>0</v>
      </c>
      <c r="F49" s="217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69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114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115</v>
      </c>
      <c r="G51" s="221">
        <f>G49-H29</f>
        <v>0</v>
      </c>
      <c r="H51" s="222"/>
      <c r="I51" s="222"/>
      <c r="J51" s="22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0" t="s">
        <v>89</v>
      </c>
      <c r="B54" s="205"/>
      <c r="C54" s="206"/>
      <c r="D54" s="20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90</v>
      </c>
      <c r="B58" s="212"/>
      <c r="C58" s="212"/>
      <c r="D58" s="213"/>
      <c r="F58" s="211" t="s">
        <v>91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5625F-E069-4BC5-B50C-6B25FD34001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38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39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44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46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102</v>
      </c>
      <c r="H20" s="151"/>
      <c r="I20" s="151"/>
      <c r="J20" s="15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96"/>
      <c r="G28" s="61"/>
      <c r="H28" s="186"/>
      <c r="I28" s="187"/>
      <c r="J28" s="18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54</v>
      </c>
      <c r="G29" s="161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57</v>
      </c>
      <c r="B32" s="100"/>
      <c r="C32" s="100"/>
      <c r="D32" s="101"/>
      <c r="F32" s="189" t="s">
        <v>58</v>
      </c>
      <c r="G32" s="190"/>
      <c r="H32" s="190"/>
      <c r="I32" s="190"/>
      <c r="J32" s="19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67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69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67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69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67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69</v>
      </c>
      <c r="C42" s="11"/>
      <c r="D42" s="12">
        <f>C42*2.25</f>
        <v>0</v>
      </c>
      <c r="F42" s="39" t="s">
        <v>78</v>
      </c>
      <c r="G42" s="192"/>
      <c r="H42" s="193"/>
      <c r="I42" s="193"/>
      <c r="J42" s="19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80</v>
      </c>
      <c r="C43" s="11"/>
      <c r="D43" s="12"/>
      <c r="F43" s="59" t="s">
        <v>81</v>
      </c>
      <c r="G43" s="93" t="s">
        <v>82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65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67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69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65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67</v>
      </c>
      <c r="C49" s="33"/>
      <c r="D49" s="12">
        <f>C49*42</f>
        <v>0</v>
      </c>
      <c r="F49" s="217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69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106</v>
      </c>
      <c r="G51" s="221">
        <f>G49-H29</f>
        <v>0</v>
      </c>
      <c r="H51" s="222"/>
      <c r="I51" s="222"/>
      <c r="J51" s="22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0" t="s">
        <v>89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90</v>
      </c>
      <c r="B58" s="212"/>
      <c r="C58" s="212"/>
      <c r="D58" s="213"/>
      <c r="F58" s="211" t="s">
        <v>91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5F04B-4B43-4BB4-94E5-312CCA41D0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46153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99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120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108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38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122</v>
      </c>
      <c r="C15" s="10"/>
      <c r="D15" s="31">
        <f t="shared" si="1"/>
        <v>0</v>
      </c>
      <c r="F15" s="147" t="s">
        <v>39</v>
      </c>
      <c r="G15" s="138"/>
      <c r="H15" s="148">
        <f>H13-H14</f>
        <v>0</v>
      </c>
      <c r="I15" s="149"/>
      <c r="J15" s="15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1"/>
      <c r="I16" s="151"/>
      <c r="J16" s="15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4"/>
      <c r="I18" s="124"/>
      <c r="J18" s="12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1"/>
      <c r="I19" s="151"/>
      <c r="J19" s="15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1"/>
      <c r="I20" s="151"/>
      <c r="J20" s="15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121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129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130</v>
      </c>
      <c r="C27" s="10"/>
      <c r="D27" s="44">
        <f t="shared" si="1"/>
        <v>0</v>
      </c>
      <c r="F27" s="71"/>
      <c r="G27" s="93"/>
      <c r="H27" s="229"/>
      <c r="I27" s="230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92</v>
      </c>
      <c r="C28" s="10"/>
      <c r="D28" s="48">
        <f t="shared" si="1"/>
        <v>0</v>
      </c>
      <c r="F28" s="96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54</v>
      </c>
      <c r="G29" s="161"/>
      <c r="H29" s="164">
        <f>H15-H16-H17-H18-H19-H20-H22-H23-H24+H26+H27+H28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57</v>
      </c>
      <c r="B32" s="100"/>
      <c r="C32" s="100"/>
      <c r="D32" s="101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2">
        <f t="shared" ref="H34:H39" si="2">F34*G34</f>
        <v>0</v>
      </c>
      <c r="I34" s="193"/>
      <c r="J34" s="19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67</v>
      </c>
      <c r="C35" s="52"/>
      <c r="D35" s="30">
        <f>C35*84</f>
        <v>0</v>
      </c>
      <c r="F35" s="58">
        <v>500</v>
      </c>
      <c r="G35" s="41"/>
      <c r="H35" s="192">
        <f t="shared" si="2"/>
        <v>0</v>
      </c>
      <c r="I35" s="193"/>
      <c r="J35" s="19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69</v>
      </c>
      <c r="C36" s="10"/>
      <c r="D36" s="12">
        <f>C36*1.5</f>
        <v>0</v>
      </c>
      <c r="F36" s="12">
        <v>200</v>
      </c>
      <c r="G36" s="37"/>
      <c r="H36" s="192">
        <f t="shared" si="2"/>
        <v>0</v>
      </c>
      <c r="I36" s="193"/>
      <c r="J36" s="19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67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69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67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69</v>
      </c>
      <c r="C42" s="11"/>
      <c r="D42" s="12">
        <f>C42*2.25</f>
        <v>0</v>
      </c>
      <c r="F42" s="39" t="s">
        <v>78</v>
      </c>
      <c r="G42" s="192"/>
      <c r="H42" s="193"/>
      <c r="I42" s="193"/>
      <c r="J42" s="19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80</v>
      </c>
      <c r="C43" s="11"/>
      <c r="D43" s="12"/>
      <c r="F43" s="59" t="s">
        <v>81</v>
      </c>
      <c r="G43" s="93" t="s">
        <v>82</v>
      </c>
      <c r="H43" s="198" t="s">
        <v>13</v>
      </c>
      <c r="I43" s="199"/>
      <c r="J43" s="20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6"/>
      <c r="B44" s="27" t="s">
        <v>65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67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69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65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67</v>
      </c>
      <c r="C49" s="33"/>
      <c r="D49" s="12">
        <f>C49*42</f>
        <v>0</v>
      </c>
      <c r="F49" s="217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69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114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109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0" t="s">
        <v>89</v>
      </c>
      <c r="B54" s="205"/>
      <c r="C54" s="206"/>
      <c r="D54" s="20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90</v>
      </c>
      <c r="B58" s="212"/>
      <c r="C58" s="212"/>
      <c r="D58" s="213"/>
      <c r="F58" s="211" t="s">
        <v>91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1CEF7-40EE-4266-A801-E9F32214395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46153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107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100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101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38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122</v>
      </c>
      <c r="C15" s="10"/>
      <c r="D15" s="31">
        <f t="shared" si="1"/>
        <v>0</v>
      </c>
      <c r="F15" s="147" t="s">
        <v>39</v>
      </c>
      <c r="G15" s="138"/>
      <c r="H15" s="148">
        <f>H13-H14</f>
        <v>0</v>
      </c>
      <c r="I15" s="149"/>
      <c r="J15" s="15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1"/>
      <c r="I16" s="151"/>
      <c r="J16" s="15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4"/>
      <c r="I18" s="124"/>
      <c r="J18" s="12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39"/>
      <c r="I19" s="239"/>
      <c r="J19" s="23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24"/>
      <c r="I20" s="124"/>
      <c r="J20" s="12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103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121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128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129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130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92</v>
      </c>
      <c r="C28" s="10"/>
      <c r="D28" s="48">
        <f t="shared" si="1"/>
        <v>0</v>
      </c>
      <c r="F28" s="96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54</v>
      </c>
      <c r="G29" s="161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57</v>
      </c>
      <c r="B32" s="100"/>
      <c r="C32" s="100"/>
      <c r="D32" s="101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67</v>
      </c>
      <c r="C35" s="52"/>
      <c r="D35" s="30">
        <f>C35*84</f>
        <v>0</v>
      </c>
      <c r="F35" s="58">
        <v>500</v>
      </c>
      <c r="G35" s="41"/>
      <c r="H35" s="192">
        <f t="shared" ref="H35:H39" si="2">F35*G35</f>
        <v>0</v>
      </c>
      <c r="I35" s="193"/>
      <c r="J35" s="19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69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67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69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67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69</v>
      </c>
      <c r="C42" s="11"/>
      <c r="D42" s="12">
        <f>C42*2.25</f>
        <v>0</v>
      </c>
      <c r="F42" s="39" t="s">
        <v>78</v>
      </c>
      <c r="G42" s="192"/>
      <c r="H42" s="193"/>
      <c r="I42" s="193"/>
      <c r="J42" s="19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80</v>
      </c>
      <c r="C43" s="11"/>
      <c r="D43" s="12"/>
      <c r="F43" s="59" t="s">
        <v>81</v>
      </c>
      <c r="G43" s="93" t="s">
        <v>82</v>
      </c>
      <c r="H43" s="198" t="s">
        <v>13</v>
      </c>
      <c r="I43" s="199"/>
      <c r="J43" s="20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6"/>
      <c r="B44" s="27" t="s">
        <v>65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67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69</v>
      </c>
      <c r="C46" s="81"/>
      <c r="D46" s="12">
        <f>C46*1.5</f>
        <v>0</v>
      </c>
      <c r="F46" s="37"/>
      <c r="G46" s="94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65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67</v>
      </c>
      <c r="C49" s="33"/>
      <c r="D49" s="12">
        <f>C49*42</f>
        <v>0</v>
      </c>
      <c r="F49" s="217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69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114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112</v>
      </c>
      <c r="G51" s="221">
        <f>G49-H29</f>
        <v>0</v>
      </c>
      <c r="H51" s="222"/>
      <c r="I51" s="222"/>
      <c r="J51" s="22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0" t="s">
        <v>89</v>
      </c>
      <c r="B54" s="205"/>
      <c r="C54" s="206"/>
      <c r="D54" s="20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90</v>
      </c>
      <c r="B58" s="212"/>
      <c r="C58" s="212"/>
      <c r="D58" s="213"/>
      <c r="F58" s="211" t="s">
        <v>91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356DE-0757-4D68-9F36-AC6D547EC7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46153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117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124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38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122</v>
      </c>
      <c r="C15" s="10"/>
      <c r="D15" s="31">
        <f t="shared" si="1"/>
        <v>0</v>
      </c>
      <c r="F15" s="147" t="s">
        <v>39</v>
      </c>
      <c r="G15" s="138"/>
      <c r="H15" s="148">
        <f>H13-H14</f>
        <v>0</v>
      </c>
      <c r="I15" s="149"/>
      <c r="J15" s="15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1"/>
      <c r="I16" s="151"/>
      <c r="J16" s="15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24"/>
      <c r="I18" s="124"/>
      <c r="J18" s="12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3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1"/>
      <c r="I20" s="151"/>
      <c r="J20" s="15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121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128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92</v>
      </c>
      <c r="C28" s="10"/>
      <c r="D28" s="48">
        <f t="shared" si="1"/>
        <v>0</v>
      </c>
      <c r="F28" s="96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54</v>
      </c>
      <c r="G29" s="161"/>
      <c r="H29" s="164">
        <f>H15-H16-H17-H18-H19-H20-H22-H23-H24+H26+H27</f>
        <v>0</v>
      </c>
      <c r="I29" s="165"/>
      <c r="J29" s="16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57</v>
      </c>
      <c r="B32" s="100"/>
      <c r="C32" s="100"/>
      <c r="D32" s="101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67</v>
      </c>
      <c r="C35" s="52"/>
      <c r="D35" s="30">
        <f>C35*84</f>
        <v>0</v>
      </c>
      <c r="F35" s="58">
        <v>500</v>
      </c>
      <c r="G35" s="41"/>
      <c r="H35" s="192">
        <f>F35*G35</f>
        <v>0</v>
      </c>
      <c r="I35" s="193"/>
      <c r="J35" s="19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69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67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69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67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69</v>
      </c>
      <c r="C42" s="11"/>
      <c r="D42" s="12">
        <f>C42*2.25</f>
        <v>0</v>
      </c>
      <c r="F42" s="39" t="s">
        <v>78</v>
      </c>
      <c r="G42" s="192"/>
      <c r="H42" s="193"/>
      <c r="I42" s="193"/>
      <c r="J42" s="19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80</v>
      </c>
      <c r="C43" s="11"/>
      <c r="D43" s="12"/>
      <c r="F43" s="59" t="s">
        <v>81</v>
      </c>
      <c r="G43" s="93" t="s">
        <v>82</v>
      </c>
      <c r="H43" s="198" t="s">
        <v>13</v>
      </c>
      <c r="I43" s="199"/>
      <c r="J43" s="20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6"/>
      <c r="B44" s="27" t="s">
        <v>65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67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69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65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67</v>
      </c>
      <c r="C49" s="33"/>
      <c r="D49" s="12">
        <f>C49*42</f>
        <v>0</v>
      </c>
      <c r="F49" s="217" t="s">
        <v>85</v>
      </c>
      <c r="G49" s="164">
        <f>H34+H35+H36+H37+H38+H39+H40+H41+G42+H44+H45+H46</f>
        <v>0</v>
      </c>
      <c r="H49" s="165"/>
      <c r="I49" s="165"/>
      <c r="J49" s="16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69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114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115</v>
      </c>
      <c r="G51" s="221">
        <f>G49-H29</f>
        <v>0</v>
      </c>
      <c r="H51" s="222"/>
      <c r="I51" s="222"/>
      <c r="J51" s="22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0" t="s">
        <v>89</v>
      </c>
      <c r="B54" s="205"/>
      <c r="C54" s="206"/>
      <c r="D54" s="20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90</v>
      </c>
      <c r="B58" s="212"/>
      <c r="C58" s="212"/>
      <c r="D58" s="213"/>
      <c r="F58" s="211" t="s">
        <v>91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28</vt:i4>
      </vt:variant>
    </vt:vector>
  </HeadingPairs>
  <TitlesOfParts>
    <vt:vector size="57" baseType="lpstr">
      <vt:lpstr>(MAY 2026)</vt:lpstr>
      <vt:lpstr>(01)</vt:lpstr>
      <vt:lpstr>05,01 R1</vt:lpstr>
      <vt:lpstr>05,01 R2</vt:lpstr>
      <vt:lpstr>05,01 R3</vt:lpstr>
      <vt:lpstr>(4)</vt:lpstr>
      <vt:lpstr>05,04 R1</vt:lpstr>
      <vt:lpstr>05,04 R2</vt:lpstr>
      <vt:lpstr>05,04 R3</vt:lpstr>
      <vt:lpstr>(5)</vt:lpstr>
      <vt:lpstr>05,05 R1</vt:lpstr>
      <vt:lpstr>05,05 R2</vt:lpstr>
      <vt:lpstr>05,05 R3</vt:lpstr>
      <vt:lpstr>(6)</vt:lpstr>
      <vt:lpstr>05,06 R1</vt:lpstr>
      <vt:lpstr>05,06 R2</vt:lpstr>
      <vt:lpstr>05,06 R3</vt:lpstr>
      <vt:lpstr>(7)</vt:lpstr>
      <vt:lpstr>05,07 R1</vt:lpstr>
      <vt:lpstr>05,07 R2</vt:lpstr>
      <vt:lpstr>05,07 R3</vt:lpstr>
      <vt:lpstr>(8)</vt:lpstr>
      <vt:lpstr>05,08 R1</vt:lpstr>
      <vt:lpstr>05,08 R2</vt:lpstr>
      <vt:lpstr>05,08 R3</vt:lpstr>
      <vt:lpstr>(11)</vt:lpstr>
      <vt:lpstr>05,11 R1</vt:lpstr>
      <vt:lpstr>05,11 R2</vt:lpstr>
      <vt:lpstr>05,11 R3</vt:lpstr>
      <vt:lpstr>'(01)'!Print_Area</vt:lpstr>
      <vt:lpstr>'(11)'!Print_Area</vt:lpstr>
      <vt:lpstr>'(4)'!Print_Area</vt:lpstr>
      <vt:lpstr>'(5)'!Print_Area</vt:lpstr>
      <vt:lpstr>'(6)'!Print_Area</vt:lpstr>
      <vt:lpstr>'(7)'!Print_Area</vt:lpstr>
      <vt:lpstr>'(8)'!Print_Area</vt:lpstr>
      <vt:lpstr>'05,01 R1'!Print_Area</vt:lpstr>
      <vt:lpstr>'05,01 R2'!Print_Area</vt:lpstr>
      <vt:lpstr>'05,01 R3'!Print_Area</vt:lpstr>
      <vt:lpstr>'05,04 R1'!Print_Area</vt:lpstr>
      <vt:lpstr>'05,04 R2'!Print_Area</vt:lpstr>
      <vt:lpstr>'05,04 R3'!Print_Area</vt:lpstr>
      <vt:lpstr>'05,05 R1'!Print_Area</vt:lpstr>
      <vt:lpstr>'05,05 R2'!Print_Area</vt:lpstr>
      <vt:lpstr>'05,05 R3'!Print_Area</vt:lpstr>
      <vt:lpstr>'05,06 R1'!Print_Area</vt:lpstr>
      <vt:lpstr>'05,06 R2'!Print_Area</vt:lpstr>
      <vt:lpstr>'05,06 R3'!Print_Area</vt:lpstr>
      <vt:lpstr>'05,07 R1'!Print_Area</vt:lpstr>
      <vt:lpstr>'05,07 R2'!Print_Area</vt:lpstr>
      <vt:lpstr>'05,07 R3'!Print_Area</vt:lpstr>
      <vt:lpstr>'05,08 R1'!Print_Area</vt:lpstr>
      <vt:lpstr>'05,08 R2'!Print_Area</vt:lpstr>
      <vt:lpstr>'05,08 R3'!Print_Area</vt:lpstr>
      <vt:lpstr>'05,11 R1'!Print_Area</vt:lpstr>
      <vt:lpstr>'05,11 R2'!Print_Area</vt:lpstr>
      <vt:lpstr>'05,11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2026-05-02T02:26:34Z</cp:lastPrinted>
  <dcterms:created xsi:type="dcterms:W3CDTF">2024-09-01T23:36:50Z</dcterms:created>
  <dcterms:modified xsi:type="dcterms:W3CDTF">2026-05-02T02:26:37Z</dcterms:modified>
</cp:coreProperties>
</file>